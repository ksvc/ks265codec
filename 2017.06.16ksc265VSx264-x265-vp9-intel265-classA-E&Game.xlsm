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c265codec\"/>
    </mc:Choice>
  </mc:AlternateContent>
  <bookViews>
    <workbookView xWindow="0" yWindow="0" windowWidth="28800" windowHeight="12450" tabRatio="813" firstSheet="15" activeTab="1"/>
  </bookViews>
  <sheets>
    <sheet name="Intra All-I" sheetId="69" state="hidden" r:id="rId1"/>
    <sheet name="Summary-sim" sheetId="164" r:id="rId2"/>
    <sheet name="Summary-detail" sheetId="135" r:id="rId3"/>
    <sheet name="X264vsQY265_offline_superfast" sheetId="157" r:id="rId4"/>
    <sheet name="X264vsQY265_offline_veryfast" sheetId="112" r:id="rId5"/>
    <sheet name="X264vsQY265_offline_slow" sheetId="118" r:id="rId6"/>
    <sheet name="X264vsQY265_offline_placebo" sheetId="165" r:id="rId7"/>
    <sheet name="X265 ultrafast svsQY265_superfa" sheetId="158" r:id="rId8"/>
    <sheet name="X265 ultrafast vsQY265_veryfast" sheetId="150" r:id="rId9"/>
    <sheet name="X265vsQY265_offline_slow" sheetId="126" r:id="rId10"/>
    <sheet name="X265vsQY265_offline_veryslow" sheetId="153" r:id="rId11"/>
    <sheet name="VP9vsQY265_offline_superfast" sheetId="159" r:id="rId12"/>
    <sheet name="VP9vsQY265_offline_veryfast" sheetId="156" r:id="rId13"/>
    <sheet name="VP9vsQY265_offline_slow" sheetId="155" r:id="rId14"/>
    <sheet name="VP9vsQY265_offline_veryslow" sheetId="154" r:id="rId15"/>
    <sheet name="IntelvsQY265_offline_superfast" sheetId="163" r:id="rId16"/>
    <sheet name="IntelvsQY265_offline_veryfast" sheetId="162" r:id="rId17"/>
    <sheet name="IntelvsQY265_offline_slow" sheetId="161" r:id="rId18"/>
    <sheet name="IntelvsQY265_offline_veryslow" sheetId="160" r:id="rId19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B3" i="164" l="1"/>
  <c r="B11" i="164"/>
  <c r="C11" i="164"/>
  <c r="D11" i="164"/>
  <c r="E11" i="164"/>
  <c r="F11" i="164"/>
  <c r="G11" i="164"/>
  <c r="H11" i="164"/>
  <c r="I11" i="164"/>
  <c r="J11" i="164"/>
  <c r="K11" i="164"/>
  <c r="L11" i="164"/>
  <c r="M11" i="164"/>
  <c r="N11" i="164"/>
  <c r="B12" i="164"/>
  <c r="C12" i="164"/>
  <c r="D12" i="164"/>
  <c r="E12" i="164"/>
  <c r="F12" i="164"/>
  <c r="G12" i="164"/>
  <c r="H12" i="164"/>
  <c r="I12" i="164"/>
  <c r="J12" i="164"/>
  <c r="K12" i="164"/>
  <c r="L12" i="164"/>
  <c r="M12" i="164"/>
  <c r="N12" i="164"/>
  <c r="B13" i="164"/>
  <c r="C13" i="164"/>
  <c r="D13" i="164"/>
  <c r="E13" i="164"/>
  <c r="F13" i="164"/>
  <c r="G13" i="164"/>
  <c r="H13" i="164"/>
  <c r="I13" i="164"/>
  <c r="J13" i="164"/>
  <c r="K13" i="164"/>
  <c r="L13" i="164"/>
  <c r="M13" i="164"/>
  <c r="N13" i="164"/>
  <c r="B14" i="164"/>
  <c r="C14" i="164"/>
  <c r="D14" i="164"/>
  <c r="E14" i="164"/>
  <c r="F14" i="164"/>
  <c r="G14" i="164"/>
  <c r="H14" i="164"/>
  <c r="I14" i="164"/>
  <c r="J14" i="164"/>
  <c r="K14" i="164"/>
  <c r="L14" i="164"/>
  <c r="M14" i="164"/>
  <c r="N14" i="164"/>
  <c r="H246" i="150"/>
  <c r="H245" i="150"/>
  <c r="H244" i="150"/>
  <c r="H243" i="150"/>
  <c r="H242" i="150"/>
  <c r="H241" i="150"/>
  <c r="H240" i="150"/>
  <c r="H239" i="150"/>
  <c r="H238" i="150"/>
  <c r="H237" i="150"/>
  <c r="H236" i="150"/>
  <c r="H235" i="150"/>
  <c r="H234" i="150"/>
  <c r="H233" i="150"/>
  <c r="H232" i="150"/>
  <c r="H231" i="150"/>
  <c r="H230" i="150"/>
  <c r="H229" i="150"/>
  <c r="H228" i="150"/>
  <c r="H227" i="150"/>
  <c r="H226" i="150"/>
  <c r="H225" i="150"/>
  <c r="H224" i="150"/>
  <c r="H223" i="150"/>
  <c r="H222" i="150"/>
  <c r="H221" i="150"/>
  <c r="H220" i="150"/>
  <c r="H219" i="150"/>
  <c r="H218" i="150"/>
  <c r="H217" i="150"/>
  <c r="H216" i="150"/>
  <c r="H215" i="150"/>
  <c r="H214" i="150"/>
  <c r="H213" i="150"/>
  <c r="H212" i="150"/>
  <c r="H211" i="150"/>
  <c r="H210" i="150"/>
  <c r="H209" i="150"/>
  <c r="H208" i="150"/>
  <c r="H207" i="150"/>
  <c r="H206" i="150"/>
  <c r="H205" i="150"/>
  <c r="H204" i="150"/>
  <c r="H203" i="150"/>
  <c r="H202" i="150"/>
  <c r="H201" i="150"/>
  <c r="H200" i="150"/>
  <c r="H199" i="150"/>
  <c r="H198" i="150"/>
  <c r="H197" i="150"/>
  <c r="H196" i="150"/>
  <c r="H195" i="150"/>
  <c r="H194" i="150"/>
  <c r="H193" i="150"/>
  <c r="H192" i="150"/>
  <c r="H191" i="150"/>
  <c r="H190" i="150"/>
  <c r="H189" i="150"/>
  <c r="H188" i="150"/>
  <c r="H187" i="150"/>
  <c r="H186" i="150"/>
  <c r="H185" i="150"/>
  <c r="H184" i="150"/>
  <c r="H183" i="150"/>
  <c r="H182" i="150"/>
  <c r="H181" i="150"/>
  <c r="H180" i="150"/>
  <c r="H179" i="150"/>
  <c r="H178" i="150"/>
  <c r="H177" i="150"/>
  <c r="H176" i="150"/>
  <c r="H175" i="150"/>
  <c r="H174" i="150"/>
  <c r="H173" i="150"/>
  <c r="H172" i="150"/>
  <c r="H171" i="150"/>
  <c r="H170" i="150"/>
  <c r="H169" i="150"/>
  <c r="H168" i="150"/>
  <c r="H167" i="150"/>
  <c r="H166" i="150"/>
  <c r="H165" i="150"/>
  <c r="H164" i="150"/>
  <c r="H163" i="150"/>
  <c r="H162" i="150"/>
  <c r="H161" i="150"/>
  <c r="H160" i="150"/>
  <c r="H159" i="150"/>
  <c r="H158" i="150"/>
  <c r="H157" i="150"/>
  <c r="H156" i="150"/>
  <c r="H155" i="150"/>
  <c r="H154" i="150"/>
  <c r="H153" i="150"/>
  <c r="H152" i="150"/>
  <c r="H151" i="150"/>
  <c r="H150" i="150"/>
  <c r="H149" i="150"/>
  <c r="H148" i="150"/>
  <c r="H147" i="150"/>
  <c r="H146" i="150"/>
  <c r="H145" i="150"/>
  <c r="H144" i="150"/>
  <c r="H143" i="150"/>
  <c r="H142" i="150"/>
  <c r="H141" i="150"/>
  <c r="H140" i="150"/>
  <c r="H139" i="150"/>
  <c r="H138" i="150"/>
  <c r="H137" i="150"/>
  <c r="H136" i="150"/>
  <c r="H135" i="150"/>
  <c r="H134" i="150"/>
  <c r="H133" i="150"/>
  <c r="H132" i="150"/>
  <c r="H131" i="150"/>
  <c r="H124" i="150"/>
  <c r="H123" i="150"/>
  <c r="H122" i="150"/>
  <c r="H121" i="150"/>
  <c r="H120" i="150"/>
  <c r="H119" i="150"/>
  <c r="H118" i="150"/>
  <c r="H117" i="150"/>
  <c r="H116" i="150"/>
  <c r="H115" i="150"/>
  <c r="H114" i="150"/>
  <c r="H113" i="150"/>
  <c r="H112" i="150"/>
  <c r="H111" i="150"/>
  <c r="H110" i="150"/>
  <c r="H109" i="150"/>
  <c r="H108" i="150"/>
  <c r="H107" i="150"/>
  <c r="H106" i="150"/>
  <c r="H105" i="150"/>
  <c r="H104" i="150"/>
  <c r="H103" i="150"/>
  <c r="H102" i="150"/>
  <c r="H101" i="150"/>
  <c r="H100" i="150"/>
  <c r="H99" i="150"/>
  <c r="H98" i="150"/>
  <c r="H97" i="150"/>
  <c r="H96" i="150"/>
  <c r="H95" i="150"/>
  <c r="H94" i="150"/>
  <c r="H93" i="150"/>
  <c r="H92" i="150"/>
  <c r="H91" i="150"/>
  <c r="H90" i="150"/>
  <c r="H89" i="150"/>
  <c r="H88" i="150"/>
  <c r="H87" i="150"/>
  <c r="H86" i="150"/>
  <c r="H85" i="150"/>
  <c r="H84" i="150"/>
  <c r="H83" i="150"/>
  <c r="H82" i="150"/>
  <c r="H81" i="150"/>
  <c r="H80" i="150"/>
  <c r="H79" i="150"/>
  <c r="H78" i="150"/>
  <c r="H77" i="150"/>
  <c r="H76" i="150"/>
  <c r="H75" i="150"/>
  <c r="H74" i="150"/>
  <c r="H73" i="150"/>
  <c r="H72" i="150"/>
  <c r="H71" i="150"/>
  <c r="H70" i="150"/>
  <c r="H69" i="150"/>
  <c r="H68" i="150"/>
  <c r="H67" i="150"/>
  <c r="H66" i="150"/>
  <c r="H65" i="150"/>
  <c r="H64" i="150"/>
  <c r="H63" i="150"/>
  <c r="H62" i="150"/>
  <c r="H61" i="150"/>
  <c r="H60" i="150"/>
  <c r="H59" i="150"/>
  <c r="H58" i="150"/>
  <c r="H57" i="150"/>
  <c r="H56" i="150"/>
  <c r="H55" i="150"/>
  <c r="H54" i="150"/>
  <c r="H53" i="150"/>
  <c r="H52" i="150"/>
  <c r="H51" i="150"/>
  <c r="H50" i="150"/>
  <c r="H49" i="150"/>
  <c r="H48" i="150"/>
  <c r="H47" i="150"/>
  <c r="H46" i="150"/>
  <c r="H45" i="150"/>
  <c r="H44" i="150"/>
  <c r="H43" i="150"/>
  <c r="H42" i="150"/>
  <c r="H41" i="150"/>
  <c r="H40" i="150"/>
  <c r="H39" i="150"/>
  <c r="H38" i="150"/>
  <c r="H37" i="150"/>
  <c r="H36" i="150"/>
  <c r="H35" i="150"/>
  <c r="H34" i="150"/>
  <c r="H33" i="150"/>
  <c r="H32" i="150"/>
  <c r="H31" i="150"/>
  <c r="H30" i="150"/>
  <c r="H29" i="150"/>
  <c r="H28" i="150"/>
  <c r="H27" i="150"/>
  <c r="H26" i="150"/>
  <c r="H25" i="150"/>
  <c r="H24" i="150"/>
  <c r="H23" i="150"/>
  <c r="H22" i="150"/>
  <c r="H21" i="150"/>
  <c r="H20" i="150"/>
  <c r="H19" i="150"/>
  <c r="H18" i="150"/>
  <c r="H17" i="150"/>
  <c r="H16" i="150"/>
  <c r="H15" i="150"/>
  <c r="H14" i="150"/>
  <c r="H13" i="150"/>
  <c r="H12" i="150"/>
  <c r="H11" i="150"/>
  <c r="H10" i="150"/>
  <c r="H9" i="150"/>
  <c r="G57" i="135"/>
  <c r="G56" i="135"/>
  <c r="G55" i="135"/>
  <c r="G54" i="135"/>
  <c r="G53" i="135"/>
  <c r="G52" i="135"/>
  <c r="G51" i="135"/>
  <c r="P57" i="135"/>
  <c r="P56" i="135"/>
  <c r="P55" i="135"/>
  <c r="P54" i="135"/>
  <c r="P53" i="135"/>
  <c r="P52" i="135"/>
  <c r="P51" i="135"/>
  <c r="U9" i="165"/>
  <c r="U10" i="165"/>
  <c r="U11" i="165"/>
  <c r="U12" i="165"/>
  <c r="U13" i="165"/>
  <c r="U14" i="165"/>
  <c r="U15" i="165"/>
  <c r="U16" i="165"/>
  <c r="U17" i="165"/>
  <c r="U18" i="165"/>
  <c r="U19" i="165"/>
  <c r="U20" i="165"/>
  <c r="U21" i="165"/>
  <c r="U22" i="165"/>
  <c r="U23" i="165"/>
  <c r="U24" i="165"/>
  <c r="U25" i="165"/>
  <c r="U26" i="165"/>
  <c r="U27" i="165"/>
  <c r="U28" i="165"/>
  <c r="U29" i="165"/>
  <c r="U30" i="165"/>
  <c r="U31" i="165"/>
  <c r="U32" i="165"/>
  <c r="U33" i="165"/>
  <c r="U34" i="165"/>
  <c r="U35" i="165"/>
  <c r="U36" i="165"/>
  <c r="U37" i="165"/>
  <c r="U38" i="165"/>
  <c r="U39" i="165"/>
  <c r="U40" i="165"/>
  <c r="U41" i="165"/>
  <c r="U42" i="165"/>
  <c r="U43" i="165"/>
  <c r="U44" i="165"/>
  <c r="U45" i="165"/>
  <c r="U46" i="165"/>
  <c r="U47" i="165"/>
  <c r="U48" i="165"/>
  <c r="U49" i="165"/>
  <c r="U50" i="165"/>
  <c r="U51" i="165"/>
  <c r="U52" i="165"/>
  <c r="U53" i="165"/>
  <c r="U54" i="165"/>
  <c r="U55" i="165"/>
  <c r="U56" i="165"/>
  <c r="U57" i="165"/>
  <c r="U58" i="165"/>
  <c r="U59" i="165"/>
  <c r="U60" i="165"/>
  <c r="U61" i="165"/>
  <c r="U62" i="165"/>
  <c r="U63" i="165"/>
  <c r="U64" i="165"/>
  <c r="U65" i="165"/>
  <c r="U66" i="165"/>
  <c r="U67" i="165"/>
  <c r="U68" i="165"/>
  <c r="U69" i="165"/>
  <c r="U70" i="165"/>
  <c r="U71" i="165"/>
  <c r="U72" i="165"/>
  <c r="U73" i="165"/>
  <c r="U74" i="165"/>
  <c r="U75" i="165"/>
  <c r="U76" i="165"/>
  <c r="U77" i="165"/>
  <c r="U78" i="165"/>
  <c r="U79" i="165"/>
  <c r="U80" i="165"/>
  <c r="U81" i="165"/>
  <c r="U82" i="165"/>
  <c r="U83" i="165"/>
  <c r="U84" i="165"/>
  <c r="U85" i="165"/>
  <c r="U86" i="165"/>
  <c r="U87" i="165"/>
  <c r="U88" i="165"/>
  <c r="U89" i="165"/>
  <c r="U90" i="165"/>
  <c r="U91" i="165"/>
  <c r="U92" i="165"/>
  <c r="U93" i="165"/>
  <c r="U94" i="165"/>
  <c r="U95" i="165"/>
  <c r="U96" i="165"/>
  <c r="U97" i="165"/>
  <c r="U98" i="165"/>
  <c r="U99" i="165"/>
  <c r="U100" i="165"/>
  <c r="U101" i="165"/>
  <c r="U102" i="165"/>
  <c r="U103" i="165"/>
  <c r="U104" i="165"/>
  <c r="U105" i="165"/>
  <c r="U106" i="165"/>
  <c r="U107" i="165"/>
  <c r="U108" i="165"/>
  <c r="U109" i="165"/>
  <c r="U110" i="165"/>
  <c r="U111" i="165"/>
  <c r="U112" i="165"/>
  <c r="U113" i="165"/>
  <c r="U114" i="165"/>
  <c r="U115" i="165"/>
  <c r="U116" i="165"/>
  <c r="U117" i="165"/>
  <c r="U118" i="165"/>
  <c r="U119" i="165"/>
  <c r="U120" i="165"/>
  <c r="U121" i="165"/>
  <c r="U122" i="165"/>
  <c r="U123" i="165"/>
  <c r="U124" i="165"/>
  <c r="U125" i="165"/>
  <c r="H9" i="165"/>
  <c r="H10" i="165"/>
  <c r="H11" i="165"/>
  <c r="O9" i="165"/>
  <c r="H12" i="165"/>
  <c r="O10" i="165"/>
  <c r="O11" i="165"/>
  <c r="O12" i="165"/>
  <c r="H13" i="165"/>
  <c r="H14" i="165"/>
  <c r="H15" i="165"/>
  <c r="O13" i="165"/>
  <c r="H16" i="165"/>
  <c r="O14" i="165"/>
  <c r="O15" i="165"/>
  <c r="O16" i="165"/>
  <c r="H17" i="165"/>
  <c r="H18" i="165"/>
  <c r="H19" i="165"/>
  <c r="O17" i="165"/>
  <c r="H20" i="165"/>
  <c r="O18" i="165"/>
  <c r="O19" i="165"/>
  <c r="O20" i="165"/>
  <c r="H21" i="165"/>
  <c r="H22" i="165"/>
  <c r="H23" i="165"/>
  <c r="O21" i="165"/>
  <c r="H24" i="165"/>
  <c r="O22" i="165"/>
  <c r="O23" i="165"/>
  <c r="O24" i="165"/>
  <c r="H25" i="165"/>
  <c r="H26" i="165"/>
  <c r="H27" i="165"/>
  <c r="O25" i="165"/>
  <c r="H28" i="165"/>
  <c r="O26" i="165"/>
  <c r="O27" i="165"/>
  <c r="O28" i="165"/>
  <c r="H29" i="165"/>
  <c r="H30" i="165"/>
  <c r="H31" i="165"/>
  <c r="O29" i="165"/>
  <c r="H32" i="165"/>
  <c r="O30" i="165"/>
  <c r="O31" i="165"/>
  <c r="O32" i="165"/>
  <c r="H33" i="165"/>
  <c r="H34" i="165"/>
  <c r="H35" i="165"/>
  <c r="O33" i="165"/>
  <c r="H36" i="165"/>
  <c r="O34" i="165"/>
  <c r="O35" i="165"/>
  <c r="O36" i="165"/>
  <c r="H37" i="165"/>
  <c r="H38" i="165"/>
  <c r="H39" i="165"/>
  <c r="O37" i="165"/>
  <c r="H40" i="165"/>
  <c r="O38" i="165"/>
  <c r="O39" i="165"/>
  <c r="O40" i="165"/>
  <c r="H41" i="165"/>
  <c r="H42" i="165"/>
  <c r="H43" i="165"/>
  <c r="O41" i="165"/>
  <c r="H44" i="165"/>
  <c r="O42" i="165"/>
  <c r="O43" i="165"/>
  <c r="O44" i="165"/>
  <c r="H45" i="165"/>
  <c r="H46" i="165"/>
  <c r="H47" i="165"/>
  <c r="O45" i="165"/>
  <c r="H48" i="165"/>
  <c r="O46" i="165"/>
  <c r="O47" i="165"/>
  <c r="O48" i="165"/>
  <c r="H49" i="165"/>
  <c r="H50" i="165"/>
  <c r="H51" i="165"/>
  <c r="O49" i="165"/>
  <c r="H52" i="165"/>
  <c r="O50" i="165"/>
  <c r="O51" i="165"/>
  <c r="O52" i="165"/>
  <c r="H53" i="165"/>
  <c r="H54" i="165"/>
  <c r="H55" i="165"/>
  <c r="O53" i="165"/>
  <c r="H56" i="165"/>
  <c r="O54" i="165"/>
  <c r="O55" i="165"/>
  <c r="O56" i="165"/>
  <c r="H57" i="165"/>
  <c r="H58" i="165"/>
  <c r="H59" i="165"/>
  <c r="O57" i="165"/>
  <c r="H60" i="165"/>
  <c r="O58" i="165"/>
  <c r="O59" i="165"/>
  <c r="O60" i="165"/>
  <c r="H61" i="165"/>
  <c r="H62" i="165"/>
  <c r="H63" i="165"/>
  <c r="O61" i="165"/>
  <c r="H64" i="165"/>
  <c r="O62" i="165"/>
  <c r="O63" i="165"/>
  <c r="O64" i="165"/>
  <c r="H65" i="165"/>
  <c r="H66" i="165"/>
  <c r="H67" i="165"/>
  <c r="O65" i="165"/>
  <c r="H68" i="165"/>
  <c r="O66" i="165"/>
  <c r="O67" i="165"/>
  <c r="O68" i="165"/>
  <c r="H69" i="165"/>
  <c r="H70" i="165"/>
  <c r="H71" i="165"/>
  <c r="O69" i="165"/>
  <c r="H72" i="165"/>
  <c r="O70" i="165"/>
  <c r="O71" i="165"/>
  <c r="O72" i="165"/>
  <c r="H73" i="165"/>
  <c r="H74" i="165"/>
  <c r="H75" i="165"/>
  <c r="O73" i="165"/>
  <c r="H76" i="165"/>
  <c r="O74" i="165"/>
  <c r="O75" i="165"/>
  <c r="O76" i="165"/>
  <c r="H77" i="165"/>
  <c r="H78" i="165"/>
  <c r="H79" i="165"/>
  <c r="O77" i="165"/>
  <c r="H80" i="165"/>
  <c r="O78" i="165"/>
  <c r="O79" i="165"/>
  <c r="O80" i="165"/>
  <c r="H81" i="165"/>
  <c r="H82" i="165"/>
  <c r="H83" i="165"/>
  <c r="O81" i="165"/>
  <c r="H84" i="165"/>
  <c r="O82" i="165"/>
  <c r="O83" i="165"/>
  <c r="O84" i="165"/>
  <c r="H85" i="165"/>
  <c r="H86" i="165"/>
  <c r="H87" i="165"/>
  <c r="O85" i="165"/>
  <c r="H88" i="165"/>
  <c r="O86" i="165"/>
  <c r="O87" i="165"/>
  <c r="O88" i="165"/>
  <c r="H89" i="165"/>
  <c r="H90" i="165"/>
  <c r="H91" i="165"/>
  <c r="O89" i="165"/>
  <c r="H92" i="165"/>
  <c r="O90" i="165"/>
  <c r="O91" i="165"/>
  <c r="O92" i="165"/>
  <c r="H93" i="165"/>
  <c r="H94" i="165"/>
  <c r="H95" i="165"/>
  <c r="O93" i="165"/>
  <c r="H96" i="165"/>
  <c r="O94" i="165"/>
  <c r="O95" i="165"/>
  <c r="O96" i="165"/>
  <c r="H97" i="165"/>
  <c r="H98" i="165"/>
  <c r="H99" i="165"/>
  <c r="O97" i="165"/>
  <c r="H100" i="165"/>
  <c r="O98" i="165"/>
  <c r="O99" i="165"/>
  <c r="O100" i="165"/>
  <c r="H101" i="165"/>
  <c r="H102" i="165"/>
  <c r="H103" i="165"/>
  <c r="O101" i="165"/>
  <c r="H104" i="165"/>
  <c r="O102" i="165"/>
  <c r="O103" i="165"/>
  <c r="O104" i="165"/>
  <c r="H105" i="165"/>
  <c r="H106" i="165"/>
  <c r="H107" i="165"/>
  <c r="O105" i="165"/>
  <c r="H108" i="165"/>
  <c r="O106" i="165"/>
  <c r="O107" i="165"/>
  <c r="O108" i="165"/>
  <c r="H109" i="165"/>
  <c r="H110" i="165"/>
  <c r="H111" i="165"/>
  <c r="O109" i="165"/>
  <c r="H112" i="165"/>
  <c r="O110" i="165"/>
  <c r="O111" i="165"/>
  <c r="O112" i="165"/>
  <c r="H113" i="165"/>
  <c r="H114" i="165"/>
  <c r="H115" i="165"/>
  <c r="O113" i="165"/>
  <c r="H116" i="165"/>
  <c r="O114" i="165"/>
  <c r="O115" i="165"/>
  <c r="O116" i="165"/>
  <c r="H117" i="165"/>
  <c r="H118" i="165"/>
  <c r="H119" i="165"/>
  <c r="O117" i="165"/>
  <c r="H120" i="165"/>
  <c r="O118" i="165"/>
  <c r="O119" i="165"/>
  <c r="O120" i="165"/>
  <c r="H121" i="165"/>
  <c r="H122" i="165"/>
  <c r="H123" i="165"/>
  <c r="O121" i="165"/>
  <c r="H124" i="165"/>
  <c r="O122" i="165"/>
  <c r="O123" i="165"/>
  <c r="O124" i="165"/>
  <c r="U9" i="163"/>
  <c r="U10" i="163"/>
  <c r="U11" i="163"/>
  <c r="U12" i="163"/>
  <c r="AH3" i="135"/>
  <c r="U13" i="163"/>
  <c r="U14" i="163"/>
  <c r="U15" i="163"/>
  <c r="U16" i="163"/>
  <c r="U17" i="163"/>
  <c r="U18" i="163"/>
  <c r="U19" i="163"/>
  <c r="U20" i="163"/>
  <c r="U21" i="163"/>
  <c r="U22" i="163"/>
  <c r="U23" i="163"/>
  <c r="U24" i="163"/>
  <c r="U25" i="163"/>
  <c r="U26" i="163"/>
  <c r="U27" i="163"/>
  <c r="U28" i="163"/>
  <c r="U29" i="163"/>
  <c r="U30" i="163"/>
  <c r="U31" i="163"/>
  <c r="U32" i="163"/>
  <c r="U33" i="163"/>
  <c r="U34" i="163"/>
  <c r="U35" i="163"/>
  <c r="U36" i="163"/>
  <c r="U37" i="163"/>
  <c r="U38" i="163"/>
  <c r="U39" i="163"/>
  <c r="U40" i="163"/>
  <c r="U41" i="163"/>
  <c r="U42" i="163"/>
  <c r="U43" i="163"/>
  <c r="U44" i="163"/>
  <c r="U45" i="163"/>
  <c r="U46" i="163"/>
  <c r="U47" i="163"/>
  <c r="U48" i="163"/>
  <c r="U49" i="163"/>
  <c r="U50" i="163"/>
  <c r="U51" i="163"/>
  <c r="U52" i="163"/>
  <c r="U53" i="163"/>
  <c r="U54" i="163"/>
  <c r="U55" i="163"/>
  <c r="U56" i="163"/>
  <c r="U57" i="163"/>
  <c r="U58" i="163"/>
  <c r="U59" i="163"/>
  <c r="U60" i="163"/>
  <c r="U61" i="163"/>
  <c r="U62" i="163"/>
  <c r="U63" i="163"/>
  <c r="U64" i="163"/>
  <c r="U65" i="163"/>
  <c r="U66" i="163"/>
  <c r="U67" i="163"/>
  <c r="U68" i="163"/>
  <c r="U69" i="163"/>
  <c r="U70" i="163"/>
  <c r="U71" i="163"/>
  <c r="U72" i="163"/>
  <c r="AH7" i="135"/>
  <c r="U73" i="163"/>
  <c r="U74" i="163"/>
  <c r="U75" i="163"/>
  <c r="U76" i="163"/>
  <c r="U77" i="163"/>
  <c r="U78" i="163"/>
  <c r="U79" i="163"/>
  <c r="U80" i="163"/>
  <c r="U81" i="163"/>
  <c r="U82" i="163"/>
  <c r="U83" i="163"/>
  <c r="U84" i="163"/>
  <c r="U85" i="163"/>
  <c r="U86" i="163"/>
  <c r="U87" i="163"/>
  <c r="U88" i="163"/>
  <c r="U89" i="163"/>
  <c r="U90" i="163"/>
  <c r="U91" i="163"/>
  <c r="U92" i="163"/>
  <c r="U93" i="163"/>
  <c r="U94" i="163"/>
  <c r="U95" i="163"/>
  <c r="U96" i="163"/>
  <c r="U97" i="163"/>
  <c r="U98" i="163"/>
  <c r="U99" i="163"/>
  <c r="U100" i="163"/>
  <c r="U101" i="163"/>
  <c r="U102" i="163"/>
  <c r="U103" i="163"/>
  <c r="U104" i="163"/>
  <c r="U105" i="163"/>
  <c r="U106" i="163"/>
  <c r="U107" i="163"/>
  <c r="U108" i="163"/>
  <c r="U109" i="163"/>
  <c r="U110" i="163"/>
  <c r="U111" i="163"/>
  <c r="U112" i="163"/>
  <c r="U113" i="163"/>
  <c r="U114" i="163"/>
  <c r="U115" i="163"/>
  <c r="U116" i="163"/>
  <c r="U117" i="163"/>
  <c r="U118" i="163"/>
  <c r="U119" i="163"/>
  <c r="U120" i="163"/>
  <c r="U121" i="163"/>
  <c r="U122" i="163"/>
  <c r="U123" i="163"/>
  <c r="U124" i="163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O42" i="160"/>
  <c r="O43" i="160"/>
  <c r="O44" i="160"/>
  <c r="O45" i="160"/>
  <c r="O46" i="160"/>
  <c r="O47" i="160"/>
  <c r="O48" i="160"/>
  <c r="O49" i="160"/>
  <c r="O50" i="160"/>
  <c r="O51" i="160"/>
  <c r="O52" i="160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O42" i="161"/>
  <c r="O43" i="161"/>
  <c r="O44" i="161"/>
  <c r="O45" i="161"/>
  <c r="O46" i="161"/>
  <c r="O47" i="161"/>
  <c r="O48" i="161"/>
  <c r="O49" i="161"/>
  <c r="O50" i="161"/>
  <c r="O51" i="161"/>
  <c r="O52" i="161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9" i="162"/>
  <c r="O10" i="162"/>
  <c r="O11" i="162"/>
  <c r="O12" i="162"/>
  <c r="O13" i="162"/>
  <c r="O14" i="162"/>
  <c r="O15" i="162"/>
  <c r="O16" i="162"/>
  <c r="O17" i="162"/>
  <c r="O18" i="162"/>
  <c r="O19" i="162"/>
  <c r="O20" i="162"/>
  <c r="O21" i="162"/>
  <c r="O22" i="162"/>
  <c r="O23" i="162"/>
  <c r="O24" i="162"/>
  <c r="O25" i="162"/>
  <c r="O26" i="162"/>
  <c r="O27" i="162"/>
  <c r="O28" i="162"/>
  <c r="O29" i="162"/>
  <c r="O30" i="162"/>
  <c r="O31" i="162"/>
  <c r="O32" i="162"/>
  <c r="O33" i="162"/>
  <c r="O34" i="162"/>
  <c r="O35" i="162"/>
  <c r="O36" i="162"/>
  <c r="O37" i="162"/>
  <c r="O38" i="162"/>
  <c r="O39" i="162"/>
  <c r="O40" i="162"/>
  <c r="O41" i="162"/>
  <c r="O42" i="162"/>
  <c r="O43" i="162"/>
  <c r="O44" i="162"/>
  <c r="O45" i="162"/>
  <c r="O46" i="162"/>
  <c r="O47" i="162"/>
  <c r="O48" i="162"/>
  <c r="O49" i="162"/>
  <c r="O50" i="162"/>
  <c r="O51" i="162"/>
  <c r="O52" i="162"/>
  <c r="O53" i="162"/>
  <c r="O54" i="162"/>
  <c r="O55" i="162"/>
  <c r="O56" i="162"/>
  <c r="O57" i="162"/>
  <c r="O58" i="162"/>
  <c r="O59" i="162"/>
  <c r="O60" i="162"/>
  <c r="O61" i="162"/>
  <c r="O62" i="162"/>
  <c r="O63" i="162"/>
  <c r="O64" i="162"/>
  <c r="O65" i="162"/>
  <c r="O66" i="162"/>
  <c r="O67" i="162"/>
  <c r="O68" i="162"/>
  <c r="O69" i="162"/>
  <c r="O70" i="162"/>
  <c r="O71" i="162"/>
  <c r="O72" i="162"/>
  <c r="O73" i="162"/>
  <c r="O74" i="162"/>
  <c r="O75" i="162"/>
  <c r="O76" i="162"/>
  <c r="O77" i="162"/>
  <c r="O78" i="162"/>
  <c r="O79" i="162"/>
  <c r="O80" i="162"/>
  <c r="O81" i="162"/>
  <c r="O82" i="162"/>
  <c r="O83" i="162"/>
  <c r="O84" i="162"/>
  <c r="O85" i="162"/>
  <c r="O86" i="162"/>
  <c r="O87" i="162"/>
  <c r="O88" i="162"/>
  <c r="O89" i="162"/>
  <c r="O90" i="162"/>
  <c r="O91" i="162"/>
  <c r="O92" i="162"/>
  <c r="O93" i="162"/>
  <c r="O94" i="162"/>
  <c r="O95" i="162"/>
  <c r="O96" i="162"/>
  <c r="O97" i="162"/>
  <c r="O98" i="162"/>
  <c r="O99" i="162"/>
  <c r="O100" i="162"/>
  <c r="O101" i="162"/>
  <c r="O102" i="162"/>
  <c r="O103" i="162"/>
  <c r="O104" i="162"/>
  <c r="O105" i="162"/>
  <c r="O106" i="162"/>
  <c r="O107" i="162"/>
  <c r="O108" i="162"/>
  <c r="O109" i="162"/>
  <c r="O110" i="162"/>
  <c r="O111" i="162"/>
  <c r="O112" i="162"/>
  <c r="O113" i="162"/>
  <c r="O114" i="162"/>
  <c r="O115" i="162"/>
  <c r="O116" i="162"/>
  <c r="O117" i="162"/>
  <c r="O118" i="162"/>
  <c r="O119" i="162"/>
  <c r="O120" i="162"/>
  <c r="O121" i="162"/>
  <c r="O122" i="162"/>
  <c r="O123" i="162"/>
  <c r="O124" i="162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O42" i="163"/>
  <c r="O43" i="163"/>
  <c r="O44" i="163"/>
  <c r="O45" i="163"/>
  <c r="O46" i="163"/>
  <c r="O47" i="163"/>
  <c r="O48" i="163"/>
  <c r="O49" i="163"/>
  <c r="O50" i="163"/>
  <c r="O51" i="163"/>
  <c r="O52" i="163"/>
  <c r="O53" i="163"/>
  <c r="O54" i="163"/>
  <c r="O55" i="163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U131" i="159"/>
  <c r="U132" i="159"/>
  <c r="U133" i="159"/>
  <c r="U134" i="159"/>
  <c r="U135" i="159"/>
  <c r="U136" i="159"/>
  <c r="U137" i="159"/>
  <c r="U138" i="159"/>
  <c r="U139" i="159"/>
  <c r="U140" i="159"/>
  <c r="U141" i="159"/>
  <c r="U142" i="159"/>
  <c r="U143" i="159"/>
  <c r="U144" i="159"/>
  <c r="U145" i="159"/>
  <c r="U146" i="159"/>
  <c r="U147" i="159"/>
  <c r="U148" i="159"/>
  <c r="U149" i="159"/>
  <c r="U150" i="159"/>
  <c r="U151" i="159"/>
  <c r="U152" i="159"/>
  <c r="U153" i="159"/>
  <c r="U154" i="159"/>
  <c r="U155" i="159"/>
  <c r="U156" i="159"/>
  <c r="U157" i="159"/>
  <c r="U158" i="159"/>
  <c r="U159" i="159"/>
  <c r="U160" i="159"/>
  <c r="U161" i="159"/>
  <c r="U162" i="159"/>
  <c r="U163" i="159"/>
  <c r="U164" i="159"/>
  <c r="U165" i="159"/>
  <c r="U166" i="159"/>
  <c r="U167" i="159"/>
  <c r="U168" i="159"/>
  <c r="U169" i="159"/>
  <c r="U170" i="159"/>
  <c r="U171" i="159"/>
  <c r="U172" i="159"/>
  <c r="U173" i="159"/>
  <c r="U174" i="159"/>
  <c r="U175" i="159"/>
  <c r="U176" i="159"/>
  <c r="U177" i="159"/>
  <c r="U178" i="159"/>
  <c r="U179" i="159"/>
  <c r="U180" i="159"/>
  <c r="U181" i="159"/>
  <c r="U182" i="159"/>
  <c r="U183" i="159"/>
  <c r="U184" i="159"/>
  <c r="U185" i="159"/>
  <c r="U186" i="159"/>
  <c r="U187" i="159"/>
  <c r="U188" i="159"/>
  <c r="U189" i="159"/>
  <c r="U190" i="159"/>
  <c r="U191" i="159"/>
  <c r="U192" i="159"/>
  <c r="U193" i="159"/>
  <c r="U194" i="159"/>
  <c r="U195" i="159"/>
  <c r="U196" i="159"/>
  <c r="U197" i="159"/>
  <c r="U198" i="159"/>
  <c r="U199" i="159"/>
  <c r="U200" i="159"/>
  <c r="U201" i="159"/>
  <c r="U202" i="159"/>
  <c r="U203" i="159"/>
  <c r="U204" i="159"/>
  <c r="U205" i="159"/>
  <c r="U206" i="159"/>
  <c r="U207" i="159"/>
  <c r="U208" i="159"/>
  <c r="U209" i="159"/>
  <c r="U210" i="159"/>
  <c r="U211" i="159"/>
  <c r="U212" i="159"/>
  <c r="U213" i="159"/>
  <c r="U214" i="159"/>
  <c r="U215" i="159"/>
  <c r="U216" i="159"/>
  <c r="U217" i="159"/>
  <c r="U218" i="159"/>
  <c r="U219" i="159"/>
  <c r="U220" i="159"/>
  <c r="U221" i="159"/>
  <c r="U222" i="159"/>
  <c r="U223" i="159"/>
  <c r="U224" i="159"/>
  <c r="U225" i="159"/>
  <c r="U226" i="159"/>
  <c r="U227" i="159"/>
  <c r="U228" i="159"/>
  <c r="U229" i="159"/>
  <c r="U230" i="159"/>
  <c r="U231" i="159"/>
  <c r="U232" i="159"/>
  <c r="U233" i="159"/>
  <c r="U234" i="159"/>
  <c r="U235" i="159"/>
  <c r="U236" i="159"/>
  <c r="U237" i="159"/>
  <c r="U238" i="159"/>
  <c r="U239" i="159"/>
  <c r="U240" i="159"/>
  <c r="U241" i="159"/>
  <c r="U242" i="159"/>
  <c r="U243" i="159"/>
  <c r="U244" i="159"/>
  <c r="U245" i="159"/>
  <c r="U246" i="159"/>
  <c r="U247" i="159"/>
  <c r="Y16" i="135"/>
  <c r="G3" i="16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31" i="155"/>
  <c r="O132" i="155"/>
  <c r="O133" i="155"/>
  <c r="O134" i="155"/>
  <c r="O135" i="155"/>
  <c r="O136" i="155"/>
  <c r="O137" i="155"/>
  <c r="O138" i="155"/>
  <c r="O139" i="155"/>
  <c r="O140" i="155"/>
  <c r="O141" i="155"/>
  <c r="O142" i="155"/>
  <c r="O143" i="155"/>
  <c r="O144" i="155"/>
  <c r="O145" i="155"/>
  <c r="O146" i="155"/>
  <c r="O147" i="155"/>
  <c r="O148" i="155"/>
  <c r="O149" i="155"/>
  <c r="O150" i="155"/>
  <c r="O151" i="155"/>
  <c r="O152" i="155"/>
  <c r="O153" i="155"/>
  <c r="O154" i="155"/>
  <c r="O155" i="155"/>
  <c r="O156" i="155"/>
  <c r="O157" i="155"/>
  <c r="O158" i="155"/>
  <c r="O159" i="155"/>
  <c r="O160" i="155"/>
  <c r="O161" i="155"/>
  <c r="O162" i="155"/>
  <c r="O163" i="155"/>
  <c r="O164" i="155"/>
  <c r="O165" i="155"/>
  <c r="O166" i="155"/>
  <c r="O167" i="155"/>
  <c r="O168" i="155"/>
  <c r="O169" i="155"/>
  <c r="O170" i="155"/>
  <c r="O171" i="155"/>
  <c r="O172" i="155"/>
  <c r="O173" i="155"/>
  <c r="O174" i="155"/>
  <c r="O175" i="155"/>
  <c r="O176" i="155"/>
  <c r="O177" i="155"/>
  <c r="O178" i="155"/>
  <c r="O179" i="155"/>
  <c r="O180" i="155"/>
  <c r="O181" i="155"/>
  <c r="O182" i="155"/>
  <c r="O183" i="155"/>
  <c r="O184" i="155"/>
  <c r="O185" i="155"/>
  <c r="O186" i="155"/>
  <c r="O187" i="155"/>
  <c r="O188" i="155"/>
  <c r="O189" i="155"/>
  <c r="O190" i="155"/>
  <c r="O191" i="155"/>
  <c r="O192" i="155"/>
  <c r="O193" i="155"/>
  <c r="O194" i="155"/>
  <c r="O195" i="155"/>
  <c r="O196" i="155"/>
  <c r="O197" i="155"/>
  <c r="O198" i="155"/>
  <c r="O199" i="155"/>
  <c r="O200" i="155"/>
  <c r="O201" i="155"/>
  <c r="O202" i="155"/>
  <c r="O203" i="155"/>
  <c r="O204" i="155"/>
  <c r="O205" i="155"/>
  <c r="O206" i="155"/>
  <c r="O207" i="155"/>
  <c r="O208" i="155"/>
  <c r="O209" i="155"/>
  <c r="O210" i="155"/>
  <c r="O211" i="155"/>
  <c r="O212" i="155"/>
  <c r="O213" i="155"/>
  <c r="O214" i="155"/>
  <c r="O215" i="155"/>
  <c r="O216" i="155"/>
  <c r="O217" i="155"/>
  <c r="O218" i="155"/>
  <c r="O219" i="155"/>
  <c r="O220" i="155"/>
  <c r="O221" i="155"/>
  <c r="O222" i="155"/>
  <c r="O223" i="155"/>
  <c r="O224" i="155"/>
  <c r="O225" i="155"/>
  <c r="O226" i="155"/>
  <c r="O227" i="155"/>
  <c r="O228" i="155"/>
  <c r="O229" i="155"/>
  <c r="O230" i="155"/>
  <c r="O231" i="155"/>
  <c r="O232" i="155"/>
  <c r="O233" i="155"/>
  <c r="O234" i="155"/>
  <c r="O235" i="155"/>
  <c r="O236" i="155"/>
  <c r="O237" i="155"/>
  <c r="O238" i="155"/>
  <c r="O239" i="155"/>
  <c r="O240" i="155"/>
  <c r="O241" i="155"/>
  <c r="O242" i="155"/>
  <c r="O243" i="155"/>
  <c r="O244" i="155"/>
  <c r="O245" i="155"/>
  <c r="O246" i="155"/>
  <c r="O131" i="156"/>
  <c r="O132" i="156"/>
  <c r="O133" i="156"/>
  <c r="O134" i="156"/>
  <c r="O135" i="156"/>
  <c r="O136" i="156"/>
  <c r="O137" i="156"/>
  <c r="O138" i="156"/>
  <c r="O139" i="156"/>
  <c r="O140" i="156"/>
  <c r="O141" i="156"/>
  <c r="O142" i="156"/>
  <c r="O143" i="156"/>
  <c r="O144" i="156"/>
  <c r="O145" i="156"/>
  <c r="O146" i="156"/>
  <c r="O147" i="156"/>
  <c r="O148" i="156"/>
  <c r="O149" i="156"/>
  <c r="O150" i="156"/>
  <c r="O151" i="156"/>
  <c r="O152" i="156"/>
  <c r="O153" i="156"/>
  <c r="O154" i="156"/>
  <c r="O155" i="156"/>
  <c r="O156" i="156"/>
  <c r="O157" i="156"/>
  <c r="O158" i="156"/>
  <c r="O159" i="156"/>
  <c r="O160" i="156"/>
  <c r="O161" i="156"/>
  <c r="O162" i="156"/>
  <c r="O163" i="156"/>
  <c r="O164" i="156"/>
  <c r="O165" i="156"/>
  <c r="O166" i="156"/>
  <c r="O167" i="156"/>
  <c r="O168" i="156"/>
  <c r="O169" i="156"/>
  <c r="O170" i="156"/>
  <c r="O171" i="156"/>
  <c r="O172" i="156"/>
  <c r="O173" i="156"/>
  <c r="O174" i="156"/>
  <c r="O175" i="156"/>
  <c r="O176" i="156"/>
  <c r="O177" i="156"/>
  <c r="O178" i="156"/>
  <c r="O179" i="156"/>
  <c r="O180" i="156"/>
  <c r="O181" i="156"/>
  <c r="O182" i="156"/>
  <c r="O183" i="156"/>
  <c r="O184" i="156"/>
  <c r="O185" i="156"/>
  <c r="O186" i="156"/>
  <c r="O187" i="156"/>
  <c r="O188" i="156"/>
  <c r="O189" i="156"/>
  <c r="O190" i="156"/>
  <c r="O191" i="156"/>
  <c r="O192" i="156"/>
  <c r="O193" i="156"/>
  <c r="O194" i="156"/>
  <c r="O195" i="156"/>
  <c r="O196" i="156"/>
  <c r="O197" i="156"/>
  <c r="O198" i="156"/>
  <c r="O199" i="156"/>
  <c r="O200" i="156"/>
  <c r="O201" i="156"/>
  <c r="O202" i="156"/>
  <c r="O203" i="156"/>
  <c r="O204" i="156"/>
  <c r="O205" i="156"/>
  <c r="O206" i="156"/>
  <c r="O207" i="156"/>
  <c r="O208" i="156"/>
  <c r="O209" i="156"/>
  <c r="O210" i="156"/>
  <c r="O211" i="156"/>
  <c r="O212" i="156"/>
  <c r="O213" i="156"/>
  <c r="O214" i="156"/>
  <c r="O215" i="156"/>
  <c r="O216" i="156"/>
  <c r="O217" i="156"/>
  <c r="O218" i="156"/>
  <c r="O219" i="156"/>
  <c r="O220" i="156"/>
  <c r="O221" i="156"/>
  <c r="O222" i="156"/>
  <c r="O223" i="156"/>
  <c r="O224" i="156"/>
  <c r="O225" i="156"/>
  <c r="O226" i="156"/>
  <c r="O227" i="156"/>
  <c r="O228" i="156"/>
  <c r="O229" i="156"/>
  <c r="O230" i="156"/>
  <c r="O231" i="156"/>
  <c r="O232" i="156"/>
  <c r="O233" i="156"/>
  <c r="O234" i="156"/>
  <c r="O235" i="156"/>
  <c r="O236" i="156"/>
  <c r="O237" i="156"/>
  <c r="O238" i="156"/>
  <c r="O239" i="156"/>
  <c r="O240" i="156"/>
  <c r="O241" i="156"/>
  <c r="O242" i="156"/>
  <c r="O243" i="156"/>
  <c r="O244" i="156"/>
  <c r="O245" i="156"/>
  <c r="O246" i="156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O215" i="159"/>
  <c r="O216" i="159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9" i="153"/>
  <c r="O10" i="153"/>
  <c r="O11" i="153"/>
  <c r="O12" i="153"/>
  <c r="O13" i="153"/>
  <c r="O14" i="153"/>
  <c r="O15" i="153"/>
  <c r="O16" i="153"/>
  <c r="O17" i="153"/>
  <c r="O18" i="153"/>
  <c r="O19" i="153"/>
  <c r="O20" i="153"/>
  <c r="O21" i="153"/>
  <c r="O22" i="153"/>
  <c r="O23" i="153"/>
  <c r="O24" i="153"/>
  <c r="O25" i="153"/>
  <c r="O26" i="153"/>
  <c r="O27" i="153"/>
  <c r="O28" i="153"/>
  <c r="O29" i="153"/>
  <c r="O30" i="153"/>
  <c r="O31" i="153"/>
  <c r="O32" i="153"/>
  <c r="O33" i="153"/>
  <c r="O34" i="153"/>
  <c r="O35" i="153"/>
  <c r="O36" i="153"/>
  <c r="O37" i="153"/>
  <c r="O38" i="153"/>
  <c r="O39" i="153"/>
  <c r="O40" i="153"/>
  <c r="O41" i="153"/>
  <c r="O42" i="153"/>
  <c r="O43" i="153"/>
  <c r="O44" i="153"/>
  <c r="O45" i="153"/>
  <c r="O46" i="153"/>
  <c r="O47" i="153"/>
  <c r="O48" i="153"/>
  <c r="O49" i="153"/>
  <c r="O50" i="153"/>
  <c r="O51" i="153"/>
  <c r="O52" i="153"/>
  <c r="O53" i="153"/>
  <c r="O54" i="153"/>
  <c r="O55" i="153"/>
  <c r="O56" i="153"/>
  <c r="O57" i="153"/>
  <c r="O58" i="153"/>
  <c r="O59" i="153"/>
  <c r="O60" i="153"/>
  <c r="O61" i="153"/>
  <c r="O62" i="153"/>
  <c r="O63" i="153"/>
  <c r="O64" i="153"/>
  <c r="O65" i="153"/>
  <c r="O66" i="153"/>
  <c r="O67" i="153"/>
  <c r="O68" i="153"/>
  <c r="O69" i="153"/>
  <c r="O70" i="153"/>
  <c r="O71" i="153"/>
  <c r="O72" i="153"/>
  <c r="O73" i="153"/>
  <c r="O74" i="153"/>
  <c r="O75" i="153"/>
  <c r="O76" i="153"/>
  <c r="O77" i="153"/>
  <c r="O78" i="153"/>
  <c r="O79" i="153"/>
  <c r="O80" i="153"/>
  <c r="O81" i="153"/>
  <c r="O82" i="153"/>
  <c r="O83" i="153"/>
  <c r="O84" i="153"/>
  <c r="O85" i="153"/>
  <c r="O86" i="153"/>
  <c r="O87" i="153"/>
  <c r="O88" i="153"/>
  <c r="O89" i="153"/>
  <c r="O90" i="153"/>
  <c r="O91" i="153"/>
  <c r="O92" i="153"/>
  <c r="O93" i="153"/>
  <c r="O94" i="153"/>
  <c r="O95" i="153"/>
  <c r="O96" i="153"/>
  <c r="O97" i="153"/>
  <c r="O98" i="153"/>
  <c r="O99" i="153"/>
  <c r="O100" i="153"/>
  <c r="O101" i="153"/>
  <c r="O102" i="153"/>
  <c r="O103" i="153"/>
  <c r="O104" i="153"/>
  <c r="O105" i="153"/>
  <c r="O106" i="153"/>
  <c r="O107" i="153"/>
  <c r="O108" i="153"/>
  <c r="O109" i="153"/>
  <c r="O110" i="153"/>
  <c r="O111" i="153"/>
  <c r="O112" i="153"/>
  <c r="O113" i="153"/>
  <c r="O114" i="153"/>
  <c r="O115" i="153"/>
  <c r="O116" i="153"/>
  <c r="O117" i="153"/>
  <c r="O118" i="153"/>
  <c r="O119" i="153"/>
  <c r="O120" i="153"/>
  <c r="O121" i="153"/>
  <c r="O122" i="153"/>
  <c r="O123" i="153"/>
  <c r="O124" i="153"/>
  <c r="O131" i="126"/>
  <c r="O132" i="126"/>
  <c r="O133" i="126"/>
  <c r="O134" i="126"/>
  <c r="O135" i="126"/>
  <c r="O136" i="126"/>
  <c r="O137" i="126"/>
  <c r="O138" i="126"/>
  <c r="O139" i="126"/>
  <c r="O140" i="126"/>
  <c r="O141" i="126"/>
  <c r="O142" i="126"/>
  <c r="O143" i="126"/>
  <c r="O144" i="126"/>
  <c r="O145" i="126"/>
  <c r="O146" i="126"/>
  <c r="O147" i="126"/>
  <c r="O148" i="126"/>
  <c r="O149" i="126"/>
  <c r="O150" i="126"/>
  <c r="O151" i="126"/>
  <c r="O152" i="126"/>
  <c r="O153" i="126"/>
  <c r="O154" i="126"/>
  <c r="O155" i="126"/>
  <c r="O156" i="126"/>
  <c r="O157" i="126"/>
  <c r="O158" i="126"/>
  <c r="O159" i="126"/>
  <c r="O160" i="126"/>
  <c r="O161" i="126"/>
  <c r="O162" i="126"/>
  <c r="O163" i="126"/>
  <c r="O164" i="126"/>
  <c r="O165" i="126"/>
  <c r="O166" i="126"/>
  <c r="O167" i="126"/>
  <c r="O168" i="126"/>
  <c r="O169" i="126"/>
  <c r="O170" i="126"/>
  <c r="O171" i="126"/>
  <c r="O172" i="126"/>
  <c r="O173" i="126"/>
  <c r="O174" i="126"/>
  <c r="O175" i="126"/>
  <c r="O176" i="126"/>
  <c r="O177" i="126"/>
  <c r="O178" i="126"/>
  <c r="O179" i="126"/>
  <c r="O180" i="126"/>
  <c r="O181" i="126"/>
  <c r="O182" i="126"/>
  <c r="O183" i="126"/>
  <c r="O184" i="126"/>
  <c r="O185" i="126"/>
  <c r="O186" i="126"/>
  <c r="O187" i="126"/>
  <c r="O188" i="126"/>
  <c r="O189" i="126"/>
  <c r="O190" i="126"/>
  <c r="O191" i="126"/>
  <c r="O192" i="126"/>
  <c r="O193" i="126"/>
  <c r="O194" i="126"/>
  <c r="O195" i="126"/>
  <c r="O196" i="126"/>
  <c r="O197" i="126"/>
  <c r="O198" i="126"/>
  <c r="O199" i="126"/>
  <c r="O200" i="126"/>
  <c r="O201" i="126"/>
  <c r="O202" i="126"/>
  <c r="O203" i="126"/>
  <c r="O204" i="126"/>
  <c r="O205" i="126"/>
  <c r="O206" i="126"/>
  <c r="O207" i="126"/>
  <c r="O208" i="126"/>
  <c r="O209" i="126"/>
  <c r="O210" i="126"/>
  <c r="O211" i="126"/>
  <c r="O212" i="126"/>
  <c r="O213" i="126"/>
  <c r="O214" i="126"/>
  <c r="O215" i="126"/>
  <c r="O216" i="126"/>
  <c r="O217" i="126"/>
  <c r="O218" i="126"/>
  <c r="O219" i="126"/>
  <c r="O220" i="126"/>
  <c r="O221" i="126"/>
  <c r="O222" i="126"/>
  <c r="O223" i="126"/>
  <c r="O224" i="126"/>
  <c r="O225" i="126"/>
  <c r="O226" i="126"/>
  <c r="O227" i="126"/>
  <c r="O228" i="126"/>
  <c r="O229" i="126"/>
  <c r="O230" i="126"/>
  <c r="O231" i="126"/>
  <c r="O232" i="126"/>
  <c r="O233" i="126"/>
  <c r="O234" i="126"/>
  <c r="O235" i="126"/>
  <c r="O236" i="126"/>
  <c r="O237" i="126"/>
  <c r="O238" i="126"/>
  <c r="O239" i="126"/>
  <c r="O240" i="126"/>
  <c r="O241" i="126"/>
  <c r="O242" i="126"/>
  <c r="O243" i="126"/>
  <c r="O244" i="126"/>
  <c r="O245" i="126"/>
  <c r="O246" i="126"/>
  <c r="O131" i="150"/>
  <c r="O132" i="150"/>
  <c r="O133" i="150"/>
  <c r="O134" i="150"/>
  <c r="O135" i="150"/>
  <c r="O136" i="150"/>
  <c r="O137" i="150"/>
  <c r="O138" i="150"/>
  <c r="O139" i="150"/>
  <c r="O140" i="150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131" i="118"/>
  <c r="O132" i="118"/>
  <c r="O133" i="118"/>
  <c r="O134" i="118"/>
  <c r="O135" i="118"/>
  <c r="O136" i="118"/>
  <c r="O137" i="118"/>
  <c r="O138" i="118"/>
  <c r="O139" i="118"/>
  <c r="O140" i="118"/>
  <c r="O141" i="118"/>
  <c r="O142" i="118"/>
  <c r="O143" i="118"/>
  <c r="O144" i="118"/>
  <c r="O145" i="118"/>
  <c r="O146" i="118"/>
  <c r="O147" i="118"/>
  <c r="O148" i="118"/>
  <c r="O149" i="118"/>
  <c r="O150" i="118"/>
  <c r="O151" i="118"/>
  <c r="O152" i="118"/>
  <c r="O153" i="118"/>
  <c r="O154" i="118"/>
  <c r="O155" i="118"/>
  <c r="O156" i="118"/>
  <c r="O157" i="118"/>
  <c r="O158" i="118"/>
  <c r="O159" i="118"/>
  <c r="O160" i="118"/>
  <c r="O161" i="118"/>
  <c r="O162" i="118"/>
  <c r="O163" i="118"/>
  <c r="O164" i="118"/>
  <c r="O165" i="118"/>
  <c r="O166" i="118"/>
  <c r="O167" i="118"/>
  <c r="O168" i="118"/>
  <c r="O169" i="118"/>
  <c r="O170" i="118"/>
  <c r="O171" i="118"/>
  <c r="O172" i="118"/>
  <c r="O173" i="118"/>
  <c r="O174" i="118"/>
  <c r="O175" i="118"/>
  <c r="O176" i="118"/>
  <c r="O177" i="118"/>
  <c r="O178" i="118"/>
  <c r="O179" i="118"/>
  <c r="O180" i="118"/>
  <c r="O181" i="118"/>
  <c r="O182" i="118"/>
  <c r="O183" i="118"/>
  <c r="O184" i="118"/>
  <c r="O185" i="118"/>
  <c r="O186" i="118"/>
  <c r="O187" i="118"/>
  <c r="O188" i="118"/>
  <c r="O189" i="118"/>
  <c r="O190" i="118"/>
  <c r="O191" i="118"/>
  <c r="O192" i="118"/>
  <c r="O193" i="118"/>
  <c r="O194" i="118"/>
  <c r="O195" i="118"/>
  <c r="O196" i="118"/>
  <c r="O197" i="118"/>
  <c r="O198" i="118"/>
  <c r="O199" i="118"/>
  <c r="O200" i="118"/>
  <c r="O201" i="118"/>
  <c r="O202" i="118"/>
  <c r="O203" i="118"/>
  <c r="O204" i="118"/>
  <c r="O205" i="118"/>
  <c r="O206" i="118"/>
  <c r="O207" i="118"/>
  <c r="O208" i="118"/>
  <c r="O209" i="118"/>
  <c r="O210" i="118"/>
  <c r="O211" i="118"/>
  <c r="O212" i="118"/>
  <c r="O213" i="118"/>
  <c r="O214" i="118"/>
  <c r="O215" i="118"/>
  <c r="O216" i="118"/>
  <c r="O217" i="118"/>
  <c r="O218" i="118"/>
  <c r="O219" i="118"/>
  <c r="O220" i="118"/>
  <c r="O221" i="118"/>
  <c r="O222" i="118"/>
  <c r="O223" i="118"/>
  <c r="O224" i="118"/>
  <c r="O225" i="118"/>
  <c r="O226" i="118"/>
  <c r="O227" i="118"/>
  <c r="O228" i="118"/>
  <c r="O229" i="118"/>
  <c r="O230" i="118"/>
  <c r="O231" i="118"/>
  <c r="O232" i="118"/>
  <c r="O233" i="118"/>
  <c r="O234" i="118"/>
  <c r="O235" i="118"/>
  <c r="O236" i="118"/>
  <c r="O237" i="118"/>
  <c r="O238" i="118"/>
  <c r="O239" i="118"/>
  <c r="O240" i="118"/>
  <c r="O241" i="118"/>
  <c r="O242" i="118"/>
  <c r="O243" i="118"/>
  <c r="O244" i="118"/>
  <c r="O245" i="118"/>
  <c r="O246" i="118"/>
  <c r="O131" i="112"/>
  <c r="O132" i="112"/>
  <c r="O133" i="112"/>
  <c r="O134" i="112"/>
  <c r="O135" i="112"/>
  <c r="O136" i="112"/>
  <c r="O137" i="112"/>
  <c r="O138" i="112"/>
  <c r="O139" i="112"/>
  <c r="O140" i="112"/>
  <c r="O141" i="112"/>
  <c r="O142" i="112"/>
  <c r="O143" i="112"/>
  <c r="O144" i="112"/>
  <c r="O145" i="112"/>
  <c r="O146" i="112"/>
  <c r="O147" i="112"/>
  <c r="O148" i="112"/>
  <c r="O149" i="112"/>
  <c r="O150" i="112"/>
  <c r="O151" i="112"/>
  <c r="O152" i="112"/>
  <c r="O153" i="112"/>
  <c r="O154" i="112"/>
  <c r="O155" i="112"/>
  <c r="O156" i="112"/>
  <c r="O157" i="112"/>
  <c r="O158" i="112"/>
  <c r="O159" i="112"/>
  <c r="O160" i="112"/>
  <c r="O161" i="112"/>
  <c r="O162" i="112"/>
  <c r="O163" i="112"/>
  <c r="O164" i="112"/>
  <c r="O165" i="112"/>
  <c r="O166" i="112"/>
  <c r="O167" i="112"/>
  <c r="O168" i="112"/>
  <c r="O169" i="112"/>
  <c r="O170" i="112"/>
  <c r="O171" i="112"/>
  <c r="O172" i="112"/>
  <c r="O173" i="112"/>
  <c r="O174" i="112"/>
  <c r="O175" i="112"/>
  <c r="O176" i="112"/>
  <c r="O177" i="112"/>
  <c r="O178" i="112"/>
  <c r="O179" i="112"/>
  <c r="O180" i="112"/>
  <c r="O181" i="112"/>
  <c r="O182" i="112"/>
  <c r="O183" i="112"/>
  <c r="O184" i="112"/>
  <c r="O185" i="112"/>
  <c r="O186" i="112"/>
  <c r="O187" i="112"/>
  <c r="O188" i="112"/>
  <c r="O189" i="112"/>
  <c r="O190" i="112"/>
  <c r="O191" i="112"/>
  <c r="O192" i="112"/>
  <c r="O193" i="112"/>
  <c r="O194" i="112"/>
  <c r="O195" i="112"/>
  <c r="O196" i="112"/>
  <c r="O197" i="112"/>
  <c r="O198" i="112"/>
  <c r="O199" i="112"/>
  <c r="O200" i="112"/>
  <c r="O201" i="112"/>
  <c r="O202" i="112"/>
  <c r="O203" i="112"/>
  <c r="O204" i="112"/>
  <c r="O205" i="112"/>
  <c r="O206" i="112"/>
  <c r="O207" i="112"/>
  <c r="O208" i="112"/>
  <c r="O209" i="112"/>
  <c r="O210" i="112"/>
  <c r="O211" i="112"/>
  <c r="O212" i="112"/>
  <c r="O213" i="112"/>
  <c r="O214" i="112"/>
  <c r="O215" i="112"/>
  <c r="O216" i="112"/>
  <c r="O217" i="112"/>
  <c r="O218" i="112"/>
  <c r="O219" i="112"/>
  <c r="O220" i="112"/>
  <c r="O221" i="112"/>
  <c r="O222" i="112"/>
  <c r="O223" i="112"/>
  <c r="O224" i="112"/>
  <c r="O225" i="112"/>
  <c r="O226" i="112"/>
  <c r="O227" i="112"/>
  <c r="O228" i="112"/>
  <c r="O229" i="112"/>
  <c r="O230" i="112"/>
  <c r="O231" i="112"/>
  <c r="O232" i="112"/>
  <c r="O233" i="112"/>
  <c r="O234" i="112"/>
  <c r="O235" i="112"/>
  <c r="O236" i="112"/>
  <c r="O237" i="112"/>
  <c r="O238" i="112"/>
  <c r="O239" i="112"/>
  <c r="O240" i="112"/>
  <c r="O241" i="112"/>
  <c r="O242" i="112"/>
  <c r="O243" i="112"/>
  <c r="O244" i="112"/>
  <c r="O245" i="112"/>
  <c r="O246" i="112"/>
  <c r="O131" i="157"/>
  <c r="O132" i="157"/>
  <c r="O133" i="157"/>
  <c r="O134" i="157"/>
  <c r="O135" i="157"/>
  <c r="O136" i="157"/>
  <c r="O137" i="157"/>
  <c r="O138" i="157"/>
  <c r="O139" i="157"/>
  <c r="O140" i="157"/>
  <c r="O141" i="157"/>
  <c r="O142" i="157"/>
  <c r="O143" i="157"/>
  <c r="O144" i="157"/>
  <c r="O145" i="157"/>
  <c r="O146" i="157"/>
  <c r="O147" i="157"/>
  <c r="O148" i="157"/>
  <c r="O149" i="157"/>
  <c r="O150" i="157"/>
  <c r="O151" i="157"/>
  <c r="O152" i="157"/>
  <c r="O153" i="157"/>
  <c r="O154" i="157"/>
  <c r="O155" i="157"/>
  <c r="O156" i="157"/>
  <c r="O157" i="157"/>
  <c r="O158" i="157"/>
  <c r="O159" i="157"/>
  <c r="O160" i="157"/>
  <c r="O161" i="157"/>
  <c r="O162" i="157"/>
  <c r="O163" i="157"/>
  <c r="O164" i="157"/>
  <c r="O165" i="157"/>
  <c r="O166" i="157"/>
  <c r="O167" i="157"/>
  <c r="O168" i="157"/>
  <c r="O169" i="157"/>
  <c r="O170" i="157"/>
  <c r="O171" i="157"/>
  <c r="O172" i="157"/>
  <c r="O173" i="157"/>
  <c r="O174" i="157"/>
  <c r="O175" i="157"/>
  <c r="O176" i="157"/>
  <c r="O177" i="157"/>
  <c r="O178" i="157"/>
  <c r="O179" i="157"/>
  <c r="O180" i="157"/>
  <c r="O181" i="157"/>
  <c r="O182" i="157"/>
  <c r="O183" i="157"/>
  <c r="O184" i="157"/>
  <c r="O185" i="157"/>
  <c r="O186" i="157"/>
  <c r="O187" i="157"/>
  <c r="O188" i="157"/>
  <c r="O189" i="157"/>
  <c r="O190" i="157"/>
  <c r="O191" i="157"/>
  <c r="O192" i="157"/>
  <c r="O193" i="157"/>
  <c r="O194" i="157"/>
  <c r="O195" i="157"/>
  <c r="O196" i="157"/>
  <c r="O197" i="157"/>
  <c r="O198" i="157"/>
  <c r="O199" i="157"/>
  <c r="O200" i="157"/>
  <c r="O201" i="157"/>
  <c r="O202" i="157"/>
  <c r="O203" i="157"/>
  <c r="O204" i="157"/>
  <c r="O205" i="157"/>
  <c r="O206" i="157"/>
  <c r="O207" i="157"/>
  <c r="O208" i="157"/>
  <c r="O209" i="157"/>
  <c r="O210" i="157"/>
  <c r="O211" i="157"/>
  <c r="O212" i="157"/>
  <c r="O213" i="157"/>
  <c r="O214" i="157"/>
  <c r="O215" i="157"/>
  <c r="O216" i="157"/>
  <c r="O217" i="157"/>
  <c r="O218" i="157"/>
  <c r="O219" i="157"/>
  <c r="O220" i="157"/>
  <c r="O221" i="157"/>
  <c r="O222" i="157"/>
  <c r="O223" i="157"/>
  <c r="O224" i="157"/>
  <c r="O225" i="157"/>
  <c r="O226" i="157"/>
  <c r="O227" i="157"/>
  <c r="O228" i="157"/>
  <c r="O229" i="157"/>
  <c r="O230" i="157"/>
  <c r="O231" i="157"/>
  <c r="O232" i="157"/>
  <c r="O233" i="157"/>
  <c r="O234" i="157"/>
  <c r="O235" i="157"/>
  <c r="O236" i="157"/>
  <c r="O237" i="157"/>
  <c r="O238" i="157"/>
  <c r="O239" i="157"/>
  <c r="O240" i="157"/>
  <c r="O241" i="157"/>
  <c r="O242" i="157"/>
  <c r="O243" i="157"/>
  <c r="O244" i="157"/>
  <c r="O245" i="157"/>
  <c r="O246" i="157"/>
  <c r="U9" i="154"/>
  <c r="U10" i="154"/>
  <c r="U11" i="154"/>
  <c r="U12" i="154"/>
  <c r="U13" i="154"/>
  <c r="U14" i="154"/>
  <c r="U15" i="154"/>
  <c r="U16" i="154"/>
  <c r="U17" i="154"/>
  <c r="U18" i="154"/>
  <c r="U19" i="154"/>
  <c r="U20" i="154"/>
  <c r="U21" i="154"/>
  <c r="U22" i="154"/>
  <c r="U23" i="154"/>
  <c r="U24" i="154"/>
  <c r="U25" i="154"/>
  <c r="U26" i="154"/>
  <c r="U27" i="154"/>
  <c r="U28" i="154"/>
  <c r="U29" i="154"/>
  <c r="U30" i="154"/>
  <c r="U31" i="154"/>
  <c r="U32" i="154"/>
  <c r="U33" i="154"/>
  <c r="U34" i="154"/>
  <c r="U35" i="154"/>
  <c r="U36" i="154"/>
  <c r="U37" i="154"/>
  <c r="U38" i="154"/>
  <c r="U39" i="154"/>
  <c r="U40" i="154"/>
  <c r="U41" i="154"/>
  <c r="U42" i="154"/>
  <c r="U43" i="154"/>
  <c r="U44" i="154"/>
  <c r="U45" i="154"/>
  <c r="U46" i="154"/>
  <c r="U47" i="154"/>
  <c r="U48" i="154"/>
  <c r="U49" i="154"/>
  <c r="U50" i="154"/>
  <c r="U51" i="154"/>
  <c r="U52" i="154"/>
  <c r="U53" i="154"/>
  <c r="U54" i="154"/>
  <c r="U55" i="154"/>
  <c r="U56" i="154"/>
  <c r="U57" i="154"/>
  <c r="U58" i="154"/>
  <c r="U59" i="154"/>
  <c r="U60" i="154"/>
  <c r="U61" i="154"/>
  <c r="U62" i="154"/>
  <c r="U63" i="154"/>
  <c r="U64" i="154"/>
  <c r="U65" i="154"/>
  <c r="U66" i="154"/>
  <c r="U67" i="154"/>
  <c r="U68" i="154"/>
  <c r="U69" i="154"/>
  <c r="U70" i="154"/>
  <c r="U71" i="154"/>
  <c r="U72" i="154"/>
  <c r="U73" i="154"/>
  <c r="U74" i="154"/>
  <c r="U75" i="154"/>
  <c r="U76" i="154"/>
  <c r="U77" i="154"/>
  <c r="U78" i="154"/>
  <c r="U79" i="154"/>
  <c r="U80" i="154"/>
  <c r="U81" i="154"/>
  <c r="U82" i="154"/>
  <c r="U83" i="154"/>
  <c r="U84" i="154"/>
  <c r="U85" i="154"/>
  <c r="U86" i="154"/>
  <c r="U87" i="154"/>
  <c r="U88" i="154"/>
  <c r="U89" i="154"/>
  <c r="U90" i="154"/>
  <c r="U91" i="154"/>
  <c r="U92" i="154"/>
  <c r="U93" i="154"/>
  <c r="U94" i="154"/>
  <c r="U95" i="154"/>
  <c r="U96" i="154"/>
  <c r="U97" i="154"/>
  <c r="U98" i="154"/>
  <c r="U99" i="154"/>
  <c r="U100" i="154"/>
  <c r="U101" i="154"/>
  <c r="U102" i="154"/>
  <c r="U103" i="154"/>
  <c r="U104" i="154"/>
  <c r="U105" i="154"/>
  <c r="U106" i="154"/>
  <c r="U107" i="154"/>
  <c r="U108" i="154"/>
  <c r="U109" i="154"/>
  <c r="U110" i="154"/>
  <c r="U111" i="154"/>
  <c r="U112" i="154"/>
  <c r="U113" i="154"/>
  <c r="U114" i="154"/>
  <c r="U115" i="154"/>
  <c r="U116" i="154"/>
  <c r="U117" i="154"/>
  <c r="U118" i="154"/>
  <c r="U119" i="154"/>
  <c r="U120" i="154"/>
  <c r="U121" i="154"/>
  <c r="U122" i="154"/>
  <c r="U123" i="154"/>
  <c r="U124" i="154"/>
  <c r="U125" i="154"/>
  <c r="Y57" i="135"/>
  <c r="G6" i="164"/>
  <c r="U131" i="155"/>
  <c r="U132" i="155"/>
  <c r="U133" i="155"/>
  <c r="U134" i="155"/>
  <c r="U135" i="155"/>
  <c r="U136" i="155"/>
  <c r="U137" i="155"/>
  <c r="U138" i="155"/>
  <c r="U139" i="155"/>
  <c r="U140" i="155"/>
  <c r="U141" i="155"/>
  <c r="U142" i="155"/>
  <c r="U143" i="155"/>
  <c r="U144" i="155"/>
  <c r="U145" i="155"/>
  <c r="U146" i="155"/>
  <c r="U147" i="155"/>
  <c r="U148" i="155"/>
  <c r="U149" i="155"/>
  <c r="U150" i="155"/>
  <c r="U151" i="155"/>
  <c r="U152" i="155"/>
  <c r="U153" i="155"/>
  <c r="U154" i="155"/>
  <c r="U155" i="155"/>
  <c r="U156" i="155"/>
  <c r="U157" i="155"/>
  <c r="U158" i="155"/>
  <c r="U159" i="155"/>
  <c r="U160" i="155"/>
  <c r="U161" i="155"/>
  <c r="U162" i="155"/>
  <c r="U163" i="155"/>
  <c r="U164" i="155"/>
  <c r="U165" i="155"/>
  <c r="U166" i="155"/>
  <c r="U167" i="155"/>
  <c r="U168" i="155"/>
  <c r="U169" i="155"/>
  <c r="U170" i="155"/>
  <c r="U171" i="155"/>
  <c r="U172" i="155"/>
  <c r="U173" i="155"/>
  <c r="U174" i="155"/>
  <c r="U175" i="155"/>
  <c r="U176" i="155"/>
  <c r="U177" i="155"/>
  <c r="U178" i="155"/>
  <c r="U179" i="155"/>
  <c r="U180" i="155"/>
  <c r="U181" i="155"/>
  <c r="U182" i="155"/>
  <c r="U183" i="155"/>
  <c r="U184" i="155"/>
  <c r="U185" i="155"/>
  <c r="U186" i="155"/>
  <c r="U187" i="155"/>
  <c r="U188" i="155"/>
  <c r="U189" i="155"/>
  <c r="U190" i="155"/>
  <c r="U191" i="155"/>
  <c r="U192" i="155"/>
  <c r="U193" i="155"/>
  <c r="U194" i="155"/>
  <c r="U195" i="155"/>
  <c r="U196" i="155"/>
  <c r="U197" i="155"/>
  <c r="U198" i="155"/>
  <c r="U199" i="155"/>
  <c r="U200" i="155"/>
  <c r="U201" i="155"/>
  <c r="U202" i="155"/>
  <c r="U203" i="155"/>
  <c r="U204" i="155"/>
  <c r="U205" i="155"/>
  <c r="U206" i="155"/>
  <c r="U207" i="155"/>
  <c r="U208" i="155"/>
  <c r="U209" i="155"/>
  <c r="U210" i="155"/>
  <c r="U211" i="155"/>
  <c r="U212" i="155"/>
  <c r="U213" i="155"/>
  <c r="U214" i="155"/>
  <c r="U215" i="155"/>
  <c r="U216" i="155"/>
  <c r="U217" i="155"/>
  <c r="U218" i="155"/>
  <c r="U219" i="155"/>
  <c r="U220" i="155"/>
  <c r="U221" i="155"/>
  <c r="U222" i="155"/>
  <c r="U223" i="155"/>
  <c r="U224" i="155"/>
  <c r="U225" i="155"/>
  <c r="U226" i="155"/>
  <c r="U227" i="155"/>
  <c r="U228" i="155"/>
  <c r="U229" i="155"/>
  <c r="U230" i="155"/>
  <c r="U231" i="155"/>
  <c r="U232" i="155"/>
  <c r="U233" i="155"/>
  <c r="U234" i="155"/>
  <c r="U235" i="155"/>
  <c r="U236" i="155"/>
  <c r="U237" i="155"/>
  <c r="U238" i="155"/>
  <c r="U239" i="155"/>
  <c r="U240" i="155"/>
  <c r="U241" i="155"/>
  <c r="U242" i="155"/>
  <c r="U243" i="155"/>
  <c r="U244" i="155"/>
  <c r="U245" i="155"/>
  <c r="U246" i="155"/>
  <c r="U247" i="155"/>
  <c r="Y48" i="135"/>
  <c r="G5" i="164"/>
  <c r="U131" i="156"/>
  <c r="U132" i="156"/>
  <c r="U133" i="156"/>
  <c r="U134" i="156"/>
  <c r="U135" i="156"/>
  <c r="U136" i="156"/>
  <c r="U137" i="156"/>
  <c r="U138" i="156"/>
  <c r="U139" i="156"/>
  <c r="U140" i="156"/>
  <c r="U141" i="156"/>
  <c r="U142" i="156"/>
  <c r="U143" i="156"/>
  <c r="U144" i="156"/>
  <c r="U145" i="156"/>
  <c r="U146" i="156"/>
  <c r="U147" i="156"/>
  <c r="U148" i="156"/>
  <c r="U149" i="156"/>
  <c r="U150" i="156"/>
  <c r="U151" i="156"/>
  <c r="U152" i="156"/>
  <c r="U153" i="156"/>
  <c r="U154" i="156"/>
  <c r="U155" i="156"/>
  <c r="U156" i="156"/>
  <c r="U157" i="156"/>
  <c r="U158" i="156"/>
  <c r="U159" i="156"/>
  <c r="U160" i="156"/>
  <c r="U161" i="156"/>
  <c r="U162" i="156"/>
  <c r="U163" i="156"/>
  <c r="U164" i="156"/>
  <c r="U165" i="156"/>
  <c r="U166" i="156"/>
  <c r="U167" i="156"/>
  <c r="U168" i="156"/>
  <c r="U169" i="156"/>
  <c r="U170" i="156"/>
  <c r="U171" i="156"/>
  <c r="U172" i="156"/>
  <c r="U173" i="156"/>
  <c r="U174" i="156"/>
  <c r="U175" i="156"/>
  <c r="U176" i="156"/>
  <c r="U177" i="156"/>
  <c r="U178" i="156"/>
  <c r="U179" i="156"/>
  <c r="U180" i="156"/>
  <c r="U181" i="156"/>
  <c r="U182" i="156"/>
  <c r="U183" i="156"/>
  <c r="U184" i="156"/>
  <c r="U185" i="156"/>
  <c r="U186" i="156"/>
  <c r="U187" i="156"/>
  <c r="U188" i="156"/>
  <c r="U189" i="156"/>
  <c r="U190" i="156"/>
  <c r="U191" i="156"/>
  <c r="U192" i="156"/>
  <c r="U193" i="156"/>
  <c r="U194" i="156"/>
  <c r="U195" i="156"/>
  <c r="U196" i="156"/>
  <c r="U197" i="156"/>
  <c r="U198" i="156"/>
  <c r="U199" i="156"/>
  <c r="U200" i="156"/>
  <c r="U201" i="156"/>
  <c r="U202" i="156"/>
  <c r="U203" i="156"/>
  <c r="U204" i="156"/>
  <c r="U205" i="156"/>
  <c r="U206" i="156"/>
  <c r="U207" i="156"/>
  <c r="U208" i="156"/>
  <c r="U209" i="156"/>
  <c r="U210" i="156"/>
  <c r="U211" i="156"/>
  <c r="U212" i="156"/>
  <c r="U213" i="156"/>
  <c r="U214" i="156"/>
  <c r="U215" i="156"/>
  <c r="U216" i="156"/>
  <c r="U217" i="156"/>
  <c r="U218" i="156"/>
  <c r="U219" i="156"/>
  <c r="U220" i="156"/>
  <c r="U221" i="156"/>
  <c r="U222" i="156"/>
  <c r="U223" i="156"/>
  <c r="U224" i="156"/>
  <c r="U225" i="156"/>
  <c r="U226" i="156"/>
  <c r="U227" i="156"/>
  <c r="U228" i="156"/>
  <c r="U229" i="156"/>
  <c r="U230" i="156"/>
  <c r="U231" i="156"/>
  <c r="U232" i="156"/>
  <c r="U233" i="156"/>
  <c r="U234" i="156"/>
  <c r="U235" i="156"/>
  <c r="U236" i="156"/>
  <c r="U237" i="156"/>
  <c r="U238" i="156"/>
  <c r="U239" i="156"/>
  <c r="U240" i="156"/>
  <c r="U241" i="156"/>
  <c r="U242" i="156"/>
  <c r="U243" i="156"/>
  <c r="U244" i="156"/>
  <c r="U245" i="156"/>
  <c r="U246" i="156"/>
  <c r="U247" i="156"/>
  <c r="Y32" i="135"/>
  <c r="G4" i="164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U125" i="153"/>
  <c r="E6" i="164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U247" i="126"/>
  <c r="P48" i="135"/>
  <c r="E5" i="164"/>
  <c r="U131" i="150"/>
  <c r="U132" i="150"/>
  <c r="U133" i="150"/>
  <c r="U134" i="150"/>
  <c r="U135" i="150"/>
  <c r="U136" i="150"/>
  <c r="U137" i="150"/>
  <c r="U138" i="150"/>
  <c r="U139" i="150"/>
  <c r="U140" i="150"/>
  <c r="U141" i="150"/>
  <c r="U142" i="150"/>
  <c r="U143" i="150"/>
  <c r="U144" i="150"/>
  <c r="U145" i="150"/>
  <c r="U146" i="150"/>
  <c r="U147" i="150"/>
  <c r="U148" i="150"/>
  <c r="U149" i="150"/>
  <c r="U150" i="150"/>
  <c r="U151" i="150"/>
  <c r="U152" i="150"/>
  <c r="U153" i="150"/>
  <c r="U154" i="150"/>
  <c r="U155" i="150"/>
  <c r="U156" i="150"/>
  <c r="U157" i="150"/>
  <c r="U158" i="150"/>
  <c r="U159" i="150"/>
  <c r="U160" i="150"/>
  <c r="U161" i="150"/>
  <c r="U162" i="150"/>
  <c r="U163" i="150"/>
  <c r="U164" i="150"/>
  <c r="U165" i="150"/>
  <c r="U166" i="150"/>
  <c r="U167" i="150"/>
  <c r="U168" i="150"/>
  <c r="U169" i="150"/>
  <c r="U170" i="150"/>
  <c r="U171" i="150"/>
  <c r="U172" i="150"/>
  <c r="U173" i="150"/>
  <c r="U174" i="150"/>
  <c r="U175" i="150"/>
  <c r="U176" i="150"/>
  <c r="U177" i="150"/>
  <c r="U178" i="150"/>
  <c r="U179" i="150"/>
  <c r="U180" i="150"/>
  <c r="U181" i="150"/>
  <c r="U182" i="150"/>
  <c r="U183" i="150"/>
  <c r="U184" i="150"/>
  <c r="U185" i="150"/>
  <c r="U186" i="150"/>
  <c r="U187" i="150"/>
  <c r="U188" i="150"/>
  <c r="U189" i="150"/>
  <c r="U190" i="150"/>
  <c r="U191" i="150"/>
  <c r="U192" i="150"/>
  <c r="U193" i="150"/>
  <c r="U194" i="150"/>
  <c r="U195" i="150"/>
  <c r="U196" i="150"/>
  <c r="U197" i="150"/>
  <c r="U198" i="150"/>
  <c r="U199" i="150"/>
  <c r="U200" i="150"/>
  <c r="U201" i="150"/>
  <c r="U202" i="150"/>
  <c r="U203" i="150"/>
  <c r="U204" i="150"/>
  <c r="U205" i="150"/>
  <c r="U206" i="150"/>
  <c r="U207" i="150"/>
  <c r="U208" i="150"/>
  <c r="U209" i="150"/>
  <c r="U210" i="150"/>
  <c r="U211" i="150"/>
  <c r="U212" i="150"/>
  <c r="U213" i="150"/>
  <c r="U214" i="150"/>
  <c r="U215" i="150"/>
  <c r="U216" i="150"/>
  <c r="U217" i="150"/>
  <c r="U218" i="150"/>
  <c r="U219" i="150"/>
  <c r="U220" i="150"/>
  <c r="U221" i="150"/>
  <c r="U222" i="150"/>
  <c r="U223" i="150"/>
  <c r="U224" i="150"/>
  <c r="U225" i="150"/>
  <c r="U226" i="150"/>
  <c r="U227" i="150"/>
  <c r="U228" i="150"/>
  <c r="U229" i="150"/>
  <c r="U230" i="150"/>
  <c r="U231" i="150"/>
  <c r="U232" i="150"/>
  <c r="U233" i="150"/>
  <c r="U234" i="150"/>
  <c r="U235" i="150"/>
  <c r="U236" i="150"/>
  <c r="U237" i="150"/>
  <c r="U238" i="150"/>
  <c r="U239" i="150"/>
  <c r="U240" i="150"/>
  <c r="U241" i="150"/>
  <c r="U242" i="150"/>
  <c r="U243" i="150"/>
  <c r="U244" i="150"/>
  <c r="U245" i="150"/>
  <c r="U246" i="150"/>
  <c r="U247" i="150"/>
  <c r="P32" i="135"/>
  <c r="E4" i="164"/>
  <c r="U131" i="158"/>
  <c r="U132" i="158"/>
  <c r="U133" i="158"/>
  <c r="U134" i="158"/>
  <c r="U135" i="158"/>
  <c r="U136" i="158"/>
  <c r="U137" i="158"/>
  <c r="U138" i="158"/>
  <c r="U139" i="158"/>
  <c r="U140" i="158"/>
  <c r="U141" i="158"/>
  <c r="U142" i="158"/>
  <c r="U143" i="158"/>
  <c r="U144" i="158"/>
  <c r="U145" i="158"/>
  <c r="U146" i="158"/>
  <c r="U147" i="158"/>
  <c r="U148" i="158"/>
  <c r="U149" i="158"/>
  <c r="U150" i="158"/>
  <c r="U151" i="158"/>
  <c r="U152" i="158"/>
  <c r="U153" i="158"/>
  <c r="U154" i="158"/>
  <c r="U155" i="158"/>
  <c r="U156" i="158"/>
  <c r="U157" i="158"/>
  <c r="U158" i="158"/>
  <c r="U159" i="158"/>
  <c r="U160" i="158"/>
  <c r="U161" i="158"/>
  <c r="U162" i="158"/>
  <c r="U163" i="158"/>
  <c r="U164" i="158"/>
  <c r="U165" i="158"/>
  <c r="U166" i="158"/>
  <c r="U167" i="158"/>
  <c r="U168" i="158"/>
  <c r="U169" i="158"/>
  <c r="U170" i="158"/>
  <c r="U171" i="158"/>
  <c r="U172" i="158"/>
  <c r="U173" i="158"/>
  <c r="U174" i="158"/>
  <c r="U175" i="158"/>
  <c r="U176" i="158"/>
  <c r="U177" i="158"/>
  <c r="U178" i="158"/>
  <c r="U179" i="158"/>
  <c r="U180" i="158"/>
  <c r="U181" i="158"/>
  <c r="U182" i="158"/>
  <c r="U183" i="158"/>
  <c r="U184" i="158"/>
  <c r="U185" i="158"/>
  <c r="U186" i="158"/>
  <c r="U187" i="158"/>
  <c r="U188" i="158"/>
  <c r="U189" i="158"/>
  <c r="U190" i="158"/>
  <c r="U191" i="158"/>
  <c r="U192" i="158"/>
  <c r="U193" i="158"/>
  <c r="U194" i="158"/>
  <c r="U195" i="158"/>
  <c r="U196" i="158"/>
  <c r="U197" i="158"/>
  <c r="U198" i="158"/>
  <c r="U199" i="158"/>
  <c r="U200" i="158"/>
  <c r="U201" i="158"/>
  <c r="U202" i="158"/>
  <c r="U203" i="158"/>
  <c r="U204" i="158"/>
  <c r="U205" i="158"/>
  <c r="U206" i="158"/>
  <c r="U207" i="158"/>
  <c r="U208" i="158"/>
  <c r="U209" i="158"/>
  <c r="U210" i="158"/>
  <c r="U211" i="158"/>
  <c r="U212" i="158"/>
  <c r="U213" i="158"/>
  <c r="U214" i="158"/>
  <c r="U215" i="158"/>
  <c r="U216" i="158"/>
  <c r="U217" i="158"/>
  <c r="U218" i="158"/>
  <c r="U219" i="158"/>
  <c r="U220" i="158"/>
  <c r="U221" i="158"/>
  <c r="U222" i="158"/>
  <c r="U223" i="158"/>
  <c r="U224" i="158"/>
  <c r="U225" i="158"/>
  <c r="U226" i="158"/>
  <c r="U227" i="158"/>
  <c r="U228" i="158"/>
  <c r="U229" i="158"/>
  <c r="U230" i="158"/>
  <c r="U231" i="158"/>
  <c r="U232" i="158"/>
  <c r="U233" i="158"/>
  <c r="U234" i="158"/>
  <c r="U235" i="158"/>
  <c r="U236" i="158"/>
  <c r="U237" i="158"/>
  <c r="U238" i="158"/>
  <c r="U239" i="158"/>
  <c r="U240" i="158"/>
  <c r="U241" i="158"/>
  <c r="U242" i="158"/>
  <c r="U243" i="158"/>
  <c r="U244" i="158"/>
  <c r="U245" i="158"/>
  <c r="U246" i="158"/>
  <c r="U247" i="158"/>
  <c r="P16" i="135"/>
  <c r="E3" i="164"/>
  <c r="C6" i="164"/>
  <c r="U131" i="118"/>
  <c r="U132" i="118"/>
  <c r="U133" i="118"/>
  <c r="U134" i="118"/>
  <c r="U135" i="118"/>
  <c r="U136" i="118"/>
  <c r="U137" i="118"/>
  <c r="U138" i="118"/>
  <c r="U139" i="118"/>
  <c r="U140" i="118"/>
  <c r="U141" i="118"/>
  <c r="U142" i="118"/>
  <c r="U143" i="118"/>
  <c r="U144" i="118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U191" i="118"/>
  <c r="U192" i="118"/>
  <c r="U193" i="118"/>
  <c r="U194" i="118"/>
  <c r="U195" i="118"/>
  <c r="U196" i="118"/>
  <c r="U197" i="118"/>
  <c r="U198" i="118"/>
  <c r="U199" i="118"/>
  <c r="U200" i="118"/>
  <c r="U201" i="118"/>
  <c r="U202" i="118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U247" i="118"/>
  <c r="G48" i="135"/>
  <c r="C5" i="164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U247" i="112"/>
  <c r="G32" i="135"/>
  <c r="C4" i="164"/>
  <c r="U131" i="157"/>
  <c r="U132" i="157"/>
  <c r="U133" i="157"/>
  <c r="U134" i="157"/>
  <c r="U135" i="157"/>
  <c r="U136" i="157"/>
  <c r="U137" i="157"/>
  <c r="U138" i="157"/>
  <c r="U139" i="157"/>
  <c r="U140" i="157"/>
  <c r="U141" i="157"/>
  <c r="U142" i="157"/>
  <c r="U143" i="157"/>
  <c r="U144" i="157"/>
  <c r="U145" i="157"/>
  <c r="U146" i="157"/>
  <c r="U147" i="157"/>
  <c r="U148" i="157"/>
  <c r="U149" i="157"/>
  <c r="U150" i="157"/>
  <c r="U151" i="157"/>
  <c r="U152" i="157"/>
  <c r="U153" i="157"/>
  <c r="U154" i="157"/>
  <c r="U155" i="157"/>
  <c r="U156" i="157"/>
  <c r="U157" i="157"/>
  <c r="U158" i="157"/>
  <c r="U159" i="157"/>
  <c r="U160" i="157"/>
  <c r="U161" i="157"/>
  <c r="U162" i="157"/>
  <c r="U163" i="157"/>
  <c r="U164" i="157"/>
  <c r="U165" i="157"/>
  <c r="U166" i="157"/>
  <c r="U167" i="157"/>
  <c r="U168" i="157"/>
  <c r="U169" i="157"/>
  <c r="U170" i="157"/>
  <c r="U171" i="157"/>
  <c r="U172" i="157"/>
  <c r="U173" i="157"/>
  <c r="U174" i="157"/>
  <c r="U175" i="157"/>
  <c r="U176" i="157"/>
  <c r="U177" i="157"/>
  <c r="U178" i="157"/>
  <c r="U179" i="157"/>
  <c r="U180" i="157"/>
  <c r="U181" i="157"/>
  <c r="U182" i="157"/>
  <c r="U183" i="157"/>
  <c r="U184" i="157"/>
  <c r="U185" i="157"/>
  <c r="U186" i="157"/>
  <c r="U187" i="157"/>
  <c r="U188" i="157"/>
  <c r="U189" i="157"/>
  <c r="U190" i="157"/>
  <c r="U191" i="157"/>
  <c r="U192" i="157"/>
  <c r="U193" i="157"/>
  <c r="U194" i="157"/>
  <c r="U195" i="157"/>
  <c r="U196" i="157"/>
  <c r="U197" i="157"/>
  <c r="U198" i="157"/>
  <c r="U199" i="157"/>
  <c r="U200" i="157"/>
  <c r="U201" i="157"/>
  <c r="U202" i="157"/>
  <c r="U203" i="157"/>
  <c r="U204" i="157"/>
  <c r="U205" i="157"/>
  <c r="U206" i="157"/>
  <c r="U207" i="157"/>
  <c r="U208" i="157"/>
  <c r="U209" i="157"/>
  <c r="U210" i="157"/>
  <c r="U211" i="157"/>
  <c r="U212" i="157"/>
  <c r="U213" i="157"/>
  <c r="U214" i="157"/>
  <c r="U215" i="157"/>
  <c r="U216" i="157"/>
  <c r="U217" i="157"/>
  <c r="U218" i="157"/>
  <c r="U219" i="157"/>
  <c r="U220" i="157"/>
  <c r="U221" i="157"/>
  <c r="U222" i="157"/>
  <c r="U223" i="157"/>
  <c r="U224" i="157"/>
  <c r="U225" i="157"/>
  <c r="U226" i="157"/>
  <c r="U227" i="157"/>
  <c r="U228" i="157"/>
  <c r="U229" i="157"/>
  <c r="U230" i="157"/>
  <c r="U231" i="157"/>
  <c r="U232" i="157"/>
  <c r="U233" i="157"/>
  <c r="U234" i="157"/>
  <c r="U235" i="157"/>
  <c r="U236" i="157"/>
  <c r="U237" i="157"/>
  <c r="U238" i="157"/>
  <c r="U239" i="157"/>
  <c r="U240" i="157"/>
  <c r="U241" i="157"/>
  <c r="U242" i="157"/>
  <c r="U243" i="157"/>
  <c r="U244" i="157"/>
  <c r="U245" i="157"/>
  <c r="U246" i="157"/>
  <c r="U247" i="157"/>
  <c r="G16" i="135"/>
  <c r="C3" i="164"/>
  <c r="U9" i="160"/>
  <c r="U10" i="160"/>
  <c r="U11" i="160"/>
  <c r="U12" i="160"/>
  <c r="U13" i="160"/>
  <c r="U14" i="160"/>
  <c r="U15" i="160"/>
  <c r="U16" i="160"/>
  <c r="U17" i="160"/>
  <c r="U18" i="160"/>
  <c r="U19" i="160"/>
  <c r="U20" i="160"/>
  <c r="U21" i="160"/>
  <c r="U22" i="160"/>
  <c r="U23" i="160"/>
  <c r="U24" i="160"/>
  <c r="U25" i="160"/>
  <c r="U26" i="160"/>
  <c r="U27" i="160"/>
  <c r="U28" i="160"/>
  <c r="U29" i="160"/>
  <c r="U30" i="160"/>
  <c r="U31" i="160"/>
  <c r="U32" i="160"/>
  <c r="U33" i="160"/>
  <c r="U34" i="160"/>
  <c r="U35" i="160"/>
  <c r="U36" i="160"/>
  <c r="U37" i="160"/>
  <c r="U38" i="160"/>
  <c r="U39" i="160"/>
  <c r="U40" i="160"/>
  <c r="U41" i="160"/>
  <c r="U42" i="160"/>
  <c r="U43" i="160"/>
  <c r="U44" i="160"/>
  <c r="U45" i="160"/>
  <c r="U46" i="160"/>
  <c r="U47" i="160"/>
  <c r="U48" i="160"/>
  <c r="U49" i="160"/>
  <c r="U50" i="160"/>
  <c r="U51" i="160"/>
  <c r="U52" i="160"/>
  <c r="U53" i="160"/>
  <c r="U54" i="160"/>
  <c r="AH33" i="135"/>
  <c r="U55" i="160"/>
  <c r="U56" i="160"/>
  <c r="U57" i="160"/>
  <c r="U58" i="160"/>
  <c r="U59" i="160"/>
  <c r="U60" i="160"/>
  <c r="U61" i="160"/>
  <c r="U62" i="160"/>
  <c r="U63" i="160"/>
  <c r="U64" i="160"/>
  <c r="U65" i="160"/>
  <c r="U66" i="160"/>
  <c r="U67" i="160"/>
  <c r="U68" i="160"/>
  <c r="U69" i="160"/>
  <c r="U70" i="160"/>
  <c r="U71" i="160"/>
  <c r="U72" i="160"/>
  <c r="U73" i="160"/>
  <c r="U74" i="160"/>
  <c r="U75" i="160"/>
  <c r="U76" i="160"/>
  <c r="U77" i="160"/>
  <c r="U78" i="160"/>
  <c r="U79" i="160"/>
  <c r="U80" i="160"/>
  <c r="U81" i="160"/>
  <c r="U82" i="160"/>
  <c r="U83" i="160"/>
  <c r="U84" i="160"/>
  <c r="U85" i="160"/>
  <c r="U86" i="160"/>
  <c r="U87" i="160"/>
  <c r="U88" i="160"/>
  <c r="U89" i="160"/>
  <c r="U90" i="160"/>
  <c r="U91" i="160"/>
  <c r="U92" i="160"/>
  <c r="U93" i="160"/>
  <c r="U94" i="160"/>
  <c r="U95" i="160"/>
  <c r="U96" i="160"/>
  <c r="U97" i="160"/>
  <c r="U98" i="160"/>
  <c r="U99" i="160"/>
  <c r="U100" i="160"/>
  <c r="U101" i="160"/>
  <c r="U102" i="160"/>
  <c r="U103" i="160"/>
  <c r="U104" i="160"/>
  <c r="U105" i="160"/>
  <c r="U106" i="160"/>
  <c r="U107" i="160"/>
  <c r="U108" i="160"/>
  <c r="U109" i="160"/>
  <c r="U110" i="160"/>
  <c r="U111" i="160"/>
  <c r="U112" i="160"/>
  <c r="U113" i="160"/>
  <c r="U114" i="160"/>
  <c r="U115" i="160"/>
  <c r="U116" i="160"/>
  <c r="U117" i="160"/>
  <c r="U118" i="160"/>
  <c r="U119" i="160"/>
  <c r="U120" i="160"/>
  <c r="U121" i="160"/>
  <c r="U122" i="160"/>
  <c r="U123" i="160"/>
  <c r="U124" i="160"/>
  <c r="U9" i="161"/>
  <c r="U10" i="161"/>
  <c r="U11" i="161"/>
  <c r="U12" i="161"/>
  <c r="U13" i="161"/>
  <c r="U14" i="161"/>
  <c r="U15" i="161"/>
  <c r="U16" i="161"/>
  <c r="U17" i="161"/>
  <c r="U18" i="161"/>
  <c r="U19" i="161"/>
  <c r="U20" i="161"/>
  <c r="AH22" i="135"/>
  <c r="U21" i="161"/>
  <c r="U22" i="161"/>
  <c r="U23" i="161"/>
  <c r="U24" i="161"/>
  <c r="U25" i="161"/>
  <c r="U26" i="161"/>
  <c r="U27" i="161"/>
  <c r="U28" i="161"/>
  <c r="U29" i="161"/>
  <c r="U30" i="161"/>
  <c r="U31" i="161"/>
  <c r="U32" i="161"/>
  <c r="U33" i="161"/>
  <c r="U34" i="161"/>
  <c r="U35" i="161"/>
  <c r="U36" i="161"/>
  <c r="U37" i="161"/>
  <c r="U38" i="161"/>
  <c r="U39" i="161"/>
  <c r="U40" i="161"/>
  <c r="AH23" i="135"/>
  <c r="U41" i="161"/>
  <c r="U42" i="161"/>
  <c r="U43" i="161"/>
  <c r="U44" i="161"/>
  <c r="U45" i="161"/>
  <c r="U46" i="161"/>
  <c r="U47" i="161"/>
  <c r="U48" i="161"/>
  <c r="U49" i="161"/>
  <c r="U50" i="161"/>
  <c r="U51" i="161"/>
  <c r="U52" i="161"/>
  <c r="U53" i="161"/>
  <c r="U54" i="161"/>
  <c r="U55" i="161"/>
  <c r="U56" i="161"/>
  <c r="AH24" i="135"/>
  <c r="U57" i="161"/>
  <c r="U58" i="161"/>
  <c r="U59" i="161"/>
  <c r="U60" i="161"/>
  <c r="U61" i="161"/>
  <c r="U62" i="161"/>
  <c r="U63" i="161"/>
  <c r="U64" i="161"/>
  <c r="U65" i="161"/>
  <c r="U66" i="161"/>
  <c r="U67" i="161"/>
  <c r="U68" i="161"/>
  <c r="U69" i="161"/>
  <c r="U70" i="161"/>
  <c r="U71" i="161"/>
  <c r="U72" i="161"/>
  <c r="AH25" i="135"/>
  <c r="U73" i="161"/>
  <c r="U74" i="161"/>
  <c r="U75" i="161"/>
  <c r="U76" i="161"/>
  <c r="U77" i="161"/>
  <c r="U78" i="161"/>
  <c r="U79" i="161"/>
  <c r="U80" i="161"/>
  <c r="U81" i="161"/>
  <c r="U82" i="161"/>
  <c r="U83" i="161"/>
  <c r="U84" i="161"/>
  <c r="U85" i="161"/>
  <c r="U86" i="161"/>
  <c r="U87" i="161"/>
  <c r="U88" i="161"/>
  <c r="U89" i="161"/>
  <c r="U90" i="161"/>
  <c r="U91" i="161"/>
  <c r="U92" i="161"/>
  <c r="U93" i="161"/>
  <c r="U94" i="161"/>
  <c r="U95" i="161"/>
  <c r="U96" i="161"/>
  <c r="U97" i="161"/>
  <c r="U98" i="161"/>
  <c r="U99" i="161"/>
  <c r="U100" i="161"/>
  <c r="U101" i="161"/>
  <c r="U102" i="161"/>
  <c r="U103" i="161"/>
  <c r="U104" i="161"/>
  <c r="U105" i="161"/>
  <c r="U106" i="161"/>
  <c r="U107" i="161"/>
  <c r="U108" i="161"/>
  <c r="U109" i="161"/>
  <c r="U110" i="161"/>
  <c r="U111" i="161"/>
  <c r="U112" i="161"/>
  <c r="U113" i="161"/>
  <c r="U114" i="161"/>
  <c r="U115" i="161"/>
  <c r="U116" i="161"/>
  <c r="U117" i="161"/>
  <c r="U118" i="161"/>
  <c r="U119" i="161"/>
  <c r="U120" i="161"/>
  <c r="U121" i="161"/>
  <c r="U122" i="161"/>
  <c r="U123" i="161"/>
  <c r="U124" i="161"/>
  <c r="U9" i="162"/>
  <c r="U10" i="162"/>
  <c r="U11" i="162"/>
  <c r="U12" i="162"/>
  <c r="U13" i="162"/>
  <c r="U14" i="162"/>
  <c r="U15" i="162"/>
  <c r="U16" i="162"/>
  <c r="U17" i="162"/>
  <c r="U18" i="162"/>
  <c r="U19" i="162"/>
  <c r="U20" i="162"/>
  <c r="U21" i="162"/>
  <c r="U22" i="162"/>
  <c r="U23" i="162"/>
  <c r="U24" i="162"/>
  <c r="U25" i="162"/>
  <c r="U26" i="162"/>
  <c r="U27" i="162"/>
  <c r="U28" i="162"/>
  <c r="U29" i="162"/>
  <c r="U30" i="162"/>
  <c r="U31" i="162"/>
  <c r="U32" i="162"/>
  <c r="U33" i="162"/>
  <c r="U34" i="162"/>
  <c r="U35" i="162"/>
  <c r="U36" i="162"/>
  <c r="U37" i="162"/>
  <c r="U38" i="162"/>
  <c r="U39" i="162"/>
  <c r="U40" i="162"/>
  <c r="U41" i="162"/>
  <c r="U42" i="162"/>
  <c r="U43" i="162"/>
  <c r="U44" i="162"/>
  <c r="U45" i="162"/>
  <c r="U46" i="162"/>
  <c r="U47" i="162"/>
  <c r="U48" i="162"/>
  <c r="U49" i="162"/>
  <c r="U50" i="162"/>
  <c r="U51" i="162"/>
  <c r="U52" i="162"/>
  <c r="U53" i="162"/>
  <c r="U54" i="162"/>
  <c r="U55" i="162"/>
  <c r="U56" i="162"/>
  <c r="U57" i="162"/>
  <c r="U58" i="162"/>
  <c r="U59" i="162"/>
  <c r="U60" i="162"/>
  <c r="U61" i="162"/>
  <c r="U62" i="162"/>
  <c r="U63" i="162"/>
  <c r="U64" i="162"/>
  <c r="U65" i="162"/>
  <c r="U66" i="162"/>
  <c r="U67" i="162"/>
  <c r="U68" i="162"/>
  <c r="U69" i="162"/>
  <c r="U70" i="162"/>
  <c r="AH16" i="135"/>
  <c r="U71" i="162"/>
  <c r="U72" i="162"/>
  <c r="U73" i="162"/>
  <c r="U74" i="162"/>
  <c r="U75" i="162"/>
  <c r="U76" i="162"/>
  <c r="U77" i="162"/>
  <c r="U78" i="162"/>
  <c r="U79" i="162"/>
  <c r="U80" i="162"/>
  <c r="U81" i="162"/>
  <c r="U82" i="162"/>
  <c r="U83" i="162"/>
  <c r="U84" i="162"/>
  <c r="U85" i="162"/>
  <c r="U86" i="162"/>
  <c r="U87" i="162"/>
  <c r="U88" i="162"/>
  <c r="U89" i="162"/>
  <c r="U90" i="162"/>
  <c r="U91" i="162"/>
  <c r="U92" i="162"/>
  <c r="U93" i="162"/>
  <c r="U94" i="162"/>
  <c r="U95" i="162"/>
  <c r="U96" i="162"/>
  <c r="U97" i="162"/>
  <c r="U98" i="162"/>
  <c r="U99" i="162"/>
  <c r="U100" i="162"/>
  <c r="U101" i="162"/>
  <c r="U102" i="162"/>
  <c r="U103" i="162"/>
  <c r="U104" i="162"/>
  <c r="U105" i="162"/>
  <c r="U106" i="162"/>
  <c r="U107" i="162"/>
  <c r="U108" i="162"/>
  <c r="U109" i="162"/>
  <c r="U110" i="162"/>
  <c r="U111" i="162"/>
  <c r="U112" i="162"/>
  <c r="U113" i="162"/>
  <c r="U114" i="162"/>
  <c r="U115" i="162"/>
  <c r="U116" i="162"/>
  <c r="U117" i="162"/>
  <c r="U118" i="162"/>
  <c r="U119" i="162"/>
  <c r="U120" i="162"/>
  <c r="U121" i="162"/>
  <c r="U122" i="162"/>
  <c r="U123" i="162"/>
  <c r="U124" i="162"/>
  <c r="AH12" i="135"/>
  <c r="U9" i="159"/>
  <c r="U10" i="159"/>
  <c r="U11" i="159"/>
  <c r="U12" i="159"/>
  <c r="U13" i="159"/>
  <c r="U14" i="159"/>
  <c r="U15" i="159"/>
  <c r="U16" i="159"/>
  <c r="Y3" i="135"/>
  <c r="O9" i="159"/>
  <c r="O10" i="159"/>
  <c r="O11" i="159"/>
  <c r="O12" i="159"/>
  <c r="O13" i="159"/>
  <c r="O14" i="159"/>
  <c r="O15" i="159"/>
  <c r="O16" i="159"/>
  <c r="U9" i="158"/>
  <c r="U10" i="158"/>
  <c r="U11" i="158"/>
  <c r="U12" i="158"/>
  <c r="U13" i="158"/>
  <c r="U14" i="158"/>
  <c r="U15" i="158"/>
  <c r="U16" i="158"/>
  <c r="P3" i="135"/>
  <c r="H9" i="158"/>
  <c r="H10" i="158"/>
  <c r="H11" i="158"/>
  <c r="H12" i="158"/>
  <c r="O9" i="158"/>
  <c r="O10" i="158"/>
  <c r="O11" i="158"/>
  <c r="O12" i="158"/>
  <c r="H13" i="158"/>
  <c r="H14" i="158"/>
  <c r="H15" i="158"/>
  <c r="H16" i="158"/>
  <c r="O13" i="158"/>
  <c r="O14" i="158"/>
  <c r="O15" i="158"/>
  <c r="O16" i="158"/>
  <c r="U9" i="157"/>
  <c r="U10" i="157"/>
  <c r="U11" i="157"/>
  <c r="U12" i="157"/>
  <c r="U13" i="157"/>
  <c r="U14" i="157"/>
  <c r="U15" i="157"/>
  <c r="U16" i="157"/>
  <c r="G3" i="135"/>
  <c r="O9" i="157"/>
  <c r="O10" i="157"/>
  <c r="O11" i="157"/>
  <c r="O12" i="157"/>
  <c r="O13" i="157"/>
  <c r="O14" i="157"/>
  <c r="O15" i="157"/>
  <c r="O16" i="157"/>
  <c r="H9" i="160"/>
  <c r="H10" i="160"/>
  <c r="H11" i="160"/>
  <c r="H12" i="160"/>
  <c r="H13" i="160"/>
  <c r="H14" i="160"/>
  <c r="H15" i="160"/>
  <c r="H16" i="160"/>
  <c r="H17" i="160"/>
  <c r="H18" i="160"/>
  <c r="H19" i="160"/>
  <c r="H20" i="160"/>
  <c r="H21" i="160"/>
  <c r="H22" i="160"/>
  <c r="H23" i="160"/>
  <c r="H24" i="160"/>
  <c r="H25" i="160"/>
  <c r="H26" i="160"/>
  <c r="H27" i="160"/>
  <c r="H28" i="160"/>
  <c r="H29" i="160"/>
  <c r="H30" i="160"/>
  <c r="H31" i="160"/>
  <c r="H32" i="160"/>
  <c r="H33" i="160"/>
  <c r="H34" i="160"/>
  <c r="H35" i="160"/>
  <c r="H36" i="160"/>
  <c r="H37" i="160"/>
  <c r="H38" i="160"/>
  <c r="H39" i="160"/>
  <c r="H40" i="160"/>
  <c r="H41" i="160"/>
  <c r="H42" i="160"/>
  <c r="H43" i="160"/>
  <c r="H44" i="160"/>
  <c r="H45" i="160"/>
  <c r="H46" i="160"/>
  <c r="H47" i="160"/>
  <c r="H48" i="160"/>
  <c r="H49" i="160"/>
  <c r="H50" i="160"/>
  <c r="H51" i="160"/>
  <c r="H52" i="160"/>
  <c r="H53" i="160"/>
  <c r="H54" i="160"/>
  <c r="H55" i="160"/>
  <c r="H56" i="160"/>
  <c r="H57" i="160"/>
  <c r="H58" i="160"/>
  <c r="H59" i="160"/>
  <c r="H60" i="160"/>
  <c r="H61" i="160"/>
  <c r="H62" i="160"/>
  <c r="H63" i="160"/>
  <c r="H64" i="160"/>
  <c r="H65" i="160"/>
  <c r="H66" i="160"/>
  <c r="H67" i="160"/>
  <c r="H68" i="160"/>
  <c r="H69" i="160"/>
  <c r="H70" i="160"/>
  <c r="H71" i="160"/>
  <c r="H72" i="160"/>
  <c r="H73" i="160"/>
  <c r="H74" i="160"/>
  <c r="H75" i="160"/>
  <c r="H76" i="160"/>
  <c r="H77" i="160"/>
  <c r="H78" i="160"/>
  <c r="H79" i="160"/>
  <c r="H80" i="160"/>
  <c r="H81" i="160"/>
  <c r="H82" i="160"/>
  <c r="H83" i="160"/>
  <c r="H84" i="160"/>
  <c r="H85" i="160"/>
  <c r="H86" i="160"/>
  <c r="H87" i="160"/>
  <c r="H88" i="160"/>
  <c r="H89" i="160"/>
  <c r="H90" i="160"/>
  <c r="H91" i="160"/>
  <c r="H92" i="160"/>
  <c r="H93" i="160"/>
  <c r="H94" i="160"/>
  <c r="H95" i="160"/>
  <c r="H96" i="160"/>
  <c r="H97" i="160"/>
  <c r="H98" i="160"/>
  <c r="H99" i="160"/>
  <c r="H100" i="160"/>
  <c r="H101" i="160"/>
  <c r="H102" i="160"/>
  <c r="H103" i="160"/>
  <c r="H104" i="160"/>
  <c r="H105" i="160"/>
  <c r="H106" i="160"/>
  <c r="H107" i="160"/>
  <c r="H108" i="160"/>
  <c r="H109" i="160"/>
  <c r="H110" i="160"/>
  <c r="H111" i="160"/>
  <c r="H112" i="160"/>
  <c r="H113" i="160"/>
  <c r="H114" i="160"/>
  <c r="H115" i="160"/>
  <c r="H116" i="160"/>
  <c r="H117" i="160"/>
  <c r="H118" i="160"/>
  <c r="H119" i="160"/>
  <c r="H120" i="160"/>
  <c r="H121" i="160"/>
  <c r="H122" i="160"/>
  <c r="H123" i="160"/>
  <c r="H124" i="160"/>
  <c r="H9" i="161"/>
  <c r="H10" i="161"/>
  <c r="H11" i="161"/>
  <c r="H12" i="161"/>
  <c r="H13" i="161"/>
  <c r="H14" i="161"/>
  <c r="H15" i="161"/>
  <c r="H16" i="161"/>
  <c r="H17" i="161"/>
  <c r="H18" i="161"/>
  <c r="H19" i="161"/>
  <c r="H20" i="161"/>
  <c r="H21" i="161"/>
  <c r="H22" i="161"/>
  <c r="H23" i="161"/>
  <c r="H24" i="161"/>
  <c r="H25" i="161"/>
  <c r="H26" i="161"/>
  <c r="H27" i="161"/>
  <c r="H28" i="161"/>
  <c r="H29" i="161"/>
  <c r="H30" i="161"/>
  <c r="H31" i="161"/>
  <c r="H32" i="161"/>
  <c r="H33" i="161"/>
  <c r="H34" i="161"/>
  <c r="H35" i="161"/>
  <c r="H36" i="161"/>
  <c r="H37" i="161"/>
  <c r="H38" i="161"/>
  <c r="H39" i="161"/>
  <c r="H40" i="161"/>
  <c r="H41" i="161"/>
  <c r="H42" i="161"/>
  <c r="H43" i="161"/>
  <c r="H44" i="161"/>
  <c r="H45" i="161"/>
  <c r="H46" i="161"/>
  <c r="H47" i="161"/>
  <c r="H48" i="161"/>
  <c r="H49" i="161"/>
  <c r="H50" i="161"/>
  <c r="H51" i="161"/>
  <c r="H52" i="161"/>
  <c r="H53" i="161"/>
  <c r="H54" i="161"/>
  <c r="H55" i="161"/>
  <c r="H56" i="161"/>
  <c r="H57" i="161"/>
  <c r="H58" i="161"/>
  <c r="H59" i="161"/>
  <c r="H60" i="161"/>
  <c r="H61" i="161"/>
  <c r="H62" i="161"/>
  <c r="H63" i="161"/>
  <c r="H64" i="161"/>
  <c r="H65" i="161"/>
  <c r="H66" i="161"/>
  <c r="H67" i="161"/>
  <c r="H68" i="161"/>
  <c r="H69" i="161"/>
  <c r="H70" i="161"/>
  <c r="H71" i="161"/>
  <c r="H72" i="161"/>
  <c r="H73" i="161"/>
  <c r="H74" i="161"/>
  <c r="H75" i="161"/>
  <c r="H76" i="161"/>
  <c r="H77" i="161"/>
  <c r="H78" i="161"/>
  <c r="H79" i="161"/>
  <c r="H80" i="161"/>
  <c r="H81" i="161"/>
  <c r="H82" i="161"/>
  <c r="H83" i="161"/>
  <c r="H84" i="161"/>
  <c r="H85" i="161"/>
  <c r="H86" i="161"/>
  <c r="H87" i="161"/>
  <c r="H88" i="161"/>
  <c r="H89" i="161"/>
  <c r="H90" i="161"/>
  <c r="H91" i="161"/>
  <c r="H92" i="161"/>
  <c r="H93" i="161"/>
  <c r="H94" i="161"/>
  <c r="H95" i="161"/>
  <c r="H96" i="161"/>
  <c r="H97" i="161"/>
  <c r="H98" i="161"/>
  <c r="H99" i="161"/>
  <c r="H100" i="161"/>
  <c r="H101" i="161"/>
  <c r="H102" i="161"/>
  <c r="H103" i="161"/>
  <c r="H104" i="161"/>
  <c r="H105" i="161"/>
  <c r="H106" i="161"/>
  <c r="H107" i="161"/>
  <c r="H108" i="161"/>
  <c r="H109" i="161"/>
  <c r="H110" i="161"/>
  <c r="H111" i="161"/>
  <c r="H112" i="161"/>
  <c r="H113" i="161"/>
  <c r="H114" i="161"/>
  <c r="H115" i="161"/>
  <c r="H116" i="161"/>
  <c r="H117" i="161"/>
  <c r="H118" i="161"/>
  <c r="H119" i="161"/>
  <c r="H120" i="161"/>
  <c r="H121" i="161"/>
  <c r="H122" i="161"/>
  <c r="H123" i="161"/>
  <c r="H124" i="161"/>
  <c r="H9" i="162"/>
  <c r="H10" i="162"/>
  <c r="H11" i="162"/>
  <c r="H12" i="162"/>
  <c r="H13" i="162"/>
  <c r="H14" i="162"/>
  <c r="H15" i="162"/>
  <c r="H16" i="162"/>
  <c r="H17" i="162"/>
  <c r="H18" i="162"/>
  <c r="H19" i="162"/>
  <c r="H20" i="162"/>
  <c r="H21" i="162"/>
  <c r="H22" i="162"/>
  <c r="H23" i="162"/>
  <c r="H24" i="162"/>
  <c r="H25" i="162"/>
  <c r="H26" i="162"/>
  <c r="H27" i="162"/>
  <c r="H28" i="162"/>
  <c r="H29" i="162"/>
  <c r="H30" i="162"/>
  <c r="H31" i="162"/>
  <c r="H32" i="162"/>
  <c r="H33" i="162"/>
  <c r="H34" i="162"/>
  <c r="H35" i="162"/>
  <c r="H36" i="162"/>
  <c r="H37" i="162"/>
  <c r="H38" i="162"/>
  <c r="H39" i="162"/>
  <c r="H40" i="162"/>
  <c r="H41" i="162"/>
  <c r="H42" i="162"/>
  <c r="H43" i="162"/>
  <c r="H44" i="162"/>
  <c r="H45" i="162"/>
  <c r="H46" i="162"/>
  <c r="H47" i="162"/>
  <c r="H48" i="162"/>
  <c r="H49" i="162"/>
  <c r="H50" i="162"/>
  <c r="H51" i="162"/>
  <c r="H52" i="162"/>
  <c r="H53" i="162"/>
  <c r="H54" i="162"/>
  <c r="H55" i="162"/>
  <c r="H56" i="162"/>
  <c r="H57" i="162"/>
  <c r="H58" i="162"/>
  <c r="H59" i="162"/>
  <c r="H60" i="162"/>
  <c r="H61" i="162"/>
  <c r="H62" i="162"/>
  <c r="H63" i="162"/>
  <c r="H64" i="162"/>
  <c r="H65" i="162"/>
  <c r="H66" i="162"/>
  <c r="H67" i="162"/>
  <c r="H68" i="162"/>
  <c r="H69" i="162"/>
  <c r="H70" i="162"/>
  <c r="H71" i="162"/>
  <c r="H72" i="162"/>
  <c r="H73" i="162"/>
  <c r="H74" i="162"/>
  <c r="H75" i="162"/>
  <c r="H76" i="162"/>
  <c r="H77" i="162"/>
  <c r="H78" i="162"/>
  <c r="H79" i="162"/>
  <c r="H80" i="162"/>
  <c r="H81" i="162"/>
  <c r="H82" i="162"/>
  <c r="H83" i="162"/>
  <c r="H84" i="162"/>
  <c r="H85" i="162"/>
  <c r="H86" i="162"/>
  <c r="H87" i="162"/>
  <c r="H88" i="162"/>
  <c r="H89" i="162"/>
  <c r="H90" i="162"/>
  <c r="H91" i="162"/>
  <c r="H92" i="162"/>
  <c r="H93" i="162"/>
  <c r="H94" i="162"/>
  <c r="H95" i="162"/>
  <c r="H96" i="162"/>
  <c r="H97" i="162"/>
  <c r="H98" i="162"/>
  <c r="H99" i="162"/>
  <c r="H100" i="162"/>
  <c r="H101" i="162"/>
  <c r="H102" i="162"/>
  <c r="H103" i="162"/>
  <c r="H104" i="162"/>
  <c r="H105" i="162"/>
  <c r="H106" i="162"/>
  <c r="H107" i="162"/>
  <c r="H108" i="162"/>
  <c r="H109" i="162"/>
  <c r="H110" i="162"/>
  <c r="H111" i="162"/>
  <c r="H112" i="162"/>
  <c r="H113" i="162"/>
  <c r="H114" i="162"/>
  <c r="H115" i="162"/>
  <c r="H116" i="162"/>
  <c r="H117" i="162"/>
  <c r="H118" i="162"/>
  <c r="H119" i="162"/>
  <c r="H120" i="162"/>
  <c r="H121" i="162"/>
  <c r="H122" i="162"/>
  <c r="H123" i="162"/>
  <c r="H124" i="162"/>
  <c r="H9" i="163"/>
  <c r="H10" i="163"/>
  <c r="H11" i="163"/>
  <c r="H12" i="163"/>
  <c r="H13" i="163"/>
  <c r="H14" i="163"/>
  <c r="H15" i="163"/>
  <c r="H16" i="163"/>
  <c r="H17" i="163"/>
  <c r="H18" i="163"/>
  <c r="H19" i="163"/>
  <c r="H20" i="163"/>
  <c r="H21" i="163"/>
  <c r="H22" i="163"/>
  <c r="H23" i="163"/>
  <c r="H24" i="163"/>
  <c r="H25" i="163"/>
  <c r="H26" i="163"/>
  <c r="H27" i="163"/>
  <c r="H28" i="163"/>
  <c r="H29" i="163"/>
  <c r="H30" i="163"/>
  <c r="H31" i="163"/>
  <c r="H32" i="163"/>
  <c r="H33" i="163"/>
  <c r="H34" i="163"/>
  <c r="H35" i="163"/>
  <c r="H36" i="163"/>
  <c r="H37" i="163"/>
  <c r="H38" i="163"/>
  <c r="H39" i="163"/>
  <c r="H40" i="163"/>
  <c r="H41" i="163"/>
  <c r="H42" i="163"/>
  <c r="H43" i="163"/>
  <c r="H44" i="163"/>
  <c r="H45" i="163"/>
  <c r="H46" i="163"/>
  <c r="H47" i="163"/>
  <c r="H48" i="163"/>
  <c r="H49" i="163"/>
  <c r="H50" i="163"/>
  <c r="H51" i="163"/>
  <c r="H52" i="163"/>
  <c r="H53" i="163"/>
  <c r="H54" i="163"/>
  <c r="H55" i="163"/>
  <c r="H56" i="163"/>
  <c r="H57" i="163"/>
  <c r="H58" i="163"/>
  <c r="H59" i="163"/>
  <c r="H60" i="163"/>
  <c r="H61" i="163"/>
  <c r="H62" i="163"/>
  <c r="H63" i="163"/>
  <c r="H64" i="163"/>
  <c r="H65" i="163"/>
  <c r="H66" i="163"/>
  <c r="H67" i="163"/>
  <c r="H68" i="163"/>
  <c r="H69" i="163"/>
  <c r="H70" i="163"/>
  <c r="H71" i="163"/>
  <c r="H72" i="163"/>
  <c r="H73" i="163"/>
  <c r="H74" i="163"/>
  <c r="H75" i="163"/>
  <c r="H76" i="163"/>
  <c r="H77" i="163"/>
  <c r="H78" i="163"/>
  <c r="H79" i="163"/>
  <c r="H80" i="163"/>
  <c r="H81" i="163"/>
  <c r="H82" i="163"/>
  <c r="H83" i="163"/>
  <c r="H84" i="163"/>
  <c r="H85" i="163"/>
  <c r="H86" i="163"/>
  <c r="H87" i="163"/>
  <c r="H88" i="163"/>
  <c r="H89" i="163"/>
  <c r="H90" i="163"/>
  <c r="H91" i="163"/>
  <c r="H92" i="163"/>
  <c r="H93" i="163"/>
  <c r="H94" i="163"/>
  <c r="H95" i="163"/>
  <c r="H96" i="163"/>
  <c r="H97" i="163"/>
  <c r="H98" i="163"/>
  <c r="H99" i="163"/>
  <c r="H100" i="163"/>
  <c r="H101" i="163"/>
  <c r="H102" i="163"/>
  <c r="H103" i="163"/>
  <c r="H104" i="163"/>
  <c r="H105" i="163"/>
  <c r="H106" i="163"/>
  <c r="H107" i="163"/>
  <c r="H108" i="163"/>
  <c r="H109" i="163"/>
  <c r="H110" i="163"/>
  <c r="H111" i="163"/>
  <c r="H112" i="163"/>
  <c r="H113" i="163"/>
  <c r="H114" i="163"/>
  <c r="H115" i="163"/>
  <c r="H116" i="163"/>
  <c r="H117" i="163"/>
  <c r="H118" i="163"/>
  <c r="H119" i="163"/>
  <c r="H120" i="163"/>
  <c r="H121" i="163"/>
  <c r="H122" i="163"/>
  <c r="H123" i="163"/>
  <c r="H124" i="163"/>
  <c r="H131" i="158"/>
  <c r="H132" i="158"/>
  <c r="H133" i="158"/>
  <c r="H134" i="158"/>
  <c r="H135" i="158"/>
  <c r="H136" i="158"/>
  <c r="H137" i="158"/>
  <c r="H138" i="158"/>
  <c r="H139" i="158"/>
  <c r="H140" i="158"/>
  <c r="H141" i="158"/>
  <c r="H142" i="158"/>
  <c r="H143" i="158"/>
  <c r="H144" i="158"/>
  <c r="H145" i="158"/>
  <c r="H146" i="158"/>
  <c r="H147" i="158"/>
  <c r="H148" i="158"/>
  <c r="H149" i="158"/>
  <c r="H150" i="158"/>
  <c r="H151" i="158"/>
  <c r="H152" i="158"/>
  <c r="H153" i="158"/>
  <c r="H154" i="158"/>
  <c r="H155" i="158"/>
  <c r="H156" i="158"/>
  <c r="H157" i="158"/>
  <c r="H158" i="158"/>
  <c r="H159" i="158"/>
  <c r="H160" i="158"/>
  <c r="H161" i="158"/>
  <c r="H162" i="158"/>
  <c r="H163" i="158"/>
  <c r="H164" i="158"/>
  <c r="H165" i="158"/>
  <c r="H166" i="158"/>
  <c r="H167" i="158"/>
  <c r="H168" i="158"/>
  <c r="H169" i="158"/>
  <c r="H170" i="158"/>
  <c r="H171" i="158"/>
  <c r="H172" i="158"/>
  <c r="H173" i="158"/>
  <c r="H174" i="158"/>
  <c r="H175" i="158"/>
  <c r="H176" i="158"/>
  <c r="H177" i="158"/>
  <c r="H178" i="158"/>
  <c r="H179" i="158"/>
  <c r="H180" i="158"/>
  <c r="H181" i="158"/>
  <c r="H182" i="158"/>
  <c r="H183" i="158"/>
  <c r="H184" i="158"/>
  <c r="H185" i="158"/>
  <c r="H186" i="158"/>
  <c r="H187" i="158"/>
  <c r="H188" i="158"/>
  <c r="H189" i="158"/>
  <c r="H190" i="158"/>
  <c r="H191" i="158"/>
  <c r="H192" i="158"/>
  <c r="H193" i="158"/>
  <c r="H194" i="158"/>
  <c r="H195" i="158"/>
  <c r="H196" i="158"/>
  <c r="H197" i="158"/>
  <c r="H198" i="158"/>
  <c r="H199" i="158"/>
  <c r="H200" i="158"/>
  <c r="H201" i="158"/>
  <c r="H202" i="158"/>
  <c r="H203" i="158"/>
  <c r="H204" i="158"/>
  <c r="H205" i="158"/>
  <c r="H206" i="158"/>
  <c r="H207" i="158"/>
  <c r="H208" i="158"/>
  <c r="H209" i="158"/>
  <c r="H210" i="158"/>
  <c r="H211" i="158"/>
  <c r="H212" i="158"/>
  <c r="H213" i="158"/>
  <c r="H214" i="158"/>
  <c r="H215" i="158"/>
  <c r="H216" i="158"/>
  <c r="H217" i="158"/>
  <c r="H218" i="158"/>
  <c r="H219" i="158"/>
  <c r="H220" i="158"/>
  <c r="H221" i="158"/>
  <c r="H222" i="158"/>
  <c r="H223" i="158"/>
  <c r="H224" i="158"/>
  <c r="H225" i="158"/>
  <c r="H226" i="158"/>
  <c r="H227" i="158"/>
  <c r="H228" i="158"/>
  <c r="H229" i="158"/>
  <c r="H230" i="158"/>
  <c r="H231" i="158"/>
  <c r="H232" i="158"/>
  <c r="H233" i="158"/>
  <c r="H234" i="158"/>
  <c r="H235" i="158"/>
  <c r="H236" i="158"/>
  <c r="H237" i="158"/>
  <c r="H238" i="158"/>
  <c r="H239" i="158"/>
  <c r="H240" i="158"/>
  <c r="H241" i="158"/>
  <c r="H242" i="158"/>
  <c r="H243" i="158"/>
  <c r="H244" i="158"/>
  <c r="H245" i="158"/>
  <c r="H246" i="158"/>
  <c r="Y15" i="135"/>
  <c r="P15" i="135"/>
  <c r="G15" i="135"/>
  <c r="Y14" i="135"/>
  <c r="P14" i="135"/>
  <c r="G14" i="135"/>
  <c r="Y13" i="135"/>
  <c r="P13" i="135"/>
  <c r="G13" i="135"/>
  <c r="Y12" i="135"/>
  <c r="P12" i="135"/>
  <c r="G12" i="135"/>
  <c r="Y11" i="135"/>
  <c r="P11" i="135"/>
  <c r="G11" i="135"/>
  <c r="Y10" i="135"/>
  <c r="P10" i="135"/>
  <c r="G10" i="135"/>
  <c r="U17" i="159"/>
  <c r="U18" i="159"/>
  <c r="U19" i="159"/>
  <c r="U20" i="159"/>
  <c r="U21" i="159"/>
  <c r="U22" i="159"/>
  <c r="U23" i="159"/>
  <c r="U24" i="159"/>
  <c r="U25" i="159"/>
  <c r="U26" i="159"/>
  <c r="U27" i="159"/>
  <c r="U28" i="159"/>
  <c r="U29" i="159"/>
  <c r="U30" i="159"/>
  <c r="U31" i="159"/>
  <c r="U32" i="159"/>
  <c r="U33" i="159"/>
  <c r="U34" i="159"/>
  <c r="U35" i="159"/>
  <c r="U36" i="159"/>
  <c r="U37" i="159"/>
  <c r="U38" i="159"/>
  <c r="U39" i="159"/>
  <c r="U40" i="159"/>
  <c r="U41" i="159"/>
  <c r="U42" i="159"/>
  <c r="U43" i="159"/>
  <c r="U44" i="159"/>
  <c r="U45" i="159"/>
  <c r="U46" i="159"/>
  <c r="U47" i="159"/>
  <c r="U48" i="159"/>
  <c r="U49" i="159"/>
  <c r="U50" i="159"/>
  <c r="U51" i="159"/>
  <c r="U52" i="159"/>
  <c r="U53" i="159"/>
  <c r="U54" i="159"/>
  <c r="U55" i="159"/>
  <c r="U56" i="159"/>
  <c r="U57" i="159"/>
  <c r="U58" i="159"/>
  <c r="U59" i="159"/>
  <c r="U60" i="159"/>
  <c r="U61" i="159"/>
  <c r="U62" i="159"/>
  <c r="U63" i="159"/>
  <c r="U64" i="159"/>
  <c r="U65" i="159"/>
  <c r="U66" i="159"/>
  <c r="U67" i="159"/>
  <c r="U68" i="159"/>
  <c r="U69" i="159"/>
  <c r="U70" i="159"/>
  <c r="U71" i="159"/>
  <c r="U72" i="159"/>
  <c r="U73" i="159"/>
  <c r="U74" i="159"/>
  <c r="U75" i="159"/>
  <c r="U76" i="159"/>
  <c r="U77" i="159"/>
  <c r="U78" i="159"/>
  <c r="U79" i="159"/>
  <c r="U80" i="159"/>
  <c r="U81" i="159"/>
  <c r="U82" i="159"/>
  <c r="U83" i="159"/>
  <c r="U84" i="159"/>
  <c r="U85" i="159"/>
  <c r="U86" i="159"/>
  <c r="U87" i="159"/>
  <c r="U88" i="159"/>
  <c r="U89" i="159"/>
  <c r="U90" i="159"/>
  <c r="U91" i="159"/>
  <c r="U92" i="159"/>
  <c r="U93" i="159"/>
  <c r="U94" i="159"/>
  <c r="U95" i="159"/>
  <c r="U96" i="159"/>
  <c r="U97" i="159"/>
  <c r="U98" i="159"/>
  <c r="U99" i="159"/>
  <c r="U100" i="159"/>
  <c r="U101" i="159"/>
  <c r="U102" i="159"/>
  <c r="U103" i="159"/>
  <c r="U104" i="159"/>
  <c r="U105" i="159"/>
  <c r="U106" i="159"/>
  <c r="U107" i="159"/>
  <c r="U108" i="159"/>
  <c r="U109" i="159"/>
  <c r="U110" i="159"/>
  <c r="U111" i="159"/>
  <c r="U112" i="159"/>
  <c r="U113" i="159"/>
  <c r="U114" i="159"/>
  <c r="U115" i="159"/>
  <c r="U116" i="159"/>
  <c r="U117" i="159"/>
  <c r="U118" i="159"/>
  <c r="U119" i="159"/>
  <c r="U120" i="159"/>
  <c r="U121" i="159"/>
  <c r="U122" i="159"/>
  <c r="U123" i="159"/>
  <c r="U124" i="159"/>
  <c r="U125" i="159"/>
  <c r="Y9" i="135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U17" i="158"/>
  <c r="U18" i="158"/>
  <c r="U19" i="158"/>
  <c r="U20" i="158"/>
  <c r="U21" i="158"/>
  <c r="U22" i="158"/>
  <c r="U23" i="158"/>
  <c r="U24" i="158"/>
  <c r="U25" i="158"/>
  <c r="U26" i="158"/>
  <c r="U27" i="158"/>
  <c r="U28" i="158"/>
  <c r="U29" i="158"/>
  <c r="U30" i="158"/>
  <c r="U31" i="158"/>
  <c r="U32" i="158"/>
  <c r="U33" i="158"/>
  <c r="U34" i="158"/>
  <c r="U35" i="158"/>
  <c r="U36" i="158"/>
  <c r="U37" i="158"/>
  <c r="U38" i="158"/>
  <c r="U39" i="158"/>
  <c r="U40" i="158"/>
  <c r="U41" i="158"/>
  <c r="U42" i="158"/>
  <c r="U43" i="158"/>
  <c r="U44" i="158"/>
  <c r="U45" i="158"/>
  <c r="U46" i="158"/>
  <c r="U47" i="158"/>
  <c r="U48" i="158"/>
  <c r="U49" i="158"/>
  <c r="U50" i="158"/>
  <c r="U51" i="158"/>
  <c r="U52" i="158"/>
  <c r="U53" i="158"/>
  <c r="U54" i="158"/>
  <c r="U55" i="158"/>
  <c r="U56" i="158"/>
  <c r="U57" i="158"/>
  <c r="U58" i="158"/>
  <c r="U59" i="158"/>
  <c r="U60" i="158"/>
  <c r="U61" i="158"/>
  <c r="U62" i="158"/>
  <c r="U63" i="158"/>
  <c r="U64" i="158"/>
  <c r="U65" i="158"/>
  <c r="U66" i="158"/>
  <c r="U67" i="158"/>
  <c r="U68" i="158"/>
  <c r="U69" i="158"/>
  <c r="U70" i="158"/>
  <c r="U71" i="158"/>
  <c r="U72" i="158"/>
  <c r="U73" i="158"/>
  <c r="U74" i="158"/>
  <c r="U75" i="158"/>
  <c r="U76" i="158"/>
  <c r="U77" i="158"/>
  <c r="U78" i="158"/>
  <c r="U79" i="158"/>
  <c r="U80" i="158"/>
  <c r="U81" i="158"/>
  <c r="U82" i="158"/>
  <c r="U83" i="158"/>
  <c r="U84" i="158"/>
  <c r="U85" i="158"/>
  <c r="U86" i="158"/>
  <c r="U87" i="158"/>
  <c r="U88" i="158"/>
  <c r="U89" i="158"/>
  <c r="U90" i="158"/>
  <c r="U91" i="158"/>
  <c r="U92" i="158"/>
  <c r="U93" i="158"/>
  <c r="U94" i="158"/>
  <c r="U95" i="158"/>
  <c r="U96" i="158"/>
  <c r="U97" i="158"/>
  <c r="U98" i="158"/>
  <c r="U99" i="158"/>
  <c r="U100" i="158"/>
  <c r="U101" i="158"/>
  <c r="U102" i="158"/>
  <c r="U103" i="158"/>
  <c r="U104" i="158"/>
  <c r="U105" i="158"/>
  <c r="U106" i="158"/>
  <c r="U107" i="158"/>
  <c r="U108" i="158"/>
  <c r="U109" i="158"/>
  <c r="U110" i="158"/>
  <c r="U111" i="158"/>
  <c r="U112" i="158"/>
  <c r="U113" i="158"/>
  <c r="U114" i="158"/>
  <c r="U115" i="158"/>
  <c r="U116" i="158"/>
  <c r="U117" i="158"/>
  <c r="U118" i="158"/>
  <c r="U119" i="158"/>
  <c r="U120" i="158"/>
  <c r="U121" i="158"/>
  <c r="U122" i="158"/>
  <c r="U123" i="158"/>
  <c r="U124" i="158"/>
  <c r="U125" i="158"/>
  <c r="P9" i="135"/>
  <c r="H17" i="158"/>
  <c r="H18" i="158"/>
  <c r="H19" i="158"/>
  <c r="H20" i="158"/>
  <c r="O17" i="158"/>
  <c r="O18" i="158"/>
  <c r="O19" i="158"/>
  <c r="O20" i="158"/>
  <c r="H21" i="158"/>
  <c r="H22" i="158"/>
  <c r="H23" i="158"/>
  <c r="H24" i="158"/>
  <c r="O21" i="158"/>
  <c r="O22" i="158"/>
  <c r="O23" i="158"/>
  <c r="O24" i="158"/>
  <c r="H25" i="158"/>
  <c r="H26" i="158"/>
  <c r="H27" i="158"/>
  <c r="H28" i="158"/>
  <c r="O25" i="158"/>
  <c r="O26" i="158"/>
  <c r="O27" i="158"/>
  <c r="O28" i="158"/>
  <c r="H29" i="158"/>
  <c r="H30" i="158"/>
  <c r="H31" i="158"/>
  <c r="H32" i="158"/>
  <c r="O29" i="158"/>
  <c r="O30" i="158"/>
  <c r="O31" i="158"/>
  <c r="O32" i="158"/>
  <c r="H33" i="158"/>
  <c r="H34" i="158"/>
  <c r="H35" i="158"/>
  <c r="H36" i="158"/>
  <c r="O33" i="158"/>
  <c r="O34" i="158"/>
  <c r="O35" i="158"/>
  <c r="O36" i="158"/>
  <c r="H37" i="158"/>
  <c r="H38" i="158"/>
  <c r="H39" i="158"/>
  <c r="H40" i="158"/>
  <c r="O37" i="158"/>
  <c r="O38" i="158"/>
  <c r="O39" i="158"/>
  <c r="O40" i="158"/>
  <c r="H41" i="158"/>
  <c r="H42" i="158"/>
  <c r="H43" i="158"/>
  <c r="H44" i="158"/>
  <c r="O41" i="158"/>
  <c r="O42" i="158"/>
  <c r="O43" i="158"/>
  <c r="O44" i="158"/>
  <c r="H45" i="158"/>
  <c r="H46" i="158"/>
  <c r="H47" i="158"/>
  <c r="H48" i="158"/>
  <c r="O45" i="158"/>
  <c r="O46" i="158"/>
  <c r="O47" i="158"/>
  <c r="O48" i="158"/>
  <c r="H49" i="158"/>
  <c r="H50" i="158"/>
  <c r="H51" i="158"/>
  <c r="H52" i="158"/>
  <c r="O49" i="158"/>
  <c r="O50" i="158"/>
  <c r="O51" i="158"/>
  <c r="O52" i="158"/>
  <c r="H53" i="158"/>
  <c r="H54" i="158"/>
  <c r="H55" i="158"/>
  <c r="H56" i="158"/>
  <c r="O53" i="158"/>
  <c r="O54" i="158"/>
  <c r="O55" i="158"/>
  <c r="O56" i="158"/>
  <c r="H57" i="158"/>
  <c r="H58" i="158"/>
  <c r="H59" i="158"/>
  <c r="H60" i="158"/>
  <c r="O57" i="158"/>
  <c r="O58" i="158"/>
  <c r="O59" i="158"/>
  <c r="O60" i="158"/>
  <c r="H61" i="158"/>
  <c r="H62" i="158"/>
  <c r="H63" i="158"/>
  <c r="H64" i="158"/>
  <c r="O61" i="158"/>
  <c r="O62" i="158"/>
  <c r="O63" i="158"/>
  <c r="O64" i="158"/>
  <c r="H65" i="158"/>
  <c r="H66" i="158"/>
  <c r="H67" i="158"/>
  <c r="H68" i="158"/>
  <c r="O65" i="158"/>
  <c r="O66" i="158"/>
  <c r="O67" i="158"/>
  <c r="O68" i="158"/>
  <c r="H69" i="158"/>
  <c r="H70" i="158"/>
  <c r="H71" i="158"/>
  <c r="H72" i="158"/>
  <c r="O69" i="158"/>
  <c r="O70" i="158"/>
  <c r="O71" i="158"/>
  <c r="O72" i="158"/>
  <c r="H73" i="158"/>
  <c r="H74" i="158"/>
  <c r="H75" i="158"/>
  <c r="H76" i="158"/>
  <c r="O73" i="158"/>
  <c r="O74" i="158"/>
  <c r="O75" i="158"/>
  <c r="O76" i="158"/>
  <c r="H77" i="158"/>
  <c r="H78" i="158"/>
  <c r="H79" i="158"/>
  <c r="H80" i="158"/>
  <c r="O77" i="158"/>
  <c r="O78" i="158"/>
  <c r="O79" i="158"/>
  <c r="O80" i="158"/>
  <c r="H81" i="158"/>
  <c r="H82" i="158"/>
  <c r="H83" i="158"/>
  <c r="H84" i="158"/>
  <c r="O81" i="158"/>
  <c r="O82" i="158"/>
  <c r="O83" i="158"/>
  <c r="O84" i="158"/>
  <c r="H85" i="158"/>
  <c r="H86" i="158"/>
  <c r="H87" i="158"/>
  <c r="H88" i="158"/>
  <c r="O85" i="158"/>
  <c r="O86" i="158"/>
  <c r="O87" i="158"/>
  <c r="O88" i="158"/>
  <c r="H89" i="158"/>
  <c r="H90" i="158"/>
  <c r="H91" i="158"/>
  <c r="H92" i="158"/>
  <c r="O89" i="158"/>
  <c r="O90" i="158"/>
  <c r="O91" i="158"/>
  <c r="O92" i="158"/>
  <c r="H93" i="158"/>
  <c r="H94" i="158"/>
  <c r="H95" i="158"/>
  <c r="H96" i="158"/>
  <c r="O93" i="158"/>
  <c r="O94" i="158"/>
  <c r="O95" i="158"/>
  <c r="O96" i="158"/>
  <c r="H97" i="158"/>
  <c r="H98" i="158"/>
  <c r="H99" i="158"/>
  <c r="H100" i="158"/>
  <c r="O97" i="158"/>
  <c r="O98" i="158"/>
  <c r="O99" i="158"/>
  <c r="O100" i="158"/>
  <c r="H101" i="158"/>
  <c r="H102" i="158"/>
  <c r="H103" i="158"/>
  <c r="H104" i="158"/>
  <c r="O101" i="158"/>
  <c r="O102" i="158"/>
  <c r="O103" i="158"/>
  <c r="O104" i="158"/>
  <c r="H105" i="158"/>
  <c r="H106" i="158"/>
  <c r="H107" i="158"/>
  <c r="H108" i="158"/>
  <c r="O105" i="158"/>
  <c r="O106" i="158"/>
  <c r="O107" i="158"/>
  <c r="O108" i="158"/>
  <c r="H109" i="158"/>
  <c r="H110" i="158"/>
  <c r="H111" i="158"/>
  <c r="H112" i="158"/>
  <c r="O109" i="158"/>
  <c r="O110" i="158"/>
  <c r="O111" i="158"/>
  <c r="O112" i="158"/>
  <c r="H113" i="158"/>
  <c r="H114" i="158"/>
  <c r="H115" i="158"/>
  <c r="H116" i="158"/>
  <c r="O113" i="158"/>
  <c r="O114" i="158"/>
  <c r="O115" i="158"/>
  <c r="O116" i="158"/>
  <c r="H117" i="158"/>
  <c r="H118" i="158"/>
  <c r="H119" i="158"/>
  <c r="H120" i="158"/>
  <c r="O117" i="158"/>
  <c r="O118" i="158"/>
  <c r="O119" i="158"/>
  <c r="O120" i="158"/>
  <c r="H121" i="158"/>
  <c r="H122" i="158"/>
  <c r="H123" i="158"/>
  <c r="H124" i="158"/>
  <c r="O121" i="158"/>
  <c r="O122" i="158"/>
  <c r="O123" i="158"/>
  <c r="O124" i="158"/>
  <c r="U17" i="157"/>
  <c r="U18" i="157"/>
  <c r="U19" i="157"/>
  <c r="U20" i="157"/>
  <c r="U21" i="157"/>
  <c r="U22" i="157"/>
  <c r="U23" i="157"/>
  <c r="U24" i="157"/>
  <c r="U25" i="157"/>
  <c r="U26" i="157"/>
  <c r="U27" i="157"/>
  <c r="U28" i="157"/>
  <c r="U29" i="157"/>
  <c r="U30" i="157"/>
  <c r="U31" i="157"/>
  <c r="U32" i="157"/>
  <c r="U33" i="157"/>
  <c r="U34" i="157"/>
  <c r="U35" i="157"/>
  <c r="U36" i="157"/>
  <c r="U37" i="157"/>
  <c r="U38" i="157"/>
  <c r="U39" i="157"/>
  <c r="U40" i="157"/>
  <c r="U41" i="157"/>
  <c r="U42" i="157"/>
  <c r="U43" i="157"/>
  <c r="U44" i="157"/>
  <c r="U45" i="157"/>
  <c r="U46" i="157"/>
  <c r="U47" i="157"/>
  <c r="U48" i="157"/>
  <c r="U49" i="157"/>
  <c r="U50" i="157"/>
  <c r="U51" i="157"/>
  <c r="U52" i="157"/>
  <c r="U53" i="157"/>
  <c r="U54" i="157"/>
  <c r="U55" i="157"/>
  <c r="U56" i="157"/>
  <c r="U57" i="157"/>
  <c r="U58" i="157"/>
  <c r="U59" i="157"/>
  <c r="U60" i="157"/>
  <c r="U61" i="157"/>
  <c r="U62" i="157"/>
  <c r="U63" i="157"/>
  <c r="U64" i="157"/>
  <c r="U65" i="157"/>
  <c r="U66" i="157"/>
  <c r="U67" i="157"/>
  <c r="U68" i="157"/>
  <c r="U69" i="157"/>
  <c r="U70" i="157"/>
  <c r="U71" i="157"/>
  <c r="U72" i="157"/>
  <c r="U73" i="157"/>
  <c r="U74" i="157"/>
  <c r="U75" i="157"/>
  <c r="U76" i="157"/>
  <c r="U77" i="157"/>
  <c r="U78" i="157"/>
  <c r="U79" i="157"/>
  <c r="U80" i="157"/>
  <c r="U81" i="157"/>
  <c r="U82" i="157"/>
  <c r="U83" i="157"/>
  <c r="U84" i="157"/>
  <c r="U85" i="157"/>
  <c r="U86" i="157"/>
  <c r="U87" i="157"/>
  <c r="U88" i="157"/>
  <c r="U89" i="157"/>
  <c r="U90" i="157"/>
  <c r="U91" i="157"/>
  <c r="U92" i="157"/>
  <c r="U93" i="157"/>
  <c r="U94" i="157"/>
  <c r="U95" i="157"/>
  <c r="U96" i="157"/>
  <c r="U97" i="157"/>
  <c r="U98" i="157"/>
  <c r="U99" i="157"/>
  <c r="U100" i="157"/>
  <c r="U101" i="157"/>
  <c r="U102" i="157"/>
  <c r="U103" i="157"/>
  <c r="U104" i="157"/>
  <c r="U105" i="157"/>
  <c r="U106" i="157"/>
  <c r="U107" i="157"/>
  <c r="U108" i="157"/>
  <c r="U109" i="157"/>
  <c r="U110" i="157"/>
  <c r="U111" i="157"/>
  <c r="U112" i="157"/>
  <c r="U113" i="157"/>
  <c r="U114" i="157"/>
  <c r="U115" i="157"/>
  <c r="U116" i="157"/>
  <c r="U117" i="157"/>
  <c r="U118" i="157"/>
  <c r="U119" i="157"/>
  <c r="U120" i="157"/>
  <c r="U121" i="157"/>
  <c r="U122" i="157"/>
  <c r="U123" i="157"/>
  <c r="U124" i="157"/>
  <c r="U125" i="157"/>
  <c r="G9" i="135"/>
  <c r="O17" i="157"/>
  <c r="O18" i="157"/>
  <c r="O19" i="157"/>
  <c r="O20" i="157"/>
  <c r="O21" i="157"/>
  <c r="O22" i="157"/>
  <c r="O23" i="157"/>
  <c r="O24" i="157"/>
  <c r="O25" i="157"/>
  <c r="O26" i="157"/>
  <c r="O27" i="157"/>
  <c r="O28" i="157"/>
  <c r="O29" i="157"/>
  <c r="O30" i="157"/>
  <c r="O31" i="157"/>
  <c r="O32" i="157"/>
  <c r="O33" i="157"/>
  <c r="O34" i="157"/>
  <c r="O35" i="157"/>
  <c r="O36" i="157"/>
  <c r="O37" i="157"/>
  <c r="O38" i="157"/>
  <c r="O39" i="157"/>
  <c r="O40" i="157"/>
  <c r="O41" i="157"/>
  <c r="O42" i="157"/>
  <c r="O43" i="157"/>
  <c r="O44" i="157"/>
  <c r="O45" i="157"/>
  <c r="O46" i="157"/>
  <c r="O47" i="157"/>
  <c r="O48" i="157"/>
  <c r="O49" i="157"/>
  <c r="O50" i="157"/>
  <c r="O51" i="157"/>
  <c r="O52" i="157"/>
  <c r="O53" i="157"/>
  <c r="O54" i="157"/>
  <c r="O55" i="157"/>
  <c r="O56" i="157"/>
  <c r="O57" i="157"/>
  <c r="O58" i="157"/>
  <c r="O59" i="157"/>
  <c r="O60" i="157"/>
  <c r="O61" i="157"/>
  <c r="O62" i="157"/>
  <c r="O63" i="157"/>
  <c r="O64" i="157"/>
  <c r="O65" i="157"/>
  <c r="O66" i="157"/>
  <c r="O67" i="157"/>
  <c r="O68" i="157"/>
  <c r="O69" i="157"/>
  <c r="O70" i="157"/>
  <c r="O71" i="157"/>
  <c r="O72" i="157"/>
  <c r="O73" i="157"/>
  <c r="O74" i="157"/>
  <c r="O75" i="157"/>
  <c r="O76" i="157"/>
  <c r="O77" i="157"/>
  <c r="O78" i="157"/>
  <c r="O79" i="157"/>
  <c r="O80" i="157"/>
  <c r="O81" i="157"/>
  <c r="O82" i="157"/>
  <c r="O83" i="157"/>
  <c r="O84" i="157"/>
  <c r="O85" i="157"/>
  <c r="O86" i="157"/>
  <c r="O87" i="157"/>
  <c r="O88" i="157"/>
  <c r="O89" i="157"/>
  <c r="O90" i="157"/>
  <c r="O91" i="157"/>
  <c r="O92" i="157"/>
  <c r="O93" i="157"/>
  <c r="O94" i="157"/>
  <c r="O95" i="157"/>
  <c r="O96" i="157"/>
  <c r="O97" i="157"/>
  <c r="O98" i="157"/>
  <c r="O99" i="157"/>
  <c r="O100" i="157"/>
  <c r="O101" i="157"/>
  <c r="O102" i="157"/>
  <c r="O103" i="157"/>
  <c r="O104" i="157"/>
  <c r="O105" i="157"/>
  <c r="O106" i="157"/>
  <c r="O107" i="157"/>
  <c r="O108" i="157"/>
  <c r="O109" i="157"/>
  <c r="O110" i="157"/>
  <c r="O111" i="157"/>
  <c r="O112" i="157"/>
  <c r="O113" i="157"/>
  <c r="O114" i="157"/>
  <c r="O115" i="157"/>
  <c r="O116" i="157"/>
  <c r="O117" i="157"/>
  <c r="O118" i="157"/>
  <c r="O119" i="157"/>
  <c r="O120" i="157"/>
  <c r="O121" i="157"/>
  <c r="O122" i="157"/>
  <c r="O123" i="157"/>
  <c r="O124" i="157"/>
  <c r="Y8" i="135"/>
  <c r="P8" i="135"/>
  <c r="G8" i="135"/>
  <c r="Y7" i="135"/>
  <c r="P7" i="135"/>
  <c r="G7" i="135"/>
  <c r="Y6" i="135"/>
  <c r="P6" i="135"/>
  <c r="G6" i="135"/>
  <c r="Y5" i="135"/>
  <c r="P5" i="135"/>
  <c r="G5" i="135"/>
  <c r="Y4" i="135"/>
  <c r="P4" i="135"/>
  <c r="G4" i="135"/>
  <c r="H131" i="159"/>
  <c r="H132" i="159"/>
  <c r="H133" i="159"/>
  <c r="H134" i="159"/>
  <c r="H135" i="159"/>
  <c r="H136" i="159"/>
  <c r="H137" i="159"/>
  <c r="H138" i="159"/>
  <c r="H139" i="159"/>
  <c r="H140" i="159"/>
  <c r="H141" i="159"/>
  <c r="H142" i="159"/>
  <c r="H143" i="159"/>
  <c r="H144" i="159"/>
  <c r="H145" i="159"/>
  <c r="H146" i="159"/>
  <c r="H147" i="159"/>
  <c r="H148" i="159"/>
  <c r="H149" i="159"/>
  <c r="H150" i="159"/>
  <c r="H151" i="159"/>
  <c r="H152" i="159"/>
  <c r="H153" i="159"/>
  <c r="H154" i="159"/>
  <c r="H155" i="159"/>
  <c r="H156" i="159"/>
  <c r="H157" i="159"/>
  <c r="H158" i="159"/>
  <c r="H159" i="159"/>
  <c r="H160" i="159"/>
  <c r="H161" i="159"/>
  <c r="H162" i="159"/>
  <c r="H163" i="159"/>
  <c r="H164" i="159"/>
  <c r="H165" i="159"/>
  <c r="H166" i="159"/>
  <c r="H167" i="159"/>
  <c r="H168" i="159"/>
  <c r="H169" i="159"/>
  <c r="H170" i="159"/>
  <c r="H171" i="159"/>
  <c r="H172" i="159"/>
  <c r="H173" i="159"/>
  <c r="H174" i="159"/>
  <c r="H175" i="159"/>
  <c r="H176" i="159"/>
  <c r="H177" i="159"/>
  <c r="H178" i="159"/>
  <c r="H179" i="159"/>
  <c r="H180" i="159"/>
  <c r="H181" i="159"/>
  <c r="H182" i="159"/>
  <c r="H183" i="159"/>
  <c r="H184" i="159"/>
  <c r="H185" i="159"/>
  <c r="H186" i="159"/>
  <c r="H187" i="159"/>
  <c r="H188" i="159"/>
  <c r="H189" i="159"/>
  <c r="H190" i="159"/>
  <c r="H191" i="159"/>
  <c r="H192" i="159"/>
  <c r="H193" i="159"/>
  <c r="H194" i="159"/>
  <c r="H195" i="159"/>
  <c r="H196" i="159"/>
  <c r="H197" i="159"/>
  <c r="H198" i="159"/>
  <c r="H199" i="159"/>
  <c r="H200" i="159"/>
  <c r="H201" i="159"/>
  <c r="H202" i="159"/>
  <c r="H203" i="159"/>
  <c r="H204" i="159"/>
  <c r="H205" i="159"/>
  <c r="H206" i="159"/>
  <c r="H207" i="159"/>
  <c r="H208" i="159"/>
  <c r="H209" i="159"/>
  <c r="H210" i="159"/>
  <c r="H211" i="159"/>
  <c r="H212" i="159"/>
  <c r="H213" i="159"/>
  <c r="H214" i="159"/>
  <c r="H215" i="159"/>
  <c r="H216" i="159"/>
  <c r="H217" i="159"/>
  <c r="H218" i="159"/>
  <c r="H219" i="159"/>
  <c r="H220" i="159"/>
  <c r="H221" i="159"/>
  <c r="H222" i="159"/>
  <c r="H223" i="159"/>
  <c r="H224" i="159"/>
  <c r="H225" i="159"/>
  <c r="H226" i="159"/>
  <c r="H227" i="159"/>
  <c r="H228" i="159"/>
  <c r="H229" i="159"/>
  <c r="H230" i="159"/>
  <c r="H231" i="159"/>
  <c r="H232" i="159"/>
  <c r="H233" i="159"/>
  <c r="H234" i="159"/>
  <c r="H235" i="159"/>
  <c r="H236" i="159"/>
  <c r="H237" i="159"/>
  <c r="H238" i="159"/>
  <c r="H239" i="159"/>
  <c r="H240" i="159"/>
  <c r="H241" i="159"/>
  <c r="H242" i="159"/>
  <c r="H243" i="159"/>
  <c r="H244" i="159"/>
  <c r="H245" i="159"/>
  <c r="H246" i="159"/>
  <c r="H9" i="159"/>
  <c r="H10" i="159"/>
  <c r="H11" i="159"/>
  <c r="H12" i="159"/>
  <c r="H13" i="159"/>
  <c r="H14" i="159"/>
  <c r="H15" i="159"/>
  <c r="H16" i="159"/>
  <c r="H17" i="159"/>
  <c r="H18" i="159"/>
  <c r="H19" i="159"/>
  <c r="H20" i="159"/>
  <c r="H21" i="159"/>
  <c r="H22" i="159"/>
  <c r="H23" i="159"/>
  <c r="H24" i="159"/>
  <c r="H25" i="159"/>
  <c r="H26" i="159"/>
  <c r="H27" i="159"/>
  <c r="H28" i="159"/>
  <c r="H29" i="159"/>
  <c r="H30" i="159"/>
  <c r="H31" i="159"/>
  <c r="H32" i="159"/>
  <c r="H33" i="159"/>
  <c r="H34" i="159"/>
  <c r="H35" i="159"/>
  <c r="H36" i="159"/>
  <c r="H37" i="159"/>
  <c r="H38" i="159"/>
  <c r="H39" i="159"/>
  <c r="H40" i="159"/>
  <c r="H41" i="159"/>
  <c r="H42" i="159"/>
  <c r="H43" i="159"/>
  <c r="H44" i="159"/>
  <c r="H45" i="159"/>
  <c r="H46" i="159"/>
  <c r="H47" i="159"/>
  <c r="H48" i="159"/>
  <c r="H49" i="159"/>
  <c r="H50" i="159"/>
  <c r="H51" i="159"/>
  <c r="H52" i="159"/>
  <c r="H53" i="159"/>
  <c r="H54" i="159"/>
  <c r="H55" i="159"/>
  <c r="H56" i="159"/>
  <c r="H57" i="159"/>
  <c r="H58" i="159"/>
  <c r="H59" i="159"/>
  <c r="H60" i="159"/>
  <c r="H61" i="159"/>
  <c r="H62" i="159"/>
  <c r="H63" i="159"/>
  <c r="H64" i="159"/>
  <c r="H65" i="159"/>
  <c r="H66" i="159"/>
  <c r="H67" i="159"/>
  <c r="H68" i="159"/>
  <c r="H69" i="159"/>
  <c r="H70" i="159"/>
  <c r="H71" i="159"/>
  <c r="H72" i="159"/>
  <c r="H73" i="159"/>
  <c r="H74" i="159"/>
  <c r="H75" i="159"/>
  <c r="H76" i="159"/>
  <c r="H77" i="159"/>
  <c r="H78" i="159"/>
  <c r="H79" i="159"/>
  <c r="H80" i="159"/>
  <c r="H81" i="159"/>
  <c r="H82" i="159"/>
  <c r="H83" i="159"/>
  <c r="H84" i="159"/>
  <c r="H85" i="159"/>
  <c r="H86" i="159"/>
  <c r="H87" i="159"/>
  <c r="H88" i="159"/>
  <c r="H89" i="159"/>
  <c r="H90" i="159"/>
  <c r="H91" i="159"/>
  <c r="H92" i="159"/>
  <c r="H93" i="159"/>
  <c r="H94" i="159"/>
  <c r="H95" i="159"/>
  <c r="H96" i="159"/>
  <c r="H97" i="159"/>
  <c r="H98" i="159"/>
  <c r="H99" i="159"/>
  <c r="H100" i="159"/>
  <c r="H101" i="159"/>
  <c r="H102" i="159"/>
  <c r="H103" i="159"/>
  <c r="H104" i="159"/>
  <c r="H105" i="159"/>
  <c r="H106" i="159"/>
  <c r="H107" i="159"/>
  <c r="H108" i="159"/>
  <c r="H109" i="159"/>
  <c r="H110" i="159"/>
  <c r="H111" i="159"/>
  <c r="H112" i="159"/>
  <c r="H113" i="159"/>
  <c r="H114" i="159"/>
  <c r="H115" i="159"/>
  <c r="H116" i="159"/>
  <c r="H117" i="159"/>
  <c r="H118" i="159"/>
  <c r="H119" i="159"/>
  <c r="H120" i="159"/>
  <c r="H121" i="159"/>
  <c r="H122" i="159"/>
  <c r="H123" i="159"/>
  <c r="H124" i="159"/>
  <c r="H131" i="157"/>
  <c r="H132" i="157"/>
  <c r="H133" i="157"/>
  <c r="H134" i="157"/>
  <c r="H135" i="157"/>
  <c r="H136" i="157"/>
  <c r="H137" i="157"/>
  <c r="H138" i="157"/>
  <c r="H139" i="157"/>
  <c r="H140" i="157"/>
  <c r="H141" i="157"/>
  <c r="H142" i="157"/>
  <c r="H143" i="157"/>
  <c r="H144" i="157"/>
  <c r="H145" i="157"/>
  <c r="H146" i="157"/>
  <c r="H147" i="157"/>
  <c r="H148" i="157"/>
  <c r="H149" i="157"/>
  <c r="H150" i="157"/>
  <c r="H151" i="157"/>
  <c r="H152" i="157"/>
  <c r="H153" i="157"/>
  <c r="H154" i="157"/>
  <c r="H155" i="157"/>
  <c r="H156" i="157"/>
  <c r="H157" i="157"/>
  <c r="H158" i="157"/>
  <c r="H159" i="157"/>
  <c r="H160" i="157"/>
  <c r="H161" i="157"/>
  <c r="H162" i="157"/>
  <c r="H163" i="157"/>
  <c r="H164" i="157"/>
  <c r="H165" i="157"/>
  <c r="H166" i="157"/>
  <c r="H167" i="157"/>
  <c r="H168" i="157"/>
  <c r="H169" i="157"/>
  <c r="H170" i="157"/>
  <c r="H171" i="157"/>
  <c r="H172" i="157"/>
  <c r="H173" i="157"/>
  <c r="H174" i="157"/>
  <c r="H175" i="157"/>
  <c r="H176" i="157"/>
  <c r="H177" i="157"/>
  <c r="H178" i="157"/>
  <c r="H179" i="157"/>
  <c r="H180" i="157"/>
  <c r="H181" i="157"/>
  <c r="H182" i="157"/>
  <c r="H183" i="157"/>
  <c r="H184" i="157"/>
  <c r="H185" i="157"/>
  <c r="H186" i="157"/>
  <c r="H187" i="157"/>
  <c r="H188" i="157"/>
  <c r="H189" i="157"/>
  <c r="H190" i="157"/>
  <c r="H191" i="157"/>
  <c r="H192" i="157"/>
  <c r="H193" i="157"/>
  <c r="H194" i="157"/>
  <c r="H195" i="157"/>
  <c r="H196" i="157"/>
  <c r="H197" i="157"/>
  <c r="H198" i="157"/>
  <c r="H199" i="157"/>
  <c r="H200" i="157"/>
  <c r="H201" i="157"/>
  <c r="H202" i="157"/>
  <c r="H203" i="157"/>
  <c r="H204" i="157"/>
  <c r="H205" i="157"/>
  <c r="H206" i="157"/>
  <c r="H207" i="157"/>
  <c r="H208" i="157"/>
  <c r="H209" i="157"/>
  <c r="H210" i="157"/>
  <c r="H211" i="157"/>
  <c r="H212" i="157"/>
  <c r="H213" i="157"/>
  <c r="H214" i="157"/>
  <c r="H215" i="157"/>
  <c r="H216" i="157"/>
  <c r="H217" i="157"/>
  <c r="H218" i="157"/>
  <c r="H219" i="157"/>
  <c r="H220" i="157"/>
  <c r="H221" i="157"/>
  <c r="H222" i="157"/>
  <c r="H223" i="157"/>
  <c r="H224" i="157"/>
  <c r="H225" i="157"/>
  <c r="H226" i="157"/>
  <c r="H227" i="157"/>
  <c r="H228" i="157"/>
  <c r="H229" i="157"/>
  <c r="H230" i="157"/>
  <c r="H231" i="157"/>
  <c r="H232" i="157"/>
  <c r="H233" i="157"/>
  <c r="H234" i="157"/>
  <c r="H235" i="157"/>
  <c r="H236" i="157"/>
  <c r="H237" i="157"/>
  <c r="H238" i="157"/>
  <c r="H239" i="157"/>
  <c r="H240" i="157"/>
  <c r="H241" i="157"/>
  <c r="H242" i="157"/>
  <c r="H243" i="157"/>
  <c r="H244" i="157"/>
  <c r="H245" i="157"/>
  <c r="H246" i="157"/>
  <c r="H9" i="157"/>
  <c r="H10" i="157"/>
  <c r="H11" i="157"/>
  <c r="H12" i="157"/>
  <c r="H13" i="157"/>
  <c r="H14" i="157"/>
  <c r="H15" i="157"/>
  <c r="H16" i="157"/>
  <c r="H17" i="157"/>
  <c r="H18" i="157"/>
  <c r="H19" i="157"/>
  <c r="H20" i="157"/>
  <c r="H21" i="157"/>
  <c r="H22" i="157"/>
  <c r="H23" i="157"/>
  <c r="H24" i="157"/>
  <c r="H25" i="157"/>
  <c r="H26" i="157"/>
  <c r="H27" i="157"/>
  <c r="H28" i="157"/>
  <c r="H29" i="157"/>
  <c r="H30" i="157"/>
  <c r="H31" i="157"/>
  <c r="H32" i="157"/>
  <c r="H33" i="157"/>
  <c r="H34" i="157"/>
  <c r="H35" i="157"/>
  <c r="H36" i="157"/>
  <c r="H37" i="157"/>
  <c r="H38" i="157"/>
  <c r="H39" i="157"/>
  <c r="H40" i="157"/>
  <c r="H41" i="157"/>
  <c r="H42" i="157"/>
  <c r="H43" i="157"/>
  <c r="H44" i="157"/>
  <c r="H45" i="157"/>
  <c r="H46" i="157"/>
  <c r="H47" i="157"/>
  <c r="H48" i="157"/>
  <c r="H49" i="157"/>
  <c r="H50" i="157"/>
  <c r="H51" i="157"/>
  <c r="H52" i="157"/>
  <c r="H53" i="157"/>
  <c r="H54" i="157"/>
  <c r="H55" i="157"/>
  <c r="H56" i="157"/>
  <c r="H57" i="157"/>
  <c r="H58" i="157"/>
  <c r="H59" i="157"/>
  <c r="H60" i="157"/>
  <c r="H61" i="157"/>
  <c r="H62" i="157"/>
  <c r="H63" i="157"/>
  <c r="H64" i="157"/>
  <c r="H65" i="157"/>
  <c r="H66" i="157"/>
  <c r="H67" i="157"/>
  <c r="H68" i="157"/>
  <c r="H69" i="157"/>
  <c r="H70" i="157"/>
  <c r="H71" i="157"/>
  <c r="H72" i="157"/>
  <c r="H73" i="157"/>
  <c r="H74" i="157"/>
  <c r="H75" i="157"/>
  <c r="H76" i="157"/>
  <c r="H77" i="157"/>
  <c r="H78" i="157"/>
  <c r="H79" i="157"/>
  <c r="H80" i="157"/>
  <c r="H81" i="157"/>
  <c r="H82" i="157"/>
  <c r="H83" i="157"/>
  <c r="H84" i="157"/>
  <c r="H85" i="157"/>
  <c r="H86" i="157"/>
  <c r="H87" i="157"/>
  <c r="H88" i="157"/>
  <c r="H89" i="157"/>
  <c r="H90" i="157"/>
  <c r="H91" i="157"/>
  <c r="H92" i="157"/>
  <c r="H93" i="157"/>
  <c r="H94" i="157"/>
  <c r="H95" i="157"/>
  <c r="H96" i="157"/>
  <c r="H97" i="157"/>
  <c r="H98" i="157"/>
  <c r="H99" i="157"/>
  <c r="H100" i="157"/>
  <c r="H101" i="157"/>
  <c r="H102" i="157"/>
  <c r="H103" i="157"/>
  <c r="H104" i="157"/>
  <c r="H105" i="157"/>
  <c r="H106" i="157"/>
  <c r="H107" i="157"/>
  <c r="H108" i="157"/>
  <c r="H109" i="157"/>
  <c r="H110" i="157"/>
  <c r="H111" i="157"/>
  <c r="H112" i="157"/>
  <c r="H113" i="157"/>
  <c r="H114" i="157"/>
  <c r="H115" i="157"/>
  <c r="H116" i="157"/>
  <c r="H117" i="157"/>
  <c r="H118" i="157"/>
  <c r="H119" i="157"/>
  <c r="H120" i="157"/>
  <c r="H121" i="157"/>
  <c r="H122" i="157"/>
  <c r="H123" i="157"/>
  <c r="H124" i="157"/>
  <c r="Y56" i="135"/>
  <c r="Y55" i="135"/>
  <c r="Y54" i="135"/>
  <c r="Y53" i="135"/>
  <c r="Y52" i="135"/>
  <c r="Y51" i="135"/>
  <c r="Y47" i="135"/>
  <c r="Y46" i="135"/>
  <c r="Y45" i="135"/>
  <c r="Y44" i="135"/>
  <c r="Y43" i="135"/>
  <c r="Y42" i="135"/>
  <c r="U9" i="155"/>
  <c r="U10" i="155"/>
  <c r="U11" i="155"/>
  <c r="U12" i="155"/>
  <c r="U13" i="155"/>
  <c r="U14" i="155"/>
  <c r="U15" i="155"/>
  <c r="U16" i="155"/>
  <c r="U17" i="155"/>
  <c r="U18" i="155"/>
  <c r="U19" i="155"/>
  <c r="U20" i="155"/>
  <c r="U21" i="155"/>
  <c r="U22" i="155"/>
  <c r="U23" i="155"/>
  <c r="U24" i="155"/>
  <c r="U25" i="155"/>
  <c r="U26" i="155"/>
  <c r="U27" i="155"/>
  <c r="U28" i="155"/>
  <c r="U29" i="155"/>
  <c r="U30" i="155"/>
  <c r="U31" i="155"/>
  <c r="U32" i="155"/>
  <c r="U33" i="155"/>
  <c r="U34" i="155"/>
  <c r="U35" i="155"/>
  <c r="U36" i="155"/>
  <c r="U37" i="155"/>
  <c r="U38" i="155"/>
  <c r="U39" i="155"/>
  <c r="U40" i="155"/>
  <c r="U41" i="155"/>
  <c r="U42" i="155"/>
  <c r="U43" i="155"/>
  <c r="U44" i="155"/>
  <c r="U45" i="155"/>
  <c r="U46" i="155"/>
  <c r="U47" i="155"/>
  <c r="U48" i="155"/>
  <c r="U49" i="155"/>
  <c r="U50" i="155"/>
  <c r="U51" i="155"/>
  <c r="U52" i="155"/>
  <c r="U53" i="155"/>
  <c r="U54" i="155"/>
  <c r="U55" i="155"/>
  <c r="U56" i="155"/>
  <c r="U57" i="155"/>
  <c r="U58" i="155"/>
  <c r="U59" i="155"/>
  <c r="U60" i="155"/>
  <c r="U61" i="155"/>
  <c r="U62" i="155"/>
  <c r="U63" i="155"/>
  <c r="U64" i="155"/>
  <c r="U65" i="155"/>
  <c r="U66" i="155"/>
  <c r="U67" i="155"/>
  <c r="U68" i="155"/>
  <c r="U69" i="155"/>
  <c r="U70" i="155"/>
  <c r="U71" i="155"/>
  <c r="U72" i="155"/>
  <c r="U73" i="155"/>
  <c r="U74" i="155"/>
  <c r="U75" i="155"/>
  <c r="U76" i="155"/>
  <c r="U77" i="155"/>
  <c r="U78" i="155"/>
  <c r="U79" i="155"/>
  <c r="U80" i="155"/>
  <c r="U81" i="155"/>
  <c r="U82" i="155"/>
  <c r="U83" i="155"/>
  <c r="U84" i="155"/>
  <c r="U85" i="155"/>
  <c r="U86" i="155"/>
  <c r="U87" i="155"/>
  <c r="U88" i="155"/>
  <c r="U89" i="155"/>
  <c r="U90" i="155"/>
  <c r="U91" i="155"/>
  <c r="U92" i="155"/>
  <c r="U93" i="155"/>
  <c r="U94" i="155"/>
  <c r="U95" i="155"/>
  <c r="U96" i="155"/>
  <c r="U97" i="155"/>
  <c r="U98" i="155"/>
  <c r="U99" i="155"/>
  <c r="U100" i="155"/>
  <c r="U101" i="155"/>
  <c r="U102" i="155"/>
  <c r="U103" i="155"/>
  <c r="U104" i="155"/>
  <c r="U105" i="155"/>
  <c r="U106" i="155"/>
  <c r="U107" i="155"/>
  <c r="U108" i="155"/>
  <c r="U109" i="155"/>
  <c r="U110" i="155"/>
  <c r="U111" i="155"/>
  <c r="U112" i="155"/>
  <c r="U113" i="155"/>
  <c r="U114" i="155"/>
  <c r="U115" i="155"/>
  <c r="U116" i="155"/>
  <c r="U117" i="155"/>
  <c r="U118" i="155"/>
  <c r="U119" i="155"/>
  <c r="U120" i="155"/>
  <c r="U121" i="155"/>
  <c r="U122" i="155"/>
  <c r="U123" i="155"/>
  <c r="U124" i="155"/>
  <c r="U125" i="155"/>
  <c r="Y41" i="135"/>
  <c r="Y40" i="135"/>
  <c r="Y39" i="135"/>
  <c r="Y38" i="135"/>
  <c r="Y37" i="135"/>
  <c r="Y36" i="135"/>
  <c r="Y35" i="135"/>
  <c r="Y31" i="135"/>
  <c r="Y30" i="135"/>
  <c r="Y29" i="135"/>
  <c r="Y28" i="135"/>
  <c r="Y27" i="135"/>
  <c r="Y26" i="135"/>
  <c r="U9" i="156"/>
  <c r="U10" i="156"/>
  <c r="U11" i="156"/>
  <c r="U12" i="156"/>
  <c r="U13" i="156"/>
  <c r="U14" i="156"/>
  <c r="U15" i="156"/>
  <c r="U16" i="156"/>
  <c r="U17" i="156"/>
  <c r="U18" i="156"/>
  <c r="U19" i="156"/>
  <c r="U20" i="156"/>
  <c r="U21" i="156"/>
  <c r="U22" i="156"/>
  <c r="U23" i="156"/>
  <c r="U24" i="156"/>
  <c r="U25" i="156"/>
  <c r="U26" i="156"/>
  <c r="U27" i="156"/>
  <c r="U28" i="156"/>
  <c r="U29" i="156"/>
  <c r="U30" i="156"/>
  <c r="U31" i="156"/>
  <c r="U32" i="156"/>
  <c r="U33" i="156"/>
  <c r="U34" i="156"/>
  <c r="U35" i="156"/>
  <c r="U36" i="156"/>
  <c r="U37" i="156"/>
  <c r="U38" i="156"/>
  <c r="U39" i="156"/>
  <c r="U40" i="156"/>
  <c r="U41" i="156"/>
  <c r="U42" i="156"/>
  <c r="U43" i="156"/>
  <c r="U44" i="156"/>
  <c r="U45" i="156"/>
  <c r="U46" i="156"/>
  <c r="U47" i="156"/>
  <c r="U48" i="156"/>
  <c r="U49" i="156"/>
  <c r="U50" i="156"/>
  <c r="U51" i="156"/>
  <c r="U52" i="156"/>
  <c r="U53" i="156"/>
  <c r="U54" i="156"/>
  <c r="U55" i="156"/>
  <c r="U56" i="156"/>
  <c r="U57" i="156"/>
  <c r="U58" i="156"/>
  <c r="U59" i="156"/>
  <c r="U60" i="156"/>
  <c r="U61" i="156"/>
  <c r="U62" i="156"/>
  <c r="U63" i="156"/>
  <c r="U64" i="156"/>
  <c r="U65" i="156"/>
  <c r="U66" i="156"/>
  <c r="U67" i="156"/>
  <c r="U68" i="156"/>
  <c r="U69" i="156"/>
  <c r="U70" i="156"/>
  <c r="U71" i="156"/>
  <c r="U72" i="156"/>
  <c r="U73" i="156"/>
  <c r="U74" i="156"/>
  <c r="U75" i="156"/>
  <c r="U76" i="156"/>
  <c r="U77" i="156"/>
  <c r="U78" i="156"/>
  <c r="U79" i="156"/>
  <c r="U80" i="156"/>
  <c r="U81" i="156"/>
  <c r="U82" i="156"/>
  <c r="U83" i="156"/>
  <c r="U84" i="156"/>
  <c r="U85" i="156"/>
  <c r="U86" i="156"/>
  <c r="U87" i="156"/>
  <c r="U88" i="156"/>
  <c r="U89" i="156"/>
  <c r="U90" i="156"/>
  <c r="U91" i="156"/>
  <c r="U92" i="156"/>
  <c r="U93" i="156"/>
  <c r="U94" i="156"/>
  <c r="U95" i="156"/>
  <c r="U96" i="156"/>
  <c r="U97" i="156"/>
  <c r="U98" i="156"/>
  <c r="U99" i="156"/>
  <c r="U100" i="156"/>
  <c r="U101" i="156"/>
  <c r="U102" i="156"/>
  <c r="U103" i="156"/>
  <c r="U104" i="156"/>
  <c r="U105" i="156"/>
  <c r="U106" i="156"/>
  <c r="U107" i="156"/>
  <c r="U108" i="156"/>
  <c r="U109" i="156"/>
  <c r="U110" i="156"/>
  <c r="U111" i="156"/>
  <c r="U112" i="156"/>
  <c r="U113" i="156"/>
  <c r="U114" i="156"/>
  <c r="U115" i="156"/>
  <c r="U116" i="156"/>
  <c r="U117" i="156"/>
  <c r="U118" i="156"/>
  <c r="U119" i="156"/>
  <c r="U120" i="156"/>
  <c r="U121" i="156"/>
  <c r="U122" i="156"/>
  <c r="U123" i="156"/>
  <c r="U124" i="156"/>
  <c r="U125" i="156"/>
  <c r="Y25" i="135"/>
  <c r="Y24" i="135"/>
  <c r="Y23" i="135"/>
  <c r="Y22" i="135"/>
  <c r="Y21" i="135"/>
  <c r="Y20" i="135"/>
  <c r="Y19" i="135"/>
  <c r="H9" i="154"/>
  <c r="H10" i="154"/>
  <c r="H11" i="154"/>
  <c r="H12" i="154"/>
  <c r="H13" i="154"/>
  <c r="H14" i="154"/>
  <c r="H15" i="154"/>
  <c r="H16" i="154"/>
  <c r="H17" i="154"/>
  <c r="H18" i="154"/>
  <c r="H19" i="154"/>
  <c r="H20" i="154"/>
  <c r="H21" i="154"/>
  <c r="H22" i="154"/>
  <c r="H23" i="154"/>
  <c r="H24" i="154"/>
  <c r="H25" i="154"/>
  <c r="H26" i="154"/>
  <c r="H27" i="154"/>
  <c r="H28" i="154"/>
  <c r="H29" i="154"/>
  <c r="H30" i="154"/>
  <c r="H31" i="154"/>
  <c r="H32" i="154"/>
  <c r="H33" i="154"/>
  <c r="H34" i="154"/>
  <c r="H35" i="154"/>
  <c r="H36" i="154"/>
  <c r="H37" i="154"/>
  <c r="H38" i="154"/>
  <c r="H39" i="154"/>
  <c r="H40" i="154"/>
  <c r="H41" i="154"/>
  <c r="H42" i="154"/>
  <c r="H43" i="154"/>
  <c r="H44" i="154"/>
  <c r="H45" i="154"/>
  <c r="H46" i="154"/>
  <c r="H47" i="154"/>
  <c r="H48" i="154"/>
  <c r="H49" i="154"/>
  <c r="H50" i="154"/>
  <c r="H51" i="154"/>
  <c r="H52" i="154"/>
  <c r="H53" i="154"/>
  <c r="H54" i="154"/>
  <c r="H55" i="154"/>
  <c r="H56" i="154"/>
  <c r="H57" i="154"/>
  <c r="H58" i="154"/>
  <c r="H59" i="154"/>
  <c r="H60" i="154"/>
  <c r="H61" i="154"/>
  <c r="H62" i="154"/>
  <c r="H63" i="154"/>
  <c r="H64" i="154"/>
  <c r="H65" i="154"/>
  <c r="H66" i="154"/>
  <c r="H67" i="154"/>
  <c r="H68" i="154"/>
  <c r="H69" i="154"/>
  <c r="H70" i="154"/>
  <c r="H71" i="154"/>
  <c r="H72" i="154"/>
  <c r="H73" i="154"/>
  <c r="H74" i="154"/>
  <c r="H75" i="154"/>
  <c r="H76" i="154"/>
  <c r="H77" i="154"/>
  <c r="H78" i="154"/>
  <c r="H79" i="154"/>
  <c r="H80" i="154"/>
  <c r="H81" i="154"/>
  <c r="H82" i="154"/>
  <c r="H83" i="154"/>
  <c r="H84" i="154"/>
  <c r="H85" i="154"/>
  <c r="H86" i="154"/>
  <c r="H87" i="154"/>
  <c r="H88" i="154"/>
  <c r="H89" i="154"/>
  <c r="H90" i="154"/>
  <c r="H91" i="154"/>
  <c r="H92" i="154"/>
  <c r="H93" i="154"/>
  <c r="H94" i="154"/>
  <c r="H95" i="154"/>
  <c r="H96" i="154"/>
  <c r="H97" i="154"/>
  <c r="H98" i="154"/>
  <c r="H99" i="154"/>
  <c r="H100" i="154"/>
  <c r="H101" i="154"/>
  <c r="H102" i="154"/>
  <c r="H103" i="154"/>
  <c r="H104" i="154"/>
  <c r="H105" i="154"/>
  <c r="H106" i="154"/>
  <c r="H107" i="154"/>
  <c r="H108" i="154"/>
  <c r="H109" i="154"/>
  <c r="H110" i="154"/>
  <c r="H111" i="154"/>
  <c r="H112" i="154"/>
  <c r="H113" i="154"/>
  <c r="H114" i="154"/>
  <c r="H115" i="154"/>
  <c r="H116" i="154"/>
  <c r="H117" i="154"/>
  <c r="H118" i="154"/>
  <c r="H119" i="154"/>
  <c r="H120" i="154"/>
  <c r="H121" i="154"/>
  <c r="H122" i="154"/>
  <c r="H123" i="154"/>
  <c r="H124" i="154"/>
  <c r="H131" i="155"/>
  <c r="H132" i="155"/>
  <c r="H133" i="155"/>
  <c r="H134" i="155"/>
  <c r="H135" i="155"/>
  <c r="H136" i="155"/>
  <c r="H137" i="155"/>
  <c r="H138" i="155"/>
  <c r="H139" i="155"/>
  <c r="H140" i="155"/>
  <c r="H141" i="155"/>
  <c r="H142" i="155"/>
  <c r="H143" i="155"/>
  <c r="H144" i="155"/>
  <c r="H145" i="155"/>
  <c r="H146" i="155"/>
  <c r="H147" i="155"/>
  <c r="H148" i="155"/>
  <c r="H149" i="155"/>
  <c r="H150" i="155"/>
  <c r="H151" i="155"/>
  <c r="H152" i="155"/>
  <c r="H153" i="155"/>
  <c r="H154" i="155"/>
  <c r="H155" i="155"/>
  <c r="H156" i="155"/>
  <c r="H157" i="155"/>
  <c r="H158" i="155"/>
  <c r="H159" i="155"/>
  <c r="H160" i="155"/>
  <c r="H161" i="155"/>
  <c r="H162" i="155"/>
  <c r="H163" i="155"/>
  <c r="H164" i="155"/>
  <c r="H165" i="155"/>
  <c r="H166" i="155"/>
  <c r="H167" i="155"/>
  <c r="H168" i="155"/>
  <c r="H169" i="155"/>
  <c r="H170" i="155"/>
  <c r="H171" i="155"/>
  <c r="H172" i="155"/>
  <c r="H173" i="155"/>
  <c r="H174" i="155"/>
  <c r="H175" i="155"/>
  <c r="H176" i="155"/>
  <c r="H177" i="155"/>
  <c r="H178" i="155"/>
  <c r="H179" i="155"/>
  <c r="H180" i="155"/>
  <c r="H181" i="155"/>
  <c r="H182" i="155"/>
  <c r="H183" i="155"/>
  <c r="H184" i="155"/>
  <c r="H185" i="155"/>
  <c r="H186" i="155"/>
  <c r="H187" i="155"/>
  <c r="H188" i="155"/>
  <c r="H189" i="155"/>
  <c r="H190" i="155"/>
  <c r="H191" i="155"/>
  <c r="H192" i="155"/>
  <c r="H193" i="155"/>
  <c r="H194" i="155"/>
  <c r="H195" i="155"/>
  <c r="H196" i="155"/>
  <c r="H197" i="155"/>
  <c r="H198" i="155"/>
  <c r="H199" i="155"/>
  <c r="H200" i="155"/>
  <c r="H201" i="155"/>
  <c r="H202" i="155"/>
  <c r="H203" i="155"/>
  <c r="H204" i="155"/>
  <c r="H205" i="155"/>
  <c r="H206" i="155"/>
  <c r="H207" i="155"/>
  <c r="H208" i="155"/>
  <c r="H209" i="155"/>
  <c r="H210" i="155"/>
  <c r="H211" i="155"/>
  <c r="H212" i="155"/>
  <c r="H213" i="155"/>
  <c r="H214" i="155"/>
  <c r="H215" i="155"/>
  <c r="H216" i="155"/>
  <c r="H217" i="155"/>
  <c r="H218" i="155"/>
  <c r="H219" i="155"/>
  <c r="H220" i="155"/>
  <c r="H221" i="155"/>
  <c r="H222" i="155"/>
  <c r="H223" i="155"/>
  <c r="H224" i="155"/>
  <c r="H225" i="155"/>
  <c r="H226" i="155"/>
  <c r="H227" i="155"/>
  <c r="H228" i="155"/>
  <c r="H229" i="155"/>
  <c r="H230" i="155"/>
  <c r="H231" i="155"/>
  <c r="H232" i="155"/>
  <c r="H233" i="155"/>
  <c r="H234" i="155"/>
  <c r="H235" i="155"/>
  <c r="H236" i="155"/>
  <c r="H237" i="155"/>
  <c r="H238" i="155"/>
  <c r="H239" i="155"/>
  <c r="H240" i="155"/>
  <c r="H241" i="155"/>
  <c r="H242" i="155"/>
  <c r="H243" i="155"/>
  <c r="H244" i="155"/>
  <c r="H245" i="155"/>
  <c r="H246" i="155"/>
  <c r="H9" i="155"/>
  <c r="H10" i="155"/>
  <c r="H11" i="155"/>
  <c r="H12" i="155"/>
  <c r="O9" i="155"/>
  <c r="O10" i="155"/>
  <c r="O11" i="155"/>
  <c r="O12" i="155"/>
  <c r="H13" i="155"/>
  <c r="H14" i="155"/>
  <c r="H15" i="155"/>
  <c r="H16" i="155"/>
  <c r="O13" i="155"/>
  <c r="O14" i="155"/>
  <c r="O15" i="155"/>
  <c r="O16" i="155"/>
  <c r="H17" i="155"/>
  <c r="H18" i="155"/>
  <c r="H19" i="155"/>
  <c r="H20" i="155"/>
  <c r="O17" i="155"/>
  <c r="O18" i="155"/>
  <c r="O19" i="155"/>
  <c r="O20" i="155"/>
  <c r="H21" i="155"/>
  <c r="H22" i="155"/>
  <c r="H23" i="155"/>
  <c r="H24" i="155"/>
  <c r="O21" i="155"/>
  <c r="O22" i="155"/>
  <c r="O23" i="155"/>
  <c r="O24" i="155"/>
  <c r="H25" i="155"/>
  <c r="H26" i="155"/>
  <c r="H27" i="155"/>
  <c r="H28" i="155"/>
  <c r="O25" i="155"/>
  <c r="O26" i="155"/>
  <c r="O27" i="155"/>
  <c r="O28" i="155"/>
  <c r="H29" i="155"/>
  <c r="H30" i="155"/>
  <c r="H31" i="155"/>
  <c r="H32" i="155"/>
  <c r="O29" i="155"/>
  <c r="O30" i="155"/>
  <c r="O31" i="155"/>
  <c r="O32" i="155"/>
  <c r="H33" i="155"/>
  <c r="H34" i="155"/>
  <c r="H35" i="155"/>
  <c r="H36" i="155"/>
  <c r="O33" i="155"/>
  <c r="O34" i="155"/>
  <c r="O35" i="155"/>
  <c r="O36" i="155"/>
  <c r="H37" i="155"/>
  <c r="H38" i="155"/>
  <c r="H39" i="155"/>
  <c r="H40" i="155"/>
  <c r="O37" i="155"/>
  <c r="O38" i="155"/>
  <c r="O39" i="155"/>
  <c r="O40" i="155"/>
  <c r="H41" i="155"/>
  <c r="H42" i="155"/>
  <c r="H43" i="155"/>
  <c r="H44" i="155"/>
  <c r="O41" i="155"/>
  <c r="O42" i="155"/>
  <c r="O43" i="155"/>
  <c r="O44" i="155"/>
  <c r="H45" i="155"/>
  <c r="H46" i="155"/>
  <c r="H47" i="155"/>
  <c r="H48" i="155"/>
  <c r="O45" i="155"/>
  <c r="O46" i="155"/>
  <c r="O47" i="155"/>
  <c r="O48" i="155"/>
  <c r="H49" i="155"/>
  <c r="H50" i="155"/>
  <c r="H51" i="155"/>
  <c r="H52" i="155"/>
  <c r="O49" i="155"/>
  <c r="O50" i="155"/>
  <c r="O51" i="155"/>
  <c r="O52" i="155"/>
  <c r="H53" i="155"/>
  <c r="H54" i="155"/>
  <c r="H55" i="155"/>
  <c r="H56" i="155"/>
  <c r="O53" i="155"/>
  <c r="O54" i="155"/>
  <c r="O55" i="155"/>
  <c r="O56" i="155"/>
  <c r="H57" i="155"/>
  <c r="H58" i="155"/>
  <c r="H59" i="155"/>
  <c r="H60" i="155"/>
  <c r="O57" i="155"/>
  <c r="O58" i="155"/>
  <c r="O59" i="155"/>
  <c r="O60" i="155"/>
  <c r="H61" i="155"/>
  <c r="H62" i="155"/>
  <c r="H63" i="155"/>
  <c r="H64" i="155"/>
  <c r="O61" i="155"/>
  <c r="O62" i="155"/>
  <c r="O63" i="155"/>
  <c r="O64" i="155"/>
  <c r="H65" i="155"/>
  <c r="H66" i="155"/>
  <c r="H67" i="155"/>
  <c r="H68" i="155"/>
  <c r="O65" i="155"/>
  <c r="O66" i="155"/>
  <c r="O67" i="155"/>
  <c r="O68" i="155"/>
  <c r="H69" i="155"/>
  <c r="H70" i="155"/>
  <c r="H71" i="155"/>
  <c r="H72" i="155"/>
  <c r="O69" i="155"/>
  <c r="O70" i="155"/>
  <c r="O71" i="155"/>
  <c r="O72" i="155"/>
  <c r="H73" i="155"/>
  <c r="H74" i="155"/>
  <c r="H75" i="155"/>
  <c r="H76" i="155"/>
  <c r="O73" i="155"/>
  <c r="O74" i="155"/>
  <c r="O75" i="155"/>
  <c r="O76" i="155"/>
  <c r="H77" i="155"/>
  <c r="H78" i="155"/>
  <c r="H79" i="155"/>
  <c r="H80" i="155"/>
  <c r="O77" i="155"/>
  <c r="O78" i="155"/>
  <c r="O79" i="155"/>
  <c r="O80" i="155"/>
  <c r="H81" i="155"/>
  <c r="H82" i="155"/>
  <c r="H83" i="155"/>
  <c r="H84" i="155"/>
  <c r="O81" i="155"/>
  <c r="O82" i="155"/>
  <c r="O83" i="155"/>
  <c r="O84" i="155"/>
  <c r="H85" i="155"/>
  <c r="H86" i="155"/>
  <c r="H87" i="155"/>
  <c r="H88" i="155"/>
  <c r="O85" i="155"/>
  <c r="O86" i="155"/>
  <c r="O87" i="155"/>
  <c r="O88" i="155"/>
  <c r="H89" i="155"/>
  <c r="H90" i="155"/>
  <c r="H91" i="155"/>
  <c r="H92" i="155"/>
  <c r="O89" i="155"/>
  <c r="O90" i="155"/>
  <c r="O91" i="155"/>
  <c r="O92" i="155"/>
  <c r="H93" i="155"/>
  <c r="H94" i="155"/>
  <c r="H95" i="155"/>
  <c r="H96" i="155"/>
  <c r="O93" i="155"/>
  <c r="O94" i="155"/>
  <c r="O95" i="155"/>
  <c r="O96" i="155"/>
  <c r="H97" i="155"/>
  <c r="H98" i="155"/>
  <c r="H99" i="155"/>
  <c r="H100" i="155"/>
  <c r="O97" i="155"/>
  <c r="O98" i="155"/>
  <c r="O99" i="155"/>
  <c r="O100" i="155"/>
  <c r="H101" i="155"/>
  <c r="H102" i="155"/>
  <c r="H103" i="155"/>
  <c r="H104" i="155"/>
  <c r="O101" i="155"/>
  <c r="O102" i="155"/>
  <c r="O103" i="155"/>
  <c r="O104" i="155"/>
  <c r="H105" i="155"/>
  <c r="H106" i="155"/>
  <c r="H107" i="155"/>
  <c r="H108" i="155"/>
  <c r="O105" i="155"/>
  <c r="O106" i="155"/>
  <c r="O107" i="155"/>
  <c r="O108" i="155"/>
  <c r="H109" i="155"/>
  <c r="H110" i="155"/>
  <c r="H111" i="155"/>
  <c r="H112" i="155"/>
  <c r="O109" i="155"/>
  <c r="O110" i="155"/>
  <c r="O111" i="155"/>
  <c r="O112" i="155"/>
  <c r="H113" i="155"/>
  <c r="H114" i="155"/>
  <c r="H115" i="155"/>
  <c r="H116" i="155"/>
  <c r="O113" i="155"/>
  <c r="O114" i="155"/>
  <c r="O115" i="155"/>
  <c r="O116" i="155"/>
  <c r="H117" i="155"/>
  <c r="H118" i="155"/>
  <c r="H119" i="155"/>
  <c r="H120" i="155"/>
  <c r="O117" i="155"/>
  <c r="O118" i="155"/>
  <c r="O119" i="155"/>
  <c r="O120" i="155"/>
  <c r="H121" i="155"/>
  <c r="H122" i="155"/>
  <c r="H123" i="155"/>
  <c r="H124" i="155"/>
  <c r="O121" i="155"/>
  <c r="O122" i="155"/>
  <c r="O123" i="155"/>
  <c r="O124" i="155"/>
  <c r="H131" i="156"/>
  <c r="H132" i="156"/>
  <c r="H133" i="156"/>
  <c r="H134" i="156"/>
  <c r="H135" i="156"/>
  <c r="H136" i="156"/>
  <c r="H137" i="156"/>
  <c r="H138" i="156"/>
  <c r="H139" i="156"/>
  <c r="H140" i="156"/>
  <c r="H141" i="156"/>
  <c r="H142" i="156"/>
  <c r="H143" i="156"/>
  <c r="H144" i="156"/>
  <c r="H145" i="156"/>
  <c r="H146" i="156"/>
  <c r="H147" i="156"/>
  <c r="H148" i="156"/>
  <c r="H149" i="156"/>
  <c r="H150" i="156"/>
  <c r="H151" i="156"/>
  <c r="H152" i="156"/>
  <c r="H153" i="156"/>
  <c r="H154" i="156"/>
  <c r="H155" i="156"/>
  <c r="H156" i="156"/>
  <c r="H157" i="156"/>
  <c r="H158" i="156"/>
  <c r="H159" i="156"/>
  <c r="H160" i="156"/>
  <c r="H161" i="156"/>
  <c r="H162" i="156"/>
  <c r="H163" i="156"/>
  <c r="H164" i="156"/>
  <c r="H165" i="156"/>
  <c r="H166" i="156"/>
  <c r="H167" i="156"/>
  <c r="H168" i="156"/>
  <c r="H169" i="156"/>
  <c r="H170" i="156"/>
  <c r="H171" i="156"/>
  <c r="H172" i="156"/>
  <c r="H173" i="156"/>
  <c r="H174" i="156"/>
  <c r="H175" i="156"/>
  <c r="H176" i="156"/>
  <c r="H177" i="156"/>
  <c r="H178" i="156"/>
  <c r="H179" i="156"/>
  <c r="H180" i="156"/>
  <c r="H181" i="156"/>
  <c r="H182" i="156"/>
  <c r="H183" i="156"/>
  <c r="H184" i="156"/>
  <c r="H185" i="156"/>
  <c r="H186" i="156"/>
  <c r="H187" i="156"/>
  <c r="H188" i="156"/>
  <c r="H189" i="156"/>
  <c r="H190" i="156"/>
  <c r="H191" i="156"/>
  <c r="H192" i="156"/>
  <c r="H193" i="156"/>
  <c r="H194" i="156"/>
  <c r="H195" i="156"/>
  <c r="H196" i="156"/>
  <c r="H197" i="156"/>
  <c r="H198" i="156"/>
  <c r="H199" i="156"/>
  <c r="H200" i="156"/>
  <c r="H201" i="156"/>
  <c r="H202" i="156"/>
  <c r="H203" i="156"/>
  <c r="H204" i="156"/>
  <c r="H205" i="156"/>
  <c r="H206" i="156"/>
  <c r="H207" i="156"/>
  <c r="H208" i="156"/>
  <c r="H209" i="156"/>
  <c r="H210" i="156"/>
  <c r="H211" i="156"/>
  <c r="H212" i="156"/>
  <c r="H213" i="156"/>
  <c r="H214" i="156"/>
  <c r="H215" i="156"/>
  <c r="H216" i="156"/>
  <c r="H217" i="156"/>
  <c r="H218" i="156"/>
  <c r="H219" i="156"/>
  <c r="H220" i="156"/>
  <c r="H221" i="156"/>
  <c r="H222" i="156"/>
  <c r="H223" i="156"/>
  <c r="H224" i="156"/>
  <c r="H225" i="156"/>
  <c r="H226" i="156"/>
  <c r="H227" i="156"/>
  <c r="H228" i="156"/>
  <c r="H229" i="156"/>
  <c r="H230" i="156"/>
  <c r="H231" i="156"/>
  <c r="H232" i="156"/>
  <c r="H233" i="156"/>
  <c r="H234" i="156"/>
  <c r="H235" i="156"/>
  <c r="H236" i="156"/>
  <c r="H237" i="156"/>
  <c r="H238" i="156"/>
  <c r="H239" i="156"/>
  <c r="H240" i="156"/>
  <c r="H241" i="156"/>
  <c r="H242" i="156"/>
  <c r="H243" i="156"/>
  <c r="H244" i="156"/>
  <c r="H245" i="156"/>
  <c r="H246" i="156"/>
  <c r="H9" i="156"/>
  <c r="H10" i="156"/>
  <c r="H11" i="156"/>
  <c r="H12" i="156"/>
  <c r="O9" i="156"/>
  <c r="O10" i="156"/>
  <c r="O11" i="156"/>
  <c r="O12" i="156"/>
  <c r="H13" i="156"/>
  <c r="H14" i="156"/>
  <c r="H15" i="156"/>
  <c r="H16" i="156"/>
  <c r="O13" i="156"/>
  <c r="O14" i="156"/>
  <c r="O15" i="156"/>
  <c r="O16" i="156"/>
  <c r="H17" i="156"/>
  <c r="H18" i="156"/>
  <c r="H19" i="156"/>
  <c r="H20" i="156"/>
  <c r="O17" i="156"/>
  <c r="O18" i="156"/>
  <c r="O19" i="156"/>
  <c r="O20" i="156"/>
  <c r="H21" i="156"/>
  <c r="H22" i="156"/>
  <c r="H23" i="156"/>
  <c r="H24" i="156"/>
  <c r="O21" i="156"/>
  <c r="O22" i="156"/>
  <c r="O23" i="156"/>
  <c r="O24" i="156"/>
  <c r="H25" i="156"/>
  <c r="H26" i="156"/>
  <c r="H27" i="156"/>
  <c r="H28" i="156"/>
  <c r="O25" i="156"/>
  <c r="O26" i="156"/>
  <c r="O27" i="156"/>
  <c r="O28" i="156"/>
  <c r="H29" i="156"/>
  <c r="H30" i="156"/>
  <c r="H31" i="156"/>
  <c r="H32" i="156"/>
  <c r="O29" i="156"/>
  <c r="O30" i="156"/>
  <c r="O31" i="156"/>
  <c r="O32" i="156"/>
  <c r="H33" i="156"/>
  <c r="H34" i="156"/>
  <c r="H35" i="156"/>
  <c r="H36" i="156"/>
  <c r="O33" i="156"/>
  <c r="O34" i="156"/>
  <c r="O35" i="156"/>
  <c r="O36" i="156"/>
  <c r="H37" i="156"/>
  <c r="H38" i="156"/>
  <c r="H39" i="156"/>
  <c r="H40" i="156"/>
  <c r="O37" i="156"/>
  <c r="O38" i="156"/>
  <c r="O39" i="156"/>
  <c r="O40" i="156"/>
  <c r="H41" i="156"/>
  <c r="H42" i="156"/>
  <c r="H43" i="156"/>
  <c r="H44" i="156"/>
  <c r="O41" i="156"/>
  <c r="O42" i="156"/>
  <c r="O43" i="156"/>
  <c r="O44" i="156"/>
  <c r="H45" i="156"/>
  <c r="H46" i="156"/>
  <c r="H47" i="156"/>
  <c r="H48" i="156"/>
  <c r="O45" i="156"/>
  <c r="O46" i="156"/>
  <c r="O47" i="156"/>
  <c r="O48" i="156"/>
  <c r="H49" i="156"/>
  <c r="H50" i="156"/>
  <c r="H51" i="156"/>
  <c r="H52" i="156"/>
  <c r="O49" i="156"/>
  <c r="O50" i="156"/>
  <c r="O51" i="156"/>
  <c r="O52" i="156"/>
  <c r="H53" i="156"/>
  <c r="H54" i="156"/>
  <c r="H55" i="156"/>
  <c r="H56" i="156"/>
  <c r="O53" i="156"/>
  <c r="O54" i="156"/>
  <c r="O55" i="156"/>
  <c r="O56" i="156"/>
  <c r="H57" i="156"/>
  <c r="H58" i="156"/>
  <c r="H59" i="156"/>
  <c r="H60" i="156"/>
  <c r="O57" i="156"/>
  <c r="O58" i="156"/>
  <c r="O59" i="156"/>
  <c r="O60" i="156"/>
  <c r="H61" i="156"/>
  <c r="H62" i="156"/>
  <c r="H63" i="156"/>
  <c r="H64" i="156"/>
  <c r="O61" i="156"/>
  <c r="O62" i="156"/>
  <c r="O63" i="156"/>
  <c r="O64" i="156"/>
  <c r="H65" i="156"/>
  <c r="H66" i="156"/>
  <c r="H67" i="156"/>
  <c r="H68" i="156"/>
  <c r="O65" i="156"/>
  <c r="O66" i="156"/>
  <c r="O67" i="156"/>
  <c r="O68" i="156"/>
  <c r="H69" i="156"/>
  <c r="H70" i="156"/>
  <c r="H71" i="156"/>
  <c r="H72" i="156"/>
  <c r="O69" i="156"/>
  <c r="O70" i="156"/>
  <c r="O71" i="156"/>
  <c r="O72" i="156"/>
  <c r="H73" i="156"/>
  <c r="H74" i="156"/>
  <c r="H75" i="156"/>
  <c r="H76" i="156"/>
  <c r="O73" i="156"/>
  <c r="O74" i="156"/>
  <c r="O75" i="156"/>
  <c r="O76" i="156"/>
  <c r="H77" i="156"/>
  <c r="H78" i="156"/>
  <c r="H79" i="156"/>
  <c r="H80" i="156"/>
  <c r="O77" i="156"/>
  <c r="O78" i="156"/>
  <c r="O79" i="156"/>
  <c r="O80" i="156"/>
  <c r="H81" i="156"/>
  <c r="H82" i="156"/>
  <c r="H83" i="156"/>
  <c r="H84" i="156"/>
  <c r="O81" i="156"/>
  <c r="O82" i="156"/>
  <c r="O83" i="156"/>
  <c r="O84" i="156"/>
  <c r="H85" i="156"/>
  <c r="H86" i="156"/>
  <c r="H87" i="156"/>
  <c r="H88" i="156"/>
  <c r="O85" i="156"/>
  <c r="O86" i="156"/>
  <c r="O87" i="156"/>
  <c r="O88" i="156"/>
  <c r="H89" i="156"/>
  <c r="H90" i="156"/>
  <c r="H91" i="156"/>
  <c r="H92" i="156"/>
  <c r="O89" i="156"/>
  <c r="O90" i="156"/>
  <c r="O91" i="156"/>
  <c r="O92" i="156"/>
  <c r="H93" i="156"/>
  <c r="H94" i="156"/>
  <c r="H95" i="156"/>
  <c r="H96" i="156"/>
  <c r="O93" i="156"/>
  <c r="O94" i="156"/>
  <c r="O95" i="156"/>
  <c r="O96" i="156"/>
  <c r="H97" i="156"/>
  <c r="H98" i="156"/>
  <c r="H99" i="156"/>
  <c r="H100" i="156"/>
  <c r="O97" i="156"/>
  <c r="O98" i="156"/>
  <c r="O99" i="156"/>
  <c r="O100" i="156"/>
  <c r="H101" i="156"/>
  <c r="H102" i="156"/>
  <c r="H103" i="156"/>
  <c r="H104" i="156"/>
  <c r="O101" i="156"/>
  <c r="O102" i="156"/>
  <c r="O103" i="156"/>
  <c r="O104" i="156"/>
  <c r="H105" i="156"/>
  <c r="H106" i="156"/>
  <c r="H107" i="156"/>
  <c r="H108" i="156"/>
  <c r="O105" i="156"/>
  <c r="O106" i="156"/>
  <c r="O107" i="156"/>
  <c r="O108" i="156"/>
  <c r="H109" i="156"/>
  <c r="H110" i="156"/>
  <c r="H111" i="156"/>
  <c r="H112" i="156"/>
  <c r="O109" i="156"/>
  <c r="O110" i="156"/>
  <c r="O111" i="156"/>
  <c r="O112" i="156"/>
  <c r="H113" i="156"/>
  <c r="H114" i="156"/>
  <c r="H115" i="156"/>
  <c r="H116" i="156"/>
  <c r="O113" i="156"/>
  <c r="O114" i="156"/>
  <c r="O115" i="156"/>
  <c r="O116" i="156"/>
  <c r="H117" i="156"/>
  <c r="H118" i="156"/>
  <c r="H119" i="156"/>
  <c r="H120" i="156"/>
  <c r="O117" i="156"/>
  <c r="O118" i="156"/>
  <c r="O119" i="156"/>
  <c r="O120" i="156"/>
  <c r="H121" i="156"/>
  <c r="H122" i="156"/>
  <c r="H123" i="156"/>
  <c r="H124" i="156"/>
  <c r="O121" i="156"/>
  <c r="O122" i="156"/>
  <c r="O123" i="156"/>
  <c r="O124" i="156"/>
  <c r="P47" i="135"/>
  <c r="H203" i="126"/>
  <c r="H204" i="126"/>
  <c r="H205" i="126"/>
  <c r="H206" i="126"/>
  <c r="H207" i="126"/>
  <c r="H208" i="126"/>
  <c r="H209" i="126"/>
  <c r="H210" i="126"/>
  <c r="H211" i="126"/>
  <c r="H212" i="126"/>
  <c r="H213" i="126"/>
  <c r="H214" i="126"/>
  <c r="H215" i="126"/>
  <c r="H216" i="126"/>
  <c r="H217" i="126"/>
  <c r="H218" i="126"/>
  <c r="H219" i="126"/>
  <c r="H220" i="126"/>
  <c r="H221" i="126"/>
  <c r="H222" i="126"/>
  <c r="H223" i="126"/>
  <c r="H224" i="126"/>
  <c r="H225" i="126"/>
  <c r="H226" i="126"/>
  <c r="H227" i="126"/>
  <c r="H228" i="126"/>
  <c r="H229" i="126"/>
  <c r="H230" i="126"/>
  <c r="H231" i="126"/>
  <c r="H232" i="126"/>
  <c r="H233" i="126"/>
  <c r="H234" i="126"/>
  <c r="H235" i="126"/>
  <c r="H236" i="126"/>
  <c r="H237" i="126"/>
  <c r="H238" i="126"/>
  <c r="H239" i="126"/>
  <c r="H240" i="126"/>
  <c r="H241" i="126"/>
  <c r="H242" i="126"/>
  <c r="H243" i="126"/>
  <c r="H244" i="126"/>
  <c r="H245" i="126"/>
  <c r="H246" i="126"/>
  <c r="G47" i="135"/>
  <c r="H203" i="118"/>
  <c r="H204" i="118"/>
  <c r="H205" i="118"/>
  <c r="H206" i="118"/>
  <c r="H207" i="118"/>
  <c r="H208" i="118"/>
  <c r="H209" i="118"/>
  <c r="H210" i="118"/>
  <c r="H211" i="118"/>
  <c r="H212" i="118"/>
  <c r="H213" i="118"/>
  <c r="H214" i="118"/>
  <c r="H215" i="118"/>
  <c r="H216" i="118"/>
  <c r="H217" i="118"/>
  <c r="H218" i="118"/>
  <c r="H219" i="118"/>
  <c r="H220" i="118"/>
  <c r="H221" i="118"/>
  <c r="H222" i="118"/>
  <c r="H223" i="118"/>
  <c r="H224" i="118"/>
  <c r="H225" i="118"/>
  <c r="H226" i="118"/>
  <c r="H227" i="118"/>
  <c r="H228" i="118"/>
  <c r="H229" i="118"/>
  <c r="H230" i="118"/>
  <c r="H231" i="118"/>
  <c r="H232" i="118"/>
  <c r="H233" i="118"/>
  <c r="H234" i="118"/>
  <c r="H235" i="118"/>
  <c r="H236" i="118"/>
  <c r="H237" i="118"/>
  <c r="H238" i="118"/>
  <c r="H239" i="118"/>
  <c r="H240" i="118"/>
  <c r="H241" i="118"/>
  <c r="H242" i="118"/>
  <c r="H243" i="118"/>
  <c r="H244" i="118"/>
  <c r="H245" i="118"/>
  <c r="H246" i="118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P40" i="135"/>
  <c r="O81" i="126"/>
  <c r="O82" i="126"/>
  <c r="O83" i="126"/>
  <c r="O84" i="126"/>
  <c r="H81" i="126"/>
  <c r="H82" i="126"/>
  <c r="H83" i="126"/>
  <c r="H84" i="126"/>
  <c r="O85" i="126"/>
  <c r="O86" i="126"/>
  <c r="O87" i="126"/>
  <c r="O88" i="126"/>
  <c r="H85" i="126"/>
  <c r="H86" i="126"/>
  <c r="H87" i="126"/>
  <c r="H88" i="126"/>
  <c r="O89" i="126"/>
  <c r="O90" i="126"/>
  <c r="O91" i="126"/>
  <c r="O92" i="126"/>
  <c r="H89" i="126"/>
  <c r="H90" i="126"/>
  <c r="H91" i="126"/>
  <c r="H92" i="126"/>
  <c r="O93" i="126"/>
  <c r="O94" i="126"/>
  <c r="O95" i="126"/>
  <c r="O96" i="126"/>
  <c r="H93" i="126"/>
  <c r="H94" i="126"/>
  <c r="H95" i="126"/>
  <c r="H96" i="126"/>
  <c r="O97" i="126"/>
  <c r="O98" i="126"/>
  <c r="O99" i="126"/>
  <c r="O100" i="126"/>
  <c r="H97" i="126"/>
  <c r="H98" i="126"/>
  <c r="H99" i="126"/>
  <c r="H100" i="126"/>
  <c r="O101" i="126"/>
  <c r="O102" i="126"/>
  <c r="O103" i="126"/>
  <c r="O104" i="126"/>
  <c r="H101" i="126"/>
  <c r="H102" i="126"/>
  <c r="H103" i="126"/>
  <c r="H104" i="126"/>
  <c r="O105" i="126"/>
  <c r="O106" i="126"/>
  <c r="O107" i="126"/>
  <c r="O108" i="126"/>
  <c r="H105" i="126"/>
  <c r="H106" i="126"/>
  <c r="H107" i="126"/>
  <c r="H108" i="126"/>
  <c r="O109" i="126"/>
  <c r="O110" i="126"/>
  <c r="O111" i="126"/>
  <c r="O112" i="126"/>
  <c r="H109" i="126"/>
  <c r="H110" i="126"/>
  <c r="H111" i="126"/>
  <c r="H112" i="126"/>
  <c r="O113" i="126"/>
  <c r="O114" i="126"/>
  <c r="O115" i="126"/>
  <c r="O116" i="126"/>
  <c r="H113" i="126"/>
  <c r="H114" i="126"/>
  <c r="H115" i="126"/>
  <c r="H116" i="126"/>
  <c r="O117" i="126"/>
  <c r="O118" i="126"/>
  <c r="O119" i="126"/>
  <c r="O120" i="126"/>
  <c r="H117" i="126"/>
  <c r="H118" i="126"/>
  <c r="H119" i="126"/>
  <c r="H120" i="126"/>
  <c r="O121" i="126"/>
  <c r="O122" i="126"/>
  <c r="O123" i="126"/>
  <c r="O124" i="126"/>
  <c r="H121" i="126"/>
  <c r="H122" i="126"/>
  <c r="H123" i="126"/>
  <c r="H124" i="126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G40" i="135"/>
  <c r="O81" i="118"/>
  <c r="O82" i="118"/>
  <c r="O83" i="118"/>
  <c r="O84" i="118"/>
  <c r="H81" i="118"/>
  <c r="H82" i="118"/>
  <c r="H83" i="118"/>
  <c r="H84" i="118"/>
  <c r="O85" i="118"/>
  <c r="O86" i="118"/>
  <c r="O87" i="118"/>
  <c r="O88" i="118"/>
  <c r="H85" i="118"/>
  <c r="H86" i="118"/>
  <c r="H87" i="118"/>
  <c r="H88" i="118"/>
  <c r="O89" i="118"/>
  <c r="O90" i="118"/>
  <c r="O91" i="118"/>
  <c r="O92" i="118"/>
  <c r="H89" i="118"/>
  <c r="H90" i="118"/>
  <c r="H91" i="118"/>
  <c r="H92" i="118"/>
  <c r="O93" i="118"/>
  <c r="O94" i="118"/>
  <c r="O95" i="118"/>
  <c r="O96" i="118"/>
  <c r="H93" i="118"/>
  <c r="H94" i="118"/>
  <c r="H95" i="118"/>
  <c r="H96" i="118"/>
  <c r="O97" i="118"/>
  <c r="O98" i="118"/>
  <c r="O99" i="118"/>
  <c r="O100" i="118"/>
  <c r="H97" i="118"/>
  <c r="H98" i="118"/>
  <c r="H99" i="118"/>
  <c r="H100" i="118"/>
  <c r="O101" i="118"/>
  <c r="O102" i="118"/>
  <c r="O103" i="118"/>
  <c r="O104" i="118"/>
  <c r="H101" i="118"/>
  <c r="H102" i="118"/>
  <c r="H103" i="118"/>
  <c r="H104" i="118"/>
  <c r="O105" i="118"/>
  <c r="O106" i="118"/>
  <c r="O107" i="118"/>
  <c r="O108" i="118"/>
  <c r="H105" i="118"/>
  <c r="H106" i="118"/>
  <c r="H107" i="118"/>
  <c r="H108" i="118"/>
  <c r="O109" i="118"/>
  <c r="O110" i="118"/>
  <c r="O111" i="118"/>
  <c r="O112" i="118"/>
  <c r="H109" i="118"/>
  <c r="H110" i="118"/>
  <c r="H111" i="118"/>
  <c r="H112" i="118"/>
  <c r="O113" i="118"/>
  <c r="O114" i="118"/>
  <c r="O115" i="118"/>
  <c r="O116" i="118"/>
  <c r="H113" i="118"/>
  <c r="H114" i="118"/>
  <c r="H115" i="118"/>
  <c r="H116" i="118"/>
  <c r="O117" i="118"/>
  <c r="O118" i="118"/>
  <c r="O119" i="118"/>
  <c r="O120" i="118"/>
  <c r="H117" i="118"/>
  <c r="H118" i="118"/>
  <c r="H119" i="118"/>
  <c r="H120" i="118"/>
  <c r="O121" i="118"/>
  <c r="O122" i="118"/>
  <c r="O123" i="118"/>
  <c r="O124" i="118"/>
  <c r="H121" i="118"/>
  <c r="H122" i="118"/>
  <c r="H123" i="118"/>
  <c r="H124" i="118"/>
  <c r="H81" i="153"/>
  <c r="H82" i="153"/>
  <c r="H83" i="153"/>
  <c r="H84" i="153"/>
  <c r="H85" i="153"/>
  <c r="H86" i="153"/>
  <c r="H87" i="153"/>
  <c r="H88" i="153"/>
  <c r="H89" i="153"/>
  <c r="H90" i="153"/>
  <c r="H91" i="153"/>
  <c r="H92" i="153"/>
  <c r="H93" i="153"/>
  <c r="H94" i="153"/>
  <c r="H95" i="153"/>
  <c r="H96" i="153"/>
  <c r="H97" i="153"/>
  <c r="H98" i="153"/>
  <c r="H99" i="153"/>
  <c r="H100" i="153"/>
  <c r="H101" i="153"/>
  <c r="H102" i="153"/>
  <c r="H103" i="153"/>
  <c r="H104" i="153"/>
  <c r="H105" i="153"/>
  <c r="H106" i="153"/>
  <c r="H107" i="153"/>
  <c r="H108" i="153"/>
  <c r="H109" i="153"/>
  <c r="H110" i="153"/>
  <c r="H111" i="153"/>
  <c r="H112" i="153"/>
  <c r="H113" i="153"/>
  <c r="H114" i="153"/>
  <c r="H115" i="153"/>
  <c r="H116" i="153"/>
  <c r="H117" i="153"/>
  <c r="H118" i="153"/>
  <c r="H119" i="153"/>
  <c r="H120" i="153"/>
  <c r="H121" i="153"/>
  <c r="H122" i="153"/>
  <c r="H123" i="153"/>
  <c r="H124" i="153"/>
  <c r="P31" i="135"/>
  <c r="G31" i="135"/>
  <c r="H203" i="112"/>
  <c r="H204" i="112"/>
  <c r="H205" i="112"/>
  <c r="H206" i="112"/>
  <c r="H207" i="112"/>
  <c r="H208" i="112"/>
  <c r="H209" i="112"/>
  <c r="H210" i="112"/>
  <c r="H211" i="112"/>
  <c r="H212" i="112"/>
  <c r="H213" i="112"/>
  <c r="H214" i="112"/>
  <c r="H215" i="112"/>
  <c r="H216" i="112"/>
  <c r="H217" i="112"/>
  <c r="H218" i="112"/>
  <c r="H219" i="112"/>
  <c r="H220" i="112"/>
  <c r="H221" i="112"/>
  <c r="H222" i="112"/>
  <c r="H223" i="112"/>
  <c r="H224" i="112"/>
  <c r="H225" i="112"/>
  <c r="H226" i="112"/>
  <c r="H227" i="112"/>
  <c r="H228" i="112"/>
  <c r="H229" i="112"/>
  <c r="H230" i="112"/>
  <c r="H231" i="112"/>
  <c r="H232" i="112"/>
  <c r="H233" i="112"/>
  <c r="H234" i="112"/>
  <c r="H235" i="112"/>
  <c r="H236" i="112"/>
  <c r="H237" i="112"/>
  <c r="H238" i="112"/>
  <c r="H239" i="112"/>
  <c r="H240" i="112"/>
  <c r="H241" i="112"/>
  <c r="H242" i="112"/>
  <c r="H243" i="112"/>
  <c r="H244" i="112"/>
  <c r="H245" i="112"/>
  <c r="H246" i="112"/>
  <c r="U81" i="150"/>
  <c r="U82" i="150"/>
  <c r="U83" i="150"/>
  <c r="U84" i="150"/>
  <c r="U85" i="150"/>
  <c r="U86" i="150"/>
  <c r="U87" i="150"/>
  <c r="U88" i="150"/>
  <c r="U89" i="150"/>
  <c r="U90" i="150"/>
  <c r="U91" i="150"/>
  <c r="U92" i="150"/>
  <c r="U93" i="150"/>
  <c r="U94" i="150"/>
  <c r="U95" i="150"/>
  <c r="U96" i="150"/>
  <c r="U97" i="150"/>
  <c r="U98" i="150"/>
  <c r="U99" i="150"/>
  <c r="U100" i="150"/>
  <c r="U101" i="150"/>
  <c r="U102" i="150"/>
  <c r="U103" i="150"/>
  <c r="U104" i="150"/>
  <c r="U105" i="150"/>
  <c r="U106" i="150"/>
  <c r="U107" i="150"/>
  <c r="U108" i="150"/>
  <c r="U109" i="150"/>
  <c r="U110" i="150"/>
  <c r="U111" i="150"/>
  <c r="U112" i="150"/>
  <c r="U113" i="150"/>
  <c r="U114" i="150"/>
  <c r="U115" i="150"/>
  <c r="U116" i="150"/>
  <c r="U117" i="150"/>
  <c r="U118" i="150"/>
  <c r="U119" i="150"/>
  <c r="U120" i="150"/>
  <c r="U121" i="150"/>
  <c r="U122" i="150"/>
  <c r="U123" i="150"/>
  <c r="U124" i="150"/>
  <c r="P24" i="135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24" i="135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O117" i="112"/>
  <c r="O118" i="112"/>
  <c r="O119" i="112"/>
  <c r="O120" i="112"/>
  <c r="H117" i="112"/>
  <c r="H118" i="112"/>
  <c r="H119" i="112"/>
  <c r="H120" i="112"/>
  <c r="O121" i="112"/>
  <c r="O122" i="112"/>
  <c r="O123" i="112"/>
  <c r="O124" i="112"/>
  <c r="H121" i="112"/>
  <c r="H122" i="112"/>
  <c r="H123" i="112"/>
  <c r="H124" i="112"/>
  <c r="H9" i="153"/>
  <c r="H10" i="153"/>
  <c r="H11" i="153"/>
  <c r="H12" i="153"/>
  <c r="H13" i="153"/>
  <c r="H14" i="153"/>
  <c r="H15" i="153"/>
  <c r="H16" i="153"/>
  <c r="H17" i="153"/>
  <c r="H18" i="153"/>
  <c r="H19" i="153"/>
  <c r="H20" i="153"/>
  <c r="H21" i="153"/>
  <c r="H22" i="153"/>
  <c r="H23" i="153"/>
  <c r="H24" i="153"/>
  <c r="H25" i="153"/>
  <c r="H26" i="153"/>
  <c r="H27" i="153"/>
  <c r="H28" i="153"/>
  <c r="H29" i="153"/>
  <c r="H30" i="153"/>
  <c r="H31" i="153"/>
  <c r="H32" i="153"/>
  <c r="H33" i="153"/>
  <c r="H34" i="153"/>
  <c r="H35" i="153"/>
  <c r="H36" i="153"/>
  <c r="H37" i="153"/>
  <c r="H38" i="153"/>
  <c r="H39" i="153"/>
  <c r="H40" i="153"/>
  <c r="H41" i="153"/>
  <c r="H42" i="153"/>
  <c r="H43" i="153"/>
  <c r="H44" i="153"/>
  <c r="H45" i="153"/>
  <c r="H46" i="153"/>
  <c r="H47" i="153"/>
  <c r="H48" i="153"/>
  <c r="H49" i="153"/>
  <c r="H50" i="153"/>
  <c r="H51" i="153"/>
  <c r="H52" i="153"/>
  <c r="H53" i="153"/>
  <c r="H54" i="153"/>
  <c r="H55" i="153"/>
  <c r="H56" i="153"/>
  <c r="H57" i="153"/>
  <c r="H58" i="153"/>
  <c r="H59" i="153"/>
  <c r="H60" i="153"/>
  <c r="H61" i="153"/>
  <c r="H62" i="153"/>
  <c r="H63" i="153"/>
  <c r="H64" i="153"/>
  <c r="H65" i="153"/>
  <c r="H66" i="153"/>
  <c r="H67" i="153"/>
  <c r="H68" i="153"/>
  <c r="H69" i="153"/>
  <c r="H70" i="153"/>
  <c r="H71" i="153"/>
  <c r="H72" i="153"/>
  <c r="H73" i="153"/>
  <c r="H74" i="153"/>
  <c r="H75" i="153"/>
  <c r="H76" i="153"/>
  <c r="H77" i="153"/>
  <c r="H78" i="153"/>
  <c r="H79" i="153"/>
  <c r="H80" i="153"/>
  <c r="P46" i="135"/>
  <c r="P45" i="135"/>
  <c r="P44" i="135"/>
  <c r="P43" i="135"/>
  <c r="P42" i="135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125" i="126"/>
  <c r="P41" i="135"/>
  <c r="P39" i="135"/>
  <c r="P38" i="135"/>
  <c r="P37" i="135"/>
  <c r="P36" i="135"/>
  <c r="P35" i="135"/>
  <c r="P30" i="135"/>
  <c r="P29" i="135"/>
  <c r="P28" i="135"/>
  <c r="P27" i="135"/>
  <c r="P26" i="135"/>
  <c r="U9" i="150"/>
  <c r="U10" i="150"/>
  <c r="U11" i="150"/>
  <c r="U12" i="150"/>
  <c r="U13" i="150"/>
  <c r="U14" i="150"/>
  <c r="U15" i="150"/>
  <c r="U16" i="150"/>
  <c r="U17" i="150"/>
  <c r="U18" i="150"/>
  <c r="U19" i="150"/>
  <c r="U20" i="150"/>
  <c r="U21" i="150"/>
  <c r="U22" i="150"/>
  <c r="U23" i="150"/>
  <c r="U24" i="150"/>
  <c r="U25" i="150"/>
  <c r="U26" i="150"/>
  <c r="U27" i="150"/>
  <c r="U28" i="150"/>
  <c r="U29" i="150"/>
  <c r="U30" i="150"/>
  <c r="U31" i="150"/>
  <c r="U32" i="150"/>
  <c r="U33" i="150"/>
  <c r="U34" i="150"/>
  <c r="U35" i="150"/>
  <c r="U36" i="150"/>
  <c r="U37" i="150"/>
  <c r="U38" i="150"/>
  <c r="U39" i="150"/>
  <c r="U40" i="150"/>
  <c r="U41" i="150"/>
  <c r="U42" i="150"/>
  <c r="U43" i="150"/>
  <c r="U44" i="150"/>
  <c r="U45" i="150"/>
  <c r="U46" i="150"/>
  <c r="U47" i="150"/>
  <c r="U48" i="150"/>
  <c r="U49" i="150"/>
  <c r="U50" i="150"/>
  <c r="U51" i="150"/>
  <c r="U52" i="150"/>
  <c r="U53" i="150"/>
  <c r="U54" i="150"/>
  <c r="U55" i="150"/>
  <c r="U56" i="150"/>
  <c r="U57" i="150"/>
  <c r="U58" i="150"/>
  <c r="U59" i="150"/>
  <c r="U60" i="150"/>
  <c r="U61" i="150"/>
  <c r="U62" i="150"/>
  <c r="U63" i="150"/>
  <c r="U64" i="150"/>
  <c r="U65" i="150"/>
  <c r="U66" i="150"/>
  <c r="U67" i="150"/>
  <c r="U68" i="150"/>
  <c r="U69" i="150"/>
  <c r="U70" i="150"/>
  <c r="U71" i="150"/>
  <c r="U72" i="150"/>
  <c r="U73" i="150"/>
  <c r="U74" i="150"/>
  <c r="U75" i="150"/>
  <c r="U76" i="150"/>
  <c r="U77" i="150"/>
  <c r="U78" i="150"/>
  <c r="U79" i="150"/>
  <c r="U80" i="150"/>
  <c r="U125" i="150"/>
  <c r="P25" i="135"/>
  <c r="P23" i="135"/>
  <c r="P22" i="135"/>
  <c r="P21" i="135"/>
  <c r="P20" i="135"/>
  <c r="P19" i="135"/>
  <c r="H131" i="126"/>
  <c r="H132" i="126"/>
  <c r="H133" i="126"/>
  <c r="H134" i="126"/>
  <c r="H135" i="126"/>
  <c r="H136" i="126"/>
  <c r="H137" i="126"/>
  <c r="H138" i="126"/>
  <c r="H139" i="126"/>
  <c r="H140" i="126"/>
  <c r="H141" i="126"/>
  <c r="H142" i="126"/>
  <c r="H143" i="126"/>
  <c r="H144" i="126"/>
  <c r="H145" i="126"/>
  <c r="H146" i="126"/>
  <c r="H147" i="126"/>
  <c r="H148" i="126"/>
  <c r="H149" i="126"/>
  <c r="H150" i="126"/>
  <c r="H151" i="126"/>
  <c r="H152" i="126"/>
  <c r="H153" i="126"/>
  <c r="H154" i="126"/>
  <c r="H155" i="126"/>
  <c r="H156" i="126"/>
  <c r="H157" i="126"/>
  <c r="H158" i="126"/>
  <c r="H159" i="126"/>
  <c r="H160" i="126"/>
  <c r="H161" i="126"/>
  <c r="H162" i="126"/>
  <c r="H163" i="126"/>
  <c r="H164" i="126"/>
  <c r="H165" i="126"/>
  <c r="H166" i="126"/>
  <c r="H167" i="126"/>
  <c r="H168" i="126"/>
  <c r="H169" i="126"/>
  <c r="H170" i="126"/>
  <c r="H171" i="126"/>
  <c r="H172" i="126"/>
  <c r="H173" i="126"/>
  <c r="H174" i="126"/>
  <c r="H175" i="126"/>
  <c r="H176" i="126"/>
  <c r="H177" i="126"/>
  <c r="H178" i="126"/>
  <c r="H179" i="126"/>
  <c r="H180" i="126"/>
  <c r="H181" i="126"/>
  <c r="H182" i="126"/>
  <c r="H183" i="126"/>
  <c r="H184" i="126"/>
  <c r="H185" i="126"/>
  <c r="H186" i="126"/>
  <c r="H187" i="126"/>
  <c r="H188" i="126"/>
  <c r="H189" i="126"/>
  <c r="H190" i="126"/>
  <c r="H191" i="126"/>
  <c r="H192" i="126"/>
  <c r="H193" i="126"/>
  <c r="H194" i="126"/>
  <c r="H195" i="126"/>
  <c r="H196" i="126"/>
  <c r="H197" i="126"/>
  <c r="H198" i="126"/>
  <c r="H199" i="126"/>
  <c r="H200" i="126"/>
  <c r="H201" i="126"/>
  <c r="H202" i="126"/>
  <c r="O9" i="126"/>
  <c r="O10" i="126"/>
  <c r="O11" i="126"/>
  <c r="O12" i="126"/>
  <c r="H9" i="126"/>
  <c r="H10" i="126"/>
  <c r="H11" i="126"/>
  <c r="H12" i="126"/>
  <c r="O13" i="126"/>
  <c r="O14" i="126"/>
  <c r="O15" i="126"/>
  <c r="O16" i="126"/>
  <c r="H13" i="126"/>
  <c r="H14" i="126"/>
  <c r="H15" i="126"/>
  <c r="H16" i="126"/>
  <c r="O17" i="126"/>
  <c r="O18" i="126"/>
  <c r="O19" i="126"/>
  <c r="O20" i="126"/>
  <c r="H17" i="126"/>
  <c r="H18" i="126"/>
  <c r="H19" i="126"/>
  <c r="H20" i="126"/>
  <c r="O21" i="126"/>
  <c r="O22" i="126"/>
  <c r="O23" i="126"/>
  <c r="O24" i="126"/>
  <c r="H21" i="126"/>
  <c r="H22" i="126"/>
  <c r="H23" i="126"/>
  <c r="H24" i="126"/>
  <c r="O25" i="126"/>
  <c r="O26" i="126"/>
  <c r="O27" i="126"/>
  <c r="O28" i="126"/>
  <c r="H25" i="126"/>
  <c r="H26" i="126"/>
  <c r="H27" i="126"/>
  <c r="H28" i="126"/>
  <c r="O29" i="126"/>
  <c r="O30" i="126"/>
  <c r="O31" i="126"/>
  <c r="O32" i="126"/>
  <c r="H29" i="126"/>
  <c r="H30" i="126"/>
  <c r="H31" i="126"/>
  <c r="H32" i="126"/>
  <c r="O33" i="126"/>
  <c r="O34" i="126"/>
  <c r="O35" i="126"/>
  <c r="O36" i="126"/>
  <c r="H33" i="126"/>
  <c r="H34" i="126"/>
  <c r="H35" i="126"/>
  <c r="H36" i="126"/>
  <c r="O37" i="126"/>
  <c r="O38" i="126"/>
  <c r="O39" i="126"/>
  <c r="O40" i="126"/>
  <c r="H37" i="126"/>
  <c r="H38" i="126"/>
  <c r="H39" i="126"/>
  <c r="H40" i="126"/>
  <c r="O41" i="126"/>
  <c r="O42" i="126"/>
  <c r="O43" i="126"/>
  <c r="O44" i="126"/>
  <c r="H41" i="126"/>
  <c r="H42" i="126"/>
  <c r="H43" i="126"/>
  <c r="H44" i="126"/>
  <c r="O45" i="126"/>
  <c r="O46" i="126"/>
  <c r="O47" i="126"/>
  <c r="O48" i="126"/>
  <c r="H45" i="126"/>
  <c r="H46" i="126"/>
  <c r="H47" i="126"/>
  <c r="H48" i="126"/>
  <c r="O49" i="126"/>
  <c r="O50" i="126"/>
  <c r="O51" i="126"/>
  <c r="O52" i="126"/>
  <c r="H49" i="126"/>
  <c r="H50" i="126"/>
  <c r="H51" i="126"/>
  <c r="H52" i="126"/>
  <c r="O53" i="126"/>
  <c r="O54" i="126"/>
  <c r="O55" i="126"/>
  <c r="O56" i="126"/>
  <c r="H53" i="126"/>
  <c r="H54" i="126"/>
  <c r="H55" i="126"/>
  <c r="H56" i="126"/>
  <c r="O57" i="126"/>
  <c r="O58" i="126"/>
  <c r="O59" i="126"/>
  <c r="O60" i="126"/>
  <c r="H57" i="126"/>
  <c r="H58" i="126"/>
  <c r="H59" i="126"/>
  <c r="H60" i="126"/>
  <c r="O61" i="126"/>
  <c r="O62" i="126"/>
  <c r="O63" i="126"/>
  <c r="O64" i="126"/>
  <c r="H61" i="126"/>
  <c r="H62" i="126"/>
  <c r="H63" i="126"/>
  <c r="H64" i="126"/>
  <c r="O65" i="126"/>
  <c r="O66" i="126"/>
  <c r="O67" i="126"/>
  <c r="O68" i="126"/>
  <c r="H65" i="126"/>
  <c r="H66" i="126"/>
  <c r="H67" i="126"/>
  <c r="H68" i="126"/>
  <c r="O69" i="126"/>
  <c r="O70" i="126"/>
  <c r="O71" i="126"/>
  <c r="O72" i="126"/>
  <c r="H69" i="126"/>
  <c r="H70" i="126"/>
  <c r="H71" i="126"/>
  <c r="H72" i="126"/>
  <c r="O73" i="126"/>
  <c r="O74" i="126"/>
  <c r="O75" i="126"/>
  <c r="O76" i="126"/>
  <c r="H73" i="126"/>
  <c r="H74" i="126"/>
  <c r="H75" i="126"/>
  <c r="H76" i="126"/>
  <c r="O77" i="126"/>
  <c r="O78" i="126"/>
  <c r="O79" i="126"/>
  <c r="O80" i="126"/>
  <c r="H77" i="126"/>
  <c r="H78" i="126"/>
  <c r="H79" i="126"/>
  <c r="H80" i="126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O42" i="150"/>
  <c r="O43" i="150"/>
  <c r="O44" i="150"/>
  <c r="O45" i="150"/>
  <c r="O46" i="150"/>
  <c r="O47" i="150"/>
  <c r="O48" i="150"/>
  <c r="O49" i="150"/>
  <c r="O50" i="150"/>
  <c r="O51" i="150"/>
  <c r="O52" i="150"/>
  <c r="O53" i="150"/>
  <c r="O54" i="150"/>
  <c r="O55" i="150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9" i="118"/>
  <c r="O10" i="118"/>
  <c r="O11" i="118"/>
  <c r="O12" i="118"/>
  <c r="H9" i="118"/>
  <c r="H10" i="118"/>
  <c r="H11" i="118"/>
  <c r="H12" i="118"/>
  <c r="O13" i="118"/>
  <c r="O14" i="118"/>
  <c r="O15" i="118"/>
  <c r="O16" i="118"/>
  <c r="H13" i="118"/>
  <c r="H14" i="118"/>
  <c r="H15" i="118"/>
  <c r="H16" i="118"/>
  <c r="U9" i="118"/>
  <c r="U10" i="118"/>
  <c r="U11" i="118"/>
  <c r="U12" i="118"/>
  <c r="U13" i="118"/>
  <c r="U14" i="118"/>
  <c r="U15" i="118"/>
  <c r="U16" i="118"/>
  <c r="G35" i="135"/>
  <c r="O17" i="118"/>
  <c r="O18" i="118"/>
  <c r="O19" i="118"/>
  <c r="O20" i="118"/>
  <c r="H17" i="118"/>
  <c r="H18" i="118"/>
  <c r="H19" i="118"/>
  <c r="H20" i="118"/>
  <c r="O21" i="118"/>
  <c r="O22" i="118"/>
  <c r="O23" i="118"/>
  <c r="O24" i="118"/>
  <c r="H21" i="118"/>
  <c r="H22" i="118"/>
  <c r="H23" i="118"/>
  <c r="H24" i="118"/>
  <c r="O25" i="118"/>
  <c r="O26" i="118"/>
  <c r="O27" i="118"/>
  <c r="O28" i="118"/>
  <c r="H25" i="118"/>
  <c r="H26" i="118"/>
  <c r="H27" i="118"/>
  <c r="H28" i="118"/>
  <c r="O29" i="118"/>
  <c r="O30" i="118"/>
  <c r="O31" i="118"/>
  <c r="O32" i="118"/>
  <c r="H29" i="118"/>
  <c r="H30" i="118"/>
  <c r="H31" i="118"/>
  <c r="H32" i="118"/>
  <c r="O33" i="118"/>
  <c r="O34" i="118"/>
  <c r="O35" i="118"/>
  <c r="O36" i="118"/>
  <c r="H33" i="118"/>
  <c r="H34" i="118"/>
  <c r="H35" i="118"/>
  <c r="H3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G36" i="135"/>
  <c r="O37" i="118"/>
  <c r="O38" i="118"/>
  <c r="O39" i="118"/>
  <c r="O40" i="118"/>
  <c r="H37" i="118"/>
  <c r="H38" i="118"/>
  <c r="H39" i="118"/>
  <c r="H40" i="118"/>
  <c r="O41" i="118"/>
  <c r="O42" i="118"/>
  <c r="O43" i="118"/>
  <c r="O44" i="118"/>
  <c r="H41" i="118"/>
  <c r="H42" i="118"/>
  <c r="H43" i="118"/>
  <c r="H44" i="118"/>
  <c r="O45" i="118"/>
  <c r="O46" i="118"/>
  <c r="O47" i="118"/>
  <c r="O48" i="118"/>
  <c r="H45" i="118"/>
  <c r="H46" i="118"/>
  <c r="H47" i="118"/>
  <c r="H48" i="118"/>
  <c r="O49" i="118"/>
  <c r="O50" i="118"/>
  <c r="O51" i="118"/>
  <c r="O52" i="118"/>
  <c r="H49" i="118"/>
  <c r="H50" i="118"/>
  <c r="H51" i="118"/>
  <c r="H52" i="118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G37" i="135"/>
  <c r="O53" i="118"/>
  <c r="O54" i="118"/>
  <c r="O55" i="118"/>
  <c r="O56" i="118"/>
  <c r="H53" i="118"/>
  <c r="H54" i="118"/>
  <c r="H55" i="118"/>
  <c r="H56" i="118"/>
  <c r="O57" i="118"/>
  <c r="O58" i="118"/>
  <c r="O59" i="118"/>
  <c r="O60" i="118"/>
  <c r="H57" i="118"/>
  <c r="H58" i="118"/>
  <c r="H59" i="118"/>
  <c r="H60" i="118"/>
  <c r="O61" i="118"/>
  <c r="O62" i="118"/>
  <c r="O63" i="118"/>
  <c r="O64" i="118"/>
  <c r="H61" i="118"/>
  <c r="H62" i="118"/>
  <c r="H63" i="118"/>
  <c r="H64" i="118"/>
  <c r="O65" i="118"/>
  <c r="O66" i="118"/>
  <c r="O67" i="118"/>
  <c r="O68" i="118"/>
  <c r="H65" i="118"/>
  <c r="H66" i="118"/>
  <c r="H67" i="118"/>
  <c r="H68" i="118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G38" i="135"/>
  <c r="O69" i="118"/>
  <c r="O70" i="118"/>
  <c r="O71" i="118"/>
  <c r="O72" i="118"/>
  <c r="H69" i="118"/>
  <c r="H70" i="118"/>
  <c r="H71" i="118"/>
  <c r="H72" i="118"/>
  <c r="O73" i="118"/>
  <c r="O74" i="118"/>
  <c r="O75" i="118"/>
  <c r="O76" i="118"/>
  <c r="H73" i="118"/>
  <c r="H74" i="118"/>
  <c r="H75" i="118"/>
  <c r="H76" i="118"/>
  <c r="O77" i="118"/>
  <c r="O78" i="118"/>
  <c r="O79" i="118"/>
  <c r="O80" i="118"/>
  <c r="H77" i="118"/>
  <c r="H78" i="118"/>
  <c r="H79" i="118"/>
  <c r="H80" i="118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G39" i="135"/>
  <c r="U125" i="118"/>
  <c r="G41" i="135"/>
  <c r="H131" i="118"/>
  <c r="H132" i="118"/>
  <c r="H133" i="118"/>
  <c r="H134" i="118"/>
  <c r="H135" i="118"/>
  <c r="H136" i="118"/>
  <c r="H137" i="118"/>
  <c r="H138" i="118"/>
  <c r="G42" i="135"/>
  <c r="H139" i="118"/>
  <c r="H140" i="118"/>
  <c r="H141" i="118"/>
  <c r="H142" i="118"/>
  <c r="H143" i="118"/>
  <c r="H144" i="118"/>
  <c r="H145" i="118"/>
  <c r="H146" i="118"/>
  <c r="H147" i="118"/>
  <c r="H148" i="118"/>
  <c r="H149" i="118"/>
  <c r="H150" i="118"/>
  <c r="H151" i="118"/>
  <c r="H152" i="118"/>
  <c r="H153" i="118"/>
  <c r="H154" i="118"/>
  <c r="H155" i="118"/>
  <c r="H156" i="118"/>
  <c r="H157" i="118"/>
  <c r="H158" i="118"/>
  <c r="G43" i="135"/>
  <c r="H159" i="118"/>
  <c r="H160" i="118"/>
  <c r="H161" i="118"/>
  <c r="H162" i="118"/>
  <c r="H163" i="118"/>
  <c r="H164" i="118"/>
  <c r="H165" i="118"/>
  <c r="H166" i="118"/>
  <c r="H167" i="118"/>
  <c r="H168" i="118"/>
  <c r="H169" i="118"/>
  <c r="H170" i="118"/>
  <c r="H171" i="118"/>
  <c r="H172" i="118"/>
  <c r="H173" i="118"/>
  <c r="H174" i="118"/>
  <c r="G44" i="135"/>
  <c r="H175" i="118"/>
  <c r="H176" i="118"/>
  <c r="H177" i="118"/>
  <c r="H178" i="118"/>
  <c r="H179" i="118"/>
  <c r="H180" i="118"/>
  <c r="H181" i="118"/>
  <c r="H182" i="118"/>
  <c r="H183" i="118"/>
  <c r="H184" i="118"/>
  <c r="H185" i="118"/>
  <c r="H186" i="118"/>
  <c r="H187" i="118"/>
  <c r="H188" i="118"/>
  <c r="H189" i="118"/>
  <c r="H190" i="118"/>
  <c r="G45" i="135"/>
  <c r="H191" i="118"/>
  <c r="H192" i="118"/>
  <c r="H193" i="118"/>
  <c r="H194" i="118"/>
  <c r="H195" i="118"/>
  <c r="H196" i="118"/>
  <c r="H197" i="118"/>
  <c r="H198" i="118"/>
  <c r="H199" i="118"/>
  <c r="H200" i="118"/>
  <c r="H201" i="118"/>
  <c r="H202" i="118"/>
  <c r="G46" i="135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U9" i="112"/>
  <c r="U10" i="112"/>
  <c r="U11" i="112"/>
  <c r="U12" i="112"/>
  <c r="U13" i="112"/>
  <c r="U14" i="112"/>
  <c r="U15" i="112"/>
  <c r="U16" i="112"/>
  <c r="G19" i="135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G20" i="135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G21" i="135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22" i="135"/>
  <c r="O69" i="112"/>
  <c r="O70" i="112"/>
  <c r="O71" i="112"/>
  <c r="O72" i="112"/>
  <c r="H69" i="112"/>
  <c r="H70" i="112"/>
  <c r="H71" i="112"/>
  <c r="H72" i="112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G23" i="135"/>
  <c r="U125" i="112"/>
  <c r="G25" i="135"/>
  <c r="H131" i="112"/>
  <c r="H132" i="112"/>
  <c r="H133" i="112"/>
  <c r="H134" i="112"/>
  <c r="H135" i="112"/>
  <c r="H136" i="112"/>
  <c r="H137" i="112"/>
  <c r="H138" i="112"/>
  <c r="G26" i="135"/>
  <c r="H139" i="112"/>
  <c r="H140" i="112"/>
  <c r="H141" i="112"/>
  <c r="H142" i="112"/>
  <c r="H143" i="112"/>
  <c r="H144" i="112"/>
  <c r="H145" i="112"/>
  <c r="H146" i="112"/>
  <c r="H147" i="112"/>
  <c r="H148" i="112"/>
  <c r="H149" i="112"/>
  <c r="H150" i="112"/>
  <c r="H151" i="112"/>
  <c r="H152" i="112"/>
  <c r="H153" i="112"/>
  <c r="H154" i="112"/>
  <c r="H155" i="112"/>
  <c r="H156" i="112"/>
  <c r="H157" i="112"/>
  <c r="H158" i="112"/>
  <c r="G27" i="135"/>
  <c r="H159" i="112"/>
  <c r="H160" i="112"/>
  <c r="H161" i="112"/>
  <c r="H162" i="112"/>
  <c r="H163" i="112"/>
  <c r="H164" i="112"/>
  <c r="H165" i="112"/>
  <c r="H166" i="112"/>
  <c r="H167" i="112"/>
  <c r="H168" i="112"/>
  <c r="H169" i="112"/>
  <c r="H170" i="112"/>
  <c r="H171" i="112"/>
  <c r="H172" i="112"/>
  <c r="H173" i="112"/>
  <c r="H174" i="112"/>
  <c r="G28" i="135"/>
  <c r="H175" i="112"/>
  <c r="H176" i="112"/>
  <c r="H177" i="112"/>
  <c r="H178" i="112"/>
  <c r="H179" i="112"/>
  <c r="H180" i="112"/>
  <c r="H181" i="112"/>
  <c r="H182" i="112"/>
  <c r="H183" i="112"/>
  <c r="H184" i="112"/>
  <c r="H185" i="112"/>
  <c r="H186" i="112"/>
  <c r="H187" i="112"/>
  <c r="H188" i="112"/>
  <c r="H189" i="112"/>
  <c r="H190" i="112"/>
  <c r="G29" i="135"/>
  <c r="H191" i="112"/>
  <c r="H192" i="112"/>
  <c r="H193" i="112"/>
  <c r="H194" i="112"/>
  <c r="H195" i="112"/>
  <c r="H196" i="112"/>
  <c r="H197" i="112"/>
  <c r="H198" i="112"/>
  <c r="H199" i="112"/>
  <c r="H200" i="112"/>
  <c r="H201" i="112"/>
  <c r="H202" i="112"/>
  <c r="G30" i="135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T13" i="165"/>
  <c r="T29" i="165"/>
  <c r="T45" i="165"/>
  <c r="T61" i="165"/>
  <c r="T77" i="165"/>
  <c r="T93" i="165"/>
  <c r="T109" i="165"/>
  <c r="S21" i="165"/>
  <c r="S37" i="165"/>
  <c r="S53" i="165"/>
  <c r="S69" i="165"/>
  <c r="S85" i="165"/>
  <c r="S101" i="165"/>
  <c r="S117" i="165"/>
  <c r="R13" i="165"/>
  <c r="R29" i="165"/>
  <c r="R45" i="165"/>
  <c r="R61" i="165"/>
  <c r="R77" i="165"/>
  <c r="R93" i="165"/>
  <c r="R109" i="165"/>
  <c r="Q21" i="165"/>
  <c r="Q37" i="165"/>
  <c r="Q53" i="165"/>
  <c r="Q69" i="165"/>
  <c r="Q85" i="165"/>
  <c r="Q101" i="165"/>
  <c r="Q117" i="165"/>
  <c r="T17" i="160"/>
  <c r="T33" i="160"/>
  <c r="T49" i="160"/>
  <c r="T65" i="160"/>
  <c r="T81" i="160"/>
  <c r="T97" i="160"/>
  <c r="T113" i="160"/>
  <c r="T17" i="161"/>
  <c r="T33" i="161"/>
  <c r="T49" i="161"/>
  <c r="T65" i="161"/>
  <c r="T81" i="161"/>
  <c r="T97" i="161"/>
  <c r="T113" i="161"/>
  <c r="T17" i="162"/>
  <c r="T33" i="162"/>
  <c r="T49" i="162"/>
  <c r="T65" i="162"/>
  <c r="T81" i="162"/>
  <c r="T97" i="162"/>
  <c r="T113" i="162"/>
  <c r="T17" i="163"/>
  <c r="T33" i="163"/>
  <c r="T49" i="163"/>
  <c r="T65" i="163"/>
  <c r="T81" i="163"/>
  <c r="T97" i="163"/>
  <c r="T113" i="163"/>
  <c r="T21" i="154"/>
  <c r="T37" i="154"/>
  <c r="T53" i="154"/>
  <c r="T69" i="154"/>
  <c r="T85" i="154"/>
  <c r="T101" i="154"/>
  <c r="T117" i="154"/>
  <c r="T143" i="155"/>
  <c r="T159" i="155"/>
  <c r="T175" i="155"/>
  <c r="T191" i="155"/>
  <c r="T207" i="155"/>
  <c r="T223" i="155"/>
  <c r="T239" i="155"/>
  <c r="T143" i="156"/>
  <c r="T159" i="156"/>
  <c r="T175" i="156"/>
  <c r="T191" i="156"/>
  <c r="T207" i="156"/>
  <c r="T223" i="156"/>
  <c r="T239" i="156"/>
  <c r="T143" i="159"/>
  <c r="T159" i="159"/>
  <c r="T175" i="159"/>
  <c r="T191" i="159"/>
  <c r="T207" i="159"/>
  <c r="T223" i="159"/>
  <c r="T239" i="159"/>
  <c r="T21" i="153"/>
  <c r="T37" i="153"/>
  <c r="T53" i="153"/>
  <c r="T69" i="153"/>
  <c r="T85" i="153"/>
  <c r="T101" i="153"/>
  <c r="T117" i="153"/>
  <c r="T131" i="126"/>
  <c r="T147" i="126"/>
  <c r="T17" i="165"/>
  <c r="T33" i="165"/>
  <c r="T49" i="165"/>
  <c r="T65" i="165"/>
  <c r="T81" i="165"/>
  <c r="T97" i="165"/>
  <c r="T113" i="165"/>
  <c r="S9" i="165"/>
  <c r="S25" i="165"/>
  <c r="S41" i="165"/>
  <c r="S57" i="165"/>
  <c r="S73" i="165"/>
  <c r="S89" i="165"/>
  <c r="S105" i="165"/>
  <c r="S121" i="165"/>
  <c r="R17" i="165"/>
  <c r="R33" i="165"/>
  <c r="R49" i="165"/>
  <c r="R65" i="165"/>
  <c r="R81" i="165"/>
  <c r="R97" i="165"/>
  <c r="R113" i="165"/>
  <c r="Q9" i="165"/>
  <c r="Q25" i="165"/>
  <c r="Q41" i="165"/>
  <c r="Q57" i="165"/>
  <c r="Q73" i="165"/>
  <c r="Q89" i="165"/>
  <c r="Q105" i="165"/>
  <c r="Q121" i="165"/>
  <c r="T21" i="160"/>
  <c r="T37" i="160"/>
  <c r="T53" i="160"/>
  <c r="T69" i="160"/>
  <c r="T85" i="160"/>
  <c r="T101" i="160"/>
  <c r="T117" i="160"/>
  <c r="T21" i="161"/>
  <c r="T37" i="161"/>
  <c r="T53" i="161"/>
  <c r="T69" i="161"/>
  <c r="T85" i="161"/>
  <c r="T101" i="161"/>
  <c r="T117" i="161"/>
  <c r="T21" i="162"/>
  <c r="T37" i="162"/>
  <c r="T53" i="162"/>
  <c r="T69" i="162"/>
  <c r="T85" i="162"/>
  <c r="T101" i="162"/>
  <c r="T117" i="162"/>
  <c r="T21" i="163"/>
  <c r="T37" i="163"/>
  <c r="T53" i="163"/>
  <c r="T69" i="163"/>
  <c r="T85" i="163"/>
  <c r="T101" i="163"/>
  <c r="T117" i="163"/>
  <c r="T9" i="154"/>
  <c r="T25" i="154"/>
  <c r="T41" i="154"/>
  <c r="T57" i="154"/>
  <c r="T73" i="154"/>
  <c r="T89" i="154"/>
  <c r="T105" i="154"/>
  <c r="T121" i="154"/>
  <c r="T131" i="155"/>
  <c r="T147" i="155"/>
  <c r="T163" i="155"/>
  <c r="T179" i="155"/>
  <c r="T195" i="155"/>
  <c r="T211" i="155"/>
  <c r="T227" i="155"/>
  <c r="T243" i="155"/>
  <c r="T131" i="156"/>
  <c r="T147" i="156"/>
  <c r="T163" i="156"/>
  <c r="T179" i="156"/>
  <c r="T195" i="156"/>
  <c r="T211" i="156"/>
  <c r="T227" i="156"/>
  <c r="T243" i="156"/>
  <c r="T131" i="159"/>
  <c r="T147" i="159"/>
  <c r="T163" i="159"/>
  <c r="T179" i="159"/>
  <c r="T195" i="159"/>
  <c r="T211" i="159"/>
  <c r="T227" i="159"/>
  <c r="T243" i="159"/>
  <c r="T9" i="153"/>
  <c r="T25" i="153"/>
  <c r="T41" i="153"/>
  <c r="T57" i="153"/>
  <c r="T73" i="153"/>
  <c r="T89" i="153"/>
  <c r="T105" i="153"/>
  <c r="T121" i="153"/>
  <c r="T135" i="126"/>
  <c r="T151" i="126"/>
  <c r="T25" i="165"/>
  <c r="T57" i="165"/>
  <c r="T89" i="165"/>
  <c r="T121" i="165"/>
  <c r="S33" i="165"/>
  <c r="S65" i="165"/>
  <c r="S97" i="165"/>
  <c r="R9" i="165"/>
  <c r="R41" i="165"/>
  <c r="R73" i="165"/>
  <c r="R105" i="165"/>
  <c r="Q17" i="165"/>
  <c r="Q49" i="165"/>
  <c r="Q81" i="165"/>
  <c r="Q113" i="165"/>
  <c r="T29" i="160"/>
  <c r="T61" i="160"/>
  <c r="T93" i="160"/>
  <c r="T29" i="161"/>
  <c r="T61" i="161"/>
  <c r="T93" i="161"/>
  <c r="T29" i="162"/>
  <c r="T61" i="162"/>
  <c r="T93" i="162"/>
  <c r="T29" i="163"/>
  <c r="T61" i="163"/>
  <c r="T93" i="163"/>
  <c r="T13" i="154"/>
  <c r="T45" i="154"/>
  <c r="T77" i="154"/>
  <c r="T109" i="154"/>
  <c r="T135" i="155"/>
  <c r="T167" i="155"/>
  <c r="T199" i="155"/>
  <c r="T231" i="155"/>
  <c r="T135" i="156"/>
  <c r="T167" i="156"/>
  <c r="T199" i="156"/>
  <c r="T231" i="156"/>
  <c r="T135" i="159"/>
  <c r="T167" i="159"/>
  <c r="T199" i="159"/>
  <c r="T231" i="159"/>
  <c r="T13" i="153"/>
  <c r="T45" i="153"/>
  <c r="T77" i="153"/>
  <c r="T109" i="153"/>
  <c r="T139" i="126"/>
  <c r="T163" i="126"/>
  <c r="T179" i="126"/>
  <c r="T195" i="126"/>
  <c r="T211" i="126"/>
  <c r="T227" i="126"/>
  <c r="T243" i="126"/>
  <c r="T131" i="150"/>
  <c r="T147" i="150"/>
  <c r="T163" i="150"/>
  <c r="T179" i="150"/>
  <c r="T195" i="150"/>
  <c r="T211" i="150"/>
  <c r="T227" i="150"/>
  <c r="T243" i="150"/>
  <c r="T131" i="158"/>
  <c r="T147" i="158"/>
  <c r="T163" i="158"/>
  <c r="T179" i="158"/>
  <c r="T195" i="158"/>
  <c r="T211" i="158"/>
  <c r="T227" i="158"/>
  <c r="T243" i="158"/>
  <c r="T143" i="118"/>
  <c r="T159" i="118"/>
  <c r="T175" i="118"/>
  <c r="T191" i="118"/>
  <c r="T207" i="118"/>
  <c r="T223" i="118"/>
  <c r="T239" i="118"/>
  <c r="T143" i="112"/>
  <c r="T159" i="112"/>
  <c r="T175" i="112"/>
  <c r="T191" i="112"/>
  <c r="T207" i="112"/>
  <c r="T223" i="112"/>
  <c r="T239" i="112"/>
  <c r="T143" i="157"/>
  <c r="T159" i="157"/>
  <c r="T175" i="157"/>
  <c r="T191" i="157"/>
  <c r="T207" i="157"/>
  <c r="T223" i="157"/>
  <c r="T239" i="157"/>
  <c r="S9" i="160"/>
  <c r="S25" i="160"/>
  <c r="S41" i="160"/>
  <c r="S57" i="160"/>
  <c r="S73" i="160"/>
  <c r="S89" i="160"/>
  <c r="T37" i="165"/>
  <c r="T69" i="165"/>
  <c r="T101" i="165"/>
  <c r="S13" i="165"/>
  <c r="S45" i="165"/>
  <c r="S77" i="165"/>
  <c r="S109" i="165"/>
  <c r="R21" i="165"/>
  <c r="R53" i="165"/>
  <c r="R85" i="165"/>
  <c r="R117" i="165"/>
  <c r="Q29" i="165"/>
  <c r="Q61" i="165"/>
  <c r="Q93" i="165"/>
  <c r="T9" i="160"/>
  <c r="T41" i="160"/>
  <c r="T73" i="160"/>
  <c r="T105" i="160"/>
  <c r="T9" i="161"/>
  <c r="T41" i="161"/>
  <c r="T73" i="161"/>
  <c r="T105" i="161"/>
  <c r="T9" i="162"/>
  <c r="T41" i="162"/>
  <c r="T73" i="162"/>
  <c r="T105" i="162"/>
  <c r="T9" i="163"/>
  <c r="T41" i="163"/>
  <c r="T73" i="163"/>
  <c r="T105" i="163"/>
  <c r="T17" i="154"/>
  <c r="T49" i="154"/>
  <c r="T81" i="154"/>
  <c r="T113" i="154"/>
  <c r="T139" i="155"/>
  <c r="T171" i="155"/>
  <c r="T203" i="155"/>
  <c r="T235" i="155"/>
  <c r="T139" i="156"/>
  <c r="T171" i="156"/>
  <c r="T203" i="156"/>
  <c r="T235" i="156"/>
  <c r="T139" i="159"/>
  <c r="T171" i="159"/>
  <c r="T203" i="159"/>
  <c r="T235" i="159"/>
  <c r="T17" i="153"/>
  <c r="T49" i="153"/>
  <c r="T81" i="153"/>
  <c r="T113" i="153"/>
  <c r="T143" i="126"/>
  <c r="T167" i="126"/>
  <c r="T183" i="126"/>
  <c r="T199" i="126"/>
  <c r="T215" i="126"/>
  <c r="T231" i="126"/>
  <c r="T135" i="150"/>
  <c r="T151" i="150"/>
  <c r="T167" i="150"/>
  <c r="T183" i="150"/>
  <c r="T199" i="150"/>
  <c r="T215" i="150"/>
  <c r="T231" i="150"/>
  <c r="T135" i="158"/>
  <c r="T151" i="158"/>
  <c r="T167" i="158"/>
  <c r="T183" i="158"/>
  <c r="T199" i="158"/>
  <c r="T215" i="158"/>
  <c r="T231" i="158"/>
  <c r="T131" i="118"/>
  <c r="T147" i="118"/>
  <c r="T163" i="118"/>
  <c r="T179" i="118"/>
  <c r="T195" i="118"/>
  <c r="T211" i="118"/>
  <c r="T227" i="118"/>
  <c r="T243" i="118"/>
  <c r="T131" i="112"/>
  <c r="T147" i="112"/>
  <c r="T163" i="112"/>
  <c r="T179" i="112"/>
  <c r="T195" i="112"/>
  <c r="T211" i="112"/>
  <c r="T227" i="112"/>
  <c r="T243" i="112"/>
  <c r="T131" i="157"/>
  <c r="T147" i="157"/>
  <c r="T163" i="157"/>
  <c r="T179" i="157"/>
  <c r="T195" i="157"/>
  <c r="T211" i="157"/>
  <c r="T227" i="157"/>
  <c r="T243" i="157"/>
  <c r="S13" i="160"/>
  <c r="S29" i="160"/>
  <c r="S45" i="160"/>
  <c r="S61" i="160"/>
  <c r="S77" i="160"/>
  <c r="S93" i="160"/>
  <c r="S109" i="160"/>
  <c r="T9" i="165"/>
  <c r="T41" i="165"/>
  <c r="T73" i="165"/>
  <c r="T105" i="165"/>
  <c r="S17" i="165"/>
  <c r="S49" i="165"/>
  <c r="S81" i="165"/>
  <c r="S113" i="165"/>
  <c r="R25" i="165"/>
  <c r="R57" i="165"/>
  <c r="R89" i="165"/>
  <c r="R121" i="165"/>
  <c r="Q33" i="165"/>
  <c r="Q65" i="165"/>
  <c r="Q97" i="165"/>
  <c r="T13" i="160"/>
  <c r="T45" i="160"/>
  <c r="T77" i="160"/>
  <c r="T109" i="160"/>
  <c r="T13" i="161"/>
  <c r="T45" i="161"/>
  <c r="T77" i="161"/>
  <c r="T109" i="161"/>
  <c r="T13" i="162"/>
  <c r="T45" i="162"/>
  <c r="T77" i="162"/>
  <c r="T109" i="162"/>
  <c r="T13" i="163"/>
  <c r="T45" i="163"/>
  <c r="T77" i="163"/>
  <c r="T109" i="163"/>
  <c r="T29" i="154"/>
  <c r="T61" i="154"/>
  <c r="T93" i="154"/>
  <c r="T151" i="155"/>
  <c r="T183" i="155"/>
  <c r="T215" i="155"/>
  <c r="T151" i="156"/>
  <c r="T183" i="156"/>
  <c r="T215" i="156"/>
  <c r="T151" i="159"/>
  <c r="T183" i="159"/>
  <c r="T215" i="159"/>
  <c r="T29" i="153"/>
  <c r="T61" i="153"/>
  <c r="T93" i="153"/>
  <c r="T155" i="126"/>
  <c r="T171" i="126"/>
  <c r="T187" i="126"/>
  <c r="T203" i="126"/>
  <c r="T219" i="126"/>
  <c r="T235" i="126"/>
  <c r="T139" i="150"/>
  <c r="T155" i="150"/>
  <c r="T171" i="150"/>
  <c r="T187" i="150"/>
  <c r="T203" i="150"/>
  <c r="T219" i="150"/>
  <c r="T235" i="150"/>
  <c r="T139" i="158"/>
  <c r="T155" i="158"/>
  <c r="T171" i="158"/>
  <c r="T187" i="158"/>
  <c r="T203" i="158"/>
  <c r="T219" i="158"/>
  <c r="T235" i="158"/>
  <c r="T135" i="118"/>
  <c r="T151" i="118"/>
  <c r="T167" i="118"/>
  <c r="T183" i="118"/>
  <c r="T199" i="118"/>
  <c r="T215" i="118"/>
  <c r="T231" i="118"/>
  <c r="T135" i="112"/>
  <c r="T151" i="112"/>
  <c r="T167" i="112"/>
  <c r="T183" i="112"/>
  <c r="T199" i="112"/>
  <c r="T215" i="112"/>
  <c r="T231" i="112"/>
  <c r="T135" i="157"/>
  <c r="T151" i="157"/>
  <c r="T167" i="157"/>
  <c r="T183" i="157"/>
  <c r="T199" i="157"/>
  <c r="T215" i="157"/>
  <c r="T231" i="157"/>
  <c r="S17" i="160"/>
  <c r="S33" i="160"/>
  <c r="S49" i="160"/>
  <c r="S65" i="160"/>
  <c r="S81" i="160"/>
  <c r="S97" i="160"/>
  <c r="T53" i="165"/>
  <c r="S61" i="165"/>
  <c r="R69" i="165"/>
  <c r="Q77" i="165"/>
  <c r="T121" i="160"/>
  <c r="T121" i="161"/>
  <c r="T121" i="162"/>
  <c r="T121" i="163"/>
  <c r="T33" i="154"/>
  <c r="T155" i="155"/>
  <c r="T155" i="156"/>
  <c r="T155" i="159"/>
  <c r="T33" i="153"/>
  <c r="T159" i="126"/>
  <c r="T223" i="126"/>
  <c r="T159" i="150"/>
  <c r="T223" i="150"/>
  <c r="T159" i="158"/>
  <c r="T223" i="158"/>
  <c r="T155" i="118"/>
  <c r="T219" i="118"/>
  <c r="T155" i="112"/>
  <c r="T219" i="112"/>
  <c r="T155" i="157"/>
  <c r="T219" i="157"/>
  <c r="S21" i="160"/>
  <c r="S85" i="160"/>
  <c r="S117" i="160"/>
  <c r="S17" i="161"/>
  <c r="S33" i="161"/>
  <c r="S49" i="161"/>
  <c r="S65" i="161"/>
  <c r="S81" i="161"/>
  <c r="S97" i="161"/>
  <c r="S113" i="161"/>
  <c r="S13" i="162"/>
  <c r="S29" i="162"/>
  <c r="S45" i="162"/>
  <c r="S61" i="162"/>
  <c r="S77" i="162"/>
  <c r="S93" i="162"/>
  <c r="S109" i="162"/>
  <c r="S9" i="163"/>
  <c r="S25" i="163"/>
  <c r="S41" i="163"/>
  <c r="S57" i="163"/>
  <c r="S73" i="163"/>
  <c r="S89" i="163"/>
  <c r="S105" i="163"/>
  <c r="S121" i="163"/>
  <c r="R21" i="160"/>
  <c r="R37" i="160"/>
  <c r="R53" i="160"/>
  <c r="R69" i="160"/>
  <c r="R85" i="160"/>
  <c r="R101" i="160"/>
  <c r="R117" i="160"/>
  <c r="R17" i="161"/>
  <c r="R33" i="161"/>
  <c r="R49" i="161"/>
  <c r="R65" i="161"/>
  <c r="R81" i="161"/>
  <c r="R97" i="161"/>
  <c r="R113" i="161"/>
  <c r="R13" i="162"/>
  <c r="R29" i="162"/>
  <c r="R45" i="162"/>
  <c r="R61" i="162"/>
  <c r="R77" i="162"/>
  <c r="R93" i="162"/>
  <c r="R109" i="162"/>
  <c r="R9" i="163"/>
  <c r="R25" i="163"/>
  <c r="R41" i="163"/>
  <c r="R57" i="163"/>
  <c r="R73" i="163"/>
  <c r="R89" i="163"/>
  <c r="R105" i="163"/>
  <c r="R121" i="163"/>
  <c r="Q21" i="160"/>
  <c r="Q37" i="160"/>
  <c r="Q53" i="160"/>
  <c r="Q69" i="160"/>
  <c r="Q85" i="160"/>
  <c r="Q101" i="160"/>
  <c r="Q117" i="160"/>
  <c r="Q17" i="161"/>
  <c r="Q33" i="161"/>
  <c r="Q49" i="161"/>
  <c r="Q65" i="161"/>
  <c r="Q81" i="161"/>
  <c r="Q97" i="161"/>
  <c r="Q113" i="161"/>
  <c r="Q13" i="162"/>
  <c r="Q29" i="162"/>
  <c r="Q45" i="162"/>
  <c r="Q61" i="162"/>
  <c r="Q77" i="162"/>
  <c r="Q93" i="162"/>
  <c r="Q109" i="162"/>
  <c r="Q9" i="163"/>
  <c r="Q25" i="163"/>
  <c r="Q41" i="163"/>
  <c r="Q57" i="163"/>
  <c r="Q73" i="163"/>
  <c r="Q89" i="163"/>
  <c r="Q105" i="163"/>
  <c r="Q121" i="163"/>
  <c r="R9" i="159"/>
  <c r="T9" i="158"/>
  <c r="S13" i="158"/>
  <c r="R9" i="157"/>
  <c r="S135" i="159"/>
  <c r="S151" i="159"/>
  <c r="S167" i="159"/>
  <c r="S183" i="159"/>
  <c r="S199" i="159"/>
  <c r="S215" i="159"/>
  <c r="S231" i="159"/>
  <c r="R139" i="159"/>
  <c r="R155" i="159"/>
  <c r="R171" i="159"/>
  <c r="R187" i="159"/>
  <c r="R203" i="159"/>
  <c r="R219" i="159"/>
  <c r="R235" i="159"/>
  <c r="Q143" i="159"/>
  <c r="Q159" i="159"/>
  <c r="Q175" i="159"/>
  <c r="Q191" i="159"/>
  <c r="Q207" i="159"/>
  <c r="Q223" i="159"/>
  <c r="Q239" i="159"/>
  <c r="S131" i="158"/>
  <c r="S147" i="158"/>
  <c r="S163" i="158"/>
  <c r="S179" i="158"/>
  <c r="S195" i="158"/>
  <c r="S211" i="158"/>
  <c r="S227" i="158"/>
  <c r="S243" i="158"/>
  <c r="R135" i="158"/>
  <c r="R151" i="158"/>
  <c r="R167" i="158"/>
  <c r="R183" i="158"/>
  <c r="R199" i="158"/>
  <c r="R215" i="158"/>
  <c r="R231" i="158"/>
  <c r="Q139" i="158"/>
  <c r="Q155" i="158"/>
  <c r="Q171" i="158"/>
  <c r="Q187" i="158"/>
  <c r="Q203" i="158"/>
  <c r="Q219" i="158"/>
  <c r="Q235" i="158"/>
  <c r="S143" i="157"/>
  <c r="S159" i="157"/>
  <c r="S175" i="157"/>
  <c r="S191" i="157"/>
  <c r="S207" i="157"/>
  <c r="S223" i="157"/>
  <c r="S239" i="157"/>
  <c r="R131" i="157"/>
  <c r="R147" i="157"/>
  <c r="R163" i="157"/>
  <c r="R179" i="157"/>
  <c r="R195" i="157"/>
  <c r="R211" i="157"/>
  <c r="R227" i="157"/>
  <c r="R243" i="157"/>
  <c r="Q135" i="157"/>
  <c r="Q151" i="157"/>
  <c r="Q167" i="157"/>
  <c r="Q183" i="157"/>
  <c r="Q199" i="157"/>
  <c r="Q215" i="157"/>
  <c r="Q231" i="157"/>
  <c r="T85" i="165"/>
  <c r="S93" i="165"/>
  <c r="R101" i="165"/>
  <c r="Q109" i="165"/>
  <c r="T25" i="160"/>
  <c r="T25" i="161"/>
  <c r="T25" i="162"/>
  <c r="T25" i="163"/>
  <c r="T65" i="154"/>
  <c r="T187" i="155"/>
  <c r="T187" i="156"/>
  <c r="T187" i="159"/>
  <c r="T65" i="153"/>
  <c r="T175" i="126"/>
  <c r="T239" i="126"/>
  <c r="T175" i="150"/>
  <c r="T239" i="150"/>
  <c r="T175" i="158"/>
  <c r="T239" i="158"/>
  <c r="T171" i="118"/>
  <c r="T235" i="118"/>
  <c r="T171" i="112"/>
  <c r="T235" i="112"/>
  <c r="T171" i="157"/>
  <c r="T235" i="157"/>
  <c r="S37" i="160"/>
  <c r="S101" i="160"/>
  <c r="S121" i="160"/>
  <c r="S21" i="161"/>
  <c r="S37" i="161"/>
  <c r="S53" i="161"/>
  <c r="S69" i="161"/>
  <c r="S85" i="161"/>
  <c r="S101" i="161"/>
  <c r="S117" i="161"/>
  <c r="S17" i="162"/>
  <c r="S33" i="162"/>
  <c r="S49" i="162"/>
  <c r="S65" i="162"/>
  <c r="S81" i="162"/>
  <c r="S97" i="162"/>
  <c r="S113" i="162"/>
  <c r="S13" i="163"/>
  <c r="S29" i="163"/>
  <c r="S45" i="163"/>
  <c r="S61" i="163"/>
  <c r="S77" i="163"/>
  <c r="S93" i="163"/>
  <c r="S109" i="163"/>
  <c r="R9" i="160"/>
  <c r="R25" i="160"/>
  <c r="R41" i="160"/>
  <c r="R57" i="160"/>
  <c r="R73" i="160"/>
  <c r="R89" i="160"/>
  <c r="R105" i="160"/>
  <c r="R121" i="160"/>
  <c r="R21" i="161"/>
  <c r="R37" i="161"/>
  <c r="R53" i="161"/>
  <c r="R69" i="161"/>
  <c r="R85" i="161"/>
  <c r="R101" i="161"/>
  <c r="R117" i="161"/>
  <c r="R17" i="162"/>
  <c r="R33" i="162"/>
  <c r="R49" i="162"/>
  <c r="R65" i="162"/>
  <c r="R81" i="162"/>
  <c r="R97" i="162"/>
  <c r="R113" i="162"/>
  <c r="R13" i="163"/>
  <c r="R29" i="163"/>
  <c r="R45" i="163"/>
  <c r="R61" i="163"/>
  <c r="R77" i="163"/>
  <c r="R93" i="163"/>
  <c r="R109" i="163"/>
  <c r="Q9" i="160"/>
  <c r="Q25" i="160"/>
  <c r="Q41" i="160"/>
  <c r="Q57" i="160"/>
  <c r="Q73" i="160"/>
  <c r="Q89" i="160"/>
  <c r="Q105" i="160"/>
  <c r="Q121" i="160"/>
  <c r="Q21" i="161"/>
  <c r="Q37" i="161"/>
  <c r="Q53" i="161"/>
  <c r="Q69" i="161"/>
  <c r="Q85" i="161"/>
  <c r="Q101" i="161"/>
  <c r="Q117" i="161"/>
  <c r="Q17" i="162"/>
  <c r="Q33" i="162"/>
  <c r="Q49" i="162"/>
  <c r="Q65" i="162"/>
  <c r="Q81" i="162"/>
  <c r="Q97" i="162"/>
  <c r="Q113" i="162"/>
  <c r="Q13" i="163"/>
  <c r="Q29" i="163"/>
  <c r="Q45" i="163"/>
  <c r="Q61" i="163"/>
  <c r="Q77" i="163"/>
  <c r="Q93" i="163"/>
  <c r="Q109" i="163"/>
  <c r="S9" i="159"/>
  <c r="R13" i="159"/>
  <c r="T13" i="158"/>
  <c r="S9" i="157"/>
  <c r="R13" i="157"/>
  <c r="S139" i="159"/>
  <c r="S155" i="159"/>
  <c r="S171" i="159"/>
  <c r="S187" i="159"/>
  <c r="S203" i="159"/>
  <c r="S219" i="159"/>
  <c r="S235" i="159"/>
  <c r="R143" i="159"/>
  <c r="R159" i="159"/>
  <c r="R175" i="159"/>
  <c r="R191" i="159"/>
  <c r="R207" i="159"/>
  <c r="R223" i="159"/>
  <c r="R239" i="159"/>
  <c r="Q131" i="159"/>
  <c r="Q147" i="159"/>
  <c r="Q163" i="159"/>
  <c r="Q179" i="159"/>
  <c r="Q195" i="159"/>
  <c r="Q211" i="159"/>
  <c r="Q227" i="159"/>
  <c r="Q243" i="159"/>
  <c r="S135" i="158"/>
  <c r="S151" i="158"/>
  <c r="S167" i="158"/>
  <c r="S183" i="158"/>
  <c r="S199" i="158"/>
  <c r="S215" i="158"/>
  <c r="S231" i="158"/>
  <c r="R139" i="158"/>
  <c r="R155" i="158"/>
  <c r="R171" i="158"/>
  <c r="R187" i="158"/>
  <c r="R203" i="158"/>
  <c r="R219" i="158"/>
  <c r="R235" i="158"/>
  <c r="Q143" i="158"/>
  <c r="Q159" i="158"/>
  <c r="Q175" i="158"/>
  <c r="Q191" i="158"/>
  <c r="Q207" i="158"/>
  <c r="Q223" i="158"/>
  <c r="Q239" i="158"/>
  <c r="S131" i="157"/>
  <c r="S147" i="157"/>
  <c r="S163" i="157"/>
  <c r="S179" i="157"/>
  <c r="S195" i="157"/>
  <c r="S211" i="157"/>
  <c r="S227" i="157"/>
  <c r="S243" i="157"/>
  <c r="R135" i="157"/>
  <c r="R151" i="157"/>
  <c r="R167" i="157"/>
  <c r="R183" i="157"/>
  <c r="R199" i="157"/>
  <c r="R215" i="157"/>
  <c r="R231" i="157"/>
  <c r="Q139" i="157"/>
  <c r="Q155" i="157"/>
  <c r="Q171" i="157"/>
  <c r="Q187" i="157"/>
  <c r="Q203" i="157"/>
  <c r="Q219" i="157"/>
  <c r="Q235" i="157"/>
  <c r="T117" i="165"/>
  <c r="Q13" i="165"/>
  <c r="T57" i="160"/>
  <c r="T57" i="161"/>
  <c r="T57" i="162"/>
  <c r="T57" i="163"/>
  <c r="T97" i="154"/>
  <c r="T219" i="155"/>
  <c r="T219" i="156"/>
  <c r="T219" i="159"/>
  <c r="T97" i="153"/>
  <c r="T191" i="126"/>
  <c r="T191" i="150"/>
  <c r="T191" i="158"/>
  <c r="T187" i="118"/>
  <c r="T187" i="112"/>
  <c r="T187" i="157"/>
  <c r="S53" i="160"/>
  <c r="S105" i="160"/>
  <c r="S9" i="161"/>
  <c r="S25" i="161"/>
  <c r="S41" i="161"/>
  <c r="S57" i="161"/>
  <c r="S73" i="161"/>
  <c r="S89" i="161"/>
  <c r="S105" i="161"/>
  <c r="S121" i="161"/>
  <c r="S21" i="162"/>
  <c r="S37" i="162"/>
  <c r="S53" i="162"/>
  <c r="S69" i="162"/>
  <c r="S85" i="162"/>
  <c r="S101" i="162"/>
  <c r="S117" i="162"/>
  <c r="S17" i="163"/>
  <c r="S33" i="163"/>
  <c r="S49" i="163"/>
  <c r="S65" i="163"/>
  <c r="S81" i="163"/>
  <c r="S97" i="163"/>
  <c r="S113" i="163"/>
  <c r="R13" i="160"/>
  <c r="R29" i="160"/>
  <c r="R45" i="160"/>
  <c r="R61" i="160"/>
  <c r="R77" i="160"/>
  <c r="R93" i="160"/>
  <c r="R109" i="160"/>
  <c r="R9" i="161"/>
  <c r="R25" i="161"/>
  <c r="R41" i="161"/>
  <c r="R57" i="161"/>
  <c r="R73" i="161"/>
  <c r="R89" i="161"/>
  <c r="R105" i="161"/>
  <c r="R121" i="161"/>
  <c r="R21" i="162"/>
  <c r="R37" i="162"/>
  <c r="R53" i="162"/>
  <c r="R69" i="162"/>
  <c r="R85" i="162"/>
  <c r="R101" i="162"/>
  <c r="R117" i="162"/>
  <c r="R17" i="163"/>
  <c r="R33" i="163"/>
  <c r="R49" i="163"/>
  <c r="R65" i="163"/>
  <c r="R81" i="163"/>
  <c r="R97" i="163"/>
  <c r="R113" i="163"/>
  <c r="Q13" i="160"/>
  <c r="Q29" i="160"/>
  <c r="Q45" i="160"/>
  <c r="Q61" i="160"/>
  <c r="Q77" i="160"/>
  <c r="Q93" i="160"/>
  <c r="Q109" i="160"/>
  <c r="Q9" i="161"/>
  <c r="Q25" i="161"/>
  <c r="Q41" i="161"/>
  <c r="Q57" i="161"/>
  <c r="Q73" i="161"/>
  <c r="Q89" i="161"/>
  <c r="Q105" i="161"/>
  <c r="Q121" i="161"/>
  <c r="Q21" i="162"/>
  <c r="Q37" i="162"/>
  <c r="Q53" i="162"/>
  <c r="Q69" i="162"/>
  <c r="Q85" i="162"/>
  <c r="Q101" i="162"/>
  <c r="Q117" i="162"/>
  <c r="Q17" i="163"/>
  <c r="Q33" i="163"/>
  <c r="Q49" i="163"/>
  <c r="Q65" i="163"/>
  <c r="Q81" i="163"/>
  <c r="Q97" i="163"/>
  <c r="Q113" i="163"/>
  <c r="T9" i="159"/>
  <c r="S13" i="159"/>
  <c r="R9" i="158"/>
  <c r="T9" i="157"/>
  <c r="S13" i="157"/>
  <c r="S143" i="159"/>
  <c r="S159" i="159"/>
  <c r="S175" i="159"/>
  <c r="S191" i="159"/>
  <c r="S207" i="159"/>
  <c r="S223" i="159"/>
  <c r="S239" i="159"/>
  <c r="R131" i="159"/>
  <c r="R147" i="159"/>
  <c r="R163" i="159"/>
  <c r="R179" i="159"/>
  <c r="R195" i="159"/>
  <c r="R211" i="159"/>
  <c r="R227" i="159"/>
  <c r="R243" i="159"/>
  <c r="Q135" i="159"/>
  <c r="Q151" i="159"/>
  <c r="Q167" i="159"/>
  <c r="Q183" i="159"/>
  <c r="Q199" i="159"/>
  <c r="Q215" i="159"/>
  <c r="Q231" i="159"/>
  <c r="S139" i="158"/>
  <c r="S155" i="158"/>
  <c r="S171" i="158"/>
  <c r="S187" i="158"/>
  <c r="S203" i="158"/>
  <c r="S219" i="158"/>
  <c r="S235" i="158"/>
  <c r="R143" i="158"/>
  <c r="R159" i="158"/>
  <c r="R175" i="158"/>
  <c r="R191" i="158"/>
  <c r="R207" i="158"/>
  <c r="R223" i="158"/>
  <c r="R239" i="158"/>
  <c r="Q131" i="158"/>
  <c r="Q147" i="158"/>
  <c r="Q163" i="158"/>
  <c r="Q179" i="158"/>
  <c r="Q195" i="158"/>
  <c r="Q211" i="158"/>
  <c r="Q227" i="158"/>
  <c r="Q243" i="158"/>
  <c r="S135" i="157"/>
  <c r="S151" i="157"/>
  <c r="S167" i="157"/>
  <c r="S183" i="157"/>
  <c r="S199" i="157"/>
  <c r="S215" i="157"/>
  <c r="S231" i="157"/>
  <c r="R139" i="157"/>
  <c r="R155" i="157"/>
  <c r="R171" i="157"/>
  <c r="R187" i="157"/>
  <c r="R203" i="157"/>
  <c r="R219" i="157"/>
  <c r="R235" i="157"/>
  <c r="Q143" i="157"/>
  <c r="Q159" i="157"/>
  <c r="Q175" i="157"/>
  <c r="Q191" i="157"/>
  <c r="Q207" i="157"/>
  <c r="Q223" i="157"/>
  <c r="Q239" i="157"/>
  <c r="R37" i="165"/>
  <c r="T89" i="163"/>
  <c r="T143" i="158"/>
  <c r="T139" i="112"/>
  <c r="S61" i="161"/>
  <c r="S41" i="162"/>
  <c r="S105" i="162"/>
  <c r="S21" i="163"/>
  <c r="S85" i="163"/>
  <c r="R65" i="160"/>
  <c r="R45" i="161"/>
  <c r="R109" i="161"/>
  <c r="R25" i="162"/>
  <c r="R89" i="162"/>
  <c r="R69" i="163"/>
  <c r="Q49" i="160"/>
  <c r="Q113" i="160"/>
  <c r="Q29" i="161"/>
  <c r="Q93" i="161"/>
  <c r="Q9" i="162"/>
  <c r="Q73" i="162"/>
  <c r="Q53" i="163"/>
  <c r="Q117" i="163"/>
  <c r="T13" i="159"/>
  <c r="R13" i="158"/>
  <c r="S131" i="159"/>
  <c r="S195" i="159"/>
  <c r="R135" i="159"/>
  <c r="R199" i="159"/>
  <c r="Q139" i="159"/>
  <c r="Q203" i="159"/>
  <c r="S143" i="158"/>
  <c r="S207" i="158"/>
  <c r="R147" i="158"/>
  <c r="R211" i="158"/>
  <c r="Q151" i="158"/>
  <c r="Q215" i="158"/>
  <c r="S155" i="157"/>
  <c r="S219" i="157"/>
  <c r="R159" i="157"/>
  <c r="R223" i="157"/>
  <c r="Q163" i="157"/>
  <c r="Q227" i="157"/>
  <c r="T29" i="159"/>
  <c r="T45" i="159"/>
  <c r="T61" i="159"/>
  <c r="T77" i="159"/>
  <c r="T93" i="159"/>
  <c r="T109" i="159"/>
  <c r="S25" i="159"/>
  <c r="S41" i="159"/>
  <c r="S57" i="159"/>
  <c r="S73" i="159"/>
  <c r="S89" i="159"/>
  <c r="S105" i="159"/>
  <c r="S121" i="159"/>
  <c r="R21" i="159"/>
  <c r="R37" i="159"/>
  <c r="R53" i="159"/>
  <c r="R69" i="159"/>
  <c r="R85" i="159"/>
  <c r="R101" i="159"/>
  <c r="R117" i="159"/>
  <c r="Q9" i="159"/>
  <c r="Q25" i="159"/>
  <c r="Q41" i="159"/>
  <c r="Q57" i="159"/>
  <c r="Q73" i="159"/>
  <c r="Q89" i="159"/>
  <c r="Q105" i="159"/>
  <c r="Q121" i="159"/>
  <c r="T29" i="158"/>
  <c r="T45" i="158"/>
  <c r="T61" i="158"/>
  <c r="T77" i="158"/>
  <c r="T93" i="158"/>
  <c r="T109" i="158"/>
  <c r="S25" i="158"/>
  <c r="S41" i="158"/>
  <c r="S57" i="158"/>
  <c r="S73" i="158"/>
  <c r="S89" i="158"/>
  <c r="S105" i="158"/>
  <c r="S121" i="158"/>
  <c r="R21" i="158"/>
  <c r="R37" i="158"/>
  <c r="R53" i="158"/>
  <c r="R69" i="158"/>
  <c r="R85" i="158"/>
  <c r="R101" i="158"/>
  <c r="R117" i="158"/>
  <c r="Q9" i="158"/>
  <c r="Q25" i="158"/>
  <c r="Q41" i="158"/>
  <c r="Q57" i="158"/>
  <c r="Q73" i="158"/>
  <c r="Q89" i="158"/>
  <c r="Q105" i="158"/>
  <c r="Q121" i="158"/>
  <c r="T29" i="157"/>
  <c r="T45" i="157"/>
  <c r="T61" i="157"/>
  <c r="T77" i="157"/>
  <c r="T93" i="157"/>
  <c r="T109" i="157"/>
  <c r="S25" i="157"/>
  <c r="S41" i="157"/>
  <c r="S57" i="157"/>
  <c r="S73" i="157"/>
  <c r="S89" i="157"/>
  <c r="S105" i="157"/>
  <c r="S121" i="157"/>
  <c r="R21" i="157"/>
  <c r="R37" i="157"/>
  <c r="R53" i="157"/>
  <c r="R69" i="157"/>
  <c r="R85" i="157"/>
  <c r="R101" i="157"/>
  <c r="R117" i="157"/>
  <c r="Q9" i="157"/>
  <c r="Q25" i="157"/>
  <c r="Q41" i="157"/>
  <c r="Q57" i="157"/>
  <c r="Q73" i="157"/>
  <c r="Q89" i="157"/>
  <c r="Q105" i="157"/>
  <c r="Q121" i="157"/>
  <c r="T13" i="155"/>
  <c r="T29" i="155"/>
  <c r="T45" i="155"/>
  <c r="T61" i="155"/>
  <c r="T77" i="155"/>
  <c r="T93" i="155"/>
  <c r="T109" i="155"/>
  <c r="T17" i="156"/>
  <c r="T33" i="156"/>
  <c r="T49" i="156"/>
  <c r="T65" i="156"/>
  <c r="T81" i="156"/>
  <c r="T97" i="156"/>
  <c r="T113" i="156"/>
  <c r="S13" i="154"/>
  <c r="S29" i="154"/>
  <c r="S45" i="154"/>
  <c r="S61" i="154"/>
  <c r="S77" i="154"/>
  <c r="S93" i="154"/>
  <c r="S109" i="154"/>
  <c r="S131" i="155"/>
  <c r="S147" i="155"/>
  <c r="S163" i="155"/>
  <c r="S179" i="155"/>
  <c r="S195" i="155"/>
  <c r="S211" i="155"/>
  <c r="S227" i="155"/>
  <c r="S243" i="155"/>
  <c r="S21" i="155"/>
  <c r="S37" i="155"/>
  <c r="S53" i="155"/>
  <c r="S69" i="155"/>
  <c r="S85" i="155"/>
  <c r="S101" i="155"/>
  <c r="S117" i="155"/>
  <c r="S139" i="156"/>
  <c r="S155" i="156"/>
  <c r="S171" i="156"/>
  <c r="S187" i="156"/>
  <c r="S203" i="156"/>
  <c r="S219" i="156"/>
  <c r="S235" i="156"/>
  <c r="S13" i="156"/>
  <c r="S29" i="156"/>
  <c r="S45" i="156"/>
  <c r="S61" i="156"/>
  <c r="S77" i="156"/>
  <c r="S93" i="156"/>
  <c r="S109" i="156"/>
  <c r="R9" i="154"/>
  <c r="R25" i="154"/>
  <c r="Q45" i="165"/>
  <c r="T89" i="160"/>
  <c r="T207" i="126"/>
  <c r="T207" i="158"/>
  <c r="T203" i="112"/>
  <c r="S69" i="160"/>
  <c r="S13" i="161"/>
  <c r="S77" i="161"/>
  <c r="S57" i="162"/>
  <c r="S121" i="162"/>
  <c r="S37" i="163"/>
  <c r="S101" i="163"/>
  <c r="R17" i="160"/>
  <c r="R81" i="160"/>
  <c r="R61" i="161"/>
  <c r="R41" i="162"/>
  <c r="R105" i="162"/>
  <c r="R21" i="163"/>
  <c r="R85" i="163"/>
  <c r="Q65" i="160"/>
  <c r="Q45" i="161"/>
  <c r="Q109" i="161"/>
  <c r="Q25" i="162"/>
  <c r="Q89" i="162"/>
  <c r="Q69" i="163"/>
  <c r="S147" i="159"/>
  <c r="S211" i="159"/>
  <c r="R151" i="159"/>
  <c r="R215" i="159"/>
  <c r="Q155" i="159"/>
  <c r="Q219" i="159"/>
  <c r="S159" i="158"/>
  <c r="S223" i="158"/>
  <c r="R163" i="158"/>
  <c r="R227" i="158"/>
  <c r="Q167" i="158"/>
  <c r="Q231" i="158"/>
  <c r="S171" i="157"/>
  <c r="S235" i="157"/>
  <c r="R175" i="157"/>
  <c r="R239" i="157"/>
  <c r="Q179" i="157"/>
  <c r="Q243" i="157"/>
  <c r="T17" i="159"/>
  <c r="T33" i="159"/>
  <c r="T49" i="159"/>
  <c r="T65" i="159"/>
  <c r="T81" i="159"/>
  <c r="T97" i="159"/>
  <c r="T113" i="159"/>
  <c r="S29" i="159"/>
  <c r="S45" i="159"/>
  <c r="S61" i="159"/>
  <c r="S77" i="159"/>
  <c r="S93" i="159"/>
  <c r="S109" i="159"/>
  <c r="R25" i="159"/>
  <c r="R41" i="159"/>
  <c r="R57" i="159"/>
  <c r="R73" i="159"/>
  <c r="R89" i="159"/>
  <c r="R105" i="159"/>
  <c r="R121" i="159"/>
  <c r="Q13" i="159"/>
  <c r="Q29" i="159"/>
  <c r="Q45" i="159"/>
  <c r="Q61" i="159"/>
  <c r="Q77" i="159"/>
  <c r="Q93" i="159"/>
  <c r="Q109" i="159"/>
  <c r="T17" i="158"/>
  <c r="T33" i="158"/>
  <c r="T49" i="158"/>
  <c r="T65" i="158"/>
  <c r="T81" i="158"/>
  <c r="T97" i="158"/>
  <c r="T113" i="158"/>
  <c r="S29" i="158"/>
  <c r="S45" i="158"/>
  <c r="S61" i="158"/>
  <c r="S77" i="158"/>
  <c r="S93" i="158"/>
  <c r="S109" i="158"/>
  <c r="R25" i="158"/>
  <c r="R41" i="158"/>
  <c r="R57" i="158"/>
  <c r="R73" i="158"/>
  <c r="R89" i="158"/>
  <c r="R105" i="158"/>
  <c r="R121" i="158"/>
  <c r="Q13" i="158"/>
  <c r="Q29" i="158"/>
  <c r="Q45" i="158"/>
  <c r="Q61" i="158"/>
  <c r="Q77" i="158"/>
  <c r="Q93" i="158"/>
  <c r="Q109" i="158"/>
  <c r="T17" i="157"/>
  <c r="T33" i="157"/>
  <c r="T49" i="157"/>
  <c r="T65" i="157"/>
  <c r="T81" i="157"/>
  <c r="T97" i="157"/>
  <c r="T113" i="157"/>
  <c r="S29" i="157"/>
  <c r="S45" i="157"/>
  <c r="S61" i="157"/>
  <c r="S77" i="157"/>
  <c r="S93" i="157"/>
  <c r="S109" i="157"/>
  <c r="R25" i="157"/>
  <c r="R41" i="157"/>
  <c r="R57" i="157"/>
  <c r="R73" i="157"/>
  <c r="R89" i="157"/>
  <c r="R105" i="157"/>
  <c r="R121" i="157"/>
  <c r="Q13" i="157"/>
  <c r="Q29" i="157"/>
  <c r="Q45" i="157"/>
  <c r="Q61" i="157"/>
  <c r="Q77" i="157"/>
  <c r="Q93" i="157"/>
  <c r="Q109" i="157"/>
  <c r="T17" i="155"/>
  <c r="T33" i="155"/>
  <c r="T49" i="155"/>
  <c r="T65" i="155"/>
  <c r="T81" i="155"/>
  <c r="T97" i="155"/>
  <c r="T113" i="155"/>
  <c r="T21" i="156"/>
  <c r="T37" i="156"/>
  <c r="T53" i="156"/>
  <c r="T69" i="156"/>
  <c r="T85" i="156"/>
  <c r="T101" i="156"/>
  <c r="T117" i="156"/>
  <c r="S17" i="154"/>
  <c r="S33" i="154"/>
  <c r="S49" i="154"/>
  <c r="S65" i="154"/>
  <c r="S81" i="154"/>
  <c r="S97" i="154"/>
  <c r="S113" i="154"/>
  <c r="S135" i="155"/>
  <c r="S151" i="155"/>
  <c r="S167" i="155"/>
  <c r="S183" i="155"/>
  <c r="S199" i="155"/>
  <c r="S215" i="155"/>
  <c r="S231" i="155"/>
  <c r="S9" i="155"/>
  <c r="S25" i="155"/>
  <c r="S41" i="155"/>
  <c r="S57" i="155"/>
  <c r="S73" i="155"/>
  <c r="S89" i="155"/>
  <c r="S105" i="155"/>
  <c r="S121" i="155"/>
  <c r="S143" i="156"/>
  <c r="S159" i="156"/>
  <c r="S175" i="156"/>
  <c r="S191" i="156"/>
  <c r="S207" i="156"/>
  <c r="S223" i="156"/>
  <c r="S239" i="156"/>
  <c r="S17" i="156"/>
  <c r="S33" i="156"/>
  <c r="S49" i="156"/>
  <c r="S65" i="156"/>
  <c r="S81" i="156"/>
  <c r="S97" i="156"/>
  <c r="S113" i="156"/>
  <c r="R13" i="154"/>
  <c r="R29" i="154"/>
  <c r="T21" i="165"/>
  <c r="T89" i="161"/>
  <c r="T143" i="150"/>
  <c r="T139" i="118"/>
  <c r="T139" i="157"/>
  <c r="S113" i="160"/>
  <c r="S29" i="161"/>
  <c r="S93" i="161"/>
  <c r="S9" i="162"/>
  <c r="S73" i="162"/>
  <c r="S53" i="163"/>
  <c r="S117" i="163"/>
  <c r="R33" i="160"/>
  <c r="R97" i="160"/>
  <c r="R13" i="161"/>
  <c r="R77" i="161"/>
  <c r="R57" i="162"/>
  <c r="R121" i="162"/>
  <c r="R37" i="163"/>
  <c r="R101" i="163"/>
  <c r="Q17" i="160"/>
  <c r="Q81" i="160"/>
  <c r="Q61" i="161"/>
  <c r="Q41" i="162"/>
  <c r="Q105" i="162"/>
  <c r="Q21" i="163"/>
  <c r="Q85" i="163"/>
  <c r="T13" i="157"/>
  <c r="S163" i="159"/>
  <c r="S227" i="159"/>
  <c r="R167" i="159"/>
  <c r="R231" i="159"/>
  <c r="Q171" i="159"/>
  <c r="Q235" i="159"/>
  <c r="S175" i="158"/>
  <c r="S239" i="158"/>
  <c r="R179" i="158"/>
  <c r="R243" i="158"/>
  <c r="Q183" i="158"/>
  <c r="S187" i="157"/>
  <c r="R191" i="157"/>
  <c r="Q131" i="157"/>
  <c r="Q195" i="157"/>
  <c r="T21" i="159"/>
  <c r="T37" i="159"/>
  <c r="T53" i="159"/>
  <c r="T69" i="159"/>
  <c r="T85" i="159"/>
  <c r="T101" i="159"/>
  <c r="T117" i="159"/>
  <c r="S17" i="159"/>
  <c r="S33" i="159"/>
  <c r="S49" i="159"/>
  <c r="S65" i="159"/>
  <c r="S81" i="159"/>
  <c r="S97" i="159"/>
  <c r="S113" i="159"/>
  <c r="R29" i="159"/>
  <c r="R45" i="159"/>
  <c r="R61" i="159"/>
  <c r="R77" i="159"/>
  <c r="R93" i="159"/>
  <c r="R109" i="159"/>
  <c r="Q17" i="159"/>
  <c r="Q33" i="159"/>
  <c r="Q49" i="159"/>
  <c r="Q65" i="159"/>
  <c r="Q81" i="159"/>
  <c r="Q97" i="159"/>
  <c r="Q113" i="159"/>
  <c r="T21" i="158"/>
  <c r="T37" i="158"/>
  <c r="T53" i="158"/>
  <c r="T69" i="158"/>
  <c r="T85" i="158"/>
  <c r="T101" i="158"/>
  <c r="T117" i="158"/>
  <c r="S17" i="158"/>
  <c r="S33" i="158"/>
  <c r="S49" i="158"/>
  <c r="S65" i="158"/>
  <c r="S81" i="158"/>
  <c r="S97" i="158"/>
  <c r="S113" i="158"/>
  <c r="R29" i="158"/>
  <c r="R45" i="158"/>
  <c r="R61" i="158"/>
  <c r="R77" i="158"/>
  <c r="R93" i="158"/>
  <c r="R109" i="158"/>
  <c r="Q17" i="158"/>
  <c r="Q33" i="158"/>
  <c r="Q49" i="158"/>
  <c r="Q65" i="158"/>
  <c r="Q81" i="158"/>
  <c r="Q97" i="158"/>
  <c r="Q113" i="158"/>
  <c r="T21" i="157"/>
  <c r="T37" i="157"/>
  <c r="T53" i="157"/>
  <c r="T69" i="157"/>
  <c r="T85" i="157"/>
  <c r="T101" i="157"/>
  <c r="T117" i="157"/>
  <c r="S17" i="157"/>
  <c r="S33" i="157"/>
  <c r="S49" i="157"/>
  <c r="S65" i="157"/>
  <c r="S81" i="157"/>
  <c r="S97" i="157"/>
  <c r="S113" i="157"/>
  <c r="R29" i="157"/>
  <c r="R45" i="157"/>
  <c r="R61" i="157"/>
  <c r="R77" i="157"/>
  <c r="R93" i="157"/>
  <c r="R109" i="157"/>
  <c r="Q17" i="157"/>
  <c r="Q33" i="157"/>
  <c r="Q49" i="157"/>
  <c r="Q65" i="157"/>
  <c r="Q81" i="157"/>
  <c r="Q97" i="157"/>
  <c r="Q113" i="157"/>
  <c r="T21" i="155"/>
  <c r="T37" i="155"/>
  <c r="T53" i="155"/>
  <c r="T69" i="155"/>
  <c r="T85" i="155"/>
  <c r="T101" i="155"/>
  <c r="T117" i="155"/>
  <c r="T9" i="156"/>
  <c r="T25" i="156"/>
  <c r="T41" i="156"/>
  <c r="T57" i="156"/>
  <c r="T73" i="156"/>
  <c r="T89" i="156"/>
  <c r="T105" i="156"/>
  <c r="T121" i="156"/>
  <c r="S21" i="154"/>
  <c r="S37" i="154"/>
  <c r="S53" i="154"/>
  <c r="S69" i="154"/>
  <c r="S85" i="154"/>
  <c r="S101" i="154"/>
  <c r="S117" i="154"/>
  <c r="S139" i="155"/>
  <c r="S155" i="155"/>
  <c r="S171" i="155"/>
  <c r="S187" i="155"/>
  <c r="S203" i="155"/>
  <c r="S219" i="155"/>
  <c r="S235" i="155"/>
  <c r="S13" i="155"/>
  <c r="S29" i="155"/>
  <c r="S45" i="155"/>
  <c r="S61" i="155"/>
  <c r="S77" i="155"/>
  <c r="S93" i="155"/>
  <c r="S109" i="155"/>
  <c r="S131" i="156"/>
  <c r="S147" i="156"/>
  <c r="S163" i="156"/>
  <c r="S179" i="156"/>
  <c r="S195" i="156"/>
  <c r="S211" i="156"/>
  <c r="S227" i="156"/>
  <c r="S243" i="156"/>
  <c r="S21" i="156"/>
  <c r="S37" i="156"/>
  <c r="S53" i="156"/>
  <c r="S69" i="156"/>
  <c r="S85" i="156"/>
  <c r="S101" i="156"/>
  <c r="S117" i="156"/>
  <c r="R17" i="154"/>
  <c r="R33" i="154"/>
  <c r="T203" i="157"/>
  <c r="S25" i="162"/>
  <c r="R93" i="161"/>
  <c r="R53" i="163"/>
  <c r="Q13" i="161"/>
  <c r="Q121" i="162"/>
  <c r="S179" i="159"/>
  <c r="Q187" i="159"/>
  <c r="R195" i="158"/>
  <c r="S203" i="157"/>
  <c r="Q211" i="157"/>
  <c r="T57" i="159"/>
  <c r="T121" i="159"/>
  <c r="S69" i="159"/>
  <c r="R17" i="159"/>
  <c r="R81" i="159"/>
  <c r="Q21" i="159"/>
  <c r="Q85" i="159"/>
  <c r="T73" i="158"/>
  <c r="S21" i="158"/>
  <c r="S85" i="158"/>
  <c r="R33" i="158"/>
  <c r="R97" i="158"/>
  <c r="Q37" i="158"/>
  <c r="Q101" i="158"/>
  <c r="T25" i="157"/>
  <c r="T89" i="157"/>
  <c r="S37" i="157"/>
  <c r="S101" i="157"/>
  <c r="R49" i="157"/>
  <c r="R113" i="157"/>
  <c r="Q53" i="157"/>
  <c r="Q117" i="157"/>
  <c r="T57" i="155"/>
  <c r="T121" i="155"/>
  <c r="T13" i="156"/>
  <c r="T77" i="156"/>
  <c r="S57" i="154"/>
  <c r="S121" i="154"/>
  <c r="S159" i="155"/>
  <c r="S223" i="155"/>
  <c r="S17" i="155"/>
  <c r="S81" i="155"/>
  <c r="S183" i="156"/>
  <c r="S41" i="156"/>
  <c r="S105" i="156"/>
  <c r="R21" i="154"/>
  <c r="R49" i="154"/>
  <c r="R65" i="154"/>
  <c r="R81" i="154"/>
  <c r="R97" i="154"/>
  <c r="R113" i="154"/>
  <c r="R135" i="155"/>
  <c r="R151" i="155"/>
  <c r="R167" i="155"/>
  <c r="R183" i="155"/>
  <c r="R199" i="155"/>
  <c r="R215" i="155"/>
  <c r="R231" i="155"/>
  <c r="R9" i="155"/>
  <c r="R25" i="155"/>
  <c r="R41" i="155"/>
  <c r="R57" i="155"/>
  <c r="R73" i="155"/>
  <c r="R89" i="155"/>
  <c r="R105" i="155"/>
  <c r="R121" i="155"/>
  <c r="R143" i="156"/>
  <c r="R159" i="156"/>
  <c r="R175" i="156"/>
  <c r="R191" i="156"/>
  <c r="R207" i="156"/>
  <c r="R223" i="156"/>
  <c r="R239" i="156"/>
  <c r="R17" i="156"/>
  <c r="R33" i="156"/>
  <c r="R49" i="156"/>
  <c r="R65" i="156"/>
  <c r="R81" i="156"/>
  <c r="R97" i="156"/>
  <c r="R113" i="156"/>
  <c r="Q13" i="154"/>
  <c r="Q29" i="154"/>
  <c r="Q45" i="154"/>
  <c r="Q61" i="154"/>
  <c r="Q77" i="154"/>
  <c r="Q93" i="154"/>
  <c r="Q109" i="154"/>
  <c r="Q131" i="155"/>
  <c r="Q147" i="155"/>
  <c r="Q163" i="155"/>
  <c r="Q179" i="155"/>
  <c r="Q195" i="155"/>
  <c r="Q211" i="155"/>
  <c r="Q227" i="155"/>
  <c r="Q243" i="155"/>
  <c r="Q21" i="155"/>
  <c r="Q37" i="155"/>
  <c r="Q53" i="155"/>
  <c r="Q69" i="155"/>
  <c r="Q85" i="155"/>
  <c r="Q101" i="155"/>
  <c r="Q117" i="155"/>
  <c r="Q139" i="156"/>
  <c r="Q155" i="156"/>
  <c r="Q171" i="156"/>
  <c r="Q187" i="156"/>
  <c r="Q203" i="156"/>
  <c r="Q219" i="156"/>
  <c r="Q235" i="156"/>
  <c r="Q13" i="156"/>
  <c r="Q29" i="156"/>
  <c r="Q45" i="156"/>
  <c r="Q61" i="156"/>
  <c r="Q77" i="156"/>
  <c r="Q93" i="156"/>
  <c r="Q109" i="156"/>
  <c r="S211" i="126"/>
  <c r="S227" i="126"/>
  <c r="S243" i="126"/>
  <c r="R211" i="126"/>
  <c r="R227" i="126"/>
  <c r="R243" i="126"/>
  <c r="Q211" i="126"/>
  <c r="Q227" i="126"/>
  <c r="Q243" i="126"/>
  <c r="S203" i="118"/>
  <c r="S219" i="118"/>
  <c r="S235" i="118"/>
  <c r="R203" i="118"/>
  <c r="R219" i="118"/>
  <c r="R235" i="118"/>
  <c r="Q203" i="118"/>
  <c r="Q219" i="118"/>
  <c r="Q235" i="118"/>
  <c r="T93" i="126"/>
  <c r="T109" i="126"/>
  <c r="S93" i="126"/>
  <c r="S109" i="126"/>
  <c r="R93" i="126"/>
  <c r="R109" i="126"/>
  <c r="Q93" i="126"/>
  <c r="Q109" i="126"/>
  <c r="T89" i="118"/>
  <c r="T105" i="118"/>
  <c r="T121" i="118"/>
  <c r="S89" i="118"/>
  <c r="S105" i="118"/>
  <c r="S121" i="118"/>
  <c r="R89" i="118"/>
  <c r="R105" i="118"/>
  <c r="R121" i="118"/>
  <c r="Q89" i="118"/>
  <c r="Q105" i="118"/>
  <c r="Q121" i="118"/>
  <c r="S89" i="153"/>
  <c r="S105" i="153"/>
  <c r="S121" i="153"/>
  <c r="R93" i="153"/>
  <c r="R109" i="153"/>
  <c r="Q81" i="153"/>
  <c r="Q97" i="153"/>
  <c r="Q113" i="153"/>
  <c r="S215" i="150"/>
  <c r="S231" i="150"/>
  <c r="R215" i="150"/>
  <c r="R231" i="150"/>
  <c r="Q215" i="150"/>
  <c r="Q231" i="150"/>
  <c r="S207" i="112"/>
  <c r="S223" i="112"/>
  <c r="S239" i="112"/>
  <c r="R207" i="112"/>
  <c r="R223" i="112"/>
  <c r="R239" i="112"/>
  <c r="Q207" i="112"/>
  <c r="Q223" i="112"/>
  <c r="Q239" i="112"/>
  <c r="T81" i="150"/>
  <c r="T97" i="150"/>
  <c r="T113" i="150"/>
  <c r="S81" i="150"/>
  <c r="S97" i="150"/>
  <c r="S113" i="150"/>
  <c r="R81" i="150"/>
  <c r="R97" i="150"/>
  <c r="R113" i="150"/>
  <c r="Q81" i="150"/>
  <c r="Q97" i="150"/>
  <c r="Q113" i="150"/>
  <c r="T93" i="112"/>
  <c r="S29" i="165"/>
  <c r="T89" i="162"/>
  <c r="S89" i="162"/>
  <c r="R49" i="160"/>
  <c r="R9" i="162"/>
  <c r="R117" i="163"/>
  <c r="Q77" i="161"/>
  <c r="Q37" i="163"/>
  <c r="S9" i="158"/>
  <c r="S243" i="159"/>
  <c r="Q135" i="158"/>
  <c r="R143" i="157"/>
  <c r="T73" i="159"/>
  <c r="S21" i="159"/>
  <c r="S85" i="159"/>
  <c r="R33" i="159"/>
  <c r="R97" i="159"/>
  <c r="Q37" i="159"/>
  <c r="Q101" i="159"/>
  <c r="T25" i="158"/>
  <c r="T89" i="158"/>
  <c r="S37" i="158"/>
  <c r="S101" i="158"/>
  <c r="R49" i="158"/>
  <c r="R113" i="158"/>
  <c r="Q53" i="158"/>
  <c r="Q117" i="158"/>
  <c r="T41" i="157"/>
  <c r="T105" i="157"/>
  <c r="S53" i="157"/>
  <c r="S117" i="157"/>
  <c r="R65" i="157"/>
  <c r="Q69" i="157"/>
  <c r="T9" i="155"/>
  <c r="T73" i="155"/>
  <c r="T29" i="156"/>
  <c r="T93" i="156"/>
  <c r="S9" i="154"/>
  <c r="S73" i="154"/>
  <c r="S175" i="155"/>
  <c r="S239" i="155"/>
  <c r="S33" i="155"/>
  <c r="S97" i="155"/>
  <c r="S135" i="156"/>
  <c r="S199" i="156"/>
  <c r="S57" i="156"/>
  <c r="S121" i="156"/>
  <c r="R37" i="154"/>
  <c r="R53" i="154"/>
  <c r="R69" i="154"/>
  <c r="R85" i="154"/>
  <c r="R101" i="154"/>
  <c r="R117" i="154"/>
  <c r="R139" i="155"/>
  <c r="R155" i="155"/>
  <c r="R171" i="155"/>
  <c r="R187" i="155"/>
  <c r="R203" i="155"/>
  <c r="R219" i="155"/>
  <c r="R235" i="155"/>
  <c r="R13" i="155"/>
  <c r="R29" i="155"/>
  <c r="R45" i="155"/>
  <c r="R61" i="155"/>
  <c r="R77" i="155"/>
  <c r="R93" i="155"/>
  <c r="R109" i="155"/>
  <c r="R131" i="156"/>
  <c r="R147" i="156"/>
  <c r="R163" i="156"/>
  <c r="R179" i="156"/>
  <c r="R195" i="156"/>
  <c r="R211" i="156"/>
  <c r="R227" i="156"/>
  <c r="R243" i="156"/>
  <c r="R21" i="156"/>
  <c r="R37" i="156"/>
  <c r="R53" i="156"/>
  <c r="R69" i="156"/>
  <c r="R85" i="156"/>
  <c r="R101" i="156"/>
  <c r="R117" i="156"/>
  <c r="Q17" i="154"/>
  <c r="Q33" i="154"/>
  <c r="Q49" i="154"/>
  <c r="Q65" i="154"/>
  <c r="Q81" i="154"/>
  <c r="Q97" i="154"/>
  <c r="Q113" i="154"/>
  <c r="Q135" i="155"/>
  <c r="Q151" i="155"/>
  <c r="Q167" i="155"/>
  <c r="Q183" i="155"/>
  <c r="Q199" i="155"/>
  <c r="Q215" i="155"/>
  <c r="Q231" i="155"/>
  <c r="Q9" i="155"/>
  <c r="Q25" i="155"/>
  <c r="Q41" i="155"/>
  <c r="Q57" i="155"/>
  <c r="Q73" i="155"/>
  <c r="Q89" i="155"/>
  <c r="Q105" i="155"/>
  <c r="Q121" i="155"/>
  <c r="Q143" i="156"/>
  <c r="Q159" i="156"/>
  <c r="Q175" i="156"/>
  <c r="Q191" i="156"/>
  <c r="Q207" i="156"/>
  <c r="Q223" i="156"/>
  <c r="Q239" i="156"/>
  <c r="Q17" i="156"/>
  <c r="Q33" i="156"/>
  <c r="Q49" i="156"/>
  <c r="Q65" i="156"/>
  <c r="Q81" i="156"/>
  <c r="Q97" i="156"/>
  <c r="Q113" i="156"/>
  <c r="S215" i="126"/>
  <c r="S231" i="126"/>
  <c r="R215" i="126"/>
  <c r="R231" i="126"/>
  <c r="Q215" i="126"/>
  <c r="Q231" i="126"/>
  <c r="S207" i="118"/>
  <c r="S223" i="118"/>
  <c r="S239" i="118"/>
  <c r="R207" i="118"/>
  <c r="R223" i="118"/>
  <c r="R239" i="118"/>
  <c r="Q207" i="118"/>
  <c r="Q223" i="118"/>
  <c r="Q239" i="118"/>
  <c r="T81" i="126"/>
  <c r="T97" i="126"/>
  <c r="T113" i="126"/>
  <c r="S81" i="126"/>
  <c r="S97" i="126"/>
  <c r="S113" i="126"/>
  <c r="R81" i="126"/>
  <c r="R97" i="126"/>
  <c r="R113" i="126"/>
  <c r="Q81" i="126"/>
  <c r="Q97" i="126"/>
  <c r="Q113" i="126"/>
  <c r="T93" i="118"/>
  <c r="T109" i="118"/>
  <c r="S93" i="118"/>
  <c r="S109" i="118"/>
  <c r="R93" i="118"/>
  <c r="R109" i="118"/>
  <c r="Q93" i="118"/>
  <c r="Q109" i="118"/>
  <c r="S93" i="153"/>
  <c r="S109" i="153"/>
  <c r="R81" i="153"/>
  <c r="R97" i="153"/>
  <c r="R113" i="153"/>
  <c r="Q85" i="153"/>
  <c r="Q101" i="153"/>
  <c r="Q117" i="153"/>
  <c r="S203" i="150"/>
  <c r="S219" i="150"/>
  <c r="S235" i="150"/>
  <c r="R203" i="150"/>
  <c r="R219" i="150"/>
  <c r="R235" i="150"/>
  <c r="Q203" i="150"/>
  <c r="Q219" i="150"/>
  <c r="Q235" i="150"/>
  <c r="S211" i="112"/>
  <c r="S227" i="112"/>
  <c r="S243" i="112"/>
  <c r="R211" i="112"/>
  <c r="R227" i="112"/>
  <c r="R243" i="112"/>
  <c r="Q211" i="112"/>
  <c r="Q227" i="112"/>
  <c r="Q243" i="112"/>
  <c r="T85" i="150"/>
  <c r="T101" i="150"/>
  <c r="T117" i="150"/>
  <c r="S85" i="150"/>
  <c r="S101" i="150"/>
  <c r="S117" i="150"/>
  <c r="R85" i="150"/>
  <c r="R101" i="150"/>
  <c r="R117" i="150"/>
  <c r="Q85" i="150"/>
  <c r="Q101" i="150"/>
  <c r="Q117" i="150"/>
  <c r="T81" i="112"/>
  <c r="T207" i="150"/>
  <c r="S45" i="161"/>
  <c r="R113" i="160"/>
  <c r="R73" i="162"/>
  <c r="Q33" i="160"/>
  <c r="Q101" i="163"/>
  <c r="R183" i="159"/>
  <c r="S191" i="158"/>
  <c r="Q199" i="158"/>
  <c r="R207" i="157"/>
  <c r="T25" i="159"/>
  <c r="T89" i="159"/>
  <c r="S37" i="159"/>
  <c r="S101" i="159"/>
  <c r="R49" i="159"/>
  <c r="R113" i="159"/>
  <c r="Q53" i="159"/>
  <c r="Q117" i="159"/>
  <c r="T41" i="158"/>
  <c r="T105" i="158"/>
  <c r="S53" i="158"/>
  <c r="S117" i="158"/>
  <c r="R65" i="158"/>
  <c r="Q69" i="158"/>
  <c r="T57" i="157"/>
  <c r="T121" i="157"/>
  <c r="S69" i="157"/>
  <c r="R17" i="157"/>
  <c r="R81" i="157"/>
  <c r="Q21" i="157"/>
  <c r="Q85" i="157"/>
  <c r="T25" i="155"/>
  <c r="T89" i="155"/>
  <c r="T45" i="156"/>
  <c r="T109" i="156"/>
  <c r="S25" i="154"/>
  <c r="S89" i="154"/>
  <c r="S191" i="155"/>
  <c r="S49" i="155"/>
  <c r="S113" i="155"/>
  <c r="S151" i="156"/>
  <c r="S215" i="156"/>
  <c r="S9" i="156"/>
  <c r="S73" i="156"/>
  <c r="R41" i="154"/>
  <c r="R57" i="154"/>
  <c r="R73" i="154"/>
  <c r="R89" i="154"/>
  <c r="R105" i="154"/>
  <c r="R121" i="154"/>
  <c r="R143" i="155"/>
  <c r="R159" i="155"/>
  <c r="R175" i="155"/>
  <c r="R191" i="155"/>
  <c r="R207" i="155"/>
  <c r="R223" i="155"/>
  <c r="R239" i="155"/>
  <c r="R17" i="155"/>
  <c r="R33" i="155"/>
  <c r="R49" i="155"/>
  <c r="R65" i="155"/>
  <c r="R81" i="155"/>
  <c r="R97" i="155"/>
  <c r="R113" i="155"/>
  <c r="R135" i="156"/>
  <c r="R151" i="156"/>
  <c r="R167" i="156"/>
  <c r="R183" i="156"/>
  <c r="R199" i="156"/>
  <c r="R215" i="156"/>
  <c r="R231" i="156"/>
  <c r="R9" i="156"/>
  <c r="R25" i="156"/>
  <c r="R41" i="156"/>
  <c r="R57" i="156"/>
  <c r="R73" i="156"/>
  <c r="R89" i="156"/>
  <c r="R105" i="156"/>
  <c r="R121" i="156"/>
  <c r="Q21" i="154"/>
  <c r="Q37" i="154"/>
  <c r="Q53" i="154"/>
  <c r="Q69" i="154"/>
  <c r="Q85" i="154"/>
  <c r="Q101" i="154"/>
  <c r="Q117" i="154"/>
  <c r="Q139" i="155"/>
  <c r="Q155" i="155"/>
  <c r="Q171" i="155"/>
  <c r="Q187" i="155"/>
  <c r="Q203" i="155"/>
  <c r="Q219" i="155"/>
  <c r="Q235" i="155"/>
  <c r="Q13" i="155"/>
  <c r="Q29" i="155"/>
  <c r="Q45" i="155"/>
  <c r="Q61" i="155"/>
  <c r="Q77" i="155"/>
  <c r="Q93" i="155"/>
  <c r="Q109" i="155"/>
  <c r="Q131" i="156"/>
  <c r="Q147" i="156"/>
  <c r="Q163" i="156"/>
  <c r="Q179" i="156"/>
  <c r="Q195" i="156"/>
  <c r="Q211" i="156"/>
  <c r="Q227" i="156"/>
  <c r="Q243" i="156"/>
  <c r="Q21" i="156"/>
  <c r="Q37" i="156"/>
  <c r="Q53" i="156"/>
  <c r="Q69" i="156"/>
  <c r="Q85" i="156"/>
  <c r="Q101" i="156"/>
  <c r="Q117" i="156"/>
  <c r="S203" i="126"/>
  <c r="S219" i="126"/>
  <c r="S235" i="126"/>
  <c r="R203" i="126"/>
  <c r="R219" i="126"/>
  <c r="R235" i="126"/>
  <c r="Q203" i="126"/>
  <c r="Q219" i="126"/>
  <c r="Q235" i="126"/>
  <c r="S211" i="118"/>
  <c r="S227" i="118"/>
  <c r="S243" i="118"/>
  <c r="R211" i="118"/>
  <c r="R227" i="118"/>
  <c r="R243" i="118"/>
  <c r="Q211" i="118"/>
  <c r="Q227" i="118"/>
  <c r="Q243" i="118"/>
  <c r="T85" i="126"/>
  <c r="T101" i="126"/>
  <c r="T117" i="126"/>
  <c r="S85" i="126"/>
  <c r="S101" i="126"/>
  <c r="S117" i="126"/>
  <c r="R85" i="126"/>
  <c r="R101" i="126"/>
  <c r="R117" i="126"/>
  <c r="Q85" i="126"/>
  <c r="Q101" i="126"/>
  <c r="Q117" i="126"/>
  <c r="T81" i="118"/>
  <c r="T97" i="118"/>
  <c r="T113" i="118"/>
  <c r="S81" i="118"/>
  <c r="S97" i="118"/>
  <c r="S113" i="118"/>
  <c r="R81" i="118"/>
  <c r="R97" i="118"/>
  <c r="R113" i="118"/>
  <c r="Q81" i="118"/>
  <c r="Q97" i="118"/>
  <c r="Q113" i="118"/>
  <c r="S81" i="153"/>
  <c r="S97" i="153"/>
  <c r="S113" i="153"/>
  <c r="R85" i="153"/>
  <c r="R101" i="153"/>
  <c r="R117" i="153"/>
  <c r="Q89" i="153"/>
  <c r="Q105" i="153"/>
  <c r="Q121" i="153"/>
  <c r="S207" i="150"/>
  <c r="S223" i="150"/>
  <c r="S239" i="150"/>
  <c r="R207" i="150"/>
  <c r="R223" i="150"/>
  <c r="R239" i="150"/>
  <c r="Q207" i="150"/>
  <c r="Q223" i="150"/>
  <c r="Q239" i="150"/>
  <c r="S215" i="112"/>
  <c r="S231" i="112"/>
  <c r="R215" i="112"/>
  <c r="R231" i="112"/>
  <c r="Q215" i="112"/>
  <c r="Q231" i="112"/>
  <c r="T89" i="150"/>
  <c r="T105" i="150"/>
  <c r="T121" i="150"/>
  <c r="S89" i="150"/>
  <c r="S105" i="150"/>
  <c r="S121" i="150"/>
  <c r="R89" i="150"/>
  <c r="R105" i="150"/>
  <c r="R121" i="150"/>
  <c r="Q89" i="150"/>
  <c r="Q105" i="150"/>
  <c r="Q121" i="150"/>
  <c r="T85" i="112"/>
  <c r="R29" i="161"/>
  <c r="S53" i="159"/>
  <c r="Q69" i="159"/>
  <c r="T121" i="158"/>
  <c r="Q21" i="158"/>
  <c r="T73" i="157"/>
  <c r="R97" i="157"/>
  <c r="S105" i="154"/>
  <c r="S65" i="155"/>
  <c r="S25" i="156"/>
  <c r="R61" i="154"/>
  <c r="R163" i="155"/>
  <c r="R227" i="155"/>
  <c r="R21" i="155"/>
  <c r="R85" i="155"/>
  <c r="R187" i="156"/>
  <c r="R45" i="156"/>
  <c r="R109" i="156"/>
  <c r="Q25" i="154"/>
  <c r="Q89" i="154"/>
  <c r="Q191" i="155"/>
  <c r="Q49" i="155"/>
  <c r="Q113" i="155"/>
  <c r="Q151" i="156"/>
  <c r="Q215" i="156"/>
  <c r="Q9" i="156"/>
  <c r="Q73" i="156"/>
  <c r="S223" i="126"/>
  <c r="R239" i="126"/>
  <c r="Q215" i="118"/>
  <c r="T89" i="126"/>
  <c r="S105" i="126"/>
  <c r="R121" i="126"/>
  <c r="S85" i="118"/>
  <c r="R101" i="118"/>
  <c r="Q117" i="118"/>
  <c r="R89" i="153"/>
  <c r="Q109" i="153"/>
  <c r="S243" i="150"/>
  <c r="Q211" i="150"/>
  <c r="S203" i="112"/>
  <c r="R219" i="112"/>
  <c r="Q235" i="112"/>
  <c r="R93" i="150"/>
  <c r="Q109" i="150"/>
  <c r="T97" i="112"/>
  <c r="T113" i="112"/>
  <c r="S81" i="112"/>
  <c r="S97" i="112"/>
  <c r="S113" i="112"/>
  <c r="R81" i="112"/>
  <c r="R97" i="112"/>
  <c r="R113" i="112"/>
  <c r="Q81" i="112"/>
  <c r="Q97" i="112"/>
  <c r="Q113" i="112"/>
  <c r="S9" i="153"/>
  <c r="S25" i="153"/>
  <c r="S41" i="153"/>
  <c r="S57" i="153"/>
  <c r="S73" i="153"/>
  <c r="R13" i="153"/>
  <c r="R29" i="153"/>
  <c r="R45" i="153"/>
  <c r="R61" i="153"/>
  <c r="R77" i="153"/>
  <c r="Q17" i="153"/>
  <c r="Q33" i="153"/>
  <c r="Q49" i="153"/>
  <c r="Q65" i="153"/>
  <c r="T17" i="126"/>
  <c r="T33" i="126"/>
  <c r="T49" i="126"/>
  <c r="T65" i="126"/>
  <c r="T9" i="150"/>
  <c r="T25" i="150"/>
  <c r="T41" i="150"/>
  <c r="T57" i="150"/>
  <c r="T73" i="150"/>
  <c r="S143" i="126"/>
  <c r="S159" i="126"/>
  <c r="S175" i="126"/>
  <c r="S191" i="126"/>
  <c r="S17" i="126"/>
  <c r="S33" i="126"/>
  <c r="S49" i="126"/>
  <c r="S65" i="126"/>
  <c r="S135" i="150"/>
  <c r="S151" i="150"/>
  <c r="S167" i="150"/>
  <c r="S183" i="150"/>
  <c r="S199" i="150"/>
  <c r="S9" i="150"/>
  <c r="S25" i="150"/>
  <c r="S41" i="150"/>
  <c r="S57" i="150"/>
  <c r="S73" i="150"/>
  <c r="R143" i="126"/>
  <c r="R159" i="126"/>
  <c r="R175" i="126"/>
  <c r="R191" i="126"/>
  <c r="R17" i="126"/>
  <c r="R33" i="126"/>
  <c r="R49" i="126"/>
  <c r="R65" i="126"/>
  <c r="R135" i="150"/>
  <c r="R151" i="150"/>
  <c r="R167" i="150"/>
  <c r="R183" i="150"/>
  <c r="R199" i="150"/>
  <c r="R9" i="150"/>
  <c r="R25" i="150"/>
  <c r="R41" i="150"/>
  <c r="R57" i="150"/>
  <c r="R73" i="150"/>
  <c r="Q143" i="126"/>
  <c r="Q159" i="126"/>
  <c r="Q175" i="126"/>
  <c r="Q191" i="126"/>
  <c r="Q17" i="126"/>
  <c r="Q33" i="126"/>
  <c r="Q49" i="126"/>
  <c r="Q65" i="126"/>
  <c r="Q135" i="150"/>
  <c r="Q151" i="150"/>
  <c r="Q167" i="150"/>
  <c r="Q183" i="150"/>
  <c r="Q199" i="150"/>
  <c r="Q9" i="150"/>
  <c r="Q25" i="150"/>
  <c r="Q41" i="150"/>
  <c r="Q57" i="150"/>
  <c r="Q73" i="150"/>
  <c r="S9" i="118"/>
  <c r="T13" i="118"/>
  <c r="R21" i="118"/>
  <c r="S29" i="118"/>
  <c r="T21" i="118"/>
  <c r="R45" i="118"/>
  <c r="S41" i="118"/>
  <c r="T37" i="118"/>
  <c r="R61" i="118"/>
  <c r="S57" i="118"/>
  <c r="T53" i="118"/>
  <c r="R77" i="118"/>
  <c r="S77" i="118"/>
  <c r="T77" i="118"/>
  <c r="R135" i="118"/>
  <c r="R143" i="118"/>
  <c r="S151" i="118"/>
  <c r="R171" i="118"/>
  <c r="S167" i="118"/>
  <c r="R187" i="118"/>
  <c r="S183" i="118"/>
  <c r="R13" i="112"/>
  <c r="R29" i="112"/>
  <c r="S21" i="112"/>
  <c r="T29" i="112"/>
  <c r="R37" i="112"/>
  <c r="S49" i="112"/>
  <c r="T45" i="112"/>
  <c r="R53" i="112"/>
  <c r="S65" i="112"/>
  <c r="T61" i="112"/>
  <c r="R69" i="112"/>
  <c r="S69" i="112"/>
  <c r="T69" i="112"/>
  <c r="S131" i="112"/>
  <c r="R151" i="112"/>
  <c r="S143" i="112"/>
  <c r="R163" i="112"/>
  <c r="S159" i="112"/>
  <c r="R179" i="112"/>
  <c r="S175" i="112"/>
  <c r="R195" i="112"/>
  <c r="S195" i="112"/>
  <c r="Q143" i="118"/>
  <c r="Q159" i="118"/>
  <c r="Q175" i="118"/>
  <c r="Q191" i="118"/>
  <c r="Q17" i="118"/>
  <c r="Q33" i="118"/>
  <c r="Q49" i="118"/>
  <c r="Q65" i="118"/>
  <c r="Q135" i="112"/>
  <c r="Q151" i="112"/>
  <c r="Q167" i="112"/>
  <c r="Q183" i="112"/>
  <c r="Q199" i="112"/>
  <c r="Q9" i="112"/>
  <c r="Q25" i="112"/>
  <c r="Q41" i="112"/>
  <c r="Q57" i="112"/>
  <c r="Q73" i="112"/>
  <c r="P174" i="69"/>
  <c r="Q154" i="69"/>
  <c r="Q146" i="69"/>
  <c r="S166" i="69"/>
  <c r="P170" i="69"/>
  <c r="P150" i="69"/>
  <c r="S162" i="69"/>
  <c r="S170" i="69"/>
  <c r="P166" i="69"/>
  <c r="P162" i="69"/>
  <c r="Q130" i="69"/>
  <c r="S114" i="69"/>
  <c r="S118" i="69"/>
  <c r="Q106" i="69"/>
  <c r="S122" i="69"/>
  <c r="S130" i="69"/>
  <c r="S106" i="69"/>
  <c r="R114" i="69"/>
  <c r="S98" i="69"/>
  <c r="P94" i="69"/>
  <c r="S94" i="69"/>
  <c r="S58" i="69"/>
  <c r="P74" i="69"/>
  <c r="R82" i="69"/>
  <c r="R74" i="69"/>
  <c r="R62" i="69"/>
  <c r="R54" i="69"/>
  <c r="S82" i="69"/>
  <c r="P58" i="69"/>
  <c r="R50" i="69"/>
  <c r="S20" i="69"/>
  <c r="Q36" i="69"/>
  <c r="P24" i="69"/>
  <c r="R8" i="69"/>
  <c r="P36" i="69"/>
  <c r="R32" i="69"/>
  <c r="Q24" i="69"/>
  <c r="P8" i="69"/>
  <c r="R36" i="69"/>
  <c r="S12" i="69"/>
  <c r="T105" i="159"/>
  <c r="R147" i="155"/>
  <c r="R29" i="156"/>
  <c r="Q97" i="155"/>
  <c r="Q239" i="126"/>
  <c r="Q121" i="126"/>
  <c r="T117" i="118"/>
  <c r="S227" i="150"/>
  <c r="Q219" i="112"/>
  <c r="T109" i="150"/>
  <c r="R93" i="112"/>
  <c r="Q109" i="112"/>
  <c r="S21" i="153"/>
  <c r="S53" i="153"/>
  <c r="R9" i="153"/>
  <c r="R41" i="153"/>
  <c r="R73" i="153"/>
  <c r="Q29" i="153"/>
  <c r="Q61" i="153"/>
  <c r="T61" i="126"/>
  <c r="T77" i="126"/>
  <c r="T21" i="150"/>
  <c r="T53" i="150"/>
  <c r="S139" i="126"/>
  <c r="S171" i="126"/>
  <c r="S13" i="126"/>
  <c r="S61" i="126"/>
  <c r="S147" i="150"/>
  <c r="S195" i="150"/>
  <c r="S37" i="150"/>
  <c r="S69" i="150"/>
  <c r="R155" i="126"/>
  <c r="R171" i="126"/>
  <c r="R187" i="126"/>
  <c r="R13" i="126"/>
  <c r="R45" i="126"/>
  <c r="R77" i="126"/>
  <c r="R131" i="150"/>
  <c r="R147" i="150"/>
  <c r="R179" i="150"/>
  <c r="R195" i="150"/>
  <c r="R21" i="150"/>
  <c r="R53" i="150"/>
  <c r="Q139" i="126"/>
  <c r="Q171" i="126"/>
  <c r="Q13" i="126"/>
  <c r="Q61" i="126"/>
  <c r="Q147" i="150"/>
  <c r="Q179" i="150"/>
  <c r="Q21" i="150"/>
  <c r="Q53" i="150"/>
  <c r="T9" i="118"/>
  <c r="R17" i="118"/>
  <c r="T17" i="118"/>
  <c r="R41" i="118"/>
  <c r="T49" i="118"/>
  <c r="S53" i="118"/>
  <c r="T65" i="118"/>
  <c r="S73" i="118"/>
  <c r="T73" i="118"/>
  <c r="R139" i="118"/>
  <c r="S147" i="118"/>
  <c r="R167" i="118"/>
  <c r="S179" i="118"/>
  <c r="R199" i="118"/>
  <c r="S13" i="112"/>
  <c r="S17" i="112"/>
  <c r="T25" i="112"/>
  <c r="S45" i="112"/>
  <c r="R65" i="112"/>
  <c r="T57" i="112"/>
  <c r="S139" i="112"/>
  <c r="R159" i="112"/>
  <c r="S171" i="112"/>
  <c r="R175" i="112"/>
  <c r="R191" i="112"/>
  <c r="Q155" i="118"/>
  <c r="Q187" i="118"/>
  <c r="Q13" i="118"/>
  <c r="Q45" i="118"/>
  <c r="Q77" i="118"/>
  <c r="Q131" i="112"/>
  <c r="Q163" i="112"/>
  <c r="Q195" i="112"/>
  <c r="Q37" i="112"/>
  <c r="Q69" i="112"/>
  <c r="Q162" i="69"/>
  <c r="Q150" i="69"/>
  <c r="Q170" i="69"/>
  <c r="R154" i="69"/>
  <c r="R126" i="69"/>
  <c r="S110" i="69"/>
  <c r="R110" i="69"/>
  <c r="R106" i="69"/>
  <c r="Q118" i="69"/>
  <c r="P86" i="69"/>
  <c r="S78" i="69"/>
  <c r="Q58" i="69"/>
  <c r="P70" i="69"/>
  <c r="Q78" i="69"/>
  <c r="Q62" i="69"/>
  <c r="P16" i="69"/>
  <c r="Q20" i="69"/>
  <c r="P28" i="69"/>
  <c r="Q8" i="69"/>
  <c r="R40" i="69"/>
  <c r="R131" i="158"/>
  <c r="S117" i="159"/>
  <c r="S69" i="158"/>
  <c r="Q85" i="158"/>
  <c r="S21" i="157"/>
  <c r="Q37" i="157"/>
  <c r="T61" i="156"/>
  <c r="S143" i="155"/>
  <c r="S89" i="156"/>
  <c r="R77" i="154"/>
  <c r="R179" i="155"/>
  <c r="R243" i="155"/>
  <c r="R37" i="155"/>
  <c r="R101" i="155"/>
  <c r="R139" i="156"/>
  <c r="R203" i="156"/>
  <c r="R61" i="156"/>
  <c r="Q41" i="154"/>
  <c r="Q105" i="154"/>
  <c r="Q143" i="155"/>
  <c r="Q207" i="155"/>
  <c r="Q65" i="155"/>
  <c r="Q167" i="156"/>
  <c r="Q231" i="156"/>
  <c r="Q25" i="156"/>
  <c r="Q89" i="156"/>
  <c r="S239" i="126"/>
  <c r="Q207" i="126"/>
  <c r="R215" i="118"/>
  <c r="Q231" i="118"/>
  <c r="T105" i="126"/>
  <c r="S121" i="126"/>
  <c r="Q89" i="126"/>
  <c r="T85" i="118"/>
  <c r="S101" i="118"/>
  <c r="R117" i="118"/>
  <c r="S85" i="153"/>
  <c r="R105" i="153"/>
  <c r="R211" i="150"/>
  <c r="Q227" i="150"/>
  <c r="S219" i="112"/>
  <c r="R235" i="112"/>
  <c r="S93" i="150"/>
  <c r="R109" i="150"/>
  <c r="T101" i="112"/>
  <c r="T117" i="112"/>
  <c r="S85" i="112"/>
  <c r="S101" i="112"/>
  <c r="S117" i="112"/>
  <c r="R85" i="112"/>
  <c r="R101" i="112"/>
  <c r="R117" i="112"/>
  <c r="Q85" i="112"/>
  <c r="Q101" i="112"/>
  <c r="Q117" i="112"/>
  <c r="S13" i="153"/>
  <c r="S29" i="153"/>
  <c r="S45" i="153"/>
  <c r="S61" i="153"/>
  <c r="S77" i="153"/>
  <c r="R17" i="153"/>
  <c r="R33" i="153"/>
  <c r="R49" i="153"/>
  <c r="R65" i="153"/>
  <c r="Q21" i="153"/>
  <c r="Q37" i="153"/>
  <c r="Q53" i="153"/>
  <c r="Q69" i="153"/>
  <c r="T21" i="126"/>
  <c r="T37" i="126"/>
  <c r="T53" i="126"/>
  <c r="T69" i="126"/>
  <c r="T13" i="150"/>
  <c r="T29" i="150"/>
  <c r="T45" i="150"/>
  <c r="T61" i="150"/>
  <c r="T77" i="150"/>
  <c r="S131" i="126"/>
  <c r="S147" i="126"/>
  <c r="S163" i="126"/>
  <c r="S179" i="126"/>
  <c r="S195" i="126"/>
  <c r="S21" i="126"/>
  <c r="S37" i="126"/>
  <c r="S53" i="126"/>
  <c r="S69" i="126"/>
  <c r="S139" i="150"/>
  <c r="S155" i="150"/>
  <c r="S171" i="150"/>
  <c r="S187" i="150"/>
  <c r="S13" i="150"/>
  <c r="S29" i="150"/>
  <c r="S45" i="150"/>
  <c r="S61" i="150"/>
  <c r="S77" i="150"/>
  <c r="R131" i="126"/>
  <c r="R147" i="126"/>
  <c r="R163" i="126"/>
  <c r="R179" i="126"/>
  <c r="R195" i="126"/>
  <c r="R21" i="126"/>
  <c r="R37" i="126"/>
  <c r="R53" i="126"/>
  <c r="R69" i="126"/>
  <c r="R139" i="150"/>
  <c r="R155" i="150"/>
  <c r="R171" i="150"/>
  <c r="R187" i="150"/>
  <c r="R13" i="150"/>
  <c r="R29" i="150"/>
  <c r="R45" i="150"/>
  <c r="R61" i="150"/>
  <c r="R77" i="150"/>
  <c r="Q131" i="126"/>
  <c r="Q147" i="126"/>
  <c r="Q163" i="126"/>
  <c r="Q179" i="126"/>
  <c r="Q195" i="126"/>
  <c r="Q21" i="126"/>
  <c r="Q37" i="126"/>
  <c r="Q53" i="126"/>
  <c r="Q69" i="126"/>
  <c r="Q139" i="150"/>
  <c r="Q155" i="150"/>
  <c r="Q171" i="150"/>
  <c r="Q187" i="150"/>
  <c r="Q13" i="150"/>
  <c r="Q29" i="150"/>
  <c r="Q45" i="150"/>
  <c r="Q61" i="150"/>
  <c r="Q77" i="150"/>
  <c r="R9" i="118"/>
  <c r="S13" i="118"/>
  <c r="R25" i="118"/>
  <c r="S17" i="118"/>
  <c r="S33" i="118"/>
  <c r="T25" i="118"/>
  <c r="R49" i="118"/>
  <c r="S45" i="118"/>
  <c r="T41" i="118"/>
  <c r="R65" i="118"/>
  <c r="S61" i="118"/>
  <c r="T57" i="118"/>
  <c r="R147" i="118"/>
  <c r="S139" i="118"/>
  <c r="S155" i="118"/>
  <c r="R159" i="118"/>
  <c r="S171" i="118"/>
  <c r="R175" i="118"/>
  <c r="S187" i="118"/>
  <c r="R191" i="118"/>
  <c r="S191" i="118"/>
  <c r="T9" i="112"/>
  <c r="R17" i="112"/>
  <c r="R33" i="112"/>
  <c r="S25" i="112"/>
  <c r="T17" i="112"/>
  <c r="T33" i="112"/>
  <c r="R41" i="112"/>
  <c r="S37" i="112"/>
  <c r="T49" i="112"/>
  <c r="R57" i="112"/>
  <c r="S53" i="112"/>
  <c r="T65" i="112"/>
  <c r="R73" i="112"/>
  <c r="S73" i="112"/>
  <c r="T73" i="112"/>
  <c r="R131" i="112"/>
  <c r="S135" i="112"/>
  <c r="R139" i="112"/>
  <c r="R155" i="112"/>
  <c r="S147" i="112"/>
  <c r="R167" i="112"/>
  <c r="S163" i="112"/>
  <c r="R183" i="112"/>
  <c r="S179" i="112"/>
  <c r="R199" i="112"/>
  <c r="S199" i="112"/>
  <c r="Q131" i="118"/>
  <c r="Q147" i="118"/>
  <c r="Q163" i="118"/>
  <c r="Q179" i="118"/>
  <c r="Q195" i="118"/>
  <c r="Q21" i="118"/>
  <c r="Q37" i="118"/>
  <c r="Q53" i="118"/>
  <c r="Q69" i="118"/>
  <c r="Q139" i="112"/>
  <c r="Q155" i="112"/>
  <c r="Q171" i="112"/>
  <c r="Q187" i="112"/>
  <c r="Q13" i="112"/>
  <c r="Q29" i="112"/>
  <c r="Q45" i="112"/>
  <c r="Q61" i="112"/>
  <c r="Q77" i="112"/>
  <c r="Q174" i="69"/>
  <c r="P146" i="69"/>
  <c r="Q142" i="69"/>
  <c r="R150" i="69"/>
  <c r="R146" i="69"/>
  <c r="R138" i="69"/>
  <c r="P158" i="69"/>
  <c r="P138" i="69"/>
  <c r="Q158" i="69"/>
  <c r="S142" i="69"/>
  <c r="P130" i="69"/>
  <c r="Q102" i="69"/>
  <c r="R102" i="69"/>
  <c r="P98" i="69"/>
  <c r="R98" i="69"/>
  <c r="P114" i="69"/>
  <c r="P118" i="69"/>
  <c r="P126" i="69"/>
  <c r="P106" i="69"/>
  <c r="P122" i="69"/>
  <c r="R86" i="69"/>
  <c r="R78" i="69"/>
  <c r="Q82" i="69"/>
  <c r="R66" i="69"/>
  <c r="P62" i="69"/>
  <c r="S66" i="69"/>
  <c r="R70" i="69"/>
  <c r="S74" i="69"/>
  <c r="S86" i="69"/>
  <c r="P78" i="69"/>
  <c r="Q32" i="69"/>
  <c r="P4" i="69"/>
  <c r="S8" i="69"/>
  <c r="S16" i="69"/>
  <c r="S4" i="69"/>
  <c r="Q40" i="69"/>
  <c r="R28" i="69"/>
  <c r="S24" i="69"/>
  <c r="P32" i="69"/>
  <c r="R20" i="69"/>
  <c r="S69" i="163"/>
  <c r="Q147" i="157"/>
  <c r="T57" i="158"/>
  <c r="S231" i="156"/>
  <c r="R109" i="154"/>
  <c r="R171" i="156"/>
  <c r="R93" i="156"/>
  <c r="Q73" i="154"/>
  <c r="Q239" i="155"/>
  <c r="Q199" i="156"/>
  <c r="Q121" i="156"/>
  <c r="S207" i="126"/>
  <c r="R105" i="126"/>
  <c r="Q101" i="118"/>
  <c r="Q93" i="153"/>
  <c r="R203" i="112"/>
  <c r="Q93" i="150"/>
  <c r="T89" i="112"/>
  <c r="S93" i="112"/>
  <c r="R109" i="112"/>
  <c r="Q93" i="112"/>
  <c r="S37" i="153"/>
  <c r="S69" i="153"/>
  <c r="R25" i="153"/>
  <c r="R57" i="153"/>
  <c r="Q13" i="153"/>
  <c r="Q45" i="153"/>
  <c r="Q77" i="153"/>
  <c r="T13" i="126"/>
  <c r="T29" i="126"/>
  <c r="T45" i="126"/>
  <c r="T37" i="150"/>
  <c r="T69" i="150"/>
  <c r="S155" i="126"/>
  <c r="S187" i="126"/>
  <c r="S29" i="126"/>
  <c r="S45" i="126"/>
  <c r="S77" i="126"/>
  <c r="S131" i="150"/>
  <c r="S163" i="150"/>
  <c r="S179" i="150"/>
  <c r="S21" i="150"/>
  <c r="S53" i="150"/>
  <c r="R139" i="126"/>
  <c r="R29" i="126"/>
  <c r="R61" i="126"/>
  <c r="R163" i="150"/>
  <c r="R37" i="150"/>
  <c r="R69" i="150"/>
  <c r="Q155" i="126"/>
  <c r="Q187" i="126"/>
  <c r="Q29" i="126"/>
  <c r="Q45" i="126"/>
  <c r="Q77" i="126"/>
  <c r="Q131" i="150"/>
  <c r="Q163" i="150"/>
  <c r="Q195" i="150"/>
  <c r="Q37" i="150"/>
  <c r="Q69" i="150"/>
  <c r="R33" i="118"/>
  <c r="S25" i="118"/>
  <c r="T33" i="118"/>
  <c r="S37" i="118"/>
  <c r="R57" i="118"/>
  <c r="R73" i="118"/>
  <c r="R131" i="118"/>
  <c r="S135" i="118"/>
  <c r="R155" i="118"/>
  <c r="S163" i="118"/>
  <c r="R183" i="118"/>
  <c r="S199" i="118"/>
  <c r="R9" i="112"/>
  <c r="R25" i="112"/>
  <c r="S33" i="112"/>
  <c r="R49" i="112"/>
  <c r="T41" i="112"/>
  <c r="S61" i="112"/>
  <c r="R147" i="112"/>
  <c r="S155" i="112"/>
  <c r="S187" i="112"/>
  <c r="S191" i="112"/>
  <c r="Q139" i="118"/>
  <c r="Q171" i="118"/>
  <c r="Q29" i="118"/>
  <c r="Q61" i="118"/>
  <c r="Q147" i="112"/>
  <c r="Q179" i="112"/>
  <c r="Q21" i="112"/>
  <c r="Q53" i="112"/>
  <c r="R174" i="69"/>
  <c r="P154" i="69"/>
  <c r="S158" i="69"/>
  <c r="Q166" i="69"/>
  <c r="S174" i="69"/>
  <c r="R162" i="69"/>
  <c r="R130" i="69"/>
  <c r="S102" i="69"/>
  <c r="Q114" i="69"/>
  <c r="S126" i="69"/>
  <c r="R122" i="69"/>
  <c r="Q50" i="69"/>
  <c r="P66" i="69"/>
  <c r="P50" i="69"/>
  <c r="P54" i="69"/>
  <c r="Q12" i="69"/>
  <c r="P20" i="69"/>
  <c r="S28" i="69"/>
  <c r="R16" i="69"/>
  <c r="Q28" i="69"/>
  <c r="T203" i="118"/>
  <c r="S109" i="161"/>
  <c r="Q97" i="160"/>
  <c r="S139" i="157"/>
  <c r="T41" i="159"/>
  <c r="R65" i="159"/>
  <c r="R17" i="158"/>
  <c r="S85" i="157"/>
  <c r="Q101" i="157"/>
  <c r="T41" i="155"/>
  <c r="S207" i="155"/>
  <c r="S167" i="156"/>
  <c r="R93" i="154"/>
  <c r="R131" i="155"/>
  <c r="R195" i="155"/>
  <c r="R53" i="155"/>
  <c r="R117" i="155"/>
  <c r="R155" i="156"/>
  <c r="R219" i="156"/>
  <c r="R13" i="156"/>
  <c r="R77" i="156"/>
  <c r="Q57" i="154"/>
  <c r="Q121" i="154"/>
  <c r="Q159" i="155"/>
  <c r="Q223" i="155"/>
  <c r="Q17" i="155"/>
  <c r="Q81" i="155"/>
  <c r="Q183" i="156"/>
  <c r="Q41" i="156"/>
  <c r="Q105" i="156"/>
  <c r="R207" i="126"/>
  <c r="Q223" i="126"/>
  <c r="S215" i="118"/>
  <c r="R231" i="118"/>
  <c r="T121" i="126"/>
  <c r="R89" i="126"/>
  <c r="Q105" i="126"/>
  <c r="T101" i="118"/>
  <c r="S117" i="118"/>
  <c r="Q85" i="118"/>
  <c r="S101" i="153"/>
  <c r="R121" i="153"/>
  <c r="S211" i="150"/>
  <c r="R227" i="150"/>
  <c r="Q243" i="150"/>
  <c r="S235" i="112"/>
  <c r="Q203" i="112"/>
  <c r="T93" i="150"/>
  <c r="S109" i="150"/>
  <c r="T105" i="112"/>
  <c r="T121" i="112"/>
  <c r="S89" i="112"/>
  <c r="S105" i="112"/>
  <c r="S121" i="112"/>
  <c r="R89" i="112"/>
  <c r="R105" i="112"/>
  <c r="R121" i="112"/>
  <c r="Q89" i="112"/>
  <c r="Q105" i="112"/>
  <c r="Q121" i="112"/>
  <c r="S17" i="153"/>
  <c r="S33" i="153"/>
  <c r="S49" i="153"/>
  <c r="S65" i="153"/>
  <c r="R21" i="153"/>
  <c r="R37" i="153"/>
  <c r="R53" i="153"/>
  <c r="R69" i="153"/>
  <c r="Q9" i="153"/>
  <c r="Q25" i="153"/>
  <c r="Q41" i="153"/>
  <c r="Q57" i="153"/>
  <c r="Q73" i="153"/>
  <c r="T9" i="126"/>
  <c r="T25" i="126"/>
  <c r="T41" i="126"/>
  <c r="T57" i="126"/>
  <c r="T73" i="126"/>
  <c r="T17" i="150"/>
  <c r="T33" i="150"/>
  <c r="T49" i="150"/>
  <c r="T65" i="150"/>
  <c r="S135" i="126"/>
  <c r="S151" i="126"/>
  <c r="S167" i="126"/>
  <c r="S183" i="126"/>
  <c r="S199" i="126"/>
  <c r="S9" i="126"/>
  <c r="S25" i="126"/>
  <c r="S41" i="126"/>
  <c r="S57" i="126"/>
  <c r="S73" i="126"/>
  <c r="S143" i="150"/>
  <c r="S159" i="150"/>
  <c r="S175" i="150"/>
  <c r="S191" i="150"/>
  <c r="S17" i="150"/>
  <c r="S33" i="150"/>
  <c r="S49" i="150"/>
  <c r="S65" i="150"/>
  <c r="R135" i="126"/>
  <c r="R151" i="126"/>
  <c r="R167" i="126"/>
  <c r="R183" i="126"/>
  <c r="R199" i="126"/>
  <c r="R9" i="126"/>
  <c r="R25" i="126"/>
  <c r="R41" i="126"/>
  <c r="R57" i="126"/>
  <c r="R73" i="126"/>
  <c r="R143" i="150"/>
  <c r="R159" i="150"/>
  <c r="R175" i="150"/>
  <c r="R191" i="150"/>
  <c r="R17" i="150"/>
  <c r="R33" i="150"/>
  <c r="R49" i="150"/>
  <c r="R65" i="150"/>
  <c r="Q135" i="126"/>
  <c r="Q151" i="126"/>
  <c r="Q167" i="126"/>
  <c r="Q183" i="126"/>
  <c r="Q199" i="126"/>
  <c r="Q9" i="126"/>
  <c r="Q25" i="126"/>
  <c r="Q41" i="126"/>
  <c r="Q57" i="126"/>
  <c r="Q73" i="126"/>
  <c r="Q143" i="150"/>
  <c r="Q159" i="150"/>
  <c r="Q175" i="150"/>
  <c r="Q191" i="150"/>
  <c r="Q17" i="150"/>
  <c r="Q33" i="150"/>
  <c r="Q49" i="150"/>
  <c r="Q65" i="150"/>
  <c r="R13" i="118"/>
  <c r="R29" i="118"/>
  <c r="S21" i="118"/>
  <c r="T29" i="118"/>
  <c r="R37" i="118"/>
  <c r="S49" i="118"/>
  <c r="T45" i="118"/>
  <c r="R53" i="118"/>
  <c r="S65" i="118"/>
  <c r="T61" i="118"/>
  <c r="R69" i="118"/>
  <c r="S69" i="118"/>
  <c r="T69" i="118"/>
  <c r="S131" i="118"/>
  <c r="R151" i="118"/>
  <c r="S143" i="118"/>
  <c r="R163" i="118"/>
  <c r="S159" i="118"/>
  <c r="R179" i="118"/>
  <c r="S175" i="118"/>
  <c r="R195" i="118"/>
  <c r="S195" i="118"/>
  <c r="S9" i="112"/>
  <c r="T13" i="112"/>
  <c r="R21" i="112"/>
  <c r="S29" i="112"/>
  <c r="T21" i="112"/>
  <c r="R45" i="112"/>
  <c r="S41" i="112"/>
  <c r="T37" i="112"/>
  <c r="R61" i="112"/>
  <c r="S57" i="112"/>
  <c r="T53" i="112"/>
  <c r="R77" i="112"/>
  <c r="S77" i="112"/>
  <c r="T77" i="112"/>
  <c r="R135" i="112"/>
  <c r="R143" i="112"/>
  <c r="S151" i="112"/>
  <c r="R171" i="112"/>
  <c r="S167" i="112"/>
  <c r="R187" i="112"/>
  <c r="S183" i="112"/>
  <c r="Q135" i="118"/>
  <c r="Q151" i="118"/>
  <c r="Q167" i="118"/>
  <c r="Q183" i="118"/>
  <c r="Q199" i="118"/>
  <c r="Q9" i="118"/>
  <c r="Q25" i="118"/>
  <c r="Q41" i="118"/>
  <c r="Q57" i="118"/>
  <c r="Q73" i="118"/>
  <c r="Q143" i="112"/>
  <c r="Q159" i="112"/>
  <c r="Q175" i="112"/>
  <c r="Q191" i="112"/>
  <c r="Q17" i="112"/>
  <c r="Q33" i="112"/>
  <c r="Q49" i="112"/>
  <c r="Q65" i="112"/>
  <c r="Q138" i="69"/>
  <c r="S146" i="69"/>
  <c r="P142" i="69"/>
  <c r="R142" i="69"/>
  <c r="S154" i="69"/>
  <c r="R166" i="69"/>
  <c r="R170" i="69"/>
  <c r="S150" i="69"/>
  <c r="R158" i="69"/>
  <c r="S138" i="69"/>
  <c r="Q110" i="69"/>
  <c r="R118" i="69"/>
  <c r="Q126" i="69"/>
  <c r="R94" i="69"/>
  <c r="P110" i="69"/>
  <c r="Q98" i="69"/>
  <c r="P102" i="69"/>
  <c r="Q122" i="69"/>
  <c r="Q94" i="69"/>
  <c r="Q86" i="69"/>
  <c r="S70" i="69"/>
  <c r="Q74" i="69"/>
  <c r="Q70" i="69"/>
  <c r="S62" i="69"/>
  <c r="Q54" i="69"/>
  <c r="R58" i="69"/>
  <c r="Q66" i="69"/>
  <c r="S54" i="69"/>
  <c r="P82" i="69"/>
  <c r="S50" i="69"/>
  <c r="S40" i="69"/>
  <c r="S32" i="69"/>
  <c r="Q4" i="69"/>
  <c r="R24" i="69"/>
  <c r="P40" i="69"/>
  <c r="R12" i="69"/>
  <c r="Q16" i="69"/>
  <c r="P12" i="69"/>
  <c r="R4" i="69"/>
  <c r="S36" i="69"/>
  <c r="Q57" i="162"/>
  <c r="R81" i="158"/>
  <c r="R33" i="157"/>
  <c r="T105" i="155"/>
  <c r="S41" i="154"/>
  <c r="R45" i="154"/>
  <c r="R211" i="155"/>
  <c r="R69" i="155"/>
  <c r="R235" i="156"/>
  <c r="Q9" i="154"/>
  <c r="Q175" i="155"/>
  <c r="Q33" i="155"/>
  <c r="Q135" i="156"/>
  <c r="Q57" i="156"/>
  <c r="R223" i="126"/>
  <c r="S231" i="118"/>
  <c r="S89" i="126"/>
  <c r="R85" i="118"/>
  <c r="S117" i="153"/>
  <c r="R243" i="150"/>
  <c r="T109" i="112"/>
  <c r="S109" i="112"/>
  <c r="AH35" i="135"/>
  <c r="AH34" i="135"/>
  <c r="AH32" i="135"/>
  <c r="AH31" i="135"/>
  <c r="U125" i="160"/>
  <c r="AH36" i="135"/>
  <c r="I6" i="164"/>
  <c r="AH26" i="135"/>
  <c r="U125" i="161"/>
  <c r="AH27" i="135"/>
  <c r="I5" i="164"/>
  <c r="AH21" i="135"/>
  <c r="U125" i="162"/>
  <c r="AH18" i="135"/>
  <c r="I4" i="164"/>
  <c r="AH17" i="135"/>
  <c r="AH15" i="135"/>
  <c r="AH14" i="135"/>
  <c r="AH13" i="135"/>
  <c r="AH8" i="135"/>
  <c r="U125" i="163"/>
  <c r="AH9" i="135"/>
  <c r="I3" i="164"/>
  <c r="AH6" i="135"/>
  <c r="AH5" i="135"/>
  <c r="AH4" i="135"/>
  <c r="AH30" i="135"/>
  <c r="U45" i="135"/>
  <c r="Q125" i="154"/>
  <c r="U57" i="135"/>
  <c r="U51" i="135"/>
  <c r="V39" i="135"/>
  <c r="M8" i="135"/>
  <c r="R44" i="69"/>
  <c r="Q44" i="69"/>
  <c r="S90" i="69"/>
  <c r="Q134" i="69"/>
  <c r="R134" i="69"/>
  <c r="S178" i="69"/>
  <c r="Q178" i="69"/>
  <c r="C20" i="135"/>
  <c r="C30" i="135"/>
  <c r="C29" i="135"/>
  <c r="C28" i="135"/>
  <c r="Q125" i="118"/>
  <c r="C41" i="135"/>
  <c r="C35" i="135"/>
  <c r="F22" i="135"/>
  <c r="F21" i="135"/>
  <c r="E19" i="135"/>
  <c r="S125" i="112"/>
  <c r="E25" i="135"/>
  <c r="E45" i="135"/>
  <c r="E44" i="135"/>
  <c r="E42" i="135"/>
  <c r="S247" i="118"/>
  <c r="E48" i="135"/>
  <c r="F39" i="135"/>
  <c r="E39" i="135"/>
  <c r="D39" i="135"/>
  <c r="D38" i="135"/>
  <c r="D37" i="135"/>
  <c r="L20" i="135"/>
  <c r="L30" i="135"/>
  <c r="L29" i="135"/>
  <c r="L28" i="135"/>
  <c r="Q125" i="126"/>
  <c r="L41" i="135"/>
  <c r="L35" i="135"/>
  <c r="M20" i="135"/>
  <c r="M30" i="135"/>
  <c r="M29" i="135"/>
  <c r="M28" i="135"/>
  <c r="R125" i="126"/>
  <c r="M41" i="135"/>
  <c r="M35" i="135"/>
  <c r="N20" i="135"/>
  <c r="N30" i="135"/>
  <c r="N29" i="135"/>
  <c r="N28" i="135"/>
  <c r="S125" i="126"/>
  <c r="N41" i="135"/>
  <c r="N35" i="135"/>
  <c r="O20" i="135"/>
  <c r="T125" i="126"/>
  <c r="O41" i="135"/>
  <c r="O35" i="135"/>
  <c r="L51" i="135"/>
  <c r="Q125" i="153"/>
  <c r="L57" i="135"/>
  <c r="M55" i="135"/>
  <c r="M54" i="135"/>
  <c r="M53" i="135"/>
  <c r="N52" i="135"/>
  <c r="C31" i="135"/>
  <c r="U40" i="135"/>
  <c r="U36" i="135"/>
  <c r="U44" i="135"/>
  <c r="V38" i="135"/>
  <c r="R247" i="155"/>
  <c r="V48" i="135"/>
  <c r="V42" i="135"/>
  <c r="M4" i="135"/>
  <c r="E11" i="135"/>
  <c r="F47" i="135"/>
  <c r="P90" i="69"/>
  <c r="Q90" i="69"/>
  <c r="C22" i="135"/>
  <c r="C43" i="135"/>
  <c r="E30" i="135"/>
  <c r="D19" i="135"/>
  <c r="R125" i="112"/>
  <c r="D25" i="135"/>
  <c r="R247" i="118"/>
  <c r="D48" i="135"/>
  <c r="D42" i="135"/>
  <c r="E37" i="135"/>
  <c r="L23" i="135"/>
  <c r="L21" i="135"/>
  <c r="Q247" i="150"/>
  <c r="L32" i="135"/>
  <c r="L26" i="135"/>
  <c r="M23" i="135"/>
  <c r="M21" i="135"/>
  <c r="M43" i="135"/>
  <c r="N22" i="135"/>
  <c r="N26" i="135"/>
  <c r="S247" i="150"/>
  <c r="N32" i="135"/>
  <c r="O23" i="135"/>
  <c r="O21" i="135"/>
  <c r="N55" i="135"/>
  <c r="N53" i="135"/>
  <c r="D31" i="135"/>
  <c r="AF7" i="135"/>
  <c r="S44" i="69"/>
  <c r="P44" i="69"/>
  <c r="P178" i="69"/>
  <c r="R178" i="69"/>
  <c r="C27" i="135"/>
  <c r="C39" i="135"/>
  <c r="C38" i="135"/>
  <c r="C37" i="135"/>
  <c r="C42" i="135"/>
  <c r="Q247" i="118"/>
  <c r="C48" i="135"/>
  <c r="D27" i="135"/>
  <c r="R247" i="112"/>
  <c r="D32" i="135"/>
  <c r="D26" i="135"/>
  <c r="E22" i="135"/>
  <c r="E21" i="135"/>
  <c r="F20" i="135"/>
  <c r="D20" i="135"/>
  <c r="T125" i="112"/>
  <c r="F25" i="135"/>
  <c r="F19" i="135"/>
  <c r="E46" i="135"/>
  <c r="D46" i="135"/>
  <c r="D45" i="135"/>
  <c r="D44" i="135"/>
  <c r="E43" i="135"/>
  <c r="E36" i="135"/>
  <c r="D35" i="135"/>
  <c r="R125" i="118"/>
  <c r="D41" i="135"/>
  <c r="L27" i="135"/>
  <c r="L39" i="135"/>
  <c r="L38" i="135"/>
  <c r="L37" i="135"/>
  <c r="Q247" i="126"/>
  <c r="L48" i="135"/>
  <c r="L42" i="135"/>
  <c r="M27" i="135"/>
  <c r="M39" i="135"/>
  <c r="M38" i="135"/>
  <c r="M37" i="135"/>
  <c r="M42" i="135"/>
  <c r="R247" i="126"/>
  <c r="M48" i="135"/>
  <c r="N27" i="135"/>
  <c r="N39" i="135"/>
  <c r="N38" i="135"/>
  <c r="N37" i="135"/>
  <c r="S247" i="126"/>
  <c r="N48" i="135"/>
  <c r="N42" i="135"/>
  <c r="O39" i="135"/>
  <c r="O38" i="135"/>
  <c r="O37" i="135"/>
  <c r="L55" i="135"/>
  <c r="L54" i="135"/>
  <c r="L53" i="135"/>
  <c r="M52" i="135"/>
  <c r="V31" i="135"/>
  <c r="V27" i="135"/>
  <c r="V37" i="135"/>
  <c r="C5" i="135"/>
  <c r="N7" i="135"/>
  <c r="R247" i="158"/>
  <c r="M16" i="135"/>
  <c r="M10" i="135"/>
  <c r="C23" i="135"/>
  <c r="C21" i="135"/>
  <c r="C26" i="135"/>
  <c r="Q247" i="112"/>
  <c r="C32" i="135"/>
  <c r="D30" i="135"/>
  <c r="D29" i="135"/>
  <c r="D28" i="135"/>
  <c r="E27" i="135"/>
  <c r="E20" i="135"/>
  <c r="D43" i="135"/>
  <c r="E38" i="135"/>
  <c r="F36" i="135"/>
  <c r="D36" i="135"/>
  <c r="T125" i="118"/>
  <c r="F41" i="135"/>
  <c r="F35" i="135"/>
  <c r="L22" i="135"/>
  <c r="L43" i="135"/>
  <c r="M22" i="135"/>
  <c r="R247" i="150"/>
  <c r="M32" i="135"/>
  <c r="M26" i="135"/>
  <c r="N23" i="135"/>
  <c r="N21" i="135"/>
  <c r="N43" i="135"/>
  <c r="O22" i="135"/>
  <c r="M51" i="135"/>
  <c r="R125" i="153"/>
  <c r="M57" i="135"/>
  <c r="N54" i="135"/>
  <c r="R90" i="69"/>
  <c r="S134" i="69"/>
  <c r="P134" i="69"/>
  <c r="C19" i="135"/>
  <c r="Q125" i="112"/>
  <c r="C25" i="135"/>
  <c r="C36" i="135"/>
  <c r="C46" i="135"/>
  <c r="C45" i="135"/>
  <c r="C44" i="135"/>
  <c r="E29" i="135"/>
  <c r="E28" i="135"/>
  <c r="S247" i="112"/>
  <c r="E32" i="135"/>
  <c r="E26" i="135"/>
  <c r="F23" i="135"/>
  <c r="E23" i="135"/>
  <c r="D23" i="135"/>
  <c r="D22" i="135"/>
  <c r="D21" i="135"/>
  <c r="F38" i="135"/>
  <c r="F37" i="135"/>
  <c r="S125" i="118"/>
  <c r="E41" i="135"/>
  <c r="E35" i="135"/>
  <c r="L19" i="135"/>
  <c r="Q125" i="150"/>
  <c r="L25" i="135"/>
  <c r="L36" i="135"/>
  <c r="L46" i="135"/>
  <c r="L45" i="135"/>
  <c r="L44" i="135"/>
  <c r="M19" i="135"/>
  <c r="R125" i="150"/>
  <c r="M25" i="135"/>
  <c r="M36" i="135"/>
  <c r="M46" i="135"/>
  <c r="M45" i="135"/>
  <c r="M44" i="135"/>
  <c r="N19" i="135"/>
  <c r="S125" i="150"/>
  <c r="N25" i="135"/>
  <c r="N36" i="135"/>
  <c r="N46" i="135"/>
  <c r="N45" i="135"/>
  <c r="N44" i="135"/>
  <c r="O19" i="135"/>
  <c r="T125" i="150"/>
  <c r="O25" i="135"/>
  <c r="O36" i="135"/>
  <c r="L52" i="135"/>
  <c r="N51" i="135"/>
  <c r="S125" i="153"/>
  <c r="N57" i="135"/>
  <c r="C24" i="135"/>
  <c r="D24" i="135"/>
  <c r="E24" i="135"/>
  <c r="E31" i="135"/>
  <c r="Q125" i="156"/>
  <c r="U25" i="135"/>
  <c r="U19" i="135"/>
  <c r="U46" i="135"/>
  <c r="U7" i="135"/>
  <c r="W6" i="135"/>
  <c r="N56" i="135"/>
  <c r="C40" i="135"/>
  <c r="D40" i="135"/>
  <c r="E40" i="135"/>
  <c r="F40" i="135"/>
  <c r="L47" i="135"/>
  <c r="M47" i="135"/>
  <c r="N47" i="135"/>
  <c r="U23" i="135"/>
  <c r="U22" i="135"/>
  <c r="U21" i="135"/>
  <c r="U26" i="135"/>
  <c r="Q247" i="156"/>
  <c r="U32" i="135"/>
  <c r="U47" i="135"/>
  <c r="U43" i="135"/>
  <c r="U55" i="135"/>
  <c r="U54" i="135"/>
  <c r="U53" i="135"/>
  <c r="V19" i="135"/>
  <c r="R125" i="156"/>
  <c r="V25" i="135"/>
  <c r="V40" i="135"/>
  <c r="V36" i="135"/>
  <c r="V46" i="135"/>
  <c r="V45" i="135"/>
  <c r="V44" i="135"/>
  <c r="S125" i="156"/>
  <c r="W25" i="135"/>
  <c r="W19" i="135"/>
  <c r="W46" i="135"/>
  <c r="D8" i="135"/>
  <c r="D4" i="135"/>
  <c r="E7" i="135"/>
  <c r="L7" i="135"/>
  <c r="N6" i="135"/>
  <c r="U6" i="135"/>
  <c r="W5" i="135"/>
  <c r="N14" i="135"/>
  <c r="F24" i="135"/>
  <c r="L31" i="135"/>
  <c r="M31" i="135"/>
  <c r="N31" i="135"/>
  <c r="M56" i="135"/>
  <c r="L40" i="135"/>
  <c r="M40" i="135"/>
  <c r="N40" i="135"/>
  <c r="O40" i="135"/>
  <c r="U24" i="135"/>
  <c r="U20" i="135"/>
  <c r="U30" i="135"/>
  <c r="U29" i="135"/>
  <c r="U28" i="135"/>
  <c r="U35" i="135"/>
  <c r="Q125" i="155"/>
  <c r="U41" i="135"/>
  <c r="U56" i="135"/>
  <c r="U52" i="135"/>
  <c r="V23" i="135"/>
  <c r="V22" i="135"/>
  <c r="V21" i="135"/>
  <c r="V26" i="135"/>
  <c r="R247" i="156"/>
  <c r="V32" i="135"/>
  <c r="V47" i="135"/>
  <c r="V43" i="135"/>
  <c r="V55" i="135"/>
  <c r="V54" i="135"/>
  <c r="V53" i="135"/>
  <c r="W45" i="135"/>
  <c r="S125" i="154"/>
  <c r="W57" i="135"/>
  <c r="W51" i="135"/>
  <c r="T125" i="155"/>
  <c r="X41" i="135"/>
  <c r="X35" i="135"/>
  <c r="C7" i="135"/>
  <c r="E6" i="135"/>
  <c r="L6" i="135"/>
  <c r="N5" i="135"/>
  <c r="U5" i="135"/>
  <c r="N3" i="135"/>
  <c r="S125" i="158"/>
  <c r="N9" i="135"/>
  <c r="AD5" i="135"/>
  <c r="R125" i="162"/>
  <c r="AE18" i="135"/>
  <c r="AE12" i="135"/>
  <c r="L24" i="135"/>
  <c r="M24" i="135"/>
  <c r="N24" i="135"/>
  <c r="O24" i="135"/>
  <c r="L56" i="135"/>
  <c r="C47" i="135"/>
  <c r="D47" i="135"/>
  <c r="E47" i="135"/>
  <c r="U31" i="135"/>
  <c r="U27" i="135"/>
  <c r="U39" i="135"/>
  <c r="U38" i="135"/>
  <c r="U37" i="135"/>
  <c r="U42" i="135"/>
  <c r="Q247" i="155"/>
  <c r="U48" i="135"/>
  <c r="V24" i="135"/>
  <c r="V20" i="135"/>
  <c r="V30" i="135"/>
  <c r="V29" i="135"/>
  <c r="V28" i="135"/>
  <c r="V35" i="135"/>
  <c r="R125" i="155"/>
  <c r="V41" i="135"/>
  <c r="V56" i="135"/>
  <c r="W40" i="135"/>
  <c r="W36" i="135"/>
  <c r="W44" i="135"/>
  <c r="C6" i="135"/>
  <c r="E5" i="135"/>
  <c r="L5" i="135"/>
  <c r="V8" i="135"/>
  <c r="V4" i="135"/>
  <c r="W7" i="135"/>
  <c r="E15" i="135"/>
  <c r="AE6" i="135"/>
  <c r="F15" i="135"/>
  <c r="V52" i="135"/>
  <c r="W23" i="135"/>
  <c r="W22" i="135"/>
  <c r="W21" i="135"/>
  <c r="W26" i="135"/>
  <c r="S247" i="156"/>
  <c r="W32" i="135"/>
  <c r="W47" i="135"/>
  <c r="W43" i="135"/>
  <c r="W55" i="135"/>
  <c r="W54" i="135"/>
  <c r="W53" i="135"/>
  <c r="X19" i="135"/>
  <c r="T125" i="156"/>
  <c r="X25" i="135"/>
  <c r="X39" i="135"/>
  <c r="X38" i="135"/>
  <c r="X37" i="135"/>
  <c r="C8" i="135"/>
  <c r="C4" i="135"/>
  <c r="E8" i="135"/>
  <c r="E4" i="135"/>
  <c r="F7" i="135"/>
  <c r="F6" i="135"/>
  <c r="F5" i="135"/>
  <c r="L8" i="135"/>
  <c r="L4" i="135"/>
  <c r="N8" i="135"/>
  <c r="N4" i="135"/>
  <c r="O7" i="135"/>
  <c r="O6" i="135"/>
  <c r="O5" i="135"/>
  <c r="U8" i="135"/>
  <c r="U4" i="135"/>
  <c r="W8" i="135"/>
  <c r="W4" i="135"/>
  <c r="X7" i="135"/>
  <c r="X6" i="135"/>
  <c r="X5" i="135"/>
  <c r="Q247" i="157"/>
  <c r="C16" i="135"/>
  <c r="C10" i="135"/>
  <c r="D14" i="135"/>
  <c r="N13" i="135"/>
  <c r="AD35" i="135"/>
  <c r="AD31" i="135"/>
  <c r="AE5" i="135"/>
  <c r="AF6" i="135"/>
  <c r="S125" i="162"/>
  <c r="AF18" i="135"/>
  <c r="AF12" i="135"/>
  <c r="F11" i="135"/>
  <c r="F43" i="135"/>
  <c r="W24" i="135"/>
  <c r="W20" i="135"/>
  <c r="W30" i="135"/>
  <c r="W29" i="135"/>
  <c r="W28" i="135"/>
  <c r="W35" i="135"/>
  <c r="S125" i="155"/>
  <c r="W41" i="135"/>
  <c r="W56" i="135"/>
  <c r="W52" i="135"/>
  <c r="X23" i="135"/>
  <c r="X22" i="135"/>
  <c r="X21" i="135"/>
  <c r="X40" i="135"/>
  <c r="X36" i="135"/>
  <c r="F8" i="135"/>
  <c r="F4" i="135"/>
  <c r="O8" i="135"/>
  <c r="O4" i="135"/>
  <c r="X8" i="135"/>
  <c r="X4" i="135"/>
  <c r="D13" i="135"/>
  <c r="N12" i="135"/>
  <c r="AD7" i="135"/>
  <c r="AE35" i="135"/>
  <c r="AE31" i="135"/>
  <c r="AF5" i="135"/>
  <c r="AF34" i="135"/>
  <c r="F31" i="135"/>
  <c r="V51" i="135"/>
  <c r="R125" i="154"/>
  <c r="V57" i="135"/>
  <c r="W31" i="135"/>
  <c r="W27" i="135"/>
  <c r="W39" i="135"/>
  <c r="W38" i="135"/>
  <c r="W37" i="135"/>
  <c r="W42" i="135"/>
  <c r="S247" i="155"/>
  <c r="W48" i="135"/>
  <c r="X24" i="135"/>
  <c r="X20" i="135"/>
  <c r="C3" i="135"/>
  <c r="Q125" i="157"/>
  <c r="C9" i="135"/>
  <c r="D7" i="135"/>
  <c r="D6" i="135"/>
  <c r="D5" i="135"/>
  <c r="Q125" i="158"/>
  <c r="L9" i="135"/>
  <c r="L3" i="135"/>
  <c r="M7" i="135"/>
  <c r="M6" i="135"/>
  <c r="M5" i="135"/>
  <c r="Q125" i="159"/>
  <c r="U9" i="135"/>
  <c r="U3" i="135"/>
  <c r="V7" i="135"/>
  <c r="V6" i="135"/>
  <c r="V5" i="135"/>
  <c r="D12" i="135"/>
  <c r="U15" i="135"/>
  <c r="U11" i="135"/>
  <c r="S247" i="159"/>
  <c r="W16" i="135"/>
  <c r="W10" i="135"/>
  <c r="AD6" i="135"/>
  <c r="Q125" i="162"/>
  <c r="AD18" i="135"/>
  <c r="AD12" i="135"/>
  <c r="AE7" i="135"/>
  <c r="F27" i="135"/>
  <c r="D53" i="135"/>
  <c r="C14" i="135"/>
  <c r="C13" i="135"/>
  <c r="C12" i="135"/>
  <c r="D15" i="135"/>
  <c r="D11" i="135"/>
  <c r="L10" i="135"/>
  <c r="Q247" i="158"/>
  <c r="L16" i="135"/>
  <c r="M14" i="135"/>
  <c r="M13" i="135"/>
  <c r="M12" i="135"/>
  <c r="N15" i="135"/>
  <c r="N11" i="135"/>
  <c r="V10" i="135"/>
  <c r="R247" i="159"/>
  <c r="V16" i="135"/>
  <c r="W14" i="135"/>
  <c r="W13" i="135"/>
  <c r="W12" i="135"/>
  <c r="F3" i="135"/>
  <c r="T125" i="157"/>
  <c r="F9" i="135"/>
  <c r="M3" i="135"/>
  <c r="R125" i="158"/>
  <c r="M9" i="135"/>
  <c r="X3" i="135"/>
  <c r="T125" i="159"/>
  <c r="X9" i="135"/>
  <c r="AD8" i="135"/>
  <c r="AD4" i="135"/>
  <c r="AD16" i="135"/>
  <c r="AD15" i="135"/>
  <c r="AD14" i="135"/>
  <c r="AD21" i="135"/>
  <c r="Q125" i="161"/>
  <c r="AD27" i="135"/>
  <c r="AE8" i="135"/>
  <c r="AE4" i="135"/>
  <c r="AE16" i="135"/>
  <c r="AE15" i="135"/>
  <c r="AE14" i="135"/>
  <c r="AE21" i="135"/>
  <c r="R125" i="161"/>
  <c r="AE27" i="135"/>
  <c r="AF8" i="135"/>
  <c r="AF4" i="135"/>
  <c r="AF16" i="135"/>
  <c r="AF15" i="135"/>
  <c r="AF14" i="135"/>
  <c r="AF21" i="135"/>
  <c r="S125" i="161"/>
  <c r="AF27" i="135"/>
  <c r="AF33" i="135"/>
  <c r="O14" i="135"/>
  <c r="O30" i="135"/>
  <c r="O46" i="135"/>
  <c r="C15" i="135"/>
  <c r="C11" i="135"/>
  <c r="S247" i="157"/>
  <c r="E16" i="135"/>
  <c r="E10" i="135"/>
  <c r="L14" i="135"/>
  <c r="L13" i="135"/>
  <c r="L12" i="135"/>
  <c r="M15" i="135"/>
  <c r="M11" i="135"/>
  <c r="U10" i="135"/>
  <c r="Q247" i="159"/>
  <c r="U16" i="135"/>
  <c r="V14" i="135"/>
  <c r="V13" i="135"/>
  <c r="V12" i="135"/>
  <c r="W15" i="135"/>
  <c r="W11" i="135"/>
  <c r="S125" i="157"/>
  <c r="E9" i="135"/>
  <c r="E3" i="135"/>
  <c r="W3" i="135"/>
  <c r="S125" i="159"/>
  <c r="W9" i="135"/>
  <c r="AD17" i="135"/>
  <c r="AD13" i="135"/>
  <c r="AD25" i="135"/>
  <c r="AD24" i="135"/>
  <c r="AD23" i="135"/>
  <c r="AD30" i="135"/>
  <c r="Q125" i="160"/>
  <c r="AD36" i="135"/>
  <c r="AE17" i="135"/>
  <c r="AE13" i="135"/>
  <c r="AE25" i="135"/>
  <c r="AE24" i="135"/>
  <c r="AE23" i="135"/>
  <c r="AE30" i="135"/>
  <c r="R125" i="160"/>
  <c r="AE36" i="135"/>
  <c r="AF17" i="135"/>
  <c r="AF13" i="135"/>
  <c r="AF25" i="135"/>
  <c r="AF24" i="135"/>
  <c r="AF23" i="135"/>
  <c r="AF32" i="135"/>
  <c r="O13" i="135"/>
  <c r="O29" i="135"/>
  <c r="O45" i="135"/>
  <c r="R247" i="157"/>
  <c r="D16" i="135"/>
  <c r="D10" i="135"/>
  <c r="E14" i="135"/>
  <c r="E13" i="135"/>
  <c r="E12" i="135"/>
  <c r="L15" i="135"/>
  <c r="L11" i="135"/>
  <c r="N10" i="135"/>
  <c r="S247" i="158"/>
  <c r="N16" i="135"/>
  <c r="U14" i="135"/>
  <c r="U13" i="135"/>
  <c r="U12" i="135"/>
  <c r="V15" i="135"/>
  <c r="V11" i="135"/>
  <c r="D3" i="135"/>
  <c r="R125" i="157"/>
  <c r="D9" i="135"/>
  <c r="O3" i="135"/>
  <c r="T125" i="158"/>
  <c r="O9" i="135"/>
  <c r="V3" i="135"/>
  <c r="R125" i="159"/>
  <c r="V9" i="135"/>
  <c r="AD3" i="135"/>
  <c r="Q125" i="163"/>
  <c r="AD9" i="135"/>
  <c r="AD26" i="135"/>
  <c r="AD22" i="135"/>
  <c r="AD34" i="135"/>
  <c r="AD33" i="135"/>
  <c r="AD32" i="135"/>
  <c r="AE3" i="135"/>
  <c r="R125" i="163"/>
  <c r="AE9" i="135"/>
  <c r="AE26" i="135"/>
  <c r="AE22" i="135"/>
  <c r="AE34" i="135"/>
  <c r="AE33" i="135"/>
  <c r="AE32" i="135"/>
  <c r="AF3" i="135"/>
  <c r="S125" i="163"/>
  <c r="AF9" i="135"/>
  <c r="AF26" i="135"/>
  <c r="AF22" i="135"/>
  <c r="O12" i="135"/>
  <c r="O28" i="135"/>
  <c r="O44" i="135"/>
  <c r="D55" i="135"/>
  <c r="F54" i="135"/>
  <c r="AF35" i="135"/>
  <c r="AF31" i="135"/>
  <c r="O15" i="135"/>
  <c r="O11" i="135"/>
  <c r="O31" i="135"/>
  <c r="O27" i="135"/>
  <c r="O47" i="135"/>
  <c r="E56" i="135"/>
  <c r="E52" i="135"/>
  <c r="T125" i="165"/>
  <c r="F57" i="135"/>
  <c r="B6" i="164"/>
  <c r="F51" i="135"/>
  <c r="T247" i="157"/>
  <c r="F16" i="135"/>
  <c r="F10" i="135"/>
  <c r="T247" i="112"/>
  <c r="F32" i="135"/>
  <c r="B4" i="164"/>
  <c r="F26" i="135"/>
  <c r="T247" i="118"/>
  <c r="F48" i="135"/>
  <c r="B5" i="164"/>
  <c r="F42" i="135"/>
  <c r="O56" i="135"/>
  <c r="O52" i="135"/>
  <c r="X15" i="135"/>
  <c r="X11" i="135"/>
  <c r="X31" i="135"/>
  <c r="X27" i="135"/>
  <c r="X47" i="135"/>
  <c r="X43" i="135"/>
  <c r="X56" i="135"/>
  <c r="X52" i="135"/>
  <c r="T125" i="163"/>
  <c r="AG9" i="135"/>
  <c r="H3" i="164"/>
  <c r="AG3" i="135"/>
  <c r="T125" i="162"/>
  <c r="AG18" i="135"/>
  <c r="H4" i="164"/>
  <c r="AG12" i="135"/>
  <c r="T125" i="161"/>
  <c r="AG27" i="135"/>
  <c r="H5" i="164"/>
  <c r="AG21" i="135"/>
  <c r="T125" i="160"/>
  <c r="AG36" i="135"/>
  <c r="H6" i="164"/>
  <c r="AG30" i="135"/>
  <c r="D54" i="135"/>
  <c r="F55" i="135"/>
  <c r="F53" i="135"/>
  <c r="AF30" i="135"/>
  <c r="S125" i="160"/>
  <c r="AF36" i="135"/>
  <c r="F14" i="135"/>
  <c r="F13" i="135"/>
  <c r="F12" i="135"/>
  <c r="F30" i="135"/>
  <c r="F29" i="135"/>
  <c r="F28" i="135"/>
  <c r="F46" i="135"/>
  <c r="F45" i="135"/>
  <c r="F44" i="135"/>
  <c r="T247" i="158"/>
  <c r="O16" i="135"/>
  <c r="D3" i="164"/>
  <c r="O10" i="135"/>
  <c r="T247" i="150"/>
  <c r="O32" i="135"/>
  <c r="D4" i="164"/>
  <c r="O26" i="135"/>
  <c r="O43" i="135"/>
  <c r="C56" i="135"/>
  <c r="C52" i="135"/>
  <c r="R125" i="165"/>
  <c r="D57" i="135"/>
  <c r="D51" i="135"/>
  <c r="O51" i="135"/>
  <c r="T125" i="153"/>
  <c r="O57" i="135"/>
  <c r="D6" i="164"/>
  <c r="T247" i="159"/>
  <c r="X16" i="135"/>
  <c r="F3" i="164"/>
  <c r="X10" i="135"/>
  <c r="T247" i="156"/>
  <c r="X32" i="135"/>
  <c r="F4" i="164"/>
  <c r="X26" i="135"/>
  <c r="T247" i="155"/>
  <c r="X48" i="135"/>
  <c r="F5" i="164"/>
  <c r="X42" i="135"/>
  <c r="T125" i="154"/>
  <c r="X57" i="135"/>
  <c r="F6" i="164"/>
  <c r="X51" i="135"/>
  <c r="AG7" i="135"/>
  <c r="AG6" i="135"/>
  <c r="AG5" i="135"/>
  <c r="AG16" i="135"/>
  <c r="AG15" i="135"/>
  <c r="AG14" i="135"/>
  <c r="AG25" i="135"/>
  <c r="AG24" i="135"/>
  <c r="AG23" i="135"/>
  <c r="AG34" i="135"/>
  <c r="AG33" i="135"/>
  <c r="AG32" i="135"/>
  <c r="C51" i="135"/>
  <c r="Q125" i="165"/>
  <c r="C57" i="135"/>
  <c r="D56" i="135"/>
  <c r="D52" i="135"/>
  <c r="E51" i="135"/>
  <c r="S125" i="165"/>
  <c r="E57" i="135"/>
  <c r="F56" i="135"/>
  <c r="F52" i="135"/>
  <c r="T247" i="126"/>
  <c r="O48" i="135"/>
  <c r="D5" i="164"/>
  <c r="O42" i="135"/>
  <c r="O55" i="135"/>
  <c r="O54" i="135"/>
  <c r="O53" i="135"/>
  <c r="X14" i="135"/>
  <c r="X13" i="135"/>
  <c r="X12" i="135"/>
  <c r="X30" i="135"/>
  <c r="X29" i="135"/>
  <c r="X28" i="135"/>
  <c r="X46" i="135"/>
  <c r="X45" i="135"/>
  <c r="X44" i="135"/>
  <c r="X55" i="135"/>
  <c r="X54" i="135"/>
  <c r="X53" i="135"/>
  <c r="AG8" i="135"/>
  <c r="AG4" i="135"/>
  <c r="AG17" i="135"/>
  <c r="AG13" i="135"/>
  <c r="AG26" i="135"/>
  <c r="AG22" i="135"/>
  <c r="AG35" i="135"/>
  <c r="AG31" i="135"/>
  <c r="C55" i="135"/>
  <c r="C54" i="135"/>
  <c r="C53" i="135"/>
  <c r="E55" i="135"/>
  <c r="E54" i="135"/>
  <c r="E53" i="135"/>
</calcChain>
</file>

<file path=xl/sharedStrings.xml><?xml version="1.0" encoding="utf-8"?>
<sst xmlns="http://schemas.openxmlformats.org/spreadsheetml/2006/main" count="2125" uniqueCount="222">
  <si>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</si>
  <si>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</si>
  <si>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</si>
  <si>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</si>
  <si>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</si>
  <si>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</si>
  <si>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</si>
  <si>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</si>
  <si>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</si>
  <si>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</si>
  <si>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</si>
  <si>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</si>
  <si>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</si>
  <si>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</si>
  <si>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</si>
  <si>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</si>
  <si>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</si>
  <si>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</si>
  <si>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</si>
  <si>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</si>
  <si>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</si>
  <si>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</si>
  <si>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</si>
  <si>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</si>
  <si>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</si>
  <si>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</si>
  <si>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</si>
  <si>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</si>
  <si>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</si>
  <si>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</si>
  <si>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</si>
  <si>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</si>
  <si>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</si>
  <si>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</si>
  <si>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</si>
  <si>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</si>
  <si>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</si>
  <si>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</si>
  <si>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</si>
  <si>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</si>
  <si>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</si>
  <si>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</si>
  <si>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</si>
  <si>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</si>
  <si>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</si>
  <si>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</si>
  <si>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</si>
  <si>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</si>
  <si>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</si>
  <si>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</si>
  <si>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</si>
  <si>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</si>
  <si>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</si>
  <si>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</si>
  <si>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</si>
  <si>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</si>
  <si>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</si>
  <si>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</si>
  <si>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</si>
  <si>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</si>
  <si>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</si>
  <si>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</si>
  <si>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</si>
  <si>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</si>
  <si>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</si>
  <si>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</si>
  <si>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x264 slow threads 1 </t>
  </si>
  <si>
    <t xml:space="preserve">x265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</si>
  <si>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</si>
  <si>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</si>
  <si>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</si>
  <si>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</si>
  <si>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</si>
  <si>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</si>
  <si>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</si>
  <si>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</si>
  <si>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</si>
  <si>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>30 fps</t>
  </si>
  <si>
    <t>x265 slow threads 0</t>
  </si>
  <si>
    <t>x265 ultrafast threads 0</t>
  </si>
  <si>
    <t>x264 slow threads 0</t>
  </si>
  <si>
    <t>x264 veryfast threads 0</t>
  </si>
  <si>
    <t>x265 veryslow threads 0</t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</si>
  <si>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</si>
  <si>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</si>
  <si>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</si>
  <si>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</si>
  <si>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AppEncoder_x64.exe -b out.265 -i BQSquare_416x240_60.yuv -preset veryfast -tune default -latency  offline -threads 1 -wpp 0 -psnr 2 -rc 1 -br [btrNumber] -frms 1000000 -iper [iPer]</t>
  </si>
  <si>
    <t>AppEncoder_x64.exe -b out.265 -i BQSquare_416x240_60.yuv -preset slow -tune default -latency  offline -threads 1 -wpp 0 -psnr 2 -rc 1 -br [btrNumber] -frms 1000000 -iper [iPer]</t>
    <phoneticPr fontId="5" type="noConversion"/>
  </si>
  <si>
    <t>AppEncoder_x64.exe -b out.265 -i BQSquare_416x240_60.yuv -preset veryslow -tune default -latency  offline -threads 0 -psnr 2 -rc 1 -br [btrNumber] -frms 1000000 -iper [iPer]</t>
  </si>
  <si>
    <t>AppEncoder_x64.exe -b out.265 -i BQSquare_416x240_60.yuv -preset slow -tune default -latency  offline -threads 1 -wpp 0 -psnr 2 -rc 1 -br [btrNumber] -frms 1000000 -iper [iPer]</t>
  </si>
  <si>
    <t>[keyint] = framerate * 10</t>
    <phoneticPr fontId="5" type="noConversion"/>
  </si>
  <si>
    <t>[iPer] = framerate * 10</t>
    <phoneticPr fontId="5" type="noConversion"/>
  </si>
  <si>
    <t>[keyint] = framerate * 10</t>
    <phoneticPr fontId="5" type="noConversion"/>
  </si>
  <si>
    <t>x265.exe -o out.265 --input SlideShow_1280x720_20.yuv --input-res 1280x720 --preset veryslow --fps [framerate] --aq-mode 0 --no-psy-rd --no-psy-rdoq --psnr  --bitrate [btrNumber] --frame-threads 1 --no-wpp --keyint [keyint] --frames 1000000</t>
  </si>
  <si>
    <t>x265.exe -o out.265 --input SlideShow_1280x720_20.yuv --input-res 1280x720 --preset slow --fps [framerate] --aq-mode 0 --no-psy-rd --no-psy-rdoq --psnr  --bitrate [btrNumber] --frame-threads 1 --no-wpp --keyint [keyint] --frames 1000000</t>
  </si>
  <si>
    <t>x265.exe -o out.265 --input SlideShow_1280x720_20.yuv --input-res 1280x720 --preset veryfast --fps [framerate] --aq-mode 0 --no-psy-rd --no-psy-rdoq --psnr  --bitrate [btrNumber] --frame-threads 1 --no-wpp --keyint [keyint] --frames 1000000</t>
  </si>
  <si>
    <t>x264.exe -o out.264 BQSquare_416x240_60.yuv --input-res 416x240 --preset slow --fps [framerate] --profile high --aq-mode 0 --no-psy  --psnr  --bitrate [btrNumber]  --keyint [keyint] --frames 1000000</t>
  </si>
  <si>
    <t>x264.exe -o out.264 BQSquare_416x240_60.yuv --input-res 416x240 --preset veryfast --fps [framerate] --profile high --aq-mode 0 --no-psy  --psnr  --bitrate [btrNumber]  --keyint [keyint] --frames 1000000</t>
  </si>
  <si>
    <t xml:space="preserve">Game </t>
    <phoneticPr fontId="5" type="noConversion"/>
  </si>
  <si>
    <t>chuanyuehuoxian_1280x720_30</t>
  </si>
  <si>
    <t>huangshizhanzheng_1280x720_30</t>
  </si>
  <si>
    <t>huoyingrenzhe_1280x720_30</t>
  </si>
  <si>
    <t>jianxianqingyuan_1280x720_30</t>
  </si>
  <si>
    <t>jietoulanqiu_1280x720_30</t>
  </si>
  <si>
    <t>myworld_1280x720_30</t>
  </si>
  <si>
    <t>qiuqiudazuozhan_1280x720_30</t>
  </si>
  <si>
    <t>tiantianfeiche_1280x720_30</t>
  </si>
  <si>
    <t>tiantiankupao_1280x720_30</t>
  </si>
  <si>
    <t>wangzherongyao_1280x720_30</t>
  </si>
  <si>
    <t>yinyangshi_1280x720_30</t>
  </si>
  <si>
    <t>Game 30 fps</t>
    <phoneticPr fontId="5" type="noConversion"/>
  </si>
  <si>
    <t>ksc265vsx264_offline_veryfast</t>
    <phoneticPr fontId="5" type="noConversion"/>
  </si>
  <si>
    <t>ksc265 veryslow vs x264_offline_placebo</t>
    <phoneticPr fontId="5" type="noConversion"/>
  </si>
  <si>
    <t>ksc265 veryslow vsx265_offline_veryslow</t>
    <phoneticPr fontId="5" type="noConversion"/>
  </si>
  <si>
    <t>BQSquare_416x240_60</t>
    <phoneticPr fontId="5" type="noConversion"/>
  </si>
  <si>
    <t>ksc265vsx265_offline_slow</t>
    <phoneticPr fontId="5" type="noConversion"/>
  </si>
  <si>
    <t>ksc265vsvp9_offline_slow</t>
    <phoneticPr fontId="5" type="noConversion"/>
  </si>
  <si>
    <t>ksc265 veryslow vsvp9_offline_veryslow</t>
    <phoneticPr fontId="5" type="noConversion"/>
  </si>
  <si>
    <t>ksc265vsvp9_offline_veryfast</t>
    <phoneticPr fontId="5" type="noConversion"/>
  </si>
  <si>
    <t>vp9 best threads 0</t>
  </si>
  <si>
    <t xml:space="preserve">vp9 rt threads 1 </t>
  </si>
  <si>
    <t>vp9 rt threads 0</t>
  </si>
  <si>
    <t>[iPer] = framerate * 10</t>
    <phoneticPr fontId="5" type="noConversion"/>
  </si>
  <si>
    <t>ThreU No.</t>
  </si>
  <si>
    <t>vpxenc.exe --codec=vp9 --passes=1 --rt --fps=[fps]/1 --i420 --end-usage=vbr --target-bitrate=[btr] --kf-max-dist=[iPer] --cpu-used=8 --threads=1 --psnr -w [wd] -h [ht] -o out.vp9 [input] --frame-parallel=0</t>
    <phoneticPr fontId="5" type="noConversion"/>
  </si>
  <si>
    <t xml:space="preserve">vp9 good threads 1 </t>
  </si>
  <si>
    <t>vp9 good threads 0</t>
  </si>
  <si>
    <t>vpxenc.exe --codec=vp9 --passes=1 --good --fps=[fps]/1 --i420 --end-usage=vbr --target-bitrate=[btr] --kf-max-dist=[iPer] --cpu-used=8 --threads=1 --psnr -w [wd] -h [ht] -o out.vp9 [input] --frame-parallel=0</t>
  </si>
  <si>
    <t>vpxenc.exe --codec=vp9 --passes=1 --best --fps=[fps]/1 --i420 --end-usage=vbr --target-bitrate=[btr] --kf-max-dist=[iPer] --cpu-used=8 --threads=4 --psnr -w [wd] -h [ht] -o out.vp9 [input] --frame-parallel=0</t>
    <phoneticPr fontId="5" type="noConversion"/>
  </si>
  <si>
    <t>x264.exe -o out.264 BQSquare_416x240_60.yuv --input-res 416x240 --preset superfast --fps [framerate] --profile high --aq-mode 0 --no-psy  --psnr  --bitrate [btrNumber]  --keyint [keyint] --frames 1000000</t>
  </si>
  <si>
    <t>AppEncoder_x64.exe -b out.265 -i BQSquare_416x240_60.yuv -preset superfast -tune default -latency  offline -threads 1 -wpp 0 -psnr 2 -rc 1 -br [btrNumber] -frms 1000000 -iper [iPer]</t>
  </si>
  <si>
    <t xml:space="preserve">x264 superfast threads 1 </t>
  </si>
  <si>
    <t>x264 superfast threads 0</t>
  </si>
  <si>
    <t>ksc265vsx264_offline_superfast</t>
  </si>
  <si>
    <t>ksc265vsvp9_offline_superfast</t>
  </si>
  <si>
    <t>time ./sample_encode h265 -i BQSquare_416x240_60.yuv -o test.265 -hw -w [wd] -h [ht] -f [fps] -g [10*fps] -b [btr] -u speed -n 900 -async 3 -p e5400a06c74d41f5b12d430bbaa23d0b</t>
  </si>
  <si>
    <t>(libmfx_hevce_gacc64.so)</t>
    <phoneticPr fontId="5" type="noConversion"/>
  </si>
  <si>
    <t>./appencoder -b out.265 -i BQSquare_416x240_60.yuv -preset superfast -tune default -latency  offline -psnr 2 -rc 1 -br [btrNumber] -frms 900 -iper [iPer]</t>
  </si>
  <si>
    <t>./appencoder -b out.265 -i BQSquare_416x240_60.yuv -preset veryfast -tune default -latency  offline -psnr 2 -rc 1 -br [btrNumber] -frms 900 -iper [iPer]</t>
  </si>
  <si>
    <t>time ./sample_encode h265 -i BQSquare_416x240_60.yuv -o test.265 -w [wd] -h [ht] -f [fps] -g [10*fps] -b [btr] -u balanced -n 900 -async 3 -p 2fca99749fdb49aeb121a5b63ef568f7</t>
  </si>
  <si>
    <t>(libmfx_hevce_sw64.so)</t>
    <phoneticPr fontId="5" type="noConversion"/>
  </si>
  <si>
    <t>./appencoder -b out.265 -i BQSquare_416x240_60.yuv -preset slow -tune default -latency  offline -psnr 2 -rc 1 -br [btrNumber] -frms 900 -iper [iPer]</t>
  </si>
  <si>
    <t>time ./sample_encode h265 -i BQSquare_416x240_60.yuv -o test.265 -w [wd] -h [ht] -f [fps] -g [10*fps] -b [btr] -u quality -n 900 -async 3 -p 2fca99749fdb49aeb121a5b63ef568f7</t>
  </si>
  <si>
    <t>(libmfx_hevce_sw64.so)</t>
    <phoneticPr fontId="5" type="noConversion"/>
  </si>
  <si>
    <t>./appencoder -b out.265 -i BQSquare_416x240_60.yuv -preset veryslow -tune default -latency  offline -psnr 2 -rc 1 -br [btrNumber] -frms 900 -iper [iPer]</t>
  </si>
  <si>
    <t>[iPer] = framerate * 10</t>
    <phoneticPr fontId="5" type="noConversion"/>
  </si>
  <si>
    <t>本测试为intel265与q265离线编码对比测试，测试设备为台式机（Centos操作系统，8核Intel(R) Xeon(R) CPU E3-1585 v5 @ 3.50GHz），q265采取cbr模式编码、superfast档次</t>
    <phoneticPr fontId="5" type="noConversion"/>
  </si>
  <si>
    <t>本测试为intel265与q265离线编码对比测试，测试设备为台式机（Centos操作系统，8核Intel(R) Xeon(R) CPU E3-1585 v5 @ 3.50GHz），q265采取cbr模式编码、veryfast档次</t>
  </si>
  <si>
    <t>本测试为intel265与q265离线编码对比测试，测试设备为台式机（Centos操作系统，8核Intel(R) Xeon(R) CPU E3-1585 v5 @ 3.50GHz），q265采取cbr模式编码、slow档次</t>
  </si>
  <si>
    <t>本测试为intel265与q265离线编码对比测试，测试设备为台式机（Centos操作系统，8核Intel(R) Xeon(R) CPU E3-1585 v5 @ 3.50GHz），q265采取cbr模式编码、veryslow档次</t>
  </si>
  <si>
    <t>intel265 speed</t>
  </si>
  <si>
    <t>intel265 balanced</t>
  </si>
  <si>
    <t>intel265 quality</t>
  </si>
  <si>
    <t>ksc265vsIntel_offline_veryfast</t>
  </si>
  <si>
    <t>ksc265vsIntel_offline_slow</t>
  </si>
  <si>
    <t>ksc265 veryslow vsIntel_offline_veryslow</t>
  </si>
  <si>
    <t>ksc265vsIntel_offline_superfast</t>
  </si>
  <si>
    <t>vs. X264(RC=ABR)</t>
  </si>
  <si>
    <t>vs. X265 (RC=ABR)</t>
  </si>
  <si>
    <t>Superfast</t>
  </si>
  <si>
    <t xml:space="preserve">Veryfast </t>
  </si>
  <si>
    <t xml:space="preserve">Slow </t>
  </si>
  <si>
    <t xml:space="preserve">Veryslow </t>
  </si>
  <si>
    <t>速度档次</t>
    <phoneticPr fontId="5" type="noConversion"/>
  </si>
  <si>
    <t>带宽节省</t>
    <phoneticPr fontId="5" type="noConversion"/>
  </si>
  <si>
    <t>加速</t>
    <phoneticPr fontId="5" type="noConversion"/>
  </si>
  <si>
    <t>带宽节省2</t>
  </si>
  <si>
    <t>加速3</t>
  </si>
  <si>
    <t>带宽节省4</t>
  </si>
  <si>
    <t>加速5</t>
  </si>
  <si>
    <t>带宽节省6</t>
  </si>
  <si>
    <t>加速7</t>
  </si>
  <si>
    <t>vs. VP9 (RC=VBR)</t>
    <phoneticPr fontId="5" type="noConversion"/>
  </si>
  <si>
    <t>vs. Intel (RC=ABR)</t>
    <phoneticPr fontId="5" type="noConversion"/>
  </si>
  <si>
    <t>本测试为X264与QY265v2.5.4.0版本离线编码对比测试，测试设备为台式机（Win7操作系统，i5-4670四核CPU，8G内存），采取cbr模式编码、superfast档次、单线程模式编码</t>
  </si>
  <si>
    <t xml:space="preserve">q265 superfast v2.5.4.0 threads 1 </t>
  </si>
  <si>
    <t>本测试为X264与QY265v2.5.4.0版本离线编码对比测试，测试设备为台式机（Win7操作系统，i5-4670四核CPU，8G内存），采取cbr模式编码、superfast档次、满线程模式编码</t>
  </si>
  <si>
    <t>q265 superfast v2.5.4.0 threads 0</t>
  </si>
  <si>
    <t>本测试为X264与QY265v2.5.4.0版本离线编码对比测试，测试设备为台式机（Win7操作系统，i5-4670四核CPU，8G内存），采取cbr模式编码、veryfast档次、单线程模式编码</t>
  </si>
  <si>
    <t xml:space="preserve">q265 veryfast v2.5.4.0 threads 1 </t>
  </si>
  <si>
    <t>本测试为X264与QY265v2.5.4.0版本离线编码对比测试，测试设备为台式机（Win7操作系统，i5-4670四核CPU，8G内存），采取cbr模式编码、veryfast档次、满线程模式编码</t>
  </si>
  <si>
    <t>q265 veryfast v2.5.4.0 threads 0</t>
  </si>
  <si>
    <t>本测试为X264与QY265v2.5.4.0版本离线编码对比测试，测试设备为台式机（Win7操作系统，i5-4670四核CPU，8G内存），采取cbr模式编码、slow档次、单线程模式编码</t>
  </si>
  <si>
    <t xml:space="preserve">q265 slow v2.5.4.0 threads 1 </t>
  </si>
  <si>
    <t>本测试为X264与QY265v2.5.4.0版本离线编码对比测试，测试设备为台式机（Win7操作系统，i5-4670四核CPU，8G内存），采取cbr模式编码、slow档次、满线程模式编码</t>
  </si>
  <si>
    <t>q265 slow v2.5.4.0 threads 0</t>
  </si>
  <si>
    <t>本测试为x265v2.4版本与QY265v2.5.4.0版本离线编码对比测试，测试设备为台式机（Win7操作系统，i5-4670四核CPU，8G内存），采取cbr模式编码、superfast档次、单线程模式编码</t>
  </si>
  <si>
    <t>本测试为x265v2.4版本与QY265v2.5.4.0版本离线编码对比测试，测试设备为台式机（Win7操作系统，i5-4670四核CPU，8G内存），采取cbr模式编码、superfast档次、满线程模式编码</t>
  </si>
  <si>
    <t>本测试为x265v2.4版本与QY265v2.5.4.0版本离线编码对比测试，测试设备为台式机（Win7操作系统，i5-4670四核CPU，8G内存），采取cbr模式编码、veryfast档次、单线程模式编码</t>
  </si>
  <si>
    <t>本测试为x265v2.4版本与QY265v2.5.4.0版本离线编码对比测试，测试设备为台式机（Win7操作系统，i5-4670四核CPU，8G内存），采取cbr模式编码、veryfast档次、满线程模式编码</t>
  </si>
  <si>
    <t>本测试为x265v2.4版本与QY265v2.5.4.0版本离线编码对比测试，测试设备为台式机（Win7操作系统，i5-4670四核CPU，8G内存），采取cbr模式编码、slow档次、单线程模式编码</t>
  </si>
  <si>
    <t>本测试为x265v2.4版本与QY265v2.5.4.0版本离线编码对比测试，测试设备为台式机（Win7操作系统，i5-4670四核CPU，8G内存），采取cbr模式编码、slow档次、满线程模式编码</t>
  </si>
  <si>
    <t>本测试为x265v2.4版本与QY265v2.5.4.0版本离线编码对比测试，测试设备为台式机（Win7操作系统，i5-4670四核CPU，8G内存），采取cbr模式编码、veryslow档次、满线程模式编码</t>
  </si>
  <si>
    <t>q265 veryslow v2.5.4.0 threads 0</t>
  </si>
  <si>
    <t>本测试为vp9与QY265v2.5.4.0版本离线编码对比测试，测试设备为台式机（Win7操作系统，i5-4670四核CPU，8G内存），采取cbr模式编码、superfast档次、单线程模式编码</t>
  </si>
  <si>
    <t>本测试为vp9与QY265v2.5.4.0版本离线编码对比测试，测试设备为台式机（Win7操作系统，i5-4670四核CPU，8G内存），采取cbr模式编码、superfast档次、满线程模式编码</t>
  </si>
  <si>
    <t>本测试为vp9与QY265v2.5.4.0版本离线编码对比测试，测试设备为台式机（Win7操作系统，i5-4670四核CPU，8G内存），采取cbr模式编码、veryfast档次、单线程模式编码</t>
  </si>
  <si>
    <t>本测试为vp9与QY265v2.5.4.0版本离线编码对比测试，测试设备为台式机（Win7操作系统，i5-4670四核CPU，8G内存），采取cbr模式编码、veryfast档次、满线程模式编码</t>
  </si>
  <si>
    <t>本测试为vp9与QY265v2.5.4.0版本离线编码对比测试，测试设备为台式机（Win7操作系统，i5-4670四核CPU，8G内存），采取cbr模式编码、slow档次、单线程模式编码</t>
  </si>
  <si>
    <t>本测试为vp9与QY265v2.5.4.0版本离线编码对比测试，测试设备为台式机（Win7操作系统，i5-4670四核CPU，8G内存），采取cbr模式编码、slow档次、满线程模式编码</t>
  </si>
  <si>
    <t>本测试为vp9与QY265v2.5.4.0版本离线编码对比测试，测试设备为台式机（Win7操作系统，i5-4670四核CPU，8G内存），采取cbr模式编码、veryslow档次、满线程模式编码</t>
  </si>
  <si>
    <t>q265 superfast v2.5.4.0</t>
  </si>
  <si>
    <t>q265 veryfast v2.5.4.0</t>
  </si>
  <si>
    <t>q265 slow v2.5.4.0</t>
  </si>
  <si>
    <t>q265 veryslow v2.5.4.0</t>
  </si>
  <si>
    <t>x264.exe -o out.264 BQSquare_416x240_60.yuv --input-res 416x240 --preset placebo --fps [framerate] --profile high --aq-mode 0 --no-psy  --psnr  --bitrate [btrNumber]  --keyint [keyint] --frames 1000000</t>
  </si>
  <si>
    <t>[keyint] = framerate * 10</t>
    <phoneticPr fontId="5" type="noConversion"/>
  </si>
  <si>
    <t>[iPer] = framerate * 10</t>
    <phoneticPr fontId="5" type="noConversion"/>
  </si>
  <si>
    <t>测试说明</t>
    <phoneticPr fontId="5" type="noConversion"/>
  </si>
  <si>
    <t>x264 placebo threads 0</t>
  </si>
  <si>
    <t>编码速度提升</t>
    <phoneticPr fontId="5" type="noConversion"/>
  </si>
  <si>
    <t>YUV</t>
    <phoneticPr fontId="1" type="noConversion"/>
  </si>
  <si>
    <t xml:space="preserve">Game </t>
    <phoneticPr fontId="5" type="noConversion"/>
  </si>
  <si>
    <t>Average</t>
    <phoneticPr fontId="5" type="noConversion"/>
  </si>
  <si>
    <t>本测试为X264与QY265v2.5.4.0版本离线编码对比测试，测试设备为台式机（Win7操作系统，i5-4670四核CPU，8G内存），采取cbr模式编码、placebo档次、满线程模式编码</t>
  </si>
  <si>
    <t>ksc265vsx264_offline_slow</t>
    <phoneticPr fontId="5" type="noConversion"/>
  </si>
  <si>
    <t xml:space="preserve">x265 superfast threads 1 </t>
    <phoneticPr fontId="5" type="noConversion"/>
  </si>
  <si>
    <t>x265.exe -o out.265 --input SlideShow_1280x720_20.yuv --input-res 1280x720 --preset ultrafast --fps [framerate] --aq-mode 0 --no-psy-rd --no-psy-rdoq --psnr  --bitrate [btrNumber] --frame-threads 1 --no-wpp --keyint [keyint] --frames 1000000</t>
    <phoneticPr fontId="5" type="noConversion"/>
  </si>
  <si>
    <t xml:space="preserve">x265 ultrafast threads 1 </t>
    <phoneticPr fontId="5" type="noConversion"/>
  </si>
  <si>
    <t>ksc265 superfast vsx265_ultrafast</t>
    <phoneticPr fontId="5" type="noConversion"/>
  </si>
  <si>
    <t>ksc265 veryfast vsx265_offline_ultrafast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</si>
</sst>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5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  <font>
      <sz val="10"/>
      <color theme="1"/>
      <name val="Times New Roman"/>
      <family val="1"/>
    </font>
    <font>
      <sz val="10"/>
      <color rgb="FF333333"/>
      <name val="Times New Roman"/>
      <family val="1"/>
    </font>
    <font>
      <sz val="10"/>
      <name val="宋体"/>
      <family val="3"/>
      <charset val="134"/>
    </font>
    <font>
      <sz val="10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73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7" fontId="0" fillId="0" borderId="0" xfId="0" applyNumberFormat="1" applyBorder="1"/>
    <xf numFmtId="0" fontId="0" fillId="3" borderId="25" xfId="0" applyFill="1" applyBorder="1"/>
    <xf numFmtId="177" fontId="11" fillId="0" borderId="21" xfId="0" applyNumberFormat="1" applyFont="1" applyBorder="1" applyAlignment="1">
      <alignment horizontal="center" wrapText="1"/>
    </xf>
    <xf numFmtId="177" fontId="12" fillId="0" borderId="21" xfId="0" applyNumberFormat="1" applyFont="1" applyBorder="1" applyAlignment="1">
      <alignment horizontal="center" vertical="center" wrapText="1"/>
    </xf>
    <xf numFmtId="177" fontId="11" fillId="0" borderId="21" xfId="0" applyNumberFormat="1" applyFont="1" applyBorder="1" applyAlignment="1">
      <alignment horizontal="center" vertical="center" wrapText="1"/>
    </xf>
    <xf numFmtId="0" fontId="11" fillId="4" borderId="6" xfId="0" applyFont="1" applyFill="1" applyBorder="1" applyAlignment="1">
      <alignment vertical="top" wrapText="1"/>
    </xf>
    <xf numFmtId="176" fontId="0" fillId="0" borderId="0" xfId="0" applyNumberFormat="1"/>
    <xf numFmtId="176" fontId="14" fillId="4" borderId="21" xfId="0" applyNumberFormat="1" applyFont="1" applyFill="1" applyBorder="1" applyAlignment="1">
      <alignment horizontal="center" wrapText="1"/>
    </xf>
    <xf numFmtId="176" fontId="13" fillId="4" borderId="9" xfId="0" applyNumberFormat="1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1" fillId="4" borderId="4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137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/>
        <top/>
        <bottom/>
        <vertical style="medium">
          <color auto="1"/>
        </vertical>
        <horizontal/>
      </border>
    </dxf>
    <dxf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rgb="FF00FF0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auto="1"/>
        </right>
        <top/>
        <bottom/>
        <vertical style="medium">
          <color auto="1"/>
        </vertical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76" formatCode="0.00_ "/>
      <fill>
        <patternFill patternType="solid">
          <fgColor indexed="64"/>
          <bgColor rgb="FF00FF0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b="1"/>
              <a:t>穿越火线（</a:t>
            </a:r>
            <a:r>
              <a:rPr lang="en-US" altLang="zh-CN" b="1"/>
              <a:t>720p@30fps</a:t>
            </a:r>
            <a:r>
              <a:rPr lang="zh-CN" altLang="en-US" b="1"/>
              <a:t>）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8.2004765851636963E-2"/>
          <c:y val="5.0925925925925923E-2"/>
          <c:w val="0.86948093659345216"/>
          <c:h val="0.80954281079627499"/>
        </c:manualLayout>
      </c:layout>
      <c:scatterChart>
        <c:scatterStyle val="lineMarker"/>
        <c:varyColors val="0"/>
        <c:ser>
          <c:idx val="0"/>
          <c:order val="0"/>
          <c:tx>
            <c:v>X264推流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1929824561403508E-3"/>
                  <c:y val="5.5555555555555552E-2"/>
                </c:manualLayout>
              </c:layout>
              <c:tx>
                <c:rich>
                  <a:bodyPr/>
                  <a:lstStyle/>
                  <a:p>
                    <a:fld id="{C1EB3DF9-FFDA-4E01-ABE0-36A240CF9DFB}" type="XVALUE">
                      <a:rPr lang="en-US" altLang="zh-CN"/>
                      <a:pPr/>
                      <a:t>[X 值]</a:t>
                    </a:fld>
                    <a:r>
                      <a:rPr lang="en-US" altLang="zh-CN" baseline="0"/>
                      <a:t>, </a:t>
                    </a:r>
                    <a:fld id="{D0A866FE-0329-4C52-9C5A-7E212C63B11F}" type="YVALUE">
                      <a:rPr lang="en-US" altLang="zh-CN" baseline="0"/>
                      <a:pPr/>
                      <a:t>[Y 值]</a:t>
                    </a:fld>
                    <a:endParaRPr lang="en-US" altLang="zh-CN" baseline="0"/>
                  </a:p>
                  <a:p>
                    <a:r>
                      <a:rPr lang="zh-CN" altLang="en-US" baseline="0"/>
                      <a:t>编码速度</a:t>
                    </a:r>
                    <a:r>
                      <a:rPr lang="en-US" altLang="zh-CN" baseline="0"/>
                      <a:t>124.6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'Summary-sim'!$B$11:$B$14</c:f>
              <c:numCache>
                <c:formatCode>0.00_ </c:formatCode>
                <c:ptCount val="4"/>
                <c:pt idx="0">
                  <c:v>1644.78</c:v>
                </c:pt>
                <c:pt idx="1">
                  <c:v>1104.1199999999999</c:v>
                </c:pt>
                <c:pt idx="2">
                  <c:v>673.66</c:v>
                </c:pt>
                <c:pt idx="3">
                  <c:v>320.23</c:v>
                </c:pt>
              </c:numCache>
            </c:numRef>
          </c:xVal>
          <c:yVal>
            <c:numRef>
              <c:f>'Summary-sim'!$G$11:$G$14</c:f>
              <c:numCache>
                <c:formatCode>0.00_ </c:formatCode>
                <c:ptCount val="4"/>
                <c:pt idx="0">
                  <c:v>43.020499999999998</c:v>
                </c:pt>
                <c:pt idx="1">
                  <c:v>40.912374999999997</c:v>
                </c:pt>
                <c:pt idx="2">
                  <c:v>38.507000000000005</c:v>
                </c:pt>
                <c:pt idx="3">
                  <c:v>34.775624999999998</c:v>
                </c:pt>
              </c:numCache>
            </c:numRef>
          </c:yVal>
          <c:smooth val="0"/>
        </c:ser>
        <c:ser>
          <c:idx val="1"/>
          <c:order val="1"/>
          <c:tx>
            <c:v>KSC265推流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9.8684210526315791E-2"/>
                  <c:y val="-0.10185185185185185"/>
                </c:manualLayout>
              </c:layout>
              <c:tx>
                <c:rich>
                  <a:bodyPr/>
                  <a:lstStyle/>
                  <a:p>
                    <a:fld id="{F36AFC19-FCF6-4BFE-8A4F-58506FF13C22}" type="XVALUE">
                      <a:rPr lang="en-US" altLang="zh-CN"/>
                      <a:pPr/>
                      <a:t>[X 值]</a:t>
                    </a:fld>
                    <a:r>
                      <a:rPr lang="en-US" altLang="zh-CN" baseline="0"/>
                      <a:t>, </a:t>
                    </a:r>
                    <a:fld id="{5B69D2F6-A7A7-452F-91C8-536FB753DCA8}" type="YVALUE">
                      <a:rPr lang="en-US" altLang="zh-CN" baseline="0"/>
                      <a:pPr/>
                      <a:t>[Y 值]</a:t>
                    </a:fld>
                    <a:endParaRPr lang="en-US" altLang="zh-CN" baseline="0"/>
                  </a:p>
                  <a:p>
                    <a:r>
                      <a:rPr lang="zh-CN" altLang="en-US" sz="800" b="0" i="0" u="none" strike="noStrike" kern="1200" baseline="0">
                        <a:solidFill>
                          <a:sysClr val="windowText" lastClr="000000">
                            <a:lumMod val="65000"/>
                            <a:lumOff val="35000"/>
                          </a:sysClr>
                        </a:solidFill>
                      </a:rPr>
                      <a:t>编码速度</a:t>
                    </a:r>
                    <a:r>
                      <a:rPr lang="en-US" altLang="zh-CN" sz="800" b="0" i="0" u="none" strike="noStrike" kern="1200" baseline="0">
                        <a:solidFill>
                          <a:sysClr val="windowText" lastClr="000000">
                            <a:lumMod val="65000"/>
                            <a:lumOff val="35000"/>
                          </a:sysClr>
                        </a:solidFill>
                      </a:rPr>
                      <a:t>131.3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'Summary-sim'!$I$11:$I$14</c:f>
              <c:numCache>
                <c:formatCode>0.00_ </c:formatCode>
                <c:ptCount val="4"/>
                <c:pt idx="0">
                  <c:v>1297.1221</c:v>
                </c:pt>
                <c:pt idx="1">
                  <c:v>894.16160000000002</c:v>
                </c:pt>
                <c:pt idx="2">
                  <c:v>554.78809999999999</c:v>
                </c:pt>
                <c:pt idx="3">
                  <c:v>287.1952</c:v>
                </c:pt>
              </c:numCache>
            </c:numRef>
          </c:xVal>
          <c:yVal>
            <c:numRef>
              <c:f>'Summary-sim'!$N$11:$N$14</c:f>
              <c:numCache>
                <c:formatCode>0.00_ </c:formatCode>
                <c:ptCount val="4"/>
                <c:pt idx="0">
                  <c:v>44.43876250000001</c:v>
                </c:pt>
                <c:pt idx="1">
                  <c:v>43.164699999999996</c:v>
                </c:pt>
                <c:pt idx="2">
                  <c:v>41.003562500000001</c:v>
                </c:pt>
                <c:pt idx="3">
                  <c:v>38.407150000000001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979568"/>
        <c:axId val="319814624"/>
      </c:scatterChart>
      <c:valAx>
        <c:axId val="263979568"/>
        <c:scaling>
          <c:orientation val="minMax"/>
          <c:max val="1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/>
                  <a:t>Bitrate</a:t>
                </a:r>
                <a:r>
                  <a:rPr lang="en-US" altLang="zh-CN" b="1" baseline="0"/>
                  <a:t> (kbps)</a:t>
                </a:r>
                <a:endParaRPr lang="en-US" altLang="zh-CN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814624"/>
        <c:crosses val="autoZero"/>
        <c:crossBetween val="midCat"/>
      </c:valAx>
      <c:valAx>
        <c:axId val="31981462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PSNR(dB)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63979568"/>
        <c:crosses val="autoZero"/>
        <c:crossBetween val="midCat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96052631578941"/>
          <c:y val="0.67650408282298058"/>
          <c:w val="0.16550996305645319"/>
          <c:h val="0.1549221247305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514910</xdr:colOff>
      <xdr:row>14</xdr:row>
      <xdr:rowOff>162205</xdr:rowOff>
    </xdr:from>
    <xdr:to>
      <xdr:col>11</xdr:col>
      <xdr:colOff>621927</xdr:colOff>
      <xdr:row>28</xdr:row>
      <xdr:rowOff>105055</xdr:rowOff>
    </xdr:to>
    <xdr:grpSp>
      <xdr:nvGrpSpPr>
        <xdr:cNvPr id="17" name="组合 16"/>
        <xdr:cNvGrpSpPr/>
      </xdr:nvGrpSpPr>
      <xdr:grpSpPr>
        <a:xfrm>
          <a:off x="2162175" y="3030911"/>
          <a:ext cx="6270252" cy="2766732"/>
          <a:chOff x="3686175" y="2997293"/>
          <a:chExt cx="5777193" cy="2766732"/>
        </a:xfrm>
      </xdr:grpSpPr>
      <xdr:graphicFrame macro="">
        <xdr:nvGraphicFramePr>
          <xdr:cNvPr id="2" name="图表 1"/>
          <xdr:cNvGraphicFramePr/>
        </xdr:nvGraphicFramePr>
        <xdr:xfrm>
          <a:off x="3686175" y="2997293"/>
          <a:ext cx="5777193" cy="2766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cxnSp macro="">
        <xdr:nvCxnSpPr>
          <xdr:cNvPr id="4" name="直接连接符 3"/>
          <xdr:cNvCxnSpPr/>
        </xdr:nvCxnSpPr>
        <xdr:spPr>
          <a:xfrm>
            <a:off x="4191000" y="4000500"/>
            <a:ext cx="3025588" cy="0"/>
          </a:xfrm>
          <a:prstGeom prst="line">
            <a:avLst/>
          </a:prstGeom>
          <a:ln w="6350">
            <a:solidFill>
              <a:schemeClr val="accent1"/>
            </a:solidFill>
            <a:prstDash val="dash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接连接符 5"/>
          <xdr:cNvCxnSpPr/>
        </xdr:nvCxnSpPr>
        <xdr:spPr>
          <a:xfrm flipV="1">
            <a:off x="5700591" y="4010803"/>
            <a:ext cx="0" cy="1450611"/>
          </a:xfrm>
          <a:prstGeom prst="line">
            <a:avLst/>
          </a:prstGeom>
          <a:ln w="6350">
            <a:solidFill>
              <a:schemeClr val="accent1"/>
            </a:solidFill>
            <a:prstDash val="dash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接连接符 9"/>
          <xdr:cNvCxnSpPr/>
        </xdr:nvCxnSpPr>
        <xdr:spPr>
          <a:xfrm flipV="1">
            <a:off x="7230407" y="4030017"/>
            <a:ext cx="0" cy="1460218"/>
          </a:xfrm>
          <a:prstGeom prst="line">
            <a:avLst/>
          </a:prstGeom>
          <a:ln w="6350">
            <a:solidFill>
              <a:schemeClr val="accent1"/>
            </a:solidFill>
            <a:prstDash val="dash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ables/table1.xml><?xml version="1.0" encoding="utf-8"?>
<table xmlns="http://schemas.openxmlformats.org/spreadsheetml/2006/main" id="1" name="表1" displayName="表1" ref="A2:I6" totalsRowShown="0" headerRowDxfId="1373" headerRowBorderDxfId="1372" tableBorderDxfId="1371">
  <autoFilter ref="A2:I6"/>
  <tableColumns count="9">
    <tableColumn id="1" name="速度档次" dataDxfId="1370"/>
    <tableColumn id="2" name="带宽节省" dataDxfId="1369"/>
    <tableColumn id="3" name="加速" dataDxfId="1368"/>
    <tableColumn id="4" name="带宽节省2" dataDxfId="1367"/>
    <tableColumn id="5" name="加速3" dataDxfId="1366"/>
    <tableColumn id="6" name="带宽节省4" dataDxfId="1365"/>
    <tableColumn id="7" name="加速5" dataDxfId="1364"/>
    <tableColumn id="8" name="带宽节省6" dataDxfId="1363"/>
    <tableColumn id="9" name="加速7" dataDxfId="1362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0" t="s">
        <v>23</v>
      </c>
      <c r="C2" s="51"/>
      <c r="D2" s="51"/>
      <c r="E2" s="51"/>
      <c r="F2" s="51"/>
      <c r="G2" s="51"/>
      <c r="H2" s="5"/>
      <c r="I2" s="50" t="s">
        <v>24</v>
      </c>
      <c r="J2" s="51"/>
      <c r="K2" s="51"/>
      <c r="L2" s="51"/>
      <c r="M2" s="51"/>
      <c r="N2" s="51"/>
      <c r="P2" s="50" t="s">
        <v>7</v>
      </c>
      <c r="Q2" s="51"/>
      <c r="R2" s="52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0" t="s">
        <v>24</v>
      </c>
      <c r="C48" s="51"/>
      <c r="D48" s="51"/>
      <c r="E48" s="51"/>
      <c r="F48" s="51"/>
      <c r="G48" s="51"/>
      <c r="H48" s="5"/>
      <c r="I48" s="50" t="s">
        <v>26</v>
      </c>
      <c r="J48" s="51"/>
      <c r="K48" s="51"/>
      <c r="L48" s="51"/>
      <c r="M48" s="51"/>
      <c r="N48" s="51"/>
      <c r="P48" s="50" t="s">
        <v>7</v>
      </c>
      <c r="Q48" s="51"/>
      <c r="R48" s="52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0" t="s">
        <v>24</v>
      </c>
      <c r="C92" s="51"/>
      <c r="D92" s="51"/>
      <c r="E92" s="51"/>
      <c r="F92" s="51"/>
      <c r="G92" s="51"/>
      <c r="H92" s="5"/>
      <c r="I92" s="50" t="s">
        <v>27</v>
      </c>
      <c r="J92" s="51"/>
      <c r="K92" s="51"/>
      <c r="L92" s="51"/>
      <c r="M92" s="51"/>
      <c r="N92" s="51"/>
      <c r="P92" s="50" t="s">
        <v>7</v>
      </c>
      <c r="Q92" s="51"/>
      <c r="R92" s="52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0" t="s">
        <v>24</v>
      </c>
      <c r="C136" s="51"/>
      <c r="D136" s="51"/>
      <c r="E136" s="51"/>
      <c r="F136" s="51"/>
      <c r="G136" s="51"/>
      <c r="H136" s="5"/>
      <c r="I136" s="50" t="s">
        <v>28</v>
      </c>
      <c r="J136" s="51"/>
      <c r="K136" s="51"/>
      <c r="L136" s="51"/>
      <c r="M136" s="51"/>
      <c r="N136" s="51"/>
      <c r="P136" s="50" t="s">
        <v>7</v>
      </c>
      <c r="Q136" s="51"/>
      <c r="R136" s="52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1375" priority="21" operator="greaterThan">
      <formula>0.03</formula>
    </cfRule>
    <cfRule type="cellIs" dxfId="1374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4"/>
  <sheetViews>
    <sheetView tabSelected="1" zoomScale="85" zoomScaleNormal="85" workbookViewId="0">
      <selection activeCell="P14" sqref="P14"/>
    </sheetView>
  </sheetViews>
  <sheetFormatPr defaultRowHeight="15.75" x14ac:dyDescent="0.25"/>
  <cols>
    <col min="1" max="1" width="11.25" customWidth="1"/>
    <col min="2" max="2" width="10.25" customWidth="1"/>
    <col min="3" max="3" width="6.875" customWidth="1"/>
    <col min="4" max="4" width="9.375" customWidth="1"/>
    <col min="5" max="5" width="7" customWidth="1"/>
    <col min="6" max="6" width="8.875" customWidth="1"/>
    <col min="7" max="7" width="13.125" customWidth="1"/>
    <col min="8" max="8" width="9.375" customWidth="1"/>
    <col min="9" max="9" width="8.25" customWidth="1"/>
  </cols>
  <sheetData>
    <row r="1" spans="1:14" ht="15.75" customHeight="1" x14ac:dyDescent="0.25">
      <c r="A1" s="45"/>
      <c r="B1" s="53" t="s">
        <v>158</v>
      </c>
      <c r="C1" s="54"/>
      <c r="D1" s="53" t="s">
        <v>159</v>
      </c>
      <c r="E1" s="54"/>
      <c r="F1" s="53" t="s">
        <v>173</v>
      </c>
      <c r="G1" s="54"/>
      <c r="H1" s="53" t="s">
        <v>174</v>
      </c>
      <c r="I1" s="54"/>
    </row>
    <row r="2" spans="1:14" s="46" customFormat="1" ht="14.25" customHeight="1" thickBot="1" x14ac:dyDescent="0.3">
      <c r="A2" s="48" t="s">
        <v>164</v>
      </c>
      <c r="B2" s="47" t="s">
        <v>165</v>
      </c>
      <c r="C2" s="47" t="s">
        <v>166</v>
      </c>
      <c r="D2" s="47" t="s">
        <v>167</v>
      </c>
      <c r="E2" s="47" t="s">
        <v>168</v>
      </c>
      <c r="F2" s="47" t="s">
        <v>169</v>
      </c>
      <c r="G2" s="47" t="s">
        <v>170</v>
      </c>
      <c r="H2" s="47" t="s">
        <v>171</v>
      </c>
      <c r="I2" s="47" t="s">
        <v>172</v>
      </c>
    </row>
    <row r="3" spans="1:14" ht="16.5" thickBot="1" x14ac:dyDescent="0.3">
      <c r="A3" s="49" t="s">
        <v>160</v>
      </c>
      <c r="B3" s="42">
        <f>-'Summary-detail'!F16</f>
        <v>0.47109649691843464</v>
      </c>
      <c r="C3" s="42">
        <f>'Summary-detail'!G16</f>
        <v>-9.7959757624770438E-2</v>
      </c>
      <c r="D3" s="42">
        <f>-'Summary-detail'!O16</f>
        <v>0.28597452831169123</v>
      </c>
      <c r="E3" s="42">
        <f>'Summary-detail'!P16</f>
        <v>1.235270768220275</v>
      </c>
      <c r="F3" s="42">
        <f>-'Summary-detail'!X16</f>
        <v>0.36452138743787177</v>
      </c>
      <c r="G3" s="42">
        <f>'Summary-detail'!Y16</f>
        <v>1.1104068038476933</v>
      </c>
      <c r="H3" s="42">
        <f>-'Summary-detail'!AG9</f>
        <v>-6.6424141849361892E-2</v>
      </c>
      <c r="I3" s="42">
        <f>'Summary-detail'!AH9</f>
        <v>0.79286331679985611</v>
      </c>
    </row>
    <row r="4" spans="1:14" ht="16.5" thickBot="1" x14ac:dyDescent="0.3">
      <c r="A4" s="49" t="s">
        <v>161</v>
      </c>
      <c r="B4" s="43">
        <f>-'Summary-detail'!F32</f>
        <v>0.44982094864080585</v>
      </c>
      <c r="C4" s="43">
        <f>'Summary-detail'!G32</f>
        <v>2.3250934783351163E-2</v>
      </c>
      <c r="D4" s="43">
        <f>-'Summary-detail'!O32</f>
        <v>0.34210797190682757</v>
      </c>
      <c r="E4" s="43">
        <f>'Summary-detail'!P32</f>
        <v>0.84386276275566841</v>
      </c>
      <c r="F4" s="44">
        <f>-'Summary-detail'!X32</f>
        <v>0.41084573421489035</v>
      </c>
      <c r="G4" s="43">
        <f>'Summary-detail'!Y32</f>
        <v>0.73474703987918721</v>
      </c>
      <c r="H4" s="44">
        <f>-'Summary-detail'!AG18</f>
        <v>1.61235809241475E-2</v>
      </c>
      <c r="I4" s="43">
        <f>'Summary-detail'!AH18</f>
        <v>0.35057279052729878</v>
      </c>
    </row>
    <row r="5" spans="1:14" ht="16.5" thickBot="1" x14ac:dyDescent="0.3">
      <c r="A5" s="49" t="s">
        <v>162</v>
      </c>
      <c r="B5" s="43">
        <f>-'Summary-detail'!F48</f>
        <v>0.37875451672736499</v>
      </c>
      <c r="C5" s="43">
        <f>'Summary-detail'!G48</f>
        <v>-4.9592686171011452E-2</v>
      </c>
      <c r="D5" s="43">
        <f>-'Summary-detail'!O48</f>
        <v>0.11774267368748867</v>
      </c>
      <c r="E5" s="43">
        <f>'Summary-detail'!P48</f>
        <v>1.9907334149832159</v>
      </c>
      <c r="F5" s="43">
        <f>-'Summary-detail'!X48</f>
        <v>0.1984413504274474</v>
      </c>
      <c r="G5" s="43">
        <f>'Summary-detail'!Y48</f>
        <v>3.0015105990813327</v>
      </c>
      <c r="H5" s="43">
        <f>-'Summary-detail'!AG27</f>
        <v>0.15700642329650896</v>
      </c>
      <c r="I5" s="43">
        <f>'Summary-detail'!AH27</f>
        <v>-0.29142017835244244</v>
      </c>
    </row>
    <row r="6" spans="1:14" ht="16.5" thickBot="1" x14ac:dyDescent="0.3">
      <c r="A6" s="49" t="s">
        <v>163</v>
      </c>
      <c r="B6" s="43">
        <f>-'Summary-detail'!F57</f>
        <v>0.35752489858765257</v>
      </c>
      <c r="C6" s="43">
        <f>'Summary-detail'!G57</f>
        <v>0.84001212765816025</v>
      </c>
      <c r="D6" s="43">
        <f>-'Summary-detail'!O57</f>
        <v>0.10209009426125656</v>
      </c>
      <c r="E6" s="43">
        <f>'Summary-detail'!P57</f>
        <v>0.86498896504716327</v>
      </c>
      <c r="F6" s="43">
        <f>-'Summary-detail'!X57</f>
        <v>6.940381712360344E-2</v>
      </c>
      <c r="G6" s="43">
        <f>'Summary-detail'!Y57</f>
        <v>10.159130238016811</v>
      </c>
      <c r="H6" s="43">
        <f>-'Summary-detail'!AG36</f>
        <v>6.0192444966691128E-2</v>
      </c>
      <c r="I6" s="43">
        <f>'Summary-detail'!AH36</f>
        <v>-0.35393916597691572</v>
      </c>
    </row>
    <row r="10" spans="1:14" ht="16.5" thickBot="1" x14ac:dyDescent="0.3"/>
    <row r="11" spans="1:14" x14ac:dyDescent="0.25">
      <c r="B11" s="15">
        <f>X264vsQY265_offline_superfast!C81</f>
        <v>1644.78</v>
      </c>
      <c r="C11" s="16">
        <f>X264vsQY265_offline_superfast!D81</f>
        <v>41.554000000000002</v>
      </c>
      <c r="D11" s="16">
        <f>X264vsQY265_offline_superfast!E81</f>
        <v>46.472000000000001</v>
      </c>
      <c r="E11" s="16">
        <f>X264vsQY265_offline_superfast!F81</f>
        <v>48.368000000000002</v>
      </c>
      <c r="F11" s="16">
        <f>X264vsQY265_offline_superfast!G81</f>
        <v>121.72</v>
      </c>
      <c r="G11" s="16">
        <f>X264vsQY265_offline_superfast!H81</f>
        <v>43.020499999999998</v>
      </c>
      <c r="H11" s="5">
        <f>X264vsQY265_offline_superfast!I81</f>
        <v>0</v>
      </c>
      <c r="I11" s="15">
        <f>X264vsQY265_offline_superfast!J81</f>
        <v>1297.1221</v>
      </c>
      <c r="J11" s="16">
        <f>X264vsQY265_offline_superfast!K81</f>
        <v>42.944200000000002</v>
      </c>
      <c r="K11" s="16">
        <f>X264vsQY265_offline_superfast!L81</f>
        <v>48.268700000000003</v>
      </c>
      <c r="L11" s="16">
        <f>X264vsQY265_offline_superfast!M81</f>
        <v>49.5762</v>
      </c>
      <c r="M11" s="16">
        <f>X264vsQY265_offline_superfast!N81</f>
        <v>87.809200000000004</v>
      </c>
      <c r="N11" s="16">
        <f>X264vsQY265_offline_superfast!O81</f>
        <v>44.43876250000001</v>
      </c>
    </row>
    <row r="12" spans="1:14" x14ac:dyDescent="0.25">
      <c r="B12" s="17">
        <f>X264vsQY265_offline_superfast!C82</f>
        <v>1104.1199999999999</v>
      </c>
      <c r="C12" s="18">
        <f>X264vsQY265_offline_superfast!D82</f>
        <v>39.186</v>
      </c>
      <c r="D12" s="18">
        <f>X264vsQY265_offline_superfast!E82</f>
        <v>45.085999999999999</v>
      </c>
      <c r="E12" s="18">
        <f>X264vsQY265_offline_superfast!F82</f>
        <v>47.097000000000001</v>
      </c>
      <c r="F12" s="18">
        <f>X264vsQY265_offline_superfast!G82</f>
        <v>131.27000000000001</v>
      </c>
      <c r="G12" s="18">
        <f>X264vsQY265_offline_superfast!H82</f>
        <v>40.912374999999997</v>
      </c>
      <c r="H12" s="5">
        <f>X264vsQY265_offline_superfast!I82</f>
        <v>0</v>
      </c>
      <c r="I12" s="17">
        <f>X264vsQY265_offline_superfast!J82</f>
        <v>894.16160000000002</v>
      </c>
      <c r="J12" s="18">
        <f>X264vsQY265_offline_superfast!K82</f>
        <v>41.520099999999999</v>
      </c>
      <c r="K12" s="18">
        <f>X264vsQY265_offline_superfast!L82</f>
        <v>47.692399999999999</v>
      </c>
      <c r="L12" s="18">
        <f>X264vsQY265_offline_superfast!M82</f>
        <v>48.504600000000003</v>
      </c>
      <c r="M12" s="18">
        <f>X264vsQY265_offline_superfast!N82</f>
        <v>103.02200000000001</v>
      </c>
      <c r="N12" s="18">
        <f>X264vsQY265_offline_superfast!O82</f>
        <v>43.164699999999996</v>
      </c>
    </row>
    <row r="13" spans="1:14" x14ac:dyDescent="0.25">
      <c r="B13" s="17">
        <f>X264vsQY265_offline_superfast!C83</f>
        <v>673.66</v>
      </c>
      <c r="C13" s="18">
        <f>X264vsQY265_offline_superfast!D83</f>
        <v>36.491999999999997</v>
      </c>
      <c r="D13" s="18">
        <f>X264vsQY265_offline_superfast!E83</f>
        <v>43.59</v>
      </c>
      <c r="E13" s="18">
        <f>X264vsQY265_offline_superfast!F83</f>
        <v>45.514000000000003</v>
      </c>
      <c r="F13" s="18">
        <f>X264vsQY265_offline_superfast!G83</f>
        <v>137.21</v>
      </c>
      <c r="G13" s="18">
        <f>X264vsQY265_offline_superfast!H83</f>
        <v>38.507000000000005</v>
      </c>
      <c r="H13" s="5">
        <f>X264vsQY265_offline_superfast!I83</f>
        <v>0</v>
      </c>
      <c r="I13" s="17">
        <f>X264vsQY265_offline_superfast!J83</f>
        <v>554.78809999999999</v>
      </c>
      <c r="J13" s="18">
        <f>X264vsQY265_offline_superfast!K83</f>
        <v>39.314</v>
      </c>
      <c r="K13" s="18">
        <f>X264vsQY265_offline_superfast!L83</f>
        <v>45.173499999999997</v>
      </c>
      <c r="L13" s="18">
        <f>X264vsQY265_offline_superfast!M83</f>
        <v>46.970999999999997</v>
      </c>
      <c r="M13" s="18">
        <f>X264vsQY265_offline_superfast!N83</f>
        <v>124.602</v>
      </c>
      <c r="N13" s="18">
        <f>X264vsQY265_offline_superfast!O83</f>
        <v>41.003562500000001</v>
      </c>
    </row>
    <row r="14" spans="1:14" ht="16.5" thickBot="1" x14ac:dyDescent="0.3">
      <c r="B14" s="19">
        <f>X264vsQY265_offline_superfast!C84</f>
        <v>320.23</v>
      </c>
      <c r="C14" s="20">
        <f>X264vsQY265_offline_superfast!D84</f>
        <v>32.174999999999997</v>
      </c>
      <c r="D14" s="20">
        <f>X264vsQY265_offline_superfast!E84</f>
        <v>41.698</v>
      </c>
      <c r="E14" s="20">
        <f>X264vsQY265_offline_superfast!F84</f>
        <v>43.457000000000001</v>
      </c>
      <c r="F14" s="20">
        <f>X264vsQY265_offline_superfast!G84</f>
        <v>153.63999999999999</v>
      </c>
      <c r="G14" s="20">
        <f>X264vsQY265_offline_superfast!H84</f>
        <v>34.775624999999998</v>
      </c>
      <c r="H14" s="5">
        <f>X264vsQY265_offline_superfast!I84</f>
        <v>0</v>
      </c>
      <c r="I14" s="19">
        <f>X264vsQY265_offline_superfast!J84</f>
        <v>287.1952</v>
      </c>
      <c r="J14" s="20">
        <f>X264vsQY265_offline_superfast!K84</f>
        <v>36.445799999999998</v>
      </c>
      <c r="K14" s="20">
        <f>X264vsQY265_offline_superfast!L84</f>
        <v>43.585299999999997</v>
      </c>
      <c r="L14" s="20">
        <f>X264vsQY265_offline_superfast!M84</f>
        <v>44.997100000000003</v>
      </c>
      <c r="M14" s="20">
        <f>X264vsQY265_offline_superfast!N84</f>
        <v>162.0454</v>
      </c>
      <c r="N14" s="20">
        <f>X264vsQY265_offline_superfast!O84</f>
        <v>38.407150000000001</v>
      </c>
    </row>
  </sheetData>
  <mergeCells count="4">
    <mergeCell ref="B1:C1"/>
    <mergeCell ref="D1:E1"/>
    <mergeCell ref="F1:G1"/>
    <mergeCell ref="H1:I1"/>
  </mergeCells>
  <phoneticPr fontId="5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57"/>
  <sheetViews>
    <sheetView zoomScale="85" zoomScaleNormal="85" workbookViewId="0">
      <selection activeCell="S3" sqref="A3:S16"/>
    </sheetView>
  </sheetViews>
  <sheetFormatPr defaultRowHeight="15.75" x14ac:dyDescent="0.25"/>
  <cols>
    <col min="1" max="1" width="11" bestFit="1" customWidth="1"/>
    <col min="2" max="2" width="12.125" bestFit="1" customWidth="1"/>
    <col min="3" max="3" width="10.25" bestFit="1" customWidth="1"/>
    <col min="4" max="4" width="10.625" bestFit="1" customWidth="1"/>
    <col min="5" max="5" width="10.375" bestFit="1" customWidth="1"/>
    <col min="6" max="6" width="13.125" bestFit="1" customWidth="1"/>
    <col min="7" max="7" width="9.625" bestFit="1" customWidth="1"/>
    <col min="8" max="8" width="9.625" customWidth="1"/>
    <col min="10" max="10" width="11" bestFit="1" customWidth="1"/>
    <col min="11" max="11" width="12.125" bestFit="1" customWidth="1"/>
    <col min="12" max="12" width="10.25" bestFit="1" customWidth="1"/>
    <col min="13" max="13" width="10.625" bestFit="1" customWidth="1"/>
    <col min="14" max="14" width="10.375" bestFit="1" customWidth="1"/>
    <col min="15" max="15" width="13.125" bestFit="1" customWidth="1"/>
    <col min="16" max="16" width="9.625" bestFit="1" customWidth="1"/>
    <col min="19" max="19" width="10.25" bestFit="1" customWidth="1"/>
    <col min="20" max="20" width="12.125" bestFit="1" customWidth="1"/>
    <col min="21" max="21" width="10.25" bestFit="1" customWidth="1"/>
    <col min="22" max="22" width="10.625" bestFit="1" customWidth="1"/>
    <col min="23" max="23" width="10.375" bestFit="1" customWidth="1"/>
    <col min="24" max="24" width="13.125" bestFit="1" customWidth="1"/>
    <col min="25" max="25" width="9.625" bestFit="1" customWidth="1"/>
    <col min="28" max="28" width="10.25" bestFit="1" customWidth="1"/>
    <col min="29" max="29" width="12.125" bestFit="1" customWidth="1"/>
    <col min="30" max="30" width="10.25" bestFit="1" customWidth="1"/>
    <col min="31" max="31" width="10.625" bestFit="1" customWidth="1"/>
    <col min="32" max="32" width="10.375" bestFit="1" customWidth="1"/>
    <col min="33" max="33" width="13.125" bestFit="1" customWidth="1"/>
    <col min="34" max="34" width="9.625" bestFit="1" customWidth="1"/>
  </cols>
  <sheetData>
    <row r="1" spans="1:34" ht="16.5" thickBot="1" x14ac:dyDescent="0.3">
      <c r="A1" s="55" t="s">
        <v>134</v>
      </c>
      <c r="B1" s="56"/>
      <c r="C1" s="56"/>
      <c r="D1" s="56"/>
      <c r="E1" s="56"/>
      <c r="F1" s="56"/>
      <c r="G1" s="57"/>
      <c r="H1" s="40"/>
      <c r="J1" s="55" t="s">
        <v>220</v>
      </c>
      <c r="K1" s="56"/>
      <c r="L1" s="56"/>
      <c r="M1" s="56"/>
      <c r="N1" s="56"/>
      <c r="O1" s="56"/>
      <c r="P1" s="57"/>
      <c r="S1" s="55" t="s">
        <v>135</v>
      </c>
      <c r="T1" s="56"/>
      <c r="U1" s="56"/>
      <c r="V1" s="56"/>
      <c r="W1" s="56"/>
      <c r="X1" s="56"/>
      <c r="Y1" s="57"/>
      <c r="AB1" s="55" t="s">
        <v>157</v>
      </c>
      <c r="AC1" s="56"/>
      <c r="AD1" s="56"/>
      <c r="AE1" s="56"/>
      <c r="AF1" s="56"/>
      <c r="AG1" s="56"/>
      <c r="AH1" s="57"/>
    </row>
    <row r="2" spans="1:34" ht="16.5" thickBot="1" x14ac:dyDescent="0.3">
      <c r="A2" s="37" t="s">
        <v>73</v>
      </c>
      <c r="B2" s="37" t="s">
        <v>72</v>
      </c>
      <c r="C2" s="37" t="s">
        <v>68</v>
      </c>
      <c r="D2" s="37" t="s">
        <v>69</v>
      </c>
      <c r="E2" s="37" t="s">
        <v>70</v>
      </c>
      <c r="F2" s="37" t="s">
        <v>71</v>
      </c>
      <c r="G2" s="37" t="s">
        <v>74</v>
      </c>
      <c r="H2" s="40"/>
      <c r="J2" s="37" t="s">
        <v>73</v>
      </c>
      <c r="K2" s="37" t="s">
        <v>72</v>
      </c>
      <c r="L2" s="37" t="s">
        <v>68</v>
      </c>
      <c r="M2" s="37" t="s">
        <v>69</v>
      </c>
      <c r="N2" s="37" t="s">
        <v>70</v>
      </c>
      <c r="O2" s="37" t="s">
        <v>71</v>
      </c>
      <c r="P2" s="37" t="s">
        <v>74</v>
      </c>
      <c r="S2" s="37" t="s">
        <v>124</v>
      </c>
      <c r="T2" s="37" t="s">
        <v>72</v>
      </c>
      <c r="U2" s="37" t="s">
        <v>68</v>
      </c>
      <c r="V2" s="37" t="s">
        <v>69</v>
      </c>
      <c r="W2" s="37" t="s">
        <v>70</v>
      </c>
      <c r="X2" s="37" t="s">
        <v>71</v>
      </c>
      <c r="Y2" s="37" t="s">
        <v>74</v>
      </c>
      <c r="AB2" s="37" t="s">
        <v>124</v>
      </c>
      <c r="AC2" s="37" t="s">
        <v>72</v>
      </c>
      <c r="AD2" s="37" t="s">
        <v>68</v>
      </c>
      <c r="AE2" s="37" t="s">
        <v>69</v>
      </c>
      <c r="AF2" s="37" t="s">
        <v>70</v>
      </c>
      <c r="AG2" s="37" t="s">
        <v>71</v>
      </c>
      <c r="AH2" s="37" t="s">
        <v>74</v>
      </c>
    </row>
    <row r="3" spans="1:34" ht="16.5" thickBot="1" x14ac:dyDescent="0.3">
      <c r="A3" s="58">
        <v>1</v>
      </c>
      <c r="B3" s="37" t="s">
        <v>35</v>
      </c>
      <c r="C3" s="38">
        <f>AVERAGE(X264vsQY265_offline_superfast!Q9:Q16)</f>
        <v>-0.45796445584384604</v>
      </c>
      <c r="D3" s="38">
        <f>AVERAGE(X264vsQY265_offline_superfast!R9:R16)</f>
        <v>-0.56039405189378144</v>
      </c>
      <c r="E3" s="38">
        <f>AVERAGE(X264vsQY265_offline_superfast!S9:S16)</f>
        <v>-0.61983090554340481</v>
      </c>
      <c r="F3" s="38">
        <f>AVERAGE(X264vsQY265_offline_superfast!T9:T16)</f>
        <v>-0.47709389955078363</v>
      </c>
      <c r="G3" s="39">
        <f>AVERAGE(X264vsQY265_offline_superfast!U9:U16)</f>
        <v>-0.16481523274719681</v>
      </c>
      <c r="H3" s="40"/>
      <c r="J3" s="58">
        <v>1</v>
      </c>
      <c r="K3" s="37" t="s">
        <v>35</v>
      </c>
      <c r="L3" s="38">
        <f>AVERAGE('X265 ultrafast svsQY265_superfa'!Q9:Q16)</f>
        <v>-0.1044391645267404</v>
      </c>
      <c r="M3" s="38">
        <f>AVERAGE('X265 ultrafast svsQY265_superfa'!R9:R16)</f>
        <v>-0.44164400252982727</v>
      </c>
      <c r="N3" s="38">
        <f>AVERAGE('X265 ultrafast svsQY265_superfa'!S9:S16)</f>
        <v>-0.43993568752280515</v>
      </c>
      <c r="O3" s="38">
        <f>AVERAGE('X265 ultrafast svsQY265_superfa'!T9:T16)</f>
        <v>-0.15840507718824137</v>
      </c>
      <c r="P3" s="39">
        <f>AVERAGE('X265 ultrafast svsQY265_superfa'!U9:U16)</f>
        <v>1.3112871906698669</v>
      </c>
      <c r="S3" s="58">
        <v>1</v>
      </c>
      <c r="T3" s="37" t="s">
        <v>35</v>
      </c>
      <c r="U3" s="38">
        <f>AVERAGE(VP9vsQY265_offline_superfast!Q9:Q16)</f>
        <v>-0.28508840126605944</v>
      </c>
      <c r="V3" s="38">
        <f>AVERAGE(VP9vsQY265_offline_superfast!R9:R16)</f>
        <v>-0.47250421985040914</v>
      </c>
      <c r="W3" s="38">
        <f>AVERAGE(VP9vsQY265_offline_superfast!S9:S16)</f>
        <v>-0.48944592713552382</v>
      </c>
      <c r="X3" s="38">
        <f>AVERAGE(VP9vsQY265_offline_superfast!T9:T16)</f>
        <v>-0.3183569223420098</v>
      </c>
      <c r="Y3" s="39">
        <f>AVERAGE(VP9vsQY265_offline_superfast!U9:U16)</f>
        <v>0.80820039986085401</v>
      </c>
      <c r="AB3" s="58" t="s">
        <v>75</v>
      </c>
      <c r="AC3" s="37" t="s">
        <v>35</v>
      </c>
      <c r="AD3" s="38">
        <f>AVERAGE(IntelvsQY265_offline_superfast!Q9:Q16)</f>
        <v>4.2278084781417147E-2</v>
      </c>
      <c r="AE3" s="38">
        <f>AVERAGE(IntelvsQY265_offline_superfast!R9:R16)</f>
        <v>-3.6716354851024313E-2</v>
      </c>
      <c r="AF3" s="38">
        <f>AVERAGE(IntelvsQY265_offline_superfast!S9:S16)</f>
        <v>-4.0325568340184581E-2</v>
      </c>
      <c r="AG3" s="38">
        <f>AVERAGE(IntelvsQY265_offline_superfast!T9:T16)</f>
        <v>3.1071295376447206E-2</v>
      </c>
      <c r="AH3" s="39">
        <f>AVERAGE(IntelvsQY265_offline_superfast!U9:U16)</f>
        <v>0.67174771499999997</v>
      </c>
    </row>
    <row r="4" spans="1:34" ht="16.5" thickBot="1" x14ac:dyDescent="0.3">
      <c r="A4" s="59"/>
      <c r="B4" s="37" t="s">
        <v>37</v>
      </c>
      <c r="C4" s="38">
        <f>AVERAGE(X264vsQY265_offline_superfast!Q17:Q36)</f>
        <v>-0.55342211732150803</v>
      </c>
      <c r="D4" s="38">
        <f>AVERAGE(X264vsQY265_offline_superfast!R17:R36)</f>
        <v>-0.60008781795687971</v>
      </c>
      <c r="E4" s="38">
        <f>AVERAGE(X264vsQY265_offline_superfast!S17:S36)</f>
        <v>-0.61362456631397522</v>
      </c>
      <c r="F4" s="38">
        <f>AVERAGE(X264vsQY265_offline_superfast!T17:T36)</f>
        <v>-0.5623712554414606</v>
      </c>
      <c r="G4" s="39">
        <f>AVERAGE(X264vsQY265_offline_superfast!U17:U36)</f>
        <v>2.9088216566944835E-2</v>
      </c>
      <c r="H4" s="40"/>
      <c r="J4" s="59"/>
      <c r="K4" s="37" t="s">
        <v>37</v>
      </c>
      <c r="L4" s="38">
        <f>AVERAGE('X265 ultrafast svsQY265_superfa'!Q17:Q36)</f>
        <v>-0.16948170232718179</v>
      </c>
      <c r="M4" s="38">
        <f>AVERAGE('X265 ultrafast svsQY265_superfa'!R17:R36)</f>
        <v>-0.42591395021629613</v>
      </c>
      <c r="N4" s="38">
        <f>AVERAGE('X265 ultrafast svsQY265_superfa'!S17:S36)</f>
        <v>-0.41669311598421288</v>
      </c>
      <c r="O4" s="38">
        <f>AVERAGE('X265 ultrafast svsQY265_superfa'!T17:T36)</f>
        <v>-0.21417658902683462</v>
      </c>
      <c r="P4" s="39">
        <f>AVERAGE('X265 ultrafast svsQY265_superfa'!U17:U36)</f>
        <v>1.6247154086291402</v>
      </c>
      <c r="S4" s="59"/>
      <c r="T4" s="37" t="s">
        <v>37</v>
      </c>
      <c r="U4" s="38">
        <f>AVERAGE(VP9vsQY265_offline_superfast!Q17:Q36)</f>
        <v>-0.42012391321769815</v>
      </c>
      <c r="V4" s="38">
        <f>AVERAGE(VP9vsQY265_offline_superfast!R17:R36)</f>
        <v>-0.50825250617973605</v>
      </c>
      <c r="W4" s="38">
        <f>AVERAGE(VP9vsQY265_offline_superfast!S17:S36)</f>
        <v>-0.52216509190998062</v>
      </c>
      <c r="X4" s="38">
        <f>AVERAGE(VP9vsQY265_offline_superfast!T17:T36)</f>
        <v>-0.44022438795873226</v>
      </c>
      <c r="Y4" s="39">
        <f>AVERAGE(VP9vsQY265_offline_superfast!U17:U36)</f>
        <v>1.0138353838666485</v>
      </c>
      <c r="AB4" s="59"/>
      <c r="AC4" s="37" t="s">
        <v>37</v>
      </c>
      <c r="AD4" s="38">
        <f>AVERAGE(IntelvsQY265_offline_superfast!Q17:Q36)</f>
        <v>6.7466113535069844E-2</v>
      </c>
      <c r="AE4" s="38">
        <f>AVERAGE(IntelvsQY265_offline_superfast!R17:R36)</f>
        <v>-8.3770877842062055E-4</v>
      </c>
      <c r="AF4" s="38">
        <f>AVERAGE(IntelvsQY265_offline_superfast!S17:S36)</f>
        <v>-1.863314872741164E-2</v>
      </c>
      <c r="AG4" s="38">
        <f>AVERAGE(IntelvsQY265_offline_superfast!T17:T36)</f>
        <v>5.5663741014474334E-2</v>
      </c>
      <c r="AH4" s="39">
        <f>AVERAGE(IntelvsQY265_offline_superfast!U17:U36)</f>
        <v>0.71073160514749978</v>
      </c>
    </row>
    <row r="5" spans="1:34" ht="16.5" thickBot="1" x14ac:dyDescent="0.3">
      <c r="A5" s="59"/>
      <c r="B5" s="37" t="s">
        <v>39</v>
      </c>
      <c r="C5" s="38">
        <f>AVERAGE(X264vsQY265_offline_superfast!Q37:Q52)</f>
        <v>-0.47085174708692301</v>
      </c>
      <c r="D5" s="38">
        <f>AVERAGE(X264vsQY265_offline_superfast!R37:R52)</f>
        <v>-0.56690510147328632</v>
      </c>
      <c r="E5" s="38">
        <f>AVERAGE(X264vsQY265_offline_superfast!S37:S52)</f>
        <v>-0.54617066640993939</v>
      </c>
      <c r="F5" s="38">
        <f>AVERAGE(X264vsQY265_offline_superfast!T37:T52)</f>
        <v>-0.48573240788309135</v>
      </c>
      <c r="G5" s="39">
        <f>AVERAGE(X264vsQY265_offline_superfast!U37:U52)</f>
        <v>-0.2821113700762265</v>
      </c>
      <c r="H5" s="40"/>
      <c r="J5" s="59"/>
      <c r="K5" s="37" t="s">
        <v>39</v>
      </c>
      <c r="L5" s="38">
        <f>AVERAGE('X265 ultrafast svsQY265_superfa'!Q37:Q52)</f>
        <v>-0.20715571367914234</v>
      </c>
      <c r="M5" s="38">
        <f>AVERAGE('X265 ultrafast svsQY265_superfa'!R37:R52)</f>
        <v>-0.41382701722262427</v>
      </c>
      <c r="N5" s="38">
        <f>AVERAGE('X265 ultrafast svsQY265_superfa'!S37:S52)</f>
        <v>-0.38825000235275198</v>
      </c>
      <c r="O5" s="38">
        <f>AVERAGE('X265 ultrafast svsQY265_superfa'!T37:T52)</f>
        <v>-0.24364554326905119</v>
      </c>
      <c r="P5" s="39">
        <f>AVERAGE('X265 ultrafast svsQY265_superfa'!U37:U52)</f>
        <v>1.7182681378806817</v>
      </c>
      <c r="S5" s="59"/>
      <c r="T5" s="37" t="s">
        <v>39</v>
      </c>
      <c r="U5" s="38">
        <f>AVERAGE(VP9vsQY265_offline_superfast!Q37:Q52)</f>
        <v>-0.33504029374336208</v>
      </c>
      <c r="V5" s="38">
        <f>AVERAGE(VP9vsQY265_offline_superfast!R37:R52)</f>
        <v>-0.48442479119505782</v>
      </c>
      <c r="W5" s="38">
        <f>AVERAGE(VP9vsQY265_offline_superfast!S37:S52)</f>
        <v>-0.48727134036425523</v>
      </c>
      <c r="X5" s="38">
        <f>AVERAGE(VP9vsQY265_offline_superfast!T37:T52)</f>
        <v>-0.3685537939544366</v>
      </c>
      <c r="Y5" s="39">
        <f>AVERAGE(VP9vsQY265_offline_superfast!U37:U52)</f>
        <v>0.58360951808243644</v>
      </c>
      <c r="AB5" s="59"/>
      <c r="AC5" s="37" t="s">
        <v>39</v>
      </c>
      <c r="AD5" s="38">
        <f>AVERAGE(IntelvsQY265_offline_superfast!Q37:Q52)</f>
        <v>6.8079346070757163E-2</v>
      </c>
      <c r="AE5" s="38">
        <f>AVERAGE(IntelvsQY265_offline_superfast!R37:R52)</f>
        <v>3.5893596754895118E-3</v>
      </c>
      <c r="AF5" s="38">
        <f>AVERAGE(IntelvsQY265_offline_superfast!S37:S52)</f>
        <v>1.0809602914834265E-2</v>
      </c>
      <c r="AG5" s="38">
        <f>AVERAGE(IntelvsQY265_offline_superfast!T37:T52)</f>
        <v>5.8554059346564935E-2</v>
      </c>
      <c r="AH5" s="39">
        <f>AVERAGE(IntelvsQY265_offline_superfast!U37:U52)</f>
        <v>0.88842267095208338</v>
      </c>
    </row>
    <row r="6" spans="1:34" ht="16.5" thickBot="1" x14ac:dyDescent="0.3">
      <c r="A6" s="59"/>
      <c r="B6" s="37" t="s">
        <v>41</v>
      </c>
      <c r="C6" s="38">
        <f>AVERAGE(X264vsQY265_offline_superfast!Q53:Q68)</f>
        <v>-0.415203062543265</v>
      </c>
      <c r="D6" s="38">
        <f>AVERAGE(X264vsQY265_offline_superfast!R53:R68)</f>
        <v>-0.5929549453485935</v>
      </c>
      <c r="E6" s="38">
        <f>AVERAGE(X264vsQY265_offline_superfast!S53:S68)</f>
        <v>-0.5797232997802233</v>
      </c>
      <c r="F6" s="38">
        <f>AVERAGE(X264vsQY265_offline_superfast!T53:T68)</f>
        <v>-0.44629116980292494</v>
      </c>
      <c r="G6" s="39">
        <f>AVERAGE(X264vsQY265_offline_superfast!U53:U68)</f>
        <v>-0.43013775314479769</v>
      </c>
      <c r="H6" s="40"/>
      <c r="J6" s="59"/>
      <c r="K6" s="37" t="s">
        <v>41</v>
      </c>
      <c r="L6" s="38">
        <f>AVERAGE('X265 ultrafast svsQY265_superfa'!Q53:Q68)</f>
        <v>-0.26119350885974746</v>
      </c>
      <c r="M6" s="38">
        <f>AVERAGE('X265 ultrafast svsQY265_superfa'!R53:R68)</f>
        <v>-0.44614737934092119</v>
      </c>
      <c r="N6" s="38">
        <f>AVERAGE('X265 ultrafast svsQY265_superfa'!S53:S68)</f>
        <v>-0.43633497173435526</v>
      </c>
      <c r="O6" s="38">
        <f>AVERAGE('X265 ultrafast svsQY265_superfa'!T53:T68)</f>
        <v>-0.29586692949066562</v>
      </c>
      <c r="P6" s="39">
        <f>AVERAGE('X265 ultrafast svsQY265_superfa'!U53:U68)</f>
        <v>1.420109198470989</v>
      </c>
      <c r="S6" s="59"/>
      <c r="T6" s="37" t="s">
        <v>41</v>
      </c>
      <c r="U6" s="38">
        <f>AVERAGE(VP9vsQY265_offline_superfast!Q53:Q68)</f>
        <v>-0.37540256055355958</v>
      </c>
      <c r="V6" s="38">
        <f>AVERAGE(VP9vsQY265_offline_superfast!R53:R68)</f>
        <v>-0.44826750750654015</v>
      </c>
      <c r="W6" s="38">
        <f>AVERAGE(VP9vsQY265_offline_superfast!S53:S68)</f>
        <v>-0.48318272509183435</v>
      </c>
      <c r="X6" s="38">
        <f>AVERAGE(VP9vsQY265_offline_superfast!T53:T68)</f>
        <v>-0.40061520117825955</v>
      </c>
      <c r="Y6" s="39">
        <f>AVERAGE(VP9vsQY265_offline_superfast!U53:U68)</f>
        <v>0.52391306113750991</v>
      </c>
      <c r="AB6" s="59"/>
      <c r="AC6" s="37" t="s">
        <v>41</v>
      </c>
      <c r="AD6" s="38">
        <f>AVERAGE(IntelvsQY265_offline_superfast!Q53:Q68)</f>
        <v>0.10137307383206035</v>
      </c>
      <c r="AE6" s="38">
        <f>AVERAGE(IntelvsQY265_offline_superfast!R53:R68)</f>
        <v>1.4223278124132932E-2</v>
      </c>
      <c r="AF6" s="38">
        <f>AVERAGE(IntelvsQY265_offline_superfast!S53:S68)</f>
        <v>2.2536145303182903E-2</v>
      </c>
      <c r="AG6" s="38">
        <f>AVERAGE(IntelvsQY265_offline_superfast!T53:T68)</f>
        <v>8.7493759787327208E-2</v>
      </c>
      <c r="AH6" s="39">
        <f>AVERAGE(IntelvsQY265_offline_superfast!U53:U68)</f>
        <v>1.7691844393708334</v>
      </c>
    </row>
    <row r="7" spans="1:34" ht="16.5" thickBot="1" x14ac:dyDescent="0.3">
      <c r="A7" s="59"/>
      <c r="B7" s="37" t="s">
        <v>43</v>
      </c>
      <c r="C7" s="38">
        <f>AVERAGE(X264vsQY265_offline_superfast!Q69:Q80)</f>
        <v>-0.52518594925579276</v>
      </c>
      <c r="D7" s="38">
        <f>AVERAGE(X264vsQY265_offline_superfast!R69:R80)</f>
        <v>-0.6491883968440475</v>
      </c>
      <c r="E7" s="38">
        <f>AVERAGE(X264vsQY265_offline_superfast!S69:S80)</f>
        <v>-0.64447550830991307</v>
      </c>
      <c r="F7" s="38">
        <f>AVERAGE(X264vsQY265_offline_superfast!T69:T80)</f>
        <v>-0.5543214509347083</v>
      </c>
      <c r="G7" s="39">
        <f>AVERAGE(X264vsQY265_offline_superfast!U69:U80)</f>
        <v>3.6895299653570572E-2</v>
      </c>
      <c r="H7" s="40"/>
      <c r="J7" s="59"/>
      <c r="K7" s="37" t="s">
        <v>43</v>
      </c>
      <c r="L7" s="38">
        <f>AVERAGE('X265 ultrafast svsQY265_superfa'!Q69:Q80)</f>
        <v>-0.33302435441777151</v>
      </c>
      <c r="M7" s="38">
        <f>AVERAGE('X265 ultrafast svsQY265_superfa'!R69:R80)</f>
        <v>-0.42961843699696817</v>
      </c>
      <c r="N7" s="38">
        <f>AVERAGE('X265 ultrafast svsQY265_superfa'!S69:S80)</f>
        <v>-0.41173892548981028</v>
      </c>
      <c r="O7" s="38">
        <f>AVERAGE('X265 ultrafast svsQY265_superfa'!T69:T80)</f>
        <v>-0.35202085302804192</v>
      </c>
      <c r="P7" s="39">
        <f>AVERAGE('X265 ultrafast svsQY265_superfa'!U69:U80)</f>
        <v>1.7530291143062451</v>
      </c>
      <c r="S7" s="59"/>
      <c r="T7" s="37" t="s">
        <v>43</v>
      </c>
      <c r="U7" s="38">
        <f>AVERAGE(VP9vsQY265_offline_superfast!Q69:Q80)</f>
        <v>-0.42843286707382061</v>
      </c>
      <c r="V7" s="38">
        <f>AVERAGE(VP9vsQY265_offline_superfast!R69:R80)</f>
        <v>-0.31782146227393732</v>
      </c>
      <c r="W7" s="38">
        <f>AVERAGE(VP9vsQY265_offline_superfast!S69:S80)</f>
        <v>-0.30893725906062225</v>
      </c>
      <c r="X7" s="38">
        <f>AVERAGE(VP9vsQY265_offline_superfast!T69:T80)</f>
        <v>-0.40505553436234143</v>
      </c>
      <c r="Y7" s="39">
        <f>AVERAGE(VP9vsQY265_offline_superfast!U69:U80)</f>
        <v>0.98256693625938485</v>
      </c>
      <c r="AB7" s="59"/>
      <c r="AC7" s="37" t="s">
        <v>43</v>
      </c>
      <c r="AD7" s="38">
        <f>AVERAGE(IntelvsQY265_offline_superfast!Q69:Q80)</f>
        <v>-3.4029628923750131E-2</v>
      </c>
      <c r="AE7" s="38">
        <f>AVERAGE(IntelvsQY265_offline_superfast!R69:R80)</f>
        <v>-0.18324178610502365</v>
      </c>
      <c r="AF7" s="38">
        <f>AVERAGE(IntelvsQY265_offline_superfast!S69:S80)</f>
        <v>-0.19954676562424278</v>
      </c>
      <c r="AG7" s="38">
        <f>AVERAGE(IntelvsQY265_offline_superfast!T69:T80)</f>
        <v>-7.1515362620539147E-2</v>
      </c>
      <c r="AH7" s="39">
        <f>AVERAGE(IntelvsQY265_offline_superfast!U69:U80)</f>
        <v>0.36953678172222221</v>
      </c>
    </row>
    <row r="8" spans="1:34" ht="16.5" thickBot="1" x14ac:dyDescent="0.3">
      <c r="A8" s="59"/>
      <c r="B8" s="41" t="s">
        <v>111</v>
      </c>
      <c r="C8" s="38">
        <f>AVERAGE(X264vsQY265_offline_superfast!Q81:Q124)</f>
        <v>-0.42716640303891645</v>
      </c>
      <c r="D8" s="38">
        <f>AVERAGE(X264vsQY265_offline_superfast!R81:R124)</f>
        <v>-0.46523800025698142</v>
      </c>
      <c r="E8" s="38">
        <f>AVERAGE(X264vsQY265_offline_superfast!S81:S124)</f>
        <v>-0.44916233369314751</v>
      </c>
      <c r="F8" s="38">
        <f>AVERAGE(X264vsQY265_offline_superfast!T81:T124)</f>
        <v>-0.43572686996137738</v>
      </c>
      <c r="G8" s="39">
        <f>AVERAGE(X264vsQY265_offline_superfast!U81:U124)</f>
        <v>-0.11685523244234375</v>
      </c>
      <c r="H8" s="40"/>
      <c r="J8" s="59"/>
      <c r="K8" s="41" t="s">
        <v>111</v>
      </c>
      <c r="L8" s="38">
        <f>AVERAGE('X265 ultrafast svsQY265_superfa'!Q81:Q124)</f>
        <v>-0.26574884795562403</v>
      </c>
      <c r="M8" s="38">
        <f>AVERAGE('X265 ultrafast svsQY265_superfa'!R81:R124)</f>
        <v>-0.37431834023990729</v>
      </c>
      <c r="N8" s="38">
        <f>AVERAGE('X265 ultrafast svsQY265_superfa'!S81:S124)</f>
        <v>-0.37347863020678812</v>
      </c>
      <c r="O8" s="38">
        <f>AVERAGE('X265 ultrafast svsQY265_superfa'!T81:T124)</f>
        <v>-0.28925614510124559</v>
      </c>
      <c r="P8" s="39">
        <f>AVERAGE('X265 ultrafast svsQY265_superfa'!U81:U124)</f>
        <v>1.6120166414061559</v>
      </c>
      <c r="S8" s="59"/>
      <c r="T8" s="41" t="s">
        <v>111</v>
      </c>
      <c r="U8" s="38">
        <f>AVERAGE(VP9vsQY265_offline_superfast!Q81:Q124)</f>
        <v>-0.32554608728614948</v>
      </c>
      <c r="V8" s="38">
        <f>AVERAGE(VP9vsQY265_offline_superfast!R81:R124)</f>
        <v>-0.44143546146856916</v>
      </c>
      <c r="W8" s="38">
        <f>AVERAGE(VP9vsQY265_offline_superfast!S81:S124)</f>
        <v>-0.4399181973558951</v>
      </c>
      <c r="X8" s="38">
        <f>AVERAGE(VP9vsQY265_offline_superfast!T81:T124)</f>
        <v>-0.35292841004398762</v>
      </c>
      <c r="Y8" s="39">
        <f>AVERAGE(VP9vsQY265_offline_superfast!U81:U124)</f>
        <v>0.63073910119562537</v>
      </c>
      <c r="AB8" s="59"/>
      <c r="AC8" s="41" t="s">
        <v>111</v>
      </c>
      <c r="AD8" s="38">
        <f>AVERAGE(IntelvsQY265_offline_superfast!Q81:Q124)</f>
        <v>0.12686005154254756</v>
      </c>
      <c r="AE8" s="38">
        <f>AVERAGE(IntelvsQY265_offline_superfast!R81:R124)</f>
        <v>5.4226606581034842E-2</v>
      </c>
      <c r="AF8" s="38">
        <f>AVERAGE(IntelvsQY265_offline_superfast!S81:S124)</f>
        <v>4.5543929762370247E-2</v>
      </c>
      <c r="AG8" s="38">
        <f>AVERAGE(IntelvsQY265_offline_superfast!T81:T124)</f>
        <v>0.11056305719384342</v>
      </c>
      <c r="AH8" s="39">
        <f>AVERAGE(IntelvsQY265_offline_superfast!U81:U124)</f>
        <v>0.57789490409090927</v>
      </c>
    </row>
    <row r="9" spans="1:34" ht="16.5" thickBot="1" x14ac:dyDescent="0.3">
      <c r="A9" s="60"/>
      <c r="B9" s="37" t="s">
        <v>76</v>
      </c>
      <c r="C9" s="38">
        <f>X264vsQY265_offline_superfast!Q125</f>
        <v>-0.46557403510384288</v>
      </c>
      <c r="D9" s="38">
        <f>X264vsQY265_offline_superfast!R125</f>
        <v>-0.54571898531787644</v>
      </c>
      <c r="E9" s="38">
        <f>X264vsQY265_offline_superfast!S125</f>
        <v>-0.54088181734385166</v>
      </c>
      <c r="F9" s="38">
        <f>X264vsQY265_offline_superfast!T125</f>
        <v>-0.48103787273904175</v>
      </c>
      <c r="G9" s="39">
        <f>X264vsQY265_offline_superfast!U125</f>
        <v>-0.14510025977409777</v>
      </c>
      <c r="H9" s="40"/>
      <c r="J9" s="60"/>
      <c r="K9" s="37" t="s">
        <v>76</v>
      </c>
      <c r="L9" s="38">
        <f>'X265 ultrafast svsQY265_superfa'!Q125</f>
        <v>-0.23627565936586647</v>
      </c>
      <c r="M9" s="38">
        <f>'X265 ultrafast svsQY265_superfa'!R125</f>
        <v>-0.40893491020776546</v>
      </c>
      <c r="N9" s="38">
        <f>'X265 ultrafast svsQY265_superfa'!S125</f>
        <v>-0.40017788138135174</v>
      </c>
      <c r="O9" s="38">
        <f>'X265 ultrafast svsQY265_superfa'!T125</f>
        <v>-0.26840079812921902</v>
      </c>
      <c r="P9" s="39">
        <f>'X265 ultrafast svsQY265_superfa'!U125</f>
        <v>1.5962390058027089</v>
      </c>
      <c r="S9" s="60"/>
      <c r="T9" s="37" t="s">
        <v>76</v>
      </c>
      <c r="U9" s="38">
        <f>VP9vsQY265_offline_superfast!Q125</f>
        <v>-0.35789218438542764</v>
      </c>
      <c r="V9" s="38">
        <f>VP9vsQY265_offline_superfast!R125</f>
        <v>-0.44918257339248152</v>
      </c>
      <c r="W9" s="38">
        <f>VP9vsQY265_offline_superfast!S125</f>
        <v>-0.45646363874972495</v>
      </c>
      <c r="X9" s="38">
        <f>VP9vsQY265_offline_superfast!T125</f>
        <v>-0.37972037512342582</v>
      </c>
      <c r="Y9" s="39">
        <f>VP9vsQY265_offline_superfast!U125</f>
        <v>0.72418961923671599</v>
      </c>
      <c r="AB9" s="60"/>
      <c r="AC9" s="37" t="s">
        <v>76</v>
      </c>
      <c r="AD9" s="38">
        <f>IntelvsQY265_offline_superfast!Q125</f>
        <v>8.2519589553318146E-2</v>
      </c>
      <c r="AE9" s="38">
        <f>IntelvsQY265_offline_superfast!R125</f>
        <v>1.392986609677598E-3</v>
      </c>
      <c r="AF9" s="38">
        <f>IntelvsQY265_offline_superfast!S125</f>
        <v>-4.7617571355867017E-3</v>
      </c>
      <c r="AG9" s="38">
        <f>IntelvsQY265_offline_superfast!T125</f>
        <v>6.6424141849361892E-2</v>
      </c>
      <c r="AH9" s="39">
        <f>IntelvsQY265_offline_superfast!U125</f>
        <v>0.79286331679985611</v>
      </c>
    </row>
    <row r="10" spans="1:34" ht="16.5" thickBot="1" x14ac:dyDescent="0.3">
      <c r="A10" s="58" t="s">
        <v>75</v>
      </c>
      <c r="B10" s="37" t="s">
        <v>35</v>
      </c>
      <c r="C10" s="38">
        <f>AVERAGE(X264vsQY265_offline_superfast!Q131:Q138)</f>
        <v>-0.448314847403252</v>
      </c>
      <c r="D10" s="38">
        <f>AVERAGE(X264vsQY265_offline_superfast!R131:R138)</f>
        <v>-0.55295063992143523</v>
      </c>
      <c r="E10" s="38">
        <f>AVERAGE(X264vsQY265_offline_superfast!S131:S138)</f>
        <v>-0.61091272177280942</v>
      </c>
      <c r="F10" s="38">
        <f>AVERAGE(X264vsQY265_offline_superfast!T131:T138)</f>
        <v>-0.46749629166557077</v>
      </c>
      <c r="G10" s="39">
        <f>AVERAGE(X264vsQY265_offline_superfast!U131:U138)</f>
        <v>-5.6346357162899652E-2</v>
      </c>
      <c r="H10" s="40"/>
      <c r="J10" s="58" t="s">
        <v>75</v>
      </c>
      <c r="K10" s="37" t="s">
        <v>35</v>
      </c>
      <c r="L10" s="38">
        <f>AVERAGE('X265 ultrafast svsQY265_superfa'!Q131:Q138)</f>
        <v>-0.12380263113970535</v>
      </c>
      <c r="M10" s="38">
        <f>AVERAGE('X265 ultrafast svsQY265_superfa'!R131:R138)</f>
        <v>-0.45325245475488318</v>
      </c>
      <c r="N10" s="38">
        <f>AVERAGE('X265 ultrafast svsQY265_superfa'!S131:S138)</f>
        <v>-0.44751063199284968</v>
      </c>
      <c r="O10" s="38">
        <f>AVERAGE('X265 ultrafast svsQY265_superfa'!T131:T138)</f>
        <v>-0.17655066698794913</v>
      </c>
      <c r="P10" s="39">
        <f>AVERAGE('X265 ultrafast svsQY265_superfa'!U131:U138)</f>
        <v>1.2377837238293161</v>
      </c>
      <c r="S10" s="58" t="s">
        <v>75</v>
      </c>
      <c r="T10" s="37" t="s">
        <v>35</v>
      </c>
      <c r="U10" s="38">
        <f>AVERAGE(VP9vsQY265_offline_superfast!Q131:Q138)</f>
        <v>-0.27072038532121473</v>
      </c>
      <c r="V10" s="38">
        <f>AVERAGE(VP9vsQY265_offline_superfast!R131:R138)</f>
        <v>-0.46519345976086646</v>
      </c>
      <c r="W10" s="38">
        <f>AVERAGE(VP9vsQY265_offline_superfast!S131:S138)</f>
        <v>-0.4867340705511905</v>
      </c>
      <c r="X10" s="38">
        <f>AVERAGE(VP9vsQY265_offline_superfast!T131:T138)</f>
        <v>-0.30614888908269478</v>
      </c>
      <c r="Y10" s="39">
        <f>AVERAGE(VP9vsQY265_offline_superfast!U131:U138)</f>
        <v>0.77520178684984753</v>
      </c>
      <c r="AB10" s="55" t="s">
        <v>154</v>
      </c>
      <c r="AC10" s="56"/>
      <c r="AD10" s="56"/>
      <c r="AE10" s="56"/>
      <c r="AF10" s="56"/>
      <c r="AG10" s="56"/>
      <c r="AH10" s="57"/>
    </row>
    <row r="11" spans="1:34" ht="16.5" thickBot="1" x14ac:dyDescent="0.3">
      <c r="A11" s="59"/>
      <c r="B11" s="37" t="s">
        <v>37</v>
      </c>
      <c r="C11" s="38">
        <f>AVERAGE(X264vsQY265_offline_superfast!Q139:Q158)</f>
        <v>-0.54244352141686747</v>
      </c>
      <c r="D11" s="38">
        <f>AVERAGE(X264vsQY265_offline_superfast!R139:R158)</f>
        <v>-0.59137899001641026</v>
      </c>
      <c r="E11" s="38">
        <f>AVERAGE(X264vsQY265_offline_superfast!S139:S158)</f>
        <v>-0.60607214249625785</v>
      </c>
      <c r="F11" s="38">
        <f>AVERAGE(X264vsQY265_offline_superfast!T139:T158)</f>
        <v>-0.55204956254009763</v>
      </c>
      <c r="G11" s="39">
        <f>AVERAGE(X264vsQY265_offline_superfast!U139:U158)</f>
        <v>8.5482908775315614E-2</v>
      </c>
      <c r="H11" s="40"/>
      <c r="J11" s="59"/>
      <c r="K11" s="37" t="s">
        <v>37</v>
      </c>
      <c r="L11" s="38">
        <f>AVERAGE('X265 ultrafast svsQY265_superfa'!Q139:Q158)</f>
        <v>-0.19691962250700881</v>
      </c>
      <c r="M11" s="38">
        <f>AVERAGE('X265 ultrafast svsQY265_superfa'!R139:R158)</f>
        <v>-0.43552685661806478</v>
      </c>
      <c r="N11" s="38">
        <f>AVERAGE('X265 ultrafast svsQY265_superfa'!S139:S158)</f>
        <v>-0.42855955147733304</v>
      </c>
      <c r="O11" s="38">
        <f>AVERAGE('X265 ultrafast svsQY265_superfa'!T139:T158)</f>
        <v>-0.23828761660623754</v>
      </c>
      <c r="P11" s="39">
        <f>AVERAGE('X265 ultrafast svsQY265_superfa'!U139:U158)</f>
        <v>1.3958865370617013</v>
      </c>
      <c r="S11" s="59"/>
      <c r="T11" s="37" t="s">
        <v>37</v>
      </c>
      <c r="U11" s="38">
        <f>AVERAGE(VP9vsQY265_offline_superfast!Q139:Q158)</f>
        <v>-0.40493259800453546</v>
      </c>
      <c r="V11" s="38">
        <f>AVERAGE(VP9vsQY265_offline_superfast!R139:R158)</f>
        <v>-0.49940422394873157</v>
      </c>
      <c r="W11" s="38">
        <f>AVERAGE(VP9vsQY265_offline_superfast!S139:S158)</f>
        <v>-0.5144462749779356</v>
      </c>
      <c r="X11" s="38">
        <f>AVERAGE(VP9vsQY265_offline_superfast!T139:T158)</f>
        <v>-0.42660027204184703</v>
      </c>
      <c r="Y11" s="39">
        <f>AVERAGE(VP9vsQY265_offline_superfast!U139:U158)</f>
        <v>0.93699055786112928</v>
      </c>
      <c r="AB11" s="37" t="s">
        <v>124</v>
      </c>
      <c r="AC11" s="37" t="s">
        <v>72</v>
      </c>
      <c r="AD11" s="37" t="s">
        <v>68</v>
      </c>
      <c r="AE11" s="37" t="s">
        <v>69</v>
      </c>
      <c r="AF11" s="37" t="s">
        <v>70</v>
      </c>
      <c r="AG11" s="37" t="s">
        <v>71</v>
      </c>
      <c r="AH11" s="37" t="s">
        <v>74</v>
      </c>
    </row>
    <row r="12" spans="1:34" ht="16.5" thickBot="1" x14ac:dyDescent="0.3">
      <c r="A12" s="59"/>
      <c r="B12" s="37" t="s">
        <v>39</v>
      </c>
      <c r="C12" s="38">
        <f>AVERAGE(X264vsQY265_offline_superfast!Q159:Q174)</f>
        <v>-0.45864689615320842</v>
      </c>
      <c r="D12" s="38">
        <f>AVERAGE(X264vsQY265_offline_superfast!R159:R174)</f>
        <v>-0.55561405719488133</v>
      </c>
      <c r="E12" s="38">
        <f>AVERAGE(X264vsQY265_offline_superfast!S159:S174)</f>
        <v>-0.52642498408951588</v>
      </c>
      <c r="F12" s="38">
        <f>AVERAGE(X264vsQY265_offline_superfast!T159:T174)</f>
        <v>-0.47338469998323396</v>
      </c>
      <c r="G12" s="39">
        <f>AVERAGE(X264vsQY265_offline_superfast!U159:U174)</f>
        <v>-0.22243151368061434</v>
      </c>
      <c r="H12" s="40"/>
      <c r="J12" s="59"/>
      <c r="K12" s="37" t="s">
        <v>39</v>
      </c>
      <c r="L12" s="38">
        <f>AVERAGE('X265 ultrafast svsQY265_superfa'!Q159:Q174)</f>
        <v>-0.22023494112786801</v>
      </c>
      <c r="M12" s="38">
        <f>AVERAGE('X265 ultrafast svsQY265_superfa'!R159:R174)</f>
        <v>-0.42239702838425897</v>
      </c>
      <c r="N12" s="38">
        <f>AVERAGE('X265 ultrafast svsQY265_superfa'!S159:S174)</f>
        <v>-0.39220625731887854</v>
      </c>
      <c r="O12" s="38">
        <f>AVERAGE('X265 ultrafast svsQY265_superfa'!T159:T174)</f>
        <v>-0.25559014107280742</v>
      </c>
      <c r="P12" s="39">
        <f>AVERAGE('X265 ultrafast svsQY265_superfa'!U159:U174)</f>
        <v>1.1974830469187705</v>
      </c>
      <c r="S12" s="59"/>
      <c r="T12" s="37" t="s">
        <v>39</v>
      </c>
      <c r="U12" s="38">
        <f>AVERAGE(VP9vsQY265_offline_superfast!Q159:Q174)</f>
        <v>-0.31309078173327953</v>
      </c>
      <c r="V12" s="38">
        <f>AVERAGE(VP9vsQY265_offline_superfast!R159:R174)</f>
        <v>-0.4756894836866572</v>
      </c>
      <c r="W12" s="38">
        <f>AVERAGE(VP9vsQY265_offline_superfast!S159:S174)</f>
        <v>-0.47479210288222773</v>
      </c>
      <c r="X12" s="38">
        <f>AVERAGE(VP9vsQY265_offline_superfast!T159:T174)</f>
        <v>-0.34931173654753589</v>
      </c>
      <c r="Y12" s="39">
        <f>AVERAGE(VP9vsQY265_offline_superfast!U159:U174)</f>
        <v>1.5273101558802904</v>
      </c>
      <c r="AB12" s="58" t="s">
        <v>75</v>
      </c>
      <c r="AC12" s="37" t="s">
        <v>35</v>
      </c>
      <c r="AD12" s="38">
        <f>AVERAGE(IntelvsQY265_offline_veryfast!Q9:Q16)</f>
        <v>-4.7564132973121009E-2</v>
      </c>
      <c r="AE12" s="38">
        <f>AVERAGE(IntelvsQY265_offline_veryfast!R9:R16)</f>
        <v>-8.4013523880978103E-2</v>
      </c>
      <c r="AF12" s="38">
        <f>AVERAGE(IntelvsQY265_offline_veryfast!S9:S16)</f>
        <v>-8.2203253161857726E-2</v>
      </c>
      <c r="AG12" s="38">
        <f>AVERAGE(IntelvsQY265_offline_veryfast!T9:T16)</f>
        <v>-5.2183549254190498E-2</v>
      </c>
      <c r="AH12" s="39">
        <f>AVERAGE(IntelvsQY265_offline_veryfast!U9:U16)</f>
        <v>0.24977775008333336</v>
      </c>
    </row>
    <row r="13" spans="1:34" ht="16.5" thickBot="1" x14ac:dyDescent="0.3">
      <c r="A13" s="59"/>
      <c r="B13" s="37" t="s">
        <v>41</v>
      </c>
      <c r="C13" s="38">
        <f>AVERAGE(X264vsQY265_offline_superfast!Q175:Q190)</f>
        <v>-0.40839006774616593</v>
      </c>
      <c r="D13" s="38">
        <f>AVERAGE(X264vsQY265_offline_superfast!R175:R190)</f>
        <v>-0.58481011093411694</v>
      </c>
      <c r="E13" s="38">
        <f>AVERAGE(X264vsQY265_offline_superfast!S175:S190)</f>
        <v>-0.57139947256162971</v>
      </c>
      <c r="F13" s="38">
        <f>AVERAGE(X264vsQY265_offline_superfast!T175:T190)</f>
        <v>-0.43895936423442289</v>
      </c>
      <c r="G13" s="39">
        <f>AVERAGE(X264vsQY265_offline_superfast!U175:U190)</f>
        <v>-0.49590079077969446</v>
      </c>
      <c r="H13" s="40"/>
      <c r="J13" s="59"/>
      <c r="K13" s="37" t="s">
        <v>41</v>
      </c>
      <c r="L13" s="38">
        <f>AVERAGE('X265 ultrafast svsQY265_superfa'!Q175:Q190)</f>
        <v>-0.27627162873484234</v>
      </c>
      <c r="M13" s="38">
        <f>AVERAGE('X265 ultrafast svsQY265_superfa'!R175:R190)</f>
        <v>-0.4563377497868728</v>
      </c>
      <c r="N13" s="38">
        <f>AVERAGE('X265 ultrafast svsQY265_superfa'!S175:S190)</f>
        <v>-0.45013705055842834</v>
      </c>
      <c r="O13" s="38">
        <f>AVERAGE('X265 ultrafast svsQY265_superfa'!T175:T190)</f>
        <v>-0.31049650600840961</v>
      </c>
      <c r="P13" s="39">
        <f>AVERAGE('X265 ultrafast svsQY265_superfa'!U175:U190)</f>
        <v>0.81851606832004198</v>
      </c>
      <c r="S13" s="59"/>
      <c r="T13" s="37" t="s">
        <v>41</v>
      </c>
      <c r="U13" s="38">
        <f>AVERAGE(VP9vsQY265_offline_superfast!Q175:Q190)</f>
        <v>-0.3607056740043677</v>
      </c>
      <c r="V13" s="38">
        <f>AVERAGE(VP9vsQY265_offline_superfast!R175:R190)</f>
        <v>-0.43929502877545856</v>
      </c>
      <c r="W13" s="38">
        <f>AVERAGE(VP9vsQY265_offline_superfast!S175:S190)</f>
        <v>-0.47423590460286208</v>
      </c>
      <c r="X13" s="38">
        <f>AVERAGE(VP9vsQY265_offline_superfast!T175:T190)</f>
        <v>-0.38732656082078643</v>
      </c>
      <c r="Y13" s="39">
        <f>AVERAGE(VP9vsQY265_offline_superfast!U175:U190)</f>
        <v>2.4630631430095344</v>
      </c>
      <c r="AB13" s="59"/>
      <c r="AC13" s="37" t="s">
        <v>37</v>
      </c>
      <c r="AD13" s="38">
        <f>AVERAGE(IntelvsQY265_offline_veryfast!Q17:Q36)</f>
        <v>-1.0540244125355414E-2</v>
      </c>
      <c r="AE13" s="38">
        <f>AVERAGE(IntelvsQY265_offline_veryfast!R17:R36)</f>
        <v>-3.0502729965810382E-2</v>
      </c>
      <c r="AF13" s="38">
        <f>AVERAGE(IntelvsQY265_offline_veryfast!S17:S36)</f>
        <v>-4.869982172067E-2</v>
      </c>
      <c r="AG13" s="38">
        <f>AVERAGE(IntelvsQY265_offline_veryfast!T17:T36)</f>
        <v>-1.5554256956625868E-2</v>
      </c>
      <c r="AH13" s="39">
        <f>AVERAGE(IntelvsQY265_offline_veryfast!U17:U36)</f>
        <v>0.34549806166999997</v>
      </c>
    </row>
    <row r="14" spans="1:34" ht="16.5" thickBot="1" x14ac:dyDescent="0.3">
      <c r="A14" s="59"/>
      <c r="B14" s="37" t="s">
        <v>43</v>
      </c>
      <c r="C14" s="38">
        <f>AVERAGE(X264vsQY265_offline_superfast!Q191:Q202)</f>
        <v>-0.51459255892714706</v>
      </c>
      <c r="D14" s="38">
        <f>AVERAGE(X264vsQY265_offline_superfast!R191:R202)</f>
        <v>-0.64056412330452217</v>
      </c>
      <c r="E14" s="38">
        <f>AVERAGE(X264vsQY265_offline_superfast!S191:S202)</f>
        <v>-0.64205981363191722</v>
      </c>
      <c r="F14" s="38">
        <f>AVERAGE(X264vsQY265_offline_superfast!T191:T202)</f>
        <v>-0.54454258582846238</v>
      </c>
      <c r="G14" s="39">
        <f>AVERAGE(X264vsQY265_offline_superfast!U191:U202)</f>
        <v>1.8294244212224083E-2</v>
      </c>
      <c r="H14" s="40"/>
      <c r="J14" s="59"/>
      <c r="K14" s="37" t="s">
        <v>43</v>
      </c>
      <c r="L14" s="38">
        <f>AVERAGE('X265 ultrafast svsQY265_superfa'!Q191:Q202)</f>
        <v>-0.36029050468629226</v>
      </c>
      <c r="M14" s="38">
        <f>AVERAGE('X265 ultrafast svsQY265_superfa'!R191:R202)</f>
        <v>-0.44330482114257075</v>
      </c>
      <c r="N14" s="38">
        <f>AVERAGE('X265 ultrafast svsQY265_superfa'!S191:S202)</f>
        <v>-0.43081377338191357</v>
      </c>
      <c r="O14" s="38">
        <f>AVERAGE('X265 ultrafast svsQY265_superfa'!T191:T202)</f>
        <v>-0.37658879972617854</v>
      </c>
      <c r="P14" s="39">
        <f>AVERAGE('X265 ultrafast svsQY265_superfa'!U191:U202)</f>
        <v>1.2573576415322882</v>
      </c>
      <c r="S14" s="59"/>
      <c r="T14" s="37" t="s">
        <v>43</v>
      </c>
      <c r="U14" s="38">
        <f>AVERAGE(VP9vsQY265_offline_superfast!Q191:Q202)</f>
        <v>-0.40936724715066442</v>
      </c>
      <c r="V14" s="38">
        <f>AVERAGE(VP9vsQY265_offline_superfast!R191:R202)</f>
        <v>-0.29830400844645749</v>
      </c>
      <c r="W14" s="38">
        <f>AVERAGE(VP9vsQY265_offline_superfast!S191:S202)</f>
        <v>-0.29748908024382559</v>
      </c>
      <c r="X14" s="38">
        <f>AVERAGE(VP9vsQY265_offline_superfast!T191:T202)</f>
        <v>-0.38726954105572475</v>
      </c>
      <c r="Y14" s="39">
        <f>AVERAGE(VP9vsQY265_offline_superfast!U191:U202)</f>
        <v>0.72622925886109246</v>
      </c>
      <c r="AB14" s="59"/>
      <c r="AC14" s="37" t="s">
        <v>39</v>
      </c>
      <c r="AD14" s="38">
        <f>AVERAGE(IntelvsQY265_offline_veryfast!Q37:Q52)</f>
        <v>-2.2963944782341483E-2</v>
      </c>
      <c r="AE14" s="38">
        <f>AVERAGE(IntelvsQY265_offline_veryfast!R37:R52)</f>
        <v>-5.8009282209921992E-2</v>
      </c>
      <c r="AF14" s="38">
        <f>AVERAGE(IntelvsQY265_offline_veryfast!S37:S52)</f>
        <v>-5.6342233107645134E-2</v>
      </c>
      <c r="AG14" s="38">
        <f>AVERAGE(IntelvsQY265_offline_veryfast!T37:T52)</f>
        <v>-2.8671285047758732E-2</v>
      </c>
      <c r="AH14" s="39">
        <f>AVERAGE(IntelvsQY265_offline_veryfast!U37:U52)</f>
        <v>0.38337467937708336</v>
      </c>
    </row>
    <row r="15" spans="1:34" ht="16.5" thickBot="1" x14ac:dyDescent="0.3">
      <c r="A15" s="59"/>
      <c r="B15" s="41" t="s">
        <v>111</v>
      </c>
      <c r="C15" s="38">
        <f>AVERAGE(X264vsQY265_offline_superfast!Q203:Q246)</f>
        <v>-0.41755388682239103</v>
      </c>
      <c r="D15" s="38">
        <f>AVERAGE(X264vsQY265_offline_superfast!R203:R246)</f>
        <v>-0.4539352291851127</v>
      </c>
      <c r="E15" s="38">
        <f>AVERAGE(X264vsQY265_offline_superfast!S203:S246)</f>
        <v>-0.4377689046283495</v>
      </c>
      <c r="F15" s="38">
        <f>AVERAGE(X264vsQY265_offline_superfast!T203:T246)</f>
        <v>-0.42577763638608734</v>
      </c>
      <c r="G15" s="39">
        <f>AVERAGE(X264vsQY265_offline_superfast!U203:U246)</f>
        <v>-3.0646210496778081E-2</v>
      </c>
      <c r="H15" s="40"/>
      <c r="J15" s="59"/>
      <c r="K15" s="41" t="s">
        <v>111</v>
      </c>
      <c r="L15" s="38">
        <f>AVERAGE('X265 ultrafast svsQY265_superfa'!Q203:Q246)</f>
        <v>-0.28343265048402039</v>
      </c>
      <c r="M15" s="38">
        <f>AVERAGE('X265 ultrafast svsQY265_superfa'!R203:R246)</f>
        <v>-0.3859438178822247</v>
      </c>
      <c r="N15" s="38">
        <f>AVERAGE('X265 ultrafast svsQY265_superfa'!S203:S246)</f>
        <v>-0.38165908839985979</v>
      </c>
      <c r="O15" s="38">
        <f>AVERAGE('X265 ultrafast svsQY265_superfa'!T203:T246)</f>
        <v>-0.30496444695714114</v>
      </c>
      <c r="P15" s="39">
        <f>AVERAGE('X265 ultrafast svsQY265_superfa'!U203:U246)</f>
        <v>1.3210711599880667</v>
      </c>
      <c r="S15" s="59"/>
      <c r="T15" s="41" t="s">
        <v>111</v>
      </c>
      <c r="U15" s="38">
        <f>AVERAGE(VP9vsQY265_offline_superfast!Q203:Q246)</f>
        <v>-0.30994578754238072</v>
      </c>
      <c r="V15" s="38">
        <f>AVERAGE(VP9vsQY265_offline_superfast!R203:R246)</f>
        <v>-0.43151355246684875</v>
      </c>
      <c r="W15" s="38">
        <f>AVERAGE(VP9vsQY265_offline_superfast!S203:S246)</f>
        <v>-0.42641940921654609</v>
      </c>
      <c r="X15" s="38">
        <f>AVERAGE(VP9vsQY265_offline_superfast!T203:T246)</f>
        <v>-0.33795084406210874</v>
      </c>
      <c r="Y15" s="39">
        <f>AVERAGE(VP9vsQY265_offline_superfast!U203:U246)</f>
        <v>0.71147817967592719</v>
      </c>
      <c r="AB15" s="59"/>
      <c r="AC15" s="37" t="s">
        <v>41</v>
      </c>
      <c r="AD15" s="38">
        <f>AVERAGE(IntelvsQY265_offline_veryfast!Q53:Q68)</f>
        <v>6.6816396570839598E-3</v>
      </c>
      <c r="AE15" s="38">
        <f>AVERAGE(IntelvsQY265_offline_veryfast!R53:R68)</f>
        <v>-5.4605201645142765E-2</v>
      </c>
      <c r="AF15" s="38">
        <f>AVERAGE(IntelvsQY265_offline_veryfast!S53:S68)</f>
        <v>-4.9847554154996337E-2</v>
      </c>
      <c r="AG15" s="38">
        <f>AVERAGE(IntelvsQY265_offline_veryfast!T53:T68)</f>
        <v>-3.9546515151151485E-3</v>
      </c>
      <c r="AH15" s="39">
        <f>AVERAGE(IntelvsQY265_offline_veryfast!U53:U68)</f>
        <v>0.81973515454583346</v>
      </c>
    </row>
    <row r="16" spans="1:34" ht="15.75" customHeight="1" thickBot="1" x14ac:dyDescent="0.3">
      <c r="A16" s="60"/>
      <c r="B16" s="37" t="s">
        <v>76</v>
      </c>
      <c r="C16" s="38">
        <f>X264vsQY265_offline_superfast!Q247</f>
        <v>-0.45565053756262347</v>
      </c>
      <c r="D16" s="38">
        <f>X264vsQY265_offline_superfast!R247</f>
        <v>-0.53584388942726624</v>
      </c>
      <c r="E16" s="38">
        <f>X264vsQY265_offline_superfast!S247</f>
        <v>-0.53052142670479607</v>
      </c>
      <c r="F16" s="38">
        <f>X264vsQY265_offline_superfast!T247</f>
        <v>-0.47109649691843464</v>
      </c>
      <c r="G16" s="39">
        <f>X264vsQY265_offline_superfast!U247</f>
        <v>-9.7959757624770438E-2</v>
      </c>
      <c r="H16" s="40"/>
      <c r="J16" s="60"/>
      <c r="K16" s="37" t="s">
        <v>76</v>
      </c>
      <c r="L16" s="38">
        <f>'X265 ultrafast svsQY265_superfa'!Q247</f>
        <v>-0.25575380426373789</v>
      </c>
      <c r="M16" s="38">
        <f>'X265 ultrafast svsQY265_superfa'!R247</f>
        <v>-0.41980602639368264</v>
      </c>
      <c r="N16" s="38">
        <f>'X265 ultrafast svsQY265_superfa'!S247</f>
        <v>-0.41027184639399283</v>
      </c>
      <c r="O16" s="38">
        <f>'X265 ultrafast svsQY265_superfa'!T247</f>
        <v>-0.28597452831169123</v>
      </c>
      <c r="P16" s="39">
        <f>'X265 ultrafast svsQY265_superfa'!U247</f>
        <v>1.235270768220275</v>
      </c>
      <c r="S16" s="60"/>
      <c r="T16" s="37" t="s">
        <v>76</v>
      </c>
      <c r="U16" s="38">
        <f>VP9vsQY265_offline_superfast!Q247</f>
        <v>-0.34133775820806472</v>
      </c>
      <c r="V16" s="38">
        <f>VP9vsQY265_offline_superfast!R247</f>
        <v>-0.43892783419270914</v>
      </c>
      <c r="W16" s="38">
        <f>VP9vsQY265_offline_superfast!S247</f>
        <v>-0.44568594096710012</v>
      </c>
      <c r="X16" s="38">
        <f>VP9vsQY265_offline_superfast!T247</f>
        <v>-0.36452138743787177</v>
      </c>
      <c r="Y16" s="39">
        <f>VP9vsQY265_offline_superfast!U247</f>
        <v>1.1104068038476933</v>
      </c>
      <c r="AB16" s="59"/>
      <c r="AC16" s="37" t="s">
        <v>43</v>
      </c>
      <c r="AD16" s="38">
        <f>AVERAGE(IntelvsQY265_offline_veryfast!Q69:Q80)</f>
        <v>-8.9540705290943157E-2</v>
      </c>
      <c r="AE16" s="38">
        <f>AVERAGE(IntelvsQY265_offline_veryfast!R69:R80)</f>
        <v>-0.19062779636687219</v>
      </c>
      <c r="AF16" s="38">
        <f>AVERAGE(IntelvsQY265_offline_veryfast!S69:S80)</f>
        <v>-0.19983215985104397</v>
      </c>
      <c r="AG16" s="38">
        <f>AVERAGE(IntelvsQY265_offline_veryfast!T69:T80)</f>
        <v>-0.11552282238615304</v>
      </c>
      <c r="AH16" s="39">
        <f>AVERAGE(IntelvsQY265_offline_veryfast!U69:U80)</f>
        <v>0.2350896953055556</v>
      </c>
    </row>
    <row r="17" spans="1:34" ht="16.5" thickBot="1" x14ac:dyDescent="0.3">
      <c r="A17" s="55" t="s">
        <v>112</v>
      </c>
      <c r="B17" s="56"/>
      <c r="C17" s="56"/>
      <c r="D17" s="56"/>
      <c r="E17" s="56"/>
      <c r="F17" s="56"/>
      <c r="G17" s="57"/>
      <c r="H17" s="40"/>
      <c r="J17" s="55" t="s">
        <v>221</v>
      </c>
      <c r="K17" s="56"/>
      <c r="L17" s="56"/>
      <c r="M17" s="56"/>
      <c r="N17" s="56"/>
      <c r="O17" s="56"/>
      <c r="P17" s="57"/>
      <c r="S17" s="55" t="s">
        <v>119</v>
      </c>
      <c r="T17" s="56"/>
      <c r="U17" s="56"/>
      <c r="V17" s="56"/>
      <c r="W17" s="56"/>
      <c r="X17" s="56"/>
      <c r="Y17" s="57"/>
      <c r="AB17" s="59"/>
      <c r="AC17" s="41" t="s">
        <v>111</v>
      </c>
      <c r="AD17" s="38">
        <f>AVERAGE(IntelvsQY265_offline_veryfast!Q81:Q124)</f>
        <v>3.496010612559923E-2</v>
      </c>
      <c r="AE17" s="38">
        <f>AVERAGE(IntelvsQY265_offline_veryfast!R81:R124)</f>
        <v>-4.1986466571014153E-2</v>
      </c>
      <c r="AF17" s="38">
        <f>AVERAGE(IntelvsQY265_offline_veryfast!S81:S124)</f>
        <v>-4.5441497994259256E-2</v>
      </c>
      <c r="AG17" s="38">
        <f>AVERAGE(IntelvsQY265_offline_veryfast!T81:T124)</f>
        <v>1.7420613627380677E-2</v>
      </c>
      <c r="AH17" s="39">
        <f>AVERAGE(IntelvsQY265_offline_veryfast!U81:U124)</f>
        <v>0.22016879046969692</v>
      </c>
    </row>
    <row r="18" spans="1:34" ht="16.5" thickBot="1" x14ac:dyDescent="0.3">
      <c r="A18" s="37" t="s">
        <v>73</v>
      </c>
      <c r="B18" s="37" t="s">
        <v>72</v>
      </c>
      <c r="C18" s="37" t="s">
        <v>68</v>
      </c>
      <c r="D18" s="37" t="s">
        <v>69</v>
      </c>
      <c r="E18" s="37" t="s">
        <v>70</v>
      </c>
      <c r="F18" s="37" t="s">
        <v>71</v>
      </c>
      <c r="G18" s="37" t="s">
        <v>74</v>
      </c>
      <c r="H18" s="40"/>
      <c r="J18" s="37" t="s">
        <v>73</v>
      </c>
      <c r="K18" s="37" t="s">
        <v>72</v>
      </c>
      <c r="L18" s="37" t="s">
        <v>68</v>
      </c>
      <c r="M18" s="37" t="s">
        <v>69</v>
      </c>
      <c r="N18" s="37" t="s">
        <v>70</v>
      </c>
      <c r="O18" s="37" t="s">
        <v>71</v>
      </c>
      <c r="P18" s="37" t="s">
        <v>74</v>
      </c>
      <c r="S18" s="37" t="s">
        <v>124</v>
      </c>
      <c r="T18" s="37" t="s">
        <v>72</v>
      </c>
      <c r="U18" s="37" t="s">
        <v>68</v>
      </c>
      <c r="V18" s="37" t="s">
        <v>69</v>
      </c>
      <c r="W18" s="37" t="s">
        <v>70</v>
      </c>
      <c r="X18" s="37" t="s">
        <v>71</v>
      </c>
      <c r="Y18" s="37" t="s">
        <v>74</v>
      </c>
      <c r="AB18" s="60"/>
      <c r="AC18" s="37" t="s">
        <v>76</v>
      </c>
      <c r="AD18" s="38">
        <f>IntelvsQY265_offline_veryfast!Q125</f>
        <v>-3.3455053643202458E-3</v>
      </c>
      <c r="AE18" s="38">
        <f>IntelvsQY265_offline_veryfast!R125</f>
        <v>-6.2232177737691019E-2</v>
      </c>
      <c r="AF18" s="38">
        <f>IntelvsQY265_offline_veryfast!S125</f>
        <v>-6.6621300740262596E-2</v>
      </c>
      <c r="AG18" s="38">
        <f>IntelvsQY265_offline_veryfast!T125</f>
        <v>-1.61235809241475E-2</v>
      </c>
      <c r="AH18" s="39">
        <f>IntelvsQY265_offline_veryfast!U125</f>
        <v>0.35057279052729878</v>
      </c>
    </row>
    <row r="19" spans="1:34" ht="16.5" thickBot="1" x14ac:dyDescent="0.3">
      <c r="A19" s="58">
        <v>1</v>
      </c>
      <c r="B19" s="37" t="s">
        <v>35</v>
      </c>
      <c r="C19" s="38">
        <f>AVERAGE(X264vsQY265_offline_veryfast!Q9:Q16)</f>
        <v>-0.44765789381684434</v>
      </c>
      <c r="D19" s="38">
        <f>AVERAGE(X264vsQY265_offline_veryfast!R9:R16)</f>
        <v>-0.44929645397292411</v>
      </c>
      <c r="E19" s="38">
        <f>AVERAGE(X264vsQY265_offline_veryfast!S9:S16)</f>
        <v>-0.48528649085122288</v>
      </c>
      <c r="F19" s="38">
        <f>AVERAGE(X264vsQY265_offline_veryfast!T9:T16)</f>
        <v>-0.45093046464670938</v>
      </c>
      <c r="G19" s="39">
        <f>AVERAGE(X264vsQY265_offline_veryfast!U9:U16)</f>
        <v>5.1689824774167295E-2</v>
      </c>
      <c r="H19" s="40"/>
      <c r="J19" s="58">
        <v>1</v>
      </c>
      <c r="K19" s="37" t="s">
        <v>35</v>
      </c>
      <c r="L19" s="38">
        <f>AVERAGE('X265 ultrafast vsQY265_veryfast'!Q9:Q16)</f>
        <v>-0.1908376732049194</v>
      </c>
      <c r="M19" s="38">
        <f>AVERAGE('X265 ultrafast vsQY265_veryfast'!R9:R16)</f>
        <v>-0.47002913442826494</v>
      </c>
      <c r="N19" s="38">
        <f>AVERAGE('X265 ultrafast vsQY265_veryfast'!S9:S16)</f>
        <v>-0.47470333583933955</v>
      </c>
      <c r="O19" s="38">
        <f>AVERAGE('X265 ultrafast vsQY265_veryfast'!T9:T16)</f>
        <v>-0.23616534495766989</v>
      </c>
      <c r="P19" s="39">
        <f>AVERAGE('X265 ultrafast vsQY265_veryfast'!U9:U16)</f>
        <v>0.689885346162187</v>
      </c>
      <c r="S19" s="58">
        <v>1</v>
      </c>
      <c r="T19" s="37" t="s">
        <v>35</v>
      </c>
      <c r="U19" s="38">
        <f>AVERAGE(VP9vsQY265_offline_veryfast!Q9:Q16)</f>
        <v>-0.35112894656423516</v>
      </c>
      <c r="V19" s="38">
        <f>AVERAGE(VP9vsQY265_offline_veryfast!R9:R16)</f>
        <v>-0.49687682430333285</v>
      </c>
      <c r="W19" s="38">
        <f>AVERAGE(VP9vsQY265_offline_veryfast!S9:S16)</f>
        <v>-0.51543958813553636</v>
      </c>
      <c r="X19" s="38">
        <f>AVERAGE(VP9vsQY265_offline_veryfast!T9:T16)</f>
        <v>-0.37878862719827255</v>
      </c>
      <c r="Y19" s="39">
        <f>AVERAGE(VP9vsQY265_offline_veryfast!U9:U16)</f>
        <v>0.32064700147469444</v>
      </c>
      <c r="AB19" s="55" t="s">
        <v>155</v>
      </c>
      <c r="AC19" s="56"/>
      <c r="AD19" s="56"/>
      <c r="AE19" s="56"/>
      <c r="AF19" s="56"/>
      <c r="AG19" s="56"/>
      <c r="AH19" s="57"/>
    </row>
    <row r="20" spans="1:34" ht="16.5" thickBot="1" x14ac:dyDescent="0.3">
      <c r="A20" s="59"/>
      <c r="B20" s="37" t="s">
        <v>37</v>
      </c>
      <c r="C20" s="38">
        <f>AVERAGE(X264vsQY265_offline_veryfast!Q17:Q36)</f>
        <v>-0.5580002942966904</v>
      </c>
      <c r="D20" s="38">
        <f>AVERAGE(X264vsQY265_offline_veryfast!R17:R36)</f>
        <v>-0.58063354240628418</v>
      </c>
      <c r="E20" s="38">
        <f>AVERAGE(X264vsQY265_offline_veryfast!S17:S36)</f>
        <v>-0.59847347843972043</v>
      </c>
      <c r="F20" s="38">
        <f>AVERAGE(X264vsQY265_offline_veryfast!T17:T36)</f>
        <v>-0.56397539868440716</v>
      </c>
      <c r="G20" s="39">
        <f>AVERAGE(X264vsQY265_offline_veryfast!U17:U36)</f>
        <v>0.25004909181120116</v>
      </c>
      <c r="H20" s="40"/>
      <c r="J20" s="59"/>
      <c r="K20" s="37" t="s">
        <v>37</v>
      </c>
      <c r="L20" s="38">
        <f>AVERAGE('X265 ultrafast vsQY265_veryfast'!Q17:Q36)</f>
        <v>-0.24213824068330775</v>
      </c>
      <c r="M20" s="38">
        <f>AVERAGE('X265 ultrafast vsQY265_veryfast'!R17:R36)</f>
        <v>-0.44860922110594259</v>
      </c>
      <c r="N20" s="38">
        <f>AVERAGE('X265 ultrafast vsQY265_veryfast'!S17:S36)</f>
        <v>-0.44023924991951963</v>
      </c>
      <c r="O20" s="38">
        <f>AVERAGE('X265 ultrafast vsQY265_veryfast'!T17:T36)</f>
        <v>-0.27813023877466037</v>
      </c>
      <c r="P20" s="39">
        <f>AVERAGE('X265 ultrafast vsQY265_veryfast'!U17:U36)</f>
        <v>0.96072445924163952</v>
      </c>
      <c r="S20" s="59"/>
      <c r="T20" s="37" t="s">
        <v>37</v>
      </c>
      <c r="U20" s="38">
        <f>AVERAGE(VP9vsQY265_offline_veryfast!Q17:Q36)</f>
        <v>-0.46831032992944044</v>
      </c>
      <c r="V20" s="38">
        <f>AVERAGE(VP9vsQY265_offline_veryfast!R17:R36)</f>
        <v>-0.52260541452105036</v>
      </c>
      <c r="W20" s="38">
        <f>AVERAGE(VP9vsQY265_offline_veryfast!S17:S36)</f>
        <v>-0.53693153419140816</v>
      </c>
      <c r="X20" s="38">
        <f>AVERAGE(VP9vsQY265_offline_veryfast!T17:T36)</f>
        <v>-0.48223844372174202</v>
      </c>
      <c r="Y20" s="39">
        <f>AVERAGE(VP9vsQY265_offline_veryfast!U17:U36)</f>
        <v>0.50421899003694393</v>
      </c>
      <c r="AB20" s="37" t="s">
        <v>124</v>
      </c>
      <c r="AC20" s="37" t="s">
        <v>72</v>
      </c>
      <c r="AD20" s="37" t="s">
        <v>68</v>
      </c>
      <c r="AE20" s="37" t="s">
        <v>69</v>
      </c>
      <c r="AF20" s="37" t="s">
        <v>70</v>
      </c>
      <c r="AG20" s="37" t="s">
        <v>71</v>
      </c>
      <c r="AH20" s="37" t="s">
        <v>74</v>
      </c>
    </row>
    <row r="21" spans="1:34" ht="16.5" thickBot="1" x14ac:dyDescent="0.3">
      <c r="A21" s="59"/>
      <c r="B21" s="37" t="s">
        <v>39</v>
      </c>
      <c r="C21" s="38">
        <f>AVERAGE(X264vsQY265_offline_veryfast!Q37:Q52)</f>
        <v>-0.41882986392208099</v>
      </c>
      <c r="D21" s="38">
        <f>AVERAGE(X264vsQY265_offline_veryfast!R37:R52)</f>
        <v>-0.52211971931245338</v>
      </c>
      <c r="E21" s="38">
        <f>AVERAGE(X264vsQY265_offline_veryfast!S37:S52)</f>
        <v>-0.50581586207379792</v>
      </c>
      <c r="F21" s="38">
        <f>AVERAGE(X264vsQY265_offline_veryfast!T37:T52)</f>
        <v>-0.43539695743466711</v>
      </c>
      <c r="G21" s="39">
        <f>AVERAGE(X264vsQY265_offline_veryfast!U37:U52)</f>
        <v>-6.6736614504759637E-2</v>
      </c>
      <c r="H21" s="40"/>
      <c r="J21" s="59"/>
      <c r="K21" s="37" t="s">
        <v>39</v>
      </c>
      <c r="L21" s="38">
        <f>AVERAGE('X265 ultrafast vsQY265_veryfast'!Q37:Q52)</f>
        <v>-0.27887444112538284</v>
      </c>
      <c r="M21" s="38">
        <f>AVERAGE('X265 ultrafast vsQY265_veryfast'!R37:R52)</f>
        <v>-0.45179421131005998</v>
      </c>
      <c r="N21" s="38">
        <f>AVERAGE('X265 ultrafast vsQY265_veryfast'!S37:S52)</f>
        <v>-0.42544227468225826</v>
      </c>
      <c r="O21" s="38">
        <f>AVERAGE('X265 ultrafast vsQY265_veryfast'!T37:T52)</f>
        <v>-0.30912342244895297</v>
      </c>
      <c r="P21" s="39">
        <f>AVERAGE('X265 ultrafast vsQY265_veryfast'!U37:U52)</f>
        <v>0.97732704163344031</v>
      </c>
      <c r="S21" s="59"/>
      <c r="T21" s="37" t="s">
        <v>39</v>
      </c>
      <c r="U21" s="38">
        <f>AVERAGE(VP9vsQY265_offline_veryfast!Q37:Q52)</f>
        <v>-0.39251360277608427</v>
      </c>
      <c r="V21" s="38">
        <f>AVERAGE(VP9vsQY265_offline_veryfast!R37:R52)</f>
        <v>-0.51256940202958334</v>
      </c>
      <c r="W21" s="38">
        <f>AVERAGE(VP9vsQY265_offline_veryfast!S37:S52)</f>
        <v>-0.51451057497408448</v>
      </c>
      <c r="X21" s="38">
        <f>AVERAGE(VP9vsQY265_offline_veryfast!T37:T52)</f>
        <v>-0.41904143773754088</v>
      </c>
      <c r="Y21" s="39">
        <f>AVERAGE(VP9vsQY265_offline_veryfast!U37:U52)</f>
        <v>0.15183880141449907</v>
      </c>
      <c r="AB21" s="58" t="s">
        <v>75</v>
      </c>
      <c r="AC21" s="37" t="s">
        <v>35</v>
      </c>
      <c r="AD21" s="38">
        <f>AVERAGE(IntelvsQY265_offline_slow!Q9:Q16)</f>
        <v>-0.11747517929349777</v>
      </c>
      <c r="AE21" s="38">
        <f>AVERAGE(IntelvsQY265_offline_slow!R9:R16)</f>
        <v>-0.40751356421696167</v>
      </c>
      <c r="AF21" s="38">
        <f>AVERAGE(IntelvsQY265_offline_slow!S9:S16)</f>
        <v>-0.42155231284607791</v>
      </c>
      <c r="AG21" s="38">
        <f>AVERAGE(IntelvsQY265_offline_slow!T9:T16)</f>
        <v>-0.16984202835330353</v>
      </c>
      <c r="AH21" s="39">
        <f>AVERAGE(IntelvsQY265_offline_slow!U9:U16)</f>
        <v>-0.57072386374999995</v>
      </c>
    </row>
    <row r="22" spans="1:34" ht="16.5" thickBot="1" x14ac:dyDescent="0.3">
      <c r="A22" s="59"/>
      <c r="B22" s="37" t="s">
        <v>41</v>
      </c>
      <c r="C22" s="38">
        <f>AVERAGE(X264vsQY265_offline_veryfast!Q53:Q68)</f>
        <v>-0.37704824641942192</v>
      </c>
      <c r="D22" s="38">
        <f>AVERAGE(X264vsQY265_offline_veryfast!R53:R68)</f>
        <v>-0.55878289387408864</v>
      </c>
      <c r="E22" s="38">
        <f>AVERAGE(X264vsQY265_offline_veryfast!S53:S68)</f>
        <v>-0.5515452065755001</v>
      </c>
      <c r="F22" s="38">
        <f>AVERAGE(X264vsQY265_offline_veryfast!T53:T68)</f>
        <v>-0.40886206051366736</v>
      </c>
      <c r="G22" s="39">
        <f>AVERAGE(X264vsQY265_offline_veryfast!U53:U68)</f>
        <v>-0.23503761968925929</v>
      </c>
      <c r="H22" s="40"/>
      <c r="J22" s="59"/>
      <c r="K22" s="37" t="s">
        <v>41</v>
      </c>
      <c r="L22" s="38">
        <f>AVERAGE('X265 ultrafast vsQY265_veryfast'!Q53:Q68)</f>
        <v>-0.33210895319145245</v>
      </c>
      <c r="M22" s="38">
        <f>AVERAGE('X265 ultrafast vsQY265_veryfast'!R53:R68)</f>
        <v>-0.48890674860928857</v>
      </c>
      <c r="N22" s="38">
        <f>AVERAGE('X265 ultrafast vsQY265_veryfast'!S53:S68)</f>
        <v>-0.47241987940232305</v>
      </c>
      <c r="O22" s="38">
        <f>AVERAGE('X265 ultrafast vsQY265_veryfast'!T53:T68)</f>
        <v>-0.36125086361524272</v>
      </c>
      <c r="P22" s="39">
        <f>AVERAGE('X265 ultrafast vsQY265_veryfast'!U53:U68)</f>
        <v>0.74024875548827351</v>
      </c>
      <c r="S22" s="59"/>
      <c r="T22" s="37" t="s">
        <v>41</v>
      </c>
      <c r="U22" s="38">
        <f>AVERAGE(VP9vsQY265_offline_veryfast!Q53:Q68)</f>
        <v>-0.43451896223520903</v>
      </c>
      <c r="V22" s="38">
        <f>AVERAGE(VP9vsQY265_offline_veryfast!R53:R68)</f>
        <v>-0.48280848095531592</v>
      </c>
      <c r="W22" s="38">
        <f>AVERAGE(VP9vsQY265_offline_veryfast!S53:S68)</f>
        <v>-0.51006100698401691</v>
      </c>
      <c r="X22" s="38">
        <f>AVERAGE(VP9vsQY265_offline_veryfast!T53:T68)</f>
        <v>-0.45414424117618268</v>
      </c>
      <c r="Y22" s="39">
        <f>AVERAGE(VP9vsQY265_offline_veryfast!U53:U68)</f>
        <v>0.1032674999016206</v>
      </c>
      <c r="AB22" s="59"/>
      <c r="AC22" s="37" t="s">
        <v>37</v>
      </c>
      <c r="AD22" s="38">
        <f>AVERAGE(IntelvsQY265_offline_slow!Q17:Q36)</f>
        <v>-0.1000658063690069</v>
      </c>
      <c r="AE22" s="38">
        <f>AVERAGE(IntelvsQY265_offline_slow!R17:R36)</f>
        <v>-0.33107143989171328</v>
      </c>
      <c r="AF22" s="38">
        <f>AVERAGE(IntelvsQY265_offline_slow!S17:S36)</f>
        <v>-0.34092354875980824</v>
      </c>
      <c r="AG22" s="38">
        <f>AVERAGE(IntelvsQY265_offline_slow!T17:T36)</f>
        <v>-0.1407737277692854</v>
      </c>
      <c r="AH22" s="39">
        <f>AVERAGE(IntelvsQY265_offline_slow!U17:U36)</f>
        <v>-0.4863935703608333</v>
      </c>
    </row>
    <row r="23" spans="1:34" ht="16.5" thickBot="1" x14ac:dyDescent="0.3">
      <c r="A23" s="59"/>
      <c r="B23" s="37" t="s">
        <v>43</v>
      </c>
      <c r="C23" s="38">
        <f>AVERAGE(X264vsQY265_offline_veryfast!Q69:Q80)</f>
        <v>-0.51871181443556136</v>
      </c>
      <c r="D23" s="38">
        <f>AVERAGE(X264vsQY265_offline_veryfast!R69:R80)</f>
        <v>-0.62648786318194682</v>
      </c>
      <c r="E23" s="38">
        <f>AVERAGE(X264vsQY265_offline_veryfast!S69:S80)</f>
        <v>-0.64295661039947161</v>
      </c>
      <c r="F23" s="38">
        <f>AVERAGE(X264vsQY265_offline_veryfast!T69:T80)</f>
        <v>-0.54662927108251358</v>
      </c>
      <c r="G23" s="39">
        <f>AVERAGE(X264vsQY265_offline_veryfast!U69:U80)</f>
        <v>0.44289568874285462</v>
      </c>
      <c r="H23" s="40"/>
      <c r="J23" s="59"/>
      <c r="K23" s="37" t="s">
        <v>43</v>
      </c>
      <c r="L23" s="38">
        <f>AVERAGE('X265 ultrafast vsQY265_veryfast'!Q69:Q80)</f>
        <v>-0.38603265250945284</v>
      </c>
      <c r="M23" s="38">
        <f>AVERAGE('X265 ultrafast vsQY265_veryfast'!R69:R80)</f>
        <v>-0.43936560559274218</v>
      </c>
      <c r="N23" s="38">
        <f>AVERAGE('X265 ultrafast vsQY265_veryfast'!S69:S80)</f>
        <v>-0.43093599155724543</v>
      </c>
      <c r="O23" s="38">
        <f>AVERAGE('X265 ultrafast vsQY265_veryfast'!T69:T80)</f>
        <v>-0.3964982891787982</v>
      </c>
      <c r="P23" s="39">
        <f>AVERAGE('X265 ultrafast vsQY265_veryfast'!U69:U80)</f>
        <v>1.0754121207901044</v>
      </c>
      <c r="S23" s="59"/>
      <c r="T23" s="37" t="s">
        <v>43</v>
      </c>
      <c r="U23" s="38">
        <f>AVERAGE(VP9vsQY265_offline_veryfast!Q69:Q80)</f>
        <v>-0.46875059190169005</v>
      </c>
      <c r="V23" s="38">
        <f>AVERAGE(VP9vsQY265_offline_veryfast!R69:R80)</f>
        <v>-0.33017004652853926</v>
      </c>
      <c r="W23" s="38">
        <f>AVERAGE(VP9vsQY265_offline_veryfast!S69:S80)</f>
        <v>-0.32678463581363043</v>
      </c>
      <c r="X23" s="38">
        <f>AVERAGE(VP9vsQY265_offline_veryfast!T69:T80)</f>
        <v>-0.44039454071680906</v>
      </c>
      <c r="Y23" s="39">
        <f>AVERAGE(VP9vsQY265_offline_veryfast!U69:U80)</f>
        <v>0.496368555322175</v>
      </c>
      <c r="AB23" s="59"/>
      <c r="AC23" s="37" t="s">
        <v>39</v>
      </c>
      <c r="AD23" s="38">
        <f>AVERAGE(IntelvsQY265_offline_slow!Q37:Q52)</f>
        <v>-0.14389984020905053</v>
      </c>
      <c r="AE23" s="38">
        <f>AVERAGE(IntelvsQY265_offline_slow!R37:R52)</f>
        <v>-0.32501522977890601</v>
      </c>
      <c r="AF23" s="38">
        <f>AVERAGE(IntelvsQY265_offline_slow!S37:S52)</f>
        <v>-0.31178849862142499</v>
      </c>
      <c r="AG23" s="38">
        <f>AVERAGE(IntelvsQY265_offline_slow!T37:T52)</f>
        <v>-0.17603145453544325</v>
      </c>
      <c r="AH23" s="39">
        <f>AVERAGE(IntelvsQY265_offline_slow!U37:U52)</f>
        <v>-0.34133025733333328</v>
      </c>
    </row>
    <row r="24" spans="1:34" ht="16.5" thickBot="1" x14ac:dyDescent="0.3">
      <c r="A24" s="59"/>
      <c r="B24" s="41" t="s">
        <v>111</v>
      </c>
      <c r="C24" s="38">
        <f>AVERAGE(X264vsQY265_offline_veryfast!Q81:Q124)</f>
        <v>-0.39217270956306843</v>
      </c>
      <c r="D24" s="38">
        <f>AVERAGE(X264vsQY265_offline_veryfast!R81:R124)</f>
        <v>-0.44614553214900321</v>
      </c>
      <c r="E24" s="38">
        <f>AVERAGE(X264vsQY265_offline_veryfast!S81:S124)</f>
        <v>-0.43395149817981354</v>
      </c>
      <c r="F24" s="38">
        <f>AVERAGE(X264vsQY265_offline_veryfast!T81:T124)</f>
        <v>-0.40415675535142215</v>
      </c>
      <c r="G24" s="39">
        <f>AVERAGE(X264vsQY265_offline_veryfast!U81:U124)</f>
        <v>3.8843471109088881E-2</v>
      </c>
      <c r="H24" s="40"/>
      <c r="J24" s="59"/>
      <c r="K24" s="41" t="s">
        <v>111</v>
      </c>
      <c r="L24" s="38">
        <f>AVERAGE('X265 ultrafast vsQY265_veryfast'!Q81:Q124)</f>
        <v>-0.3335131117290861</v>
      </c>
      <c r="M24" s="38">
        <f>AVERAGE('X265 ultrafast vsQY265_veryfast'!R81:R124)</f>
        <v>-0.43259882826092944</v>
      </c>
      <c r="N24" s="38">
        <f>AVERAGE('X265 ultrafast vsQY265_veryfast'!S81:S124)</f>
        <v>-0.42892040078968063</v>
      </c>
      <c r="O24" s="38">
        <f>AVERAGE('X265 ultrafast vsQY265_veryfast'!T81:T124)</f>
        <v>-0.35460040019297751</v>
      </c>
      <c r="P24" s="39">
        <f>AVERAGE('X265 ultrafast vsQY265_veryfast'!U81:U124)</f>
        <v>0.90929598901040765</v>
      </c>
      <c r="S24" s="59"/>
      <c r="T24" s="41" t="s">
        <v>111</v>
      </c>
      <c r="U24" s="38">
        <f>AVERAGE(VP9vsQY265_offline_veryfast!Q81:Q124)</f>
        <v>-0.37920545737046557</v>
      </c>
      <c r="V24" s="38">
        <f>AVERAGE(VP9vsQY265_offline_veryfast!R81:R124)</f>
        <v>-0.48473215358009247</v>
      </c>
      <c r="W24" s="38">
        <f>AVERAGE(VP9vsQY265_offline_veryfast!S81:S124)</f>
        <v>-0.48276216040361053</v>
      </c>
      <c r="X24" s="38">
        <f>AVERAGE(VP9vsQY265_offline_veryfast!T81:T124)</f>
        <v>-0.40397920434430046</v>
      </c>
      <c r="Y24" s="39">
        <f>AVERAGE(VP9vsQY265_offline_veryfast!U81:U124)</f>
        <v>0.19179488708792022</v>
      </c>
      <c r="AB24" s="59"/>
      <c r="AC24" s="37" t="s">
        <v>41</v>
      </c>
      <c r="AD24" s="38">
        <f>AVERAGE(IntelvsQY265_offline_slow!Q53:Q68)</f>
        <v>-4.8564550194497125E-2</v>
      </c>
      <c r="AE24" s="38">
        <f>AVERAGE(IntelvsQY265_offline_slow!R53:R68)</f>
        <v>-0.25347739086166254</v>
      </c>
      <c r="AF24" s="38">
        <f>AVERAGE(IntelvsQY265_offline_slow!S53:S68)</f>
        <v>-0.24375577618309069</v>
      </c>
      <c r="AG24" s="38">
        <f>AVERAGE(IntelvsQY265_offline_slow!T53:T68)</f>
        <v>-8.5877622274482646E-2</v>
      </c>
      <c r="AH24" s="39">
        <f>AVERAGE(IntelvsQY265_offline_slow!U53:U68)</f>
        <v>0.46791692856249995</v>
      </c>
    </row>
    <row r="25" spans="1:34" ht="16.5" thickBot="1" x14ac:dyDescent="0.3">
      <c r="A25" s="60"/>
      <c r="B25" s="37" t="s">
        <v>76</v>
      </c>
      <c r="C25" s="38">
        <f>X264vsQY265_offline_veryfast!Q125</f>
        <v>-0.43927120513736523</v>
      </c>
      <c r="D25" s="38">
        <f>X264vsQY265_offline_veryfast!R125</f>
        <v>-0.51422191434166598</v>
      </c>
      <c r="E25" s="38">
        <f>X264vsQY265_offline_veryfast!S125</f>
        <v>-0.51361106757498642</v>
      </c>
      <c r="F25" s="38">
        <f>X264vsQY265_offline_veryfast!T125</f>
        <v>-0.45463400402144727</v>
      </c>
      <c r="G25" s="39">
        <f>X264vsQY265_offline_veryfast!U125</f>
        <v>6.5603221388165739E-2</v>
      </c>
      <c r="H25" s="40"/>
      <c r="J25" s="60"/>
      <c r="K25" s="37" t="s">
        <v>76</v>
      </c>
      <c r="L25" s="38">
        <f>'X265 ultrafast vsQY265_veryfast'!Q125</f>
        <v>-0.30562214874627674</v>
      </c>
      <c r="M25" s="38">
        <f>'X265 ultrafast vsQY265_veryfast'!R125</f>
        <v>-0.44905490143834786</v>
      </c>
      <c r="N25" s="38">
        <f>'X265 ultrafast vsQY265_veryfast'!S125</f>
        <v>-0.43975806624044234</v>
      </c>
      <c r="O25" s="38">
        <f>'X265 ultrafast vsQY265_veryfast'!T125</f>
        <v>-0.33222683785188184</v>
      </c>
      <c r="P25" s="39">
        <f>'X265 ultrafast vsQY265_veryfast'!U125</f>
        <v>0.90628235925876643</v>
      </c>
      <c r="S25" s="60"/>
      <c r="T25" s="37" t="s">
        <v>76</v>
      </c>
      <c r="U25" s="38">
        <f>VP9vsQY265_offline_veryfast!Q125</f>
        <v>-0.41136040033107019</v>
      </c>
      <c r="V25" s="38">
        <f>VP9vsQY265_offline_veryfast!R125</f>
        <v>-0.47968469248683254</v>
      </c>
      <c r="W25" s="38">
        <f>VP9vsQY265_offline_veryfast!S125</f>
        <v>-0.48636416713590086</v>
      </c>
      <c r="X25" s="38">
        <f>VP9vsQY265_offline_veryfast!T125</f>
        <v>-0.42849886408958221</v>
      </c>
      <c r="Y25" s="39">
        <f>VP9vsQY265_offline_veryfast!U125</f>
        <v>0.26833322697697354</v>
      </c>
      <c r="AB25" s="59"/>
      <c r="AC25" s="37" t="s">
        <v>43</v>
      </c>
      <c r="AD25" s="38">
        <f>AVERAGE(IntelvsQY265_offline_slow!Q69:Q80)</f>
        <v>-0.19033843323361507</v>
      </c>
      <c r="AE25" s="38">
        <f>AVERAGE(IntelvsQY265_offline_slow!R69:R80)</f>
        <v>-0.31141979868754105</v>
      </c>
      <c r="AF25" s="38">
        <f>AVERAGE(IntelvsQY265_offline_slow!S69:S80)</f>
        <v>-0.30624965455287206</v>
      </c>
      <c r="AG25" s="38">
        <f>AVERAGE(IntelvsQY265_offline_slow!T69:T80)</f>
        <v>-0.21826046750701592</v>
      </c>
      <c r="AH25" s="39">
        <f>AVERAGE(IntelvsQY265_offline_slow!U69:U80)</f>
        <v>-0.41029901280555553</v>
      </c>
    </row>
    <row r="26" spans="1:34" ht="16.5" thickBot="1" x14ac:dyDescent="0.3">
      <c r="A26" s="58" t="s">
        <v>75</v>
      </c>
      <c r="B26" s="37" t="s">
        <v>35</v>
      </c>
      <c r="C26" s="38">
        <f>AVERAGE(X264vsQY265_offline_veryfast!Q131:Q138)</f>
        <v>-0.50935471671235133</v>
      </c>
      <c r="D26" s="38">
        <f>AVERAGE(X264vsQY265_offline_veryfast!R131:R138)</f>
        <v>-0.49137295390303226</v>
      </c>
      <c r="E26" s="38">
        <f>AVERAGE(X264vsQY265_offline_veryfast!S131:S138)</f>
        <v>-0.51751750370871485</v>
      </c>
      <c r="F26" s="38">
        <f>AVERAGE(X264vsQY265_offline_veryfast!T131:T138)</f>
        <v>-0.50927729141000089</v>
      </c>
      <c r="G26" s="39">
        <f>AVERAGE(X264vsQY265_offline_veryfast!U131:U138)</f>
        <v>2.9181053522970912E-2</v>
      </c>
      <c r="H26" s="40"/>
      <c r="J26" s="58" t="s">
        <v>75</v>
      </c>
      <c r="K26" s="37" t="s">
        <v>35</v>
      </c>
      <c r="L26" s="38">
        <f>AVERAGE('X265 ultrafast vsQY265_veryfast'!Q131:Q138)</f>
        <v>-0.20372351632494257</v>
      </c>
      <c r="M26" s="38">
        <f>AVERAGE('X265 ultrafast vsQY265_veryfast'!R131:R138)</f>
        <v>-0.48139647783684342</v>
      </c>
      <c r="N26" s="38">
        <f>AVERAGE('X265 ultrafast vsQY265_veryfast'!S131:S138)</f>
        <v>-0.47733980259522374</v>
      </c>
      <c r="O26" s="38">
        <f>AVERAGE('X265 ultrafast vsQY265_veryfast'!T131:T138)</f>
        <v>-0.24800031272714851</v>
      </c>
      <c r="P26" s="39">
        <f>AVERAGE('X265 ultrafast vsQY265_veryfast'!U131:U138)</f>
        <v>0.77622862509139878</v>
      </c>
      <c r="S26" s="58" t="s">
        <v>75</v>
      </c>
      <c r="T26" s="37" t="s">
        <v>35</v>
      </c>
      <c r="U26" s="38">
        <f>AVERAGE(VP9vsQY265_offline_veryfast!Q131:Q138)</f>
        <v>-0.33670512908553835</v>
      </c>
      <c r="V26" s="38">
        <f>AVERAGE(VP9vsQY265_offline_veryfast!R131:R138)</f>
        <v>-0.4912310810315525</v>
      </c>
      <c r="W26" s="38">
        <f>AVERAGE(VP9vsQY265_offline_veryfast!S131:S138)</f>
        <v>-0.50925573495317578</v>
      </c>
      <c r="X26" s="38">
        <f>AVERAGE(VP9vsQY265_offline_veryfast!T131:T138)</f>
        <v>-0.36589312957232983</v>
      </c>
      <c r="Y26" s="39">
        <f>AVERAGE(VP9vsQY265_offline_veryfast!U131:U138)</f>
        <v>0.41140028049783994</v>
      </c>
      <c r="AB26" s="59"/>
      <c r="AC26" s="41" t="s">
        <v>111</v>
      </c>
      <c r="AD26" s="38">
        <f>AVERAGE(IntelvsQY265_offline_slow!Q81:Q124)</f>
        <v>-0.1400952431336086</v>
      </c>
      <c r="AE26" s="38">
        <f>AVERAGE(IntelvsQY265_offline_slow!R81:R124)</f>
        <v>-0.25967180569010534</v>
      </c>
      <c r="AF26" s="38">
        <f>AVERAGE(IntelvsQY265_offline_slow!S81:S124)</f>
        <v>-0.25655904451284051</v>
      </c>
      <c r="AG26" s="38">
        <f>AVERAGE(IntelvsQY265_offline_slow!T81:T124)</f>
        <v>-0.16429235184408875</v>
      </c>
      <c r="AH26" s="39">
        <f>AVERAGE(IntelvsQY265_offline_slow!U81:U124)</f>
        <v>-0.37756538540151524</v>
      </c>
    </row>
    <row r="27" spans="1:34" ht="16.5" thickBot="1" x14ac:dyDescent="0.3">
      <c r="A27" s="59"/>
      <c r="B27" s="37" t="s">
        <v>37</v>
      </c>
      <c r="C27" s="38">
        <f>AVERAGE(X264vsQY265_offline_veryfast!Q139:Q158)</f>
        <v>-0.55256515031602971</v>
      </c>
      <c r="D27" s="38">
        <f>AVERAGE(X264vsQY265_offline_veryfast!R139:R158)</f>
        <v>-0.57231580907067514</v>
      </c>
      <c r="E27" s="38">
        <f>AVERAGE(X264vsQY265_offline_veryfast!S139:S158)</f>
        <v>-0.58718500095246406</v>
      </c>
      <c r="F27" s="38">
        <f>AVERAGE(X264vsQY265_offline_veryfast!T139:T158)</f>
        <v>-0.5578525673028768</v>
      </c>
      <c r="G27" s="39">
        <f>AVERAGE(X264vsQY265_offline_veryfast!U139:U158)</f>
        <v>0.19633829912486936</v>
      </c>
      <c r="H27" s="40"/>
      <c r="J27" s="59"/>
      <c r="K27" s="37" t="s">
        <v>37</v>
      </c>
      <c r="L27" s="38">
        <f>AVERAGE('X265 ultrafast vsQY265_veryfast'!Q139:Q158)</f>
        <v>-0.25553132868640249</v>
      </c>
      <c r="M27" s="38">
        <f>AVERAGE('X265 ultrafast vsQY265_veryfast'!R139:R158)</f>
        <v>-0.45235771880077474</v>
      </c>
      <c r="N27" s="38">
        <f>AVERAGE('X265 ultrafast vsQY265_veryfast'!S139:S158)</f>
        <v>-0.4445463481022941</v>
      </c>
      <c r="O27" s="38">
        <f>AVERAGE('X265 ultrafast vsQY265_veryfast'!T139:T158)</f>
        <v>-0.28909352636321184</v>
      </c>
      <c r="P27" s="39">
        <f>AVERAGE('X265 ultrafast vsQY265_veryfast'!U139:U158)</f>
        <v>1.0336772170691741</v>
      </c>
      <c r="S27" s="59"/>
      <c r="T27" s="37" t="s">
        <v>37</v>
      </c>
      <c r="U27" s="38">
        <f>AVERAGE(VP9vsQY265_offline_veryfast!Q139:Q158)</f>
        <v>-0.44646709896061693</v>
      </c>
      <c r="V27" s="38">
        <f>AVERAGE(VP9vsQY265_offline_veryfast!R139:R158)</f>
        <v>-0.51092533240674931</v>
      </c>
      <c r="W27" s="38">
        <f>AVERAGE(VP9vsQY265_offline_veryfast!S139:S158)</f>
        <v>-0.52404430024718207</v>
      </c>
      <c r="X27" s="38">
        <f>AVERAGE(VP9vsQY265_offline_veryfast!T139:T158)</f>
        <v>-0.46205402242273924</v>
      </c>
      <c r="Y27" s="39">
        <f>AVERAGE(VP9vsQY265_offline_veryfast!U139:U158)</f>
        <v>0.64863709321061946</v>
      </c>
      <c r="AB27" s="60"/>
      <c r="AC27" s="37" t="s">
        <v>76</v>
      </c>
      <c r="AD27" s="38">
        <f>IntelvsQY265_offline_slow!Q125</f>
        <v>-0.12473103193850901</v>
      </c>
      <c r="AE27" s="38">
        <f>IntelvsQY265_offline_slow!R125</f>
        <v>-0.29568979548650159</v>
      </c>
      <c r="AF27" s="38">
        <f>IntelvsQY265_offline_slow!S125</f>
        <v>-0.29347579041410771</v>
      </c>
      <c r="AG27" s="38">
        <f>IntelvsQY265_offline_slow!T125</f>
        <v>-0.15700642329650896</v>
      </c>
      <c r="AH27" s="39">
        <f>IntelvsQY265_offline_slow!U125</f>
        <v>-0.29142017835244244</v>
      </c>
    </row>
    <row r="28" spans="1:34" ht="16.5" thickBot="1" x14ac:dyDescent="0.3">
      <c r="A28" s="59"/>
      <c r="B28" s="37" t="s">
        <v>39</v>
      </c>
      <c r="C28" s="38">
        <f>AVERAGE(X264vsQY265_offline_veryfast!Q159:Q174)</f>
        <v>-0.41133669874594742</v>
      </c>
      <c r="D28" s="38">
        <f>AVERAGE(X264vsQY265_offline_veryfast!R159:R174)</f>
        <v>-0.50816388212692898</v>
      </c>
      <c r="E28" s="38">
        <f>AVERAGE(X264vsQY265_offline_veryfast!S159:S174)</f>
        <v>-0.49693728524862896</v>
      </c>
      <c r="F28" s="38">
        <f>AVERAGE(X264vsQY265_offline_veryfast!T159:T174)</f>
        <v>-0.4274537257889065</v>
      </c>
      <c r="G28" s="39">
        <f>AVERAGE(X264vsQY265_offline_veryfast!U159:U174)</f>
        <v>-0.11374571002435929</v>
      </c>
      <c r="H28" s="40"/>
      <c r="J28" s="59"/>
      <c r="K28" s="37" t="s">
        <v>39</v>
      </c>
      <c r="L28" s="38">
        <f>AVERAGE('X265 ultrafast vsQY265_veryfast'!Q159:Q174)</f>
        <v>-0.28908769608708507</v>
      </c>
      <c r="M28" s="38">
        <f>AVERAGE('X265 ultrafast vsQY265_veryfast'!R159:R174)</f>
        <v>-0.45593985903272422</v>
      </c>
      <c r="N28" s="38">
        <f>AVERAGE('X265 ultrafast vsQY265_veryfast'!S159:S174)</f>
        <v>-0.4314102028746174</v>
      </c>
      <c r="O28" s="38">
        <f>AVERAGE('X265 ultrafast vsQY265_veryfast'!T159:T174)</f>
        <v>-0.31795792575342929</v>
      </c>
      <c r="P28" s="39">
        <f>AVERAGE('X265 ultrafast vsQY265_veryfast'!U159:U174)</f>
        <v>0.76274257273371604</v>
      </c>
      <c r="S28" s="59"/>
      <c r="T28" s="37" t="s">
        <v>39</v>
      </c>
      <c r="U28" s="38">
        <f>AVERAGE(VP9vsQY265_offline_veryfast!Q159:Q174)</f>
        <v>-0.37198456398174573</v>
      </c>
      <c r="V28" s="38">
        <f>AVERAGE(VP9vsQY265_offline_veryfast!R159:R174)</f>
        <v>-0.49776056423618575</v>
      </c>
      <c r="W28" s="38">
        <f>AVERAGE(VP9vsQY265_offline_veryfast!S159:S174)</f>
        <v>-0.50239217079606668</v>
      </c>
      <c r="X28" s="38">
        <f>AVERAGE(VP9vsQY265_offline_veryfast!T159:T174)</f>
        <v>-0.4003304727895951</v>
      </c>
      <c r="Y28" s="39">
        <f>AVERAGE(VP9vsQY265_offline_veryfast!U159:U174)</f>
        <v>1.0261500934674137</v>
      </c>
      <c r="AB28" s="55" t="s">
        <v>156</v>
      </c>
      <c r="AC28" s="56"/>
      <c r="AD28" s="56"/>
      <c r="AE28" s="56"/>
      <c r="AF28" s="56"/>
      <c r="AG28" s="56"/>
      <c r="AH28" s="57"/>
    </row>
    <row r="29" spans="1:34" ht="16.5" thickBot="1" x14ac:dyDescent="0.3">
      <c r="A29" s="59"/>
      <c r="B29" s="37" t="s">
        <v>41</v>
      </c>
      <c r="C29" s="38">
        <f>AVERAGE(X264vsQY265_offline_veryfast!Q175:Q190)</f>
        <v>-0.3671230494403786</v>
      </c>
      <c r="D29" s="38">
        <f>AVERAGE(X264vsQY265_offline_veryfast!R175:R190)</f>
        <v>-0.54912327312981457</v>
      </c>
      <c r="E29" s="38">
        <f>AVERAGE(X264vsQY265_offline_veryfast!S175:S190)</f>
        <v>-0.54079773314581681</v>
      </c>
      <c r="F29" s="38">
        <f>AVERAGE(X264vsQY265_offline_veryfast!T175:T190)</f>
        <v>-0.39873723575649639</v>
      </c>
      <c r="G29" s="39">
        <f>AVERAGE(X264vsQY265_offline_veryfast!U175:U190)</f>
        <v>-0.24700672892953265</v>
      </c>
      <c r="H29" s="40"/>
      <c r="J29" s="59"/>
      <c r="K29" s="37" t="s">
        <v>41</v>
      </c>
      <c r="L29" s="38">
        <f>AVERAGE('X265 ultrafast vsQY265_veryfast'!Q175:Q190)</f>
        <v>-0.34273393545907421</v>
      </c>
      <c r="M29" s="38">
        <f>AVERAGE('X265 ultrafast vsQY265_veryfast'!R175:R190)</f>
        <v>-0.49628668482235705</v>
      </c>
      <c r="N29" s="38">
        <f>AVERAGE('X265 ultrafast vsQY265_veryfast'!S175:S190)</f>
        <v>-0.48313249709930861</v>
      </c>
      <c r="O29" s="38">
        <f>AVERAGE('X265 ultrafast vsQY265_veryfast'!T175:T190)</f>
        <v>-0.37168158459673672</v>
      </c>
      <c r="P29" s="39">
        <f>AVERAGE('X265 ultrafast vsQY265_veryfast'!U175:U190)</f>
        <v>0.44565404445132328</v>
      </c>
      <c r="S29" s="59"/>
      <c r="T29" s="37" t="s">
        <v>41</v>
      </c>
      <c r="U29" s="38">
        <f>AVERAGE(VP9vsQY265_offline_veryfast!Q175:Q190)</f>
        <v>-0.41880387063438551</v>
      </c>
      <c r="V29" s="38">
        <f>AVERAGE(VP9vsQY265_offline_veryfast!R175:R190)</f>
        <v>-0.47602203505692514</v>
      </c>
      <c r="W29" s="38">
        <f>AVERAGE(VP9vsQY265_offline_veryfast!S175:S190)</f>
        <v>-0.49875483778133067</v>
      </c>
      <c r="X29" s="38">
        <f>AVERAGE(VP9vsQY265_offline_veryfast!T175:T190)</f>
        <v>-0.43960208827825675</v>
      </c>
      <c r="Y29" s="39">
        <f>AVERAGE(VP9vsQY265_offline_veryfast!U175:U190)</f>
        <v>1.7816312167496124</v>
      </c>
      <c r="AB29" s="37" t="s">
        <v>124</v>
      </c>
      <c r="AC29" s="37" t="s">
        <v>72</v>
      </c>
      <c r="AD29" s="37" t="s">
        <v>68</v>
      </c>
      <c r="AE29" s="37" t="s">
        <v>69</v>
      </c>
      <c r="AF29" s="37" t="s">
        <v>70</v>
      </c>
      <c r="AG29" s="37" t="s">
        <v>71</v>
      </c>
      <c r="AH29" s="37" t="s">
        <v>74</v>
      </c>
    </row>
    <row r="30" spans="1:34" ht="16.5" thickBot="1" x14ac:dyDescent="0.3">
      <c r="A30" s="59"/>
      <c r="B30" s="37" t="s">
        <v>43</v>
      </c>
      <c r="C30" s="38">
        <f>AVERAGE(X264vsQY265_offline_veryfast!Q191:Q202)</f>
        <v>-0.50229648426001605</v>
      </c>
      <c r="D30" s="38">
        <f>AVERAGE(X264vsQY265_offline_veryfast!R191:R202)</f>
        <v>-0.61195696720123116</v>
      </c>
      <c r="E30" s="38">
        <f>AVERAGE(X264vsQY265_offline_veryfast!S191:S202)</f>
        <v>-0.6268409300842549</v>
      </c>
      <c r="F30" s="38">
        <f>AVERAGE(X264vsQY265_offline_veryfast!T191:T202)</f>
        <v>-0.53000318059394524</v>
      </c>
      <c r="G30" s="39">
        <f>AVERAGE(X264vsQY265_offline_veryfast!U191:U202)</f>
        <v>0.28713030388774613</v>
      </c>
      <c r="H30" s="40"/>
      <c r="J30" s="59"/>
      <c r="K30" s="37" t="s">
        <v>43</v>
      </c>
      <c r="L30" s="38">
        <f>AVERAGE('X265 ultrafast vsQY265_veryfast'!Q191:Q202)</f>
        <v>-0.39764216608036757</v>
      </c>
      <c r="M30" s="38">
        <f>AVERAGE('X265 ultrafast vsQY265_veryfast'!R191:R202)</f>
        <v>-0.44065181334370918</v>
      </c>
      <c r="N30" s="38">
        <f>AVERAGE('X265 ultrafast vsQY265_veryfast'!S191:S202)</f>
        <v>-0.42607759402959716</v>
      </c>
      <c r="O30" s="38">
        <f>AVERAGE('X265 ultrafast vsQY265_veryfast'!T191:T202)</f>
        <v>-0.40525127578114284</v>
      </c>
      <c r="P30" s="39">
        <f>AVERAGE('X265 ultrafast vsQY265_veryfast'!U191:U202)</f>
        <v>1.0344393518334181</v>
      </c>
      <c r="S30" s="59"/>
      <c r="T30" s="37" t="s">
        <v>43</v>
      </c>
      <c r="U30" s="38">
        <f>AVERAGE(VP9vsQY265_offline_veryfast!Q191:Q202)</f>
        <v>-0.44175845158659527</v>
      </c>
      <c r="V30" s="38">
        <f>AVERAGE(VP9vsQY265_offline_veryfast!R191:R202)</f>
        <v>-0.30425914063576492</v>
      </c>
      <c r="W30" s="38">
        <f>AVERAGE(VP9vsQY265_offline_veryfast!S191:S202)</f>
        <v>-0.2991904853657063</v>
      </c>
      <c r="X30" s="38">
        <f>AVERAGE(VP9vsQY265_offline_veryfast!T191:T202)</f>
        <v>-0.41382625787789512</v>
      </c>
      <c r="Y30" s="39">
        <f>AVERAGE(VP9vsQY265_offline_veryfast!U191:U202)</f>
        <v>0.55635101870150028</v>
      </c>
      <c r="AB30" s="58" t="s">
        <v>75</v>
      </c>
      <c r="AC30" s="37" t="s">
        <v>35</v>
      </c>
      <c r="AD30" s="38">
        <f>AVERAGE(IntelvsQY265_offline_veryslow!Q9:Q16)</f>
        <v>5.5616289354670834E-2</v>
      </c>
      <c r="AE30" s="38">
        <f>AVERAGE(IntelvsQY265_offline_veryslow!R9:R16)</f>
        <v>-0.27709963926280562</v>
      </c>
      <c r="AF30" s="38">
        <f>AVERAGE(IntelvsQY265_offline_veryslow!S9:S16)</f>
        <v>-0.29826474558129884</v>
      </c>
      <c r="AG30" s="38">
        <f>AVERAGE(IntelvsQY265_offline_veryslow!T9:T16)</f>
        <v>-2.8022552883927299E-3</v>
      </c>
      <c r="AH30" s="39">
        <f>AVERAGE(IntelvsQY265_offline_veryslow!U9:U16)</f>
        <v>-0.32467047283333333</v>
      </c>
    </row>
    <row r="31" spans="1:34" ht="16.5" thickBot="1" x14ac:dyDescent="0.3">
      <c r="A31" s="59"/>
      <c r="B31" s="41" t="s">
        <v>111</v>
      </c>
      <c r="C31" s="38">
        <f>AVERAGE(X264vsQY265_offline_veryfast!Q203:Q246)</f>
        <v>-0.38306834141641344</v>
      </c>
      <c r="D31" s="38">
        <f>AVERAGE(X264vsQY265_offline_veryfast!R203:R246)</f>
        <v>-0.43557883710333184</v>
      </c>
      <c r="E31" s="38">
        <f>AVERAGE(X264vsQY265_offline_veryfast!S203:S246)</f>
        <v>-0.42092062909846389</v>
      </c>
      <c r="F31" s="38">
        <f>AVERAGE(X264vsQY265_offline_veryfast!T203:T246)</f>
        <v>-0.39474697302595774</v>
      </c>
      <c r="G31" s="39">
        <f>AVERAGE(X264vsQY265_offline_veryfast!U203:U246)</f>
        <v>1.9622031836293196E-2</v>
      </c>
      <c r="H31" s="40"/>
      <c r="J31" s="59"/>
      <c r="K31" s="41" t="s">
        <v>111</v>
      </c>
      <c r="L31" s="38">
        <f>AVERAGE('X265 ultrafast vsQY265_veryfast'!Q203:Q246)</f>
        <v>-0.3448157077335981</v>
      </c>
      <c r="M31" s="38">
        <f>AVERAGE('X265 ultrafast vsQY265_veryfast'!R203:R246)</f>
        <v>-0.43863635675788648</v>
      </c>
      <c r="N31" s="38">
        <f>AVERAGE('X265 ultrafast vsQY265_veryfast'!S203:S246)</f>
        <v>-0.4320785777164865</v>
      </c>
      <c r="O31" s="38">
        <f>AVERAGE('X265 ultrafast vsQY265_veryfast'!T203:T246)</f>
        <v>-0.36412282357123188</v>
      </c>
      <c r="P31" s="39">
        <f>AVERAGE('X265 ultrafast vsQY265_veryfast'!U203:U246)</f>
        <v>0.89220656910411833</v>
      </c>
      <c r="S31" s="59"/>
      <c r="T31" s="41" t="s">
        <v>111</v>
      </c>
      <c r="U31" s="38">
        <f>AVERAGE(VP9vsQY265_offline_veryfast!Q203:Q246)</f>
        <v>-0.36329097656851456</v>
      </c>
      <c r="V31" s="38">
        <f>AVERAGE(VP9vsQY265_offline_veryfast!R203:R246)</f>
        <v>-0.47063349236465829</v>
      </c>
      <c r="W31" s="38">
        <f>AVERAGE(VP9vsQY265_offline_veryfast!S203:S246)</f>
        <v>-0.46770887847887654</v>
      </c>
      <c r="X31" s="38">
        <f>AVERAGE(VP9vsQY265_offline_veryfast!T203:T246)</f>
        <v>-0.38829644573348826</v>
      </c>
      <c r="Y31" s="39">
        <f>AVERAGE(VP9vsQY265_offline_veryfast!U203:U246)</f>
        <v>0.39468180295227723</v>
      </c>
      <c r="AB31" s="59"/>
      <c r="AC31" s="37" t="s">
        <v>37</v>
      </c>
      <c r="AD31" s="38">
        <f>AVERAGE(IntelvsQY265_offline_veryslow!Q17:Q36)</f>
        <v>-4.5353049026158445E-3</v>
      </c>
      <c r="AE31" s="38">
        <f>AVERAGE(IntelvsQY265_offline_veryslow!R17:R36)</f>
        <v>-0.27076490740790671</v>
      </c>
      <c r="AF31" s="38">
        <f>AVERAGE(IntelvsQY265_offline_veryslow!S17:S36)</f>
        <v>-0.27379727062208747</v>
      </c>
      <c r="AG31" s="38">
        <f>AVERAGE(IntelvsQY265_offline_veryslow!T17:T36)</f>
        <v>-5.1005058190978579E-2</v>
      </c>
      <c r="AH31" s="39">
        <f>AVERAGE(IntelvsQY265_offline_veryslow!U17:U36)</f>
        <v>-0.33930591379666669</v>
      </c>
    </row>
    <row r="32" spans="1:34" ht="15.75" customHeight="1" thickBot="1" x14ac:dyDescent="0.3">
      <c r="A32" s="60"/>
      <c r="B32" s="37" t="s">
        <v>76</v>
      </c>
      <c r="C32" s="38">
        <f>X264vsQY265_offline_veryfast!Q247</f>
        <v>-0.43503501331416389</v>
      </c>
      <c r="D32" s="38">
        <f>X264vsQY265_offline_veryfast!R247</f>
        <v>-0.50692109254919859</v>
      </c>
      <c r="E32" s="38">
        <f>X264vsQY265_offline_veryfast!S247</f>
        <v>-0.50457068262391036</v>
      </c>
      <c r="F32" s="38">
        <f>X264vsQY265_offline_veryfast!T247</f>
        <v>-0.44982094864080585</v>
      </c>
      <c r="G32" s="39">
        <f>X264vsQY265_offline_veryfast!U247</f>
        <v>2.3250934783351163E-2</v>
      </c>
      <c r="H32" s="40"/>
      <c r="J32" s="60"/>
      <c r="K32" s="37" t="s">
        <v>76</v>
      </c>
      <c r="L32" s="38">
        <f>'X265 ultrafast vsQY265_veryfast'!Q247</f>
        <v>-0.31718239605438681</v>
      </c>
      <c r="M32" s="38">
        <f>'X265 ultrafast vsQY265_veryfast'!R247</f>
        <v>-0.45449803756778495</v>
      </c>
      <c r="N32" s="38">
        <f>'X265 ultrafast vsQY265_veryfast'!S247</f>
        <v>-0.44367859595061254</v>
      </c>
      <c r="O32" s="38">
        <f>'X265 ultrafast vsQY265_veryfast'!T247</f>
        <v>-0.34210797190682757</v>
      </c>
      <c r="P32" s="39">
        <f>'X265 ultrafast vsQY265_veryfast'!U247</f>
        <v>0.84386276275566841</v>
      </c>
      <c r="S32" s="60"/>
      <c r="T32" s="37" t="s">
        <v>76</v>
      </c>
      <c r="U32" s="38">
        <f>VP9vsQY265_offline_veryfast!Q247</f>
        <v>-0.39277157201559076</v>
      </c>
      <c r="V32" s="38">
        <f>VP9vsQY265_offline_veryfast!R247</f>
        <v>-0.46627465721337358</v>
      </c>
      <c r="W32" s="38">
        <f>VP9vsQY265_offline_veryfast!S247</f>
        <v>-0.47192034913160735</v>
      </c>
      <c r="X32" s="38">
        <f>VP9vsQY265_offline_veryfast!T247</f>
        <v>-0.41084573421489035</v>
      </c>
      <c r="Y32" s="39">
        <f>VP9vsQY265_offline_veryfast!U247</f>
        <v>0.73474703987918721</v>
      </c>
      <c r="AB32" s="59"/>
      <c r="AC32" s="37" t="s">
        <v>39</v>
      </c>
      <c r="AD32" s="38">
        <f>AVERAGE(IntelvsQY265_offline_veryslow!Q37:Q52)</f>
        <v>-4.1293270031609874E-2</v>
      </c>
      <c r="AE32" s="38">
        <f>AVERAGE(IntelvsQY265_offline_veryslow!R37:R52)</f>
        <v>-0.24477950378560842</v>
      </c>
      <c r="AF32" s="38">
        <f>AVERAGE(IntelvsQY265_offline_veryslow!S37:S52)</f>
        <v>-0.22389910810715249</v>
      </c>
      <c r="AG32" s="38">
        <f>AVERAGE(IntelvsQY265_offline_veryslow!T37:T52)</f>
        <v>-7.6955166430477617E-2</v>
      </c>
      <c r="AH32" s="39">
        <f>AVERAGE(IntelvsQY265_offline_veryslow!U37:U52)</f>
        <v>-0.34229551046041667</v>
      </c>
    </row>
    <row r="33" spans="1:34" ht="16.5" thickBot="1" x14ac:dyDescent="0.3">
      <c r="A33" s="55" t="s">
        <v>216</v>
      </c>
      <c r="B33" s="56"/>
      <c r="C33" s="56"/>
      <c r="D33" s="56"/>
      <c r="E33" s="56"/>
      <c r="F33" s="56"/>
      <c r="G33" s="57"/>
      <c r="J33" s="55" t="s">
        <v>116</v>
      </c>
      <c r="K33" s="56"/>
      <c r="L33" s="56"/>
      <c r="M33" s="56"/>
      <c r="N33" s="56"/>
      <c r="O33" s="56"/>
      <c r="P33" s="57"/>
      <c r="S33" s="55" t="s">
        <v>117</v>
      </c>
      <c r="T33" s="56"/>
      <c r="U33" s="56"/>
      <c r="V33" s="56"/>
      <c r="W33" s="56"/>
      <c r="X33" s="56"/>
      <c r="Y33" s="57"/>
      <c r="AB33" s="59"/>
      <c r="AC33" s="37" t="s">
        <v>41</v>
      </c>
      <c r="AD33" s="38">
        <f>AVERAGE(IntelvsQY265_offline_veryslow!Q53:Q68)</f>
        <v>1.7229360960163503E-2</v>
      </c>
      <c r="AE33" s="38">
        <f>AVERAGE(IntelvsQY265_offline_veryslow!R53:R68)</f>
        <v>-0.14686087048403049</v>
      </c>
      <c r="AF33" s="38">
        <f>AVERAGE(IntelvsQY265_offline_veryslow!S53:S68)</f>
        <v>-0.14491248462484407</v>
      </c>
      <c r="AG33" s="38">
        <f>AVERAGE(IntelvsQY265_offline_veryslow!T53:T68)</f>
        <v>-1.1981399827155875E-2</v>
      </c>
      <c r="AH33" s="39">
        <f>AVERAGE(IntelvsQY265_offline_veryslow!U53:U68)</f>
        <v>-0.39625214384166668</v>
      </c>
    </row>
    <row r="34" spans="1:34" ht="16.5" thickBot="1" x14ac:dyDescent="0.3">
      <c r="A34" s="37" t="s">
        <v>73</v>
      </c>
      <c r="B34" s="37" t="s">
        <v>72</v>
      </c>
      <c r="C34" s="37" t="s">
        <v>68</v>
      </c>
      <c r="D34" s="37" t="s">
        <v>69</v>
      </c>
      <c r="E34" s="37" t="s">
        <v>70</v>
      </c>
      <c r="F34" s="37" t="s">
        <v>71</v>
      </c>
      <c r="G34" s="37" t="s">
        <v>74</v>
      </c>
      <c r="J34" s="37" t="s">
        <v>73</v>
      </c>
      <c r="K34" s="37" t="s">
        <v>72</v>
      </c>
      <c r="L34" s="37" t="s">
        <v>68</v>
      </c>
      <c r="M34" s="37" t="s">
        <v>69</v>
      </c>
      <c r="N34" s="37" t="s">
        <v>70</v>
      </c>
      <c r="O34" s="37" t="s">
        <v>71</v>
      </c>
      <c r="P34" s="37" t="s">
        <v>74</v>
      </c>
      <c r="S34" s="37" t="s">
        <v>124</v>
      </c>
      <c r="T34" s="37" t="s">
        <v>72</v>
      </c>
      <c r="U34" s="37" t="s">
        <v>68</v>
      </c>
      <c r="V34" s="37" t="s">
        <v>69</v>
      </c>
      <c r="W34" s="37" t="s">
        <v>70</v>
      </c>
      <c r="X34" s="37" t="s">
        <v>71</v>
      </c>
      <c r="Y34" s="37" t="s">
        <v>74</v>
      </c>
      <c r="AB34" s="59"/>
      <c r="AC34" s="37" t="s">
        <v>43</v>
      </c>
      <c r="AD34" s="38">
        <f>AVERAGE(IntelvsQY265_offline_veryslow!Q69:Q80)</f>
        <v>-3.3542415442666118E-2</v>
      </c>
      <c r="AE34" s="38">
        <f>AVERAGE(IntelvsQY265_offline_veryslow!R69:R80)</f>
        <v>-0.1839563067704684</v>
      </c>
      <c r="AF34" s="38">
        <f>AVERAGE(IntelvsQY265_offline_veryslow!S69:S80)</f>
        <v>-0.13994112730132136</v>
      </c>
      <c r="AG34" s="38">
        <f>AVERAGE(IntelvsQY265_offline_veryslow!T69:T80)</f>
        <v>-6.3605539932226798E-2</v>
      </c>
      <c r="AH34" s="39">
        <f>AVERAGE(IntelvsQY265_offline_veryslow!U69:U80)</f>
        <v>-0.39219111986111105</v>
      </c>
    </row>
    <row r="35" spans="1:34" ht="16.5" thickBot="1" x14ac:dyDescent="0.3">
      <c r="A35" s="58">
        <v>1</v>
      </c>
      <c r="B35" s="37" t="s">
        <v>35</v>
      </c>
      <c r="C35" s="38">
        <f>AVERAGE(X264vsQY265_offline_slow!Q9:Q16)</f>
        <v>-0.34542291376425049</v>
      </c>
      <c r="D35" s="38">
        <f>AVERAGE(X264vsQY265_offline_slow!R9:R16)</f>
        <v>-0.56987135096987673</v>
      </c>
      <c r="E35" s="38">
        <f>AVERAGE(X264vsQY265_offline_slow!S9:S16)</f>
        <v>-0.60034143959963004</v>
      </c>
      <c r="F35" s="38">
        <f>AVERAGE(X264vsQY265_offline_slow!T9:T16)</f>
        <v>-0.38187359628225914</v>
      </c>
      <c r="G35" s="39">
        <f>AVERAGE(X264vsQY265_offline_slow!U9:U16)</f>
        <v>-0.1461800061543585</v>
      </c>
      <c r="J35" s="58">
        <v>1</v>
      </c>
      <c r="K35" s="37" t="s">
        <v>35</v>
      </c>
      <c r="L35" s="38">
        <f>AVERAGE(X265vsQY265_offline_slow!Q9:Q16)</f>
        <v>-1.3259728808921456E-2</v>
      </c>
      <c r="M35" s="38">
        <f>AVERAGE(X265vsQY265_offline_slow!R9:R16)</f>
        <v>-0.54788939314003315</v>
      </c>
      <c r="N35" s="38">
        <f>AVERAGE(X265vsQY265_offline_slow!S9:S16)</f>
        <v>-0.53536892820903881</v>
      </c>
      <c r="O35" s="38">
        <f>AVERAGE(X265vsQY265_offline_slow!T9:T16)</f>
        <v>-0.11189125301435787</v>
      </c>
      <c r="P35" s="39">
        <f>AVERAGE(X265vsQY265_offline_slow!U9:U16)</f>
        <v>1.29290788824056</v>
      </c>
      <c r="S35" s="58">
        <v>1</v>
      </c>
      <c r="T35" s="37" t="s">
        <v>35</v>
      </c>
      <c r="U35" s="38">
        <f>AVERAGE(VP9vsQY265_offline_slow!Q9:Q16)</f>
        <v>-0.21188003304339614</v>
      </c>
      <c r="V35" s="38">
        <f>AVERAGE(VP9vsQY265_offline_slow!R9:R16)</f>
        <v>-0.49071374708458715</v>
      </c>
      <c r="W35" s="38">
        <f>AVERAGE(VP9vsQY265_offline_slow!S9:S16)</f>
        <v>-0.49403372547734609</v>
      </c>
      <c r="X35" s="38">
        <f>AVERAGE(VP9vsQY265_offline_slow!T9:T16)</f>
        <v>-0.26214435056641694</v>
      </c>
      <c r="Y35" s="39">
        <f>AVERAGE(VP9vsQY265_offline_slow!U9:U16)</f>
        <v>0.92588328753139093</v>
      </c>
      <c r="AB35" s="59"/>
      <c r="AC35" s="41" t="s">
        <v>111</v>
      </c>
      <c r="AD35" s="38">
        <f>AVERAGE(IntelvsQY265_offline_veryslow!Q81:Q124)</f>
        <v>-5.7731140272833707E-2</v>
      </c>
      <c r="AE35" s="38">
        <f>AVERAGE(IntelvsQY265_offline_veryslow!R81:R124)</f>
        <v>-0.19857640533068366</v>
      </c>
      <c r="AF35" s="38">
        <f>AVERAGE(IntelvsQY265_offline_veryslow!S81:S124)</f>
        <v>-0.19084907787793937</v>
      </c>
      <c r="AG35" s="38">
        <f>AVERAGE(IntelvsQY265_offline_veryslow!T81:T124)</f>
        <v>-8.5308019788649977E-2</v>
      </c>
      <c r="AH35" s="39">
        <f>AVERAGE(IntelvsQY265_offline_veryslow!U81:U124)</f>
        <v>-0.34432739289898989</v>
      </c>
    </row>
    <row r="36" spans="1:34" ht="16.5" thickBot="1" x14ac:dyDescent="0.3">
      <c r="A36" s="59"/>
      <c r="B36" s="37" t="s">
        <v>37</v>
      </c>
      <c r="C36" s="38">
        <f>AVERAGE(X264vsQY265_offline_slow!Q17:Q36)</f>
        <v>-0.44128184707686591</v>
      </c>
      <c r="D36" s="38">
        <f>AVERAGE(X264vsQY265_offline_slow!R17:R36)</f>
        <v>-0.65273007875928268</v>
      </c>
      <c r="E36" s="38">
        <f>AVERAGE(X264vsQY265_offline_slow!S17:S36)</f>
        <v>-0.65433794053172656</v>
      </c>
      <c r="F36" s="38">
        <f>AVERAGE(X264vsQY265_offline_slow!T17:T36)</f>
        <v>-0.47893508711270583</v>
      </c>
      <c r="G36" s="39">
        <f>AVERAGE(X264vsQY265_offline_slow!U17:U36)</f>
        <v>1.4726098318221293E-2</v>
      </c>
      <c r="J36" s="59"/>
      <c r="K36" s="37" t="s">
        <v>37</v>
      </c>
      <c r="L36" s="38">
        <f>AVERAGE(X265vsQY265_offline_slow!Q17:Q36)</f>
        <v>-2.5261292584334027E-2</v>
      </c>
      <c r="M36" s="38">
        <f>AVERAGE(X265vsQY265_offline_slow!R17:R36)</f>
        <v>-0.49740781662222028</v>
      </c>
      <c r="N36" s="38">
        <f>AVERAGE(X265vsQY265_offline_slow!S17:S36)</f>
        <v>-0.47846829415637132</v>
      </c>
      <c r="O36" s="38">
        <f>AVERAGE(X265vsQY265_offline_slow!T17:T36)</f>
        <v>-0.12036154739736041</v>
      </c>
      <c r="P36" s="39">
        <f>AVERAGE(X265vsQY265_offline_slow!U17:U36)</f>
        <v>1.9125588231496355</v>
      </c>
      <c r="S36" s="59"/>
      <c r="T36" s="37" t="s">
        <v>37</v>
      </c>
      <c r="U36" s="38">
        <f>AVERAGE(VP9vsQY265_offline_slow!Q17:Q36)</f>
        <v>-0.22903631107425121</v>
      </c>
      <c r="V36" s="38">
        <f>AVERAGE(VP9vsQY265_offline_slow!R17:R36)</f>
        <v>-0.48178862188818367</v>
      </c>
      <c r="W36" s="38">
        <f>AVERAGE(VP9vsQY265_offline_slow!S17:S36)</f>
        <v>-0.49634076931609244</v>
      </c>
      <c r="X36" s="38">
        <f>AVERAGE(VP9vsQY265_offline_slow!T17:T36)</f>
        <v>-0.28336556527770385</v>
      </c>
      <c r="Y36" s="39">
        <f>AVERAGE(VP9vsQY265_offline_slow!U17:U36)</f>
        <v>1.1804087527167382</v>
      </c>
      <c r="AB36" s="60"/>
      <c r="AC36" s="37" t="s">
        <v>76</v>
      </c>
      <c r="AD36" s="38">
        <f>IntelvsQY265_offline_veryslow!Q125</f>
        <v>-2.5633426600644559E-2</v>
      </c>
      <c r="AE36" s="38">
        <f>IntelvsQY265_offline_veryslow!R125</f>
        <v>-0.21416533419284914</v>
      </c>
      <c r="AF36" s="38">
        <f>IntelvsQY265_offline_veryslow!S125</f>
        <v>-0.20551467081939032</v>
      </c>
      <c r="AG36" s="38">
        <f>IntelvsQY265_offline_veryslow!T125</f>
        <v>-6.0192444966691128E-2</v>
      </c>
      <c r="AH36" s="39">
        <f>IntelvsQY265_offline_veryslow!U125</f>
        <v>-0.35393916597691572</v>
      </c>
    </row>
    <row r="37" spans="1:34" ht="16.5" thickBot="1" x14ac:dyDescent="0.3">
      <c r="A37" s="59"/>
      <c r="B37" s="37" t="s">
        <v>39</v>
      </c>
      <c r="C37" s="38">
        <f>AVERAGE(X264vsQY265_offline_slow!Q37:Q52)</f>
        <v>-0.32576618876961549</v>
      </c>
      <c r="D37" s="38">
        <f>AVERAGE(X264vsQY265_offline_slow!R37:R52)</f>
        <v>-0.59369015366002187</v>
      </c>
      <c r="E37" s="38">
        <f>AVERAGE(X264vsQY265_offline_slow!S37:S52)</f>
        <v>-0.58427261883344361</v>
      </c>
      <c r="F37" s="38">
        <f>AVERAGE(X264vsQY265_offline_slow!T37:T52)</f>
        <v>-0.3753408390819758</v>
      </c>
      <c r="G37" s="39">
        <f>AVERAGE(X264vsQY265_offline_slow!U37:U52)</f>
        <v>-0.24059996269014133</v>
      </c>
      <c r="J37" s="59"/>
      <c r="K37" s="37" t="s">
        <v>39</v>
      </c>
      <c r="L37" s="38">
        <f>AVERAGE(X265vsQY265_offline_slow!Q37:Q52)</f>
        <v>-4.8542309924330507E-2</v>
      </c>
      <c r="M37" s="38">
        <f>AVERAGE(X265vsQY265_offline_slow!R37:R52)</f>
        <v>-0.4529507514471231</v>
      </c>
      <c r="N37" s="38">
        <f>AVERAGE(X265vsQY265_offline_slow!S37:S52)</f>
        <v>-0.4219725105102522</v>
      </c>
      <c r="O37" s="38">
        <f>AVERAGE(X265vsQY265_offline_slow!T37:T52)</f>
        <v>-0.13222829529848179</v>
      </c>
      <c r="P37" s="39">
        <f>AVERAGE(X265vsQY265_offline_slow!U37:U52)</f>
        <v>1.2079576645960719</v>
      </c>
      <c r="S37" s="59"/>
      <c r="T37" s="37" t="s">
        <v>39</v>
      </c>
      <c r="U37" s="38">
        <f>AVERAGE(VP9vsQY265_offline_slow!Q37:Q52)</f>
        <v>-0.21482202578079487</v>
      </c>
      <c r="V37" s="38">
        <f>AVERAGE(VP9vsQY265_offline_slow!R37:R52)</f>
        <v>-0.40698621717121319</v>
      </c>
      <c r="W37" s="38">
        <f>AVERAGE(VP9vsQY265_offline_slow!S37:S52)</f>
        <v>-0.40878472612875477</v>
      </c>
      <c r="X37" s="38">
        <f>AVERAGE(VP9vsQY265_offline_slow!T37:T52)</f>
        <v>-0.25875415279917635</v>
      </c>
      <c r="Y37" s="39">
        <f>AVERAGE(VP9vsQY265_offline_slow!U37:U52)</f>
        <v>0.73097005638747514</v>
      </c>
    </row>
    <row r="38" spans="1:34" ht="16.5" thickBot="1" x14ac:dyDescent="0.3">
      <c r="A38" s="59"/>
      <c r="B38" s="37" t="s">
        <v>41</v>
      </c>
      <c r="C38" s="38">
        <f>AVERAGE(X264vsQY265_offline_slow!Q53:Q68)</f>
        <v>-0.24124471268171818</v>
      </c>
      <c r="D38" s="38">
        <f>AVERAGE(X264vsQY265_offline_slow!R53:R68)</f>
        <v>-0.57462743712151154</v>
      </c>
      <c r="E38" s="38">
        <f>AVERAGE(X264vsQY265_offline_slow!S53:S68)</f>
        <v>-0.57639332333067883</v>
      </c>
      <c r="F38" s="38">
        <f>AVERAGE(X264vsQY265_offline_slow!T53:T68)</f>
        <v>-0.30705813690871719</v>
      </c>
      <c r="G38" s="39">
        <f>AVERAGE(X264vsQY265_offline_slow!U53:U68)</f>
        <v>-0.22717134487610807</v>
      </c>
      <c r="J38" s="59"/>
      <c r="K38" s="37" t="s">
        <v>41</v>
      </c>
      <c r="L38" s="38">
        <f>AVERAGE(X265vsQY265_offline_slow!Q53:Q68)</f>
        <v>-5.6142612399677216E-3</v>
      </c>
      <c r="M38" s="38">
        <f>AVERAGE(X265vsQY265_offline_slow!R53:R68)</f>
        <v>-0.39532933581959062</v>
      </c>
      <c r="N38" s="38">
        <f>AVERAGE(X265vsQY265_offline_slow!S53:S68)</f>
        <v>-0.37974872212259253</v>
      </c>
      <c r="O38" s="38">
        <f>AVERAGE(X265vsQY265_offline_slow!T53:T68)</f>
        <v>-8.8451200627888665E-2</v>
      </c>
      <c r="P38" s="39">
        <f>AVERAGE(X265vsQY265_offline_slow!U53:U68)</f>
        <v>1.2243473877111062</v>
      </c>
      <c r="S38" s="59"/>
      <c r="T38" s="37" t="s">
        <v>41</v>
      </c>
      <c r="U38" s="38">
        <f>AVERAGE(VP9vsQY265_offline_slow!Q53:Q68)</f>
        <v>-0.16998041169576009</v>
      </c>
      <c r="V38" s="38">
        <f>AVERAGE(VP9vsQY265_offline_slow!R53:R68)</f>
        <v>-0.30407583829993234</v>
      </c>
      <c r="W38" s="38">
        <f>AVERAGE(VP9vsQY265_offline_slow!S53:S68)</f>
        <v>-0.31377156553484636</v>
      </c>
      <c r="X38" s="38">
        <f>AVERAGE(VP9vsQY265_offline_slow!T53:T68)</f>
        <v>-0.202388751610275</v>
      </c>
      <c r="Y38" s="39">
        <f>AVERAGE(VP9vsQY265_offline_slow!U53:U68)</f>
        <v>1.0572449572255711</v>
      </c>
    </row>
    <row r="39" spans="1:34" ht="16.5" thickBot="1" x14ac:dyDescent="0.3">
      <c r="A39" s="59"/>
      <c r="B39" s="37" t="s">
        <v>43</v>
      </c>
      <c r="C39" s="38">
        <f>AVERAGE(X264vsQY265_offline_slow!Q69:Q80)</f>
        <v>-0.45165089139818426</v>
      </c>
      <c r="D39" s="38">
        <f>AVERAGE(X264vsQY265_offline_slow!R69:R80)</f>
        <v>-0.67718398908284827</v>
      </c>
      <c r="E39" s="38">
        <f>AVERAGE(X264vsQY265_offline_slow!S69:S80)</f>
        <v>-0.69385271167684903</v>
      </c>
      <c r="F39" s="38">
        <f>AVERAGE(X264vsQY265_offline_slow!T69:T80)</f>
        <v>-0.51968999145258532</v>
      </c>
      <c r="G39" s="39">
        <f>AVERAGE(X264vsQY265_offline_slow!U69:U80)</f>
        <v>-6.7497045169738409E-3</v>
      </c>
      <c r="J39" s="59"/>
      <c r="K39" s="37" t="s">
        <v>43</v>
      </c>
      <c r="L39" s="38">
        <f>AVERAGE(X265vsQY265_offline_slow!Q69:Q80)</f>
        <v>-0.1068661618545778</v>
      </c>
      <c r="M39" s="38">
        <f>AVERAGE(X265vsQY265_offline_slow!R69:R80)</f>
        <v>-0.38185380383993622</v>
      </c>
      <c r="N39" s="38">
        <f>AVERAGE(X265vsQY265_offline_slow!S69:S80)</f>
        <v>-0.34638105779461964</v>
      </c>
      <c r="O39" s="38">
        <f>AVERAGE(X265vsQY265_offline_slow!T69:T80)</f>
        <v>-0.17298437572669598</v>
      </c>
      <c r="P39" s="39">
        <f>AVERAGE(X265vsQY265_offline_slow!U69:U80)</f>
        <v>1.6205117981163326</v>
      </c>
      <c r="S39" s="59"/>
      <c r="T39" s="37" t="s">
        <v>43</v>
      </c>
      <c r="U39" s="38">
        <f>AVERAGE(VP9vsQY265_offline_slow!Q69:Q80)</f>
        <v>-0.18506115137538151</v>
      </c>
      <c r="V39" s="38">
        <f>AVERAGE(VP9vsQY265_offline_slow!R69:R80)</f>
        <v>-0.24548863702284671</v>
      </c>
      <c r="W39" s="38">
        <f>AVERAGE(VP9vsQY265_offline_slow!S69:S80)</f>
        <v>-0.23544532717322464</v>
      </c>
      <c r="X39" s="38">
        <f>AVERAGE(VP9vsQY265_offline_slow!T69:T80)</f>
        <v>-0.19754724488816375</v>
      </c>
      <c r="Y39" s="39">
        <f>AVERAGE(VP9vsQY265_offline_slow!U69:U80)</f>
        <v>2.026434122747395</v>
      </c>
    </row>
    <row r="40" spans="1:34" ht="16.5" thickBot="1" x14ac:dyDescent="0.3">
      <c r="A40" s="59"/>
      <c r="B40" s="41" t="s">
        <v>111</v>
      </c>
      <c r="C40" s="38">
        <f>AVERAGE(X264vsQY265_offline_slow!Q81:Q124)</f>
        <v>-0.29959918905347549</v>
      </c>
      <c r="D40" s="38">
        <f>AVERAGE(X264vsQY265_offline_slow!R81:R124)</f>
        <v>-0.47873679662297025</v>
      </c>
      <c r="E40" s="38">
        <f>AVERAGE(X264vsQY265_offline_slow!S81:S124)</f>
        <v>-0.46997863042795046</v>
      </c>
      <c r="F40" s="38">
        <f>AVERAGE(X264vsQY265_offline_slow!T81:T124)</f>
        <v>-0.3370869147984718</v>
      </c>
      <c r="G40" s="39">
        <f>AVERAGE(X264vsQY265_offline_slow!U81:U124)</f>
        <v>-0.17296989869261462</v>
      </c>
      <c r="J40" s="59"/>
      <c r="K40" s="41" t="s">
        <v>111</v>
      </c>
      <c r="L40" s="38">
        <f>AVERAGE(X265vsQY265_offline_slow!Q81:Q124)</f>
        <v>-6.0955053515983515E-2</v>
      </c>
      <c r="M40" s="38">
        <f>AVERAGE(X265vsQY265_offline_slow!R81:R124)</f>
        <v>-0.31054544939020512</v>
      </c>
      <c r="N40" s="38">
        <f>AVERAGE(X265vsQY265_offline_slow!S81:S124)</f>
        <v>-0.30105836381396184</v>
      </c>
      <c r="O40" s="38">
        <f>AVERAGE(X265vsQY265_offline_slow!T81:T124)</f>
        <v>-0.11798413021699532</v>
      </c>
      <c r="P40" s="39">
        <f>AVERAGE(X265vsQY265_offline_slow!U81:U124)</f>
        <v>1.529798635517956</v>
      </c>
      <c r="S40" s="59"/>
      <c r="T40" s="41" t="s">
        <v>111</v>
      </c>
      <c r="U40" s="38">
        <f>AVERAGE(VP9vsQY265_offline_slow!Q81:Q124)</f>
        <v>-0.1621639923999332</v>
      </c>
      <c r="V40" s="38">
        <f>AVERAGE(VP9vsQY265_offline_slow!R81:R124)</f>
        <v>-0.28552922775921946</v>
      </c>
      <c r="W40" s="38">
        <f>AVERAGE(VP9vsQY265_offline_slow!S81:S124)</f>
        <v>-0.28637336701886668</v>
      </c>
      <c r="X40" s="38">
        <f>AVERAGE(VP9vsQY265_offline_slow!T81:T124)</f>
        <v>-0.19127035089081268</v>
      </c>
      <c r="Y40" s="39">
        <f>AVERAGE(VP9vsQY265_offline_slow!U81:U124)</f>
        <v>0.78329440351974189</v>
      </c>
    </row>
    <row r="41" spans="1:34" ht="16.5" thickBot="1" x14ac:dyDescent="0.3">
      <c r="A41" s="60"/>
      <c r="B41" s="37" t="s">
        <v>76</v>
      </c>
      <c r="C41" s="38">
        <f>X264vsQY265_offline_slow!Q125</f>
        <v>-0.33847732491382582</v>
      </c>
      <c r="D41" s="38">
        <f>X264vsQY265_offline_slow!R125</f>
        <v>-0.56463173065391448</v>
      </c>
      <c r="E41" s="38">
        <f>X264vsQY265_offline_slow!S125</f>
        <v>-0.56435722138801336</v>
      </c>
      <c r="F41" s="38">
        <f>X264vsQY265_offline_slow!T125</f>
        <v>-0.38465670928385393</v>
      </c>
      <c r="G41" s="39">
        <f>X264vsQY265_offline_slow!U125</f>
        <v>-0.1383700948328376</v>
      </c>
      <c r="J41" s="60"/>
      <c r="K41" s="37" t="s">
        <v>76</v>
      </c>
      <c r="L41" s="38">
        <f>X265vsQY265_offline_slow!Q125</f>
        <v>-4.6915733773664071E-2</v>
      </c>
      <c r="M41" s="38">
        <f>X265vsQY265_offline_slow!R125</f>
        <v>-0.3978448128713824</v>
      </c>
      <c r="N41" s="38">
        <f>X265vsQY265_offline_slow!S125</f>
        <v>-0.38002584251961208</v>
      </c>
      <c r="O41" s="38">
        <f>X265vsQY265_offline_slow!T125</f>
        <v>-0.12155471676855295</v>
      </c>
      <c r="P41" s="39">
        <f>X265vsQY265_offline_slow!U125</f>
        <v>1.502315534017397</v>
      </c>
      <c r="S41" s="60"/>
      <c r="T41" s="37" t="s">
        <v>76</v>
      </c>
      <c r="U41" s="38">
        <f>VP9vsQY265_offline_slow!Q125</f>
        <v>-0.18783237040998893</v>
      </c>
      <c r="V41" s="38">
        <f>VP9vsQY265_offline_slow!R125</f>
        <v>-0.34868642213498729</v>
      </c>
      <c r="W41" s="38">
        <f>VP9vsQY265_offline_slow!S125</f>
        <v>-0.35229101665230239</v>
      </c>
      <c r="X41" s="38">
        <f>VP9vsQY265_offline_slow!T125</f>
        <v>-0.22352771515939965</v>
      </c>
      <c r="Y41" s="39">
        <f>VP9vsQY265_offline_slow!U125</f>
        <v>1.0207659034502758</v>
      </c>
    </row>
    <row r="42" spans="1:34" ht="16.5" thickBot="1" x14ac:dyDescent="0.3">
      <c r="A42" s="58" t="s">
        <v>75</v>
      </c>
      <c r="B42" s="37" t="s">
        <v>35</v>
      </c>
      <c r="C42" s="38">
        <f>AVERAGE(X264vsQY265_offline_slow!Q131:Q138)</f>
        <v>-0.42078523873895024</v>
      </c>
      <c r="D42" s="38">
        <f>AVERAGE(X264vsQY265_offline_slow!R131:R138)</f>
        <v>-0.60292858660961768</v>
      </c>
      <c r="E42" s="38">
        <f>AVERAGE(X264vsQY265_offline_slow!S131:S138)</f>
        <v>-0.63392974801129076</v>
      </c>
      <c r="F42" s="38">
        <f>AVERAGE(X264vsQY265_offline_slow!T131:T138)</f>
        <v>-0.45215330483410837</v>
      </c>
      <c r="G42" s="39">
        <f>AVERAGE(X264vsQY265_offline_slow!U131:U138)</f>
        <v>7.5632645847042532E-2</v>
      </c>
      <c r="J42" s="58" t="s">
        <v>75</v>
      </c>
      <c r="K42" s="37" t="s">
        <v>35</v>
      </c>
      <c r="L42" s="38">
        <f>AVERAGE(X265vsQY265_offline_slow!Q131:Q138)</f>
        <v>-4.2487897878191183E-3</v>
      </c>
      <c r="M42" s="38">
        <f>AVERAGE(X265vsQY265_offline_slow!R131:R138)</f>
        <v>-0.56028358953023349</v>
      </c>
      <c r="N42" s="38">
        <f>AVERAGE(X265vsQY265_offline_slow!S131:S138)</f>
        <v>-0.53994182316214556</v>
      </c>
      <c r="O42" s="38">
        <f>AVERAGE(X265vsQY265_offline_slow!T131:T138)</f>
        <v>-0.10774454539272849</v>
      </c>
      <c r="P42" s="39">
        <f>AVERAGE(X265vsQY265_offline_slow!U131:U138)</f>
        <v>1.5573243517737894</v>
      </c>
      <c r="S42" s="58" t="s">
        <v>75</v>
      </c>
      <c r="T42" s="37" t="s">
        <v>35</v>
      </c>
      <c r="U42" s="38">
        <f>AVERAGE(VP9vsQY265_offline_slow!Q131:Q138)</f>
        <v>-0.1891235834635932</v>
      </c>
      <c r="V42" s="38">
        <f>AVERAGE(VP9vsQY265_offline_slow!R131:R138)</f>
        <v>-0.48905418708318926</v>
      </c>
      <c r="W42" s="38">
        <f>AVERAGE(VP9vsQY265_offline_slow!S131:S138)</f>
        <v>-0.4974571445227256</v>
      </c>
      <c r="X42" s="38">
        <f>AVERAGE(VP9vsQY265_offline_slow!T131:T138)</f>
        <v>-0.24461158771575969</v>
      </c>
      <c r="Y42" s="39">
        <f>AVERAGE(VP9vsQY265_offline_slow!U131:U138)</f>
        <v>2.078055087441399</v>
      </c>
    </row>
    <row r="43" spans="1:34" ht="16.5" thickBot="1" x14ac:dyDescent="0.3">
      <c r="A43" s="59"/>
      <c r="B43" s="37" t="s">
        <v>37</v>
      </c>
      <c r="C43" s="38">
        <f>AVERAGE(X264vsQY265_offline_slow!Q139:Q158)</f>
        <v>-0.43673038738424097</v>
      </c>
      <c r="D43" s="38">
        <f>AVERAGE(X264vsQY265_offline_slow!R139:R158)</f>
        <v>-0.65616412559870407</v>
      </c>
      <c r="E43" s="38">
        <f>AVERAGE(X264vsQY265_offline_slow!S139:S158)</f>
        <v>-0.65564403847127084</v>
      </c>
      <c r="F43" s="38">
        <f>AVERAGE(X264vsQY265_offline_slow!T139:T158)</f>
        <v>-0.47564816312107838</v>
      </c>
      <c r="G43" s="39">
        <f>AVERAGE(X264vsQY265_offline_slow!U139:U158)</f>
        <v>0.18774722214237541</v>
      </c>
      <c r="J43" s="59"/>
      <c r="K43" s="37" t="s">
        <v>37</v>
      </c>
      <c r="L43" s="38">
        <f>AVERAGE(X265vsQY265_offline_slow!Q139:Q158)</f>
        <v>-2.0613957451805765E-2</v>
      </c>
      <c r="M43" s="38">
        <f>AVERAGE(X265vsQY265_offline_slow!R139:R158)</f>
        <v>-0.49854597625010505</v>
      </c>
      <c r="N43" s="38">
        <f>AVERAGE(X265vsQY265_offline_slow!S139:S158)</f>
        <v>-0.48188985680009083</v>
      </c>
      <c r="O43" s="38">
        <f>AVERAGE(X265vsQY265_offline_slow!T139:T158)</f>
        <v>-0.11698242130604149</v>
      </c>
      <c r="P43" s="39">
        <f>AVERAGE(X265vsQY265_offline_slow!U139:U158)</f>
        <v>2.3775100062832744</v>
      </c>
      <c r="S43" s="59"/>
      <c r="T43" s="37" t="s">
        <v>37</v>
      </c>
      <c r="U43" s="38">
        <f>AVERAGE(VP9vsQY265_offline_slow!Q139:Q158)</f>
        <v>-0.20105825445550368</v>
      </c>
      <c r="V43" s="38">
        <f>AVERAGE(VP9vsQY265_offline_slow!R139:R158)</f>
        <v>-0.47695721380311495</v>
      </c>
      <c r="W43" s="38">
        <f>AVERAGE(VP9vsQY265_offline_slow!S139:S158)</f>
        <v>-0.49173546221320397</v>
      </c>
      <c r="X43" s="38">
        <f>AVERAGE(VP9vsQY265_offline_slow!T139:T158)</f>
        <v>-0.25980158768179801</v>
      </c>
      <c r="Y43" s="39">
        <f>AVERAGE(VP9vsQY265_offline_slow!U139:U158)</f>
        <v>3.0527315394783425</v>
      </c>
    </row>
    <row r="44" spans="1:34" ht="16.5" thickBot="1" x14ac:dyDescent="0.3">
      <c r="A44" s="59"/>
      <c r="B44" s="37" t="s">
        <v>39</v>
      </c>
      <c r="C44" s="38">
        <f>AVERAGE(X264vsQY265_offline_slow!Q159:Q174)</f>
        <v>-0.32424092726015569</v>
      </c>
      <c r="D44" s="38">
        <f>AVERAGE(X264vsQY265_offline_slow!R159:R174)</f>
        <v>-0.59067097689296033</v>
      </c>
      <c r="E44" s="38">
        <f>AVERAGE(X264vsQY265_offline_slow!S159:S174)</f>
        <v>-0.58008252539248395</v>
      </c>
      <c r="F44" s="38">
        <f>AVERAGE(X264vsQY265_offline_slow!T159:T174)</f>
        <v>-0.37413142474851446</v>
      </c>
      <c r="G44" s="39">
        <f>AVERAGE(X264vsQY265_offline_slow!U159:U174)</f>
        <v>-0.20852190812941288</v>
      </c>
      <c r="J44" s="59"/>
      <c r="K44" s="37" t="s">
        <v>39</v>
      </c>
      <c r="L44" s="38">
        <f>AVERAGE(X265vsQY265_offline_slow!Q159:Q174)</f>
        <v>-5.2128399821225024E-2</v>
      </c>
      <c r="M44" s="38">
        <f>AVERAGE(X265vsQY265_offline_slow!R159:R174)</f>
        <v>-0.4576922018239945</v>
      </c>
      <c r="N44" s="38">
        <f>AVERAGE(X265vsQY265_offline_slow!S159:S174)</f>
        <v>-0.42190290387466228</v>
      </c>
      <c r="O44" s="38">
        <f>AVERAGE(X265vsQY265_offline_slow!T159:T174)</f>
        <v>-0.13616621818025501</v>
      </c>
      <c r="P44" s="39">
        <f>AVERAGE(X265vsQY265_offline_slow!U159:U174)</f>
        <v>1.6554382862224171</v>
      </c>
      <c r="S44" s="59"/>
      <c r="T44" s="37" t="s">
        <v>39</v>
      </c>
      <c r="U44" s="38">
        <f>AVERAGE(VP9vsQY265_offline_slow!Q159:Q174)</f>
        <v>-0.20017637152515311</v>
      </c>
      <c r="V44" s="38">
        <f>AVERAGE(VP9vsQY265_offline_slow!R159:R174)</f>
        <v>-0.4047422549448324</v>
      </c>
      <c r="W44" s="38">
        <f>AVERAGE(VP9vsQY265_offline_slow!S159:S174)</f>
        <v>-0.40470868843821739</v>
      </c>
      <c r="X44" s="38">
        <f>AVERAGE(VP9vsQY265_offline_slow!T159:T174)</f>
        <v>-0.24691466776488494</v>
      </c>
      <c r="Y44" s="39">
        <f>AVERAGE(VP9vsQY265_offline_slow!U159:U174)</f>
        <v>2.9440255911416924</v>
      </c>
    </row>
    <row r="45" spans="1:34" ht="16.5" thickBot="1" x14ac:dyDescent="0.3">
      <c r="A45" s="59"/>
      <c r="B45" s="37" t="s">
        <v>41</v>
      </c>
      <c r="C45" s="38">
        <f>AVERAGE(X264vsQY265_offline_slow!Q175:Q190)</f>
        <v>-0.22732036782797604</v>
      </c>
      <c r="D45" s="38">
        <f>AVERAGE(X264vsQY265_offline_slow!R175:R190)</f>
        <v>-0.56609470144604057</v>
      </c>
      <c r="E45" s="38">
        <f>AVERAGE(X264vsQY265_offline_slow!S175:S190)</f>
        <v>-0.57119719833196791</v>
      </c>
      <c r="F45" s="38">
        <f>AVERAGE(X264vsQY265_offline_slow!T175:T190)</f>
        <v>-0.29480859584701785</v>
      </c>
      <c r="G45" s="39">
        <f>AVERAGE(X264vsQY265_offline_slow!U175:U190)</f>
        <v>-0.30502337188486334</v>
      </c>
      <c r="J45" s="59"/>
      <c r="K45" s="37" t="s">
        <v>41</v>
      </c>
      <c r="L45" s="38">
        <f>AVERAGE(X265vsQY265_offline_slow!Q175:Q190)</f>
        <v>-1.4911948857151136E-3</v>
      </c>
      <c r="M45" s="38">
        <f>AVERAGE(X265vsQY265_offline_slow!R175:R190)</f>
        <v>-0.39895601221654586</v>
      </c>
      <c r="N45" s="38">
        <f>AVERAGE(X265vsQY265_offline_slow!S175:S190)</f>
        <v>-0.38483485157327102</v>
      </c>
      <c r="O45" s="38">
        <f>AVERAGE(X265vsQY265_offline_slow!T175:T190)</f>
        <v>-8.6209606302820485E-2</v>
      </c>
      <c r="P45" s="39">
        <f>AVERAGE(X265vsQY265_offline_slow!U175:U190)</f>
        <v>2.7006791608639729</v>
      </c>
      <c r="S45" s="59"/>
      <c r="T45" s="37" t="s">
        <v>41</v>
      </c>
      <c r="U45" s="38">
        <f>AVERAGE(VP9vsQY265_offline_slow!Q175:Q190)</f>
        <v>-0.14960388929628488</v>
      </c>
      <c r="V45" s="38">
        <f>AVERAGE(VP9vsQY265_offline_slow!R175:R190)</f>
        <v>-0.30006722138836317</v>
      </c>
      <c r="W45" s="38">
        <f>AVERAGE(VP9vsQY265_offline_slow!S175:S190)</f>
        <v>-0.31238526286818191</v>
      </c>
      <c r="X45" s="38">
        <f>AVERAGE(VP9vsQY265_offline_slow!T175:T190)</f>
        <v>-0.18545582213638542</v>
      </c>
      <c r="Y45" s="39">
        <f>AVERAGE(VP9vsQY265_offline_slow!U175:U190)</f>
        <v>5.2221684634616885</v>
      </c>
    </row>
    <row r="46" spans="1:34" ht="16.5" thickBot="1" x14ac:dyDescent="0.3">
      <c r="A46" s="59"/>
      <c r="B46" s="37" t="s">
        <v>43</v>
      </c>
      <c r="C46" s="38">
        <f>AVERAGE(X264vsQY265_offline_slow!Q191:Q202)</f>
        <v>-0.42536373209513673</v>
      </c>
      <c r="D46" s="38">
        <f>AVERAGE(X264vsQY265_offline_slow!R191:R202)</f>
        <v>-0.65605632000596892</v>
      </c>
      <c r="E46" s="38">
        <f>AVERAGE(X264vsQY265_offline_slow!S191:S202)</f>
        <v>-0.67613453249046707</v>
      </c>
      <c r="F46" s="38">
        <f>AVERAGE(X264vsQY265_offline_slow!T191:T202)</f>
        <v>-0.49392223793226614</v>
      </c>
      <c r="G46" s="39">
        <f>AVERAGE(X264vsQY265_offline_slow!U191:U202)</f>
        <v>0.2172958435326601</v>
      </c>
      <c r="J46" s="59"/>
      <c r="K46" s="37" t="s">
        <v>43</v>
      </c>
      <c r="L46" s="38">
        <f>AVERAGE(X265vsQY265_offline_slow!Q191:Q202)</f>
        <v>-8.9516514856799012E-2</v>
      </c>
      <c r="M46" s="38">
        <f>AVERAGE(X265vsQY265_offline_slow!R191:R202)</f>
        <v>-0.37036031310145612</v>
      </c>
      <c r="N46" s="38">
        <f>AVERAGE(X265vsQY265_offline_slow!S191:S202)</f>
        <v>-0.34687826314134679</v>
      </c>
      <c r="O46" s="38">
        <f>AVERAGE(X265vsQY265_offline_slow!T191:T202)</f>
        <v>-0.15894342317550456</v>
      </c>
      <c r="P46" s="39">
        <f>AVERAGE(X265vsQY265_offline_slow!U191:U202)</f>
        <v>1.9581439558561256</v>
      </c>
      <c r="S46" s="59"/>
      <c r="T46" s="37" t="s">
        <v>43</v>
      </c>
      <c r="U46" s="38">
        <f>AVERAGE(VP9vsQY265_offline_slow!Q191:Q202)</f>
        <v>-0.14319860059295061</v>
      </c>
      <c r="V46" s="38">
        <f>AVERAGE(VP9vsQY265_offline_slow!R191:R202)</f>
        <v>-0.2030900697500537</v>
      </c>
      <c r="W46" s="38">
        <f>AVERAGE(VP9vsQY265_offline_slow!S191:S202)</f>
        <v>-0.20345186942480134</v>
      </c>
      <c r="X46" s="38">
        <f>AVERAGE(VP9vsQY265_offline_slow!T191:T202)</f>
        <v>-0.15684960780268078</v>
      </c>
      <c r="Y46" s="39">
        <f>AVERAGE(VP9vsQY265_offline_slow!U191:U202)</f>
        <v>3.7702940138127548</v>
      </c>
    </row>
    <row r="47" spans="1:34" ht="16.5" thickBot="1" x14ac:dyDescent="0.3">
      <c r="A47" s="59"/>
      <c r="B47" s="41" t="s">
        <v>111</v>
      </c>
      <c r="C47" s="38">
        <f>AVERAGE(X264vsQY265_offline_slow!Q203:Q246)</f>
        <v>-0.28401000321758929</v>
      </c>
      <c r="D47" s="38">
        <f>AVERAGE(X264vsQY265_offline_slow!R203:R246)</f>
        <v>-0.46707601623189193</v>
      </c>
      <c r="E47" s="38">
        <f>AVERAGE(X264vsQY265_offline_slow!S203:S246)</f>
        <v>-0.45525256446177753</v>
      </c>
      <c r="F47" s="38">
        <f>AVERAGE(X264vsQY265_offline_slow!T203:T246)</f>
        <v>-0.32216425124009535</v>
      </c>
      <c r="G47" s="39">
        <f>AVERAGE(X264vsQY265_offline_slow!U203:U246)</f>
        <v>-0.10235415562783361</v>
      </c>
      <c r="J47" s="59"/>
      <c r="K47" s="41" t="s">
        <v>111</v>
      </c>
      <c r="L47" s="38">
        <f>AVERAGE(X265vsQY265_offline_slow!Q203:Q246)</f>
        <v>-5.6118538903498001E-2</v>
      </c>
      <c r="M47" s="38">
        <f>AVERAGE(X265vsQY265_offline_slow!R203:R246)</f>
        <v>-0.309101870140636</v>
      </c>
      <c r="N47" s="38">
        <f>AVERAGE(X265vsQY265_offline_slow!S203:S246)</f>
        <v>-0.29747519735328554</v>
      </c>
      <c r="O47" s="38">
        <f>AVERAGE(X265vsQY265_offline_slow!T203:T246)</f>
        <v>-0.11343661565115383</v>
      </c>
      <c r="P47" s="39">
        <f>AVERAGE(X265vsQY265_offline_slow!U203:U246)</f>
        <v>1.7663789676032173</v>
      </c>
      <c r="S47" s="59"/>
      <c r="T47" s="41" t="s">
        <v>111</v>
      </c>
      <c r="U47" s="38">
        <f>AVERAGE(VP9vsQY265_offline_slow!Q203:Q246)</f>
        <v>-0.13113008768733253</v>
      </c>
      <c r="V47" s="38">
        <f>AVERAGE(VP9vsQY265_offline_slow!R203:R246)</f>
        <v>-0.25908373804811718</v>
      </c>
      <c r="W47" s="38">
        <f>AVERAGE(VP9vsQY265_offline_slow!S203:S246)</f>
        <v>-0.25997928615441313</v>
      </c>
      <c r="X47" s="38">
        <f>AVERAGE(VP9vsQY265_offline_slow!T203:T246)</f>
        <v>-0.16059429686748566</v>
      </c>
      <c r="Y47" s="39">
        <f>AVERAGE(VP9vsQY265_offline_slow!U203:U246)</f>
        <v>2.1498528401120311</v>
      </c>
    </row>
    <row r="48" spans="1:34" ht="16.5" thickBot="1" x14ac:dyDescent="0.3">
      <c r="A48" s="60"/>
      <c r="B48" s="37" t="s">
        <v>76</v>
      </c>
      <c r="C48" s="38">
        <f>X264vsQY265_offline_slow!Q247</f>
        <v>-0.332126511256225</v>
      </c>
      <c r="D48" s="38">
        <f>X264vsQY265_offline_slow!R247</f>
        <v>-0.55930157424611981</v>
      </c>
      <c r="E48" s="38">
        <f>X264vsQY265_offline_slow!S247</f>
        <v>-0.55818553068371357</v>
      </c>
      <c r="F48" s="38">
        <f>X264vsQY265_offline_slow!T247</f>
        <v>-0.37875451672736499</v>
      </c>
      <c r="G48" s="39">
        <f>X264vsQY265_offline_slow!U247</f>
        <v>-4.9592686171011452E-2</v>
      </c>
      <c r="J48" s="60"/>
      <c r="K48" s="37" t="s">
        <v>76</v>
      </c>
      <c r="L48" s="38">
        <f>X265vsQY265_offline_slow!Q247</f>
        <v>-4.1789628212803541E-2</v>
      </c>
      <c r="M48" s="38">
        <f>X265vsQY265_offline_slow!R247</f>
        <v>-0.3983134974939489</v>
      </c>
      <c r="N48" s="38">
        <f>X265vsQY265_offline_slow!S247</f>
        <v>-0.38031537629057438</v>
      </c>
      <c r="O48" s="38">
        <f>X265vsQY265_offline_slow!T247</f>
        <v>-0.11774267368748867</v>
      </c>
      <c r="P48" s="39">
        <f>X265vsQY265_offline_slow!U247</f>
        <v>1.9907334149832159</v>
      </c>
      <c r="S48" s="60"/>
      <c r="T48" s="37" t="s">
        <v>76</v>
      </c>
      <c r="U48" s="38">
        <f>VP9vsQY265_offline_slow!Q247</f>
        <v>-0.16050642237344709</v>
      </c>
      <c r="V48" s="38">
        <f>VP9vsQY265_offline_slow!R247</f>
        <v>-0.33245943711359272</v>
      </c>
      <c r="W48" s="38">
        <f>VP9vsQY265_offline_slow!S247</f>
        <v>-0.33765845383827647</v>
      </c>
      <c r="X48" s="38">
        <f>VP9vsQY265_offline_slow!T247</f>
        <v>-0.1984413504274474</v>
      </c>
      <c r="Y48" s="39">
        <f>VP9vsQY265_offline_slow!U247</f>
        <v>3.0015105990813327</v>
      </c>
    </row>
    <row r="49" spans="1:25" ht="16.5" thickBot="1" x14ac:dyDescent="0.3">
      <c r="A49" s="55" t="s">
        <v>113</v>
      </c>
      <c r="B49" s="56"/>
      <c r="C49" s="56"/>
      <c r="D49" s="56"/>
      <c r="E49" s="56"/>
      <c r="F49" s="56"/>
      <c r="G49" s="57"/>
      <c r="J49" s="55" t="s">
        <v>114</v>
      </c>
      <c r="K49" s="56"/>
      <c r="L49" s="56"/>
      <c r="M49" s="56"/>
      <c r="N49" s="56"/>
      <c r="O49" s="56"/>
      <c r="P49" s="57"/>
      <c r="S49" s="55" t="s">
        <v>118</v>
      </c>
      <c r="T49" s="56"/>
      <c r="U49" s="56"/>
      <c r="V49" s="56"/>
      <c r="W49" s="56"/>
      <c r="X49" s="56"/>
      <c r="Y49" s="57"/>
    </row>
    <row r="50" spans="1:25" ht="16.5" thickBot="1" x14ac:dyDescent="0.3">
      <c r="A50" s="37" t="s">
        <v>73</v>
      </c>
      <c r="B50" s="37" t="s">
        <v>72</v>
      </c>
      <c r="C50" s="37" t="s">
        <v>68</v>
      </c>
      <c r="D50" s="37" t="s">
        <v>69</v>
      </c>
      <c r="E50" s="37" t="s">
        <v>70</v>
      </c>
      <c r="F50" s="37" t="s">
        <v>71</v>
      </c>
      <c r="G50" s="37" t="s">
        <v>74</v>
      </c>
      <c r="J50" s="37" t="s">
        <v>73</v>
      </c>
      <c r="K50" s="37" t="s">
        <v>72</v>
      </c>
      <c r="L50" s="37" t="s">
        <v>68</v>
      </c>
      <c r="M50" s="37" t="s">
        <v>69</v>
      </c>
      <c r="N50" s="37" t="s">
        <v>70</v>
      </c>
      <c r="O50" s="37" t="s">
        <v>71</v>
      </c>
      <c r="P50" s="37" t="s">
        <v>74</v>
      </c>
      <c r="S50" s="37" t="s">
        <v>124</v>
      </c>
      <c r="T50" s="37" t="s">
        <v>72</v>
      </c>
      <c r="U50" s="37" t="s">
        <v>68</v>
      </c>
      <c r="V50" s="37" t="s">
        <v>69</v>
      </c>
      <c r="W50" s="37" t="s">
        <v>70</v>
      </c>
      <c r="X50" s="37" t="s">
        <v>71</v>
      </c>
      <c r="Y50" s="37" t="s">
        <v>74</v>
      </c>
    </row>
    <row r="51" spans="1:25" ht="16.5" thickBot="1" x14ac:dyDescent="0.3">
      <c r="A51" s="58" t="s">
        <v>75</v>
      </c>
      <c r="B51" s="37" t="s">
        <v>35</v>
      </c>
      <c r="C51" s="38">
        <f>AVERAGE(X264vsQY265_offline_placebo!Q9:Q16)</f>
        <v>-0.37220207328992766</v>
      </c>
      <c r="D51" s="38">
        <f>AVERAGE(X264vsQY265_offline_placebo!R9:R16)</f>
        <v>-0.53112084049658193</v>
      </c>
      <c r="E51" s="38">
        <f>AVERAGE(X264vsQY265_offline_placebo!S9:S16)</f>
        <v>-0.57273643424536502</v>
      </c>
      <c r="F51" s="38">
        <f>AVERAGE(X264vsQY265_offline_placebo!T9:T16)</f>
        <v>-0.39999941737743944</v>
      </c>
      <c r="G51" s="39">
        <f>AVERAGE(X264vsQY265_offline_placebo!U9:U16)</f>
        <v>0.93019032364737342</v>
      </c>
      <c r="J51" s="58" t="s">
        <v>75</v>
      </c>
      <c r="K51" s="37" t="s">
        <v>35</v>
      </c>
      <c r="L51" s="38">
        <f>AVERAGE(X265vsQY265_offline_veryslow!Q9:Q16)</f>
        <v>5.0847529208221109E-2</v>
      </c>
      <c r="M51" s="38">
        <f>AVERAGE(X265vsQY265_offline_veryslow!R9:R16)</f>
        <v>-0.52215304325357526</v>
      </c>
      <c r="N51" s="38">
        <f>AVERAGE(X265vsQY265_offline_veryslow!S9:S16)</f>
        <v>-0.52458112868043871</v>
      </c>
      <c r="O51" s="38">
        <f>AVERAGE(X265vsQY265_offline_veryslow!T9:T16)</f>
        <v>-5.6470199764030171E-2</v>
      </c>
      <c r="P51" s="39">
        <f>AVERAGE(X265vsQY265_offline_veryslow!U9:U16)</f>
        <v>0.77568535020195017</v>
      </c>
      <c r="S51" s="58" t="s">
        <v>75</v>
      </c>
      <c r="T51" s="37" t="s">
        <v>35</v>
      </c>
      <c r="U51" s="38">
        <f>AVERAGE(VP9vsQY265_offline_veryslow!Q9:Q16)</f>
        <v>-2.2955275743583248E-2</v>
      </c>
      <c r="V51" s="38">
        <f>AVERAGE(VP9vsQY265_offline_veryslow!R9:R16)</f>
        <v>-0.41536963405136773</v>
      </c>
      <c r="W51" s="38">
        <f>AVERAGE(VP9vsQY265_offline_veryslow!S9:S16)</f>
        <v>-0.43417609637234333</v>
      </c>
      <c r="X51" s="38">
        <f>AVERAGE(VP9vsQY265_offline_veryslow!T9:T16)</f>
        <v>-9.6288983979553655E-2</v>
      </c>
      <c r="Y51" s="39">
        <f>AVERAGE(VP9vsQY265_offline_veryslow!U9:U16)</f>
        <v>10.041487707039337</v>
      </c>
    </row>
    <row r="52" spans="1:25" ht="16.5" thickBot="1" x14ac:dyDescent="0.3">
      <c r="A52" s="59"/>
      <c r="B52" s="37" t="s">
        <v>37</v>
      </c>
      <c r="C52" s="38">
        <f>AVERAGE(X264vsQY265_offline_placebo!Q17:Q36)</f>
        <v>-0.39841457164199373</v>
      </c>
      <c r="D52" s="38">
        <f>AVERAGE(X264vsQY265_offline_placebo!R17:R36)</f>
        <v>-0.62318956618574484</v>
      </c>
      <c r="E52" s="38">
        <f>AVERAGE(X264vsQY265_offline_placebo!S17:S36)</f>
        <v>-0.62824892482137595</v>
      </c>
      <c r="F52" s="38">
        <f>AVERAGE(X264vsQY265_offline_placebo!T17:T36)</f>
        <v>-0.43973336712615047</v>
      </c>
      <c r="G52" s="39">
        <f>AVERAGE(X264vsQY265_offline_placebo!U17:U36)</f>
        <v>1.6479434328290143</v>
      </c>
      <c r="J52" s="59"/>
      <c r="K52" s="37" t="s">
        <v>37</v>
      </c>
      <c r="L52" s="38">
        <f>AVERAGE(X265vsQY265_offline_veryslow!Q17:Q36)</f>
        <v>3.094840476769578E-3</v>
      </c>
      <c r="M52" s="38">
        <f>AVERAGE(X265vsQY265_offline_veryslow!R17:R36)</f>
        <v>-0.45214679478719005</v>
      </c>
      <c r="N52" s="38">
        <f>AVERAGE(X265vsQY265_offline_veryslow!S17:S36)</f>
        <v>-0.43206955779576067</v>
      </c>
      <c r="O52" s="38">
        <f>AVERAGE(X265vsQY265_offline_veryslow!T17:T36)</f>
        <v>-8.6811861286117314E-2</v>
      </c>
      <c r="P52" s="39">
        <f>AVERAGE(X265vsQY265_offline_veryslow!U17:U36)</f>
        <v>0.9812290279605097</v>
      </c>
      <c r="S52" s="59"/>
      <c r="T52" s="37" t="s">
        <v>37</v>
      </c>
      <c r="U52" s="38">
        <f>AVERAGE(VP9vsQY265_offline_veryslow!Q17:Q36)</f>
        <v>-8.3502445296794806E-2</v>
      </c>
      <c r="V52" s="38">
        <f>AVERAGE(VP9vsQY265_offline_veryslow!R17:R36)</f>
        <v>-0.40998483975792066</v>
      </c>
      <c r="W52" s="38">
        <f>AVERAGE(VP9vsQY265_offline_veryslow!S17:S36)</f>
        <v>-0.42827889598338009</v>
      </c>
      <c r="X52" s="38">
        <f>AVERAGE(VP9vsQY265_offline_veryslow!T17:T36)</f>
        <v>-0.15448681103784687</v>
      </c>
      <c r="Y52" s="39">
        <f>AVERAGE(VP9vsQY265_offline_veryslow!U17:U36)</f>
        <v>12.101910168527988</v>
      </c>
    </row>
    <row r="53" spans="1:25" ht="16.5" thickBot="1" x14ac:dyDescent="0.3">
      <c r="A53" s="59"/>
      <c r="B53" s="37" t="s">
        <v>39</v>
      </c>
      <c r="C53" s="38">
        <f>AVERAGE(X264vsQY265_offline_placebo!Q37:Q52)</f>
        <v>-0.30287103709286645</v>
      </c>
      <c r="D53" s="38">
        <f>AVERAGE(X264vsQY265_offline_placebo!R37:R52)</f>
        <v>-0.57633050342089609</v>
      </c>
      <c r="E53" s="38">
        <f>AVERAGE(X264vsQY265_offline_placebo!S37:S52)</f>
        <v>-0.56985756259562026</v>
      </c>
      <c r="F53" s="38">
        <f>AVERAGE(X264vsQY265_offline_placebo!T37:T52)</f>
        <v>-0.35487376345999977</v>
      </c>
      <c r="G53" s="39">
        <f>AVERAGE(X264vsQY265_offline_placebo!U37:U52)</f>
        <v>0.75836646745761127</v>
      </c>
      <c r="J53" s="59"/>
      <c r="K53" s="37" t="s">
        <v>39</v>
      </c>
      <c r="L53" s="38">
        <f>AVERAGE(X265vsQY265_offline_veryslow!Q37:Q52)</f>
        <v>-4.3702134755528838E-2</v>
      </c>
      <c r="M53" s="38">
        <f>AVERAGE(X265vsQY265_offline_veryslow!R37:R52)</f>
        <v>-0.43443430979342301</v>
      </c>
      <c r="N53" s="38">
        <f>AVERAGE(X265vsQY265_offline_veryslow!S37:S52)</f>
        <v>-0.40743084308136834</v>
      </c>
      <c r="O53" s="38">
        <f>AVERAGE(X265vsQY265_offline_veryslow!T37:T52)</f>
        <v>-0.12277511812217917</v>
      </c>
      <c r="P53" s="39">
        <f>AVERAGE(X265vsQY265_offline_veryslow!U37:U52)</f>
        <v>0.74690690788594583</v>
      </c>
      <c r="S53" s="59"/>
      <c r="T53" s="37" t="s">
        <v>39</v>
      </c>
      <c r="U53" s="38">
        <f>AVERAGE(VP9vsQY265_offline_veryslow!Q37:Q52)</f>
        <v>-5.9867190875941417E-2</v>
      </c>
      <c r="V53" s="38">
        <f>AVERAGE(VP9vsQY265_offline_veryslow!R37:R52)</f>
        <v>-0.30096725077988529</v>
      </c>
      <c r="W53" s="38">
        <f>AVERAGE(VP9vsQY265_offline_veryslow!S37:S52)</f>
        <v>-0.29991636553243045</v>
      </c>
      <c r="X53" s="38">
        <f>AVERAGE(VP9vsQY265_offline_veryslow!T37:T52)</f>
        <v>-0.11110811814103594</v>
      </c>
      <c r="Y53" s="39">
        <f>AVERAGE(VP9vsQY265_offline_veryslow!U37:U52)</f>
        <v>13.64474676990673</v>
      </c>
    </row>
    <row r="54" spans="1:25" ht="16.5" thickBot="1" x14ac:dyDescent="0.3">
      <c r="A54" s="59"/>
      <c r="B54" s="37" t="s">
        <v>41</v>
      </c>
      <c r="C54" s="38">
        <f>AVERAGE(X264vsQY265_offline_placebo!Q53:Q68)</f>
        <v>-0.23790489804224565</v>
      </c>
      <c r="D54" s="38">
        <f>AVERAGE(X264vsQY265_offline_placebo!R53:R68)</f>
        <v>-0.56860060087200859</v>
      </c>
      <c r="E54" s="38">
        <f>AVERAGE(X264vsQY265_offline_placebo!S53:S68)</f>
        <v>-0.56773764837070306</v>
      </c>
      <c r="F54" s="38">
        <f>AVERAGE(X264vsQY265_offline_placebo!T53:T68)</f>
        <v>-0.30336495175750833</v>
      </c>
      <c r="G54" s="39">
        <f>AVERAGE(X264vsQY265_offline_placebo!U53:U68)</f>
        <v>0.32468886224654581</v>
      </c>
      <c r="J54" s="59"/>
      <c r="K54" s="37" t="s">
        <v>41</v>
      </c>
      <c r="L54" s="38">
        <f>AVERAGE(X265vsQY265_offline_veryslow!Q53:Q68)</f>
        <v>-1.7685951092549196E-2</v>
      </c>
      <c r="M54" s="38">
        <f>AVERAGE(X265vsQY265_offline_veryslow!R53:R68)</f>
        <v>-0.38740839290013185</v>
      </c>
      <c r="N54" s="38">
        <f>AVERAGE(X265vsQY265_offline_veryslow!S53:S68)</f>
        <v>-0.38014776546620677</v>
      </c>
      <c r="O54" s="38">
        <f>AVERAGE(X265vsQY265_offline_veryslow!T53:T68)</f>
        <v>-9.3817972587816739E-2</v>
      </c>
      <c r="P54" s="39">
        <f>AVERAGE(X265vsQY265_offline_veryslow!U53:U68)</f>
        <v>1.5421344616154369</v>
      </c>
      <c r="S54" s="59"/>
      <c r="T54" s="37" t="s">
        <v>41</v>
      </c>
      <c r="U54" s="38">
        <f>AVERAGE(VP9vsQY265_offline_veryslow!Q53:Q68)</f>
        <v>-4.4393641013150464E-2</v>
      </c>
      <c r="V54" s="38">
        <f>AVERAGE(VP9vsQY265_offline_veryslow!R53:R68)</f>
        <v>-0.21704025285314421</v>
      </c>
      <c r="W54" s="38">
        <f>AVERAGE(VP9vsQY265_offline_veryslow!S53:S68)</f>
        <v>-0.2319350691248703</v>
      </c>
      <c r="X54" s="38">
        <f>AVERAGE(VP9vsQY265_offline_veryslow!T53:T68)</f>
        <v>-8.2670904924319194E-2</v>
      </c>
      <c r="Y54" s="39">
        <f>AVERAGE(VP9vsQY265_offline_veryslow!U53:U68)</f>
        <v>20.045165498080657</v>
      </c>
    </row>
    <row r="55" spans="1:25" ht="16.5" thickBot="1" x14ac:dyDescent="0.3">
      <c r="A55" s="59"/>
      <c r="B55" s="37" t="s">
        <v>43</v>
      </c>
      <c r="C55" s="38">
        <f>AVERAGE(X264vsQY265_offline_placebo!Q69:Q80)</f>
        <v>-0.38617169365793624</v>
      </c>
      <c r="D55" s="38">
        <f>AVERAGE(X264vsQY265_offline_placebo!R69:R80)</f>
        <v>-0.58596081790996957</v>
      </c>
      <c r="E55" s="38">
        <f>AVERAGE(X264vsQY265_offline_placebo!S69:S80)</f>
        <v>-0.61061940923883196</v>
      </c>
      <c r="F55" s="38">
        <f>AVERAGE(X264vsQY265_offline_placebo!T69:T80)</f>
        <v>-0.44450675297011727</v>
      </c>
      <c r="G55" s="39">
        <f>AVERAGE(X264vsQY265_offline_placebo!U69:U80)</f>
        <v>1.4813956404659041</v>
      </c>
      <c r="J55" s="59"/>
      <c r="K55" s="37" t="s">
        <v>43</v>
      </c>
      <c r="L55" s="38">
        <f>AVERAGE(X265vsQY265_offline_veryslow!Q69:Q80)</f>
        <v>-7.5747867309165121E-2</v>
      </c>
      <c r="M55" s="38">
        <f>AVERAGE(X265vsQY265_offline_veryslow!R69:R80)</f>
        <v>-0.33461600964263166</v>
      </c>
      <c r="N55" s="38">
        <f>AVERAGE(X265vsQY265_offline_veryslow!S69:S80)</f>
        <v>-0.31917551932907368</v>
      </c>
      <c r="O55" s="38">
        <f>AVERAGE(X265vsQY265_offline_veryslow!T69:T80)</f>
        <v>-0.13908847877553318</v>
      </c>
      <c r="P55" s="39">
        <f>AVERAGE(X265vsQY265_offline_veryslow!U69:U80)</f>
        <v>0.8519065407625982</v>
      </c>
      <c r="S55" s="59"/>
      <c r="T55" s="37" t="s">
        <v>43</v>
      </c>
      <c r="U55" s="38">
        <f>AVERAGE(VP9vsQY265_offline_veryslow!Q69:Q80)</f>
        <v>-4.1245211358183265E-2</v>
      </c>
      <c r="V55" s="38">
        <f>AVERAGE(VP9vsQY265_offline_veryslow!R69:R80)</f>
        <v>-0.1717269055080054</v>
      </c>
      <c r="W55" s="38">
        <f>AVERAGE(VP9vsQY265_offline_veryslow!S69:S80)</f>
        <v>-0.16481354846871232</v>
      </c>
      <c r="X55" s="38">
        <f>AVERAGE(VP9vsQY265_offline_veryslow!T69:T80)</f>
        <v>-7.1488992639480164E-2</v>
      </c>
      <c r="Y55" s="39">
        <f>AVERAGE(VP9vsQY265_offline_veryslow!U69:U80)</f>
        <v>8.1618670650752421</v>
      </c>
    </row>
    <row r="56" spans="1:25" ht="16.5" thickBot="1" x14ac:dyDescent="0.3">
      <c r="A56" s="59"/>
      <c r="B56" s="41" t="s">
        <v>111</v>
      </c>
      <c r="C56" s="38">
        <f>AVERAGE(X264vsQY265_offline_placebo!Q81:Q124)</f>
        <v>-0.27419399186531712</v>
      </c>
      <c r="D56" s="38">
        <f>AVERAGE(X264vsQY265_offline_placebo!R81:R124)</f>
        <v>-0.44229287522292771</v>
      </c>
      <c r="E56" s="38">
        <f>AVERAGE(X264vsQY265_offline_placebo!S81:S124)</f>
        <v>-0.43300966871388324</v>
      </c>
      <c r="F56" s="38">
        <f>AVERAGE(X264vsQY265_offline_placebo!T81:T124)</f>
        <v>-0.30937102444326481</v>
      </c>
      <c r="G56" s="39">
        <f>AVERAGE(X264vsQY265_offline_placebo!U81:U124)</f>
        <v>0.49853142276658874</v>
      </c>
      <c r="J56" s="59"/>
      <c r="K56" s="41" t="s">
        <v>111</v>
      </c>
      <c r="L56" s="38">
        <f>AVERAGE(X265vsQY265_offline_veryslow!Q81:Q124)</f>
        <v>-5.12797745170065E-2</v>
      </c>
      <c r="M56" s="38">
        <f>AVERAGE(X265vsQY265_offline_veryslow!R81:R124)</f>
        <v>-0.28544217963725099</v>
      </c>
      <c r="N56" s="38">
        <f>AVERAGE(X265vsQY265_offline_veryslow!S81:S124)</f>
        <v>-0.27431448374750028</v>
      </c>
      <c r="O56" s="38">
        <f>AVERAGE(X265vsQY265_offline_veryslow!T81:T124)</f>
        <v>-0.10272502076829181</v>
      </c>
      <c r="P56" s="39">
        <f>AVERAGE(X265vsQY265_offline_veryslow!U81:U124)</f>
        <v>0.62866173144254101</v>
      </c>
      <c r="S56" s="59"/>
      <c r="T56" s="41" t="s">
        <v>111</v>
      </c>
      <c r="U56" s="38">
        <f>AVERAGE(VP9vsQY265_offline_veryslow!Q81:Q124)</f>
        <v>3.0123987722986575E-2</v>
      </c>
      <c r="V56" s="38">
        <f>AVERAGE(VP9vsQY265_offline_veryslow!R81:R124)</f>
        <v>-0.13209091688104621</v>
      </c>
      <c r="W56" s="38">
        <f>AVERAGE(VP9vsQY265_offline_veryslow!S81:S124)</f>
        <v>-0.13094085627551746</v>
      </c>
      <c r="X56" s="38">
        <f>AVERAGE(VP9vsQY265_offline_veryslow!T81:T124)</f>
        <v>-5.2832366596634091E-3</v>
      </c>
      <c r="Y56" s="39">
        <f>AVERAGE(VP9vsQY265_offline_veryslow!U81:U124)</f>
        <v>4.9797273071448815</v>
      </c>
    </row>
    <row r="57" spans="1:25" ht="16.5" thickBot="1" x14ac:dyDescent="0.3">
      <c r="A57" s="60"/>
      <c r="B57" s="37" t="s">
        <v>76</v>
      </c>
      <c r="C57" s="38">
        <f>X264vsQY265_offline_placebo!Q125</f>
        <v>-0.31290447368353691</v>
      </c>
      <c r="D57" s="38">
        <f>X264vsQY265_offline_placebo!R125</f>
        <v>-0.53037993138881456</v>
      </c>
      <c r="E57" s="38">
        <f>X264vsQY265_offline_placebo!S125</f>
        <v>-0.53214010069076256</v>
      </c>
      <c r="F57" s="38">
        <f>X264vsQY265_offline_placebo!T125</f>
        <v>-0.35752489858765257</v>
      </c>
      <c r="G57" s="39">
        <f>X264vsQY265_offline_placebo!U125</f>
        <v>0.84001212765816025</v>
      </c>
      <c r="J57" s="60"/>
      <c r="K57" s="37" t="s">
        <v>76</v>
      </c>
      <c r="L57" s="38">
        <f>X265vsQY265_offline_veryslow!Q125</f>
        <v>-3.1713938076089271E-2</v>
      </c>
      <c r="M57" s="38">
        <f>X265vsQY265_offline_veryslow!R125</f>
        <v>-0.37021113366051639</v>
      </c>
      <c r="N57" s="38">
        <f>X265vsQY265_offline_veryslow!S125</f>
        <v>-0.35637277102550713</v>
      </c>
      <c r="O57" s="38">
        <f>X265vsQY265_offline_veryslow!T125</f>
        <v>-0.10209009426125656</v>
      </c>
      <c r="P57" s="39">
        <f>X265vsQY265_offline_veryslow!U125</f>
        <v>0.86498896504716327</v>
      </c>
      <c r="S57" s="60"/>
      <c r="T57" s="37" t="s">
        <v>76</v>
      </c>
      <c r="U57" s="38">
        <f>VP9vsQY265_offline_veryslow!Q125</f>
        <v>-2.32013060223864E-2</v>
      </c>
      <c r="V57" s="38">
        <f>VP9vsQY265_offline_veryslow!R125</f>
        <v>-0.23865083736689588</v>
      </c>
      <c r="W57" s="38">
        <f>VP9vsQY265_offline_veryslow!S125</f>
        <v>-0.24386008536991796</v>
      </c>
      <c r="X57" s="38">
        <f>VP9vsQY265_offline_veryslow!T125</f>
        <v>-6.940381712360344E-2</v>
      </c>
      <c r="Y57" s="39">
        <f>VP9vsQY265_offline_veryslow!U125</f>
        <v>10.159130238016811</v>
      </c>
    </row>
  </sheetData>
  <mergeCells count="41">
    <mergeCell ref="A10:A16"/>
    <mergeCell ref="J10:J16"/>
    <mergeCell ref="S10:S16"/>
    <mergeCell ref="A1:G1"/>
    <mergeCell ref="J1:P1"/>
    <mergeCell ref="S1:Y1"/>
    <mergeCell ref="A3:A9"/>
    <mergeCell ref="J3:J9"/>
    <mergeCell ref="S3:S9"/>
    <mergeCell ref="S17:Y17"/>
    <mergeCell ref="S19:S25"/>
    <mergeCell ref="S26:S32"/>
    <mergeCell ref="S33:Y33"/>
    <mergeCell ref="S35:S41"/>
    <mergeCell ref="J19:J25"/>
    <mergeCell ref="A26:A32"/>
    <mergeCell ref="S42:S48"/>
    <mergeCell ref="S49:Y49"/>
    <mergeCell ref="S51:S57"/>
    <mergeCell ref="AB1:AH1"/>
    <mergeCell ref="AB3:AB9"/>
    <mergeCell ref="J51:J57"/>
    <mergeCell ref="A17:G17"/>
    <mergeCell ref="J17:P17"/>
    <mergeCell ref="J26:J32"/>
    <mergeCell ref="J33:P33"/>
    <mergeCell ref="J35:J41"/>
    <mergeCell ref="A51:A57"/>
    <mergeCell ref="A19:A25"/>
    <mergeCell ref="A42:A48"/>
    <mergeCell ref="J42:J48"/>
    <mergeCell ref="J49:P49"/>
    <mergeCell ref="A33:G33"/>
    <mergeCell ref="A35:A41"/>
    <mergeCell ref="A49:G49"/>
    <mergeCell ref="AB28:AH28"/>
    <mergeCell ref="AB30:AB36"/>
    <mergeCell ref="AB10:AH10"/>
    <mergeCell ref="AB19:AH19"/>
    <mergeCell ref="AB21:AB27"/>
    <mergeCell ref="AB12:AB18"/>
  </mergeCells>
  <phoneticPr fontId="5" type="noConversion"/>
  <conditionalFormatting sqref="C19:F19">
    <cfRule type="cellIs" dxfId="1361" priority="5169" operator="greaterThan">
      <formula>0.03</formula>
    </cfRule>
    <cfRule type="cellIs" dxfId="1360" priority="5170" stopIfTrue="1" operator="lessThan">
      <formula>-0.03</formula>
    </cfRule>
  </conditionalFormatting>
  <conditionalFormatting sqref="C25:F25">
    <cfRule type="cellIs" dxfId="1359" priority="5167" operator="greaterThan">
      <formula>0.03</formula>
    </cfRule>
    <cfRule type="cellIs" dxfId="1358" priority="5168" stopIfTrue="1" operator="lessThan">
      <formula>-0.03</formula>
    </cfRule>
  </conditionalFormatting>
  <conditionalFormatting sqref="C20:F23">
    <cfRule type="cellIs" dxfId="1357" priority="5165" operator="greaterThan">
      <formula>0.03</formula>
    </cfRule>
    <cfRule type="cellIs" dxfId="1356" priority="5166" stopIfTrue="1" operator="lessThan">
      <formula>-0.03</formula>
    </cfRule>
  </conditionalFormatting>
  <conditionalFormatting sqref="C26:F26">
    <cfRule type="cellIs" dxfId="1355" priority="5157" operator="greaterThan">
      <formula>0.03</formula>
    </cfRule>
    <cfRule type="cellIs" dxfId="1354" priority="5158" stopIfTrue="1" operator="lessThan">
      <formula>-0.03</formula>
    </cfRule>
  </conditionalFormatting>
  <conditionalFormatting sqref="C32:F32">
    <cfRule type="cellIs" dxfId="1353" priority="5155" operator="greaterThan">
      <formula>0.03</formula>
    </cfRule>
    <cfRule type="cellIs" dxfId="1352" priority="5156" stopIfTrue="1" operator="lessThan">
      <formula>-0.03</formula>
    </cfRule>
  </conditionalFormatting>
  <conditionalFormatting sqref="C27:F30">
    <cfRule type="cellIs" dxfId="1351" priority="5153" operator="greaterThan">
      <formula>0.03</formula>
    </cfRule>
    <cfRule type="cellIs" dxfId="1350" priority="5154" stopIfTrue="1" operator="lessThan">
      <formula>-0.03</formula>
    </cfRule>
  </conditionalFormatting>
  <conditionalFormatting sqref="C35:F35">
    <cfRule type="cellIs" dxfId="1349" priority="5133" operator="greaterThan">
      <formula>0.03</formula>
    </cfRule>
    <cfRule type="cellIs" dxfId="1348" priority="5134" stopIfTrue="1" operator="lessThan">
      <formula>-0.03</formula>
    </cfRule>
  </conditionalFormatting>
  <conditionalFormatting sqref="C41:F41">
    <cfRule type="cellIs" dxfId="1347" priority="5131" operator="greaterThan">
      <formula>0.03</formula>
    </cfRule>
    <cfRule type="cellIs" dxfId="1346" priority="5132" stopIfTrue="1" operator="lessThan">
      <formula>-0.03</formula>
    </cfRule>
  </conditionalFormatting>
  <conditionalFormatting sqref="C36:F39">
    <cfRule type="cellIs" dxfId="1345" priority="5129" operator="greaterThan">
      <formula>0.03</formula>
    </cfRule>
    <cfRule type="cellIs" dxfId="1344" priority="5130" stopIfTrue="1" operator="lessThan">
      <formula>-0.03</formula>
    </cfRule>
  </conditionalFormatting>
  <conditionalFormatting sqref="C42:F42">
    <cfRule type="cellIs" dxfId="1343" priority="5121" operator="greaterThan">
      <formula>0.03</formula>
    </cfRule>
    <cfRule type="cellIs" dxfId="1342" priority="5122" stopIfTrue="1" operator="lessThan">
      <formula>-0.03</formula>
    </cfRule>
  </conditionalFormatting>
  <conditionalFormatting sqref="C48:F48">
    <cfRule type="cellIs" dxfId="1341" priority="5119" operator="greaterThan">
      <formula>0.03</formula>
    </cfRule>
    <cfRule type="cellIs" dxfId="1340" priority="5120" stopIfTrue="1" operator="lessThan">
      <formula>-0.03</formula>
    </cfRule>
  </conditionalFormatting>
  <conditionalFormatting sqref="C43:F46">
    <cfRule type="cellIs" dxfId="1339" priority="5117" operator="greaterThan">
      <formula>0.03</formula>
    </cfRule>
    <cfRule type="cellIs" dxfId="1338" priority="5118" stopIfTrue="1" operator="lessThan">
      <formula>-0.03</formula>
    </cfRule>
  </conditionalFormatting>
  <conditionalFormatting sqref="L19:O19">
    <cfRule type="cellIs" dxfId="1337" priority="1949" operator="greaterThan">
      <formula>0.03</formula>
    </cfRule>
    <cfRule type="cellIs" dxfId="1336" priority="1950" stopIfTrue="1" operator="lessThan">
      <formula>-0.03</formula>
    </cfRule>
  </conditionalFormatting>
  <conditionalFormatting sqref="L25:O25">
    <cfRule type="cellIs" dxfId="1335" priority="1947" operator="greaterThan">
      <formula>0.03</formula>
    </cfRule>
    <cfRule type="cellIs" dxfId="1334" priority="1948" stopIfTrue="1" operator="lessThan">
      <formula>-0.03</formula>
    </cfRule>
  </conditionalFormatting>
  <conditionalFormatting sqref="L20:O23">
    <cfRule type="cellIs" dxfId="1333" priority="1945" operator="greaterThan">
      <formula>0.03</formula>
    </cfRule>
    <cfRule type="cellIs" dxfId="1332" priority="1946" stopIfTrue="1" operator="lessThan">
      <formula>-0.03</formula>
    </cfRule>
  </conditionalFormatting>
  <conditionalFormatting sqref="L26:O26">
    <cfRule type="cellIs" dxfId="1331" priority="1937" operator="greaterThan">
      <formula>0.03</formula>
    </cfRule>
    <cfRule type="cellIs" dxfId="1330" priority="1938" stopIfTrue="1" operator="lessThan">
      <formula>-0.03</formula>
    </cfRule>
  </conditionalFormatting>
  <conditionalFormatting sqref="L32:O32">
    <cfRule type="cellIs" dxfId="1329" priority="1935" operator="greaterThan">
      <formula>0.03</formula>
    </cfRule>
    <cfRule type="cellIs" dxfId="1328" priority="1936" stopIfTrue="1" operator="lessThan">
      <formula>-0.03</formula>
    </cfRule>
  </conditionalFormatting>
  <conditionalFormatting sqref="L27:O30">
    <cfRule type="cellIs" dxfId="1327" priority="1933" operator="greaterThan">
      <formula>0.03</formula>
    </cfRule>
    <cfRule type="cellIs" dxfId="1326" priority="1934" stopIfTrue="1" operator="lessThan">
      <formula>-0.03</formula>
    </cfRule>
  </conditionalFormatting>
  <conditionalFormatting sqref="L35:O35">
    <cfRule type="cellIs" dxfId="1325" priority="1913" operator="greaterThan">
      <formula>0.03</formula>
    </cfRule>
    <cfRule type="cellIs" dxfId="1324" priority="1914" stopIfTrue="1" operator="lessThan">
      <formula>-0.03</formula>
    </cfRule>
  </conditionalFormatting>
  <conditionalFormatting sqref="L41:O41">
    <cfRule type="cellIs" dxfId="1323" priority="1911" operator="greaterThan">
      <formula>0.03</formula>
    </cfRule>
    <cfRule type="cellIs" dxfId="1322" priority="1912" stopIfTrue="1" operator="lessThan">
      <formula>-0.03</formula>
    </cfRule>
  </conditionalFormatting>
  <conditionalFormatting sqref="L36:O39">
    <cfRule type="cellIs" dxfId="1321" priority="1909" operator="greaterThan">
      <formula>0.03</formula>
    </cfRule>
    <cfRule type="cellIs" dxfId="1320" priority="1910" stopIfTrue="1" operator="lessThan">
      <formula>-0.03</formula>
    </cfRule>
  </conditionalFormatting>
  <conditionalFormatting sqref="L42:O42">
    <cfRule type="cellIs" dxfId="1319" priority="1901" operator="greaterThan">
      <formula>0.03</formula>
    </cfRule>
    <cfRule type="cellIs" dxfId="1318" priority="1902" stopIfTrue="1" operator="lessThan">
      <formula>-0.03</formula>
    </cfRule>
  </conditionalFormatting>
  <conditionalFormatting sqref="L48:O48">
    <cfRule type="cellIs" dxfId="1317" priority="1899" operator="greaterThan">
      <formula>0.03</formula>
    </cfRule>
    <cfRule type="cellIs" dxfId="1316" priority="1900" stopIfTrue="1" operator="lessThan">
      <formula>-0.03</formula>
    </cfRule>
  </conditionalFormatting>
  <conditionalFormatting sqref="L43:O46">
    <cfRule type="cellIs" dxfId="1315" priority="1897" operator="greaterThan">
      <formula>0.03</formula>
    </cfRule>
    <cfRule type="cellIs" dxfId="1314" priority="1898" stopIfTrue="1" operator="lessThan">
      <formula>-0.03</formula>
    </cfRule>
  </conditionalFormatting>
  <conditionalFormatting sqref="L51:O51">
    <cfRule type="cellIs" dxfId="1313" priority="1489" operator="greaterThan">
      <formula>0.03</formula>
    </cfRule>
    <cfRule type="cellIs" dxfId="1312" priority="1490" stopIfTrue="1" operator="lessThan">
      <formula>-0.03</formula>
    </cfRule>
  </conditionalFormatting>
  <conditionalFormatting sqref="L57:O57">
    <cfRule type="cellIs" dxfId="1311" priority="1487" operator="greaterThan">
      <formula>0.03</formula>
    </cfRule>
    <cfRule type="cellIs" dxfId="1310" priority="1488" stopIfTrue="1" operator="lessThan">
      <formula>-0.03</formula>
    </cfRule>
  </conditionalFormatting>
  <conditionalFormatting sqref="L52:O55">
    <cfRule type="cellIs" dxfId="1309" priority="1485" operator="greaterThan">
      <formula>0.03</formula>
    </cfRule>
    <cfRule type="cellIs" dxfId="1308" priority="1486" stopIfTrue="1" operator="lessThan">
      <formula>-0.03</formula>
    </cfRule>
  </conditionalFormatting>
  <conditionalFormatting sqref="C24">
    <cfRule type="cellIs" dxfId="1307" priority="763" operator="greaterThan">
      <formula>0.03</formula>
    </cfRule>
    <cfRule type="cellIs" dxfId="1306" priority="764" stopIfTrue="1" operator="lessThan">
      <formula>-0.03</formula>
    </cfRule>
  </conditionalFormatting>
  <conditionalFormatting sqref="D24">
    <cfRule type="cellIs" dxfId="1305" priority="761" operator="greaterThan">
      <formula>0.03</formula>
    </cfRule>
    <cfRule type="cellIs" dxfId="1304" priority="762" stopIfTrue="1" operator="lessThan">
      <formula>-0.03</formula>
    </cfRule>
  </conditionalFormatting>
  <conditionalFormatting sqref="E24">
    <cfRule type="cellIs" dxfId="1303" priority="759" operator="greaterThan">
      <formula>0.03</formula>
    </cfRule>
    <cfRule type="cellIs" dxfId="1302" priority="760" stopIfTrue="1" operator="lessThan">
      <formula>-0.03</formula>
    </cfRule>
  </conditionalFormatting>
  <conditionalFormatting sqref="F24">
    <cfRule type="cellIs" dxfId="1301" priority="757" operator="greaterThan">
      <formula>0.03</formula>
    </cfRule>
    <cfRule type="cellIs" dxfId="1300" priority="758" stopIfTrue="1" operator="lessThan">
      <formula>-0.03</formula>
    </cfRule>
  </conditionalFormatting>
  <conditionalFormatting sqref="L24">
    <cfRule type="cellIs" dxfId="1299" priority="755" operator="greaterThan">
      <formula>0.03</formula>
    </cfRule>
    <cfRule type="cellIs" dxfId="1298" priority="756" stopIfTrue="1" operator="lessThan">
      <formula>-0.03</formula>
    </cfRule>
  </conditionalFormatting>
  <conditionalFormatting sqref="M24">
    <cfRule type="cellIs" dxfId="1297" priority="753" operator="greaterThan">
      <formula>0.03</formula>
    </cfRule>
    <cfRule type="cellIs" dxfId="1296" priority="754" stopIfTrue="1" operator="lessThan">
      <formula>-0.03</formula>
    </cfRule>
  </conditionalFormatting>
  <conditionalFormatting sqref="N24">
    <cfRule type="cellIs" dxfId="1295" priority="751" operator="greaterThan">
      <formula>0.03</formula>
    </cfRule>
    <cfRule type="cellIs" dxfId="1294" priority="752" stopIfTrue="1" operator="lessThan">
      <formula>-0.03</formula>
    </cfRule>
  </conditionalFormatting>
  <conditionalFormatting sqref="O24">
    <cfRule type="cellIs" dxfId="1293" priority="749" operator="greaterThan">
      <formula>0.03</formula>
    </cfRule>
    <cfRule type="cellIs" dxfId="1292" priority="750" stopIfTrue="1" operator="lessThan">
      <formula>-0.03</formula>
    </cfRule>
  </conditionalFormatting>
  <conditionalFormatting sqref="C31">
    <cfRule type="cellIs" dxfId="1291" priority="715" operator="greaterThan">
      <formula>0.03</formula>
    </cfRule>
    <cfRule type="cellIs" dxfId="1290" priority="716" stopIfTrue="1" operator="lessThan">
      <formula>-0.03</formula>
    </cfRule>
  </conditionalFormatting>
  <conditionalFormatting sqref="D31">
    <cfRule type="cellIs" dxfId="1289" priority="713" operator="greaterThan">
      <formula>0.03</formula>
    </cfRule>
    <cfRule type="cellIs" dxfId="1288" priority="714" stopIfTrue="1" operator="lessThan">
      <formula>-0.03</formula>
    </cfRule>
  </conditionalFormatting>
  <conditionalFormatting sqref="E31">
    <cfRule type="cellIs" dxfId="1287" priority="711" operator="greaterThan">
      <formula>0.03</formula>
    </cfRule>
    <cfRule type="cellIs" dxfId="1286" priority="712" stopIfTrue="1" operator="lessThan">
      <formula>-0.03</formula>
    </cfRule>
  </conditionalFormatting>
  <conditionalFormatting sqref="F31">
    <cfRule type="cellIs" dxfId="1285" priority="709" operator="greaterThan">
      <formula>0.03</formula>
    </cfRule>
    <cfRule type="cellIs" dxfId="1284" priority="710" stopIfTrue="1" operator="lessThan">
      <formula>-0.03</formula>
    </cfRule>
  </conditionalFormatting>
  <conditionalFormatting sqref="L31">
    <cfRule type="cellIs" dxfId="1283" priority="707" operator="greaterThan">
      <formula>0.03</formula>
    </cfRule>
    <cfRule type="cellIs" dxfId="1282" priority="708" stopIfTrue="1" operator="lessThan">
      <formula>-0.03</formula>
    </cfRule>
  </conditionalFormatting>
  <conditionalFormatting sqref="M31">
    <cfRule type="cellIs" dxfId="1281" priority="705" operator="greaterThan">
      <formula>0.03</formula>
    </cfRule>
    <cfRule type="cellIs" dxfId="1280" priority="706" stopIfTrue="1" operator="lessThan">
      <formula>-0.03</formula>
    </cfRule>
  </conditionalFormatting>
  <conditionalFormatting sqref="N31">
    <cfRule type="cellIs" dxfId="1279" priority="703" operator="greaterThan">
      <formula>0.03</formula>
    </cfRule>
    <cfRule type="cellIs" dxfId="1278" priority="704" stopIfTrue="1" operator="lessThan">
      <formula>-0.03</formula>
    </cfRule>
  </conditionalFormatting>
  <conditionalFormatting sqref="O31">
    <cfRule type="cellIs" dxfId="1277" priority="701" operator="greaterThan">
      <formula>0.03</formula>
    </cfRule>
    <cfRule type="cellIs" dxfId="1276" priority="702" stopIfTrue="1" operator="lessThan">
      <formula>-0.03</formula>
    </cfRule>
  </conditionalFormatting>
  <conditionalFormatting sqref="L40">
    <cfRule type="cellIs" dxfId="1275" priority="475" operator="greaterThan">
      <formula>0.03</formula>
    </cfRule>
    <cfRule type="cellIs" dxfId="1274" priority="476" stopIfTrue="1" operator="lessThan">
      <formula>-0.03</formula>
    </cfRule>
  </conditionalFormatting>
  <conditionalFormatting sqref="M40">
    <cfRule type="cellIs" dxfId="1273" priority="473" operator="greaterThan">
      <formula>0.03</formula>
    </cfRule>
    <cfRule type="cellIs" dxfId="1272" priority="474" stopIfTrue="1" operator="lessThan">
      <formula>-0.03</formula>
    </cfRule>
  </conditionalFormatting>
  <conditionalFormatting sqref="N40">
    <cfRule type="cellIs" dxfId="1271" priority="471" operator="greaterThan">
      <formula>0.03</formula>
    </cfRule>
    <cfRule type="cellIs" dxfId="1270" priority="472" stopIfTrue="1" operator="lessThan">
      <formula>-0.03</formula>
    </cfRule>
  </conditionalFormatting>
  <conditionalFormatting sqref="O40">
    <cfRule type="cellIs" dxfId="1269" priority="469" operator="greaterThan">
      <formula>0.03</formula>
    </cfRule>
    <cfRule type="cellIs" dxfId="1268" priority="470" stopIfTrue="1" operator="lessThan">
      <formula>-0.03</formula>
    </cfRule>
  </conditionalFormatting>
  <conditionalFormatting sqref="C40">
    <cfRule type="cellIs" dxfId="1267" priority="467" operator="greaterThan">
      <formula>0.03</formula>
    </cfRule>
    <cfRule type="cellIs" dxfId="1266" priority="468" stopIfTrue="1" operator="lessThan">
      <formula>-0.03</formula>
    </cfRule>
  </conditionalFormatting>
  <conditionalFormatting sqref="D40">
    <cfRule type="cellIs" dxfId="1265" priority="465" operator="greaterThan">
      <formula>0.03</formula>
    </cfRule>
    <cfRule type="cellIs" dxfId="1264" priority="466" stopIfTrue="1" operator="lessThan">
      <formula>-0.03</formula>
    </cfRule>
  </conditionalFormatting>
  <conditionalFormatting sqref="E40">
    <cfRule type="cellIs" dxfId="1263" priority="463" operator="greaterThan">
      <formula>0.03</formula>
    </cfRule>
    <cfRule type="cellIs" dxfId="1262" priority="464" stopIfTrue="1" operator="lessThan">
      <formula>-0.03</formula>
    </cfRule>
  </conditionalFormatting>
  <conditionalFormatting sqref="F40">
    <cfRule type="cellIs" dxfId="1261" priority="461" operator="greaterThan">
      <formula>0.03</formula>
    </cfRule>
    <cfRule type="cellIs" dxfId="1260" priority="462" stopIfTrue="1" operator="lessThan">
      <formula>-0.03</formula>
    </cfRule>
  </conditionalFormatting>
  <conditionalFormatting sqref="L47">
    <cfRule type="cellIs" dxfId="1259" priority="427" operator="greaterThan">
      <formula>0.03</formula>
    </cfRule>
    <cfRule type="cellIs" dxfId="1258" priority="428" stopIfTrue="1" operator="lessThan">
      <formula>-0.03</formula>
    </cfRule>
  </conditionalFormatting>
  <conditionalFormatting sqref="M47">
    <cfRule type="cellIs" dxfId="1257" priority="425" operator="greaterThan">
      <formula>0.03</formula>
    </cfRule>
    <cfRule type="cellIs" dxfId="1256" priority="426" stopIfTrue="1" operator="lessThan">
      <formula>-0.03</formula>
    </cfRule>
  </conditionalFormatting>
  <conditionalFormatting sqref="N47">
    <cfRule type="cellIs" dxfId="1255" priority="423" operator="greaterThan">
      <formula>0.03</formula>
    </cfRule>
    <cfRule type="cellIs" dxfId="1254" priority="424" stopIfTrue="1" operator="lessThan">
      <formula>-0.03</formula>
    </cfRule>
  </conditionalFormatting>
  <conditionalFormatting sqref="O47">
    <cfRule type="cellIs" dxfId="1253" priority="421" operator="greaterThan">
      <formula>0.03</formula>
    </cfRule>
    <cfRule type="cellIs" dxfId="1252" priority="422" stopIfTrue="1" operator="lessThan">
      <formula>-0.03</formula>
    </cfRule>
  </conditionalFormatting>
  <conditionalFormatting sqref="C47">
    <cfRule type="cellIs" dxfId="1251" priority="419" operator="greaterThan">
      <formula>0.03</formula>
    </cfRule>
    <cfRule type="cellIs" dxfId="1250" priority="420" stopIfTrue="1" operator="lessThan">
      <formula>-0.03</formula>
    </cfRule>
  </conditionalFormatting>
  <conditionalFormatting sqref="D47">
    <cfRule type="cellIs" dxfId="1249" priority="417" operator="greaterThan">
      <formula>0.03</formula>
    </cfRule>
    <cfRule type="cellIs" dxfId="1248" priority="418" stopIfTrue="1" operator="lessThan">
      <formula>-0.03</formula>
    </cfRule>
  </conditionalFormatting>
  <conditionalFormatting sqref="E47">
    <cfRule type="cellIs" dxfId="1247" priority="415" operator="greaterThan">
      <formula>0.03</formula>
    </cfRule>
    <cfRule type="cellIs" dxfId="1246" priority="416" stopIfTrue="1" operator="lessThan">
      <formula>-0.03</formula>
    </cfRule>
  </conditionalFormatting>
  <conditionalFormatting sqref="F47">
    <cfRule type="cellIs" dxfId="1245" priority="413" operator="greaterThan">
      <formula>0.03</formula>
    </cfRule>
    <cfRule type="cellIs" dxfId="1244" priority="414" stopIfTrue="1" operator="lessThan">
      <formula>-0.03</formula>
    </cfRule>
  </conditionalFormatting>
  <conditionalFormatting sqref="L56">
    <cfRule type="cellIs" dxfId="1243" priority="379" operator="greaterThan">
      <formula>0.03</formula>
    </cfRule>
    <cfRule type="cellIs" dxfId="1242" priority="380" stopIfTrue="1" operator="lessThan">
      <formula>-0.03</formula>
    </cfRule>
  </conditionalFormatting>
  <conditionalFormatting sqref="M56">
    <cfRule type="cellIs" dxfId="1241" priority="377" operator="greaterThan">
      <formula>0.03</formula>
    </cfRule>
    <cfRule type="cellIs" dxfId="1240" priority="378" stopIfTrue="1" operator="lessThan">
      <formula>-0.03</formula>
    </cfRule>
  </conditionalFormatting>
  <conditionalFormatting sqref="N56">
    <cfRule type="cellIs" dxfId="1239" priority="375" operator="greaterThan">
      <formula>0.03</formula>
    </cfRule>
    <cfRule type="cellIs" dxfId="1238" priority="376" stopIfTrue="1" operator="lessThan">
      <formula>-0.03</formula>
    </cfRule>
  </conditionalFormatting>
  <conditionalFormatting sqref="O56">
    <cfRule type="cellIs" dxfId="1237" priority="373" operator="greaterThan">
      <formula>0.03</formula>
    </cfRule>
    <cfRule type="cellIs" dxfId="1236" priority="374" stopIfTrue="1" operator="lessThan">
      <formula>-0.03</formula>
    </cfRule>
  </conditionalFormatting>
  <conditionalFormatting sqref="U19:X19">
    <cfRule type="cellIs" dxfId="1235" priority="363" operator="greaterThan">
      <formula>0.03</formula>
    </cfRule>
    <cfRule type="cellIs" dxfId="1234" priority="364" stopIfTrue="1" operator="lessThan">
      <formula>-0.03</formula>
    </cfRule>
  </conditionalFormatting>
  <conditionalFormatting sqref="U25:X25">
    <cfRule type="cellIs" dxfId="1233" priority="361" operator="greaterThan">
      <formula>0.03</formula>
    </cfRule>
    <cfRule type="cellIs" dxfId="1232" priority="362" stopIfTrue="1" operator="lessThan">
      <formula>-0.03</formula>
    </cfRule>
  </conditionalFormatting>
  <conditionalFormatting sqref="U20:X23">
    <cfRule type="cellIs" dxfId="1231" priority="359" operator="greaterThan">
      <formula>0.03</formula>
    </cfRule>
    <cfRule type="cellIs" dxfId="1230" priority="360" stopIfTrue="1" operator="lessThan">
      <formula>-0.03</formula>
    </cfRule>
  </conditionalFormatting>
  <conditionalFormatting sqref="U26:X26">
    <cfRule type="cellIs" dxfId="1229" priority="357" operator="greaterThan">
      <formula>0.03</formula>
    </cfRule>
    <cfRule type="cellIs" dxfId="1228" priority="358" stopIfTrue="1" operator="lessThan">
      <formula>-0.03</formula>
    </cfRule>
  </conditionalFormatting>
  <conditionalFormatting sqref="U32:X32">
    <cfRule type="cellIs" dxfId="1227" priority="355" operator="greaterThan">
      <formula>0.03</formula>
    </cfRule>
    <cfRule type="cellIs" dxfId="1226" priority="356" stopIfTrue="1" operator="lessThan">
      <formula>-0.03</formula>
    </cfRule>
  </conditionalFormatting>
  <conditionalFormatting sqref="U27:X30">
    <cfRule type="cellIs" dxfId="1225" priority="353" operator="greaterThan">
      <formula>0.03</formula>
    </cfRule>
    <cfRule type="cellIs" dxfId="1224" priority="354" stopIfTrue="1" operator="lessThan">
      <formula>-0.03</formula>
    </cfRule>
  </conditionalFormatting>
  <conditionalFormatting sqref="U35:X35">
    <cfRule type="cellIs" dxfId="1223" priority="351" operator="greaterThan">
      <formula>0.03</formula>
    </cfRule>
    <cfRule type="cellIs" dxfId="1222" priority="352" stopIfTrue="1" operator="lessThan">
      <formula>-0.03</formula>
    </cfRule>
  </conditionalFormatting>
  <conditionalFormatting sqref="U41:X41">
    <cfRule type="cellIs" dxfId="1221" priority="349" operator="greaterThan">
      <formula>0.03</formula>
    </cfRule>
    <cfRule type="cellIs" dxfId="1220" priority="350" stopIfTrue="1" operator="lessThan">
      <formula>-0.03</formula>
    </cfRule>
  </conditionalFormatting>
  <conditionalFormatting sqref="U36:X39">
    <cfRule type="cellIs" dxfId="1219" priority="347" operator="greaterThan">
      <formula>0.03</formula>
    </cfRule>
    <cfRule type="cellIs" dxfId="1218" priority="348" stopIfTrue="1" operator="lessThan">
      <formula>-0.03</formula>
    </cfRule>
  </conditionalFormatting>
  <conditionalFormatting sqref="U42:X42">
    <cfRule type="cellIs" dxfId="1217" priority="345" operator="greaterThan">
      <formula>0.03</formula>
    </cfRule>
    <cfRule type="cellIs" dxfId="1216" priority="346" stopIfTrue="1" operator="lessThan">
      <formula>-0.03</formula>
    </cfRule>
  </conditionalFormatting>
  <conditionalFormatting sqref="U48:X48">
    <cfRule type="cellIs" dxfId="1215" priority="343" operator="greaterThan">
      <formula>0.03</formula>
    </cfRule>
    <cfRule type="cellIs" dxfId="1214" priority="344" stopIfTrue="1" operator="lessThan">
      <formula>-0.03</formula>
    </cfRule>
  </conditionalFormatting>
  <conditionalFormatting sqref="U43:X46">
    <cfRule type="cellIs" dxfId="1213" priority="341" operator="greaterThan">
      <formula>0.03</formula>
    </cfRule>
    <cfRule type="cellIs" dxfId="1212" priority="342" stopIfTrue="1" operator="lessThan">
      <formula>-0.03</formula>
    </cfRule>
  </conditionalFormatting>
  <conditionalFormatting sqref="U51:X51">
    <cfRule type="cellIs" dxfId="1211" priority="339" operator="greaterThan">
      <formula>0.03</formula>
    </cfRule>
    <cfRule type="cellIs" dxfId="1210" priority="340" stopIfTrue="1" operator="lessThan">
      <formula>-0.03</formula>
    </cfRule>
  </conditionalFormatting>
  <conditionalFormatting sqref="U57:X57">
    <cfRule type="cellIs" dxfId="1209" priority="337" operator="greaterThan">
      <formula>0.03</formula>
    </cfRule>
    <cfRule type="cellIs" dxfId="1208" priority="338" stopIfTrue="1" operator="lessThan">
      <formula>-0.03</formula>
    </cfRule>
  </conditionalFormatting>
  <conditionalFormatting sqref="U52:X55">
    <cfRule type="cellIs" dxfId="1207" priority="335" operator="greaterThan">
      <formula>0.03</formula>
    </cfRule>
    <cfRule type="cellIs" dxfId="1206" priority="336" stopIfTrue="1" operator="lessThan">
      <formula>-0.03</formula>
    </cfRule>
  </conditionalFormatting>
  <conditionalFormatting sqref="U24">
    <cfRule type="cellIs" dxfId="1205" priority="333" operator="greaterThan">
      <formula>0.03</formula>
    </cfRule>
    <cfRule type="cellIs" dxfId="1204" priority="334" stopIfTrue="1" operator="lessThan">
      <formula>-0.03</formula>
    </cfRule>
  </conditionalFormatting>
  <conditionalFormatting sqref="V24">
    <cfRule type="cellIs" dxfId="1203" priority="331" operator="greaterThan">
      <formula>0.03</formula>
    </cfRule>
    <cfRule type="cellIs" dxfId="1202" priority="332" stopIfTrue="1" operator="lessThan">
      <formula>-0.03</formula>
    </cfRule>
  </conditionalFormatting>
  <conditionalFormatting sqref="W24">
    <cfRule type="cellIs" dxfId="1201" priority="329" operator="greaterThan">
      <formula>0.03</formula>
    </cfRule>
    <cfRule type="cellIs" dxfId="1200" priority="330" stopIfTrue="1" operator="lessThan">
      <formula>-0.03</formula>
    </cfRule>
  </conditionalFormatting>
  <conditionalFormatting sqref="X24">
    <cfRule type="cellIs" dxfId="1199" priority="327" operator="greaterThan">
      <formula>0.03</formula>
    </cfRule>
    <cfRule type="cellIs" dxfId="1198" priority="328" stopIfTrue="1" operator="lessThan">
      <formula>-0.03</formula>
    </cfRule>
  </conditionalFormatting>
  <conditionalFormatting sqref="U31">
    <cfRule type="cellIs" dxfId="1197" priority="325" operator="greaterThan">
      <formula>0.03</formula>
    </cfRule>
    <cfRule type="cellIs" dxfId="1196" priority="326" stopIfTrue="1" operator="lessThan">
      <formula>-0.03</formula>
    </cfRule>
  </conditionalFormatting>
  <conditionalFormatting sqref="V31">
    <cfRule type="cellIs" dxfId="1195" priority="323" operator="greaterThan">
      <formula>0.03</formula>
    </cfRule>
    <cfRule type="cellIs" dxfId="1194" priority="324" stopIfTrue="1" operator="lessThan">
      <formula>-0.03</formula>
    </cfRule>
  </conditionalFormatting>
  <conditionalFormatting sqref="W31">
    <cfRule type="cellIs" dxfId="1193" priority="321" operator="greaterThan">
      <formula>0.03</formula>
    </cfRule>
    <cfRule type="cellIs" dxfId="1192" priority="322" stopIfTrue="1" operator="lessThan">
      <formula>-0.03</formula>
    </cfRule>
  </conditionalFormatting>
  <conditionalFormatting sqref="X31">
    <cfRule type="cellIs" dxfId="1191" priority="319" operator="greaterThan">
      <formula>0.03</formula>
    </cfRule>
    <cfRule type="cellIs" dxfId="1190" priority="320" stopIfTrue="1" operator="lessThan">
      <formula>-0.03</formula>
    </cfRule>
  </conditionalFormatting>
  <conditionalFormatting sqref="U40">
    <cfRule type="cellIs" dxfId="1189" priority="317" operator="greaterThan">
      <formula>0.03</formula>
    </cfRule>
    <cfRule type="cellIs" dxfId="1188" priority="318" stopIfTrue="1" operator="lessThan">
      <formula>-0.03</formula>
    </cfRule>
  </conditionalFormatting>
  <conditionalFormatting sqref="V40">
    <cfRule type="cellIs" dxfId="1187" priority="315" operator="greaterThan">
      <formula>0.03</formula>
    </cfRule>
    <cfRule type="cellIs" dxfId="1186" priority="316" stopIfTrue="1" operator="lessThan">
      <formula>-0.03</formula>
    </cfRule>
  </conditionalFormatting>
  <conditionalFormatting sqref="W40">
    <cfRule type="cellIs" dxfId="1185" priority="313" operator="greaterThan">
      <formula>0.03</formula>
    </cfRule>
    <cfRule type="cellIs" dxfId="1184" priority="314" stopIfTrue="1" operator="lessThan">
      <formula>-0.03</formula>
    </cfRule>
  </conditionalFormatting>
  <conditionalFormatting sqref="X40">
    <cfRule type="cellIs" dxfId="1183" priority="311" operator="greaterThan">
      <formula>0.03</formula>
    </cfRule>
    <cfRule type="cellIs" dxfId="1182" priority="312" stopIfTrue="1" operator="lessThan">
      <formula>-0.03</formula>
    </cfRule>
  </conditionalFormatting>
  <conditionalFormatting sqref="U47">
    <cfRule type="cellIs" dxfId="1181" priority="309" operator="greaterThan">
      <formula>0.03</formula>
    </cfRule>
    <cfRule type="cellIs" dxfId="1180" priority="310" stopIfTrue="1" operator="lessThan">
      <formula>-0.03</formula>
    </cfRule>
  </conditionalFormatting>
  <conditionalFormatting sqref="V47">
    <cfRule type="cellIs" dxfId="1179" priority="307" operator="greaterThan">
      <formula>0.03</formula>
    </cfRule>
    <cfRule type="cellIs" dxfId="1178" priority="308" stopIfTrue="1" operator="lessThan">
      <formula>-0.03</formula>
    </cfRule>
  </conditionalFormatting>
  <conditionalFormatting sqref="W47">
    <cfRule type="cellIs" dxfId="1177" priority="305" operator="greaterThan">
      <formula>0.03</formula>
    </cfRule>
    <cfRule type="cellIs" dxfId="1176" priority="306" stopIfTrue="1" operator="lessThan">
      <formula>-0.03</formula>
    </cfRule>
  </conditionalFormatting>
  <conditionalFormatting sqref="X47">
    <cfRule type="cellIs" dxfId="1175" priority="303" operator="greaterThan">
      <formula>0.03</formula>
    </cfRule>
    <cfRule type="cellIs" dxfId="1174" priority="304" stopIfTrue="1" operator="lessThan">
      <formula>-0.03</formula>
    </cfRule>
  </conditionalFormatting>
  <conditionalFormatting sqref="U56">
    <cfRule type="cellIs" dxfId="1173" priority="301" operator="greaterThan">
      <formula>0.03</formula>
    </cfRule>
    <cfRule type="cellIs" dxfId="1172" priority="302" stopIfTrue="1" operator="lessThan">
      <formula>-0.03</formula>
    </cfRule>
  </conditionalFormatting>
  <conditionalFormatting sqref="V56">
    <cfRule type="cellIs" dxfId="1171" priority="299" operator="greaterThan">
      <formula>0.03</formula>
    </cfRule>
    <cfRule type="cellIs" dxfId="1170" priority="300" stopIfTrue="1" operator="lessThan">
      <formula>-0.03</formula>
    </cfRule>
  </conditionalFormatting>
  <conditionalFormatting sqref="W56">
    <cfRule type="cellIs" dxfId="1169" priority="297" operator="greaterThan">
      <formula>0.03</formula>
    </cfRule>
    <cfRule type="cellIs" dxfId="1168" priority="298" stopIfTrue="1" operator="lessThan">
      <formula>-0.03</formula>
    </cfRule>
  </conditionalFormatting>
  <conditionalFormatting sqref="X56">
    <cfRule type="cellIs" dxfId="1167" priority="295" operator="greaterThan">
      <formula>0.03</formula>
    </cfRule>
    <cfRule type="cellIs" dxfId="1166" priority="296" stopIfTrue="1" operator="lessThan">
      <formula>-0.03</formula>
    </cfRule>
  </conditionalFormatting>
  <conditionalFormatting sqref="C3:F3">
    <cfRule type="cellIs" dxfId="1165" priority="293" operator="greaterThan">
      <formula>0.03</formula>
    </cfRule>
    <cfRule type="cellIs" dxfId="1164" priority="294" stopIfTrue="1" operator="lessThan">
      <formula>-0.03</formula>
    </cfRule>
  </conditionalFormatting>
  <conditionalFormatting sqref="C9:F9">
    <cfRule type="cellIs" dxfId="1163" priority="291" operator="greaterThan">
      <formula>0.03</formula>
    </cfRule>
    <cfRule type="cellIs" dxfId="1162" priority="292" stopIfTrue="1" operator="lessThan">
      <formula>-0.03</formula>
    </cfRule>
  </conditionalFormatting>
  <conditionalFormatting sqref="C4:F7">
    <cfRule type="cellIs" dxfId="1161" priority="289" operator="greaterThan">
      <formula>0.03</formula>
    </cfRule>
    <cfRule type="cellIs" dxfId="1160" priority="290" stopIfTrue="1" operator="lessThan">
      <formula>-0.03</formula>
    </cfRule>
  </conditionalFormatting>
  <conditionalFormatting sqref="C10:F10">
    <cfRule type="cellIs" dxfId="1159" priority="287" operator="greaterThan">
      <formula>0.03</formula>
    </cfRule>
    <cfRule type="cellIs" dxfId="1158" priority="288" stopIfTrue="1" operator="lessThan">
      <formula>-0.03</formula>
    </cfRule>
  </conditionalFormatting>
  <conditionalFormatting sqref="C16:F16">
    <cfRule type="cellIs" dxfId="1157" priority="285" operator="greaterThan">
      <formula>0.03</formula>
    </cfRule>
    <cfRule type="cellIs" dxfId="1156" priority="286" stopIfTrue="1" operator="lessThan">
      <formula>-0.03</formula>
    </cfRule>
  </conditionalFormatting>
  <conditionalFormatting sqref="C11:F14">
    <cfRule type="cellIs" dxfId="1155" priority="283" operator="greaterThan">
      <formula>0.03</formula>
    </cfRule>
    <cfRule type="cellIs" dxfId="1154" priority="284" stopIfTrue="1" operator="lessThan">
      <formula>-0.03</formula>
    </cfRule>
  </conditionalFormatting>
  <conditionalFormatting sqref="L3:O3">
    <cfRule type="cellIs" dxfId="1153" priority="281" operator="greaterThan">
      <formula>0.03</formula>
    </cfRule>
    <cfRule type="cellIs" dxfId="1152" priority="282" stopIfTrue="1" operator="lessThan">
      <formula>-0.03</formula>
    </cfRule>
  </conditionalFormatting>
  <conditionalFormatting sqref="L9:O9">
    <cfRule type="cellIs" dxfId="1151" priority="279" operator="greaterThan">
      <formula>0.03</formula>
    </cfRule>
    <cfRule type="cellIs" dxfId="1150" priority="280" stopIfTrue="1" operator="lessThan">
      <formula>-0.03</formula>
    </cfRule>
  </conditionalFormatting>
  <conditionalFormatting sqref="L4:O7">
    <cfRule type="cellIs" dxfId="1149" priority="277" operator="greaterThan">
      <formula>0.03</formula>
    </cfRule>
    <cfRule type="cellIs" dxfId="1148" priority="278" stopIfTrue="1" operator="lessThan">
      <formula>-0.03</formula>
    </cfRule>
  </conditionalFormatting>
  <conditionalFormatting sqref="L10:O10">
    <cfRule type="cellIs" dxfId="1147" priority="275" operator="greaterThan">
      <formula>0.03</formula>
    </cfRule>
    <cfRule type="cellIs" dxfId="1146" priority="276" stopIfTrue="1" operator="lessThan">
      <formula>-0.03</formula>
    </cfRule>
  </conditionalFormatting>
  <conditionalFormatting sqref="L16:O16">
    <cfRule type="cellIs" dxfId="1145" priority="273" operator="greaterThan">
      <formula>0.03</formula>
    </cfRule>
    <cfRule type="cellIs" dxfId="1144" priority="274" stopIfTrue="1" operator="lessThan">
      <formula>-0.03</formula>
    </cfRule>
  </conditionalFormatting>
  <conditionalFormatting sqref="L11:O14">
    <cfRule type="cellIs" dxfId="1143" priority="271" operator="greaterThan">
      <formula>0.03</formula>
    </cfRule>
    <cfRule type="cellIs" dxfId="1142" priority="272" stopIfTrue="1" operator="lessThan">
      <formula>-0.03</formula>
    </cfRule>
  </conditionalFormatting>
  <conditionalFormatting sqref="C8">
    <cfRule type="cellIs" dxfId="1141" priority="269" operator="greaterThan">
      <formula>0.03</formula>
    </cfRule>
    <cfRule type="cellIs" dxfId="1140" priority="270" stopIfTrue="1" operator="lessThan">
      <formula>-0.03</formula>
    </cfRule>
  </conditionalFormatting>
  <conditionalFormatting sqref="D8">
    <cfRule type="cellIs" dxfId="1139" priority="267" operator="greaterThan">
      <formula>0.03</formula>
    </cfRule>
    <cfRule type="cellIs" dxfId="1138" priority="268" stopIfTrue="1" operator="lessThan">
      <formula>-0.03</formula>
    </cfRule>
  </conditionalFormatting>
  <conditionalFormatting sqref="E8">
    <cfRule type="cellIs" dxfId="1137" priority="265" operator="greaterThan">
      <formula>0.03</formula>
    </cfRule>
    <cfRule type="cellIs" dxfId="1136" priority="266" stopIfTrue="1" operator="lessThan">
      <formula>-0.03</formula>
    </cfRule>
  </conditionalFormatting>
  <conditionalFormatting sqref="F8">
    <cfRule type="cellIs" dxfId="1135" priority="263" operator="greaterThan">
      <formula>0.03</formula>
    </cfRule>
    <cfRule type="cellIs" dxfId="1134" priority="264" stopIfTrue="1" operator="lessThan">
      <formula>-0.03</formula>
    </cfRule>
  </conditionalFormatting>
  <conditionalFormatting sqref="L8">
    <cfRule type="cellIs" dxfId="1133" priority="261" operator="greaterThan">
      <formula>0.03</formula>
    </cfRule>
    <cfRule type="cellIs" dxfId="1132" priority="262" stopIfTrue="1" operator="lessThan">
      <formula>-0.03</formula>
    </cfRule>
  </conditionalFormatting>
  <conditionalFormatting sqref="M8">
    <cfRule type="cellIs" dxfId="1131" priority="259" operator="greaterThan">
      <formula>0.03</formula>
    </cfRule>
    <cfRule type="cellIs" dxfId="1130" priority="260" stopIfTrue="1" operator="lessThan">
      <formula>-0.03</formula>
    </cfRule>
  </conditionalFormatting>
  <conditionalFormatting sqref="N8">
    <cfRule type="cellIs" dxfId="1129" priority="257" operator="greaterThan">
      <formula>0.03</formula>
    </cfRule>
    <cfRule type="cellIs" dxfId="1128" priority="258" stopIfTrue="1" operator="lessThan">
      <formula>-0.03</formula>
    </cfRule>
  </conditionalFormatting>
  <conditionalFormatting sqref="O8">
    <cfRule type="cellIs" dxfId="1127" priority="255" operator="greaterThan">
      <formula>0.03</formula>
    </cfRule>
    <cfRule type="cellIs" dxfId="1126" priority="256" stopIfTrue="1" operator="lessThan">
      <formula>-0.03</formula>
    </cfRule>
  </conditionalFormatting>
  <conditionalFormatting sqref="C15">
    <cfRule type="cellIs" dxfId="1125" priority="253" operator="greaterThan">
      <formula>0.03</formula>
    </cfRule>
    <cfRule type="cellIs" dxfId="1124" priority="254" stopIfTrue="1" operator="lessThan">
      <formula>-0.03</formula>
    </cfRule>
  </conditionalFormatting>
  <conditionalFormatting sqref="D15">
    <cfRule type="cellIs" dxfId="1123" priority="251" operator="greaterThan">
      <formula>0.03</formula>
    </cfRule>
    <cfRule type="cellIs" dxfId="1122" priority="252" stopIfTrue="1" operator="lessThan">
      <formula>-0.03</formula>
    </cfRule>
  </conditionalFormatting>
  <conditionalFormatting sqref="E15">
    <cfRule type="cellIs" dxfId="1121" priority="249" operator="greaterThan">
      <formula>0.03</formula>
    </cfRule>
    <cfRule type="cellIs" dxfId="1120" priority="250" stopIfTrue="1" operator="lessThan">
      <formula>-0.03</formula>
    </cfRule>
  </conditionalFormatting>
  <conditionalFormatting sqref="F15">
    <cfRule type="cellIs" dxfId="1119" priority="247" operator="greaterThan">
      <formula>0.03</formula>
    </cfRule>
    <cfRule type="cellIs" dxfId="1118" priority="248" stopIfTrue="1" operator="lessThan">
      <formula>-0.03</formula>
    </cfRule>
  </conditionalFormatting>
  <conditionalFormatting sqref="L15">
    <cfRule type="cellIs" dxfId="1117" priority="245" operator="greaterThan">
      <formula>0.03</formula>
    </cfRule>
    <cfRule type="cellIs" dxfId="1116" priority="246" stopIfTrue="1" operator="lessThan">
      <formula>-0.03</formula>
    </cfRule>
  </conditionalFormatting>
  <conditionalFormatting sqref="M15">
    <cfRule type="cellIs" dxfId="1115" priority="243" operator="greaterThan">
      <formula>0.03</formula>
    </cfRule>
    <cfRule type="cellIs" dxfId="1114" priority="244" stopIfTrue="1" operator="lessThan">
      <formula>-0.03</formula>
    </cfRule>
  </conditionalFormatting>
  <conditionalFormatting sqref="N15">
    <cfRule type="cellIs" dxfId="1113" priority="241" operator="greaterThan">
      <formula>0.03</formula>
    </cfRule>
    <cfRule type="cellIs" dxfId="1112" priority="242" stopIfTrue="1" operator="lessThan">
      <formula>-0.03</formula>
    </cfRule>
  </conditionalFormatting>
  <conditionalFormatting sqref="O15">
    <cfRule type="cellIs" dxfId="1111" priority="239" operator="greaterThan">
      <formula>0.03</formula>
    </cfRule>
    <cfRule type="cellIs" dxfId="1110" priority="240" stopIfTrue="1" operator="lessThan">
      <formula>-0.03</formula>
    </cfRule>
  </conditionalFormatting>
  <conditionalFormatting sqref="U3:X3">
    <cfRule type="cellIs" dxfId="1109" priority="237" operator="greaterThan">
      <formula>0.03</formula>
    </cfRule>
    <cfRule type="cellIs" dxfId="1108" priority="238" stopIfTrue="1" operator="lessThan">
      <formula>-0.03</formula>
    </cfRule>
  </conditionalFormatting>
  <conditionalFormatting sqref="U9:X9">
    <cfRule type="cellIs" dxfId="1107" priority="235" operator="greaterThan">
      <formula>0.03</formula>
    </cfRule>
    <cfRule type="cellIs" dxfId="1106" priority="236" stopIfTrue="1" operator="lessThan">
      <formula>-0.03</formula>
    </cfRule>
  </conditionalFormatting>
  <conditionalFormatting sqref="U4:X7">
    <cfRule type="cellIs" dxfId="1105" priority="233" operator="greaterThan">
      <formula>0.03</formula>
    </cfRule>
    <cfRule type="cellIs" dxfId="1104" priority="234" stopIfTrue="1" operator="lessThan">
      <formula>-0.03</formula>
    </cfRule>
  </conditionalFormatting>
  <conditionalFormatting sqref="U10:X10">
    <cfRule type="cellIs" dxfId="1103" priority="231" operator="greaterThan">
      <formula>0.03</formula>
    </cfRule>
    <cfRule type="cellIs" dxfId="1102" priority="232" stopIfTrue="1" operator="lessThan">
      <formula>-0.03</formula>
    </cfRule>
  </conditionalFormatting>
  <conditionalFormatting sqref="U16:X16">
    <cfRule type="cellIs" dxfId="1101" priority="229" operator="greaterThan">
      <formula>0.03</formula>
    </cfRule>
    <cfRule type="cellIs" dxfId="1100" priority="230" stopIfTrue="1" operator="lessThan">
      <formula>-0.03</formula>
    </cfRule>
  </conditionalFormatting>
  <conditionalFormatting sqref="U11:X14">
    <cfRule type="cellIs" dxfId="1099" priority="227" operator="greaterThan">
      <formula>0.03</formula>
    </cfRule>
    <cfRule type="cellIs" dxfId="1098" priority="228" stopIfTrue="1" operator="lessThan">
      <formula>-0.03</formula>
    </cfRule>
  </conditionalFormatting>
  <conditionalFormatting sqref="U8">
    <cfRule type="cellIs" dxfId="1097" priority="225" operator="greaterThan">
      <formula>0.03</formula>
    </cfRule>
    <cfRule type="cellIs" dxfId="1096" priority="226" stopIfTrue="1" operator="lessThan">
      <formula>-0.03</formula>
    </cfRule>
  </conditionalFormatting>
  <conditionalFormatting sqref="V8">
    <cfRule type="cellIs" dxfId="1095" priority="223" operator="greaterThan">
      <formula>0.03</formula>
    </cfRule>
    <cfRule type="cellIs" dxfId="1094" priority="224" stopIfTrue="1" operator="lessThan">
      <formula>-0.03</formula>
    </cfRule>
  </conditionalFormatting>
  <conditionalFormatting sqref="W8">
    <cfRule type="cellIs" dxfId="1093" priority="221" operator="greaterThan">
      <formula>0.03</formula>
    </cfRule>
    <cfRule type="cellIs" dxfId="1092" priority="222" stopIfTrue="1" operator="lessThan">
      <formula>-0.03</formula>
    </cfRule>
  </conditionalFormatting>
  <conditionalFormatting sqref="X8">
    <cfRule type="cellIs" dxfId="1091" priority="219" operator="greaterThan">
      <formula>0.03</formula>
    </cfRule>
    <cfRule type="cellIs" dxfId="1090" priority="220" stopIfTrue="1" operator="lessThan">
      <formula>-0.03</formula>
    </cfRule>
  </conditionalFormatting>
  <conditionalFormatting sqref="U15">
    <cfRule type="cellIs" dxfId="1089" priority="217" operator="greaterThan">
      <formula>0.03</formula>
    </cfRule>
    <cfRule type="cellIs" dxfId="1088" priority="218" stopIfTrue="1" operator="lessThan">
      <formula>-0.03</formula>
    </cfRule>
  </conditionalFormatting>
  <conditionalFormatting sqref="V15">
    <cfRule type="cellIs" dxfId="1087" priority="215" operator="greaterThan">
      <formula>0.03</formula>
    </cfRule>
    <cfRule type="cellIs" dxfId="1086" priority="216" stopIfTrue="1" operator="lessThan">
      <formula>-0.03</formula>
    </cfRule>
  </conditionalFormatting>
  <conditionalFormatting sqref="W15">
    <cfRule type="cellIs" dxfId="1085" priority="213" operator="greaterThan">
      <formula>0.03</formula>
    </cfRule>
    <cfRule type="cellIs" dxfId="1084" priority="214" stopIfTrue="1" operator="lessThan">
      <formula>-0.03</formula>
    </cfRule>
  </conditionalFormatting>
  <conditionalFormatting sqref="X15">
    <cfRule type="cellIs" dxfId="1083" priority="211" operator="greaterThan">
      <formula>0.03</formula>
    </cfRule>
    <cfRule type="cellIs" dxfId="1082" priority="212" stopIfTrue="1" operator="lessThan">
      <formula>-0.03</formula>
    </cfRule>
  </conditionalFormatting>
  <conditionalFormatting sqref="AD12:AG12">
    <cfRule type="cellIs" dxfId="1081" priority="111" operator="greaterThan">
      <formula>0.03</formula>
    </cfRule>
    <cfRule type="cellIs" dxfId="1080" priority="112" stopIfTrue="1" operator="lessThan">
      <formula>-0.03</formula>
    </cfRule>
  </conditionalFormatting>
  <conditionalFormatting sqref="AD18:AG18">
    <cfRule type="cellIs" dxfId="1079" priority="109" operator="greaterThan">
      <formula>0.03</formula>
    </cfRule>
    <cfRule type="cellIs" dxfId="1078" priority="110" stopIfTrue="1" operator="lessThan">
      <formula>-0.03</formula>
    </cfRule>
  </conditionalFormatting>
  <conditionalFormatting sqref="AD13:AG16">
    <cfRule type="cellIs" dxfId="1077" priority="107" operator="greaterThan">
      <formula>0.03</formula>
    </cfRule>
    <cfRule type="cellIs" dxfId="1076" priority="108" stopIfTrue="1" operator="lessThan">
      <formula>-0.03</formula>
    </cfRule>
  </conditionalFormatting>
  <conditionalFormatting sqref="AD21:AG21">
    <cfRule type="cellIs" dxfId="1075" priority="99" operator="greaterThan">
      <formula>0.03</formula>
    </cfRule>
    <cfRule type="cellIs" dxfId="1074" priority="100" stopIfTrue="1" operator="lessThan">
      <formula>-0.03</formula>
    </cfRule>
  </conditionalFormatting>
  <conditionalFormatting sqref="AD27:AG27">
    <cfRule type="cellIs" dxfId="1073" priority="97" operator="greaterThan">
      <formula>0.03</formula>
    </cfRule>
    <cfRule type="cellIs" dxfId="1072" priority="98" stopIfTrue="1" operator="lessThan">
      <formula>-0.03</formula>
    </cfRule>
  </conditionalFormatting>
  <conditionalFormatting sqref="AD22:AG25">
    <cfRule type="cellIs" dxfId="1071" priority="95" operator="greaterThan">
      <formula>0.03</formula>
    </cfRule>
    <cfRule type="cellIs" dxfId="1070" priority="96" stopIfTrue="1" operator="lessThan">
      <formula>-0.03</formula>
    </cfRule>
  </conditionalFormatting>
  <conditionalFormatting sqref="AD30:AG30">
    <cfRule type="cellIs" dxfId="1069" priority="87" operator="greaterThan">
      <formula>0.03</formula>
    </cfRule>
    <cfRule type="cellIs" dxfId="1068" priority="88" stopIfTrue="1" operator="lessThan">
      <formula>-0.03</formula>
    </cfRule>
  </conditionalFormatting>
  <conditionalFormatting sqref="AD36:AG36">
    <cfRule type="cellIs" dxfId="1067" priority="85" operator="greaterThan">
      <formula>0.03</formula>
    </cfRule>
    <cfRule type="cellIs" dxfId="1066" priority="86" stopIfTrue="1" operator="lessThan">
      <formula>-0.03</formula>
    </cfRule>
  </conditionalFormatting>
  <conditionalFormatting sqref="AD31:AG34">
    <cfRule type="cellIs" dxfId="1065" priority="83" operator="greaterThan">
      <formula>0.03</formula>
    </cfRule>
    <cfRule type="cellIs" dxfId="1064" priority="84" stopIfTrue="1" operator="lessThan">
      <formula>-0.03</formula>
    </cfRule>
  </conditionalFormatting>
  <conditionalFormatting sqref="AD17">
    <cfRule type="cellIs" dxfId="1063" priority="81" operator="greaterThan">
      <formula>0.03</formula>
    </cfRule>
    <cfRule type="cellIs" dxfId="1062" priority="82" stopIfTrue="1" operator="lessThan">
      <formula>-0.03</formula>
    </cfRule>
  </conditionalFormatting>
  <conditionalFormatting sqref="AE17">
    <cfRule type="cellIs" dxfId="1061" priority="79" operator="greaterThan">
      <formula>0.03</formula>
    </cfRule>
    <cfRule type="cellIs" dxfId="1060" priority="80" stopIfTrue="1" operator="lessThan">
      <formula>-0.03</formula>
    </cfRule>
  </conditionalFormatting>
  <conditionalFormatting sqref="AF17">
    <cfRule type="cellIs" dxfId="1059" priority="77" operator="greaterThan">
      <formula>0.03</formula>
    </cfRule>
    <cfRule type="cellIs" dxfId="1058" priority="78" stopIfTrue="1" operator="lessThan">
      <formula>-0.03</formula>
    </cfRule>
  </conditionalFormatting>
  <conditionalFormatting sqref="AG17">
    <cfRule type="cellIs" dxfId="1057" priority="75" operator="greaterThan">
      <formula>0.03</formula>
    </cfRule>
    <cfRule type="cellIs" dxfId="1056" priority="76" stopIfTrue="1" operator="lessThan">
      <formula>-0.03</formula>
    </cfRule>
  </conditionalFormatting>
  <conditionalFormatting sqref="AD26">
    <cfRule type="cellIs" dxfId="1055" priority="65" operator="greaterThan">
      <formula>0.03</formula>
    </cfRule>
    <cfRule type="cellIs" dxfId="1054" priority="66" stopIfTrue="1" operator="lessThan">
      <formula>-0.03</formula>
    </cfRule>
  </conditionalFormatting>
  <conditionalFormatting sqref="AE26">
    <cfRule type="cellIs" dxfId="1053" priority="63" operator="greaterThan">
      <formula>0.03</formula>
    </cfRule>
    <cfRule type="cellIs" dxfId="1052" priority="64" stopIfTrue="1" operator="lessThan">
      <formula>-0.03</formula>
    </cfRule>
  </conditionalFormatting>
  <conditionalFormatting sqref="AF26">
    <cfRule type="cellIs" dxfId="1051" priority="61" operator="greaterThan">
      <formula>0.03</formula>
    </cfRule>
    <cfRule type="cellIs" dxfId="1050" priority="62" stopIfTrue="1" operator="lessThan">
      <formula>-0.03</formula>
    </cfRule>
  </conditionalFormatting>
  <conditionalFormatting sqref="AG26">
    <cfRule type="cellIs" dxfId="1049" priority="59" operator="greaterThan">
      <formula>0.03</formula>
    </cfRule>
    <cfRule type="cellIs" dxfId="1048" priority="60" stopIfTrue="1" operator="lessThan">
      <formula>-0.03</formula>
    </cfRule>
  </conditionalFormatting>
  <conditionalFormatting sqref="AD35">
    <cfRule type="cellIs" dxfId="1047" priority="49" operator="greaterThan">
      <formula>0.03</formula>
    </cfRule>
    <cfRule type="cellIs" dxfId="1046" priority="50" stopIfTrue="1" operator="lessThan">
      <formula>-0.03</formula>
    </cfRule>
  </conditionalFormatting>
  <conditionalFormatting sqref="AE35">
    <cfRule type="cellIs" dxfId="1045" priority="47" operator="greaterThan">
      <formula>0.03</formula>
    </cfRule>
    <cfRule type="cellIs" dxfId="1044" priority="48" stopIfTrue="1" operator="lessThan">
      <formula>-0.03</formula>
    </cfRule>
  </conditionalFormatting>
  <conditionalFormatting sqref="AF35">
    <cfRule type="cellIs" dxfId="1043" priority="45" operator="greaterThan">
      <formula>0.03</formula>
    </cfRule>
    <cfRule type="cellIs" dxfId="1042" priority="46" stopIfTrue="1" operator="lessThan">
      <formula>-0.03</formula>
    </cfRule>
  </conditionalFormatting>
  <conditionalFormatting sqref="AG35">
    <cfRule type="cellIs" dxfId="1041" priority="43" operator="greaterThan">
      <formula>0.03</formula>
    </cfRule>
    <cfRule type="cellIs" dxfId="1040" priority="44" stopIfTrue="1" operator="lessThan">
      <formula>-0.03</formula>
    </cfRule>
  </conditionalFormatting>
  <conditionalFormatting sqref="AD3:AG3">
    <cfRule type="cellIs" dxfId="1039" priority="41" operator="greaterThan">
      <formula>0.03</formula>
    </cfRule>
    <cfRule type="cellIs" dxfId="1038" priority="42" stopIfTrue="1" operator="lessThan">
      <formula>-0.03</formula>
    </cfRule>
  </conditionalFormatting>
  <conditionalFormatting sqref="AD9:AG9">
    <cfRule type="cellIs" dxfId="1037" priority="39" operator="greaterThan">
      <formula>0.03</formula>
    </cfRule>
    <cfRule type="cellIs" dxfId="1036" priority="40" stopIfTrue="1" operator="lessThan">
      <formula>-0.03</formula>
    </cfRule>
  </conditionalFormatting>
  <conditionalFormatting sqref="AD4:AG7">
    <cfRule type="cellIs" dxfId="1035" priority="37" operator="greaterThan">
      <formula>0.03</formula>
    </cfRule>
    <cfRule type="cellIs" dxfId="1034" priority="38" stopIfTrue="1" operator="lessThan">
      <formula>-0.03</formula>
    </cfRule>
  </conditionalFormatting>
  <conditionalFormatting sqref="AD8">
    <cfRule type="cellIs" dxfId="1033" priority="29" operator="greaterThan">
      <formula>0.03</formula>
    </cfRule>
    <cfRule type="cellIs" dxfId="1032" priority="30" stopIfTrue="1" operator="lessThan">
      <formula>-0.03</formula>
    </cfRule>
  </conditionalFormatting>
  <conditionalFormatting sqref="AE8">
    <cfRule type="cellIs" dxfId="1031" priority="27" operator="greaterThan">
      <formula>0.03</formula>
    </cfRule>
    <cfRule type="cellIs" dxfId="1030" priority="28" stopIfTrue="1" operator="lessThan">
      <formula>-0.03</formula>
    </cfRule>
  </conditionalFormatting>
  <conditionalFormatting sqref="AF8">
    <cfRule type="cellIs" dxfId="1029" priority="25" operator="greaterThan">
      <formula>0.03</formula>
    </cfRule>
    <cfRule type="cellIs" dxfId="1028" priority="26" stopIfTrue="1" operator="lessThan">
      <formula>-0.03</formula>
    </cfRule>
  </conditionalFormatting>
  <conditionalFormatting sqref="AG8">
    <cfRule type="cellIs" dxfId="1027" priority="23" operator="greaterThan">
      <formula>0.03</formula>
    </cfRule>
    <cfRule type="cellIs" dxfId="1026" priority="24" stopIfTrue="1" operator="lessThan">
      <formula>-0.03</formula>
    </cfRule>
  </conditionalFormatting>
  <conditionalFormatting sqref="C51:F51">
    <cfRule type="cellIs" dxfId="1025" priority="13" operator="greaterThan">
      <formula>0.03</formula>
    </cfRule>
    <cfRule type="cellIs" dxfId="1024" priority="14" stopIfTrue="1" operator="lessThan">
      <formula>-0.03</formula>
    </cfRule>
  </conditionalFormatting>
  <conditionalFormatting sqref="C57:F57">
    <cfRule type="cellIs" dxfId="1023" priority="11" operator="greaterThan">
      <formula>0.03</formula>
    </cfRule>
    <cfRule type="cellIs" dxfId="1022" priority="12" stopIfTrue="1" operator="lessThan">
      <formula>-0.03</formula>
    </cfRule>
  </conditionalFormatting>
  <conditionalFormatting sqref="C52:F55">
    <cfRule type="cellIs" dxfId="1021" priority="9" operator="greaterThan">
      <formula>0.03</formula>
    </cfRule>
    <cfRule type="cellIs" dxfId="1020" priority="10" stopIfTrue="1" operator="lessThan">
      <formula>-0.03</formula>
    </cfRule>
  </conditionalFormatting>
  <conditionalFormatting sqref="C56">
    <cfRule type="cellIs" dxfId="1019" priority="7" operator="greaterThan">
      <formula>0.03</formula>
    </cfRule>
    <cfRule type="cellIs" dxfId="1018" priority="8" stopIfTrue="1" operator="lessThan">
      <formula>-0.03</formula>
    </cfRule>
  </conditionalFormatting>
  <conditionalFormatting sqref="D56">
    <cfRule type="cellIs" dxfId="1017" priority="5" operator="greaterThan">
      <formula>0.03</formula>
    </cfRule>
    <cfRule type="cellIs" dxfId="1016" priority="6" stopIfTrue="1" operator="lessThan">
      <formula>-0.03</formula>
    </cfRule>
  </conditionalFormatting>
  <conditionalFormatting sqref="E56">
    <cfRule type="cellIs" dxfId="1015" priority="3" operator="greaterThan">
      <formula>0.03</formula>
    </cfRule>
    <cfRule type="cellIs" dxfId="1014" priority="4" stopIfTrue="1" operator="lessThan">
      <formula>-0.03</formula>
    </cfRule>
  </conditionalFormatting>
  <conditionalFormatting sqref="F56">
    <cfRule type="cellIs" dxfId="1013" priority="1" operator="greaterThan">
      <formula>0.03</formula>
    </cfRule>
    <cfRule type="cellIs" dxfId="1012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topLeftCell="A76" zoomScaleNormal="100" workbookViewId="0">
      <selection activeCell="C81" sqref="C81:O84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130</v>
      </c>
    </row>
    <row r="2" spans="1:21" x14ac:dyDescent="0.25">
      <c r="A2" t="s">
        <v>84</v>
      </c>
    </row>
    <row r="3" spans="1:21" x14ac:dyDescent="0.25">
      <c r="A3" t="s">
        <v>131</v>
      </c>
    </row>
    <row r="4" spans="1:21" x14ac:dyDescent="0.25">
      <c r="A4" t="s">
        <v>83</v>
      </c>
    </row>
    <row r="5" spans="1:21" s="35" customFormat="1" ht="15.75" customHeight="1" x14ac:dyDescent="0.25">
      <c r="B5" s="61" t="s">
        <v>29</v>
      </c>
      <c r="C5" s="63" t="s">
        <v>175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132</v>
      </c>
      <c r="D7" s="70"/>
      <c r="E7" s="70"/>
      <c r="F7" s="70"/>
      <c r="G7" s="70"/>
      <c r="H7" s="70"/>
      <c r="I7" s="5"/>
      <c r="J7" s="69" t="s">
        <v>176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5954.77</v>
      </c>
      <c r="D9" s="16">
        <v>36.287999999999997</v>
      </c>
      <c r="E9" s="16">
        <v>37.979999999999997</v>
      </c>
      <c r="F9" s="16">
        <v>40.145000000000003</v>
      </c>
      <c r="G9" s="16">
        <v>27.32</v>
      </c>
      <c r="H9" s="16">
        <f t="shared" ref="H9:H80" si="0">(6*D9+E9+F9)/8</f>
        <v>36.981624999999994</v>
      </c>
      <c r="I9" s="5"/>
      <c r="J9" s="15">
        <v>4021.6336000000001</v>
      </c>
      <c r="K9" s="16">
        <v>37.587800000000001</v>
      </c>
      <c r="L9" s="16">
        <v>39.352699999999999</v>
      </c>
      <c r="M9" s="16">
        <v>41.827800000000003</v>
      </c>
      <c r="N9" s="16">
        <v>22.730699999999999</v>
      </c>
      <c r="O9" s="16">
        <f t="shared" ref="O9:O80" si="1">(6*K9+L9+M9)/8</f>
        <v>38.338412500000004</v>
      </c>
      <c r="P9" s="7"/>
      <c r="Q9" s="8">
        <f>bdrate(C9:C12,D9:D12,J9:J12,K9:K12)</f>
        <v>-0.54301401234746838</v>
      </c>
      <c r="R9" s="8">
        <f>bdrate(C9:C12,E9:E12,J9:J12,L9:L12)</f>
        <v>-0.67677214143106634</v>
      </c>
      <c r="S9" s="8">
        <f>bdrate(C9:C12,F9:F12,J9:J12,M9:M12)</f>
        <v>-0.68815928828007022</v>
      </c>
      <c r="T9" s="25">
        <f>bdrate(C9:C12,H9:H12,J9:J12,O9:O12)</f>
        <v>-0.56369236747548279</v>
      </c>
      <c r="U9" s="28">
        <f t="shared" ref="U9:U72" si="2">(N9-G9)/G9</f>
        <v>-0.16798316251830167</v>
      </c>
    </row>
    <row r="10" spans="1:21" x14ac:dyDescent="0.25">
      <c r="A10" s="9" t="s">
        <v>36</v>
      </c>
      <c r="B10" s="9"/>
      <c r="C10" s="17">
        <v>4414.71</v>
      </c>
      <c r="D10" s="18">
        <v>35.287999999999997</v>
      </c>
      <c r="E10" s="18">
        <v>37.682000000000002</v>
      </c>
      <c r="F10" s="18">
        <v>39.856000000000002</v>
      </c>
      <c r="G10" s="18">
        <v>31.83</v>
      </c>
      <c r="H10" s="18">
        <f t="shared" si="0"/>
        <v>36.158249999999995</v>
      </c>
      <c r="I10" s="5"/>
      <c r="J10" s="17">
        <v>2915.1568000000002</v>
      </c>
      <c r="K10" s="18">
        <v>36.592100000000002</v>
      </c>
      <c r="L10" s="18">
        <v>38.794600000000003</v>
      </c>
      <c r="M10" s="18">
        <v>41.144300000000001</v>
      </c>
      <c r="N10" s="18">
        <v>20.6327</v>
      </c>
      <c r="O10" s="18">
        <f t="shared" si="1"/>
        <v>37.436437500000004</v>
      </c>
      <c r="P10" s="7"/>
      <c r="Q10" s="10"/>
      <c r="R10" s="11"/>
      <c r="S10" s="11"/>
      <c r="T10" s="26"/>
      <c r="U10" s="28">
        <f t="shared" si="2"/>
        <v>-0.35178448005026702</v>
      </c>
    </row>
    <row r="11" spans="1:21" x14ac:dyDescent="0.25">
      <c r="B11" s="9"/>
      <c r="C11" s="17">
        <v>2888.65</v>
      </c>
      <c r="D11" s="18">
        <v>33.494</v>
      </c>
      <c r="E11" s="18">
        <v>36.851999999999997</v>
      </c>
      <c r="F11" s="18">
        <v>39.000999999999998</v>
      </c>
      <c r="G11" s="18">
        <v>33.74</v>
      </c>
      <c r="H11" s="18">
        <f t="shared" si="0"/>
        <v>34.602125000000001</v>
      </c>
      <c r="I11" s="5"/>
      <c r="J11" s="17">
        <v>1950.0239999999999</v>
      </c>
      <c r="K11" s="18">
        <v>35.0351</v>
      </c>
      <c r="L11" s="18">
        <v>38.154499999999999</v>
      </c>
      <c r="M11" s="18">
        <v>40.431800000000003</v>
      </c>
      <c r="N11" s="18">
        <v>30.235800000000001</v>
      </c>
      <c r="O11" s="18">
        <f t="shared" si="1"/>
        <v>36.099612499999999</v>
      </c>
      <c r="P11" s="7"/>
      <c r="Q11" s="10"/>
      <c r="R11" s="11"/>
      <c r="S11" s="11"/>
      <c r="T11" s="26"/>
      <c r="U11" s="28">
        <f t="shared" si="2"/>
        <v>-0.10385892116182574</v>
      </c>
    </row>
    <row r="12" spans="1:21" ht="16.5" thickBot="1" x14ac:dyDescent="0.3">
      <c r="B12" s="12"/>
      <c r="C12" s="19">
        <v>1393.08</v>
      </c>
      <c r="D12" s="20">
        <v>30</v>
      </c>
      <c r="E12" s="20">
        <v>35.808</v>
      </c>
      <c r="F12" s="20">
        <v>37.808</v>
      </c>
      <c r="G12" s="20">
        <v>36.28</v>
      </c>
      <c r="H12" s="20">
        <f t="shared" si="0"/>
        <v>31.701999999999998</v>
      </c>
      <c r="I12" s="5"/>
      <c r="J12" s="19">
        <v>920.58240000000001</v>
      </c>
      <c r="K12" s="20">
        <v>32.114699999999999</v>
      </c>
      <c r="L12" s="20">
        <v>36.8733</v>
      </c>
      <c r="M12" s="20">
        <v>39.096699999999998</v>
      </c>
      <c r="N12" s="20">
        <v>39.4011</v>
      </c>
      <c r="O12" s="20">
        <f t="shared" si="1"/>
        <v>33.582274999999996</v>
      </c>
      <c r="P12" s="7"/>
      <c r="Q12" s="13"/>
      <c r="R12" s="14"/>
      <c r="S12" s="14"/>
      <c r="T12" s="27"/>
      <c r="U12" s="28">
        <f t="shared" si="2"/>
        <v>8.6028114663726521E-2</v>
      </c>
    </row>
    <row r="13" spans="1:21" x14ac:dyDescent="0.25">
      <c r="B13" s="6" t="s">
        <v>47</v>
      </c>
      <c r="C13" s="15">
        <v>6069.14</v>
      </c>
      <c r="D13" s="16">
        <v>29.140999999999998</v>
      </c>
      <c r="E13" s="16">
        <v>38.893000000000001</v>
      </c>
      <c r="F13" s="16">
        <v>39.61</v>
      </c>
      <c r="G13" s="16">
        <v>25.51</v>
      </c>
      <c r="H13" s="16">
        <f t="shared" si="0"/>
        <v>31.668624999999999</v>
      </c>
      <c r="I13" s="5"/>
      <c r="J13" s="15">
        <v>4070.1887999999999</v>
      </c>
      <c r="K13" s="16">
        <v>29.102599999999999</v>
      </c>
      <c r="L13" s="16">
        <v>39.2254</v>
      </c>
      <c r="M13" s="16">
        <v>40.195399999999999</v>
      </c>
      <c r="N13" s="16">
        <v>14.1403</v>
      </c>
      <c r="O13" s="16">
        <f t="shared" si="1"/>
        <v>31.754550000000002</v>
      </c>
      <c r="P13" s="7"/>
      <c r="Q13" s="8">
        <f>bdrate(C13:C16,D13:D16,J13:J16,K13:K16)</f>
        <v>-0.3729148993402237</v>
      </c>
      <c r="R13" s="8">
        <f>bdrate(C13:C16,E13:E16,J13:J16,L13:L16)</f>
        <v>-0.44401596235649654</v>
      </c>
      <c r="S13" s="8">
        <f>bdrate(C13:C16,F13:F16,J13:J16,M13:M16)</f>
        <v>-0.55150252280673939</v>
      </c>
      <c r="T13" s="25">
        <f>bdrate(C13:C16,H13:H16,J13:J16,O13:O16)</f>
        <v>-0.39049543162608447</v>
      </c>
      <c r="U13" s="28">
        <f t="shared" si="2"/>
        <v>-0.44569580556644456</v>
      </c>
    </row>
    <row r="14" spans="1:21" x14ac:dyDescent="0.25">
      <c r="B14" s="9"/>
      <c r="C14" s="17">
        <v>4523.66</v>
      </c>
      <c r="D14" s="18">
        <v>27.66</v>
      </c>
      <c r="E14" s="18">
        <v>38.387999999999998</v>
      </c>
      <c r="F14" s="18">
        <v>39.122999999999998</v>
      </c>
      <c r="G14" s="18">
        <v>27.24</v>
      </c>
      <c r="H14" s="18">
        <f t="shared" si="0"/>
        <v>30.433875</v>
      </c>
      <c r="I14" s="5"/>
      <c r="J14" s="17">
        <v>3032.2703999999999</v>
      </c>
      <c r="K14" s="18">
        <v>27.757000000000001</v>
      </c>
      <c r="L14" s="18">
        <v>38.751100000000001</v>
      </c>
      <c r="M14" s="18">
        <v>39.752200000000002</v>
      </c>
      <c r="N14" s="18">
        <v>20.0749</v>
      </c>
      <c r="O14" s="18">
        <f t="shared" si="1"/>
        <v>30.6306625</v>
      </c>
      <c r="P14" s="7"/>
      <c r="Q14" s="10"/>
      <c r="R14" s="11"/>
      <c r="S14" s="11"/>
      <c r="T14" s="26"/>
      <c r="U14" s="28">
        <f t="shared" si="2"/>
        <v>-0.26303597650513949</v>
      </c>
    </row>
    <row r="15" spans="1:21" x14ac:dyDescent="0.25">
      <c r="B15" s="9"/>
      <c r="C15" s="17">
        <v>3009.54</v>
      </c>
      <c r="D15" s="18">
        <v>25.693999999999999</v>
      </c>
      <c r="E15" s="18">
        <v>37.603000000000002</v>
      </c>
      <c r="F15" s="18">
        <v>38.298000000000002</v>
      </c>
      <c r="G15" s="18">
        <v>29.22</v>
      </c>
      <c r="H15" s="18">
        <f t="shared" si="0"/>
        <v>28.758125</v>
      </c>
      <c r="I15" s="5"/>
      <c r="J15" s="17">
        <v>2017.5616</v>
      </c>
      <c r="K15" s="18">
        <v>25.970199999999998</v>
      </c>
      <c r="L15" s="18">
        <v>38.021000000000001</v>
      </c>
      <c r="M15" s="18">
        <v>39.132800000000003</v>
      </c>
      <c r="N15" s="18">
        <v>25.640999999999998</v>
      </c>
      <c r="O15" s="18">
        <f t="shared" si="1"/>
        <v>29.121874999999999</v>
      </c>
      <c r="P15" s="7"/>
      <c r="Q15" s="10"/>
      <c r="R15" s="11"/>
      <c r="S15" s="11"/>
      <c r="T15" s="26"/>
      <c r="U15" s="28">
        <f t="shared" si="2"/>
        <v>-0.12248459958932241</v>
      </c>
    </row>
    <row r="16" spans="1:21" ht="16.5" thickBot="1" x14ac:dyDescent="0.3">
      <c r="B16" s="12"/>
      <c r="C16" s="19">
        <v>1578.56</v>
      </c>
      <c r="D16" s="20">
        <v>22.321999999999999</v>
      </c>
      <c r="E16" s="20">
        <v>36.082000000000001</v>
      </c>
      <c r="F16" s="20">
        <v>36.923999999999999</v>
      </c>
      <c r="G16" s="20">
        <v>30.72</v>
      </c>
      <c r="H16" s="20">
        <f t="shared" si="0"/>
        <v>25.867249999999999</v>
      </c>
      <c r="I16" s="5"/>
      <c r="J16" s="19">
        <v>1118.8271999999999</v>
      </c>
      <c r="K16" s="20">
        <v>23.9071</v>
      </c>
      <c r="L16" s="20">
        <v>36.535699999999999</v>
      </c>
      <c r="M16" s="20">
        <v>37.784100000000002</v>
      </c>
      <c r="N16" s="20">
        <v>32.265000000000001</v>
      </c>
      <c r="O16" s="20">
        <f t="shared" si="1"/>
        <v>27.220299999999998</v>
      </c>
      <c r="P16" s="7"/>
      <c r="Q16" s="13"/>
      <c r="R16" s="14"/>
      <c r="S16" s="14"/>
      <c r="T16" s="27"/>
      <c r="U16" s="28">
        <f t="shared" si="2"/>
        <v>5.0292968750000056E-2</v>
      </c>
    </row>
    <row r="17" spans="1:21" x14ac:dyDescent="0.25">
      <c r="A17" s="6" t="s">
        <v>37</v>
      </c>
      <c r="B17" s="6" t="s">
        <v>48</v>
      </c>
      <c r="C17" s="15">
        <v>3237</v>
      </c>
      <c r="D17" s="16">
        <v>38.228999999999999</v>
      </c>
      <c r="E17" s="16">
        <v>41.423999999999999</v>
      </c>
      <c r="F17" s="16">
        <v>42.38</v>
      </c>
      <c r="G17" s="16">
        <v>47.49</v>
      </c>
      <c r="H17" s="16">
        <f t="shared" si="0"/>
        <v>39.14725</v>
      </c>
      <c r="I17" s="5"/>
      <c r="J17" s="15">
        <v>2384.3751999999999</v>
      </c>
      <c r="K17" s="16">
        <v>38.934699999999999</v>
      </c>
      <c r="L17" s="16">
        <v>41.839399999999998</v>
      </c>
      <c r="M17" s="16">
        <v>43.183300000000003</v>
      </c>
      <c r="N17" s="16">
        <v>44.717700000000001</v>
      </c>
      <c r="O17" s="16">
        <f t="shared" si="1"/>
        <v>39.8288625</v>
      </c>
      <c r="P17" s="7"/>
      <c r="Q17" s="8">
        <f>bdrate(C17:C20,D17:D20,J17:J20,K17:K20)</f>
        <v>-0.46420110582143248</v>
      </c>
      <c r="R17" s="8">
        <f>bdrate(C17:C20,E17:E20,J17:J20,L17:L20)</f>
        <v>-0.42394542187730055</v>
      </c>
      <c r="S17" s="8">
        <f>bdrate(C17:C20,F17:F20,J17:J20,M17:M20)</f>
        <v>-0.52233291086012223</v>
      </c>
      <c r="T17" s="25">
        <f>bdrate(C17:C20,H17:H20,J17:J20,O17:O20)</f>
        <v>-0.46606062040715257</v>
      </c>
      <c r="U17" s="28">
        <f t="shared" si="2"/>
        <v>-5.8376500315855992E-2</v>
      </c>
    </row>
    <row r="18" spans="1:21" x14ac:dyDescent="0.25">
      <c r="A18" s="9" t="s">
        <v>38</v>
      </c>
      <c r="B18" s="9"/>
      <c r="C18" s="17">
        <v>2114.9299999999998</v>
      </c>
      <c r="D18" s="18">
        <v>36.704999999999998</v>
      </c>
      <c r="E18" s="18">
        <v>40.801000000000002</v>
      </c>
      <c r="F18" s="18">
        <v>41.722000000000001</v>
      </c>
      <c r="G18" s="18">
        <v>52.15</v>
      </c>
      <c r="H18" s="18">
        <f t="shared" si="0"/>
        <v>37.844124999999998</v>
      </c>
      <c r="I18" s="5"/>
      <c r="J18" s="17">
        <v>1572.2072000000001</v>
      </c>
      <c r="K18" s="18">
        <v>37.688699999999997</v>
      </c>
      <c r="L18" s="18">
        <v>41.1691</v>
      </c>
      <c r="M18" s="18">
        <v>42.4039</v>
      </c>
      <c r="N18" s="18">
        <v>50.611600000000003</v>
      </c>
      <c r="O18" s="18">
        <f t="shared" si="1"/>
        <v>38.713149999999999</v>
      </c>
      <c r="P18" s="7"/>
      <c r="Q18" s="10"/>
      <c r="R18" s="11"/>
      <c r="S18" s="11"/>
      <c r="T18" s="26"/>
      <c r="U18" s="28">
        <f t="shared" si="2"/>
        <v>-2.9499520613614494E-2</v>
      </c>
    </row>
    <row r="19" spans="1:21" x14ac:dyDescent="0.25">
      <c r="B19" s="9"/>
      <c r="C19" s="17">
        <v>1307.3599999999999</v>
      </c>
      <c r="D19" s="18">
        <v>34.832000000000001</v>
      </c>
      <c r="E19" s="18">
        <v>40.027000000000001</v>
      </c>
      <c r="F19" s="18">
        <v>40.851999999999997</v>
      </c>
      <c r="G19" s="18">
        <v>56.56</v>
      </c>
      <c r="H19" s="18">
        <f t="shared" si="0"/>
        <v>36.233874999999998</v>
      </c>
      <c r="I19" s="5"/>
      <c r="J19" s="17">
        <v>957.84479999999996</v>
      </c>
      <c r="K19" s="18">
        <v>36.078499999999998</v>
      </c>
      <c r="L19" s="18">
        <v>40.400500000000001</v>
      </c>
      <c r="M19" s="18">
        <v>41.571899999999999</v>
      </c>
      <c r="N19" s="18">
        <v>58.939100000000003</v>
      </c>
      <c r="O19" s="18">
        <f t="shared" si="1"/>
        <v>37.305425</v>
      </c>
      <c r="P19" s="7"/>
      <c r="Q19" s="10"/>
      <c r="R19" s="11"/>
      <c r="S19" s="11"/>
      <c r="T19" s="26"/>
      <c r="U19" s="28">
        <f t="shared" si="2"/>
        <v>4.2063295615275831E-2</v>
      </c>
    </row>
    <row r="20" spans="1:21" ht="16.5" thickBot="1" x14ac:dyDescent="0.3">
      <c r="B20" s="12"/>
      <c r="C20" s="19">
        <v>770.87</v>
      </c>
      <c r="D20" s="20">
        <v>32.57</v>
      </c>
      <c r="E20" s="20">
        <v>39.177</v>
      </c>
      <c r="F20" s="20">
        <v>40.168999999999997</v>
      </c>
      <c r="G20" s="20">
        <v>61.29</v>
      </c>
      <c r="H20" s="20">
        <f t="shared" si="0"/>
        <v>34.345750000000002</v>
      </c>
      <c r="I20" s="5"/>
      <c r="J20" s="19">
        <v>553.07280000000003</v>
      </c>
      <c r="K20" s="20">
        <v>34.211599999999997</v>
      </c>
      <c r="L20" s="20">
        <v>39.609200000000001</v>
      </c>
      <c r="M20" s="20">
        <v>40.835099999999997</v>
      </c>
      <c r="N20" s="20">
        <v>69.930099999999996</v>
      </c>
      <c r="O20" s="20">
        <f t="shared" si="1"/>
        <v>35.714237499999996</v>
      </c>
      <c r="P20" s="7"/>
      <c r="Q20" s="13"/>
      <c r="R20" s="14"/>
      <c r="S20" s="14"/>
      <c r="T20" s="27"/>
      <c r="U20" s="28">
        <f t="shared" si="2"/>
        <v>0.14097079458312933</v>
      </c>
    </row>
    <row r="21" spans="1:21" x14ac:dyDescent="0.25">
      <c r="B21" s="6" t="s">
        <v>49</v>
      </c>
      <c r="C21" s="15">
        <v>3528.51</v>
      </c>
      <c r="D21" s="16">
        <v>35.18</v>
      </c>
      <c r="E21" s="16">
        <v>38.506</v>
      </c>
      <c r="F21" s="16">
        <v>39.712000000000003</v>
      </c>
      <c r="G21" s="16">
        <v>51.11</v>
      </c>
      <c r="H21" s="16">
        <f t="shared" si="0"/>
        <v>36.16225</v>
      </c>
      <c r="I21" s="5"/>
      <c r="J21" s="15">
        <v>2442.2055999999998</v>
      </c>
      <c r="K21" s="16">
        <v>35.755499999999998</v>
      </c>
      <c r="L21" s="16">
        <v>39.794400000000003</v>
      </c>
      <c r="M21" s="16">
        <v>41.020600000000002</v>
      </c>
      <c r="N21" s="16">
        <v>39.754800000000003</v>
      </c>
      <c r="O21" s="16">
        <f t="shared" si="1"/>
        <v>36.918499999999995</v>
      </c>
      <c r="P21" s="7"/>
      <c r="Q21" s="8">
        <f>bdrate(C21:C24,D21:D24,J21:J24,K21:K24)</f>
        <v>-0.46825591080402829</v>
      </c>
      <c r="R21" s="8">
        <f>bdrate(C21:C24,E21:E24,J21:J24,L21:L24)</f>
        <v>-0.61662179039956466</v>
      </c>
      <c r="S21" s="8">
        <f>bdrate(C21:C24,F21:F24,J21:J24,M21:M24)</f>
        <v>-0.62670941726309892</v>
      </c>
      <c r="T21" s="25">
        <f>bdrate(C21:C24,H21:H24,J21:J24,O21:O24)</f>
        <v>-0.49348487009414466</v>
      </c>
      <c r="U21" s="28">
        <f t="shared" si="2"/>
        <v>-0.2221717863431813</v>
      </c>
    </row>
    <row r="22" spans="1:21" x14ac:dyDescent="0.25">
      <c r="B22" s="9"/>
      <c r="C22" s="17">
        <v>2337.9</v>
      </c>
      <c r="D22" s="18">
        <v>33.771000000000001</v>
      </c>
      <c r="E22" s="18">
        <v>37.942999999999998</v>
      </c>
      <c r="F22" s="18">
        <v>39.286999999999999</v>
      </c>
      <c r="G22" s="18">
        <v>56.35</v>
      </c>
      <c r="H22" s="18">
        <f t="shared" si="0"/>
        <v>34.981999999999999</v>
      </c>
      <c r="I22" s="5"/>
      <c r="J22" s="17">
        <v>1627.0663999999999</v>
      </c>
      <c r="K22" s="18">
        <v>34.506</v>
      </c>
      <c r="L22" s="18">
        <v>39.053699999999999</v>
      </c>
      <c r="M22" s="18">
        <v>40.289499999999997</v>
      </c>
      <c r="N22" s="18">
        <v>47.188400000000001</v>
      </c>
      <c r="O22" s="18">
        <f t="shared" si="1"/>
        <v>35.797399999999996</v>
      </c>
      <c r="P22" s="7"/>
      <c r="Q22" s="10"/>
      <c r="R22" s="11"/>
      <c r="S22" s="11"/>
      <c r="T22" s="26"/>
      <c r="U22" s="28">
        <f t="shared" si="2"/>
        <v>-0.16258385093167702</v>
      </c>
    </row>
    <row r="23" spans="1:21" x14ac:dyDescent="0.25">
      <c r="B23" s="9"/>
      <c r="C23" s="17">
        <v>1456.06</v>
      </c>
      <c r="D23" s="18">
        <v>32.048000000000002</v>
      </c>
      <c r="E23" s="18">
        <v>37.299999999999997</v>
      </c>
      <c r="F23" s="18">
        <v>38.734999999999999</v>
      </c>
      <c r="G23" s="18">
        <v>60.33</v>
      </c>
      <c r="H23" s="18">
        <f t="shared" si="0"/>
        <v>33.540375000000004</v>
      </c>
      <c r="I23" s="5"/>
      <c r="J23" s="17">
        <v>1004.6496</v>
      </c>
      <c r="K23" s="18">
        <v>33.026400000000002</v>
      </c>
      <c r="L23" s="18">
        <v>38.153399999999998</v>
      </c>
      <c r="M23" s="18">
        <v>39.466999999999999</v>
      </c>
      <c r="N23" s="18">
        <v>56.3645</v>
      </c>
      <c r="O23" s="18">
        <f t="shared" si="1"/>
        <v>34.472350000000006</v>
      </c>
      <c r="P23" s="7"/>
      <c r="Q23" s="10"/>
      <c r="R23" s="11"/>
      <c r="S23" s="11"/>
      <c r="T23" s="26"/>
      <c r="U23" s="28">
        <f t="shared" si="2"/>
        <v>-6.5730150837062795E-2</v>
      </c>
    </row>
    <row r="24" spans="1:21" ht="16.5" thickBot="1" x14ac:dyDescent="0.3">
      <c r="B24" s="12"/>
      <c r="C24" s="19">
        <v>869.01</v>
      </c>
      <c r="D24" s="20">
        <v>30.241</v>
      </c>
      <c r="E24" s="20">
        <v>36.662999999999997</v>
      </c>
      <c r="F24" s="20">
        <v>38.207000000000001</v>
      </c>
      <c r="G24" s="20">
        <v>64.66</v>
      </c>
      <c r="H24" s="20">
        <f t="shared" si="0"/>
        <v>32.039499999999997</v>
      </c>
      <c r="I24" s="5"/>
      <c r="J24" s="19">
        <v>589.84879999999998</v>
      </c>
      <c r="K24" s="20">
        <v>31.448899999999998</v>
      </c>
      <c r="L24" s="20">
        <v>37.250700000000002</v>
      </c>
      <c r="M24" s="20">
        <v>38.777999999999999</v>
      </c>
      <c r="N24" s="20">
        <v>67.170400000000001</v>
      </c>
      <c r="O24" s="20">
        <f t="shared" si="1"/>
        <v>33.090262500000001</v>
      </c>
      <c r="P24" s="7"/>
      <c r="Q24" s="13"/>
      <c r="R24" s="14"/>
      <c r="S24" s="14"/>
      <c r="T24" s="27"/>
      <c r="U24" s="28">
        <f t="shared" si="2"/>
        <v>3.8824621094958309E-2</v>
      </c>
    </row>
    <row r="25" spans="1:21" x14ac:dyDescent="0.25">
      <c r="B25" s="6" t="s">
        <v>50</v>
      </c>
      <c r="C25" s="15">
        <v>3613.72</v>
      </c>
      <c r="D25" s="16">
        <v>32.713000000000001</v>
      </c>
      <c r="E25" s="16">
        <v>37.241999999999997</v>
      </c>
      <c r="F25" s="16">
        <v>38.421999999999997</v>
      </c>
      <c r="G25" s="16">
        <v>57.64</v>
      </c>
      <c r="H25" s="16">
        <f t="shared" si="0"/>
        <v>33.992750000000001</v>
      </c>
      <c r="I25" s="5"/>
      <c r="J25" s="15">
        <v>2413.8663999999999</v>
      </c>
      <c r="K25" s="16">
        <v>33.851500000000001</v>
      </c>
      <c r="L25" s="16">
        <v>38.039200000000001</v>
      </c>
      <c r="M25" s="16">
        <v>40.011600000000001</v>
      </c>
      <c r="N25" s="16">
        <v>44.1462</v>
      </c>
      <c r="O25" s="16">
        <f t="shared" si="1"/>
        <v>35.144975000000002</v>
      </c>
      <c r="P25" s="7"/>
      <c r="Q25" s="8">
        <f>bdrate(C25:C28,D25:D28,J25:J28,K25:K28)</f>
        <v>-0.56340906440782068</v>
      </c>
      <c r="R25" s="8">
        <f>bdrate(C25:C28,E25:E28,J25:J28,L25:L28)</f>
        <v>-0.65502749664460402</v>
      </c>
      <c r="S25" s="8">
        <f>bdrate(C25:C28,F25:F28,J25:J28,M25:M28)</f>
        <v>-0.67688147825322265</v>
      </c>
      <c r="T25" s="25">
        <f>bdrate(C25:C28,H25:H28,J25:J28,O25:O28)</f>
        <v>-0.57949519781319458</v>
      </c>
      <c r="U25" s="28">
        <f t="shared" si="2"/>
        <v>-0.23410478834142956</v>
      </c>
    </row>
    <row r="26" spans="1:21" x14ac:dyDescent="0.25">
      <c r="B26" s="9"/>
      <c r="C26" s="17">
        <v>2415.48</v>
      </c>
      <c r="D26" s="18">
        <v>31.199000000000002</v>
      </c>
      <c r="E26" s="18">
        <v>36.804000000000002</v>
      </c>
      <c r="F26" s="18">
        <v>37.664000000000001</v>
      </c>
      <c r="G26" s="18">
        <v>60.7</v>
      </c>
      <c r="H26" s="18">
        <f t="shared" si="0"/>
        <v>32.707750000000004</v>
      </c>
      <c r="I26" s="5"/>
      <c r="J26" s="17">
        <v>1605.452</v>
      </c>
      <c r="K26" s="18">
        <v>32.619300000000003</v>
      </c>
      <c r="L26" s="18">
        <v>37.616</v>
      </c>
      <c r="M26" s="18">
        <v>39.184800000000003</v>
      </c>
      <c r="N26" s="18">
        <v>52.203000000000003</v>
      </c>
      <c r="O26" s="18">
        <f t="shared" si="1"/>
        <v>34.064574999999998</v>
      </c>
      <c r="P26" s="7"/>
      <c r="Q26" s="10"/>
      <c r="R26" s="11"/>
      <c r="S26" s="11"/>
      <c r="T26" s="26"/>
      <c r="U26" s="28">
        <f t="shared" si="2"/>
        <v>-0.13998352553542009</v>
      </c>
    </row>
    <row r="27" spans="1:21" x14ac:dyDescent="0.25">
      <c r="B27" s="9"/>
      <c r="C27" s="17">
        <v>1503.06</v>
      </c>
      <c r="D27" s="18">
        <v>29.263999999999999</v>
      </c>
      <c r="E27" s="18">
        <v>36.146999999999998</v>
      </c>
      <c r="F27" s="18">
        <v>36.597999999999999</v>
      </c>
      <c r="G27" s="18">
        <v>64.36</v>
      </c>
      <c r="H27" s="18">
        <f t="shared" si="0"/>
        <v>31.041125000000001</v>
      </c>
      <c r="I27" s="5"/>
      <c r="J27" s="17">
        <v>1002.1888</v>
      </c>
      <c r="K27" s="18">
        <v>30.943300000000001</v>
      </c>
      <c r="L27" s="18">
        <v>37.008899999999997</v>
      </c>
      <c r="M27" s="18">
        <v>38.153700000000001</v>
      </c>
      <c r="N27" s="18">
        <v>77.041600000000003</v>
      </c>
      <c r="O27" s="18">
        <f t="shared" si="1"/>
        <v>32.602800000000002</v>
      </c>
      <c r="P27" s="7"/>
      <c r="Q27" s="10"/>
      <c r="R27" s="11"/>
      <c r="S27" s="11"/>
      <c r="T27" s="26"/>
      <c r="U27" s="28">
        <f t="shared" si="2"/>
        <v>0.19704164077066505</v>
      </c>
    </row>
    <row r="28" spans="1:21" ht="16.5" thickBot="1" x14ac:dyDescent="0.3">
      <c r="B28" s="12"/>
      <c r="C28" s="19">
        <v>895.61</v>
      </c>
      <c r="D28" s="20">
        <v>27.062000000000001</v>
      </c>
      <c r="E28" s="20">
        <v>35.722999999999999</v>
      </c>
      <c r="F28" s="20">
        <v>35.866</v>
      </c>
      <c r="G28" s="20">
        <v>67.91</v>
      </c>
      <c r="H28" s="20">
        <f t="shared" si="0"/>
        <v>29.245125000000002</v>
      </c>
      <c r="I28" s="5"/>
      <c r="J28" s="19">
        <v>594.74159999999995</v>
      </c>
      <c r="K28" s="20">
        <v>29.209499999999998</v>
      </c>
      <c r="L28" s="20">
        <v>36.359000000000002</v>
      </c>
      <c r="M28" s="20">
        <v>37.085299999999997</v>
      </c>
      <c r="N28" s="20">
        <v>90.285300000000007</v>
      </c>
      <c r="O28" s="20">
        <f t="shared" si="1"/>
        <v>31.0876625</v>
      </c>
      <c r="P28" s="7"/>
      <c r="Q28" s="13"/>
      <c r="R28" s="14"/>
      <c r="S28" s="14"/>
      <c r="T28" s="27"/>
      <c r="U28" s="28">
        <f t="shared" si="2"/>
        <v>0.32948461198645285</v>
      </c>
    </row>
    <row r="29" spans="1:21" x14ac:dyDescent="0.25">
      <c r="B29" s="6" t="s">
        <v>51</v>
      </c>
      <c r="C29" s="29">
        <v>3579.19</v>
      </c>
      <c r="D29" s="30">
        <v>32.610999999999997</v>
      </c>
      <c r="E29" s="30">
        <v>39.295999999999999</v>
      </c>
      <c r="F29" s="30">
        <v>38.893999999999998</v>
      </c>
      <c r="G29" s="16">
        <v>53.24</v>
      </c>
      <c r="H29" s="16">
        <f t="shared" si="0"/>
        <v>34.231999999999999</v>
      </c>
      <c r="I29" s="5"/>
      <c r="J29" s="29">
        <v>2417.9704000000002</v>
      </c>
      <c r="K29" s="30">
        <v>33.807200000000002</v>
      </c>
      <c r="L29" s="30">
        <v>40.178199999999997</v>
      </c>
      <c r="M29" s="30">
        <v>39.767200000000003</v>
      </c>
      <c r="N29" s="16">
        <v>45.917900000000003</v>
      </c>
      <c r="O29" s="16">
        <f t="shared" si="1"/>
        <v>35.348575000000004</v>
      </c>
      <c r="P29" s="7"/>
      <c r="Q29" s="8">
        <f>bdrate(C29:C32,D29:D32,J29:J32,K29:K32)</f>
        <v>-0.5848376787774382</v>
      </c>
      <c r="R29" s="8">
        <f>bdrate(C29:C32,E29:E32,J29:J32,L29:L32)</f>
        <v>-0.55349450099633568</v>
      </c>
      <c r="S29" s="8">
        <f>bdrate(C29:C32,F29:F32,J29:J32,M29:M32)</f>
        <v>-0.4836934722433972</v>
      </c>
      <c r="T29" s="25">
        <f>bdrate(C29:C32,H29:H32,J29:J32,O29:O32)</f>
        <v>-0.57893386661914903</v>
      </c>
      <c r="U29" s="28">
        <f t="shared" si="2"/>
        <v>-0.13753005259203605</v>
      </c>
    </row>
    <row r="30" spans="1:21" x14ac:dyDescent="0.25">
      <c r="B30" s="9"/>
      <c r="C30" s="31">
        <v>2372.3200000000002</v>
      </c>
      <c r="D30" s="32">
        <v>30.64</v>
      </c>
      <c r="E30" s="32">
        <v>38.466999999999999</v>
      </c>
      <c r="F30" s="32">
        <v>37.996000000000002</v>
      </c>
      <c r="G30" s="18">
        <v>57.03</v>
      </c>
      <c r="H30" s="18">
        <f t="shared" si="0"/>
        <v>32.537875</v>
      </c>
      <c r="I30" s="5"/>
      <c r="J30" s="31">
        <v>1606.1704</v>
      </c>
      <c r="K30" s="32">
        <v>32.407600000000002</v>
      </c>
      <c r="L30" s="32">
        <v>39.404200000000003</v>
      </c>
      <c r="M30" s="32">
        <v>38.795499999999997</v>
      </c>
      <c r="N30" s="18">
        <v>56.427</v>
      </c>
      <c r="O30" s="18">
        <f t="shared" si="1"/>
        <v>34.080662500000003</v>
      </c>
      <c r="P30" s="7"/>
      <c r="Q30" s="10"/>
      <c r="R30" s="11"/>
      <c r="S30" s="11"/>
      <c r="T30" s="26"/>
      <c r="U30" s="28">
        <f t="shared" si="2"/>
        <v>-1.057338243029987E-2</v>
      </c>
    </row>
    <row r="31" spans="1:21" x14ac:dyDescent="0.25">
      <c r="B31" s="9"/>
      <c r="C31" s="31">
        <v>1469.3</v>
      </c>
      <c r="D31" s="32">
        <v>27.911000000000001</v>
      </c>
      <c r="E31" s="32">
        <v>37.426000000000002</v>
      </c>
      <c r="F31" s="32">
        <v>36.945999999999998</v>
      </c>
      <c r="G31" s="18">
        <v>60.82</v>
      </c>
      <c r="H31" s="18">
        <f t="shared" si="0"/>
        <v>30.229749999999999</v>
      </c>
      <c r="I31" s="5"/>
      <c r="J31" s="31">
        <v>1003.948</v>
      </c>
      <c r="K31" s="32">
        <v>30.6783</v>
      </c>
      <c r="L31" s="32">
        <v>38.436700000000002</v>
      </c>
      <c r="M31" s="32">
        <v>37.601500000000001</v>
      </c>
      <c r="N31" s="18">
        <v>67.476399999999998</v>
      </c>
      <c r="O31" s="18">
        <f t="shared" si="1"/>
        <v>32.513500000000001</v>
      </c>
      <c r="P31" s="7"/>
      <c r="Q31" s="10"/>
      <c r="R31" s="11"/>
      <c r="S31" s="11"/>
      <c r="T31" s="26"/>
      <c r="U31" s="28">
        <f t="shared" si="2"/>
        <v>0.10944426175600128</v>
      </c>
    </row>
    <row r="32" spans="1:21" ht="16.5" thickBot="1" x14ac:dyDescent="0.3">
      <c r="B32" s="12"/>
      <c r="C32" s="33">
        <v>854.64</v>
      </c>
      <c r="D32" s="34">
        <v>24.021999999999998</v>
      </c>
      <c r="E32" s="34">
        <v>35.478999999999999</v>
      </c>
      <c r="F32" s="34">
        <v>34.840000000000003</v>
      </c>
      <c r="G32" s="20">
        <v>64.099999999999994</v>
      </c>
      <c r="H32" s="20">
        <f t="shared" si="0"/>
        <v>26.806374999999999</v>
      </c>
      <c r="I32" s="5"/>
      <c r="J32" s="33">
        <v>587.44159999999999</v>
      </c>
      <c r="K32" s="34">
        <v>28.7532</v>
      </c>
      <c r="L32" s="34">
        <v>36.878999999999998</v>
      </c>
      <c r="M32" s="34">
        <v>35.924999999999997</v>
      </c>
      <c r="N32" s="20">
        <v>80.528300000000002</v>
      </c>
      <c r="O32" s="20">
        <f t="shared" si="1"/>
        <v>30.665399999999998</v>
      </c>
      <c r="P32" s="7"/>
      <c r="Q32" s="13"/>
      <c r="R32" s="14"/>
      <c r="S32" s="14"/>
      <c r="T32" s="27"/>
      <c r="U32" s="28">
        <f t="shared" si="2"/>
        <v>0.25629173166926689</v>
      </c>
    </row>
    <row r="33" spans="1:21" x14ac:dyDescent="0.25">
      <c r="B33" s="6" t="s">
        <v>52</v>
      </c>
      <c r="C33" s="15">
        <v>3596.08</v>
      </c>
      <c r="D33" s="16">
        <v>31.920999999999999</v>
      </c>
      <c r="E33" s="16">
        <v>38.412999999999997</v>
      </c>
      <c r="F33" s="16">
        <v>40.92</v>
      </c>
      <c r="G33" s="16">
        <v>59.72</v>
      </c>
      <c r="H33" s="16">
        <f t="shared" si="0"/>
        <v>33.857375000000005</v>
      </c>
      <c r="I33" s="5"/>
      <c r="J33" s="15">
        <v>2425.8512000000001</v>
      </c>
      <c r="K33" s="16">
        <v>33.371499999999997</v>
      </c>
      <c r="L33" s="16">
        <v>39.704900000000002</v>
      </c>
      <c r="M33" s="16">
        <v>42.198099999999997</v>
      </c>
      <c r="N33" s="16">
        <v>60.096200000000003</v>
      </c>
      <c r="O33" s="16">
        <f t="shared" si="1"/>
        <v>35.266500000000001</v>
      </c>
      <c r="P33" s="7"/>
      <c r="Q33" s="8">
        <f>bdrate(C33:C36,D33:D36,J33:J36,K33:K36)</f>
        <v>-0.68640682679682075</v>
      </c>
      <c r="R33" s="8">
        <f>bdrate(C33:C36,E33:E36,J33:J36,L33:L36)</f>
        <v>-0.75134987986659363</v>
      </c>
      <c r="S33" s="8">
        <f>bdrate(C33:C36,F33:F36,J33:J36,M33:M36)</f>
        <v>-0.75850555295003441</v>
      </c>
      <c r="T33" s="25">
        <f>bdrate(C33:C36,H33:H36,J33:J36,O33:O36)</f>
        <v>-0.69388172227366263</v>
      </c>
      <c r="U33" s="28">
        <f t="shared" si="2"/>
        <v>6.2993971868721419E-3</v>
      </c>
    </row>
    <row r="34" spans="1:21" x14ac:dyDescent="0.25">
      <c r="B34" s="9"/>
      <c r="C34" s="17">
        <v>2358.64</v>
      </c>
      <c r="D34" s="18">
        <v>30.643000000000001</v>
      </c>
      <c r="E34" s="18">
        <v>38.033999999999999</v>
      </c>
      <c r="F34" s="18">
        <v>40.527999999999999</v>
      </c>
      <c r="G34" s="18">
        <v>63.26</v>
      </c>
      <c r="H34" s="18">
        <f t="shared" si="0"/>
        <v>32.802500000000002</v>
      </c>
      <c r="I34" s="5"/>
      <c r="J34" s="17">
        <v>1633.704</v>
      </c>
      <c r="K34" s="18">
        <v>32.6935</v>
      </c>
      <c r="L34" s="18">
        <v>39.261400000000002</v>
      </c>
      <c r="M34" s="18">
        <v>41.798400000000001</v>
      </c>
      <c r="N34" s="18">
        <v>68.197299999999998</v>
      </c>
      <c r="O34" s="18">
        <f t="shared" si="1"/>
        <v>34.6526</v>
      </c>
      <c r="P34" s="7"/>
      <c r="Q34" s="10"/>
      <c r="R34" s="11"/>
      <c r="S34" s="11"/>
      <c r="T34" s="26"/>
      <c r="U34" s="28">
        <f t="shared" si="2"/>
        <v>7.8047739487828019E-2</v>
      </c>
    </row>
    <row r="35" spans="1:21" x14ac:dyDescent="0.25">
      <c r="B35" s="9"/>
      <c r="C35" s="17">
        <v>1445.3</v>
      </c>
      <c r="D35" s="18">
        <v>28.934999999999999</v>
      </c>
      <c r="E35" s="18">
        <v>37.465000000000003</v>
      </c>
      <c r="F35" s="18">
        <v>39.811</v>
      </c>
      <c r="G35" s="18">
        <v>66.66</v>
      </c>
      <c r="H35" s="18">
        <f t="shared" si="0"/>
        <v>31.360749999999999</v>
      </c>
      <c r="I35" s="5"/>
      <c r="J35" s="17">
        <v>1027.8696</v>
      </c>
      <c r="K35" s="18">
        <v>31.575900000000001</v>
      </c>
      <c r="L35" s="18">
        <v>38.597700000000003</v>
      </c>
      <c r="M35" s="18">
        <v>41.100700000000003</v>
      </c>
      <c r="N35" s="18">
        <v>78.175899999999999</v>
      </c>
      <c r="O35" s="18">
        <f t="shared" si="1"/>
        <v>33.644224999999999</v>
      </c>
      <c r="P35" s="7"/>
      <c r="Q35" s="10"/>
      <c r="R35" s="11"/>
      <c r="S35" s="11"/>
      <c r="T35" s="26"/>
      <c r="U35" s="28">
        <f t="shared" si="2"/>
        <v>0.17275577557755781</v>
      </c>
    </row>
    <row r="36" spans="1:21" ht="16.5" thickBot="1" x14ac:dyDescent="0.3">
      <c r="B36" s="12"/>
      <c r="C36" s="19">
        <v>833.86</v>
      </c>
      <c r="D36" s="20">
        <v>26.603000000000002</v>
      </c>
      <c r="E36" s="20">
        <v>36.851999999999997</v>
      </c>
      <c r="F36" s="20">
        <v>38.960999999999999</v>
      </c>
      <c r="G36" s="20">
        <v>69.56</v>
      </c>
      <c r="H36" s="20">
        <f t="shared" si="0"/>
        <v>29.428874999999998</v>
      </c>
      <c r="I36" s="5"/>
      <c r="J36" s="19">
        <v>600.87519999999995</v>
      </c>
      <c r="K36" s="20">
        <v>30.0822</v>
      </c>
      <c r="L36" s="20">
        <v>38.056600000000003</v>
      </c>
      <c r="M36" s="20">
        <v>40.609400000000001</v>
      </c>
      <c r="N36" s="20">
        <v>88.417299999999997</v>
      </c>
      <c r="O36" s="20">
        <f t="shared" si="1"/>
        <v>32.3949</v>
      </c>
      <c r="P36" s="7"/>
      <c r="Q36" s="13"/>
      <c r="R36" s="14"/>
      <c r="S36" s="14"/>
      <c r="T36" s="27"/>
      <c r="U36" s="28">
        <f t="shared" si="2"/>
        <v>0.27109401955146628</v>
      </c>
    </row>
    <row r="37" spans="1:21" x14ac:dyDescent="0.25">
      <c r="A37" s="6" t="s">
        <v>39</v>
      </c>
      <c r="B37" s="6" t="s">
        <v>53</v>
      </c>
      <c r="C37" s="15">
        <v>1576.88</v>
      </c>
      <c r="D37" s="16">
        <v>33.093000000000004</v>
      </c>
      <c r="E37" s="16">
        <v>36.606999999999999</v>
      </c>
      <c r="F37" s="16">
        <v>36.454999999999998</v>
      </c>
      <c r="G37" s="16">
        <v>283.77</v>
      </c>
      <c r="H37" s="16">
        <f t="shared" si="0"/>
        <v>33.952500000000001</v>
      </c>
      <c r="I37" s="5"/>
      <c r="J37" s="15">
        <v>1215.3232</v>
      </c>
      <c r="K37" s="16">
        <v>34.709000000000003</v>
      </c>
      <c r="L37" s="16">
        <v>38.818199999999997</v>
      </c>
      <c r="M37" s="16">
        <v>38.591700000000003</v>
      </c>
      <c r="N37" s="16">
        <v>180.0504</v>
      </c>
      <c r="O37" s="16">
        <f t="shared" si="1"/>
        <v>35.707987500000002</v>
      </c>
      <c r="P37" s="7"/>
      <c r="Q37" s="8">
        <f>bdrate(C37:C40,D37:D40,J37:J40,K37:K40)</f>
        <v>-0.50913773890686631</v>
      </c>
      <c r="R37" s="8">
        <f>bdrate(C37:C40,E37:E40,J37:J40,L37:L40)</f>
        <v>-0.63439568386194045</v>
      </c>
      <c r="S37" s="8">
        <f>bdrate(C37:C40,F37:F40,J37:J40,M37:M40)</f>
        <v>-0.59101463502121787</v>
      </c>
      <c r="T37" s="25">
        <f>bdrate(C37:C40,H37:H40,J37:J40,O37:O40)</f>
        <v>-0.52906808458597743</v>
      </c>
      <c r="U37" s="28">
        <f t="shared" si="2"/>
        <v>-0.36550586742784646</v>
      </c>
    </row>
    <row r="38" spans="1:21" x14ac:dyDescent="0.25">
      <c r="A38" s="9" t="s">
        <v>40</v>
      </c>
      <c r="B38" s="9"/>
      <c r="C38" s="17">
        <v>1062.24</v>
      </c>
      <c r="D38" s="18">
        <v>31.568999999999999</v>
      </c>
      <c r="E38" s="18">
        <v>35.838999999999999</v>
      </c>
      <c r="F38" s="18">
        <v>35.521000000000001</v>
      </c>
      <c r="G38" s="18">
        <v>308.26</v>
      </c>
      <c r="H38" s="18">
        <f t="shared" si="0"/>
        <v>32.59675</v>
      </c>
      <c r="I38" s="5"/>
      <c r="J38" s="17">
        <v>811.05039999999997</v>
      </c>
      <c r="K38" s="18">
        <v>33.194000000000003</v>
      </c>
      <c r="L38" s="18">
        <v>37.692599999999999</v>
      </c>
      <c r="M38" s="18">
        <v>37.335299999999997</v>
      </c>
      <c r="N38" s="18">
        <v>212.22409999999999</v>
      </c>
      <c r="O38" s="18">
        <f t="shared" si="1"/>
        <v>34.273987500000004</v>
      </c>
      <c r="P38" s="7"/>
      <c r="Q38" s="10"/>
      <c r="R38" s="11"/>
      <c r="S38" s="11"/>
      <c r="T38" s="26"/>
      <c r="U38" s="28">
        <f t="shared" si="2"/>
        <v>-0.31154188023097384</v>
      </c>
    </row>
    <row r="39" spans="1:21" x14ac:dyDescent="0.25">
      <c r="B39" s="9"/>
      <c r="C39" s="17">
        <v>658.71</v>
      </c>
      <c r="D39" s="18">
        <v>29.664999999999999</v>
      </c>
      <c r="E39" s="18">
        <v>34.991</v>
      </c>
      <c r="F39" s="18">
        <v>34.56</v>
      </c>
      <c r="G39" s="18">
        <v>341.06</v>
      </c>
      <c r="H39" s="18">
        <f t="shared" si="0"/>
        <v>30.942625</v>
      </c>
      <c r="I39" s="5"/>
      <c r="J39" s="17">
        <v>506.72399999999999</v>
      </c>
      <c r="K39" s="18">
        <v>31.4512</v>
      </c>
      <c r="L39" s="18">
        <v>36.4923</v>
      </c>
      <c r="M39" s="18">
        <v>35.986800000000002</v>
      </c>
      <c r="N39" s="18">
        <v>258.39789999999999</v>
      </c>
      <c r="O39" s="18">
        <f t="shared" si="1"/>
        <v>32.648287500000002</v>
      </c>
      <c r="P39" s="7"/>
      <c r="Q39" s="10"/>
      <c r="R39" s="11"/>
      <c r="S39" s="11"/>
      <c r="T39" s="26"/>
      <c r="U39" s="28">
        <f t="shared" si="2"/>
        <v>-0.24236820500791653</v>
      </c>
    </row>
    <row r="40" spans="1:21" ht="16.5" thickBot="1" x14ac:dyDescent="0.3">
      <c r="B40" s="12"/>
      <c r="C40" s="19">
        <v>402.22</v>
      </c>
      <c r="D40" s="20">
        <v>27.463000000000001</v>
      </c>
      <c r="E40" s="20">
        <v>34.244</v>
      </c>
      <c r="F40" s="20">
        <v>33.796999999999997</v>
      </c>
      <c r="G40" s="20">
        <v>360.23</v>
      </c>
      <c r="H40" s="20">
        <f t="shared" si="0"/>
        <v>29.102375000000002</v>
      </c>
      <c r="I40" s="5"/>
      <c r="J40" s="19">
        <v>303.536</v>
      </c>
      <c r="K40" s="20">
        <v>29.506599999999999</v>
      </c>
      <c r="L40" s="20">
        <v>35.212600000000002</v>
      </c>
      <c r="M40" s="20">
        <v>34.555</v>
      </c>
      <c r="N40" s="20">
        <v>323.62459999999999</v>
      </c>
      <c r="O40" s="20">
        <f t="shared" si="1"/>
        <v>30.850900000000003</v>
      </c>
      <c r="P40" s="7"/>
      <c r="Q40" s="13"/>
      <c r="R40" s="14"/>
      <c r="S40" s="14"/>
      <c r="T40" s="27"/>
      <c r="U40" s="28">
        <f t="shared" si="2"/>
        <v>-0.10161674485745227</v>
      </c>
    </row>
    <row r="41" spans="1:21" x14ac:dyDescent="0.25">
      <c r="B41" s="6" t="s">
        <v>54</v>
      </c>
      <c r="C41" s="15">
        <v>1571</v>
      </c>
      <c r="D41" s="16">
        <v>33.463999999999999</v>
      </c>
      <c r="E41" s="16">
        <v>38.728000000000002</v>
      </c>
      <c r="F41" s="16">
        <v>39.506999999999998</v>
      </c>
      <c r="G41" s="16">
        <v>280.77</v>
      </c>
      <c r="H41" s="16">
        <f t="shared" si="0"/>
        <v>34.877375000000001</v>
      </c>
      <c r="I41" s="5"/>
      <c r="J41" s="15">
        <v>1248.9472000000001</v>
      </c>
      <c r="K41" s="16">
        <v>34.917700000000004</v>
      </c>
      <c r="L41" s="16">
        <v>40.3431</v>
      </c>
      <c r="M41" s="16">
        <v>41.1646</v>
      </c>
      <c r="N41" s="16">
        <v>185.816</v>
      </c>
      <c r="O41" s="16">
        <f t="shared" si="1"/>
        <v>36.376737500000004</v>
      </c>
      <c r="P41" s="7"/>
      <c r="Q41" s="8">
        <f>bdrate(C41:C44,D41:D44,J41:J44,K41:K44)</f>
        <v>-0.49232655390903912</v>
      </c>
      <c r="R41" s="8">
        <f>bdrate(C41:C44,E41:E44,J41:J44,L41:L44)</f>
        <v>-0.59924406920927886</v>
      </c>
      <c r="S41" s="8">
        <f>bdrate(C41:C44,F41:F44,J41:J44,M41:M44)</f>
        <v>-0.56388179319190801</v>
      </c>
      <c r="T41" s="25">
        <f>bdrate(C41:C44,H41:H44,J41:J44,O41:O44)</f>
        <v>-0.50680523783258036</v>
      </c>
      <c r="U41" s="28">
        <f t="shared" si="2"/>
        <v>-0.33819140221533633</v>
      </c>
    </row>
    <row r="42" spans="1:21" x14ac:dyDescent="0.25">
      <c r="B42" s="9"/>
      <c r="C42" s="17">
        <v>1064.72</v>
      </c>
      <c r="D42" s="18">
        <v>31.715</v>
      </c>
      <c r="E42" s="18">
        <v>37.991999999999997</v>
      </c>
      <c r="F42" s="18">
        <v>38.704999999999998</v>
      </c>
      <c r="G42" s="18">
        <v>302.72000000000003</v>
      </c>
      <c r="H42" s="18">
        <f t="shared" si="0"/>
        <v>33.373374999999996</v>
      </c>
      <c r="I42" s="5"/>
      <c r="J42" s="17">
        <v>830.40719999999999</v>
      </c>
      <c r="K42" s="18">
        <v>33.356099999999998</v>
      </c>
      <c r="L42" s="18">
        <v>39.417200000000001</v>
      </c>
      <c r="M42" s="18">
        <v>40.1434</v>
      </c>
      <c r="N42" s="18">
        <v>217.3126</v>
      </c>
      <c r="O42" s="18">
        <f t="shared" si="1"/>
        <v>34.962150000000001</v>
      </c>
      <c r="P42" s="7"/>
      <c r="Q42" s="10"/>
      <c r="R42" s="11"/>
      <c r="S42" s="11"/>
      <c r="T42" s="26"/>
      <c r="U42" s="28">
        <f t="shared" si="2"/>
        <v>-0.28213332452431295</v>
      </c>
    </row>
    <row r="43" spans="1:21" x14ac:dyDescent="0.25">
      <c r="B43" s="9"/>
      <c r="C43" s="17">
        <v>659.86</v>
      </c>
      <c r="D43" s="18">
        <v>29.515999999999998</v>
      </c>
      <c r="E43" s="18">
        <v>37.222000000000001</v>
      </c>
      <c r="F43" s="18">
        <v>37.850999999999999</v>
      </c>
      <c r="G43" s="18">
        <v>331.49</v>
      </c>
      <c r="H43" s="18">
        <f t="shared" si="0"/>
        <v>31.521125000000001</v>
      </c>
      <c r="I43" s="5"/>
      <c r="J43" s="17">
        <v>519.33600000000001</v>
      </c>
      <c r="K43" s="18">
        <v>31.5336</v>
      </c>
      <c r="L43" s="18">
        <v>38.413800000000002</v>
      </c>
      <c r="M43" s="18">
        <v>39.006500000000003</v>
      </c>
      <c r="N43" s="18">
        <v>265.25200000000001</v>
      </c>
      <c r="O43" s="18">
        <f t="shared" si="1"/>
        <v>33.327737499999998</v>
      </c>
      <c r="P43" s="7"/>
      <c r="Q43" s="10"/>
      <c r="R43" s="11"/>
      <c r="S43" s="11"/>
      <c r="T43" s="26"/>
      <c r="U43" s="28">
        <f t="shared" si="2"/>
        <v>-0.1998189990648285</v>
      </c>
    </row>
    <row r="44" spans="1:21" ht="16.5" thickBot="1" x14ac:dyDescent="0.3">
      <c r="B44" s="12"/>
      <c r="C44" s="19">
        <v>406.38</v>
      </c>
      <c r="D44" s="20">
        <v>27.097000000000001</v>
      </c>
      <c r="E44" s="20">
        <v>36.478000000000002</v>
      </c>
      <c r="F44" s="20">
        <v>36.985999999999997</v>
      </c>
      <c r="G44" s="20">
        <v>349.65</v>
      </c>
      <c r="H44" s="20">
        <f t="shared" si="0"/>
        <v>29.505749999999999</v>
      </c>
      <c r="I44" s="5"/>
      <c r="J44" s="19">
        <v>311.46080000000001</v>
      </c>
      <c r="K44" s="20">
        <v>29.477</v>
      </c>
      <c r="L44" s="20">
        <v>37.354500000000002</v>
      </c>
      <c r="M44" s="20">
        <v>37.810899999999997</v>
      </c>
      <c r="N44" s="20">
        <v>331.49169999999998</v>
      </c>
      <c r="O44" s="20">
        <f t="shared" si="1"/>
        <v>31.503425</v>
      </c>
      <c r="P44" s="7"/>
      <c r="Q44" s="13"/>
      <c r="R44" s="14"/>
      <c r="S44" s="14"/>
      <c r="T44" s="27"/>
      <c r="U44" s="28">
        <f t="shared" si="2"/>
        <v>-5.1932789932789929E-2</v>
      </c>
    </row>
    <row r="45" spans="1:21" x14ac:dyDescent="0.25">
      <c r="B45" s="6" t="s">
        <v>55</v>
      </c>
      <c r="C45" s="15">
        <v>1455.06</v>
      </c>
      <c r="D45" s="16">
        <v>27.780999999999999</v>
      </c>
      <c r="E45" s="16">
        <v>34.633000000000003</v>
      </c>
      <c r="F45" s="16">
        <v>35.292999999999999</v>
      </c>
      <c r="G45" s="16">
        <v>291.38</v>
      </c>
      <c r="H45" s="16">
        <f t="shared" si="0"/>
        <v>29.576499999999999</v>
      </c>
      <c r="I45" s="5"/>
      <c r="J45" s="15">
        <v>1231.6576</v>
      </c>
      <c r="K45" s="16">
        <v>30.023099999999999</v>
      </c>
      <c r="L45" s="16">
        <v>36.589799999999997</v>
      </c>
      <c r="M45" s="16">
        <v>37.373800000000003</v>
      </c>
      <c r="N45" s="16">
        <v>166.05779999999999</v>
      </c>
      <c r="O45" s="16">
        <f t="shared" si="1"/>
        <v>31.762774999999998</v>
      </c>
      <c r="P45" s="7"/>
      <c r="Q45" s="8">
        <f>bdrate(C45:C48,D45:D48,J45:J48,K45:K48)</f>
        <v>-0.59664948541228902</v>
      </c>
      <c r="R45" s="8">
        <f>bdrate(C45:C48,E45:E48,J45:J48,L45:L48)</f>
        <v>-0.69812477566073194</v>
      </c>
      <c r="S45" s="8">
        <f>bdrate(C45:C48,F45:F48,J45:J48,M45:M48)</f>
        <v>-0.70676003941410404</v>
      </c>
      <c r="T45" s="25">
        <f>bdrate(C45:C48,H45:H48,J45:J48,O45:O48)</f>
        <v>-0.61266223193887015</v>
      </c>
      <c r="U45" s="28">
        <f t="shared" si="2"/>
        <v>-0.43009884000274562</v>
      </c>
    </row>
    <row r="46" spans="1:21" x14ac:dyDescent="0.25">
      <c r="B46" s="9"/>
      <c r="C46" s="17">
        <v>984.69</v>
      </c>
      <c r="D46" s="18">
        <v>26.478999999999999</v>
      </c>
      <c r="E46" s="18">
        <v>34.194000000000003</v>
      </c>
      <c r="F46" s="18">
        <v>34.896999999999998</v>
      </c>
      <c r="G46" s="18">
        <v>317.45999999999998</v>
      </c>
      <c r="H46" s="18">
        <f t="shared" si="0"/>
        <v>28.495624999999997</v>
      </c>
      <c r="I46" s="5"/>
      <c r="J46" s="17">
        <v>815.37440000000004</v>
      </c>
      <c r="K46" s="18">
        <v>28.686499999999999</v>
      </c>
      <c r="L46" s="18">
        <v>35.79</v>
      </c>
      <c r="M46" s="18">
        <v>36.559399999999997</v>
      </c>
      <c r="N46" s="18">
        <v>201.5316</v>
      </c>
      <c r="O46" s="18">
        <f t="shared" si="1"/>
        <v>30.558549999999997</v>
      </c>
      <c r="P46" s="7"/>
      <c r="Q46" s="10"/>
      <c r="R46" s="11"/>
      <c r="S46" s="11"/>
      <c r="T46" s="26"/>
      <c r="U46" s="28">
        <f t="shared" si="2"/>
        <v>-0.36517482517482514</v>
      </c>
    </row>
    <row r="47" spans="1:21" x14ac:dyDescent="0.25">
      <c r="B47" s="9"/>
      <c r="C47" s="17">
        <v>611.04999999999995</v>
      </c>
      <c r="D47" s="18">
        <v>25.027000000000001</v>
      </c>
      <c r="E47" s="18">
        <v>33.770000000000003</v>
      </c>
      <c r="F47" s="18">
        <v>34.488999999999997</v>
      </c>
      <c r="G47" s="18">
        <v>344.59</v>
      </c>
      <c r="H47" s="18">
        <f t="shared" si="0"/>
        <v>27.302625000000003</v>
      </c>
      <c r="I47" s="5"/>
      <c r="J47" s="17">
        <v>516.62</v>
      </c>
      <c r="K47" s="18">
        <v>27.2925</v>
      </c>
      <c r="L47" s="18">
        <v>35.000500000000002</v>
      </c>
      <c r="M47" s="18">
        <v>35.7104</v>
      </c>
      <c r="N47" s="18">
        <v>250.37559999999999</v>
      </c>
      <c r="O47" s="18">
        <f t="shared" si="1"/>
        <v>29.308237499999997</v>
      </c>
      <c r="P47" s="7"/>
      <c r="Q47" s="10"/>
      <c r="R47" s="11"/>
      <c r="S47" s="11"/>
      <c r="T47" s="26"/>
      <c r="U47" s="28">
        <f t="shared" si="2"/>
        <v>-0.27341013958617483</v>
      </c>
    </row>
    <row r="48" spans="1:21" ht="16.5" thickBot="1" x14ac:dyDescent="0.3">
      <c r="B48" s="12"/>
      <c r="C48" s="19">
        <v>374.91</v>
      </c>
      <c r="D48" s="20">
        <v>23.613</v>
      </c>
      <c r="E48" s="20">
        <v>33.380000000000003</v>
      </c>
      <c r="F48" s="20">
        <v>34.103999999999999</v>
      </c>
      <c r="G48" s="20">
        <v>372.86</v>
      </c>
      <c r="H48" s="20">
        <f t="shared" si="0"/>
        <v>26.145249999999997</v>
      </c>
      <c r="I48" s="5"/>
      <c r="J48" s="19">
        <v>308.13920000000002</v>
      </c>
      <c r="K48" s="20">
        <v>25.768999999999998</v>
      </c>
      <c r="L48" s="20">
        <v>34.153799999999997</v>
      </c>
      <c r="M48" s="20">
        <v>34.891300000000001</v>
      </c>
      <c r="N48" s="20">
        <v>308.26139999999998</v>
      </c>
      <c r="O48" s="20">
        <f t="shared" si="1"/>
        <v>27.957387499999996</v>
      </c>
      <c r="P48" s="7"/>
      <c r="Q48" s="13"/>
      <c r="R48" s="14"/>
      <c r="S48" s="14"/>
      <c r="T48" s="27"/>
      <c r="U48" s="28">
        <f t="shared" si="2"/>
        <v>-0.17325162259293039</v>
      </c>
    </row>
    <row r="49" spans="1:21" x14ac:dyDescent="0.25">
      <c r="B49" s="6" t="s">
        <v>56</v>
      </c>
      <c r="C49" s="15">
        <v>1471.89</v>
      </c>
      <c r="D49" s="16">
        <v>31.815000000000001</v>
      </c>
      <c r="E49" s="16">
        <v>36.039000000000001</v>
      </c>
      <c r="F49" s="16">
        <v>37.634999999999998</v>
      </c>
      <c r="G49" s="16">
        <v>223.55</v>
      </c>
      <c r="H49" s="16">
        <f t="shared" si="0"/>
        <v>33.070500000000003</v>
      </c>
      <c r="I49" s="5"/>
      <c r="J49" s="15">
        <v>1215.4495999999999</v>
      </c>
      <c r="K49" s="16">
        <v>32.012700000000002</v>
      </c>
      <c r="L49" s="16">
        <v>36.660800000000002</v>
      </c>
      <c r="M49" s="16">
        <v>38.218699999999998</v>
      </c>
      <c r="N49" s="16">
        <v>120.1923</v>
      </c>
      <c r="O49" s="16">
        <f t="shared" si="1"/>
        <v>33.369462500000004</v>
      </c>
      <c r="P49" s="7"/>
      <c r="Q49" s="8">
        <f>bdrate(C49:C52,D49:D52,J49:J52,K49:K52)</f>
        <v>-0.2852932101194976</v>
      </c>
      <c r="R49" s="8">
        <f>bdrate(C49:C52,E49:E52,J49:J52,L49:L52)</f>
        <v>-0.33585587716119392</v>
      </c>
      <c r="S49" s="8">
        <f>bdrate(C49:C52,F49:F52,J49:J52,M49:M52)</f>
        <v>-0.32302619801252763</v>
      </c>
      <c r="T49" s="25">
        <f>bdrate(C49:C52,H49:H52,J49:J52,O49:O52)</f>
        <v>-0.2943940771749376</v>
      </c>
      <c r="U49" s="28">
        <f t="shared" si="2"/>
        <v>-0.4623471259226124</v>
      </c>
    </row>
    <row r="50" spans="1:21" x14ac:dyDescent="0.25">
      <c r="B50" s="9"/>
      <c r="C50" s="17">
        <v>1005.4</v>
      </c>
      <c r="D50" s="18">
        <v>30.257999999999999</v>
      </c>
      <c r="E50" s="18">
        <v>35.387</v>
      </c>
      <c r="F50" s="18">
        <v>36.969000000000001</v>
      </c>
      <c r="G50" s="18">
        <v>243.31</v>
      </c>
      <c r="H50" s="18">
        <f t="shared" si="0"/>
        <v>31.738</v>
      </c>
      <c r="I50" s="5"/>
      <c r="J50" s="17">
        <v>809.31759999999997</v>
      </c>
      <c r="K50" s="18">
        <v>30.519500000000001</v>
      </c>
      <c r="L50" s="18">
        <v>35.813899999999997</v>
      </c>
      <c r="M50" s="18">
        <v>37.362900000000003</v>
      </c>
      <c r="N50" s="18">
        <v>144.57830000000001</v>
      </c>
      <c r="O50" s="18">
        <f t="shared" si="1"/>
        <v>32.036725000000004</v>
      </c>
      <c r="P50" s="7"/>
      <c r="Q50" s="10"/>
      <c r="R50" s="11"/>
      <c r="S50" s="11"/>
      <c r="T50" s="26"/>
      <c r="U50" s="28">
        <f t="shared" si="2"/>
        <v>-0.40578562327894452</v>
      </c>
    </row>
    <row r="51" spans="1:21" x14ac:dyDescent="0.25">
      <c r="B51" s="9"/>
      <c r="C51" s="17">
        <v>635.46</v>
      </c>
      <c r="D51" s="18">
        <v>28.425000000000001</v>
      </c>
      <c r="E51" s="18">
        <v>34.695999999999998</v>
      </c>
      <c r="F51" s="18">
        <v>36.216000000000001</v>
      </c>
      <c r="G51" s="18">
        <v>263.39</v>
      </c>
      <c r="H51" s="18">
        <f t="shared" si="0"/>
        <v>30.182750000000002</v>
      </c>
      <c r="I51" s="5"/>
      <c r="J51" s="17">
        <v>505.34640000000002</v>
      </c>
      <c r="K51" s="18">
        <v>28.957699999999999</v>
      </c>
      <c r="L51" s="18">
        <v>34.968600000000002</v>
      </c>
      <c r="M51" s="18">
        <v>36.4878</v>
      </c>
      <c r="N51" s="18">
        <v>179.7484</v>
      </c>
      <c r="O51" s="18">
        <f t="shared" si="1"/>
        <v>30.650324999999999</v>
      </c>
      <c r="P51" s="7"/>
      <c r="Q51" s="10"/>
      <c r="R51" s="11"/>
      <c r="S51" s="11"/>
      <c r="T51" s="26"/>
      <c r="U51" s="28">
        <f t="shared" si="2"/>
        <v>-0.31755799384942474</v>
      </c>
    </row>
    <row r="52" spans="1:21" ht="16.5" thickBot="1" x14ac:dyDescent="0.3">
      <c r="B52" s="12"/>
      <c r="C52" s="19">
        <v>396.86</v>
      </c>
      <c r="D52" s="20">
        <v>26.652000000000001</v>
      </c>
      <c r="E52" s="20">
        <v>33.954999999999998</v>
      </c>
      <c r="F52" s="20">
        <v>35.405999999999999</v>
      </c>
      <c r="G52" s="20">
        <v>287.08</v>
      </c>
      <c r="H52" s="20">
        <f t="shared" si="0"/>
        <v>28.659125000000003</v>
      </c>
      <c r="I52" s="5"/>
      <c r="J52" s="19">
        <v>303.24560000000002</v>
      </c>
      <c r="K52" s="20">
        <v>27.366099999999999</v>
      </c>
      <c r="L52" s="20">
        <v>34.022399999999998</v>
      </c>
      <c r="M52" s="20">
        <v>35.454099999999997</v>
      </c>
      <c r="N52" s="20">
        <v>231.6602</v>
      </c>
      <c r="O52" s="20">
        <f t="shared" si="1"/>
        <v>29.209137499999997</v>
      </c>
      <c r="P52" s="7"/>
      <c r="Q52" s="13"/>
      <c r="R52" s="14"/>
      <c r="S52" s="14"/>
      <c r="T52" s="27"/>
      <c r="U52" s="28">
        <f t="shared" si="2"/>
        <v>-0.19304653755050852</v>
      </c>
    </row>
    <row r="53" spans="1:21" x14ac:dyDescent="0.25">
      <c r="A53" s="6" t="s">
        <v>41</v>
      </c>
      <c r="B53" s="6" t="s">
        <v>57</v>
      </c>
      <c r="C53" s="15">
        <v>838.08</v>
      </c>
      <c r="D53" s="16">
        <v>33.808999999999997</v>
      </c>
      <c r="E53" s="16">
        <v>38.247999999999998</v>
      </c>
      <c r="F53" s="16">
        <v>37.197000000000003</v>
      </c>
      <c r="G53" s="16">
        <v>970.87</v>
      </c>
      <c r="H53" s="16">
        <f t="shared" si="0"/>
        <v>34.787374999999997</v>
      </c>
      <c r="I53" s="5"/>
      <c r="J53" s="15">
        <v>605.57600000000002</v>
      </c>
      <c r="K53" s="16">
        <v>34.0107</v>
      </c>
      <c r="L53" s="16">
        <v>39.375999999999998</v>
      </c>
      <c r="M53" s="16">
        <v>37.838500000000003</v>
      </c>
      <c r="N53" s="16">
        <v>485.43689999999998</v>
      </c>
      <c r="O53" s="16">
        <f t="shared" si="1"/>
        <v>35.159837500000002</v>
      </c>
      <c r="P53" s="7"/>
      <c r="Q53" s="8">
        <f>bdrate(C53:C56,D53:D56,J53:J56,K53:K56)</f>
        <v>-0.34277654152574311</v>
      </c>
      <c r="R53" s="8">
        <f>bdrate(C53:C56,E53:E56,J53:J56,L53:L56)</f>
        <v>-0.50549359074206968</v>
      </c>
      <c r="S53" s="8">
        <f>bdrate(C53:C56,F53:F56,J53:J56,M53:M56)</f>
        <v>-0.37943900844093348</v>
      </c>
      <c r="T53" s="25">
        <f>bdrate(C53:C56,H53:H56,J53:J56,O53:O56)</f>
        <v>-0.36005313885937251</v>
      </c>
      <c r="U53" s="28">
        <f t="shared" si="2"/>
        <v>-0.49999804299236772</v>
      </c>
    </row>
    <row r="54" spans="1:21" x14ac:dyDescent="0.25">
      <c r="A54" s="9" t="s">
        <v>42</v>
      </c>
      <c r="B54" s="9"/>
      <c r="C54" s="17">
        <v>525.16999999999996</v>
      </c>
      <c r="D54" s="18">
        <v>31.669</v>
      </c>
      <c r="E54" s="18">
        <v>37.218000000000004</v>
      </c>
      <c r="F54" s="18">
        <v>35.942</v>
      </c>
      <c r="G54" s="18">
        <v>1103.75</v>
      </c>
      <c r="H54" s="18">
        <f t="shared" si="0"/>
        <v>32.896750000000004</v>
      </c>
      <c r="I54" s="5"/>
      <c r="J54" s="17">
        <v>404.15519999999998</v>
      </c>
      <c r="K54" s="18">
        <v>32.230899999999998</v>
      </c>
      <c r="L54" s="18">
        <v>38.271099999999997</v>
      </c>
      <c r="M54" s="18">
        <v>36.617100000000001</v>
      </c>
      <c r="N54" s="18">
        <v>562.42970000000003</v>
      </c>
      <c r="O54" s="18">
        <f t="shared" si="1"/>
        <v>33.534199999999998</v>
      </c>
      <c r="P54" s="7"/>
      <c r="Q54" s="10"/>
      <c r="R54" s="11"/>
      <c r="S54" s="11"/>
      <c r="T54" s="26"/>
      <c r="U54" s="28">
        <f t="shared" si="2"/>
        <v>-0.49043741789354472</v>
      </c>
    </row>
    <row r="55" spans="1:21" x14ac:dyDescent="0.25">
      <c r="B55" s="9"/>
      <c r="C55" s="17">
        <v>316.97000000000003</v>
      </c>
      <c r="D55" s="18">
        <v>29.527000000000001</v>
      </c>
      <c r="E55" s="18">
        <v>36.314999999999998</v>
      </c>
      <c r="F55" s="18">
        <v>34.802</v>
      </c>
      <c r="G55" s="18">
        <v>1184.83</v>
      </c>
      <c r="H55" s="18">
        <f t="shared" si="0"/>
        <v>31.034875</v>
      </c>
      <c r="I55" s="5"/>
      <c r="J55" s="17">
        <v>253.82640000000001</v>
      </c>
      <c r="K55" s="18">
        <v>30.3508</v>
      </c>
      <c r="L55" s="18">
        <v>37.241599999999998</v>
      </c>
      <c r="M55" s="18">
        <v>35.439500000000002</v>
      </c>
      <c r="N55" s="18">
        <v>682.12819999999999</v>
      </c>
      <c r="O55" s="18">
        <f t="shared" si="1"/>
        <v>31.848237500000003</v>
      </c>
      <c r="P55" s="7"/>
      <c r="Q55" s="10"/>
      <c r="R55" s="11"/>
      <c r="S55" s="11"/>
      <c r="T55" s="26"/>
      <c r="U55" s="28">
        <f t="shared" si="2"/>
        <v>-0.424281795700649</v>
      </c>
    </row>
    <row r="56" spans="1:21" ht="16.5" thickBot="1" x14ac:dyDescent="0.3">
      <c r="B56" s="12"/>
      <c r="C56" s="19">
        <v>162.43</v>
      </c>
      <c r="D56" s="20">
        <v>26.672999999999998</v>
      </c>
      <c r="E56" s="20">
        <v>35.229999999999997</v>
      </c>
      <c r="F56" s="20">
        <v>33.585999999999999</v>
      </c>
      <c r="G56" s="20">
        <v>1392.76</v>
      </c>
      <c r="H56" s="20">
        <f t="shared" si="0"/>
        <v>28.606749999999998</v>
      </c>
      <c r="I56" s="5"/>
      <c r="J56" s="19">
        <v>122.81359999999999</v>
      </c>
      <c r="K56" s="20">
        <v>27.644400000000001</v>
      </c>
      <c r="L56" s="20">
        <v>35.7395</v>
      </c>
      <c r="M56" s="20">
        <v>33.6128</v>
      </c>
      <c r="N56" s="20">
        <v>970.87379999999996</v>
      </c>
      <c r="O56" s="20">
        <f t="shared" si="1"/>
        <v>29.402337499999998</v>
      </c>
      <c r="P56" s="7"/>
      <c r="Q56" s="13"/>
      <c r="R56" s="14"/>
      <c r="S56" s="14"/>
      <c r="T56" s="27"/>
      <c r="U56" s="28">
        <f t="shared" si="2"/>
        <v>-0.30291378270484509</v>
      </c>
    </row>
    <row r="57" spans="1:21" x14ac:dyDescent="0.25">
      <c r="B57" s="6" t="s">
        <v>58</v>
      </c>
      <c r="C57" s="15">
        <v>769.44</v>
      </c>
      <c r="D57" s="16">
        <v>30.542999999999999</v>
      </c>
      <c r="E57" s="16">
        <v>38.459000000000003</v>
      </c>
      <c r="F57" s="16">
        <v>38.877000000000002</v>
      </c>
      <c r="G57" s="16">
        <v>1098.9000000000001</v>
      </c>
      <c r="H57" s="16">
        <f t="shared" si="0"/>
        <v>32.574249999999999</v>
      </c>
      <c r="I57" s="5"/>
      <c r="J57" s="15">
        <v>604.95839999999998</v>
      </c>
      <c r="K57" s="16">
        <v>33.276899999999998</v>
      </c>
      <c r="L57" s="16">
        <v>41.119399999999999</v>
      </c>
      <c r="M57" s="16">
        <v>41.898499999999999</v>
      </c>
      <c r="N57" s="16">
        <v>549.45050000000003</v>
      </c>
      <c r="O57" s="16">
        <f t="shared" si="1"/>
        <v>35.334912500000002</v>
      </c>
      <c r="P57" s="7"/>
      <c r="Q57" s="8">
        <f>bdrate(C57:C60,D57:D60,J57:J60,K57:K60)</f>
        <v>-0.66634697727930259</v>
      </c>
      <c r="R57" s="8">
        <f>bdrate(C57:C60,E57:E60,J57:J60,L57:L60)</f>
        <v>-0.78246747326161015</v>
      </c>
      <c r="S57" s="8">
        <f>bdrate(C57:C60,F57:F60,J57:J60,M57:M60)</f>
        <v>-0.82173709600808198</v>
      </c>
      <c r="T57" s="25">
        <f>bdrate(C57:C60,H57:H60,J57:J60,O57:O60)</f>
        <v>-0.68853174031383169</v>
      </c>
      <c r="U57" s="28">
        <f t="shared" si="2"/>
        <v>-0.49999954499954502</v>
      </c>
    </row>
    <row r="58" spans="1:21" x14ac:dyDescent="0.25">
      <c r="B58" s="9"/>
      <c r="C58" s="17">
        <v>477.87</v>
      </c>
      <c r="D58" s="18">
        <v>28.911999999999999</v>
      </c>
      <c r="E58" s="18">
        <v>38.018999999999998</v>
      </c>
      <c r="F58" s="18">
        <v>38.237000000000002</v>
      </c>
      <c r="G58" s="18">
        <v>1239.67</v>
      </c>
      <c r="H58" s="18">
        <f t="shared" si="0"/>
        <v>31.215999999999998</v>
      </c>
      <c r="I58" s="5"/>
      <c r="J58" s="17">
        <v>402.7688</v>
      </c>
      <c r="K58" s="18">
        <v>31.993400000000001</v>
      </c>
      <c r="L58" s="18">
        <v>40.283299999999997</v>
      </c>
      <c r="M58" s="18">
        <v>41.061</v>
      </c>
      <c r="N58" s="18">
        <v>674.15729999999996</v>
      </c>
      <c r="O58" s="18">
        <f t="shared" si="1"/>
        <v>34.163087499999996</v>
      </c>
      <c r="P58" s="7"/>
      <c r="Q58" s="10"/>
      <c r="R58" s="11"/>
      <c r="S58" s="11"/>
      <c r="T58" s="26"/>
      <c r="U58" s="28">
        <f t="shared" si="2"/>
        <v>-0.45618003178265187</v>
      </c>
    </row>
    <row r="59" spans="1:21" x14ac:dyDescent="0.25">
      <c r="B59" s="9"/>
      <c r="C59" s="17">
        <v>284.39</v>
      </c>
      <c r="D59" s="18">
        <v>27.207999999999998</v>
      </c>
      <c r="E59" s="18">
        <v>37.597000000000001</v>
      </c>
      <c r="F59" s="18">
        <v>37.78</v>
      </c>
      <c r="G59" s="18">
        <v>1421.8</v>
      </c>
      <c r="H59" s="18">
        <f t="shared" si="0"/>
        <v>29.828125</v>
      </c>
      <c r="I59" s="5"/>
      <c r="J59" s="17">
        <v>252.66560000000001</v>
      </c>
      <c r="K59" s="18">
        <v>30.467199999999998</v>
      </c>
      <c r="L59" s="18">
        <v>39.377899999999997</v>
      </c>
      <c r="M59" s="18">
        <v>40.0854</v>
      </c>
      <c r="N59" s="18">
        <v>854.70090000000005</v>
      </c>
      <c r="O59" s="18">
        <f t="shared" si="1"/>
        <v>32.783312500000001</v>
      </c>
      <c r="P59" s="7"/>
      <c r="Q59" s="10"/>
      <c r="R59" s="11"/>
      <c r="S59" s="11"/>
      <c r="T59" s="26"/>
      <c r="U59" s="28">
        <f t="shared" si="2"/>
        <v>-0.39885996623997744</v>
      </c>
    </row>
    <row r="60" spans="1:21" ht="16.5" thickBot="1" x14ac:dyDescent="0.3">
      <c r="B60" s="12"/>
      <c r="C60" s="19">
        <v>140.16</v>
      </c>
      <c r="D60" s="20">
        <v>25.125</v>
      </c>
      <c r="E60" s="20">
        <v>37.061</v>
      </c>
      <c r="F60" s="20">
        <v>37.094000000000001</v>
      </c>
      <c r="G60" s="20">
        <v>1538.46</v>
      </c>
      <c r="H60" s="20">
        <f t="shared" si="0"/>
        <v>28.113125</v>
      </c>
      <c r="I60" s="5"/>
      <c r="J60" s="19">
        <v>121.04</v>
      </c>
      <c r="K60" s="20">
        <v>27.974399999999999</v>
      </c>
      <c r="L60" s="20">
        <v>38.062199999999997</v>
      </c>
      <c r="M60" s="20">
        <v>38.652200000000001</v>
      </c>
      <c r="N60" s="20">
        <v>1129.9435000000001</v>
      </c>
      <c r="O60" s="20">
        <f t="shared" si="1"/>
        <v>30.570099999999996</v>
      </c>
      <c r="P60" s="7"/>
      <c r="Q60" s="13"/>
      <c r="R60" s="14"/>
      <c r="S60" s="14"/>
      <c r="T60" s="27"/>
      <c r="U60" s="28">
        <f t="shared" si="2"/>
        <v>-0.26553599053599047</v>
      </c>
    </row>
    <row r="61" spans="1:21" x14ac:dyDescent="0.25">
      <c r="B61" s="6" t="s">
        <v>59</v>
      </c>
      <c r="C61" s="29">
        <v>844.47</v>
      </c>
      <c r="D61" s="30">
        <v>31.951000000000001</v>
      </c>
      <c r="E61" s="30">
        <v>35.843000000000004</v>
      </c>
      <c r="F61" s="30">
        <v>36.253</v>
      </c>
      <c r="G61" s="16">
        <v>1035.2</v>
      </c>
      <c r="H61" s="16">
        <f t="shared" si="0"/>
        <v>32.975250000000003</v>
      </c>
      <c r="I61" s="5"/>
      <c r="J61" s="29">
        <v>643.49120000000005</v>
      </c>
      <c r="K61" s="30">
        <v>32.8643</v>
      </c>
      <c r="L61" s="30">
        <v>37.951099999999997</v>
      </c>
      <c r="M61" s="30">
        <v>38.706499999999998</v>
      </c>
      <c r="N61" s="16">
        <v>501.00200000000001</v>
      </c>
      <c r="O61" s="16">
        <f t="shared" si="1"/>
        <v>34.230424999999997</v>
      </c>
      <c r="P61" s="7"/>
      <c r="Q61" s="8">
        <f>bdrate(C61:C64,D61:D64,J61:J64,K61:K64)</f>
        <v>-0.43890312522959074</v>
      </c>
      <c r="R61" s="8">
        <f>bdrate(C61:C64,E61:E64,J61:J64,L61:L64)</f>
        <v>-0.67312136173515946</v>
      </c>
      <c r="S61" s="8">
        <f>bdrate(C61:C64,F61:F64,J61:J64,M61:M64)</f>
        <v>-0.72659217798966536</v>
      </c>
      <c r="T61" s="25">
        <f>bdrate(C61:C64,H61:H64,J61:J64,O61:O64)</f>
        <v>-0.4909850324492766</v>
      </c>
      <c r="U61" s="28">
        <f t="shared" si="2"/>
        <v>-0.51603361669242664</v>
      </c>
    </row>
    <row r="62" spans="1:21" x14ac:dyDescent="0.25">
      <c r="B62" s="9"/>
      <c r="C62" s="31">
        <v>526.34</v>
      </c>
      <c r="D62" s="32">
        <v>30.085000000000001</v>
      </c>
      <c r="E62" s="32">
        <v>34.869</v>
      </c>
      <c r="F62" s="32">
        <v>35.287999999999997</v>
      </c>
      <c r="G62" s="18">
        <v>1144.1600000000001</v>
      </c>
      <c r="H62" s="18">
        <f t="shared" si="0"/>
        <v>31.333374999999997</v>
      </c>
      <c r="I62" s="5"/>
      <c r="J62" s="31">
        <v>426.46960000000001</v>
      </c>
      <c r="K62" s="32">
        <v>31.340900000000001</v>
      </c>
      <c r="L62" s="32">
        <v>36.934399999999997</v>
      </c>
      <c r="M62" s="32">
        <v>37.648499999999999</v>
      </c>
      <c r="N62" s="18">
        <v>604.59490000000005</v>
      </c>
      <c r="O62" s="18">
        <f t="shared" si="1"/>
        <v>32.828537500000003</v>
      </c>
      <c r="P62" s="7"/>
      <c r="Q62" s="10"/>
      <c r="R62" s="11"/>
      <c r="S62" s="11"/>
      <c r="T62" s="26"/>
      <c r="U62" s="28">
        <f t="shared" si="2"/>
        <v>-0.47158185918053419</v>
      </c>
    </row>
    <row r="63" spans="1:21" x14ac:dyDescent="0.25">
      <c r="B63" s="9"/>
      <c r="C63" s="31">
        <v>314.68</v>
      </c>
      <c r="D63" s="32">
        <v>28.231999999999999</v>
      </c>
      <c r="E63" s="32">
        <v>34.131999999999998</v>
      </c>
      <c r="F63" s="32">
        <v>34.575000000000003</v>
      </c>
      <c r="G63" s="18">
        <v>1282.05</v>
      </c>
      <c r="H63" s="18">
        <f t="shared" si="0"/>
        <v>29.762374999999999</v>
      </c>
      <c r="I63" s="5"/>
      <c r="J63" s="31">
        <v>266.61759999999998</v>
      </c>
      <c r="K63" s="32">
        <v>29.705300000000001</v>
      </c>
      <c r="L63" s="32">
        <v>35.805599999999998</v>
      </c>
      <c r="M63" s="32">
        <v>36.561599999999999</v>
      </c>
      <c r="N63" s="18">
        <v>782.47260000000006</v>
      </c>
      <c r="O63" s="18">
        <f t="shared" si="1"/>
        <v>31.324875000000002</v>
      </c>
      <c r="P63" s="7"/>
      <c r="Q63" s="10"/>
      <c r="R63" s="11"/>
      <c r="S63" s="11"/>
      <c r="T63" s="26"/>
      <c r="U63" s="28">
        <f t="shared" si="2"/>
        <v>-0.38967076167076159</v>
      </c>
    </row>
    <row r="64" spans="1:21" ht="16.5" thickBot="1" x14ac:dyDescent="0.3">
      <c r="B64" s="12"/>
      <c r="C64" s="33">
        <v>154.4</v>
      </c>
      <c r="D64" s="34">
        <v>25.925000000000001</v>
      </c>
      <c r="E64" s="34">
        <v>33.356000000000002</v>
      </c>
      <c r="F64" s="34">
        <v>33.845999999999997</v>
      </c>
      <c r="G64" s="20">
        <v>1453.49</v>
      </c>
      <c r="H64" s="20">
        <f t="shared" si="0"/>
        <v>27.844000000000001</v>
      </c>
      <c r="I64" s="5"/>
      <c r="J64" s="33">
        <v>129.63200000000001</v>
      </c>
      <c r="K64" s="34">
        <v>27.375</v>
      </c>
      <c r="L64" s="34">
        <v>34.310099999999998</v>
      </c>
      <c r="M64" s="34">
        <v>35.049100000000003</v>
      </c>
      <c r="N64" s="20">
        <v>1068.3761</v>
      </c>
      <c r="O64" s="20">
        <f t="shared" si="1"/>
        <v>29.201150000000002</v>
      </c>
      <c r="P64" s="7"/>
      <c r="Q64" s="13"/>
      <c r="R64" s="14"/>
      <c r="S64" s="14"/>
      <c r="T64" s="27"/>
      <c r="U64" s="28">
        <f t="shared" si="2"/>
        <v>-0.26495806644696562</v>
      </c>
    </row>
    <row r="65" spans="1:21" x14ac:dyDescent="0.25">
      <c r="B65" s="6" t="s">
        <v>60</v>
      </c>
      <c r="C65" s="15">
        <v>786.23</v>
      </c>
      <c r="D65" s="16">
        <v>33.698</v>
      </c>
      <c r="E65" s="16">
        <v>36.561999999999998</v>
      </c>
      <c r="F65" s="16">
        <v>37.621000000000002</v>
      </c>
      <c r="G65" s="16">
        <v>769.23</v>
      </c>
      <c r="H65" s="16">
        <f t="shared" si="0"/>
        <v>34.546374999999998</v>
      </c>
      <c r="I65" s="5"/>
      <c r="J65" s="15">
        <v>609.94719999999995</v>
      </c>
      <c r="K65" s="16">
        <v>33.410499999999999</v>
      </c>
      <c r="L65" s="16">
        <v>37.404499999999999</v>
      </c>
      <c r="M65" s="16">
        <v>38.465000000000003</v>
      </c>
      <c r="N65" s="16">
        <v>349.65030000000002</v>
      </c>
      <c r="O65" s="16">
        <f t="shared" si="1"/>
        <v>34.541562499999998</v>
      </c>
      <c r="P65" s="7"/>
      <c r="Q65" s="8">
        <f>bdrate(C65:C68,D65:D68,J65:J68,K65:K68)</f>
        <v>-0.21278560613842357</v>
      </c>
      <c r="R65" s="8">
        <f>bdrate(C65:C68,E65:E68,J65:J68,L65:L68)</f>
        <v>-0.41073735565553482</v>
      </c>
      <c r="S65" s="8">
        <f>bdrate(C65:C68,F65:F68,J65:J68,M65:M68)</f>
        <v>-0.39112491668221261</v>
      </c>
      <c r="T65" s="25">
        <f>bdrate(C65:C68,H65:H68,J65:J68,O65:O68)</f>
        <v>-0.24559476758921883</v>
      </c>
      <c r="U65" s="28">
        <f t="shared" si="2"/>
        <v>-0.54545415545415543</v>
      </c>
    </row>
    <row r="66" spans="1:21" x14ac:dyDescent="0.25">
      <c r="B66" s="9"/>
      <c r="C66" s="17">
        <v>494.01</v>
      </c>
      <c r="D66" s="18">
        <v>31.588000000000001</v>
      </c>
      <c r="E66" s="18">
        <v>35.43</v>
      </c>
      <c r="F66" s="18">
        <v>36.484999999999999</v>
      </c>
      <c r="G66" s="18">
        <v>917.43</v>
      </c>
      <c r="H66" s="18">
        <f t="shared" si="0"/>
        <v>32.680375000000005</v>
      </c>
      <c r="I66" s="5"/>
      <c r="J66" s="17">
        <v>404.512</v>
      </c>
      <c r="K66" s="18">
        <v>31.653500000000001</v>
      </c>
      <c r="L66" s="18">
        <v>36.366</v>
      </c>
      <c r="M66" s="18">
        <v>37.4026</v>
      </c>
      <c r="N66" s="18">
        <v>436.68119999999999</v>
      </c>
      <c r="O66" s="18">
        <f t="shared" si="1"/>
        <v>32.961199999999998</v>
      </c>
      <c r="P66" s="7"/>
      <c r="Q66" s="10"/>
      <c r="R66" s="11"/>
      <c r="S66" s="11"/>
      <c r="T66" s="26"/>
      <c r="U66" s="28">
        <f t="shared" si="2"/>
        <v>-0.52401687322193513</v>
      </c>
    </row>
    <row r="67" spans="1:21" x14ac:dyDescent="0.25">
      <c r="B67" s="9"/>
      <c r="C67" s="17">
        <v>298.44</v>
      </c>
      <c r="D67" s="18">
        <v>29.568000000000001</v>
      </c>
      <c r="E67" s="18">
        <v>34.512</v>
      </c>
      <c r="F67" s="18">
        <v>35.576000000000001</v>
      </c>
      <c r="G67" s="18">
        <v>1013.51</v>
      </c>
      <c r="H67" s="18">
        <f t="shared" si="0"/>
        <v>30.937000000000001</v>
      </c>
      <c r="I67" s="5"/>
      <c r="J67" s="17">
        <v>253.00800000000001</v>
      </c>
      <c r="K67" s="18">
        <v>29.850999999999999</v>
      </c>
      <c r="L67" s="18">
        <v>35.191899999999997</v>
      </c>
      <c r="M67" s="18">
        <v>36.217199999999998</v>
      </c>
      <c r="N67" s="18">
        <v>533.80780000000004</v>
      </c>
      <c r="O67" s="18">
        <f t="shared" si="1"/>
        <v>31.314387499999999</v>
      </c>
      <c r="P67" s="7"/>
      <c r="Q67" s="10"/>
      <c r="R67" s="11"/>
      <c r="S67" s="11"/>
      <c r="T67" s="26"/>
      <c r="U67" s="28">
        <f t="shared" si="2"/>
        <v>-0.47330781146707973</v>
      </c>
    </row>
    <row r="68" spans="1:21" ht="16.5" thickBot="1" x14ac:dyDescent="0.3">
      <c r="B68" s="12"/>
      <c r="C68" s="19">
        <v>150.41</v>
      </c>
      <c r="D68" s="20">
        <v>27.029</v>
      </c>
      <c r="E68" s="20">
        <v>33.412999999999997</v>
      </c>
      <c r="F68" s="20">
        <v>34.432000000000002</v>
      </c>
      <c r="G68" s="20">
        <v>1200</v>
      </c>
      <c r="H68" s="20">
        <f t="shared" si="0"/>
        <v>28.752375000000001</v>
      </c>
      <c r="I68" s="5"/>
      <c r="J68" s="19">
        <v>121.71599999999999</v>
      </c>
      <c r="K68" s="20">
        <v>27.4209</v>
      </c>
      <c r="L68" s="20">
        <v>33.712400000000002</v>
      </c>
      <c r="M68" s="20">
        <v>34.616399999999999</v>
      </c>
      <c r="N68" s="20">
        <v>769.23080000000004</v>
      </c>
      <c r="O68" s="20">
        <f t="shared" si="1"/>
        <v>29.106774999999999</v>
      </c>
      <c r="P68" s="7"/>
      <c r="Q68" s="13"/>
      <c r="R68" s="14"/>
      <c r="S68" s="14"/>
      <c r="T68" s="27"/>
      <c r="U68" s="28">
        <f t="shared" si="2"/>
        <v>-0.35897433333333328</v>
      </c>
    </row>
    <row r="69" spans="1:21" x14ac:dyDescent="0.25">
      <c r="A69" s="6" t="s">
        <v>43</v>
      </c>
      <c r="B69" s="6" t="s">
        <v>61</v>
      </c>
      <c r="C69" s="15">
        <v>1966.1</v>
      </c>
      <c r="D69" s="16">
        <v>40.253999999999998</v>
      </c>
      <c r="E69" s="16">
        <v>44.067999999999998</v>
      </c>
      <c r="F69" s="16">
        <v>45.18</v>
      </c>
      <c r="G69" s="16">
        <v>165.06</v>
      </c>
      <c r="H69" s="16">
        <f t="shared" si="0"/>
        <v>41.346499999999999</v>
      </c>
      <c r="I69" s="5"/>
      <c r="J69" s="15">
        <v>1495.0888</v>
      </c>
      <c r="K69" s="16">
        <v>41.1492</v>
      </c>
      <c r="L69" s="16">
        <v>45.513500000000001</v>
      </c>
      <c r="M69" s="16">
        <v>46.694699999999997</v>
      </c>
      <c r="N69" s="16">
        <v>144.05760000000001</v>
      </c>
      <c r="O69" s="16">
        <f t="shared" si="1"/>
        <v>42.387925000000003</v>
      </c>
      <c r="P69" s="7"/>
      <c r="Q69" s="8">
        <f>bdrate(C69:C72,D69:D72,J69:J72,K69:K72)</f>
        <v>-0.48796410623266273</v>
      </c>
      <c r="R69" s="8">
        <f>bdrate(C69:C72,E69:E72,J69:J72,L69:L72)</f>
        <v>-0.60136619506406475</v>
      </c>
      <c r="S69" s="8">
        <f>bdrate(C69:C72,F69:F72,J69:J72,M69:M72)</f>
        <v>-0.58777685945559277</v>
      </c>
      <c r="T69" s="25">
        <f>bdrate(C69:C72,H69:H72,J69:J72,O69:O72)</f>
        <v>-0.50798392726424868</v>
      </c>
      <c r="U69" s="28">
        <f t="shared" si="2"/>
        <v>-0.12724100327153759</v>
      </c>
    </row>
    <row r="70" spans="1:21" x14ac:dyDescent="0.25">
      <c r="A70" s="9" t="s">
        <v>44</v>
      </c>
      <c r="B70" s="9"/>
      <c r="C70" s="17">
        <v>1291.27</v>
      </c>
      <c r="D70" s="18">
        <v>38.716000000000001</v>
      </c>
      <c r="E70" s="18">
        <v>42.93</v>
      </c>
      <c r="F70" s="18">
        <v>44.113</v>
      </c>
      <c r="G70" s="18">
        <v>178.09</v>
      </c>
      <c r="H70" s="18">
        <f t="shared" si="0"/>
        <v>39.917375</v>
      </c>
      <c r="I70" s="5"/>
      <c r="J70" s="17">
        <v>986.42079999999999</v>
      </c>
      <c r="K70" s="18">
        <v>40.0242</v>
      </c>
      <c r="L70" s="18">
        <v>44.6479</v>
      </c>
      <c r="M70" s="18">
        <v>45.768099999999997</v>
      </c>
      <c r="N70" s="18">
        <v>161.59440000000001</v>
      </c>
      <c r="O70" s="18">
        <f t="shared" si="1"/>
        <v>41.320149999999998</v>
      </c>
      <c r="P70" s="7"/>
      <c r="Q70" s="10"/>
      <c r="R70" s="11"/>
      <c r="S70" s="11"/>
      <c r="T70" s="26"/>
      <c r="U70" s="28">
        <f t="shared" si="2"/>
        <v>-9.2625077208153161E-2</v>
      </c>
    </row>
    <row r="71" spans="1:21" x14ac:dyDescent="0.25">
      <c r="B71" s="9"/>
      <c r="C71" s="17">
        <v>769.48</v>
      </c>
      <c r="D71" s="18">
        <v>36.404000000000003</v>
      </c>
      <c r="E71" s="18">
        <v>41.762</v>
      </c>
      <c r="F71" s="18">
        <v>42.78</v>
      </c>
      <c r="G71" s="18">
        <v>185.76</v>
      </c>
      <c r="H71" s="18">
        <f t="shared" si="0"/>
        <v>37.870750000000001</v>
      </c>
      <c r="I71" s="5"/>
      <c r="J71" s="17">
        <v>573.16399999999999</v>
      </c>
      <c r="K71" s="18">
        <v>38.069299999999998</v>
      </c>
      <c r="L71" s="18">
        <v>43.231900000000003</v>
      </c>
      <c r="M71" s="18">
        <v>44.290999999999997</v>
      </c>
      <c r="N71" s="18">
        <v>186.6833</v>
      </c>
      <c r="O71" s="18">
        <f t="shared" si="1"/>
        <v>39.492337499999998</v>
      </c>
      <c r="P71" s="7"/>
      <c r="Q71" s="10"/>
      <c r="R71" s="11"/>
      <c r="S71" s="11"/>
      <c r="T71" s="26"/>
      <c r="U71" s="28">
        <f t="shared" si="2"/>
        <v>4.9703919035315024E-3</v>
      </c>
    </row>
    <row r="72" spans="1:21" ht="16.5" thickBot="1" x14ac:dyDescent="0.3">
      <c r="B72" s="12"/>
      <c r="C72" s="19">
        <v>352.39</v>
      </c>
      <c r="D72" s="20">
        <v>32.451000000000001</v>
      </c>
      <c r="E72" s="20">
        <v>39.752000000000002</v>
      </c>
      <c r="F72" s="20">
        <v>40.536000000000001</v>
      </c>
      <c r="G72" s="20">
        <v>195.25</v>
      </c>
      <c r="H72" s="20">
        <f t="shared" si="0"/>
        <v>34.374250000000004</v>
      </c>
      <c r="I72" s="5"/>
      <c r="J72" s="19">
        <v>281.01760000000002</v>
      </c>
      <c r="K72" s="20">
        <v>34.960299999999997</v>
      </c>
      <c r="L72" s="20">
        <v>41.508299999999998</v>
      </c>
      <c r="M72" s="20">
        <v>42.487499999999997</v>
      </c>
      <c r="N72" s="20">
        <v>224.88759999999999</v>
      </c>
      <c r="O72" s="20">
        <f t="shared" si="1"/>
        <v>36.719699999999996</v>
      </c>
      <c r="P72" s="7"/>
      <c r="Q72" s="13"/>
      <c r="R72" s="14"/>
      <c r="S72" s="14"/>
      <c r="T72" s="27"/>
      <c r="U72" s="28">
        <f t="shared" si="2"/>
        <v>0.15179308578745193</v>
      </c>
    </row>
    <row r="73" spans="1:21" x14ac:dyDescent="0.25">
      <c r="B73" s="6" t="s">
        <v>62</v>
      </c>
      <c r="C73" s="15">
        <v>2032.14</v>
      </c>
      <c r="D73" s="16">
        <v>41.911000000000001</v>
      </c>
      <c r="E73" s="16">
        <v>46.44</v>
      </c>
      <c r="F73" s="16">
        <v>46.817999999999998</v>
      </c>
      <c r="G73" s="16">
        <v>157.65</v>
      </c>
      <c r="H73" s="16">
        <f t="shared" si="0"/>
        <v>43.090499999999999</v>
      </c>
      <c r="I73" s="5"/>
      <c r="J73" s="15">
        <v>1489.2632000000001</v>
      </c>
      <c r="K73" s="16">
        <v>42.495600000000003</v>
      </c>
      <c r="L73" s="16">
        <v>47.5899</v>
      </c>
      <c r="M73" s="16">
        <v>48.215800000000002</v>
      </c>
      <c r="N73" s="16">
        <v>158.2696</v>
      </c>
      <c r="O73" s="16">
        <f t="shared" si="1"/>
        <v>43.847412500000004</v>
      </c>
      <c r="P73" s="7"/>
      <c r="Q73" s="8">
        <f>bdrate(C73:C76,D73:D76,J73:J76,K73:K76)</f>
        <v>-0.54839087903717565</v>
      </c>
      <c r="R73" s="8">
        <f>bdrate(C73:C76,E73:E76,J73:J76,L73:L76)</f>
        <v>-0.69043915692993174</v>
      </c>
      <c r="S73" s="8">
        <f>bdrate(C73:C76,F73:F76,J73:J76,M73:M76)</f>
        <v>-0.69745743189173082</v>
      </c>
      <c r="T73" s="25">
        <f>bdrate(C73:C76,H73:H76,J73:J76,O73:O76)</f>
        <v>-0.589018351776184</v>
      </c>
      <c r="U73" s="28">
        <f t="shared" ref="U73:U124" si="3">(N73-G73)/G73</f>
        <v>3.9302251823659451E-3</v>
      </c>
    </row>
    <row r="74" spans="1:21" x14ac:dyDescent="0.25">
      <c r="B74" s="9"/>
      <c r="C74" s="17">
        <v>1335.82</v>
      </c>
      <c r="D74" s="18">
        <v>41.151000000000003</v>
      </c>
      <c r="E74" s="18">
        <v>45.593000000000004</v>
      </c>
      <c r="F74" s="18">
        <v>46.042000000000002</v>
      </c>
      <c r="G74" s="18">
        <v>169.44</v>
      </c>
      <c r="H74" s="18">
        <f t="shared" si="0"/>
        <v>42.317625000000007</v>
      </c>
      <c r="I74" s="5"/>
      <c r="J74" s="17">
        <v>978.17200000000003</v>
      </c>
      <c r="K74" s="18">
        <v>41.926699999999997</v>
      </c>
      <c r="L74" s="18">
        <v>47.110900000000001</v>
      </c>
      <c r="M74" s="18">
        <v>47.775500000000001</v>
      </c>
      <c r="N74" s="18">
        <v>183.15020000000001</v>
      </c>
      <c r="O74" s="18">
        <f t="shared" si="1"/>
        <v>43.305824999999999</v>
      </c>
      <c r="P74" s="7"/>
      <c r="Q74" s="10"/>
      <c r="R74" s="11"/>
      <c r="S74" s="11"/>
      <c r="T74" s="26"/>
      <c r="U74" s="28">
        <f t="shared" si="3"/>
        <v>8.0914778092540218E-2</v>
      </c>
    </row>
    <row r="75" spans="1:21" x14ac:dyDescent="0.25">
      <c r="B75" s="9"/>
      <c r="C75" s="17">
        <v>791.09</v>
      </c>
      <c r="D75" s="18">
        <v>39.880000000000003</v>
      </c>
      <c r="E75" s="18">
        <v>44.457999999999998</v>
      </c>
      <c r="F75" s="18">
        <v>44.906999999999996</v>
      </c>
      <c r="G75" s="18">
        <v>178.89</v>
      </c>
      <c r="H75" s="18">
        <f t="shared" si="0"/>
        <v>41.080625000000005</v>
      </c>
      <c r="I75" s="5"/>
      <c r="J75" s="17">
        <v>581.53599999999994</v>
      </c>
      <c r="K75" s="18">
        <v>41.0428</v>
      </c>
      <c r="L75" s="18">
        <v>46.288499999999999</v>
      </c>
      <c r="M75" s="18">
        <v>46.861499999999999</v>
      </c>
      <c r="N75" s="18">
        <v>205.6908</v>
      </c>
      <c r="O75" s="18">
        <f t="shared" si="1"/>
        <v>42.425849999999997</v>
      </c>
      <c r="P75" s="7"/>
      <c r="Q75" s="10"/>
      <c r="R75" s="11"/>
      <c r="S75" s="11"/>
      <c r="T75" s="26"/>
      <c r="U75" s="28">
        <f t="shared" si="3"/>
        <v>0.14981720610430999</v>
      </c>
    </row>
    <row r="76" spans="1:21" ht="16.5" thickBot="1" x14ac:dyDescent="0.3">
      <c r="B76" s="12"/>
      <c r="C76" s="19">
        <v>348.87</v>
      </c>
      <c r="D76" s="20">
        <v>37.043999999999997</v>
      </c>
      <c r="E76" s="20">
        <v>42.351999999999997</v>
      </c>
      <c r="F76" s="20">
        <v>43.207000000000001</v>
      </c>
      <c r="G76" s="20">
        <v>193.3</v>
      </c>
      <c r="H76" s="20">
        <f t="shared" si="0"/>
        <v>38.477874999999997</v>
      </c>
      <c r="I76" s="5"/>
      <c r="J76" s="19">
        <v>282.23039999999997</v>
      </c>
      <c r="K76" s="20">
        <v>39.269500000000001</v>
      </c>
      <c r="L76" s="20">
        <v>44.686799999999998</v>
      </c>
      <c r="M76" s="20">
        <v>45.073399999999999</v>
      </c>
      <c r="N76" s="20">
        <v>235.9418</v>
      </c>
      <c r="O76" s="20">
        <f t="shared" si="1"/>
        <v>40.672150000000002</v>
      </c>
      <c r="P76" s="7"/>
      <c r="Q76" s="13"/>
      <c r="R76" s="14"/>
      <c r="S76" s="14"/>
      <c r="T76" s="27"/>
      <c r="U76" s="28">
        <f t="shared" si="3"/>
        <v>0.2205990688049663</v>
      </c>
    </row>
    <row r="77" spans="1:21" x14ac:dyDescent="0.25">
      <c r="B77" s="6" t="s">
        <v>63</v>
      </c>
      <c r="C77" s="15">
        <v>2120.11</v>
      </c>
      <c r="D77" s="16">
        <v>41.579000000000001</v>
      </c>
      <c r="E77" s="16">
        <v>45.219000000000001</v>
      </c>
      <c r="F77" s="16">
        <v>46.008000000000003</v>
      </c>
      <c r="G77" s="16">
        <v>151.44</v>
      </c>
      <c r="H77" s="16">
        <f t="shared" si="0"/>
        <v>42.587624999999996</v>
      </c>
      <c r="I77" s="5"/>
      <c r="J77" s="15">
        <v>1533.5840000000001</v>
      </c>
      <c r="K77" s="16">
        <v>42.365499999999997</v>
      </c>
      <c r="L77" s="16">
        <v>46.6676</v>
      </c>
      <c r="M77" s="16">
        <v>47.529800000000002</v>
      </c>
      <c r="N77" s="16">
        <v>139.37280000000001</v>
      </c>
      <c r="O77" s="16">
        <f t="shared" si="1"/>
        <v>43.5488</v>
      </c>
      <c r="P77" s="7"/>
      <c r="Q77" s="8">
        <f>bdrate(C77:C80,D77:D80,J77:J80,K77:K80)</f>
        <v>-0.53920286249754001</v>
      </c>
      <c r="R77" s="8">
        <f>bdrate(C77:C80,E77:E80,J77:J80,L77:L80)</f>
        <v>-0.65575983853814601</v>
      </c>
      <c r="S77" s="8">
        <f>bdrate(C77:C80,F77:F80,J77:J80,M77:M80)</f>
        <v>-0.64819223358241573</v>
      </c>
      <c r="T77" s="25">
        <f>bdrate(C77:C80,H77:H80,J77:J80,O77:O80)</f>
        <v>-0.56596207376369212</v>
      </c>
      <c r="U77" s="28">
        <f t="shared" si="3"/>
        <v>-7.9683042789223363E-2</v>
      </c>
    </row>
    <row r="78" spans="1:21" x14ac:dyDescent="0.25">
      <c r="B78" s="9"/>
      <c r="C78" s="17">
        <v>1398.84</v>
      </c>
      <c r="D78" s="18">
        <v>40.427</v>
      </c>
      <c r="E78" s="18">
        <v>44.182000000000002</v>
      </c>
      <c r="F78" s="18">
        <v>45.037999999999997</v>
      </c>
      <c r="G78" s="18">
        <v>168.73</v>
      </c>
      <c r="H78" s="18">
        <f t="shared" si="0"/>
        <v>41.472750000000005</v>
      </c>
      <c r="I78" s="5"/>
      <c r="J78" s="17">
        <v>1015.1448</v>
      </c>
      <c r="K78" s="18">
        <v>41.539499999999997</v>
      </c>
      <c r="L78" s="18">
        <v>45.952300000000001</v>
      </c>
      <c r="M78" s="18">
        <v>46.790599999999998</v>
      </c>
      <c r="N78" s="18">
        <v>160.25640000000001</v>
      </c>
      <c r="O78" s="18">
        <f t="shared" si="1"/>
        <v>42.747487499999991</v>
      </c>
      <c r="P78" s="7"/>
      <c r="Q78" s="10"/>
      <c r="R78" s="11"/>
      <c r="S78" s="11"/>
      <c r="T78" s="26"/>
      <c r="U78" s="28">
        <f t="shared" si="3"/>
        <v>-5.0219877911456032E-2</v>
      </c>
    </row>
    <row r="79" spans="1:21" x14ac:dyDescent="0.25">
      <c r="B79" s="9"/>
      <c r="C79" s="17">
        <v>835.87</v>
      </c>
      <c r="D79" s="18">
        <v>38.529000000000003</v>
      </c>
      <c r="E79" s="18">
        <v>42.682000000000002</v>
      </c>
      <c r="F79" s="18">
        <v>43.587000000000003</v>
      </c>
      <c r="G79" s="18">
        <v>176.42</v>
      </c>
      <c r="H79" s="18">
        <f t="shared" si="0"/>
        <v>39.680375000000005</v>
      </c>
      <c r="I79" s="5"/>
      <c r="J79" s="17">
        <v>607.14480000000003</v>
      </c>
      <c r="K79" s="18">
        <v>40.185600000000001</v>
      </c>
      <c r="L79" s="18">
        <v>44.791699999999999</v>
      </c>
      <c r="M79" s="18">
        <v>45.599200000000003</v>
      </c>
      <c r="N79" s="18">
        <v>182.31540000000001</v>
      </c>
      <c r="O79" s="18">
        <f t="shared" si="1"/>
        <v>41.438062500000001</v>
      </c>
      <c r="P79" s="7"/>
      <c r="Q79" s="10"/>
      <c r="R79" s="11"/>
      <c r="S79" s="11"/>
      <c r="T79" s="26"/>
      <c r="U79" s="28">
        <f t="shared" si="3"/>
        <v>3.3416846162566738E-2</v>
      </c>
    </row>
    <row r="80" spans="1:21" ht="16.5" thickBot="1" x14ac:dyDescent="0.3">
      <c r="B80" s="12"/>
      <c r="C80" s="19">
        <v>381.17</v>
      </c>
      <c r="D80" s="20">
        <v>35.091000000000001</v>
      </c>
      <c r="E80" s="20">
        <v>40.661000000000001</v>
      </c>
      <c r="F80" s="20">
        <v>41.494999999999997</v>
      </c>
      <c r="G80" s="20">
        <v>189.45</v>
      </c>
      <c r="H80" s="20">
        <f t="shared" si="0"/>
        <v>36.58775</v>
      </c>
      <c r="I80" s="5"/>
      <c r="J80" s="19">
        <v>295.36</v>
      </c>
      <c r="K80" s="20">
        <v>37.505000000000003</v>
      </c>
      <c r="L80" s="20">
        <v>42.6785</v>
      </c>
      <c r="M80" s="20">
        <v>43.482599999999998</v>
      </c>
      <c r="N80" s="20">
        <v>217.3126</v>
      </c>
      <c r="O80" s="20">
        <f t="shared" si="1"/>
        <v>38.898887500000001</v>
      </c>
      <c r="P80" s="7"/>
      <c r="Q80" s="13"/>
      <c r="R80" s="14"/>
      <c r="S80" s="14"/>
      <c r="T80" s="27"/>
      <c r="U80" s="28">
        <f t="shared" si="3"/>
        <v>0.14707099498548437</v>
      </c>
    </row>
    <row r="81" spans="1:21" x14ac:dyDescent="0.25">
      <c r="A81" s="6" t="s">
        <v>99</v>
      </c>
      <c r="B81" s="6" t="s">
        <v>100</v>
      </c>
      <c r="C81" s="15">
        <v>1644.78</v>
      </c>
      <c r="D81" s="16">
        <v>41.554000000000002</v>
      </c>
      <c r="E81" s="16">
        <v>46.472000000000001</v>
      </c>
      <c r="F81" s="16">
        <v>48.368000000000002</v>
      </c>
      <c r="G81" s="16">
        <v>121.72</v>
      </c>
      <c r="H81" s="16">
        <f t="shared" ref="H81:H124" si="4">(6*D81+E81+F81)/8</f>
        <v>43.020499999999998</v>
      </c>
      <c r="I81" s="5"/>
      <c r="J81" s="15">
        <v>1297.1221</v>
      </c>
      <c r="K81" s="16">
        <v>42.944200000000002</v>
      </c>
      <c r="L81" s="16">
        <v>48.268700000000003</v>
      </c>
      <c r="M81" s="16">
        <v>49.5762</v>
      </c>
      <c r="N81" s="16">
        <v>87.809200000000004</v>
      </c>
      <c r="O81" s="16">
        <f t="shared" ref="O81:O124" si="5">(6*K81+L81+M81)/8</f>
        <v>44.43876250000001</v>
      </c>
      <c r="P81" s="7"/>
      <c r="Q81" s="8">
        <f>bdrate(C81:C84,D81:D84,J81:J84,K81:K84)</f>
        <v>-0.51582587915272393</v>
      </c>
      <c r="R81" s="8">
        <f>bdrate(C81:C84,E81:E84,J81:J84,L81:L84)</f>
        <v>-0.53598510943522415</v>
      </c>
      <c r="S81" s="8">
        <f>bdrate(C81:C84,F81:F84,J81:J84,M81:M84)</f>
        <v>-0.48322000187207925</v>
      </c>
      <c r="T81" s="25">
        <f>bdrate(C81:C84,H81:H84,J81:J84,O81:O84)</f>
        <v>-0.5163861190624135</v>
      </c>
      <c r="U81" s="28">
        <f t="shared" si="3"/>
        <v>-0.27859677949392042</v>
      </c>
    </row>
    <row r="82" spans="1:21" x14ac:dyDescent="0.25">
      <c r="A82" s="9" t="s">
        <v>77</v>
      </c>
      <c r="B82" s="9"/>
      <c r="C82" s="17">
        <v>1104.1199999999999</v>
      </c>
      <c r="D82" s="18">
        <v>39.186</v>
      </c>
      <c r="E82" s="18">
        <v>45.085999999999999</v>
      </c>
      <c r="F82" s="18">
        <v>47.097000000000001</v>
      </c>
      <c r="G82" s="18">
        <v>131.27000000000001</v>
      </c>
      <c r="H82" s="18">
        <f t="shared" si="4"/>
        <v>40.912374999999997</v>
      </c>
      <c r="I82" s="5"/>
      <c r="J82" s="17">
        <v>894.16160000000002</v>
      </c>
      <c r="K82" s="18">
        <v>41.520099999999999</v>
      </c>
      <c r="L82" s="18">
        <v>47.692399999999999</v>
      </c>
      <c r="M82" s="18">
        <v>48.504600000000003</v>
      </c>
      <c r="N82" s="18">
        <v>103.02200000000001</v>
      </c>
      <c r="O82" s="18">
        <f t="shared" si="5"/>
        <v>43.164699999999996</v>
      </c>
      <c r="P82" s="7"/>
      <c r="Q82" s="10"/>
      <c r="R82" s="11"/>
      <c r="S82" s="11"/>
      <c r="T82" s="26"/>
      <c r="U82" s="28">
        <f t="shared" si="3"/>
        <v>-0.21519006627561515</v>
      </c>
    </row>
    <row r="83" spans="1:21" x14ac:dyDescent="0.25">
      <c r="B83" s="9"/>
      <c r="C83" s="17">
        <v>673.66</v>
      </c>
      <c r="D83" s="18">
        <v>36.491999999999997</v>
      </c>
      <c r="E83" s="18">
        <v>43.59</v>
      </c>
      <c r="F83" s="18">
        <v>45.514000000000003</v>
      </c>
      <c r="G83" s="18">
        <v>137.21</v>
      </c>
      <c r="H83" s="18">
        <f t="shared" si="4"/>
        <v>38.507000000000005</v>
      </c>
      <c r="I83" s="5"/>
      <c r="J83" s="17">
        <v>554.78809999999999</v>
      </c>
      <c r="K83" s="18">
        <v>39.314</v>
      </c>
      <c r="L83" s="18">
        <v>45.173499999999997</v>
      </c>
      <c r="M83" s="18">
        <v>46.970999999999997</v>
      </c>
      <c r="N83" s="18">
        <v>124.602</v>
      </c>
      <c r="O83" s="18">
        <f t="shared" si="5"/>
        <v>41.003562500000001</v>
      </c>
      <c r="P83" s="7"/>
      <c r="Q83" s="10"/>
      <c r="R83" s="11"/>
      <c r="S83" s="11"/>
      <c r="T83" s="26"/>
      <c r="U83" s="28">
        <f t="shared" si="3"/>
        <v>-9.1888346330442405E-2</v>
      </c>
    </row>
    <row r="84" spans="1:21" ht="16.5" thickBot="1" x14ac:dyDescent="0.3">
      <c r="B84" s="12"/>
      <c r="C84" s="19">
        <v>320.23</v>
      </c>
      <c r="D84" s="20">
        <v>32.174999999999997</v>
      </c>
      <c r="E84" s="20">
        <v>41.698</v>
      </c>
      <c r="F84" s="20">
        <v>43.457000000000001</v>
      </c>
      <c r="G84" s="20">
        <v>153.63999999999999</v>
      </c>
      <c r="H84" s="20">
        <f t="shared" si="4"/>
        <v>34.775624999999998</v>
      </c>
      <c r="I84" s="5"/>
      <c r="J84" s="19">
        <v>287.1952</v>
      </c>
      <c r="K84" s="20">
        <v>36.445799999999998</v>
      </c>
      <c r="L84" s="20">
        <v>43.585299999999997</v>
      </c>
      <c r="M84" s="20">
        <v>44.997100000000003</v>
      </c>
      <c r="N84" s="20">
        <v>162.0454</v>
      </c>
      <c r="O84" s="20">
        <f t="shared" si="5"/>
        <v>38.407150000000001</v>
      </c>
      <c r="P84" s="7"/>
      <c r="Q84" s="13"/>
      <c r="R84" s="14"/>
      <c r="S84" s="14"/>
      <c r="T84" s="27"/>
      <c r="U84" s="28">
        <f t="shared" si="3"/>
        <v>5.4708409268419779E-2</v>
      </c>
    </row>
    <row r="85" spans="1:21" x14ac:dyDescent="0.25">
      <c r="B85" s="6" t="s">
        <v>101</v>
      </c>
      <c r="C85" s="15">
        <v>2030.14</v>
      </c>
      <c r="D85" s="16">
        <v>52.110999999999997</v>
      </c>
      <c r="E85" s="16">
        <v>52.435000000000002</v>
      </c>
      <c r="F85" s="16">
        <v>52.850999999999999</v>
      </c>
      <c r="G85" s="16">
        <v>169.43</v>
      </c>
      <c r="H85" s="16">
        <f t="shared" si="4"/>
        <v>52.244</v>
      </c>
      <c r="I85" s="5"/>
      <c r="J85" s="15">
        <v>1444.1076</v>
      </c>
      <c r="K85" s="16">
        <v>51.512799999999999</v>
      </c>
      <c r="L85" s="16">
        <v>51.985500000000002</v>
      </c>
      <c r="M85" s="16">
        <v>52.438600000000001</v>
      </c>
      <c r="N85" s="16">
        <v>121.976</v>
      </c>
      <c r="O85" s="16">
        <f t="shared" si="5"/>
        <v>51.6876125</v>
      </c>
      <c r="P85" s="7"/>
      <c r="Q85" s="8">
        <f>bdrate(C85:C88,D85:D88,J85:J88,K85:K88)</f>
        <v>-0.32462993942955953</v>
      </c>
      <c r="R85" s="8">
        <f>bdrate(C85:C88,E85:E88,J85:J88,L85:L88)</f>
        <v>-0.36108167324245555</v>
      </c>
      <c r="S85" s="8">
        <f>bdrate(C85:C88,F85:F88,J85:J88,M85:M88)</f>
        <v>-0.35673135050500349</v>
      </c>
      <c r="T85" s="25">
        <f>bdrate(C85:C88,H85:H88,J85:J88,O85:O88)</f>
        <v>-0.33271082290008835</v>
      </c>
      <c r="U85" s="28">
        <f t="shared" si="3"/>
        <v>-0.28008026913769701</v>
      </c>
    </row>
    <row r="86" spans="1:21" x14ac:dyDescent="0.25">
      <c r="B86" s="9"/>
      <c r="C86" s="17">
        <v>1354.73</v>
      </c>
      <c r="D86" s="18">
        <v>49.335000000000001</v>
      </c>
      <c r="E86" s="18">
        <v>49.883000000000003</v>
      </c>
      <c r="F86" s="18">
        <v>50.384</v>
      </c>
      <c r="G86" s="18">
        <v>185.51</v>
      </c>
      <c r="H86" s="18">
        <f t="shared" si="4"/>
        <v>49.534624999999998</v>
      </c>
      <c r="I86" s="5"/>
      <c r="J86" s="17">
        <v>979.04359999999997</v>
      </c>
      <c r="K86" s="18">
        <v>49.460799999999999</v>
      </c>
      <c r="L86" s="18">
        <v>50.2089</v>
      </c>
      <c r="M86" s="18">
        <v>50.703400000000002</v>
      </c>
      <c r="N86" s="18">
        <v>174.5539</v>
      </c>
      <c r="O86" s="18">
        <f t="shared" si="5"/>
        <v>49.709637499999999</v>
      </c>
      <c r="P86" s="7"/>
      <c r="Q86" s="10"/>
      <c r="R86" s="11"/>
      <c r="S86" s="11"/>
      <c r="T86" s="26"/>
      <c r="U86" s="28">
        <f t="shared" si="3"/>
        <v>-5.905934990027488E-2</v>
      </c>
    </row>
    <row r="87" spans="1:21" x14ac:dyDescent="0.25">
      <c r="B87" s="9"/>
      <c r="C87" s="17">
        <v>823.79</v>
      </c>
      <c r="D87" s="18">
        <v>45.9</v>
      </c>
      <c r="E87" s="18">
        <v>46.746000000000002</v>
      </c>
      <c r="F87" s="18">
        <v>47.348999999999997</v>
      </c>
      <c r="G87" s="18">
        <v>198.94</v>
      </c>
      <c r="H87" s="18">
        <f t="shared" si="4"/>
        <v>46.186874999999993</v>
      </c>
      <c r="I87" s="5"/>
      <c r="J87" s="17">
        <v>596.30399999999997</v>
      </c>
      <c r="K87" s="18">
        <v>46.563499999999998</v>
      </c>
      <c r="L87" s="18">
        <v>47.719700000000003</v>
      </c>
      <c r="M87" s="18">
        <v>48.228999999999999</v>
      </c>
      <c r="N87" s="18">
        <v>202.06559999999999</v>
      </c>
      <c r="O87" s="18">
        <f t="shared" si="5"/>
        <v>46.916212499999993</v>
      </c>
      <c r="P87" s="7"/>
      <c r="Q87" s="10"/>
      <c r="R87" s="11"/>
      <c r="S87" s="11"/>
      <c r="T87" s="26"/>
      <c r="U87" s="28">
        <f t="shared" si="3"/>
        <v>1.571126972956666E-2</v>
      </c>
    </row>
    <row r="88" spans="1:21" ht="16.5" thickBot="1" x14ac:dyDescent="0.3">
      <c r="B88" s="12"/>
      <c r="C88" s="19">
        <v>389.52</v>
      </c>
      <c r="D88" s="20">
        <v>41.320999999999998</v>
      </c>
      <c r="E88" s="20">
        <v>42.646999999999998</v>
      </c>
      <c r="F88" s="20">
        <v>43.180999999999997</v>
      </c>
      <c r="G88" s="20">
        <v>206.8</v>
      </c>
      <c r="H88" s="20">
        <f t="shared" si="4"/>
        <v>41.719249999999995</v>
      </c>
      <c r="I88" s="5"/>
      <c r="J88" s="19">
        <v>299.80880000000002</v>
      </c>
      <c r="K88" s="20">
        <v>42.355699999999999</v>
      </c>
      <c r="L88" s="20">
        <v>44.025799999999997</v>
      </c>
      <c r="M88" s="20">
        <v>44.560299999999998</v>
      </c>
      <c r="N88" s="20">
        <v>228.48439999999999</v>
      </c>
      <c r="O88" s="20">
        <f t="shared" si="5"/>
        <v>42.840037499999994</v>
      </c>
      <c r="P88" s="7"/>
      <c r="Q88" s="13"/>
      <c r="R88" s="14"/>
      <c r="S88" s="14"/>
      <c r="T88" s="27"/>
      <c r="U88" s="28">
        <f t="shared" si="3"/>
        <v>0.10485686653771752</v>
      </c>
    </row>
    <row r="89" spans="1:21" x14ac:dyDescent="0.25">
      <c r="B89" s="6" t="s">
        <v>102</v>
      </c>
      <c r="C89" s="15">
        <v>2189.48</v>
      </c>
      <c r="D89" s="16">
        <v>41.686999999999998</v>
      </c>
      <c r="E89" s="16">
        <v>43.698999999999998</v>
      </c>
      <c r="F89" s="16">
        <v>44.234000000000002</v>
      </c>
      <c r="G89" s="16">
        <v>132.93</v>
      </c>
      <c r="H89" s="16">
        <f t="shared" si="4"/>
        <v>42.256874999999994</v>
      </c>
      <c r="I89" s="5"/>
      <c r="J89" s="15">
        <v>1494.6523999999999</v>
      </c>
      <c r="K89" s="16">
        <v>42.216900000000003</v>
      </c>
      <c r="L89" s="16">
        <v>44.532499999999999</v>
      </c>
      <c r="M89" s="16">
        <v>44.949599999999997</v>
      </c>
      <c r="N89" s="16">
        <v>95.597200000000001</v>
      </c>
      <c r="O89" s="16">
        <f t="shared" si="5"/>
        <v>42.847937499999993</v>
      </c>
      <c r="P89" s="7"/>
      <c r="Q89" s="8">
        <f>bdrate(C89:C92,D89:D92,J89:J92,K89:K92)</f>
        <v>-0.47049535488852157</v>
      </c>
      <c r="R89" s="8">
        <f>bdrate(C89:C92,E89:E92,J89:J92,L89:L92)</f>
        <v>-0.51163825748397063</v>
      </c>
      <c r="S89" s="8">
        <f>bdrate(C89:C92,F89:F92,J89:J92,M89:M92)</f>
        <v>-0.48331853367736499</v>
      </c>
      <c r="T89" s="25">
        <f>bdrate(C89:C92,H89:H92,J89:J92,O89:O92)</f>
        <v>-0.47569951687557066</v>
      </c>
      <c r="U89" s="28">
        <f t="shared" si="3"/>
        <v>-0.28084555781238246</v>
      </c>
    </row>
    <row r="90" spans="1:21" x14ac:dyDescent="0.25">
      <c r="B90" s="9"/>
      <c r="C90" s="17">
        <v>1461.86</v>
      </c>
      <c r="D90" s="18">
        <v>39.253999999999998</v>
      </c>
      <c r="E90" s="18">
        <v>42.052</v>
      </c>
      <c r="F90" s="18">
        <v>42.618000000000002</v>
      </c>
      <c r="G90" s="18">
        <v>142.62</v>
      </c>
      <c r="H90" s="18">
        <f t="shared" si="4"/>
        <v>40.024250000000002</v>
      </c>
      <c r="I90" s="5"/>
      <c r="J90" s="17">
        <v>996.88720000000001</v>
      </c>
      <c r="K90" s="18">
        <v>40.240099999999998</v>
      </c>
      <c r="L90" s="18">
        <v>43.122100000000003</v>
      </c>
      <c r="M90" s="18">
        <v>43.546599999999998</v>
      </c>
      <c r="N90" s="18">
        <v>127.36150000000001</v>
      </c>
      <c r="O90" s="18">
        <f t="shared" si="5"/>
        <v>41.013662500000002</v>
      </c>
      <c r="P90" s="7"/>
      <c r="Q90" s="10"/>
      <c r="R90" s="11"/>
      <c r="S90" s="11"/>
      <c r="T90" s="26"/>
      <c r="U90" s="28">
        <f t="shared" si="3"/>
        <v>-0.10698709858364884</v>
      </c>
    </row>
    <row r="91" spans="1:21" x14ac:dyDescent="0.25">
      <c r="B91" s="9"/>
      <c r="C91" s="17">
        <v>890.72</v>
      </c>
      <c r="D91" s="18">
        <v>36.156999999999996</v>
      </c>
      <c r="E91" s="18">
        <v>40.142000000000003</v>
      </c>
      <c r="F91" s="18">
        <v>40.872999999999998</v>
      </c>
      <c r="G91" s="18">
        <v>154.04</v>
      </c>
      <c r="H91" s="18">
        <f t="shared" si="4"/>
        <v>37.244624999999999</v>
      </c>
      <c r="I91" s="5"/>
      <c r="J91" s="17">
        <v>600.81989999999996</v>
      </c>
      <c r="K91" s="18">
        <v>37.759</v>
      </c>
      <c r="L91" s="18">
        <v>41.401200000000003</v>
      </c>
      <c r="M91" s="18">
        <v>41.845399999999998</v>
      </c>
      <c r="N91" s="18">
        <v>149.452</v>
      </c>
      <c r="O91" s="18">
        <f t="shared" si="5"/>
        <v>38.725074999999997</v>
      </c>
      <c r="P91" s="7"/>
      <c r="Q91" s="10"/>
      <c r="R91" s="11"/>
      <c r="S91" s="11"/>
      <c r="T91" s="26"/>
      <c r="U91" s="28">
        <f t="shared" si="3"/>
        <v>-2.9784471565827021E-2</v>
      </c>
    </row>
    <row r="92" spans="1:21" ht="16.5" thickBot="1" x14ac:dyDescent="0.3">
      <c r="B92" s="12"/>
      <c r="C92" s="19">
        <v>425.89</v>
      </c>
      <c r="D92" s="20">
        <v>31.545999999999999</v>
      </c>
      <c r="E92" s="20">
        <v>37.877000000000002</v>
      </c>
      <c r="F92" s="20">
        <v>38.601999999999997</v>
      </c>
      <c r="G92" s="20">
        <v>162.51</v>
      </c>
      <c r="H92" s="20">
        <f t="shared" si="4"/>
        <v>33.219374999999999</v>
      </c>
      <c r="I92" s="5"/>
      <c r="J92" s="19">
        <v>304.15249999999997</v>
      </c>
      <c r="K92" s="20">
        <v>34.2423</v>
      </c>
      <c r="L92" s="20">
        <v>39.131700000000002</v>
      </c>
      <c r="M92" s="20">
        <v>39.596699999999998</v>
      </c>
      <c r="N92" s="20">
        <v>181.4333</v>
      </c>
      <c r="O92" s="20">
        <f t="shared" si="5"/>
        <v>35.522774999999996</v>
      </c>
      <c r="P92" s="7"/>
      <c r="Q92" s="13"/>
      <c r="R92" s="14"/>
      <c r="S92" s="14"/>
      <c r="T92" s="27"/>
      <c r="U92" s="28">
        <f t="shared" si="3"/>
        <v>0.11644391114392968</v>
      </c>
    </row>
    <row r="93" spans="1:21" x14ac:dyDescent="0.25">
      <c r="B93" s="6" t="s">
        <v>103</v>
      </c>
      <c r="C93" s="29">
        <v>2096.59</v>
      </c>
      <c r="D93" s="30">
        <v>38.100999999999999</v>
      </c>
      <c r="E93" s="30">
        <v>42.673999999999999</v>
      </c>
      <c r="F93" s="30">
        <v>42.564</v>
      </c>
      <c r="G93" s="16">
        <v>121.46</v>
      </c>
      <c r="H93" s="16">
        <f t="shared" si="4"/>
        <v>39.230499999999999</v>
      </c>
      <c r="I93" s="5"/>
      <c r="J93" s="29">
        <v>1507.0818999999999</v>
      </c>
      <c r="K93" s="30">
        <v>38.645899999999997</v>
      </c>
      <c r="L93" s="30">
        <v>43.205100000000002</v>
      </c>
      <c r="M93" s="30">
        <v>43.157200000000003</v>
      </c>
      <c r="N93" s="16">
        <v>90.216499999999996</v>
      </c>
      <c r="O93" s="16">
        <f t="shared" si="5"/>
        <v>39.779712499999995</v>
      </c>
      <c r="P93" s="7"/>
      <c r="Q93" s="8">
        <f>bdrate(C93:C96,D93:D96,J93:J96,K93:K96)</f>
        <v>-0.44614720197979985</v>
      </c>
      <c r="R93" s="8">
        <f>bdrate(C93:C96,E93:E96,J93:J96,L93:L96)</f>
        <v>-0.42632789111666525</v>
      </c>
      <c r="S93" s="8">
        <f>bdrate(C93:C96,F93:F96,J93:J96,M93:M96)</f>
        <v>-0.45956079945264694</v>
      </c>
      <c r="T93" s="25">
        <f>bdrate(C93:C96,H93:H96,J93:J96,O93:O96)</f>
        <v>-0.44675630691602941</v>
      </c>
      <c r="U93" s="28">
        <f t="shared" si="3"/>
        <v>-0.25723283385476697</v>
      </c>
    </row>
    <row r="94" spans="1:21" x14ac:dyDescent="0.25">
      <c r="B94" s="9"/>
      <c r="C94" s="31">
        <v>1400.15</v>
      </c>
      <c r="D94" s="32">
        <v>35.899000000000001</v>
      </c>
      <c r="E94" s="32">
        <v>41.325000000000003</v>
      </c>
      <c r="F94" s="32">
        <v>41.179000000000002</v>
      </c>
      <c r="G94" s="18">
        <v>130.38</v>
      </c>
      <c r="H94" s="18">
        <f t="shared" si="4"/>
        <v>37.237250000000003</v>
      </c>
      <c r="I94" s="5"/>
      <c r="J94" s="31">
        <v>1001.9956</v>
      </c>
      <c r="K94" s="32">
        <v>36.785699999999999</v>
      </c>
      <c r="L94" s="32">
        <v>42.007599999999996</v>
      </c>
      <c r="M94" s="32">
        <v>41.985399999999998</v>
      </c>
      <c r="N94" s="18">
        <v>101.0385</v>
      </c>
      <c r="O94" s="18">
        <f t="shared" si="5"/>
        <v>38.088400000000007</v>
      </c>
      <c r="P94" s="7"/>
      <c r="Q94" s="10"/>
      <c r="R94" s="11"/>
      <c r="S94" s="11"/>
      <c r="T94" s="26"/>
      <c r="U94" s="28">
        <f t="shared" si="3"/>
        <v>-0.2250460193281178</v>
      </c>
    </row>
    <row r="95" spans="1:21" x14ac:dyDescent="0.25">
      <c r="B95" s="9"/>
      <c r="C95" s="31">
        <v>853.6</v>
      </c>
      <c r="D95" s="32">
        <v>33.18</v>
      </c>
      <c r="E95" s="32">
        <v>39.927999999999997</v>
      </c>
      <c r="F95" s="32">
        <v>39.670999999999999</v>
      </c>
      <c r="G95" s="18">
        <v>138.51</v>
      </c>
      <c r="H95" s="18">
        <f t="shared" si="4"/>
        <v>34.834874999999997</v>
      </c>
      <c r="I95" s="5"/>
      <c r="J95" s="31">
        <v>600.79930000000002</v>
      </c>
      <c r="K95" s="32">
        <v>34.5501</v>
      </c>
      <c r="L95" s="32">
        <v>40.518000000000001</v>
      </c>
      <c r="M95" s="32">
        <v>40.517899999999997</v>
      </c>
      <c r="N95" s="18">
        <v>128.77379999999999</v>
      </c>
      <c r="O95" s="18">
        <f t="shared" si="5"/>
        <v>36.0420625</v>
      </c>
      <c r="P95" s="7"/>
      <c r="Q95" s="10"/>
      <c r="R95" s="11"/>
      <c r="S95" s="11"/>
      <c r="T95" s="26"/>
      <c r="U95" s="28">
        <f t="shared" si="3"/>
        <v>-7.0292397660818698E-2</v>
      </c>
    </row>
    <row r="96" spans="1:21" ht="16.5" thickBot="1" x14ac:dyDescent="0.3">
      <c r="B96" s="12"/>
      <c r="C96" s="33">
        <v>406.68</v>
      </c>
      <c r="D96" s="34">
        <v>28.757999999999999</v>
      </c>
      <c r="E96" s="34">
        <v>38.009</v>
      </c>
      <c r="F96" s="34">
        <v>37.795999999999999</v>
      </c>
      <c r="G96" s="20">
        <v>149.08000000000001</v>
      </c>
      <c r="H96" s="20">
        <f t="shared" si="4"/>
        <v>31.044125000000001</v>
      </c>
      <c r="I96" s="5"/>
      <c r="J96" s="33">
        <v>300.90199999999999</v>
      </c>
      <c r="K96" s="34">
        <v>31.565799999999999</v>
      </c>
      <c r="L96" s="34">
        <v>38.622900000000001</v>
      </c>
      <c r="M96" s="34">
        <v>38.521099999999997</v>
      </c>
      <c r="N96" s="20">
        <v>163.90459999999999</v>
      </c>
      <c r="O96" s="20">
        <f t="shared" si="5"/>
        <v>33.317349999999998</v>
      </c>
      <c r="P96" s="7"/>
      <c r="Q96" s="13"/>
      <c r="R96" s="14"/>
      <c r="S96" s="14"/>
      <c r="T96" s="27"/>
      <c r="U96" s="28">
        <f t="shared" si="3"/>
        <v>9.9440568822108763E-2</v>
      </c>
    </row>
    <row r="97" spans="2:21" x14ac:dyDescent="0.25">
      <c r="B97" s="6" t="s">
        <v>104</v>
      </c>
      <c r="C97" s="15">
        <v>2128.86</v>
      </c>
      <c r="D97" s="16">
        <v>36.036999999999999</v>
      </c>
      <c r="E97" s="16">
        <v>39.530999999999999</v>
      </c>
      <c r="F97" s="16">
        <v>40.088999999999999</v>
      </c>
      <c r="G97" s="16">
        <v>113.24</v>
      </c>
      <c r="H97" s="16">
        <f t="shared" si="4"/>
        <v>36.980249999999998</v>
      </c>
      <c r="I97" s="5"/>
      <c r="J97" s="15">
        <v>1501.2375999999999</v>
      </c>
      <c r="K97" s="16">
        <v>36.503900000000002</v>
      </c>
      <c r="L97" s="16">
        <v>41.102800000000002</v>
      </c>
      <c r="M97" s="16">
        <v>41.687899999999999</v>
      </c>
      <c r="N97" s="16">
        <v>94.577600000000004</v>
      </c>
      <c r="O97" s="16">
        <f t="shared" si="5"/>
        <v>37.726762500000007</v>
      </c>
      <c r="P97" s="7"/>
      <c r="Q97" s="8">
        <f>bdrate(C97:C100,D97:D100,J97:J100,K97:K100)</f>
        <v>-0.42640289418516208</v>
      </c>
      <c r="R97" s="8">
        <f>bdrate(C97:C100,E97:E100,J97:J100,L97:L100)</f>
        <v>-0.55908541904090026</v>
      </c>
      <c r="S97" s="8">
        <f>bdrate(C97:C100,F97:F100,J97:J100,M97:M100)</f>
        <v>-0.56467270096410282</v>
      </c>
      <c r="T97" s="25">
        <f>bdrate(C97:C100,H97:H100,J97:J100,O97:O100)</f>
        <v>-0.45210343132740927</v>
      </c>
      <c r="U97" s="28">
        <f t="shared" si="3"/>
        <v>-0.16480395619922281</v>
      </c>
    </row>
    <row r="98" spans="2:21" x14ac:dyDescent="0.25">
      <c r="B98" s="9"/>
      <c r="C98" s="17">
        <v>1418.76</v>
      </c>
      <c r="D98" s="18">
        <v>33.780999999999999</v>
      </c>
      <c r="E98" s="18">
        <v>38.134999999999998</v>
      </c>
      <c r="F98" s="18">
        <v>38.774999999999999</v>
      </c>
      <c r="G98" s="18">
        <v>122.36</v>
      </c>
      <c r="H98" s="18">
        <f t="shared" si="4"/>
        <v>34.949499999999993</v>
      </c>
      <c r="I98" s="5"/>
      <c r="J98" s="17">
        <v>1004.2205</v>
      </c>
      <c r="K98" s="18">
        <v>34.567799999999998</v>
      </c>
      <c r="L98" s="18">
        <v>39.725000000000001</v>
      </c>
      <c r="M98" s="18">
        <v>40.366599999999998</v>
      </c>
      <c r="N98" s="18">
        <v>109.8901</v>
      </c>
      <c r="O98" s="18">
        <f t="shared" si="5"/>
        <v>35.937299999999993</v>
      </c>
      <c r="P98" s="7"/>
      <c r="Q98" s="10"/>
      <c r="R98" s="11"/>
      <c r="S98" s="11"/>
      <c r="T98" s="26"/>
      <c r="U98" s="28">
        <f t="shared" si="3"/>
        <v>-0.10191157240928404</v>
      </c>
    </row>
    <row r="99" spans="2:21" x14ac:dyDescent="0.25">
      <c r="B99" s="9"/>
      <c r="C99" s="17">
        <v>863.16</v>
      </c>
      <c r="D99" s="18">
        <v>31.196999999999999</v>
      </c>
      <c r="E99" s="18">
        <v>36.808</v>
      </c>
      <c r="F99" s="18">
        <v>37.512</v>
      </c>
      <c r="G99" s="18">
        <v>148.88</v>
      </c>
      <c r="H99" s="18">
        <f t="shared" si="4"/>
        <v>32.687749999999994</v>
      </c>
      <c r="I99" s="5"/>
      <c r="J99" s="17">
        <v>596.04759999999999</v>
      </c>
      <c r="K99" s="18">
        <v>32.229300000000002</v>
      </c>
      <c r="L99" s="18">
        <v>38.085900000000002</v>
      </c>
      <c r="M99" s="18">
        <v>38.750900000000001</v>
      </c>
      <c r="N99" s="18">
        <v>131.27189999999999</v>
      </c>
      <c r="O99" s="18">
        <f t="shared" si="5"/>
        <v>33.776575000000008</v>
      </c>
      <c r="P99" s="7"/>
      <c r="Q99" s="10"/>
      <c r="R99" s="11"/>
      <c r="S99" s="11"/>
      <c r="T99" s="26"/>
      <c r="U99" s="28">
        <f t="shared" si="3"/>
        <v>-0.11827041912950033</v>
      </c>
    </row>
    <row r="100" spans="2:21" ht="16.5" thickBot="1" x14ac:dyDescent="0.3">
      <c r="B100" s="12"/>
      <c r="C100" s="19">
        <v>405.89</v>
      </c>
      <c r="D100" s="20">
        <v>27.103000000000002</v>
      </c>
      <c r="E100" s="20">
        <v>35.112000000000002</v>
      </c>
      <c r="F100" s="20">
        <v>35.83</v>
      </c>
      <c r="G100" s="20">
        <v>166.25</v>
      </c>
      <c r="H100" s="20">
        <f t="shared" si="4"/>
        <v>29.195</v>
      </c>
      <c r="I100" s="5"/>
      <c r="J100" s="19">
        <v>298.94889999999998</v>
      </c>
      <c r="K100" s="20">
        <v>29.079799999999999</v>
      </c>
      <c r="L100" s="20">
        <v>36.030799999999999</v>
      </c>
      <c r="M100" s="20">
        <v>36.807000000000002</v>
      </c>
      <c r="N100" s="20">
        <v>165.7764</v>
      </c>
      <c r="O100" s="20">
        <f t="shared" si="5"/>
        <v>30.914574999999999</v>
      </c>
      <c r="P100" s="7"/>
      <c r="Q100" s="13"/>
      <c r="R100" s="14"/>
      <c r="S100" s="14"/>
      <c r="T100" s="27"/>
      <c r="U100" s="28">
        <f t="shared" si="3"/>
        <v>-2.8487218045113063E-3</v>
      </c>
    </row>
    <row r="101" spans="2:21" x14ac:dyDescent="0.25">
      <c r="B101" s="6" t="s">
        <v>105</v>
      </c>
      <c r="C101" s="15">
        <v>2138.14</v>
      </c>
      <c r="D101" s="16">
        <v>36.884999999999998</v>
      </c>
      <c r="E101" s="16">
        <v>41.987000000000002</v>
      </c>
      <c r="F101" s="16">
        <v>43.627000000000002</v>
      </c>
      <c r="G101" s="16">
        <v>114.13</v>
      </c>
      <c r="H101" s="16">
        <f t="shared" si="4"/>
        <v>38.365500000000004</v>
      </c>
      <c r="I101" s="5"/>
      <c r="J101" s="15">
        <v>1506.1333</v>
      </c>
      <c r="K101" s="16">
        <v>36.770000000000003</v>
      </c>
      <c r="L101" s="16">
        <v>42.726500000000001</v>
      </c>
      <c r="M101" s="16">
        <v>44.107700000000001</v>
      </c>
      <c r="N101" s="16">
        <v>90.785300000000007</v>
      </c>
      <c r="O101" s="16">
        <f t="shared" si="5"/>
        <v>38.431775000000002</v>
      </c>
      <c r="P101" s="7"/>
      <c r="Q101" s="8">
        <f>bdrate(C101:C104,D101:D104,J101:J104,K101:K104)</f>
        <v>-0.40881062421389625</v>
      </c>
      <c r="R101" s="8">
        <f>bdrate(C101:C104,E101:E104,J101:J104,L101:L104)</f>
        <v>-0.57609577190713623</v>
      </c>
      <c r="S101" s="8">
        <f>bdrate(C101:C104,F101:F104,J101:J104,M101:M104)</f>
        <v>-0.47149849013084799</v>
      </c>
      <c r="T101" s="25">
        <f>bdrate(C101:C104,H101:H104,J101:J104,O101:O104)</f>
        <v>-0.43015448427256731</v>
      </c>
      <c r="U101" s="28">
        <f t="shared" si="3"/>
        <v>-0.20454481731358967</v>
      </c>
    </row>
    <row r="102" spans="2:21" x14ac:dyDescent="0.25">
      <c r="B102" s="9"/>
      <c r="C102" s="17">
        <v>1425.47</v>
      </c>
      <c r="D102" s="18">
        <v>35.058</v>
      </c>
      <c r="E102" s="18">
        <v>40.783999999999999</v>
      </c>
      <c r="F102" s="18">
        <v>42.433999999999997</v>
      </c>
      <c r="G102" s="18">
        <v>124.34</v>
      </c>
      <c r="H102" s="18">
        <f t="shared" si="4"/>
        <v>36.695750000000004</v>
      </c>
      <c r="I102" s="5"/>
      <c r="J102" s="17">
        <v>1002.3924</v>
      </c>
      <c r="K102" s="18">
        <v>35.419199999999996</v>
      </c>
      <c r="L102" s="18">
        <v>41.8521</v>
      </c>
      <c r="M102" s="18">
        <v>43.092599999999997</v>
      </c>
      <c r="N102" s="18">
        <v>106.4396</v>
      </c>
      <c r="O102" s="18">
        <f t="shared" si="5"/>
        <v>37.182487500000001</v>
      </c>
      <c r="P102" s="7"/>
      <c r="Q102" s="10"/>
      <c r="R102" s="11"/>
      <c r="S102" s="11"/>
      <c r="T102" s="26"/>
      <c r="U102" s="28">
        <f t="shared" si="3"/>
        <v>-0.14396332636319772</v>
      </c>
    </row>
    <row r="103" spans="2:21" x14ac:dyDescent="0.25">
      <c r="B103" s="9"/>
      <c r="C103" s="17">
        <v>866.69</v>
      </c>
      <c r="D103" s="18">
        <v>32.997</v>
      </c>
      <c r="E103" s="18">
        <v>39.561999999999998</v>
      </c>
      <c r="F103" s="18">
        <v>41.093000000000004</v>
      </c>
      <c r="G103" s="18">
        <v>135.1</v>
      </c>
      <c r="H103" s="18">
        <f t="shared" si="4"/>
        <v>34.829625</v>
      </c>
      <c r="I103" s="5"/>
      <c r="J103" s="17">
        <v>601.94809999999995</v>
      </c>
      <c r="K103" s="18">
        <v>33.797699999999999</v>
      </c>
      <c r="L103" s="18">
        <v>40.790399999999998</v>
      </c>
      <c r="M103" s="18">
        <v>41.859400000000001</v>
      </c>
      <c r="N103" s="18">
        <v>125.9622</v>
      </c>
      <c r="O103" s="18">
        <f t="shared" si="5"/>
        <v>35.679500000000004</v>
      </c>
      <c r="P103" s="7"/>
      <c r="Q103" s="10"/>
      <c r="R103" s="11"/>
      <c r="S103" s="11"/>
      <c r="T103" s="26"/>
      <c r="U103" s="28">
        <f t="shared" si="3"/>
        <v>-6.7637305699481856E-2</v>
      </c>
    </row>
    <row r="104" spans="2:21" ht="16.5" thickBot="1" x14ac:dyDescent="0.3">
      <c r="B104" s="12"/>
      <c r="C104" s="19">
        <v>410.7</v>
      </c>
      <c r="D104" s="20">
        <v>30.393999999999998</v>
      </c>
      <c r="E104" s="20">
        <v>38.183</v>
      </c>
      <c r="F104" s="20">
        <v>39.289000000000001</v>
      </c>
      <c r="G104" s="20">
        <v>151.43</v>
      </c>
      <c r="H104" s="20">
        <f t="shared" si="4"/>
        <v>32.479499999999994</v>
      </c>
      <c r="I104" s="5"/>
      <c r="J104" s="19">
        <v>301.84160000000003</v>
      </c>
      <c r="K104" s="20">
        <v>31.7239</v>
      </c>
      <c r="L104" s="20">
        <v>39.313299999999998</v>
      </c>
      <c r="M104" s="20">
        <v>40.1569</v>
      </c>
      <c r="N104" s="20">
        <v>160.0427</v>
      </c>
      <c r="O104" s="20">
        <f t="shared" si="5"/>
        <v>33.726700000000001</v>
      </c>
      <c r="P104" s="7"/>
      <c r="Q104" s="13"/>
      <c r="R104" s="14"/>
      <c r="S104" s="14"/>
      <c r="T104" s="27"/>
      <c r="U104" s="28">
        <f t="shared" si="3"/>
        <v>5.6875784190715109E-2</v>
      </c>
    </row>
    <row r="105" spans="2:21" x14ac:dyDescent="0.25">
      <c r="B105" s="6" t="s">
        <v>106</v>
      </c>
      <c r="C105" s="15">
        <v>2192.71</v>
      </c>
      <c r="D105" s="16">
        <v>46.762999999999998</v>
      </c>
      <c r="E105" s="16">
        <v>50.848999999999997</v>
      </c>
      <c r="F105" s="16">
        <v>51.969000000000001</v>
      </c>
      <c r="G105" s="16">
        <v>131.5</v>
      </c>
      <c r="H105" s="16">
        <f t="shared" si="4"/>
        <v>47.924499999999995</v>
      </c>
      <c r="I105" s="5"/>
      <c r="J105" s="15">
        <v>1498.8607</v>
      </c>
      <c r="K105" s="16">
        <v>46.7044</v>
      </c>
      <c r="L105" s="16">
        <v>51.436700000000002</v>
      </c>
      <c r="M105" s="16">
        <v>52.938400000000001</v>
      </c>
      <c r="N105" s="16">
        <v>111.2073</v>
      </c>
      <c r="O105" s="16">
        <f t="shared" si="5"/>
        <v>48.075187499999998</v>
      </c>
      <c r="P105" s="7"/>
      <c r="Q105" s="8">
        <f>bdrate(C105:C108,D105:D108,J105:J108,K105:K108)</f>
        <v>-0.44018311853699787</v>
      </c>
      <c r="R105" s="8">
        <f>bdrate(C105:C108,E105:E108,J105:J108,L105:L108)</f>
        <v>-0.577351007277638</v>
      </c>
      <c r="S105" s="8">
        <f>bdrate(C105:C108,F105:F108,J105:J108,M105:M108)</f>
        <v>-0.59719196281021836</v>
      </c>
      <c r="T105" s="25">
        <f>bdrate(C105:C108,H105:H108,J105:J108,O105:O108)</f>
        <v>-0.47694170476763953</v>
      </c>
      <c r="U105" s="28">
        <f t="shared" si="3"/>
        <v>-0.15431711026615966</v>
      </c>
    </row>
    <row r="106" spans="2:21" x14ac:dyDescent="0.25">
      <c r="B106" s="9"/>
      <c r="C106" s="17">
        <v>1456.58</v>
      </c>
      <c r="D106" s="18">
        <v>44.125</v>
      </c>
      <c r="E106" s="18">
        <v>48.261000000000003</v>
      </c>
      <c r="F106" s="18">
        <v>49.511000000000003</v>
      </c>
      <c r="G106" s="18">
        <v>149.18</v>
      </c>
      <c r="H106" s="18">
        <f t="shared" si="4"/>
        <v>45.315250000000006</v>
      </c>
      <c r="I106" s="5"/>
      <c r="J106" s="17">
        <v>1006.168</v>
      </c>
      <c r="K106" s="18">
        <v>44.961199999999998</v>
      </c>
      <c r="L106" s="18">
        <v>50.216999999999999</v>
      </c>
      <c r="M106" s="18">
        <v>51.638399999999997</v>
      </c>
      <c r="N106" s="18">
        <v>131.79490000000001</v>
      </c>
      <c r="O106" s="18">
        <f t="shared" si="5"/>
        <v>46.452824999999997</v>
      </c>
      <c r="P106" s="7"/>
      <c r="Q106" s="10"/>
      <c r="R106" s="11"/>
      <c r="S106" s="11"/>
      <c r="T106" s="26"/>
      <c r="U106" s="28">
        <f t="shared" si="3"/>
        <v>-0.11653773964338379</v>
      </c>
    </row>
    <row r="107" spans="2:21" x14ac:dyDescent="0.25">
      <c r="B107" s="9"/>
      <c r="C107" s="17">
        <v>879.35</v>
      </c>
      <c r="D107" s="18">
        <v>41.405000000000001</v>
      </c>
      <c r="E107" s="18">
        <v>45.957999999999998</v>
      </c>
      <c r="F107" s="18">
        <v>47.289000000000001</v>
      </c>
      <c r="G107" s="18">
        <v>166.4</v>
      </c>
      <c r="H107" s="18">
        <f t="shared" si="4"/>
        <v>42.709625000000003</v>
      </c>
      <c r="I107" s="5"/>
      <c r="J107" s="17">
        <v>602.45839999999998</v>
      </c>
      <c r="K107" s="18">
        <v>42.74</v>
      </c>
      <c r="L107" s="18">
        <v>48.325099999999999</v>
      </c>
      <c r="M107" s="18">
        <v>49.756</v>
      </c>
      <c r="N107" s="18">
        <v>155.4212</v>
      </c>
      <c r="O107" s="18">
        <f t="shared" si="5"/>
        <v>44.315137500000006</v>
      </c>
      <c r="P107" s="7"/>
      <c r="Q107" s="10"/>
      <c r="R107" s="11"/>
      <c r="S107" s="11"/>
      <c r="T107" s="26"/>
      <c r="U107" s="28">
        <f t="shared" si="3"/>
        <v>-6.597836538461542E-2</v>
      </c>
    </row>
    <row r="108" spans="2:21" ht="16.5" thickBot="1" x14ac:dyDescent="0.3">
      <c r="B108" s="12"/>
      <c r="C108" s="19">
        <v>422.21</v>
      </c>
      <c r="D108" s="20">
        <v>38.796999999999997</v>
      </c>
      <c r="E108" s="20">
        <v>43.506999999999998</v>
      </c>
      <c r="F108" s="20">
        <v>44.889000000000003</v>
      </c>
      <c r="G108" s="20">
        <v>183.93</v>
      </c>
      <c r="H108" s="20">
        <f t="shared" si="4"/>
        <v>40.14725</v>
      </c>
      <c r="I108" s="5"/>
      <c r="J108" s="19">
        <v>302.3682</v>
      </c>
      <c r="K108" s="20">
        <v>39.637700000000002</v>
      </c>
      <c r="L108" s="20">
        <v>45.481999999999999</v>
      </c>
      <c r="M108" s="20">
        <v>46.912199999999999</v>
      </c>
      <c r="N108" s="20">
        <v>191.2406</v>
      </c>
      <c r="O108" s="20">
        <f t="shared" si="5"/>
        <v>41.277550000000005</v>
      </c>
      <c r="P108" s="7"/>
      <c r="Q108" s="13"/>
      <c r="R108" s="14"/>
      <c r="S108" s="14"/>
      <c r="T108" s="27"/>
      <c r="U108" s="28">
        <f t="shared" si="3"/>
        <v>3.9746642744522338E-2</v>
      </c>
    </row>
    <row r="109" spans="2:21" x14ac:dyDescent="0.25">
      <c r="B109" s="6" t="s">
        <v>107</v>
      </c>
      <c r="C109" s="15">
        <v>2062.46</v>
      </c>
      <c r="D109" s="16">
        <v>30.638999999999999</v>
      </c>
      <c r="E109" s="16">
        <v>39.408999999999999</v>
      </c>
      <c r="F109" s="16">
        <v>38.837000000000003</v>
      </c>
      <c r="G109" s="16">
        <v>108.54</v>
      </c>
      <c r="H109" s="16">
        <f t="shared" si="4"/>
        <v>32.76</v>
      </c>
      <c r="I109" s="5"/>
      <c r="J109" s="15">
        <v>1494.1513</v>
      </c>
      <c r="K109" s="16">
        <v>31.4084</v>
      </c>
      <c r="L109" s="16">
        <v>39.875599999999999</v>
      </c>
      <c r="M109" s="16">
        <v>39.220799999999997</v>
      </c>
      <c r="N109" s="16">
        <v>71.890699999999995</v>
      </c>
      <c r="O109" s="16">
        <f t="shared" si="5"/>
        <v>33.443349999999995</v>
      </c>
      <c r="P109" s="7"/>
      <c r="Q109" s="8">
        <f>bdrate(C109:C112,D109:D112,J109:J112,K109:K112)</f>
        <v>-0.47225418686663834</v>
      </c>
      <c r="R109" s="8">
        <f>bdrate(C109:C112,E109:E112,J109:J112,L109:L112)</f>
        <v>-0.35094989540038468</v>
      </c>
      <c r="S109" s="8">
        <f>bdrate(C109:C112,F109:F112,J109:J112,M109:M112)</f>
        <v>-0.32910206570888956</v>
      </c>
      <c r="T109" s="25">
        <f>bdrate(C109:C112,H109:H112,J109:J112,O109:O112)</f>
        <v>-0.45584839012781064</v>
      </c>
      <c r="U109" s="28">
        <f t="shared" si="3"/>
        <v>-0.33765708494564223</v>
      </c>
    </row>
    <row r="110" spans="2:21" x14ac:dyDescent="0.25">
      <c r="B110" s="9"/>
      <c r="C110" s="17">
        <v>1375.83</v>
      </c>
      <c r="D110" s="18">
        <v>28.582000000000001</v>
      </c>
      <c r="E110" s="18">
        <v>38.520000000000003</v>
      </c>
      <c r="F110" s="18">
        <v>37.911000000000001</v>
      </c>
      <c r="G110" s="18">
        <v>117.86</v>
      </c>
      <c r="H110" s="18">
        <f t="shared" si="4"/>
        <v>30.990375000000004</v>
      </c>
      <c r="I110" s="5"/>
      <c r="J110" s="17">
        <v>995.1336</v>
      </c>
      <c r="K110" s="18">
        <v>29.686900000000001</v>
      </c>
      <c r="L110" s="18">
        <v>38.934800000000003</v>
      </c>
      <c r="M110" s="18">
        <v>38.252200000000002</v>
      </c>
      <c r="N110" s="18">
        <v>87.146000000000001</v>
      </c>
      <c r="O110" s="18">
        <f t="shared" si="5"/>
        <v>31.913550000000001</v>
      </c>
      <c r="P110" s="7"/>
      <c r="Q110" s="10"/>
      <c r="R110" s="11"/>
      <c r="S110" s="11"/>
      <c r="T110" s="26"/>
      <c r="U110" s="28">
        <f t="shared" si="3"/>
        <v>-0.26059731885287629</v>
      </c>
    </row>
    <row r="111" spans="2:21" x14ac:dyDescent="0.25">
      <c r="B111" s="9"/>
      <c r="C111" s="17">
        <v>836.38</v>
      </c>
      <c r="D111" s="18">
        <v>26.001999999999999</v>
      </c>
      <c r="E111" s="18">
        <v>37.497</v>
      </c>
      <c r="F111" s="18">
        <v>36.883000000000003</v>
      </c>
      <c r="G111" s="18">
        <v>125.69</v>
      </c>
      <c r="H111" s="18">
        <f t="shared" si="4"/>
        <v>28.799000000000003</v>
      </c>
      <c r="I111" s="5"/>
      <c r="J111" s="17">
        <v>597.36689999999999</v>
      </c>
      <c r="K111" s="18">
        <v>27.569199999999999</v>
      </c>
      <c r="L111" s="18">
        <v>37.6404</v>
      </c>
      <c r="M111" s="18">
        <v>36.895400000000002</v>
      </c>
      <c r="N111" s="18">
        <v>109.3693</v>
      </c>
      <c r="O111" s="18">
        <f t="shared" si="5"/>
        <v>29.993874999999999</v>
      </c>
      <c r="P111" s="7"/>
      <c r="Q111" s="10"/>
      <c r="R111" s="11"/>
      <c r="S111" s="11"/>
      <c r="T111" s="26"/>
      <c r="U111" s="28">
        <f t="shared" si="3"/>
        <v>-0.12984883443392475</v>
      </c>
    </row>
    <row r="112" spans="2:21" ht="16.5" thickBot="1" x14ac:dyDescent="0.3">
      <c r="B112" s="12"/>
      <c r="C112" s="19">
        <v>385.75</v>
      </c>
      <c r="D112" s="20">
        <v>21.873999999999999</v>
      </c>
      <c r="E112" s="20">
        <v>33.979999999999997</v>
      </c>
      <c r="F112" s="20">
        <v>33.390999999999998</v>
      </c>
      <c r="G112" s="20">
        <v>138.19</v>
      </c>
      <c r="H112" s="20">
        <f t="shared" si="4"/>
        <v>24.826874999999998</v>
      </c>
      <c r="I112" s="5"/>
      <c r="J112" s="19">
        <v>299.26159999999999</v>
      </c>
      <c r="K112" s="20">
        <v>24.906199999999998</v>
      </c>
      <c r="L112" s="20">
        <v>35.342399999999998</v>
      </c>
      <c r="M112" s="20">
        <v>34.736800000000002</v>
      </c>
      <c r="N112" s="20">
        <v>143.3349</v>
      </c>
      <c r="O112" s="20">
        <f t="shared" si="5"/>
        <v>27.439549999999997</v>
      </c>
      <c r="P112" s="7"/>
      <c r="Q112" s="13"/>
      <c r="R112" s="14"/>
      <c r="S112" s="14"/>
      <c r="T112" s="27"/>
      <c r="U112" s="28">
        <f t="shared" si="3"/>
        <v>3.7230624502496611E-2</v>
      </c>
    </row>
    <row r="113" spans="2:21" x14ac:dyDescent="0.25">
      <c r="B113" s="6" t="s">
        <v>108</v>
      </c>
      <c r="C113" s="15">
        <v>2323.33</v>
      </c>
      <c r="D113" s="16">
        <v>45.466000000000001</v>
      </c>
      <c r="E113" s="16">
        <v>45.935000000000002</v>
      </c>
      <c r="F113" s="16">
        <v>45.718000000000004</v>
      </c>
      <c r="G113" s="16">
        <v>136.88</v>
      </c>
      <c r="H113" s="16">
        <f t="shared" si="4"/>
        <v>45.556125000000002</v>
      </c>
      <c r="I113" s="5"/>
      <c r="J113" s="15">
        <v>1416.7467999999999</v>
      </c>
      <c r="K113" s="16">
        <v>44.356400000000001</v>
      </c>
      <c r="L113" s="16">
        <v>45.328499999999998</v>
      </c>
      <c r="M113" s="16">
        <v>45.240499999999997</v>
      </c>
      <c r="N113" s="16">
        <v>96.883600000000001</v>
      </c>
      <c r="O113" s="16">
        <f t="shared" si="5"/>
        <v>44.588425000000001</v>
      </c>
      <c r="P113" s="7"/>
      <c r="Q113" s="8">
        <f>bdrate(C113:C116,D113:D116,J113:J116,K113:K116)</f>
        <v>-0.35648873072762366</v>
      </c>
      <c r="R113" s="8">
        <f>bdrate(C113:C116,E113:E116,J113:J116,L113:L116)</f>
        <v>-0.38625737250926628</v>
      </c>
      <c r="S113" s="8">
        <f>bdrate(C113:C116,F113:F116,J113:J116,M113:M116)</f>
        <v>-0.40978212694607918</v>
      </c>
      <c r="T113" s="25">
        <f>bdrate(C113:C116,H113:H116,J113:J116,O113:O116)</f>
        <v>-0.36523645224283163</v>
      </c>
      <c r="U113" s="28">
        <f t="shared" si="3"/>
        <v>-0.29220046756282875</v>
      </c>
    </row>
    <row r="114" spans="2:21" x14ac:dyDescent="0.25">
      <c r="B114" s="9"/>
      <c r="C114" s="17">
        <v>1543.87</v>
      </c>
      <c r="D114" s="18">
        <v>42.88</v>
      </c>
      <c r="E114" s="18">
        <v>43.75</v>
      </c>
      <c r="F114" s="18">
        <v>43.499000000000002</v>
      </c>
      <c r="G114" s="18">
        <v>148.5</v>
      </c>
      <c r="H114" s="18">
        <f t="shared" si="4"/>
        <v>43.066125000000007</v>
      </c>
      <c r="I114" s="5"/>
      <c r="J114" s="17">
        <v>960.29150000000004</v>
      </c>
      <c r="K114" s="18">
        <v>42.450800000000001</v>
      </c>
      <c r="L114" s="18">
        <v>43.751899999999999</v>
      </c>
      <c r="M114" s="18">
        <v>43.624099999999999</v>
      </c>
      <c r="N114" s="18">
        <v>125.55800000000001</v>
      </c>
      <c r="O114" s="18">
        <f t="shared" si="5"/>
        <v>42.760100000000001</v>
      </c>
      <c r="P114" s="7"/>
      <c r="Q114" s="10"/>
      <c r="R114" s="11"/>
      <c r="S114" s="11"/>
      <c r="T114" s="26"/>
      <c r="U114" s="28">
        <f t="shared" si="3"/>
        <v>-0.15449158249158246</v>
      </c>
    </row>
    <row r="115" spans="2:21" x14ac:dyDescent="0.25">
      <c r="B115" s="9"/>
      <c r="C115" s="17">
        <v>938.71</v>
      </c>
      <c r="D115" s="18">
        <v>39.610999999999997</v>
      </c>
      <c r="E115" s="18">
        <v>41.244</v>
      </c>
      <c r="F115" s="18">
        <v>40.83</v>
      </c>
      <c r="G115" s="18">
        <v>159.15</v>
      </c>
      <c r="H115" s="18">
        <f t="shared" si="4"/>
        <v>39.967499999999994</v>
      </c>
      <c r="I115" s="5"/>
      <c r="J115" s="17">
        <v>586.65909999999997</v>
      </c>
      <c r="K115" s="18">
        <v>39.429400000000001</v>
      </c>
      <c r="L115" s="18">
        <v>41.421999999999997</v>
      </c>
      <c r="M115" s="18">
        <v>41.225099999999998</v>
      </c>
      <c r="N115" s="18">
        <v>151.8219</v>
      </c>
      <c r="O115" s="18">
        <f t="shared" si="5"/>
        <v>39.9029375</v>
      </c>
      <c r="P115" s="7"/>
      <c r="Q115" s="10"/>
      <c r="R115" s="11"/>
      <c r="S115" s="11"/>
      <c r="T115" s="26"/>
      <c r="U115" s="28">
        <f t="shared" si="3"/>
        <v>-4.604524033930258E-2</v>
      </c>
    </row>
    <row r="116" spans="2:21" ht="16.5" thickBot="1" x14ac:dyDescent="0.3">
      <c r="B116" s="12"/>
      <c r="C116" s="19">
        <v>441.6</v>
      </c>
      <c r="D116" s="20">
        <v>34.276000000000003</v>
      </c>
      <c r="E116" s="20">
        <v>37.814</v>
      </c>
      <c r="F116" s="20">
        <v>37.314</v>
      </c>
      <c r="G116" s="20">
        <v>172.73</v>
      </c>
      <c r="H116" s="20">
        <f t="shared" si="4"/>
        <v>35.097999999999999</v>
      </c>
      <c r="I116" s="5"/>
      <c r="J116" s="19">
        <v>294.50439999999998</v>
      </c>
      <c r="K116" s="20">
        <v>35.163400000000003</v>
      </c>
      <c r="L116" s="20">
        <v>38.227600000000002</v>
      </c>
      <c r="M116" s="20">
        <v>38.0443</v>
      </c>
      <c r="N116" s="20">
        <v>185.4905</v>
      </c>
      <c r="O116" s="20">
        <f t="shared" si="5"/>
        <v>35.906537500000006</v>
      </c>
      <c r="P116" s="7"/>
      <c r="Q116" s="13"/>
      <c r="R116" s="14"/>
      <c r="S116" s="14"/>
      <c r="T116" s="27"/>
      <c r="U116" s="28">
        <f t="shared" si="3"/>
        <v>7.3875412493486989E-2</v>
      </c>
    </row>
    <row r="117" spans="2:21" x14ac:dyDescent="0.25">
      <c r="B117" s="6" t="s">
        <v>109</v>
      </c>
      <c r="C117" s="15">
        <v>2572.14</v>
      </c>
      <c r="D117" s="16">
        <v>47.243000000000002</v>
      </c>
      <c r="E117" s="16">
        <v>48.959000000000003</v>
      </c>
      <c r="F117" s="16">
        <v>49.115000000000002</v>
      </c>
      <c r="G117" s="16">
        <v>116.2</v>
      </c>
      <c r="H117" s="16">
        <f t="shared" si="4"/>
        <v>47.691500000000005</v>
      </c>
      <c r="I117" s="5"/>
      <c r="J117" s="15">
        <v>1403.9253000000001</v>
      </c>
      <c r="K117" s="16">
        <v>45.344700000000003</v>
      </c>
      <c r="L117" s="16">
        <v>47.569200000000002</v>
      </c>
      <c r="M117" s="16">
        <v>47.822800000000001</v>
      </c>
      <c r="N117" s="16">
        <v>91.213099999999997</v>
      </c>
      <c r="O117" s="16">
        <f t="shared" si="5"/>
        <v>45.932525000000012</v>
      </c>
      <c r="P117" s="7"/>
      <c r="Q117" s="8">
        <f>bdrate(C117:C120,D117:D120,J117:J120,K117:K120)</f>
        <v>-0.40704072957418802</v>
      </c>
      <c r="R117" s="8">
        <f>bdrate(C117:C120,E117:E120,J117:J120,L117:L120)</f>
        <v>-0.44635043164266319</v>
      </c>
      <c r="S117" s="8">
        <f>bdrate(C117:C120,F117:F120,J117:J120,M117:M120)</f>
        <v>-0.45297857381737205</v>
      </c>
      <c r="T117" s="25">
        <f>bdrate(C117:C120,H117:H120,J117:J120,O117:O120)</f>
        <v>-0.4167554889228624</v>
      </c>
      <c r="U117" s="28">
        <f t="shared" si="3"/>
        <v>-0.21503356282271949</v>
      </c>
    </row>
    <row r="118" spans="2:21" x14ac:dyDescent="0.25">
      <c r="B118" s="9"/>
      <c r="C118" s="17">
        <v>1702.28</v>
      </c>
      <c r="D118" s="18">
        <v>44.234000000000002</v>
      </c>
      <c r="E118" s="18">
        <v>46.195</v>
      </c>
      <c r="F118" s="18">
        <v>46.393999999999998</v>
      </c>
      <c r="G118" s="18">
        <v>146.99</v>
      </c>
      <c r="H118" s="18">
        <f t="shared" si="4"/>
        <v>44.749124999999999</v>
      </c>
      <c r="I118" s="5"/>
      <c r="J118" s="17">
        <v>973.79409999999996</v>
      </c>
      <c r="K118" s="18">
        <v>43.975999999999999</v>
      </c>
      <c r="L118" s="18">
        <v>46.487099999999998</v>
      </c>
      <c r="M118" s="18">
        <v>46.749499999999998</v>
      </c>
      <c r="N118" s="18">
        <v>101.3913</v>
      </c>
      <c r="O118" s="18">
        <f t="shared" si="5"/>
        <v>44.636575000000001</v>
      </c>
      <c r="P118" s="7"/>
      <c r="Q118" s="10"/>
      <c r="R118" s="11"/>
      <c r="S118" s="11"/>
      <c r="T118" s="26"/>
      <c r="U118" s="28">
        <f t="shared" si="3"/>
        <v>-0.31021634124770398</v>
      </c>
    </row>
    <row r="119" spans="2:21" x14ac:dyDescent="0.25">
      <c r="B119" s="9"/>
      <c r="C119" s="17">
        <v>1023.69</v>
      </c>
      <c r="D119" s="18">
        <v>40.795000000000002</v>
      </c>
      <c r="E119" s="18">
        <v>43.235999999999997</v>
      </c>
      <c r="F119" s="18">
        <v>43.436999999999998</v>
      </c>
      <c r="G119" s="18">
        <v>161.16</v>
      </c>
      <c r="H119" s="18">
        <f t="shared" si="4"/>
        <v>41.430375000000005</v>
      </c>
      <c r="I119" s="5"/>
      <c r="J119" s="17">
        <v>633.69889999999998</v>
      </c>
      <c r="K119" s="18">
        <v>41.221400000000003</v>
      </c>
      <c r="L119" s="18">
        <v>44.033200000000001</v>
      </c>
      <c r="M119" s="18">
        <v>44.305599999999998</v>
      </c>
      <c r="N119" s="18">
        <v>113.343</v>
      </c>
      <c r="O119" s="18">
        <f t="shared" si="5"/>
        <v>41.958399999999997</v>
      </c>
      <c r="P119" s="7"/>
      <c r="Q119" s="10"/>
      <c r="R119" s="11"/>
      <c r="S119" s="11"/>
      <c r="T119" s="26"/>
      <c r="U119" s="28">
        <f t="shared" si="3"/>
        <v>-0.29670513775130303</v>
      </c>
    </row>
    <row r="120" spans="2:21" ht="16.5" thickBot="1" x14ac:dyDescent="0.3">
      <c r="B120" s="12"/>
      <c r="C120" s="19">
        <v>479.23</v>
      </c>
      <c r="D120" s="20">
        <v>35.993000000000002</v>
      </c>
      <c r="E120" s="20">
        <v>39.502000000000002</v>
      </c>
      <c r="F120" s="20">
        <v>39.71</v>
      </c>
      <c r="G120" s="20">
        <v>178.62</v>
      </c>
      <c r="H120" s="20">
        <f t="shared" si="4"/>
        <v>36.896250000000002</v>
      </c>
      <c r="I120" s="5"/>
      <c r="J120" s="19">
        <v>343.2457</v>
      </c>
      <c r="K120" s="20">
        <v>37.042400000000001</v>
      </c>
      <c r="L120" s="20">
        <v>40.348799999999997</v>
      </c>
      <c r="M120" s="20">
        <v>40.610900000000001</v>
      </c>
      <c r="N120" s="20">
        <v>177.23509999999999</v>
      </c>
      <c r="O120" s="20">
        <f t="shared" si="5"/>
        <v>37.901762500000004</v>
      </c>
      <c r="P120" s="7"/>
      <c r="Q120" s="13"/>
      <c r="R120" s="14"/>
      <c r="S120" s="14"/>
      <c r="T120" s="27"/>
      <c r="U120" s="28">
        <f t="shared" si="3"/>
        <v>-7.7533310939425374E-3</v>
      </c>
    </row>
    <row r="121" spans="2:21" x14ac:dyDescent="0.25">
      <c r="B121" s="6" t="s">
        <v>110</v>
      </c>
      <c r="C121" s="29">
        <v>2145.96</v>
      </c>
      <c r="D121" s="30">
        <v>31.63</v>
      </c>
      <c r="E121" s="30">
        <v>35.755000000000003</v>
      </c>
      <c r="F121" s="30">
        <v>34.767000000000003</v>
      </c>
      <c r="G121" s="16">
        <v>121.07</v>
      </c>
      <c r="H121" s="16">
        <f t="shared" si="4"/>
        <v>32.537750000000003</v>
      </c>
      <c r="I121" s="5"/>
      <c r="J121" s="29">
        <v>1507.5804000000001</v>
      </c>
      <c r="K121" s="30">
        <v>31.965499999999999</v>
      </c>
      <c r="L121" s="30">
        <v>36.3125</v>
      </c>
      <c r="M121" s="30">
        <v>35.209000000000003</v>
      </c>
      <c r="N121" s="16">
        <v>81.714200000000005</v>
      </c>
      <c r="O121" s="16">
        <f t="shared" si="5"/>
        <v>32.914312500000001</v>
      </c>
      <c r="P121" s="7"/>
      <c r="Q121" s="8">
        <f>bdrate(C121:C124,D121:D124,J121:J124,K121:K124)</f>
        <v>-0.43055177387296983</v>
      </c>
      <c r="R121" s="8">
        <f>bdrate(C121:C124,E121:E124,J121:J124,L121:L124)</f>
        <v>-0.3864951737704907</v>
      </c>
      <c r="S121" s="8">
        <f>bdrate(C121:C124,F121:F124,J121:J124,M121:M124)</f>
        <v>-0.33272906474001762</v>
      </c>
      <c r="T121" s="25">
        <f>bdrate(C121:C124,H121:H124,J121:J124,O121:O124)</f>
        <v>-0.42440285215992868</v>
      </c>
      <c r="U121" s="28">
        <f t="shared" si="3"/>
        <v>-0.32506649046006436</v>
      </c>
    </row>
    <row r="122" spans="2:21" x14ac:dyDescent="0.25">
      <c r="B122" s="9"/>
      <c r="C122" s="31">
        <v>1423.91</v>
      </c>
      <c r="D122" s="32">
        <v>29.486000000000001</v>
      </c>
      <c r="E122" s="32">
        <v>34.816000000000003</v>
      </c>
      <c r="F122" s="32">
        <v>33.781999999999996</v>
      </c>
      <c r="G122" s="18">
        <v>129.94999999999999</v>
      </c>
      <c r="H122" s="18">
        <f t="shared" si="4"/>
        <v>30.689250000000001</v>
      </c>
      <c r="I122" s="5"/>
      <c r="J122" s="31">
        <v>1007.8599</v>
      </c>
      <c r="K122" s="32">
        <v>30.164899999999999</v>
      </c>
      <c r="L122" s="32">
        <v>35.342199999999998</v>
      </c>
      <c r="M122" s="32">
        <v>34.169600000000003</v>
      </c>
      <c r="N122" s="18">
        <v>97.703999999999994</v>
      </c>
      <c r="O122" s="18">
        <f t="shared" si="5"/>
        <v>31.312649999999998</v>
      </c>
      <c r="P122" s="7"/>
      <c r="Q122" s="10"/>
      <c r="R122" s="11"/>
      <c r="S122" s="11"/>
      <c r="T122" s="26"/>
      <c r="U122" s="28">
        <f t="shared" si="3"/>
        <v>-0.24814159292035395</v>
      </c>
    </row>
    <row r="123" spans="2:21" x14ac:dyDescent="0.25">
      <c r="B123" s="9"/>
      <c r="C123" s="31">
        <v>855.9</v>
      </c>
      <c r="D123" s="32">
        <v>26.888000000000002</v>
      </c>
      <c r="E123" s="32">
        <v>33.887</v>
      </c>
      <c r="F123" s="32">
        <v>32.82</v>
      </c>
      <c r="G123" s="18">
        <v>141.05000000000001</v>
      </c>
      <c r="H123" s="18">
        <f t="shared" si="4"/>
        <v>28.504375</v>
      </c>
      <c r="I123" s="5"/>
      <c r="J123" s="31">
        <v>606.33889999999997</v>
      </c>
      <c r="K123" s="32">
        <v>28.045999999999999</v>
      </c>
      <c r="L123" s="32">
        <v>34.108800000000002</v>
      </c>
      <c r="M123" s="32">
        <v>32.830100000000002</v>
      </c>
      <c r="N123" s="18">
        <v>121.58880000000001</v>
      </c>
      <c r="O123" s="18">
        <f t="shared" si="5"/>
        <v>29.4018625</v>
      </c>
      <c r="P123" s="7"/>
      <c r="Q123" s="10"/>
      <c r="R123" s="11"/>
      <c r="S123" s="11"/>
      <c r="T123" s="26"/>
      <c r="U123" s="28">
        <f t="shared" si="3"/>
        <v>-0.13797376816731657</v>
      </c>
    </row>
    <row r="124" spans="2:21" ht="16.5" thickBot="1" x14ac:dyDescent="0.3">
      <c r="B124" s="12"/>
      <c r="C124" s="33">
        <v>382.43</v>
      </c>
      <c r="D124" s="34">
        <v>22.846</v>
      </c>
      <c r="E124" s="34">
        <v>31.454000000000001</v>
      </c>
      <c r="F124" s="34">
        <v>30.257999999999999</v>
      </c>
      <c r="G124" s="20">
        <v>152.03</v>
      </c>
      <c r="H124" s="20">
        <f t="shared" si="4"/>
        <v>24.848500000000001</v>
      </c>
      <c r="I124" s="5"/>
      <c r="J124" s="33">
        <v>303.25959999999998</v>
      </c>
      <c r="K124" s="34">
        <v>25.571300000000001</v>
      </c>
      <c r="L124" s="34">
        <v>32.334099999999999</v>
      </c>
      <c r="M124" s="34">
        <v>30.920200000000001</v>
      </c>
      <c r="N124" s="20">
        <v>160.69990000000001</v>
      </c>
      <c r="O124" s="20">
        <f t="shared" si="5"/>
        <v>27.085262499999999</v>
      </c>
      <c r="P124" s="7"/>
      <c r="Q124" s="13"/>
      <c r="R124" s="14"/>
      <c r="S124" s="14"/>
      <c r="T124" s="27"/>
      <c r="U124" s="28">
        <f t="shared" si="3"/>
        <v>5.702756034993102E-2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-0.46557403510384288</v>
      </c>
      <c r="R125" s="21">
        <f>AVERAGE(R9:R124)</f>
        <v>-0.54571898531787644</v>
      </c>
      <c r="S125" s="21">
        <f>AVERAGE(S9:S124)</f>
        <v>-0.54088181734385166</v>
      </c>
      <c r="T125" s="21">
        <f>AVERAGE(T9:T124)</f>
        <v>-0.48103787273904175</v>
      </c>
      <c r="U125" s="21">
        <f>AVERAGE(U9:U124)</f>
        <v>-0.14510025977409777</v>
      </c>
    </row>
    <row r="127" spans="2:21" s="35" customFormat="1" ht="15.75" customHeight="1" x14ac:dyDescent="0.25">
      <c r="B127" s="61" t="s">
        <v>29</v>
      </c>
      <c r="C127" s="63" t="s">
        <v>177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133</v>
      </c>
      <c r="D129" s="70"/>
      <c r="E129" s="70"/>
      <c r="F129" s="70"/>
      <c r="G129" s="70"/>
      <c r="H129" s="70"/>
      <c r="I129" s="5"/>
      <c r="J129" s="69" t="s">
        <v>178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5904.5</v>
      </c>
      <c r="D131" s="16">
        <v>36.344999999999999</v>
      </c>
      <c r="E131" s="16">
        <v>37.972000000000001</v>
      </c>
      <c r="F131" s="16">
        <v>40.139000000000003</v>
      </c>
      <c r="G131" s="16">
        <v>64.099999999999994</v>
      </c>
      <c r="H131" s="16">
        <f t="shared" ref="H131:H202" si="6">(6*D131+E131+F131)/8</f>
        <v>37.022624999999998</v>
      </c>
      <c r="I131" s="5"/>
      <c r="J131" s="15">
        <v>3994.2464</v>
      </c>
      <c r="K131" s="16">
        <v>37.534399999999998</v>
      </c>
      <c r="L131" s="16">
        <v>39.344999999999999</v>
      </c>
      <c r="M131" s="16">
        <v>41.805</v>
      </c>
      <c r="N131" s="16">
        <v>61.224499999999999</v>
      </c>
      <c r="O131" s="16">
        <f t="shared" ref="O131:O202" si="7">(6*K131+L131+M131)/8</f>
        <v>38.294549999999994</v>
      </c>
      <c r="P131" s="7"/>
      <c r="Q131" s="8">
        <f>bdrate(C131:C134,D131:D134,J131:J134,K131:K134)</f>
        <v>-0.53006823369000533</v>
      </c>
      <c r="R131" s="8">
        <f>bdrate(C131:C134,E131:E134,J131:J134,L131:L134)</f>
        <v>-0.67372454464560416</v>
      </c>
      <c r="S131" s="8">
        <f>bdrate(C131:C134,F131:F134,J131:J134,M131:M134)</f>
        <v>-0.68182015601793289</v>
      </c>
      <c r="T131" s="25">
        <f>bdrate(C131:C134,H131:H134,J131:J134,O131:O134)</f>
        <v>-0.551987170089836</v>
      </c>
      <c r="U131" s="28">
        <f t="shared" ref="U131:U194" si="8">(N131-G131)/G131</f>
        <v>-4.4859594383775278E-2</v>
      </c>
    </row>
    <row r="132" spans="1:21" x14ac:dyDescent="0.25">
      <c r="A132" s="9" t="s">
        <v>36</v>
      </c>
      <c r="B132" s="9"/>
      <c r="C132" s="17">
        <v>4376.5</v>
      </c>
      <c r="D132" s="18">
        <v>35.319000000000003</v>
      </c>
      <c r="E132" s="18">
        <v>37.648000000000003</v>
      </c>
      <c r="F132" s="18">
        <v>39.838000000000001</v>
      </c>
      <c r="G132" s="18">
        <v>79.489999999999995</v>
      </c>
      <c r="H132" s="18">
        <f t="shared" si="6"/>
        <v>36.175000000000004</v>
      </c>
      <c r="I132" s="5"/>
      <c r="J132" s="17">
        <v>2958.4112</v>
      </c>
      <c r="K132" s="18">
        <v>36.5807</v>
      </c>
      <c r="L132" s="18">
        <v>38.803100000000001</v>
      </c>
      <c r="M132" s="18">
        <v>41.154699999999998</v>
      </c>
      <c r="N132" s="18">
        <v>66.785399999999996</v>
      </c>
      <c r="O132" s="18">
        <f t="shared" si="7"/>
        <v>37.430249999999994</v>
      </c>
      <c r="P132" s="7"/>
      <c r="Q132" s="10"/>
      <c r="R132" s="11"/>
      <c r="S132" s="11"/>
      <c r="T132" s="26"/>
      <c r="U132" s="28">
        <f t="shared" si="8"/>
        <v>-0.15982639325701345</v>
      </c>
    </row>
    <row r="133" spans="1:21" x14ac:dyDescent="0.25">
      <c r="B133" s="9"/>
      <c r="C133" s="17">
        <v>2883.05</v>
      </c>
      <c r="D133" s="18">
        <v>33.524000000000001</v>
      </c>
      <c r="E133" s="18">
        <v>36.853000000000002</v>
      </c>
      <c r="F133" s="18">
        <v>39.006</v>
      </c>
      <c r="G133" s="18">
        <v>80.819999999999993</v>
      </c>
      <c r="H133" s="18">
        <f t="shared" si="6"/>
        <v>34.625375000000005</v>
      </c>
      <c r="I133" s="5"/>
      <c r="J133" s="17">
        <v>1924.2272</v>
      </c>
      <c r="K133" s="18">
        <v>34.932400000000001</v>
      </c>
      <c r="L133" s="18">
        <v>38.105899999999998</v>
      </c>
      <c r="M133" s="18">
        <v>40.400599999999997</v>
      </c>
      <c r="N133" s="18">
        <v>76.296999999999997</v>
      </c>
      <c r="O133" s="18">
        <f t="shared" si="7"/>
        <v>36.012612500000003</v>
      </c>
      <c r="P133" s="7"/>
      <c r="Q133" s="10"/>
      <c r="R133" s="11"/>
      <c r="S133" s="11"/>
      <c r="T133" s="26"/>
      <c r="U133" s="28">
        <f t="shared" si="8"/>
        <v>-5.5963870329126413E-2</v>
      </c>
    </row>
    <row r="134" spans="1:21" ht="16.5" thickBot="1" x14ac:dyDescent="0.3">
      <c r="B134" s="12"/>
      <c r="C134" s="19">
        <v>1405.22</v>
      </c>
      <c r="D134" s="20">
        <v>30.077000000000002</v>
      </c>
      <c r="E134" s="20">
        <v>35.825000000000003</v>
      </c>
      <c r="F134" s="20">
        <v>37.840000000000003</v>
      </c>
      <c r="G134" s="20">
        <v>84.32</v>
      </c>
      <c r="H134" s="20">
        <f t="shared" si="6"/>
        <v>31.765875000000005</v>
      </c>
      <c r="I134" s="5"/>
      <c r="J134" s="19">
        <v>919.71199999999999</v>
      </c>
      <c r="K134" s="20">
        <v>32.001399999999997</v>
      </c>
      <c r="L134" s="20">
        <v>36.8461</v>
      </c>
      <c r="M134" s="20">
        <v>39.017499999999998</v>
      </c>
      <c r="N134" s="20">
        <v>87.412599999999998</v>
      </c>
      <c r="O134" s="20">
        <f t="shared" si="7"/>
        <v>33.484000000000002</v>
      </c>
      <c r="P134" s="7"/>
      <c r="Q134" s="13"/>
      <c r="R134" s="14"/>
      <c r="S134" s="14"/>
      <c r="T134" s="27"/>
      <c r="U134" s="28">
        <f t="shared" si="8"/>
        <v>3.6676944971537055E-2</v>
      </c>
    </row>
    <row r="135" spans="1:21" x14ac:dyDescent="0.25">
      <c r="B135" s="6" t="s">
        <v>47</v>
      </c>
      <c r="C135" s="15">
        <v>6098.66</v>
      </c>
      <c r="D135" s="16">
        <v>29.097000000000001</v>
      </c>
      <c r="E135" s="16">
        <v>38.906999999999996</v>
      </c>
      <c r="F135" s="16">
        <v>39.656999999999996</v>
      </c>
      <c r="G135" s="16">
        <v>62.84</v>
      </c>
      <c r="H135" s="16">
        <f t="shared" si="6"/>
        <v>31.643249999999995</v>
      </c>
      <c r="I135" s="5"/>
      <c r="J135" s="15">
        <v>4057.3696</v>
      </c>
      <c r="K135" s="16">
        <v>28.990300000000001</v>
      </c>
      <c r="L135" s="16">
        <v>39.206099999999999</v>
      </c>
      <c r="M135" s="16">
        <v>40.174999999999997</v>
      </c>
      <c r="N135" s="16">
        <v>50.864699999999999</v>
      </c>
      <c r="O135" s="16">
        <f t="shared" si="7"/>
        <v>31.665362500000001</v>
      </c>
      <c r="P135" s="7"/>
      <c r="Q135" s="8">
        <f>bdrate(C135:C138,D135:D138,J135:J138,K135:K138)</f>
        <v>-0.36656146111649868</v>
      </c>
      <c r="R135" s="8">
        <f>bdrate(C135:C138,E135:E138,J135:J138,L135:L138)</f>
        <v>-0.43217673519726618</v>
      </c>
      <c r="S135" s="8">
        <f>bdrate(C135:C138,F135:F138,J135:J138,M135:M138)</f>
        <v>-0.54000528752768595</v>
      </c>
      <c r="T135" s="25">
        <f>bdrate(C135:C138,H135:H138,J135:J138,O135:O138)</f>
        <v>-0.38300541324130555</v>
      </c>
      <c r="U135" s="28">
        <f t="shared" si="8"/>
        <v>-0.19056810948440489</v>
      </c>
    </row>
    <row r="136" spans="1:21" x14ac:dyDescent="0.25">
      <c r="B136" s="9"/>
      <c r="C136" s="17">
        <v>4533</v>
      </c>
      <c r="D136" s="18">
        <v>27.591000000000001</v>
      </c>
      <c r="E136" s="18">
        <v>38.417999999999999</v>
      </c>
      <c r="F136" s="18">
        <v>39.154000000000003</v>
      </c>
      <c r="G136" s="18">
        <v>69.16</v>
      </c>
      <c r="H136" s="18">
        <f t="shared" si="6"/>
        <v>30.389749999999999</v>
      </c>
      <c r="I136" s="5"/>
      <c r="J136" s="17">
        <v>3041.7936</v>
      </c>
      <c r="K136" s="18">
        <v>27.6675</v>
      </c>
      <c r="L136" s="18">
        <v>38.747900000000001</v>
      </c>
      <c r="M136" s="18">
        <v>39.772599999999997</v>
      </c>
      <c r="N136" s="18">
        <v>58.616599999999998</v>
      </c>
      <c r="O136" s="18">
        <f t="shared" si="7"/>
        <v>30.565687500000003</v>
      </c>
      <c r="P136" s="7"/>
      <c r="Q136" s="10"/>
      <c r="R136" s="11"/>
      <c r="S136" s="11"/>
      <c r="T136" s="26"/>
      <c r="U136" s="28">
        <f t="shared" si="8"/>
        <v>-0.15244939271255059</v>
      </c>
    </row>
    <row r="137" spans="1:21" x14ac:dyDescent="0.25">
      <c r="B137" s="9"/>
      <c r="C137" s="17">
        <v>3016.57</v>
      </c>
      <c r="D137" s="18">
        <v>25.657</v>
      </c>
      <c r="E137" s="18">
        <v>37.616</v>
      </c>
      <c r="F137" s="18">
        <v>38.363999999999997</v>
      </c>
      <c r="G137" s="18">
        <v>68.680000000000007</v>
      </c>
      <c r="H137" s="18">
        <f t="shared" si="6"/>
        <v>28.74025</v>
      </c>
      <c r="I137" s="5"/>
      <c r="J137" s="17">
        <v>2020.9872</v>
      </c>
      <c r="K137" s="18">
        <v>25.8947</v>
      </c>
      <c r="L137" s="18">
        <v>38.012799999999999</v>
      </c>
      <c r="M137" s="18">
        <v>39.158099999999997</v>
      </c>
      <c r="N137" s="18">
        <v>68.181799999999996</v>
      </c>
      <c r="O137" s="18">
        <f t="shared" si="7"/>
        <v>29.067387499999999</v>
      </c>
      <c r="P137" s="7"/>
      <c r="Q137" s="10"/>
      <c r="R137" s="11"/>
      <c r="S137" s="11"/>
      <c r="T137" s="26"/>
      <c r="U137" s="28">
        <f t="shared" si="8"/>
        <v>-7.253931275480653E-3</v>
      </c>
    </row>
    <row r="138" spans="1:21" ht="16.5" thickBot="1" x14ac:dyDescent="0.3">
      <c r="B138" s="12"/>
      <c r="C138" s="19">
        <v>1621.27</v>
      </c>
      <c r="D138" s="20">
        <v>22.465</v>
      </c>
      <c r="E138" s="20">
        <v>36.159999999999997</v>
      </c>
      <c r="F138" s="20">
        <v>37.026000000000003</v>
      </c>
      <c r="G138" s="20">
        <v>70.16</v>
      </c>
      <c r="H138" s="20">
        <f t="shared" si="6"/>
        <v>25.997</v>
      </c>
      <c r="I138" s="5"/>
      <c r="J138" s="19">
        <v>1156.4975999999999</v>
      </c>
      <c r="K138" s="20">
        <v>23.8948</v>
      </c>
      <c r="L138" s="20">
        <v>36.513399999999997</v>
      </c>
      <c r="M138" s="20">
        <v>37.7759</v>
      </c>
      <c r="N138" s="20">
        <v>78.822900000000004</v>
      </c>
      <c r="O138" s="20">
        <f t="shared" si="7"/>
        <v>27.207262499999999</v>
      </c>
      <c r="P138" s="7"/>
      <c r="Q138" s="13"/>
      <c r="R138" s="14"/>
      <c r="S138" s="14"/>
      <c r="T138" s="27"/>
      <c r="U138" s="28">
        <f t="shared" si="8"/>
        <v>0.123473489167617</v>
      </c>
    </row>
    <row r="139" spans="1:21" x14ac:dyDescent="0.25">
      <c r="A139" s="6" t="s">
        <v>37</v>
      </c>
      <c r="B139" s="6" t="s">
        <v>48</v>
      </c>
      <c r="C139" s="15">
        <v>3203.21</v>
      </c>
      <c r="D139" s="16">
        <v>38.204000000000001</v>
      </c>
      <c r="E139" s="16">
        <v>41.404000000000003</v>
      </c>
      <c r="F139" s="16">
        <v>42.360999999999997</v>
      </c>
      <c r="G139" s="16">
        <v>120.06</v>
      </c>
      <c r="H139" s="16">
        <f t="shared" si="6"/>
        <v>39.123624999999997</v>
      </c>
      <c r="I139" s="5"/>
      <c r="J139" s="15">
        <v>2370.2975999999999</v>
      </c>
      <c r="K139" s="16">
        <v>38.901699999999998</v>
      </c>
      <c r="L139" s="16">
        <v>41.822000000000003</v>
      </c>
      <c r="M139" s="16">
        <v>43.1646</v>
      </c>
      <c r="N139" s="16">
        <v>125.0651</v>
      </c>
      <c r="O139" s="16">
        <f t="shared" si="7"/>
        <v>39.799599999999998</v>
      </c>
      <c r="P139" s="7"/>
      <c r="Q139" s="8">
        <f>bdrate(C139:C142,D139:D142,J139:J142,K139:K142)</f>
        <v>-0.4558534627417089</v>
      </c>
      <c r="R139" s="8">
        <f>bdrate(C139:C142,E139:E142,J139:J142,L139:L142)</f>
        <v>-0.41638377693252226</v>
      </c>
      <c r="S139" s="8">
        <f>bdrate(C139:C142,F139:F142,J139:J142,M139:M142)</f>
        <v>-0.51707653718422808</v>
      </c>
      <c r="T139" s="25">
        <f>bdrate(C139:C142,H139:H142,J139:J142,O139:O142)</f>
        <v>-0.45795989559361594</v>
      </c>
      <c r="U139" s="28">
        <f t="shared" si="8"/>
        <v>4.1688322505413947E-2</v>
      </c>
    </row>
    <row r="140" spans="1:21" x14ac:dyDescent="0.25">
      <c r="A140" s="9" t="s">
        <v>38</v>
      </c>
      <c r="B140" s="9"/>
      <c r="C140" s="17">
        <v>2096.5</v>
      </c>
      <c r="D140" s="18">
        <v>36.676000000000002</v>
      </c>
      <c r="E140" s="18">
        <v>40.786999999999999</v>
      </c>
      <c r="F140" s="18">
        <v>41.701999999999998</v>
      </c>
      <c r="G140" s="18">
        <v>136.05000000000001</v>
      </c>
      <c r="H140" s="18">
        <f t="shared" si="6"/>
        <v>37.818125000000002</v>
      </c>
      <c r="I140" s="5"/>
      <c r="J140" s="17">
        <v>1569.1744000000001</v>
      </c>
      <c r="K140" s="18">
        <v>37.649799999999999</v>
      </c>
      <c r="L140" s="18">
        <v>41.158799999999999</v>
      </c>
      <c r="M140" s="18">
        <v>42.3932</v>
      </c>
      <c r="N140" s="18">
        <v>139.86009999999999</v>
      </c>
      <c r="O140" s="18">
        <f t="shared" si="7"/>
        <v>38.681349999999995</v>
      </c>
      <c r="P140" s="7"/>
      <c r="Q140" s="10"/>
      <c r="R140" s="11"/>
      <c r="S140" s="11"/>
      <c r="T140" s="26"/>
      <c r="U140" s="28">
        <f t="shared" si="8"/>
        <v>2.8005145167217766E-2</v>
      </c>
    </row>
    <row r="141" spans="1:21" x14ac:dyDescent="0.25">
      <c r="B141" s="9"/>
      <c r="C141" s="17">
        <v>1295.8</v>
      </c>
      <c r="D141" s="18">
        <v>34.82</v>
      </c>
      <c r="E141" s="18">
        <v>40.014000000000003</v>
      </c>
      <c r="F141" s="18">
        <v>40.857999999999997</v>
      </c>
      <c r="G141" s="18">
        <v>138.57</v>
      </c>
      <c r="H141" s="18">
        <f t="shared" si="6"/>
        <v>36.224000000000004</v>
      </c>
      <c r="I141" s="5"/>
      <c r="J141" s="17">
        <v>957.04240000000004</v>
      </c>
      <c r="K141" s="18">
        <v>36.0321</v>
      </c>
      <c r="L141" s="18">
        <v>40.371899999999997</v>
      </c>
      <c r="M141" s="18">
        <v>41.556199999999997</v>
      </c>
      <c r="N141" s="18">
        <v>152.381</v>
      </c>
      <c r="O141" s="18">
        <f t="shared" si="7"/>
        <v>37.2650875</v>
      </c>
      <c r="P141" s="7"/>
      <c r="Q141" s="10"/>
      <c r="R141" s="11"/>
      <c r="S141" s="11"/>
      <c r="T141" s="26"/>
      <c r="U141" s="28">
        <f t="shared" si="8"/>
        <v>9.9668037814822891E-2</v>
      </c>
    </row>
    <row r="142" spans="1:21" ht="16.5" thickBot="1" x14ac:dyDescent="0.3">
      <c r="B142" s="12"/>
      <c r="C142" s="19">
        <v>764.63</v>
      </c>
      <c r="D142" s="20">
        <v>32.564</v>
      </c>
      <c r="E142" s="20">
        <v>39.173000000000002</v>
      </c>
      <c r="F142" s="20">
        <v>40.162999999999997</v>
      </c>
      <c r="G142" s="20">
        <v>147.87</v>
      </c>
      <c r="H142" s="20">
        <f t="shared" si="6"/>
        <v>34.340000000000003</v>
      </c>
      <c r="I142" s="5"/>
      <c r="J142" s="19">
        <v>557.88639999999998</v>
      </c>
      <c r="K142" s="20">
        <v>34.169199999999996</v>
      </c>
      <c r="L142" s="20">
        <v>39.599899999999998</v>
      </c>
      <c r="M142" s="20">
        <v>40.817900000000002</v>
      </c>
      <c r="N142" s="20">
        <v>167.2474</v>
      </c>
      <c r="O142" s="20">
        <f t="shared" si="7"/>
        <v>35.679124999999999</v>
      </c>
      <c r="P142" s="7"/>
      <c r="Q142" s="13"/>
      <c r="R142" s="14"/>
      <c r="S142" s="14"/>
      <c r="T142" s="27"/>
      <c r="U142" s="28">
        <f t="shared" si="8"/>
        <v>0.13104348414147557</v>
      </c>
    </row>
    <row r="143" spans="1:21" x14ac:dyDescent="0.25">
      <c r="B143" s="6" t="s">
        <v>49</v>
      </c>
      <c r="C143" s="15">
        <v>3506.52</v>
      </c>
      <c r="D143" s="16">
        <v>35.195</v>
      </c>
      <c r="E143" s="16">
        <v>38.497999999999998</v>
      </c>
      <c r="F143" s="16">
        <v>39.71</v>
      </c>
      <c r="G143" s="16">
        <v>126.05</v>
      </c>
      <c r="H143" s="16">
        <f t="shared" si="6"/>
        <v>36.172249999999998</v>
      </c>
      <c r="I143" s="5"/>
      <c r="J143" s="15">
        <v>2446.2568000000001</v>
      </c>
      <c r="K143" s="16">
        <v>35.718800000000002</v>
      </c>
      <c r="L143" s="16">
        <v>39.777500000000003</v>
      </c>
      <c r="M143" s="16">
        <v>41.002600000000001</v>
      </c>
      <c r="N143" s="16">
        <v>113.9601</v>
      </c>
      <c r="O143" s="16">
        <f t="shared" si="7"/>
        <v>36.886612499999998</v>
      </c>
      <c r="P143" s="7"/>
      <c r="Q143" s="8">
        <f>bdrate(C143:C146,D143:D146,J143:J146,K143:K146)</f>
        <v>-0.45029823414250025</v>
      </c>
      <c r="R143" s="8">
        <f>bdrate(C143:C146,E143:E146,J143:J146,L143:L146)</f>
        <v>-0.61050657629506322</v>
      </c>
      <c r="S143" s="8">
        <f>bdrate(C143:C146,F143:F146,J143:J146,M143:M146)</f>
        <v>-0.62476984800347712</v>
      </c>
      <c r="T143" s="25">
        <f>bdrate(C143:C146,H143:H146,J143:J146,O143:O146)</f>
        <v>-0.47741760986660031</v>
      </c>
      <c r="U143" s="28">
        <f t="shared" si="8"/>
        <v>-9.5913526378421265E-2</v>
      </c>
    </row>
    <row r="144" spans="1:21" x14ac:dyDescent="0.25">
      <c r="B144" s="9"/>
      <c r="C144" s="17">
        <v>2322.6999999999998</v>
      </c>
      <c r="D144" s="18">
        <v>33.768999999999998</v>
      </c>
      <c r="E144" s="18">
        <v>37.905000000000001</v>
      </c>
      <c r="F144" s="18">
        <v>39.256</v>
      </c>
      <c r="G144" s="18">
        <v>145.19</v>
      </c>
      <c r="H144" s="18">
        <f t="shared" si="6"/>
        <v>34.971874999999997</v>
      </c>
      <c r="I144" s="5"/>
      <c r="J144" s="17">
        <v>1663.6872000000001</v>
      </c>
      <c r="K144" s="18">
        <v>34.495699999999999</v>
      </c>
      <c r="L144" s="18">
        <v>39.053600000000003</v>
      </c>
      <c r="M144" s="18">
        <v>40.290700000000001</v>
      </c>
      <c r="N144" s="18">
        <v>130.4348</v>
      </c>
      <c r="O144" s="18">
        <f t="shared" si="7"/>
        <v>35.789812500000004</v>
      </c>
      <c r="P144" s="7"/>
      <c r="Q144" s="10"/>
      <c r="R144" s="11"/>
      <c r="S144" s="11"/>
      <c r="T144" s="26"/>
      <c r="U144" s="28">
        <f t="shared" si="8"/>
        <v>-0.10162683380398101</v>
      </c>
    </row>
    <row r="145" spans="1:21" x14ac:dyDescent="0.25">
      <c r="B145" s="9"/>
      <c r="C145" s="17">
        <v>1447.26</v>
      </c>
      <c r="D145" s="18">
        <v>32.070999999999998</v>
      </c>
      <c r="E145" s="18">
        <v>37.286000000000001</v>
      </c>
      <c r="F145" s="18">
        <v>38.719000000000001</v>
      </c>
      <c r="G145" s="18">
        <v>150.75</v>
      </c>
      <c r="H145" s="18">
        <f t="shared" si="6"/>
        <v>33.553874999999998</v>
      </c>
      <c r="I145" s="5"/>
      <c r="J145" s="17">
        <v>1022.9912</v>
      </c>
      <c r="K145" s="18">
        <v>32.993299999999998</v>
      </c>
      <c r="L145" s="18">
        <v>38.140500000000003</v>
      </c>
      <c r="M145" s="18">
        <v>39.464399999999998</v>
      </c>
      <c r="N145" s="18">
        <v>145.19059999999999</v>
      </c>
      <c r="O145" s="18">
        <f t="shared" si="7"/>
        <v>34.445587499999995</v>
      </c>
      <c r="P145" s="7"/>
      <c r="Q145" s="10"/>
      <c r="R145" s="11"/>
      <c r="S145" s="11"/>
      <c r="T145" s="26"/>
      <c r="U145" s="28">
        <f t="shared" si="8"/>
        <v>-3.6878275290215659E-2</v>
      </c>
    </row>
    <row r="146" spans="1:21" ht="16.5" thickBot="1" x14ac:dyDescent="0.3">
      <c r="B146" s="12"/>
      <c r="C146" s="19">
        <v>864.33</v>
      </c>
      <c r="D146" s="20">
        <v>30.257999999999999</v>
      </c>
      <c r="E146" s="20">
        <v>36.667999999999999</v>
      </c>
      <c r="F146" s="20">
        <v>38.165999999999997</v>
      </c>
      <c r="G146" s="20">
        <v>155.34</v>
      </c>
      <c r="H146" s="20">
        <f t="shared" si="6"/>
        <v>32.047750000000001</v>
      </c>
      <c r="I146" s="5"/>
      <c r="J146" s="19">
        <v>581.18880000000001</v>
      </c>
      <c r="K146" s="20">
        <v>31.335799999999999</v>
      </c>
      <c r="L146" s="20">
        <v>37.1935</v>
      </c>
      <c r="M146" s="20">
        <v>38.749099999999999</v>
      </c>
      <c r="N146" s="20">
        <v>165.4032</v>
      </c>
      <c r="O146" s="20">
        <f t="shared" si="7"/>
        <v>32.994675000000001</v>
      </c>
      <c r="P146" s="7"/>
      <c r="Q146" s="13"/>
      <c r="R146" s="14"/>
      <c r="S146" s="14"/>
      <c r="T146" s="27"/>
      <c r="U146" s="28">
        <f t="shared" si="8"/>
        <v>6.4781769022788691E-2</v>
      </c>
    </row>
    <row r="147" spans="1:21" x14ac:dyDescent="0.25">
      <c r="B147" s="6" t="s">
        <v>50</v>
      </c>
      <c r="C147" s="15">
        <v>3604.35</v>
      </c>
      <c r="D147" s="16">
        <v>32.706000000000003</v>
      </c>
      <c r="E147" s="16">
        <v>37.237000000000002</v>
      </c>
      <c r="F147" s="16">
        <v>38.414000000000001</v>
      </c>
      <c r="G147" s="16">
        <v>100.75</v>
      </c>
      <c r="H147" s="16">
        <f t="shared" si="6"/>
        <v>33.985875</v>
      </c>
      <c r="I147" s="5"/>
      <c r="J147" s="15">
        <v>2409.2800000000002</v>
      </c>
      <c r="K147" s="16">
        <v>33.780799999999999</v>
      </c>
      <c r="L147" s="16">
        <v>38.031799999999997</v>
      </c>
      <c r="M147" s="16">
        <v>39.981299999999997</v>
      </c>
      <c r="N147" s="16">
        <v>78.939099999999996</v>
      </c>
      <c r="O147" s="16">
        <f t="shared" si="7"/>
        <v>35.087237500000001</v>
      </c>
      <c r="P147" s="7"/>
      <c r="Q147" s="8">
        <f>bdrate(C147:C150,D147:D150,J147:J150,K147:K150)</f>
        <v>-0.55766510737294461</v>
      </c>
      <c r="R147" s="8">
        <f>bdrate(C147:C150,E147:E150,J147:J150,L147:L150)</f>
        <v>-0.64733679533053656</v>
      </c>
      <c r="S147" s="8">
        <f>bdrate(C147:C150,F147:F150,J147:J150,M147:M150)</f>
        <v>-0.66919275201448647</v>
      </c>
      <c r="T147" s="25">
        <f>bdrate(C147:C150,H147:H150,J147:J150,O147:O150)</f>
        <v>-0.57379025943407247</v>
      </c>
      <c r="U147" s="28">
        <f t="shared" si="8"/>
        <v>-0.21648535980148886</v>
      </c>
    </row>
    <row r="148" spans="1:21" x14ac:dyDescent="0.25">
      <c r="B148" s="9"/>
      <c r="C148" s="17">
        <v>2411.73</v>
      </c>
      <c r="D148" s="18">
        <v>31.19</v>
      </c>
      <c r="E148" s="18">
        <v>36.804000000000002</v>
      </c>
      <c r="F148" s="18">
        <v>37.651000000000003</v>
      </c>
      <c r="G148" s="18">
        <v>151.88</v>
      </c>
      <c r="H148" s="18">
        <f t="shared" si="6"/>
        <v>32.699375000000003</v>
      </c>
      <c r="I148" s="5"/>
      <c r="J148" s="17">
        <v>1605.5504000000001</v>
      </c>
      <c r="K148" s="18">
        <v>32.539700000000003</v>
      </c>
      <c r="L148" s="18">
        <v>37.603099999999998</v>
      </c>
      <c r="M148" s="18">
        <v>39.167299999999997</v>
      </c>
      <c r="N148" s="18">
        <v>164.3655</v>
      </c>
      <c r="O148" s="18">
        <f t="shared" si="7"/>
        <v>34.001075</v>
      </c>
      <c r="P148" s="7"/>
      <c r="Q148" s="10"/>
      <c r="R148" s="11"/>
      <c r="S148" s="11"/>
      <c r="T148" s="26"/>
      <c r="U148" s="28">
        <f t="shared" si="8"/>
        <v>8.2206347116144343E-2</v>
      </c>
    </row>
    <row r="149" spans="1:21" x14ac:dyDescent="0.25">
      <c r="B149" s="9"/>
      <c r="C149" s="17">
        <v>1500.22</v>
      </c>
      <c r="D149" s="18">
        <v>29.251999999999999</v>
      </c>
      <c r="E149" s="18">
        <v>36.143999999999998</v>
      </c>
      <c r="F149" s="18">
        <v>36.616</v>
      </c>
      <c r="G149" s="18">
        <v>146.37</v>
      </c>
      <c r="H149" s="18">
        <f t="shared" si="6"/>
        <v>31.033999999999999</v>
      </c>
      <c r="I149" s="5"/>
      <c r="J149" s="17">
        <v>1000.6584</v>
      </c>
      <c r="K149" s="18">
        <v>30.920100000000001</v>
      </c>
      <c r="L149" s="18">
        <v>36.996299999999998</v>
      </c>
      <c r="M149" s="18">
        <v>38.122300000000003</v>
      </c>
      <c r="N149" s="18">
        <v>179.0831</v>
      </c>
      <c r="O149" s="18">
        <f t="shared" si="7"/>
        <v>32.579900000000002</v>
      </c>
      <c r="P149" s="7"/>
      <c r="Q149" s="10"/>
      <c r="R149" s="11"/>
      <c r="S149" s="11"/>
      <c r="T149" s="26"/>
      <c r="U149" s="28">
        <f t="shared" si="8"/>
        <v>0.22349593495934958</v>
      </c>
    </row>
    <row r="150" spans="1:21" ht="16.5" thickBot="1" x14ac:dyDescent="0.3">
      <c r="B150" s="12"/>
      <c r="C150" s="19">
        <v>896.79</v>
      </c>
      <c r="D150" s="20">
        <v>27.09</v>
      </c>
      <c r="E150" s="20">
        <v>35.728999999999999</v>
      </c>
      <c r="F150" s="20">
        <v>35.872999999999998</v>
      </c>
      <c r="G150" s="20">
        <v>152.63</v>
      </c>
      <c r="H150" s="20">
        <f t="shared" si="6"/>
        <v>29.267749999999999</v>
      </c>
      <c r="I150" s="5"/>
      <c r="J150" s="19">
        <v>597.8288</v>
      </c>
      <c r="K150" s="20">
        <v>29.078099999999999</v>
      </c>
      <c r="L150" s="20">
        <v>36.290599999999998</v>
      </c>
      <c r="M150" s="20">
        <v>36.981099999999998</v>
      </c>
      <c r="N150" s="20">
        <v>190.76689999999999</v>
      </c>
      <c r="O150" s="20">
        <f t="shared" si="7"/>
        <v>30.967537499999995</v>
      </c>
      <c r="P150" s="7"/>
      <c r="Q150" s="13"/>
      <c r="R150" s="14"/>
      <c r="S150" s="14"/>
      <c r="T150" s="27"/>
      <c r="U150" s="28">
        <f t="shared" si="8"/>
        <v>0.24986503308654917</v>
      </c>
    </row>
    <row r="151" spans="1:21" x14ac:dyDescent="0.25">
      <c r="B151" s="6" t="s">
        <v>51</v>
      </c>
      <c r="C151" s="29">
        <v>3572.25</v>
      </c>
      <c r="D151" s="30">
        <v>32.607999999999997</v>
      </c>
      <c r="E151" s="30">
        <v>39.286000000000001</v>
      </c>
      <c r="F151" s="30">
        <v>38.881999999999998</v>
      </c>
      <c r="G151" s="16">
        <v>125.69</v>
      </c>
      <c r="H151" s="16">
        <f t="shared" si="6"/>
        <v>34.226999999999997</v>
      </c>
      <c r="I151" s="5"/>
      <c r="J151" s="29">
        <v>2414.9911999999999</v>
      </c>
      <c r="K151" s="30">
        <v>33.735199999999999</v>
      </c>
      <c r="L151" s="30">
        <v>40.145600000000002</v>
      </c>
      <c r="M151" s="30">
        <v>39.7149</v>
      </c>
      <c r="N151" s="16">
        <v>126.7106</v>
      </c>
      <c r="O151" s="16">
        <f t="shared" si="7"/>
        <v>35.283962500000001</v>
      </c>
      <c r="P151" s="7"/>
      <c r="Q151" s="8">
        <f>bdrate(C151:C154,D151:D154,J151:J154,K151:K154)</f>
        <v>-0.57063029261476639</v>
      </c>
      <c r="R151" s="8">
        <f>bdrate(C151:C154,E151:E154,J151:J154,L151:L154)</f>
        <v>-0.54176314383388646</v>
      </c>
      <c r="S151" s="8">
        <f>bdrate(C151:C154,F151:F154,J151:J154,M151:M154)</f>
        <v>-0.45932499586035691</v>
      </c>
      <c r="T151" s="25">
        <f>bdrate(C151:C154,H151:H154,J151:J154,O151:O154)</f>
        <v>-0.56415721720652146</v>
      </c>
      <c r="U151" s="28">
        <f t="shared" si="8"/>
        <v>8.1199777229692231E-3</v>
      </c>
    </row>
    <row r="152" spans="1:21" x14ac:dyDescent="0.25">
      <c r="B152" s="9"/>
      <c r="C152" s="31">
        <v>2365.14</v>
      </c>
      <c r="D152" s="32">
        <v>30.619</v>
      </c>
      <c r="E152" s="32">
        <v>38.430999999999997</v>
      </c>
      <c r="F152" s="32">
        <v>37.981000000000002</v>
      </c>
      <c r="G152" s="18">
        <v>133.44</v>
      </c>
      <c r="H152" s="18">
        <f t="shared" si="6"/>
        <v>32.515749999999997</v>
      </c>
      <c r="I152" s="5"/>
      <c r="J152" s="31">
        <v>1609.4344000000001</v>
      </c>
      <c r="K152" s="32">
        <v>32.315899999999999</v>
      </c>
      <c r="L152" s="32">
        <v>39.371600000000001</v>
      </c>
      <c r="M152" s="32">
        <v>38.7288</v>
      </c>
      <c r="N152" s="18">
        <v>148.41200000000001</v>
      </c>
      <c r="O152" s="18">
        <f t="shared" si="7"/>
        <v>33.999474999999997</v>
      </c>
      <c r="P152" s="7"/>
      <c r="Q152" s="10"/>
      <c r="R152" s="11"/>
      <c r="S152" s="11"/>
      <c r="T152" s="26"/>
      <c r="U152" s="28">
        <f t="shared" si="8"/>
        <v>0.11220023980815354</v>
      </c>
    </row>
    <row r="153" spans="1:21" x14ac:dyDescent="0.25">
      <c r="B153" s="9"/>
      <c r="C153" s="31">
        <v>1463.48</v>
      </c>
      <c r="D153" s="32">
        <v>27.907</v>
      </c>
      <c r="E153" s="32">
        <v>37.433</v>
      </c>
      <c r="F153" s="32">
        <v>36.935000000000002</v>
      </c>
      <c r="G153" s="18">
        <v>134.12</v>
      </c>
      <c r="H153" s="18">
        <f t="shared" si="6"/>
        <v>30.22625</v>
      </c>
      <c r="I153" s="5"/>
      <c r="J153" s="31">
        <v>1001.4832</v>
      </c>
      <c r="K153" s="32">
        <v>30.530200000000001</v>
      </c>
      <c r="L153" s="32">
        <v>38.3384</v>
      </c>
      <c r="M153" s="32">
        <v>37.468299999999999</v>
      </c>
      <c r="N153" s="18">
        <v>163.559</v>
      </c>
      <c r="O153" s="18">
        <f t="shared" si="7"/>
        <v>32.373487499999996</v>
      </c>
      <c r="P153" s="7"/>
      <c r="Q153" s="10"/>
      <c r="R153" s="11"/>
      <c r="S153" s="11"/>
      <c r="T153" s="26"/>
      <c r="U153" s="28">
        <f t="shared" si="8"/>
        <v>0.2194974649567551</v>
      </c>
    </row>
    <row r="154" spans="1:21" ht="16.5" thickBot="1" x14ac:dyDescent="0.3">
      <c r="B154" s="12"/>
      <c r="C154" s="33">
        <v>859.54</v>
      </c>
      <c r="D154" s="34">
        <v>24.052</v>
      </c>
      <c r="E154" s="34">
        <v>35.61</v>
      </c>
      <c r="F154" s="34">
        <v>34.933999999999997</v>
      </c>
      <c r="G154" s="20">
        <v>135.76</v>
      </c>
      <c r="H154" s="20">
        <f t="shared" si="6"/>
        <v>26.857000000000003</v>
      </c>
      <c r="I154" s="5"/>
      <c r="J154" s="33">
        <v>601.13199999999995</v>
      </c>
      <c r="K154" s="34">
        <v>28.6052</v>
      </c>
      <c r="L154" s="34">
        <v>36.915599999999998</v>
      </c>
      <c r="M154" s="34">
        <v>35.8127</v>
      </c>
      <c r="N154" s="20">
        <v>179.01900000000001</v>
      </c>
      <c r="O154" s="20">
        <f t="shared" si="7"/>
        <v>30.544937500000003</v>
      </c>
      <c r="P154" s="7"/>
      <c r="Q154" s="13"/>
      <c r="R154" s="14"/>
      <c r="S154" s="14"/>
      <c r="T154" s="27"/>
      <c r="U154" s="28">
        <f t="shared" si="8"/>
        <v>0.31864319387153811</v>
      </c>
    </row>
    <row r="155" spans="1:21" x14ac:dyDescent="0.25">
      <c r="B155" s="6" t="s">
        <v>52</v>
      </c>
      <c r="C155" s="15">
        <v>3589.16</v>
      </c>
      <c r="D155" s="16">
        <v>31.928000000000001</v>
      </c>
      <c r="E155" s="16">
        <v>38.405999999999999</v>
      </c>
      <c r="F155" s="16">
        <v>40.93</v>
      </c>
      <c r="G155" s="16">
        <v>116.08</v>
      </c>
      <c r="H155" s="16">
        <f t="shared" si="6"/>
        <v>33.863</v>
      </c>
      <c r="I155" s="5"/>
      <c r="J155" s="15">
        <v>2416.0111999999999</v>
      </c>
      <c r="K155" s="16">
        <v>33.341999999999999</v>
      </c>
      <c r="L155" s="16">
        <v>39.682600000000001</v>
      </c>
      <c r="M155" s="16">
        <v>42.180100000000003</v>
      </c>
      <c r="N155" s="16">
        <v>130.80439999999999</v>
      </c>
      <c r="O155" s="16">
        <f t="shared" si="7"/>
        <v>35.239337499999998</v>
      </c>
      <c r="P155" s="7"/>
      <c r="Q155" s="8">
        <f>bdrate(C155:C158,D155:D158,J155:J158,K155:K158)</f>
        <v>-0.67777051021241719</v>
      </c>
      <c r="R155" s="8">
        <f>bdrate(C155:C158,E155:E158,J155:J158,L155:L158)</f>
        <v>-0.7409046576900431</v>
      </c>
      <c r="S155" s="8">
        <f>bdrate(C155:C158,F155:F158,J155:J158,M155:M158)</f>
        <v>-0.75999657941874044</v>
      </c>
      <c r="T155" s="25">
        <f>bdrate(C155:C158,H155:H158,J155:J158,O155:O158)</f>
        <v>-0.68692283059967796</v>
      </c>
      <c r="U155" s="28">
        <f t="shared" si="8"/>
        <v>0.12684700206753954</v>
      </c>
    </row>
    <row r="156" spans="1:21" x14ac:dyDescent="0.25">
      <c r="B156" s="9"/>
      <c r="C156" s="17">
        <v>2355.5300000000002</v>
      </c>
      <c r="D156" s="18">
        <v>30.632000000000001</v>
      </c>
      <c r="E156" s="18">
        <v>38.054000000000002</v>
      </c>
      <c r="F156" s="18">
        <v>40.463999999999999</v>
      </c>
      <c r="G156" s="18">
        <v>153.22</v>
      </c>
      <c r="H156" s="18">
        <f t="shared" si="6"/>
        <v>32.78875</v>
      </c>
      <c r="I156" s="5"/>
      <c r="J156" s="17">
        <v>1617.7031999999999</v>
      </c>
      <c r="K156" s="18">
        <v>32.625500000000002</v>
      </c>
      <c r="L156" s="18">
        <v>39.209699999999998</v>
      </c>
      <c r="M156" s="18">
        <v>41.770499999999998</v>
      </c>
      <c r="N156" s="18">
        <v>167.97309999999999</v>
      </c>
      <c r="O156" s="18">
        <f t="shared" si="7"/>
        <v>34.591650000000001</v>
      </c>
      <c r="P156" s="7"/>
      <c r="Q156" s="10"/>
      <c r="R156" s="11"/>
      <c r="S156" s="11"/>
      <c r="T156" s="26"/>
      <c r="U156" s="28">
        <f t="shared" si="8"/>
        <v>9.6287038245659762E-2</v>
      </c>
    </row>
    <row r="157" spans="1:21" x14ac:dyDescent="0.25">
      <c r="B157" s="9"/>
      <c r="C157" s="17">
        <v>1444.93</v>
      </c>
      <c r="D157" s="18">
        <v>28.884</v>
      </c>
      <c r="E157" s="18">
        <v>37.472999999999999</v>
      </c>
      <c r="F157" s="18">
        <v>39.722999999999999</v>
      </c>
      <c r="G157" s="18">
        <v>155.08000000000001</v>
      </c>
      <c r="H157" s="18">
        <f t="shared" si="6"/>
        <v>31.3125</v>
      </c>
      <c r="I157" s="5"/>
      <c r="J157" s="17">
        <v>1027.4287999999999</v>
      </c>
      <c r="K157" s="18">
        <v>31.508199999999999</v>
      </c>
      <c r="L157" s="18">
        <v>38.612299999999998</v>
      </c>
      <c r="M157" s="18">
        <v>41.145899999999997</v>
      </c>
      <c r="N157" s="18">
        <v>178.09440000000001</v>
      </c>
      <c r="O157" s="18">
        <f t="shared" si="7"/>
        <v>33.600924999999997</v>
      </c>
      <c r="P157" s="7"/>
      <c r="Q157" s="10"/>
      <c r="R157" s="11"/>
      <c r="S157" s="11"/>
      <c r="T157" s="26"/>
      <c r="U157" s="28">
        <f t="shared" si="8"/>
        <v>0.14840340469435126</v>
      </c>
    </row>
    <row r="158" spans="1:21" ht="16.5" thickBot="1" x14ac:dyDescent="0.3">
      <c r="B158" s="12"/>
      <c r="C158" s="19">
        <v>831.81</v>
      </c>
      <c r="D158" s="20">
        <v>26.58</v>
      </c>
      <c r="E158" s="20">
        <v>36.866999999999997</v>
      </c>
      <c r="F158" s="20">
        <v>38.96</v>
      </c>
      <c r="G158" s="20">
        <v>155.08000000000001</v>
      </c>
      <c r="H158" s="20">
        <f t="shared" si="6"/>
        <v>29.413374999999998</v>
      </c>
      <c r="I158" s="5"/>
      <c r="J158" s="19">
        <v>598.86800000000005</v>
      </c>
      <c r="K158" s="20">
        <v>29.952300000000001</v>
      </c>
      <c r="L158" s="20">
        <v>37.994399999999999</v>
      </c>
      <c r="M158" s="20">
        <v>40.549999999999997</v>
      </c>
      <c r="N158" s="20">
        <v>187.6173</v>
      </c>
      <c r="O158" s="20">
        <f t="shared" si="7"/>
        <v>32.282274999999998</v>
      </c>
      <c r="P158" s="7"/>
      <c r="Q158" s="13"/>
      <c r="R158" s="14"/>
      <c r="S158" s="14"/>
      <c r="T158" s="27"/>
      <c r="U158" s="28">
        <f t="shared" si="8"/>
        <v>0.20980977559969038</v>
      </c>
    </row>
    <row r="159" spans="1:21" x14ac:dyDescent="0.25">
      <c r="A159" s="6" t="s">
        <v>39</v>
      </c>
      <c r="B159" s="6" t="s">
        <v>53</v>
      </c>
      <c r="C159" s="15">
        <v>1573.43</v>
      </c>
      <c r="D159" s="16">
        <v>33.082000000000001</v>
      </c>
      <c r="E159" s="16">
        <v>36.598999999999997</v>
      </c>
      <c r="F159" s="16">
        <v>36.448999999999998</v>
      </c>
      <c r="G159" s="16">
        <v>616.52</v>
      </c>
      <c r="H159" s="16">
        <f t="shared" si="6"/>
        <v>33.942500000000003</v>
      </c>
      <c r="I159" s="5"/>
      <c r="J159" s="15">
        <v>1218.4983999999999</v>
      </c>
      <c r="K159" s="16">
        <v>34.626199999999997</v>
      </c>
      <c r="L159" s="16">
        <v>38.858800000000002</v>
      </c>
      <c r="M159" s="16">
        <v>38.609400000000001</v>
      </c>
      <c r="N159" s="16">
        <v>457.87549999999999</v>
      </c>
      <c r="O159" s="16">
        <f t="shared" si="7"/>
        <v>35.653174999999997</v>
      </c>
      <c r="P159" s="7"/>
      <c r="Q159" s="8">
        <f>bdrate(C159:C162,D159:D162,J159:J162,K159:K162)</f>
        <v>-0.49055454582236002</v>
      </c>
      <c r="R159" s="8">
        <f>bdrate(C159:C162,E159:E162,J159:J162,L159:L162)</f>
        <v>-0.61618260807289815</v>
      </c>
      <c r="S159" s="8">
        <f>bdrate(C159:C162,F159:F162,J159:J162,M159:M162)</f>
        <v>-0.57167092647720408</v>
      </c>
      <c r="T159" s="25">
        <f>bdrate(C159:C162,H159:H162,J159:J162,O159:O162)</f>
        <v>-0.51053832289262213</v>
      </c>
      <c r="U159" s="28">
        <f t="shared" si="8"/>
        <v>-0.2573225523908389</v>
      </c>
    </row>
    <row r="160" spans="1:21" x14ac:dyDescent="0.25">
      <c r="A160" s="9" t="s">
        <v>40</v>
      </c>
      <c r="B160" s="9"/>
      <c r="C160" s="17">
        <v>1062.1500000000001</v>
      </c>
      <c r="D160" s="18">
        <v>31.571999999999999</v>
      </c>
      <c r="E160" s="18">
        <v>35.838000000000001</v>
      </c>
      <c r="F160" s="18">
        <v>35.529000000000003</v>
      </c>
      <c r="G160" s="18">
        <v>843.17</v>
      </c>
      <c r="H160" s="18">
        <f t="shared" si="6"/>
        <v>32.599874999999997</v>
      </c>
      <c r="I160" s="5"/>
      <c r="J160" s="17">
        <v>805.01679999999999</v>
      </c>
      <c r="K160" s="18">
        <v>33.069699999999997</v>
      </c>
      <c r="L160" s="18">
        <v>37.640099999999997</v>
      </c>
      <c r="M160" s="18">
        <v>37.2791</v>
      </c>
      <c r="N160" s="18">
        <v>593.11980000000005</v>
      </c>
      <c r="O160" s="18">
        <f t="shared" si="7"/>
        <v>34.167175</v>
      </c>
      <c r="P160" s="7"/>
      <c r="Q160" s="10"/>
      <c r="R160" s="11"/>
      <c r="S160" s="11"/>
      <c r="T160" s="26"/>
      <c r="U160" s="28">
        <f t="shared" si="8"/>
        <v>-0.29655964989266687</v>
      </c>
    </row>
    <row r="161" spans="1:21" x14ac:dyDescent="0.25">
      <c r="B161" s="9"/>
      <c r="C161" s="17">
        <v>658.21</v>
      </c>
      <c r="D161" s="18">
        <v>29.684999999999999</v>
      </c>
      <c r="E161" s="18">
        <v>35.020000000000003</v>
      </c>
      <c r="F161" s="18">
        <v>34.573999999999998</v>
      </c>
      <c r="G161" s="18">
        <v>866.55</v>
      </c>
      <c r="H161" s="18">
        <f t="shared" si="6"/>
        <v>30.963000000000001</v>
      </c>
      <c r="I161" s="5"/>
      <c r="J161" s="17">
        <v>503.10079999999999</v>
      </c>
      <c r="K161" s="18">
        <v>31.291499999999999</v>
      </c>
      <c r="L161" s="18">
        <v>36.405500000000004</v>
      </c>
      <c r="M161" s="18">
        <v>35.884099999999997</v>
      </c>
      <c r="N161" s="18">
        <v>682.12819999999999</v>
      </c>
      <c r="O161" s="18">
        <f t="shared" si="7"/>
        <v>32.504824999999997</v>
      </c>
      <c r="P161" s="7"/>
      <c r="Q161" s="10"/>
      <c r="R161" s="11"/>
      <c r="S161" s="11"/>
      <c r="T161" s="26"/>
      <c r="U161" s="28">
        <f t="shared" si="8"/>
        <v>-0.212823033869944</v>
      </c>
    </row>
    <row r="162" spans="1:21" ht="16.5" thickBot="1" x14ac:dyDescent="0.3">
      <c r="B162" s="12"/>
      <c r="C162" s="19">
        <v>402.4</v>
      </c>
      <c r="D162" s="20">
        <v>27.463999999999999</v>
      </c>
      <c r="E162" s="20">
        <v>34.267000000000003</v>
      </c>
      <c r="F162" s="20">
        <v>33.829000000000001</v>
      </c>
      <c r="G162" s="20">
        <v>889.68</v>
      </c>
      <c r="H162" s="20">
        <f t="shared" si="6"/>
        <v>29.11</v>
      </c>
      <c r="I162" s="5"/>
      <c r="J162" s="19">
        <v>301.9624</v>
      </c>
      <c r="K162" s="20">
        <v>29.297499999999999</v>
      </c>
      <c r="L162" s="20">
        <v>35.081699999999998</v>
      </c>
      <c r="M162" s="20">
        <v>34.425899999999999</v>
      </c>
      <c r="N162" s="20">
        <v>781.25</v>
      </c>
      <c r="O162" s="20">
        <f t="shared" si="7"/>
        <v>30.661574999999999</v>
      </c>
      <c r="P162" s="7"/>
      <c r="Q162" s="13"/>
      <c r="R162" s="14"/>
      <c r="S162" s="14"/>
      <c r="T162" s="27"/>
      <c r="U162" s="28">
        <f t="shared" si="8"/>
        <v>-0.12187528099991003</v>
      </c>
    </row>
    <row r="163" spans="1:21" x14ac:dyDescent="0.25">
      <c r="B163" s="6" t="s">
        <v>54</v>
      </c>
      <c r="C163" s="15">
        <v>1572.46</v>
      </c>
      <c r="D163" s="16">
        <v>33.475999999999999</v>
      </c>
      <c r="E163" s="16">
        <v>38.737000000000002</v>
      </c>
      <c r="F163" s="16">
        <v>39.508000000000003</v>
      </c>
      <c r="G163" s="16">
        <v>620.48</v>
      </c>
      <c r="H163" s="16">
        <f t="shared" si="6"/>
        <v>34.887625</v>
      </c>
      <c r="I163" s="5"/>
      <c r="J163" s="15">
        <v>1237.1016</v>
      </c>
      <c r="K163" s="16">
        <v>34.843499999999999</v>
      </c>
      <c r="L163" s="16">
        <v>40.342399999999998</v>
      </c>
      <c r="M163" s="16">
        <v>41.136000000000003</v>
      </c>
      <c r="N163" s="16">
        <v>512.82050000000004</v>
      </c>
      <c r="O163" s="16">
        <f t="shared" si="7"/>
        <v>36.317425</v>
      </c>
      <c r="P163" s="7"/>
      <c r="Q163" s="8">
        <f>bdrate(C163:C166,D163:D166,J163:J166,K163:K166)</f>
        <v>-0.4805437373512883</v>
      </c>
      <c r="R163" s="8">
        <f>bdrate(C163:C166,E163:E166,J163:J166,L163:L166)</f>
        <v>-0.60085776730260254</v>
      </c>
      <c r="S163" s="8">
        <f>bdrate(C163:C166,F163:F166,J163:J166,M163:M166)</f>
        <v>-0.54777061345403288</v>
      </c>
      <c r="T163" s="25">
        <f>bdrate(C163:C166,H163:H166,J163:J166,O163:O166)</f>
        <v>-0.49616153806229968</v>
      </c>
      <c r="U163" s="28">
        <f t="shared" si="8"/>
        <v>-0.17351002449716346</v>
      </c>
    </row>
    <row r="164" spans="1:21" x14ac:dyDescent="0.25">
      <c r="B164" s="9"/>
      <c r="C164" s="17">
        <v>1067.26</v>
      </c>
      <c r="D164" s="18">
        <v>31.716999999999999</v>
      </c>
      <c r="E164" s="18">
        <v>37.984000000000002</v>
      </c>
      <c r="F164" s="18">
        <v>38.715000000000003</v>
      </c>
      <c r="G164" s="18">
        <v>818.55</v>
      </c>
      <c r="H164" s="18">
        <f t="shared" si="6"/>
        <v>33.375124999999997</v>
      </c>
      <c r="I164" s="5"/>
      <c r="J164" s="17">
        <v>824.20719999999994</v>
      </c>
      <c r="K164" s="18">
        <v>33.250100000000003</v>
      </c>
      <c r="L164" s="18">
        <v>39.437199999999997</v>
      </c>
      <c r="M164" s="18">
        <v>40.110500000000002</v>
      </c>
      <c r="N164" s="18">
        <v>600.60059999999999</v>
      </c>
      <c r="O164" s="18">
        <f t="shared" si="7"/>
        <v>34.881037500000005</v>
      </c>
      <c r="P164" s="7"/>
      <c r="Q164" s="10"/>
      <c r="R164" s="11"/>
      <c r="S164" s="11"/>
      <c r="T164" s="26"/>
      <c r="U164" s="28">
        <f t="shared" si="8"/>
        <v>-0.26626278174821327</v>
      </c>
    </row>
    <row r="165" spans="1:21" x14ac:dyDescent="0.25">
      <c r="B165" s="9"/>
      <c r="C165" s="17">
        <v>661.89</v>
      </c>
      <c r="D165" s="18">
        <v>29.53</v>
      </c>
      <c r="E165" s="18">
        <v>37.198999999999998</v>
      </c>
      <c r="F165" s="18">
        <v>37.869</v>
      </c>
      <c r="G165" s="18">
        <v>854.7</v>
      </c>
      <c r="H165" s="18">
        <f t="shared" si="6"/>
        <v>31.531000000000002</v>
      </c>
      <c r="I165" s="5"/>
      <c r="J165" s="17">
        <v>514.59280000000001</v>
      </c>
      <c r="K165" s="18">
        <v>31.3931</v>
      </c>
      <c r="L165" s="18">
        <v>38.393999999999998</v>
      </c>
      <c r="M165" s="18">
        <v>38.951000000000001</v>
      </c>
      <c r="N165" s="18">
        <v>674.91560000000004</v>
      </c>
      <c r="O165" s="18">
        <f t="shared" si="7"/>
        <v>33.212949999999999</v>
      </c>
      <c r="P165" s="7"/>
      <c r="Q165" s="10"/>
      <c r="R165" s="11"/>
      <c r="S165" s="11"/>
      <c r="T165" s="26"/>
      <c r="U165" s="28">
        <f t="shared" si="8"/>
        <v>-0.21034795834795833</v>
      </c>
    </row>
    <row r="166" spans="1:21" ht="16.5" thickBot="1" x14ac:dyDescent="0.3">
      <c r="B166" s="12"/>
      <c r="C166" s="19">
        <v>406.16</v>
      </c>
      <c r="D166" s="20">
        <v>27.062999999999999</v>
      </c>
      <c r="E166" s="20">
        <v>36.457000000000001</v>
      </c>
      <c r="F166" s="20">
        <v>36.981999999999999</v>
      </c>
      <c r="G166" s="20">
        <v>854.7</v>
      </c>
      <c r="H166" s="20">
        <f t="shared" si="6"/>
        <v>29.477124999999997</v>
      </c>
      <c r="I166" s="5"/>
      <c r="J166" s="19">
        <v>308.67680000000001</v>
      </c>
      <c r="K166" s="20">
        <v>29.308800000000002</v>
      </c>
      <c r="L166" s="20">
        <v>37.330800000000004</v>
      </c>
      <c r="M166" s="20">
        <v>37.673200000000001</v>
      </c>
      <c r="N166" s="20">
        <v>784.31370000000004</v>
      </c>
      <c r="O166" s="20">
        <f t="shared" si="7"/>
        <v>31.357100000000003</v>
      </c>
      <c r="P166" s="7"/>
      <c r="Q166" s="13"/>
      <c r="R166" s="14"/>
      <c r="S166" s="14"/>
      <c r="T166" s="27"/>
      <c r="U166" s="28">
        <f t="shared" si="8"/>
        <v>-8.2352053352053353E-2</v>
      </c>
    </row>
    <row r="167" spans="1:21" x14ac:dyDescent="0.25">
      <c r="B167" s="6" t="s">
        <v>55</v>
      </c>
      <c r="C167" s="15">
        <v>1453.32</v>
      </c>
      <c r="D167" s="16">
        <v>27.763000000000002</v>
      </c>
      <c r="E167" s="16">
        <v>34.613</v>
      </c>
      <c r="F167" s="16">
        <v>35.283000000000001</v>
      </c>
      <c r="G167" s="16">
        <v>628.14</v>
      </c>
      <c r="H167" s="16">
        <f t="shared" si="6"/>
        <v>29.559249999999999</v>
      </c>
      <c r="I167" s="5"/>
      <c r="J167" s="15">
        <v>1216.9431999999999</v>
      </c>
      <c r="K167" s="16">
        <v>29.9392</v>
      </c>
      <c r="L167" s="16">
        <v>36.545299999999997</v>
      </c>
      <c r="M167" s="16">
        <v>37.316499999999998</v>
      </c>
      <c r="N167" s="16">
        <v>478.46890000000002</v>
      </c>
      <c r="O167" s="16">
        <f t="shared" si="7"/>
        <v>31.687124999999998</v>
      </c>
      <c r="P167" s="7"/>
      <c r="Q167" s="8">
        <f>bdrate(C167:C170,D167:D170,J167:J170,K167:K170)</f>
        <v>-0.58617278897843728</v>
      </c>
      <c r="R167" s="8">
        <f>bdrate(C167:C170,E167:E170,J167:J170,L167:L170)</f>
        <v>-0.69005636120567138</v>
      </c>
      <c r="S167" s="8">
        <f>bdrate(C167:C170,F167:F170,J167:J170,M167:M170)</f>
        <v>-0.69195224784681209</v>
      </c>
      <c r="T167" s="25">
        <f>bdrate(C167:C170,H167:H170,J167:J170,O167:O170)</f>
        <v>-0.60278912602946222</v>
      </c>
      <c r="U167" s="28">
        <f t="shared" si="8"/>
        <v>-0.23827665806985698</v>
      </c>
    </row>
    <row r="168" spans="1:21" x14ac:dyDescent="0.25">
      <c r="B168" s="9"/>
      <c r="C168" s="17">
        <v>983.3</v>
      </c>
      <c r="D168" s="18">
        <v>26.48</v>
      </c>
      <c r="E168" s="18">
        <v>34.18</v>
      </c>
      <c r="F168" s="18">
        <v>34.887</v>
      </c>
      <c r="G168" s="18">
        <v>843.17</v>
      </c>
      <c r="H168" s="18">
        <f t="shared" si="6"/>
        <v>28.493375</v>
      </c>
      <c r="I168" s="5"/>
      <c r="J168" s="17">
        <v>810.87519999999995</v>
      </c>
      <c r="K168" s="18">
        <v>28.613499999999998</v>
      </c>
      <c r="L168" s="18">
        <v>35.754100000000001</v>
      </c>
      <c r="M168" s="18">
        <v>36.492199999999997</v>
      </c>
      <c r="N168" s="18">
        <v>561.79780000000005</v>
      </c>
      <c r="O168" s="18">
        <f t="shared" si="7"/>
        <v>30.490912499999997</v>
      </c>
      <c r="P168" s="7"/>
      <c r="Q168" s="10"/>
      <c r="R168" s="11"/>
      <c r="S168" s="11"/>
      <c r="T168" s="26"/>
      <c r="U168" s="28">
        <f t="shared" si="8"/>
        <v>-0.3337075560088712</v>
      </c>
    </row>
    <row r="169" spans="1:21" x14ac:dyDescent="0.25">
      <c r="B169" s="9"/>
      <c r="C169" s="17">
        <v>610.76</v>
      </c>
      <c r="D169" s="18">
        <v>25.018999999999998</v>
      </c>
      <c r="E169" s="18">
        <v>33.777000000000001</v>
      </c>
      <c r="F169" s="18">
        <v>34.484999999999999</v>
      </c>
      <c r="G169" s="18">
        <v>782.47</v>
      </c>
      <c r="H169" s="18">
        <f t="shared" si="6"/>
        <v>27.296999999999997</v>
      </c>
      <c r="I169" s="5"/>
      <c r="J169" s="17">
        <v>508.8064</v>
      </c>
      <c r="K169" s="18">
        <v>27.1753</v>
      </c>
      <c r="L169" s="18">
        <v>34.966900000000003</v>
      </c>
      <c r="M169" s="18">
        <v>35.679200000000002</v>
      </c>
      <c r="N169" s="18">
        <v>666.66669999999999</v>
      </c>
      <c r="O169" s="18">
        <f t="shared" si="7"/>
        <v>29.212237500000004</v>
      </c>
      <c r="P169" s="7"/>
      <c r="Q169" s="10"/>
      <c r="R169" s="11"/>
      <c r="S169" s="11"/>
      <c r="T169" s="26"/>
      <c r="U169" s="28">
        <f t="shared" si="8"/>
        <v>-0.14799711171035315</v>
      </c>
    </row>
    <row r="170" spans="1:21" ht="16.5" thickBot="1" x14ac:dyDescent="0.3">
      <c r="B170" s="12"/>
      <c r="C170" s="19">
        <v>374.65</v>
      </c>
      <c r="D170" s="20">
        <v>23.587</v>
      </c>
      <c r="E170" s="20">
        <v>33.374000000000002</v>
      </c>
      <c r="F170" s="20">
        <v>34.084000000000003</v>
      </c>
      <c r="G170" s="20">
        <v>801.28</v>
      </c>
      <c r="H170" s="20">
        <f t="shared" si="6"/>
        <v>26.122499999999999</v>
      </c>
      <c r="I170" s="5"/>
      <c r="J170" s="19">
        <v>305.66079999999999</v>
      </c>
      <c r="K170" s="20">
        <v>25.644600000000001</v>
      </c>
      <c r="L170" s="20">
        <v>34.076599999999999</v>
      </c>
      <c r="M170" s="20">
        <v>34.7883</v>
      </c>
      <c r="N170" s="20">
        <v>745.15650000000005</v>
      </c>
      <c r="O170" s="20">
        <f t="shared" si="7"/>
        <v>27.841562500000002</v>
      </c>
      <c r="P170" s="7"/>
      <c r="Q170" s="13"/>
      <c r="R170" s="14"/>
      <c r="S170" s="14"/>
      <c r="T170" s="27"/>
      <c r="U170" s="28">
        <f t="shared" si="8"/>
        <v>-7.0042307308306614E-2</v>
      </c>
    </row>
    <row r="171" spans="1:21" x14ac:dyDescent="0.25">
      <c r="B171" s="6" t="s">
        <v>56</v>
      </c>
      <c r="C171" s="15">
        <v>1467.12</v>
      </c>
      <c r="D171" s="16">
        <v>31.724</v>
      </c>
      <c r="E171" s="16">
        <v>36.008000000000003</v>
      </c>
      <c r="F171" s="16">
        <v>37.594999999999999</v>
      </c>
      <c r="G171" s="16">
        <v>564.97</v>
      </c>
      <c r="H171" s="16">
        <f t="shared" si="6"/>
        <v>32.993375</v>
      </c>
      <c r="I171" s="5"/>
      <c r="J171" s="15">
        <v>1201.0232000000001</v>
      </c>
      <c r="K171" s="16">
        <v>31.892199999999999</v>
      </c>
      <c r="L171" s="16">
        <v>36.604700000000001</v>
      </c>
      <c r="M171" s="16">
        <v>38.168999999999997</v>
      </c>
      <c r="N171" s="16">
        <v>356.29450000000003</v>
      </c>
      <c r="O171" s="16">
        <f t="shared" si="7"/>
        <v>33.265862499999997</v>
      </c>
      <c r="P171" s="7"/>
      <c r="Q171" s="8">
        <f>bdrate(C171:C174,D171:D174,J171:J174,K171:K174)</f>
        <v>-0.27731651246074795</v>
      </c>
      <c r="R171" s="8">
        <f>bdrate(C171:C174,E171:E174,J171:J174,L171:L174)</f>
        <v>-0.31535949219835291</v>
      </c>
      <c r="S171" s="8">
        <f>bdrate(C171:C174,F171:F174,J171:J174,M171:M174)</f>
        <v>-0.29430614858001425</v>
      </c>
      <c r="T171" s="25">
        <f>bdrate(C171:C174,H171:H174,J171:J174,O171:O174)</f>
        <v>-0.28404981294855192</v>
      </c>
      <c r="U171" s="28">
        <f t="shared" si="8"/>
        <v>-0.36935678000601802</v>
      </c>
    </row>
    <row r="172" spans="1:21" x14ac:dyDescent="0.25">
      <c r="B172" s="9"/>
      <c r="C172" s="17">
        <v>1005.79</v>
      </c>
      <c r="D172" s="18">
        <v>30.192</v>
      </c>
      <c r="E172" s="18">
        <v>35.365000000000002</v>
      </c>
      <c r="F172" s="18">
        <v>36.941000000000003</v>
      </c>
      <c r="G172" s="18">
        <v>662.25</v>
      </c>
      <c r="H172" s="18">
        <f t="shared" si="6"/>
        <v>31.68225</v>
      </c>
      <c r="I172" s="5"/>
      <c r="J172" s="17">
        <v>795.93119999999999</v>
      </c>
      <c r="K172" s="18">
        <v>30.382100000000001</v>
      </c>
      <c r="L172" s="18">
        <v>35.747199999999999</v>
      </c>
      <c r="M172" s="18">
        <v>37.281399999999998</v>
      </c>
      <c r="N172" s="18">
        <v>418.41</v>
      </c>
      <c r="O172" s="18">
        <f t="shared" si="7"/>
        <v>31.915149999999997</v>
      </c>
      <c r="P172" s="7"/>
      <c r="Q172" s="10"/>
      <c r="R172" s="11"/>
      <c r="S172" s="11"/>
      <c r="T172" s="26"/>
      <c r="U172" s="28">
        <f t="shared" si="8"/>
        <v>-0.36819932049830123</v>
      </c>
    </row>
    <row r="173" spans="1:21" x14ac:dyDescent="0.25">
      <c r="B173" s="9"/>
      <c r="C173" s="17">
        <v>634.82000000000005</v>
      </c>
      <c r="D173" s="18">
        <v>28.379000000000001</v>
      </c>
      <c r="E173" s="18">
        <v>34.688000000000002</v>
      </c>
      <c r="F173" s="18">
        <v>36.219000000000001</v>
      </c>
      <c r="G173" s="18">
        <v>710.9</v>
      </c>
      <c r="H173" s="18">
        <f t="shared" si="6"/>
        <v>30.147624999999998</v>
      </c>
      <c r="I173" s="5"/>
      <c r="J173" s="17">
        <v>497.56959999999998</v>
      </c>
      <c r="K173" s="18">
        <v>28.79</v>
      </c>
      <c r="L173" s="18">
        <v>34.877699999999997</v>
      </c>
      <c r="M173" s="18">
        <v>36.362200000000001</v>
      </c>
      <c r="N173" s="18">
        <v>533.80780000000004</v>
      </c>
      <c r="O173" s="18">
        <f t="shared" si="7"/>
        <v>30.497487500000002</v>
      </c>
      <c r="P173" s="7"/>
      <c r="Q173" s="10"/>
      <c r="R173" s="11"/>
      <c r="S173" s="11"/>
      <c r="T173" s="26"/>
      <c r="U173" s="28">
        <f t="shared" si="8"/>
        <v>-0.24910986073990707</v>
      </c>
    </row>
    <row r="174" spans="1:21" ht="16.5" thickBot="1" x14ac:dyDescent="0.3">
      <c r="B174" s="12"/>
      <c r="C174" s="19">
        <v>396.6</v>
      </c>
      <c r="D174" s="20">
        <v>26.64</v>
      </c>
      <c r="E174" s="20">
        <v>33.927</v>
      </c>
      <c r="F174" s="20">
        <v>35.381999999999998</v>
      </c>
      <c r="G174" s="20">
        <v>738.92</v>
      </c>
      <c r="H174" s="20">
        <f t="shared" si="6"/>
        <v>28.643625</v>
      </c>
      <c r="I174" s="5"/>
      <c r="J174" s="19">
        <v>299.65519999999998</v>
      </c>
      <c r="K174" s="20">
        <v>27.1631</v>
      </c>
      <c r="L174" s="20">
        <v>33.8748</v>
      </c>
      <c r="M174" s="20">
        <v>35.2746</v>
      </c>
      <c r="N174" s="20">
        <v>619.8347</v>
      </c>
      <c r="O174" s="20">
        <f t="shared" si="7"/>
        <v>29.015999999999998</v>
      </c>
      <c r="P174" s="7"/>
      <c r="Q174" s="13"/>
      <c r="R174" s="14"/>
      <c r="S174" s="14"/>
      <c r="T174" s="27"/>
      <c r="U174" s="28">
        <f t="shared" si="8"/>
        <v>-0.16116128944946675</v>
      </c>
    </row>
    <row r="175" spans="1:21" x14ac:dyDescent="0.25">
      <c r="A175" s="6" t="s">
        <v>41</v>
      </c>
      <c r="B175" s="6" t="s">
        <v>57</v>
      </c>
      <c r="C175" s="15">
        <v>836.9</v>
      </c>
      <c r="D175" s="16">
        <v>33.802999999999997</v>
      </c>
      <c r="E175" s="16">
        <v>38.241999999999997</v>
      </c>
      <c r="F175" s="16">
        <v>37.170999999999999</v>
      </c>
      <c r="G175" s="16">
        <v>2283.11</v>
      </c>
      <c r="H175" s="16">
        <f t="shared" si="6"/>
        <v>34.778874999999999</v>
      </c>
      <c r="I175" s="5"/>
      <c r="J175" s="15">
        <v>603.23760000000004</v>
      </c>
      <c r="K175" s="16">
        <v>33.941800000000001</v>
      </c>
      <c r="L175" s="16">
        <v>39.345999999999997</v>
      </c>
      <c r="M175" s="16">
        <v>37.813299999999998</v>
      </c>
      <c r="N175" s="16">
        <v>1187.6485</v>
      </c>
      <c r="O175" s="16">
        <f t="shared" si="7"/>
        <v>35.101262500000004</v>
      </c>
      <c r="P175" s="7"/>
      <c r="Q175" s="8">
        <f>bdrate(C175:C178,D175:D178,J175:J178,K175:K178)</f>
        <v>-0.33098611831715818</v>
      </c>
      <c r="R175" s="8">
        <f>bdrate(C175:C178,E175:E178,J175:J178,L175:L178)</f>
        <v>-0.48936638362699658</v>
      </c>
      <c r="S175" s="8">
        <f>bdrate(C175:C178,F175:F178,J175:J178,M175:M178)</f>
        <v>-0.36396590268783768</v>
      </c>
      <c r="T175" s="25">
        <f>bdrate(C175:C178,H175:H178,J175:J178,O175:O178)</f>
        <v>-0.34755238833550439</v>
      </c>
      <c r="U175" s="28">
        <f t="shared" si="8"/>
        <v>-0.47981109101182162</v>
      </c>
    </row>
    <row r="176" spans="1:21" x14ac:dyDescent="0.25">
      <c r="A176" s="9" t="s">
        <v>42</v>
      </c>
      <c r="B176" s="9"/>
      <c r="C176" s="17">
        <v>525.39</v>
      </c>
      <c r="D176" s="18">
        <v>31.661000000000001</v>
      </c>
      <c r="E176" s="18">
        <v>37.222999999999999</v>
      </c>
      <c r="F176" s="18">
        <v>35.935000000000002</v>
      </c>
      <c r="G176" s="18">
        <v>2923.98</v>
      </c>
      <c r="H176" s="18">
        <f t="shared" si="6"/>
        <v>32.890500000000003</v>
      </c>
      <c r="I176" s="5"/>
      <c r="J176" s="17">
        <v>402.93759999999997</v>
      </c>
      <c r="K176" s="18">
        <v>32.166400000000003</v>
      </c>
      <c r="L176" s="18">
        <v>38.2363</v>
      </c>
      <c r="M176" s="18">
        <v>36.573900000000002</v>
      </c>
      <c r="N176" s="18">
        <v>1457.7258999999999</v>
      </c>
      <c r="O176" s="18">
        <f t="shared" si="7"/>
        <v>33.476075000000002</v>
      </c>
      <c r="P176" s="7"/>
      <c r="Q176" s="10"/>
      <c r="R176" s="11"/>
      <c r="S176" s="11"/>
      <c r="T176" s="26"/>
      <c r="U176" s="28">
        <f t="shared" si="8"/>
        <v>-0.50145832050834827</v>
      </c>
    </row>
    <row r="177" spans="1:21" x14ac:dyDescent="0.25">
      <c r="B177" s="9"/>
      <c r="C177" s="17">
        <v>317.26</v>
      </c>
      <c r="D177" s="18">
        <v>29.533000000000001</v>
      </c>
      <c r="E177" s="18">
        <v>36.317999999999998</v>
      </c>
      <c r="F177" s="18">
        <v>34.805999999999997</v>
      </c>
      <c r="G177" s="18">
        <v>2906.98</v>
      </c>
      <c r="H177" s="18">
        <f t="shared" si="6"/>
        <v>31.04025</v>
      </c>
      <c r="I177" s="5"/>
      <c r="J177" s="17">
        <v>253.49039999999999</v>
      </c>
      <c r="K177" s="18">
        <v>30.259</v>
      </c>
      <c r="L177" s="18">
        <v>37.174599999999998</v>
      </c>
      <c r="M177" s="18">
        <v>35.367199999999997</v>
      </c>
      <c r="N177" s="18">
        <v>1779.3594000000001</v>
      </c>
      <c r="O177" s="18">
        <f t="shared" si="7"/>
        <v>31.761975</v>
      </c>
      <c r="P177" s="7"/>
      <c r="Q177" s="10"/>
      <c r="R177" s="11"/>
      <c r="S177" s="11"/>
      <c r="T177" s="26"/>
      <c r="U177" s="28">
        <f t="shared" si="8"/>
        <v>-0.38790105195082181</v>
      </c>
    </row>
    <row r="178" spans="1:21" ht="16.5" thickBot="1" x14ac:dyDescent="0.3">
      <c r="B178" s="12"/>
      <c r="C178" s="19">
        <v>162.91999999999999</v>
      </c>
      <c r="D178" s="20">
        <v>26.678000000000001</v>
      </c>
      <c r="E178" s="20">
        <v>35.250999999999998</v>
      </c>
      <c r="F178" s="20">
        <v>33.593000000000004</v>
      </c>
      <c r="G178" s="20">
        <v>3205.13</v>
      </c>
      <c r="H178" s="20">
        <f t="shared" si="6"/>
        <v>28.614000000000004</v>
      </c>
      <c r="I178" s="5"/>
      <c r="J178" s="19">
        <v>121.5176</v>
      </c>
      <c r="K178" s="20">
        <v>27.474699999999999</v>
      </c>
      <c r="L178" s="20">
        <v>35.662399999999998</v>
      </c>
      <c r="M178" s="20">
        <v>33.4955</v>
      </c>
      <c r="N178" s="20">
        <v>2000</v>
      </c>
      <c r="O178" s="20">
        <f t="shared" si="7"/>
        <v>29.250762499999997</v>
      </c>
      <c r="P178" s="7"/>
      <c r="Q178" s="13"/>
      <c r="R178" s="14"/>
      <c r="S178" s="14"/>
      <c r="T178" s="27"/>
      <c r="U178" s="28">
        <f t="shared" si="8"/>
        <v>-0.37600034943980432</v>
      </c>
    </row>
    <row r="179" spans="1:21" x14ac:dyDescent="0.25">
      <c r="B179" s="6" t="s">
        <v>58</v>
      </c>
      <c r="C179" s="15">
        <v>768.76</v>
      </c>
      <c r="D179" s="16">
        <v>30.521999999999998</v>
      </c>
      <c r="E179" s="16">
        <v>38.463000000000001</v>
      </c>
      <c r="F179" s="16">
        <v>38.92</v>
      </c>
      <c r="G179" s="16">
        <v>2264.15</v>
      </c>
      <c r="H179" s="16">
        <f t="shared" si="6"/>
        <v>32.564374999999998</v>
      </c>
      <c r="I179" s="5"/>
      <c r="J179" s="15">
        <v>600.02800000000002</v>
      </c>
      <c r="K179" s="16">
        <v>33.215699999999998</v>
      </c>
      <c r="L179" s="16">
        <v>41.142400000000002</v>
      </c>
      <c r="M179" s="16">
        <v>41.910200000000003</v>
      </c>
      <c r="N179" s="16">
        <v>1425.1781000000001</v>
      </c>
      <c r="O179" s="16">
        <f t="shared" si="7"/>
        <v>35.293350000000004</v>
      </c>
      <c r="P179" s="7"/>
      <c r="Q179" s="8">
        <f>bdrate(C179:C182,D179:D182,J179:J182,K179:K182)</f>
        <v>-0.65847365671364888</v>
      </c>
      <c r="R179" s="8">
        <f>bdrate(C179:C182,E179:E182,J179:J182,L179:L182)</f>
        <v>-0.78050970106407702</v>
      </c>
      <c r="S179" s="8">
        <f>bdrate(C179:C182,F179:F182,J179:J182,M179:M182)</f>
        <v>-0.81494318666845345</v>
      </c>
      <c r="T179" s="25">
        <f>bdrate(C179:C182,H179:H182,J179:J182,O179:O182)</f>
        <v>-0.68002303450512747</v>
      </c>
      <c r="U179" s="28">
        <f t="shared" si="8"/>
        <v>-0.37054607689419872</v>
      </c>
    </row>
    <row r="180" spans="1:21" x14ac:dyDescent="0.25">
      <c r="B180" s="9"/>
      <c r="C180" s="17">
        <v>477.93</v>
      </c>
      <c r="D180" s="18">
        <v>28.911000000000001</v>
      </c>
      <c r="E180" s="18">
        <v>38.021000000000001</v>
      </c>
      <c r="F180" s="18">
        <v>38.302999999999997</v>
      </c>
      <c r="G180" s="18">
        <v>3508.77</v>
      </c>
      <c r="H180" s="18">
        <f t="shared" si="6"/>
        <v>31.223750000000003</v>
      </c>
      <c r="I180" s="5"/>
      <c r="J180" s="17">
        <v>399.29360000000003</v>
      </c>
      <c r="K180" s="18">
        <v>31.921500000000002</v>
      </c>
      <c r="L180" s="18">
        <v>40.258899999999997</v>
      </c>
      <c r="M180" s="18">
        <v>41.048400000000001</v>
      </c>
      <c r="N180" s="18">
        <v>1749.2710999999999</v>
      </c>
      <c r="O180" s="18">
        <f t="shared" si="7"/>
        <v>34.104537499999999</v>
      </c>
      <c r="P180" s="7"/>
      <c r="Q180" s="10"/>
      <c r="R180" s="11"/>
      <c r="S180" s="11"/>
      <c r="T180" s="26"/>
      <c r="U180" s="28">
        <f t="shared" si="8"/>
        <v>-0.50145746230160426</v>
      </c>
    </row>
    <row r="181" spans="1:21" x14ac:dyDescent="0.25">
      <c r="B181" s="9"/>
      <c r="C181" s="17">
        <v>282.89</v>
      </c>
      <c r="D181" s="18">
        <v>27.213999999999999</v>
      </c>
      <c r="E181" s="18">
        <v>37.603999999999999</v>
      </c>
      <c r="F181" s="18">
        <v>37.837000000000003</v>
      </c>
      <c r="G181" s="18">
        <v>3846.15</v>
      </c>
      <c r="H181" s="18">
        <f t="shared" si="6"/>
        <v>29.840624999999996</v>
      </c>
      <c r="I181" s="5"/>
      <c r="J181" s="17">
        <v>249.4632</v>
      </c>
      <c r="K181" s="18">
        <v>30.3809</v>
      </c>
      <c r="L181" s="18">
        <v>39.340600000000002</v>
      </c>
      <c r="M181" s="18">
        <v>40.0182</v>
      </c>
      <c r="N181" s="18">
        <v>1834.8624</v>
      </c>
      <c r="O181" s="18">
        <f t="shared" si="7"/>
        <v>32.705525000000002</v>
      </c>
      <c r="P181" s="7"/>
      <c r="Q181" s="10"/>
      <c r="R181" s="11"/>
      <c r="S181" s="11"/>
      <c r="T181" s="26"/>
      <c r="U181" s="28">
        <f t="shared" si="8"/>
        <v>-0.522935298935299</v>
      </c>
    </row>
    <row r="182" spans="1:21" ht="16.5" thickBot="1" x14ac:dyDescent="0.3">
      <c r="B182" s="12"/>
      <c r="C182" s="19">
        <v>139.76</v>
      </c>
      <c r="D182" s="20">
        <v>25.13</v>
      </c>
      <c r="E182" s="20">
        <v>37.07</v>
      </c>
      <c r="F182" s="20">
        <v>37.119999999999997</v>
      </c>
      <c r="G182" s="20">
        <v>3846.15</v>
      </c>
      <c r="H182" s="20">
        <f t="shared" si="6"/>
        <v>28.12125</v>
      </c>
      <c r="I182" s="5"/>
      <c r="J182" s="19">
        <v>120.04640000000001</v>
      </c>
      <c r="K182" s="20">
        <v>27.803899999999999</v>
      </c>
      <c r="L182" s="20">
        <v>38.045499999999997</v>
      </c>
      <c r="M182" s="20">
        <v>38.638399999999997</v>
      </c>
      <c r="N182" s="20">
        <v>2027.027</v>
      </c>
      <c r="O182" s="20">
        <f t="shared" si="7"/>
        <v>30.438412499999998</v>
      </c>
      <c r="P182" s="7"/>
      <c r="Q182" s="13"/>
      <c r="R182" s="14"/>
      <c r="S182" s="14"/>
      <c r="T182" s="27"/>
      <c r="U182" s="28">
        <f t="shared" si="8"/>
        <v>-0.47297245297245299</v>
      </c>
    </row>
    <row r="183" spans="1:21" x14ac:dyDescent="0.25">
      <c r="B183" s="6" t="s">
        <v>59</v>
      </c>
      <c r="C183" s="29">
        <v>844.87</v>
      </c>
      <c r="D183" s="30">
        <v>31.951000000000001</v>
      </c>
      <c r="E183" s="30">
        <v>35.853999999999999</v>
      </c>
      <c r="F183" s="30">
        <v>36.262</v>
      </c>
      <c r="G183" s="16">
        <v>2293.58</v>
      </c>
      <c r="H183" s="16">
        <f t="shared" si="6"/>
        <v>32.97775</v>
      </c>
      <c r="I183" s="5"/>
      <c r="J183" s="29">
        <v>642.43039999999996</v>
      </c>
      <c r="K183" s="30">
        <v>32.762799999999999</v>
      </c>
      <c r="L183" s="30">
        <v>37.858899999999998</v>
      </c>
      <c r="M183" s="30">
        <v>38.6233</v>
      </c>
      <c r="N183" s="16">
        <v>1282.0513000000001</v>
      </c>
      <c r="O183" s="16">
        <f t="shared" si="7"/>
        <v>34.132374999999996</v>
      </c>
      <c r="P183" s="7"/>
      <c r="Q183" s="8">
        <f>bdrate(C183:C186,D183:D186,J183:J186,K183:K186)</f>
        <v>-0.43509090475882473</v>
      </c>
      <c r="R183" s="8">
        <f>bdrate(C183:C186,E183:E186,J183:J186,L183:L186)</f>
        <v>-0.66890285800425775</v>
      </c>
      <c r="S183" s="8">
        <f>bdrate(C183:C186,F183:F186,J183:J186,M183:M186)</f>
        <v>-0.72177696867749019</v>
      </c>
      <c r="T183" s="25">
        <f>bdrate(C183:C186,H183:H186,J183:J186,O183:O186)</f>
        <v>-0.48717217197164508</v>
      </c>
      <c r="U183" s="28">
        <f t="shared" si="8"/>
        <v>-0.44102612509700984</v>
      </c>
    </row>
    <row r="184" spans="1:21" x14ac:dyDescent="0.25">
      <c r="B184" s="9"/>
      <c r="C184" s="31">
        <v>527.24</v>
      </c>
      <c r="D184" s="32">
        <v>30.068999999999999</v>
      </c>
      <c r="E184" s="32">
        <v>34.872</v>
      </c>
      <c r="F184" s="32">
        <v>35.304000000000002</v>
      </c>
      <c r="G184" s="18">
        <v>3205.13</v>
      </c>
      <c r="H184" s="18">
        <f t="shared" si="6"/>
        <v>31.32375</v>
      </c>
      <c r="I184" s="5"/>
      <c r="J184" s="31">
        <v>426.18720000000002</v>
      </c>
      <c r="K184" s="32">
        <v>31.265499999999999</v>
      </c>
      <c r="L184" s="32">
        <v>36.893799999999999</v>
      </c>
      <c r="M184" s="32">
        <v>37.643900000000002</v>
      </c>
      <c r="N184" s="18">
        <v>1333.3333</v>
      </c>
      <c r="O184" s="18">
        <f t="shared" si="7"/>
        <v>32.766337499999999</v>
      </c>
      <c r="P184" s="7"/>
      <c r="Q184" s="10"/>
      <c r="R184" s="11"/>
      <c r="S184" s="11"/>
      <c r="T184" s="26"/>
      <c r="U184" s="28">
        <f t="shared" si="8"/>
        <v>-0.58400024335986378</v>
      </c>
    </row>
    <row r="185" spans="1:21" x14ac:dyDescent="0.25">
      <c r="B185" s="9"/>
      <c r="C185" s="31">
        <v>315.36</v>
      </c>
      <c r="D185" s="32">
        <v>28.216999999999999</v>
      </c>
      <c r="E185" s="32">
        <v>34.118000000000002</v>
      </c>
      <c r="F185" s="32">
        <v>34.576000000000001</v>
      </c>
      <c r="G185" s="18">
        <v>3571.43</v>
      </c>
      <c r="H185" s="18">
        <f t="shared" si="6"/>
        <v>29.749499999999998</v>
      </c>
      <c r="I185" s="5"/>
      <c r="J185" s="31">
        <v>263.74880000000002</v>
      </c>
      <c r="K185" s="32">
        <v>29.632400000000001</v>
      </c>
      <c r="L185" s="32">
        <v>35.720500000000001</v>
      </c>
      <c r="M185" s="32">
        <v>36.511099999999999</v>
      </c>
      <c r="N185" s="18">
        <v>1602.5641000000001</v>
      </c>
      <c r="O185" s="18">
        <f t="shared" si="7"/>
        <v>31.253250000000001</v>
      </c>
      <c r="P185" s="7"/>
      <c r="Q185" s="10"/>
      <c r="R185" s="11"/>
      <c r="S185" s="11"/>
      <c r="T185" s="26"/>
      <c r="U185" s="28">
        <f t="shared" si="8"/>
        <v>-0.55128223148710742</v>
      </c>
    </row>
    <row r="186" spans="1:21" ht="16.5" thickBot="1" x14ac:dyDescent="0.3">
      <c r="B186" s="12"/>
      <c r="C186" s="33">
        <v>155.07</v>
      </c>
      <c r="D186" s="34">
        <v>25.916</v>
      </c>
      <c r="E186" s="34">
        <v>33.347999999999999</v>
      </c>
      <c r="F186" s="34">
        <v>33.869999999999997</v>
      </c>
      <c r="G186" s="20">
        <v>3571.43</v>
      </c>
      <c r="H186" s="20">
        <f t="shared" si="6"/>
        <v>27.83925</v>
      </c>
      <c r="I186" s="5"/>
      <c r="J186" s="33">
        <v>126.6896</v>
      </c>
      <c r="K186" s="34">
        <v>27.270499999999998</v>
      </c>
      <c r="L186" s="34">
        <v>34.299300000000002</v>
      </c>
      <c r="M186" s="34">
        <v>35.000100000000003</v>
      </c>
      <c r="N186" s="20">
        <v>2136.7521000000002</v>
      </c>
      <c r="O186" s="20">
        <f t="shared" si="7"/>
        <v>29.115300000000001</v>
      </c>
      <c r="P186" s="7"/>
      <c r="Q186" s="13"/>
      <c r="R186" s="14"/>
      <c r="S186" s="14"/>
      <c r="T186" s="27"/>
      <c r="U186" s="28">
        <f t="shared" si="8"/>
        <v>-0.40170965131613939</v>
      </c>
    </row>
    <row r="187" spans="1:21" x14ac:dyDescent="0.25">
      <c r="B187" s="6" t="s">
        <v>60</v>
      </c>
      <c r="C187" s="15">
        <v>785.19</v>
      </c>
      <c r="D187" s="16">
        <v>33.597999999999999</v>
      </c>
      <c r="E187" s="16">
        <v>36.531999999999996</v>
      </c>
      <c r="F187" s="16">
        <v>37.564999999999998</v>
      </c>
      <c r="G187" s="16">
        <v>2419.35</v>
      </c>
      <c r="H187" s="16">
        <f t="shared" si="6"/>
        <v>34.460625</v>
      </c>
      <c r="I187" s="5"/>
      <c r="J187" s="15">
        <v>602.5</v>
      </c>
      <c r="K187" s="16">
        <v>33.286900000000003</v>
      </c>
      <c r="L187" s="16">
        <v>37.315800000000003</v>
      </c>
      <c r="M187" s="16">
        <v>38.388100000000001</v>
      </c>
      <c r="N187" s="16">
        <v>914.63409999999999</v>
      </c>
      <c r="O187" s="16">
        <f t="shared" si="7"/>
        <v>34.428162499999999</v>
      </c>
      <c r="P187" s="7"/>
      <c r="Q187" s="8">
        <f>bdrate(C187:C190,D187:D190,J187:J190,K187:K190)</f>
        <v>-0.20900959119503204</v>
      </c>
      <c r="R187" s="8">
        <f>bdrate(C187:C190,E187:E190,J187:J190,L187:L190)</f>
        <v>-0.40046150104113631</v>
      </c>
      <c r="S187" s="8">
        <f>bdrate(C187:C190,F187:F190,J187:J190,M187:M190)</f>
        <v>-0.3849118322127375</v>
      </c>
      <c r="T187" s="25">
        <f>bdrate(C187:C190,H187:H190,J187:J190,O187:O190)</f>
        <v>-0.2410898621254145</v>
      </c>
      <c r="U187" s="28">
        <f t="shared" si="8"/>
        <v>-0.62195048256763175</v>
      </c>
    </row>
    <row r="188" spans="1:21" x14ac:dyDescent="0.25">
      <c r="B188" s="9"/>
      <c r="C188" s="17">
        <v>495.32</v>
      </c>
      <c r="D188" s="18">
        <v>31.524000000000001</v>
      </c>
      <c r="E188" s="18">
        <v>35.435000000000002</v>
      </c>
      <c r="F188" s="18">
        <v>36.487000000000002</v>
      </c>
      <c r="G188" s="18">
        <v>2752.29</v>
      </c>
      <c r="H188" s="18">
        <f t="shared" si="6"/>
        <v>32.633250000000004</v>
      </c>
      <c r="I188" s="5"/>
      <c r="J188" s="17">
        <v>401.81439999999998</v>
      </c>
      <c r="K188" s="18">
        <v>31.548200000000001</v>
      </c>
      <c r="L188" s="18">
        <v>36.279000000000003</v>
      </c>
      <c r="M188" s="18">
        <v>37.320900000000002</v>
      </c>
      <c r="N188" s="18">
        <v>961.5385</v>
      </c>
      <c r="O188" s="18">
        <f t="shared" si="7"/>
        <v>32.861137499999998</v>
      </c>
      <c r="P188" s="7"/>
      <c r="Q188" s="10"/>
      <c r="R188" s="11"/>
      <c r="S188" s="11"/>
      <c r="T188" s="26"/>
      <c r="U188" s="28">
        <f t="shared" si="8"/>
        <v>-0.65064055749939143</v>
      </c>
    </row>
    <row r="189" spans="1:21" x14ac:dyDescent="0.25">
      <c r="B189" s="9"/>
      <c r="C189" s="17">
        <v>298.24</v>
      </c>
      <c r="D189" s="18">
        <v>29.523</v>
      </c>
      <c r="E189" s="18">
        <v>34.47</v>
      </c>
      <c r="F189" s="18">
        <v>35.530999999999999</v>
      </c>
      <c r="G189" s="18">
        <v>3225.81</v>
      </c>
      <c r="H189" s="18">
        <f t="shared" si="6"/>
        <v>30.892375000000001</v>
      </c>
      <c r="I189" s="5"/>
      <c r="J189" s="17">
        <v>250.79040000000001</v>
      </c>
      <c r="K189" s="18">
        <v>29.7392</v>
      </c>
      <c r="L189" s="18">
        <v>35.126899999999999</v>
      </c>
      <c r="M189" s="18">
        <v>36.144799999999996</v>
      </c>
      <c r="N189" s="18">
        <v>1376.1468</v>
      </c>
      <c r="O189" s="18">
        <f t="shared" si="7"/>
        <v>31.213362500000002</v>
      </c>
      <c r="P189" s="7"/>
      <c r="Q189" s="10"/>
      <c r="R189" s="11"/>
      <c r="S189" s="11"/>
      <c r="T189" s="26"/>
      <c r="U189" s="28">
        <f t="shared" si="8"/>
        <v>-0.57339496126554257</v>
      </c>
    </row>
    <row r="190" spans="1:21" ht="16.5" thickBot="1" x14ac:dyDescent="0.3">
      <c r="B190" s="12"/>
      <c r="C190" s="19">
        <v>149.12</v>
      </c>
      <c r="D190" s="20">
        <v>26.923999999999999</v>
      </c>
      <c r="E190" s="20">
        <v>33.354999999999997</v>
      </c>
      <c r="F190" s="20">
        <v>34.341999999999999</v>
      </c>
      <c r="G190" s="20">
        <v>3191.49</v>
      </c>
      <c r="H190" s="20">
        <f t="shared" si="6"/>
        <v>28.655124999999998</v>
      </c>
      <c r="I190" s="5"/>
      <c r="J190" s="19">
        <v>120.5856</v>
      </c>
      <c r="K190" s="20">
        <v>27.279299999999999</v>
      </c>
      <c r="L190" s="20">
        <v>33.622799999999998</v>
      </c>
      <c r="M190" s="20">
        <v>34.553699999999999</v>
      </c>
      <c r="N190" s="20">
        <v>1604.2781</v>
      </c>
      <c r="O190" s="20">
        <f t="shared" si="7"/>
        <v>28.981537499999995</v>
      </c>
      <c r="P190" s="7"/>
      <c r="Q190" s="13"/>
      <c r="R190" s="14"/>
      <c r="S190" s="14"/>
      <c r="T190" s="27"/>
      <c r="U190" s="28">
        <f t="shared" si="8"/>
        <v>-0.49732629586807414</v>
      </c>
    </row>
    <row r="191" spans="1:21" x14ac:dyDescent="0.25">
      <c r="A191" s="6" t="s">
        <v>43</v>
      </c>
      <c r="B191" s="6" t="s">
        <v>61</v>
      </c>
      <c r="C191" s="15">
        <v>1961.42</v>
      </c>
      <c r="D191" s="16">
        <v>40.225999999999999</v>
      </c>
      <c r="E191" s="16">
        <v>44.036000000000001</v>
      </c>
      <c r="F191" s="16">
        <v>45.14</v>
      </c>
      <c r="G191" s="16">
        <v>295.86</v>
      </c>
      <c r="H191" s="16">
        <f t="shared" si="6"/>
        <v>41.316499999999998</v>
      </c>
      <c r="I191" s="5"/>
      <c r="J191" s="15">
        <v>1498.3743999999999</v>
      </c>
      <c r="K191" s="16">
        <v>41.109099999999998</v>
      </c>
      <c r="L191" s="16">
        <v>45.4711</v>
      </c>
      <c r="M191" s="16">
        <v>46.662599999999998</v>
      </c>
      <c r="N191" s="16">
        <v>300.45069999999998</v>
      </c>
      <c r="O191" s="16">
        <f t="shared" si="7"/>
        <v>42.348537499999999</v>
      </c>
      <c r="P191" s="7"/>
      <c r="Q191" s="8">
        <f>bdrate(C191:C194,D191:D194,J191:J194,K191:K194)</f>
        <v>-0.47063031162126956</v>
      </c>
      <c r="R191" s="8">
        <f>bdrate(C191:C194,E191:E194,J191:J194,L191:L194)</f>
        <v>-0.58556069805259092</v>
      </c>
      <c r="S191" s="8">
        <f>bdrate(C191:C194,F191:F194,J191:J194,M191:M194)</f>
        <v>-0.5705433184674491</v>
      </c>
      <c r="T191" s="25">
        <f>bdrate(C191:C194,H191:H194,J191:J194,O191:O194)</f>
        <v>-0.49088060868587002</v>
      </c>
      <c r="U191" s="28">
        <f t="shared" si="8"/>
        <v>1.5516460488068578E-2</v>
      </c>
    </row>
    <row r="192" spans="1:21" x14ac:dyDescent="0.25">
      <c r="A192" s="9" t="s">
        <v>44</v>
      </c>
      <c r="B192" s="9"/>
      <c r="C192" s="17">
        <v>1286.8399999999999</v>
      </c>
      <c r="D192" s="18">
        <v>38.697000000000003</v>
      </c>
      <c r="E192" s="18">
        <v>42.91</v>
      </c>
      <c r="F192" s="18">
        <v>44.091000000000001</v>
      </c>
      <c r="G192" s="18">
        <v>400.8</v>
      </c>
      <c r="H192" s="18">
        <f t="shared" si="6"/>
        <v>39.897874999999999</v>
      </c>
      <c r="I192" s="5"/>
      <c r="J192" s="17">
        <v>987.92160000000001</v>
      </c>
      <c r="K192" s="18">
        <v>39.964799999999997</v>
      </c>
      <c r="L192" s="18">
        <v>44.606900000000003</v>
      </c>
      <c r="M192" s="18">
        <v>45.734900000000003</v>
      </c>
      <c r="N192" s="18">
        <v>376.88440000000003</v>
      </c>
      <c r="O192" s="18">
        <f t="shared" si="7"/>
        <v>41.266324999999995</v>
      </c>
      <c r="P192" s="7"/>
      <c r="Q192" s="10"/>
      <c r="R192" s="11"/>
      <c r="S192" s="11"/>
      <c r="T192" s="26"/>
      <c r="U192" s="28">
        <f t="shared" si="8"/>
        <v>-5.9669660678642669E-2</v>
      </c>
    </row>
    <row r="193" spans="1:21" x14ac:dyDescent="0.25">
      <c r="B193" s="9"/>
      <c r="C193" s="17">
        <v>766.85</v>
      </c>
      <c r="D193" s="18">
        <v>36.359000000000002</v>
      </c>
      <c r="E193" s="18">
        <v>41.694000000000003</v>
      </c>
      <c r="F193" s="18">
        <v>42.731000000000002</v>
      </c>
      <c r="G193" s="18">
        <v>396.56</v>
      </c>
      <c r="H193" s="18">
        <f t="shared" si="6"/>
        <v>37.822375000000001</v>
      </c>
      <c r="I193" s="5"/>
      <c r="J193" s="17">
        <v>575.84640000000002</v>
      </c>
      <c r="K193" s="18">
        <v>37.9499</v>
      </c>
      <c r="L193" s="18">
        <v>43.138199999999998</v>
      </c>
      <c r="M193" s="18">
        <v>44.2029</v>
      </c>
      <c r="N193" s="18">
        <v>400.53399999999999</v>
      </c>
      <c r="O193" s="18">
        <f t="shared" si="7"/>
        <v>39.380062500000001</v>
      </c>
      <c r="P193" s="7"/>
      <c r="Q193" s="10"/>
      <c r="R193" s="11"/>
      <c r="S193" s="11"/>
      <c r="T193" s="26"/>
      <c r="U193" s="28">
        <f t="shared" si="8"/>
        <v>1.0021182166633018E-2</v>
      </c>
    </row>
    <row r="194" spans="1:21" ht="16.5" thickBot="1" x14ac:dyDescent="0.3">
      <c r="B194" s="12"/>
      <c r="C194" s="19">
        <v>352.41</v>
      </c>
      <c r="D194" s="20">
        <v>32.445</v>
      </c>
      <c r="E194" s="20">
        <v>39.725999999999999</v>
      </c>
      <c r="F194" s="20">
        <v>40.517000000000003</v>
      </c>
      <c r="G194" s="20">
        <v>373.37</v>
      </c>
      <c r="H194" s="20">
        <f t="shared" si="6"/>
        <v>34.364125000000001</v>
      </c>
      <c r="I194" s="5"/>
      <c r="J194" s="19">
        <v>282.27199999999999</v>
      </c>
      <c r="K194" s="20">
        <v>34.663699999999999</v>
      </c>
      <c r="L194" s="20">
        <v>41.337499999999999</v>
      </c>
      <c r="M194" s="20">
        <v>42.270099999999999</v>
      </c>
      <c r="N194" s="20">
        <v>442.15179999999998</v>
      </c>
      <c r="O194" s="20">
        <f t="shared" si="7"/>
        <v>36.448724999999996</v>
      </c>
      <c r="P194" s="7"/>
      <c r="Q194" s="13"/>
      <c r="R194" s="14"/>
      <c r="S194" s="14"/>
      <c r="T194" s="27"/>
      <c r="U194" s="28">
        <f t="shared" si="8"/>
        <v>0.18421887136084841</v>
      </c>
    </row>
    <row r="195" spans="1:21" x14ac:dyDescent="0.25">
      <c r="B195" s="6" t="s">
        <v>62</v>
      </c>
      <c r="C195" s="15">
        <v>2031.97</v>
      </c>
      <c r="D195" s="16">
        <v>41.898000000000003</v>
      </c>
      <c r="E195" s="16">
        <v>46.423000000000002</v>
      </c>
      <c r="F195" s="16">
        <v>46.813000000000002</v>
      </c>
      <c r="G195" s="16">
        <v>287.08</v>
      </c>
      <c r="H195" s="16">
        <f t="shared" si="6"/>
        <v>43.078000000000003</v>
      </c>
      <c r="I195" s="5"/>
      <c r="J195" s="15">
        <v>1480.44</v>
      </c>
      <c r="K195" s="16">
        <v>42.4604</v>
      </c>
      <c r="L195" s="16">
        <v>47.547199999999997</v>
      </c>
      <c r="M195" s="16">
        <v>48.237299999999998</v>
      </c>
      <c r="N195" s="16">
        <v>307.53460000000001</v>
      </c>
      <c r="O195" s="16">
        <f t="shared" si="7"/>
        <v>43.818362499999999</v>
      </c>
      <c r="P195" s="7"/>
      <c r="Q195" s="8">
        <f>bdrate(C195:C198,D195:D198,J195:J198,K195:K198)</f>
        <v>-0.54016427231165087</v>
      </c>
      <c r="R195" s="8">
        <f>bdrate(C195:C198,E195:E198,J195:J198,L195:L198)</f>
        <v>-0.6782861645650986</v>
      </c>
      <c r="S195" s="8">
        <f>bdrate(C195:C198,F195:F198,J195:J198,M195:M198)</f>
        <v>-0.70323638650263876</v>
      </c>
      <c r="T195" s="25">
        <f>bdrate(C195:C198,H195:H198,J195:J198,O195:O198)</f>
        <v>-0.58115989964405856</v>
      </c>
      <c r="U195" s="28">
        <f t="shared" ref="U195:U246" si="9">(N195-G195)/G195</f>
        <v>7.1250522502438449E-2</v>
      </c>
    </row>
    <row r="196" spans="1:21" x14ac:dyDescent="0.25">
      <c r="B196" s="9"/>
      <c r="C196" s="17">
        <v>1335.6</v>
      </c>
      <c r="D196" s="18">
        <v>41.142000000000003</v>
      </c>
      <c r="E196" s="18">
        <v>45.563000000000002</v>
      </c>
      <c r="F196" s="18">
        <v>46.021000000000001</v>
      </c>
      <c r="G196" s="18">
        <v>392.41</v>
      </c>
      <c r="H196" s="18">
        <f t="shared" si="6"/>
        <v>42.304500000000004</v>
      </c>
      <c r="I196" s="5"/>
      <c r="J196" s="17">
        <v>976.25919999999996</v>
      </c>
      <c r="K196" s="18">
        <v>41.896000000000001</v>
      </c>
      <c r="L196" s="18">
        <v>47.044699999999999</v>
      </c>
      <c r="M196" s="18">
        <v>47.688000000000002</v>
      </c>
      <c r="N196" s="18">
        <v>373.1343</v>
      </c>
      <c r="O196" s="18">
        <f t="shared" si="7"/>
        <v>43.2635875</v>
      </c>
      <c r="P196" s="7"/>
      <c r="Q196" s="10"/>
      <c r="R196" s="11"/>
      <c r="S196" s="11"/>
      <c r="T196" s="26"/>
      <c r="U196" s="28">
        <f t="shared" si="9"/>
        <v>-4.9121327183303247E-2</v>
      </c>
    </row>
    <row r="197" spans="1:21" x14ac:dyDescent="0.25">
      <c r="B197" s="9"/>
      <c r="C197" s="17">
        <v>790.15</v>
      </c>
      <c r="D197" s="18">
        <v>39.845999999999997</v>
      </c>
      <c r="E197" s="18">
        <v>44.436999999999998</v>
      </c>
      <c r="F197" s="18">
        <v>44.868000000000002</v>
      </c>
      <c r="G197" s="18">
        <v>396.56</v>
      </c>
      <c r="H197" s="18">
        <f t="shared" si="6"/>
        <v>41.047624999999996</v>
      </c>
      <c r="I197" s="5"/>
      <c r="J197" s="17">
        <v>577.60080000000005</v>
      </c>
      <c r="K197" s="18">
        <v>40.985500000000002</v>
      </c>
      <c r="L197" s="18">
        <v>46.186700000000002</v>
      </c>
      <c r="M197" s="18">
        <v>46.8476</v>
      </c>
      <c r="N197" s="18">
        <v>417.82729999999998</v>
      </c>
      <c r="O197" s="18">
        <f t="shared" si="7"/>
        <v>42.368412499999998</v>
      </c>
      <c r="P197" s="7"/>
      <c r="Q197" s="10"/>
      <c r="R197" s="11"/>
      <c r="S197" s="11"/>
      <c r="T197" s="26"/>
      <c r="U197" s="28">
        <f t="shared" si="9"/>
        <v>5.3629463385111903E-2</v>
      </c>
    </row>
    <row r="198" spans="1:21" ht="16.5" thickBot="1" x14ac:dyDescent="0.3">
      <c r="B198" s="12"/>
      <c r="C198" s="19">
        <v>351.18</v>
      </c>
      <c r="D198" s="20">
        <v>37.042999999999999</v>
      </c>
      <c r="E198" s="20">
        <v>42.372</v>
      </c>
      <c r="F198" s="20">
        <v>43.207999999999998</v>
      </c>
      <c r="G198" s="20">
        <v>418.12</v>
      </c>
      <c r="H198" s="20">
        <f t="shared" si="6"/>
        <v>38.479749999999996</v>
      </c>
      <c r="I198" s="5"/>
      <c r="J198" s="19">
        <v>280.512</v>
      </c>
      <c r="K198" s="20">
        <v>39.109299999999998</v>
      </c>
      <c r="L198" s="20">
        <v>44.549799999999998</v>
      </c>
      <c r="M198" s="20">
        <v>45.055399999999999</v>
      </c>
      <c r="N198" s="20">
        <v>452.48869999999999</v>
      </c>
      <c r="O198" s="20">
        <f t="shared" si="7"/>
        <v>40.532625000000003</v>
      </c>
      <c r="P198" s="7"/>
      <c r="Q198" s="13"/>
      <c r="R198" s="14"/>
      <c r="S198" s="14"/>
      <c r="T198" s="27"/>
      <c r="U198" s="28">
        <f t="shared" si="9"/>
        <v>8.2198172773366468E-2</v>
      </c>
    </row>
    <row r="199" spans="1:21" x14ac:dyDescent="0.25">
      <c r="B199" s="6" t="s">
        <v>63</v>
      </c>
      <c r="C199" s="15">
        <v>2118.12</v>
      </c>
      <c r="D199" s="16">
        <v>41.573999999999998</v>
      </c>
      <c r="E199" s="16">
        <v>45.188000000000002</v>
      </c>
      <c r="F199" s="16">
        <v>45.972999999999999</v>
      </c>
      <c r="G199" s="16">
        <v>293.54000000000002</v>
      </c>
      <c r="H199" s="16">
        <f t="shared" si="6"/>
        <v>42.575625000000002</v>
      </c>
      <c r="I199" s="5"/>
      <c r="J199" s="15">
        <v>1542.2439999999999</v>
      </c>
      <c r="K199" s="16">
        <v>42.346800000000002</v>
      </c>
      <c r="L199" s="16">
        <v>46.675800000000002</v>
      </c>
      <c r="M199" s="16">
        <v>47.524999999999999</v>
      </c>
      <c r="N199" s="16">
        <v>295.858</v>
      </c>
      <c r="O199" s="16">
        <f t="shared" si="7"/>
        <v>43.535199999999996</v>
      </c>
      <c r="P199" s="7"/>
      <c r="Q199" s="8">
        <f>bdrate(C199:C202,D199:D202,J199:J202,K199:K202)</f>
        <v>-0.53298309284852052</v>
      </c>
      <c r="R199" s="8">
        <f>bdrate(C199:C202,E199:E202,J199:J202,L199:L202)</f>
        <v>-0.6578455072958771</v>
      </c>
      <c r="S199" s="8">
        <f>bdrate(C199:C202,F199:F202,J199:J202,M199:M202)</f>
        <v>-0.6523997359256638</v>
      </c>
      <c r="T199" s="25">
        <f>bdrate(C199:C202,H199:H202,J199:J202,O199:O202)</f>
        <v>-0.56158724915545832</v>
      </c>
      <c r="U199" s="28">
        <f t="shared" si="9"/>
        <v>7.8967091367445098E-3</v>
      </c>
    </row>
    <row r="200" spans="1:21" x14ac:dyDescent="0.25">
      <c r="B200" s="9"/>
      <c r="C200" s="17">
        <v>1399.53</v>
      </c>
      <c r="D200" s="18">
        <v>40.383000000000003</v>
      </c>
      <c r="E200" s="18">
        <v>44.133000000000003</v>
      </c>
      <c r="F200" s="18">
        <v>44.98</v>
      </c>
      <c r="G200" s="18">
        <v>392.41</v>
      </c>
      <c r="H200" s="18">
        <f t="shared" si="6"/>
        <v>41.426375</v>
      </c>
      <c r="I200" s="5"/>
      <c r="J200" s="17">
        <v>1013.8536</v>
      </c>
      <c r="K200" s="18">
        <v>41.496099999999998</v>
      </c>
      <c r="L200" s="18">
        <v>45.9253</v>
      </c>
      <c r="M200" s="18">
        <v>46.744700000000002</v>
      </c>
      <c r="N200" s="18">
        <v>340.32900000000001</v>
      </c>
      <c r="O200" s="18">
        <f t="shared" si="7"/>
        <v>42.705825000000004</v>
      </c>
      <c r="P200" s="7"/>
      <c r="Q200" s="10"/>
      <c r="R200" s="11"/>
      <c r="S200" s="11"/>
      <c r="T200" s="26"/>
      <c r="U200" s="28">
        <f t="shared" si="9"/>
        <v>-0.13272087867281673</v>
      </c>
    </row>
    <row r="201" spans="1:21" x14ac:dyDescent="0.25">
      <c r="B201" s="9"/>
      <c r="C201" s="17">
        <v>835.33</v>
      </c>
      <c r="D201" s="18">
        <v>38.512</v>
      </c>
      <c r="E201" s="18">
        <v>42.691000000000003</v>
      </c>
      <c r="F201" s="18">
        <v>43.563000000000002</v>
      </c>
      <c r="G201" s="18">
        <v>404.86</v>
      </c>
      <c r="H201" s="18">
        <f t="shared" si="6"/>
        <v>39.665750000000003</v>
      </c>
      <c r="I201" s="5"/>
      <c r="J201" s="17">
        <v>605.16719999999998</v>
      </c>
      <c r="K201" s="18">
        <v>40.1145</v>
      </c>
      <c r="L201" s="18">
        <v>44.753599999999999</v>
      </c>
      <c r="M201" s="18">
        <v>45.554099999999998</v>
      </c>
      <c r="N201" s="18">
        <v>396.56310000000002</v>
      </c>
      <c r="O201" s="18">
        <f t="shared" si="7"/>
        <v>41.374337500000003</v>
      </c>
      <c r="P201" s="7"/>
      <c r="Q201" s="10"/>
      <c r="R201" s="11"/>
      <c r="S201" s="11"/>
      <c r="T201" s="26"/>
      <c r="U201" s="28">
        <f t="shared" si="9"/>
        <v>-2.0493256928320883E-2</v>
      </c>
    </row>
    <row r="202" spans="1:21" ht="16.5" thickBot="1" x14ac:dyDescent="0.3">
      <c r="B202" s="12"/>
      <c r="C202" s="19">
        <v>383.2</v>
      </c>
      <c r="D202" s="20">
        <v>35.1</v>
      </c>
      <c r="E202" s="20">
        <v>40.65</v>
      </c>
      <c r="F202" s="20">
        <v>41.529000000000003</v>
      </c>
      <c r="G202" s="20">
        <v>413.51</v>
      </c>
      <c r="H202" s="20">
        <f t="shared" si="6"/>
        <v>36.597375000000007</v>
      </c>
      <c r="I202" s="5"/>
      <c r="J202" s="19">
        <v>297.53199999999998</v>
      </c>
      <c r="K202" s="20">
        <v>37.422499999999999</v>
      </c>
      <c r="L202" s="20">
        <v>42.725299999999997</v>
      </c>
      <c r="M202" s="20">
        <v>43.538200000000003</v>
      </c>
      <c r="N202" s="20">
        <v>436.99930000000001</v>
      </c>
      <c r="O202" s="20">
        <f t="shared" si="7"/>
        <v>38.849812499999999</v>
      </c>
      <c r="P202" s="7"/>
      <c r="Q202" s="13"/>
      <c r="R202" s="14"/>
      <c r="S202" s="14"/>
      <c r="T202" s="27"/>
      <c r="U202" s="28">
        <f t="shared" si="9"/>
        <v>5.6804672196561184E-2</v>
      </c>
    </row>
    <row r="203" spans="1:21" x14ac:dyDescent="0.25">
      <c r="A203" s="6" t="s">
        <v>99</v>
      </c>
      <c r="B203" s="6" t="s">
        <v>100</v>
      </c>
      <c r="C203" s="15">
        <v>1644.6</v>
      </c>
      <c r="D203" s="16">
        <v>41.536999999999999</v>
      </c>
      <c r="E203" s="16">
        <v>46.499000000000002</v>
      </c>
      <c r="F203" s="16">
        <v>48.348999999999997</v>
      </c>
      <c r="G203" s="16">
        <v>287.68</v>
      </c>
      <c r="H203" s="16">
        <f t="shared" ref="H203:H246" si="10">(6*D203+E203+F203)/8</f>
        <v>43.008749999999999</v>
      </c>
      <c r="I203" s="5"/>
      <c r="J203" s="15">
        <v>1296.0145</v>
      </c>
      <c r="K203" s="16">
        <v>42.8919</v>
      </c>
      <c r="L203" s="16">
        <v>47.994999999999997</v>
      </c>
      <c r="M203" s="16">
        <v>49.555900000000001</v>
      </c>
      <c r="N203" s="16">
        <v>243.40770000000001</v>
      </c>
      <c r="O203" s="16">
        <f t="shared" ref="O203:O246" si="11">(6*K203+L203+M203)/8</f>
        <v>44.362787500000003</v>
      </c>
      <c r="P203" s="7"/>
      <c r="Q203" s="8">
        <f>bdrate(C203:C206,D203:D206,J203:J206,K203:K206)</f>
        <v>-0.5167730979230073</v>
      </c>
      <c r="R203" s="8">
        <f>bdrate(C203:C206,E203:E206,J203:J206,L203:L206)</f>
        <v>-0.5478872103008644</v>
      </c>
      <c r="S203" s="8">
        <f>bdrate(C203:C206,F203:F206,J203:J206,M203:M206)</f>
        <v>-0.48622249109184945</v>
      </c>
      <c r="T203" s="25">
        <f>bdrate(C203:C206,H203:H206,J203:J206,O203:O206)</f>
        <v>-0.51928451873871939</v>
      </c>
      <c r="U203" s="28">
        <f t="shared" si="9"/>
        <v>-0.1538942575083426</v>
      </c>
    </row>
    <row r="204" spans="1:21" x14ac:dyDescent="0.25">
      <c r="A204" s="9" t="s">
        <v>77</v>
      </c>
      <c r="B204" s="9"/>
      <c r="C204" s="17">
        <v>1103.48</v>
      </c>
      <c r="D204" s="18">
        <v>39.156999999999996</v>
      </c>
      <c r="E204" s="18">
        <v>45.106999999999999</v>
      </c>
      <c r="F204" s="18">
        <v>47.085000000000001</v>
      </c>
      <c r="G204" s="18">
        <v>324.08999999999997</v>
      </c>
      <c r="H204" s="18">
        <f t="shared" si="10"/>
        <v>40.891749999999995</v>
      </c>
      <c r="I204" s="5"/>
      <c r="J204" s="17">
        <v>893.22609999999997</v>
      </c>
      <c r="K204" s="18">
        <v>41.4313</v>
      </c>
      <c r="L204" s="18">
        <v>47.6327</v>
      </c>
      <c r="M204" s="18">
        <v>48.479599999999998</v>
      </c>
      <c r="N204" s="18">
        <v>289.94850000000002</v>
      </c>
      <c r="O204" s="18">
        <f t="shared" si="11"/>
        <v>43.087512500000003</v>
      </c>
      <c r="P204" s="7"/>
      <c r="Q204" s="10"/>
      <c r="R204" s="11"/>
      <c r="S204" s="11"/>
      <c r="T204" s="26"/>
      <c r="U204" s="28">
        <f t="shared" si="9"/>
        <v>-0.10534573729519564</v>
      </c>
    </row>
    <row r="205" spans="1:21" x14ac:dyDescent="0.25">
      <c r="B205" s="9"/>
      <c r="C205" s="17">
        <v>673.44</v>
      </c>
      <c r="D205" s="18">
        <v>36.478000000000002</v>
      </c>
      <c r="E205" s="18">
        <v>43.72</v>
      </c>
      <c r="F205" s="18">
        <v>45.51</v>
      </c>
      <c r="G205" s="18">
        <v>332.53</v>
      </c>
      <c r="H205" s="18">
        <f t="shared" si="10"/>
        <v>38.512249999999995</v>
      </c>
      <c r="I205" s="5"/>
      <c r="J205" s="17">
        <v>558.76679999999999</v>
      </c>
      <c r="K205" s="18">
        <v>39.430900000000001</v>
      </c>
      <c r="L205" s="18">
        <v>45.648200000000003</v>
      </c>
      <c r="M205" s="18">
        <v>47.026499999999999</v>
      </c>
      <c r="N205" s="18">
        <v>331.6139</v>
      </c>
      <c r="O205" s="18">
        <f t="shared" si="11"/>
        <v>41.157512500000003</v>
      </c>
      <c r="P205" s="7"/>
      <c r="Q205" s="10"/>
      <c r="R205" s="11"/>
      <c r="S205" s="11"/>
      <c r="T205" s="26"/>
      <c r="U205" s="28">
        <f t="shared" si="9"/>
        <v>-2.7549394039634674E-3</v>
      </c>
    </row>
    <row r="206" spans="1:21" ht="16.5" thickBot="1" x14ac:dyDescent="0.3">
      <c r="B206" s="12"/>
      <c r="C206" s="19">
        <v>320.14</v>
      </c>
      <c r="D206" s="20">
        <v>32.158000000000001</v>
      </c>
      <c r="E206" s="20">
        <v>41.506</v>
      </c>
      <c r="F206" s="20">
        <v>43.432000000000002</v>
      </c>
      <c r="G206" s="20">
        <v>333.46</v>
      </c>
      <c r="H206" s="20">
        <f t="shared" si="10"/>
        <v>34.735750000000003</v>
      </c>
      <c r="I206" s="5"/>
      <c r="J206" s="19">
        <v>289.29910000000001</v>
      </c>
      <c r="K206" s="20">
        <v>36.139299999999999</v>
      </c>
      <c r="L206" s="20">
        <v>43.230899999999998</v>
      </c>
      <c r="M206" s="20">
        <v>44.978099999999998</v>
      </c>
      <c r="N206" s="20">
        <v>388.5172</v>
      </c>
      <c r="O206" s="20">
        <f t="shared" si="11"/>
        <v>38.130600000000001</v>
      </c>
      <c r="P206" s="7"/>
      <c r="Q206" s="13"/>
      <c r="R206" s="14"/>
      <c r="S206" s="14"/>
      <c r="T206" s="27"/>
      <c r="U206" s="28">
        <f t="shared" si="9"/>
        <v>0.16510885863371927</v>
      </c>
    </row>
    <row r="207" spans="1:21" x14ac:dyDescent="0.25">
      <c r="B207" s="6" t="s">
        <v>101</v>
      </c>
      <c r="C207" s="15">
        <v>2028.93</v>
      </c>
      <c r="D207" s="16">
        <v>52.06</v>
      </c>
      <c r="E207" s="16">
        <v>52.366</v>
      </c>
      <c r="F207" s="16">
        <v>52.774999999999999</v>
      </c>
      <c r="G207" s="16">
        <v>311.85000000000002</v>
      </c>
      <c r="H207" s="16">
        <f t="shared" si="10"/>
        <v>52.187624999999997</v>
      </c>
      <c r="I207" s="5"/>
      <c r="J207" s="15">
        <v>1440.4663</v>
      </c>
      <c r="K207" s="16">
        <v>51.320799999999998</v>
      </c>
      <c r="L207" s="16">
        <v>51.790700000000001</v>
      </c>
      <c r="M207" s="16">
        <v>52.244100000000003</v>
      </c>
      <c r="N207" s="16">
        <v>321.37119999999999</v>
      </c>
      <c r="O207" s="16">
        <f t="shared" si="11"/>
        <v>51.494950000000003</v>
      </c>
      <c r="P207" s="7"/>
      <c r="Q207" s="8">
        <f>bdrate(C207:C210,D207:D210,J207:J210,K207:K210)</f>
        <v>-0.31269181642657795</v>
      </c>
      <c r="R207" s="8">
        <f>bdrate(C207:C210,E207:E210,J207:J210,L207:L210)</f>
        <v>-0.3501090040482101</v>
      </c>
      <c r="S207" s="8">
        <f>bdrate(C207:C210,F207:F210,J207:J210,M207:M210)</f>
        <v>-0.34589278971237625</v>
      </c>
      <c r="T207" s="25">
        <f>bdrate(C207:C210,H207:H210,J207:J210,O207:O210)</f>
        <v>-0.32100992704068154</v>
      </c>
      <c r="U207" s="28">
        <f t="shared" si="9"/>
        <v>3.0531345198011751E-2</v>
      </c>
    </row>
    <row r="208" spans="1:21" x14ac:dyDescent="0.25">
      <c r="B208" s="9"/>
      <c r="C208" s="17">
        <v>1354.44</v>
      </c>
      <c r="D208" s="18">
        <v>49.276000000000003</v>
      </c>
      <c r="E208" s="18">
        <v>49.822000000000003</v>
      </c>
      <c r="F208" s="18">
        <v>50.317999999999998</v>
      </c>
      <c r="G208" s="18">
        <v>428.98</v>
      </c>
      <c r="H208" s="18">
        <f t="shared" si="10"/>
        <v>49.474499999999999</v>
      </c>
      <c r="I208" s="5"/>
      <c r="J208" s="17">
        <v>971.17190000000005</v>
      </c>
      <c r="K208" s="18">
        <v>49.328400000000002</v>
      </c>
      <c r="L208" s="18">
        <v>50.070900000000002</v>
      </c>
      <c r="M208" s="18">
        <v>50.566400000000002</v>
      </c>
      <c r="N208" s="18">
        <v>393.7869</v>
      </c>
      <c r="O208" s="18">
        <f t="shared" si="11"/>
        <v>49.575962500000003</v>
      </c>
      <c r="P208" s="7"/>
      <c r="Q208" s="10"/>
      <c r="R208" s="11"/>
      <c r="S208" s="11"/>
      <c r="T208" s="26"/>
      <c r="U208" s="28">
        <f t="shared" si="9"/>
        <v>-8.2039022798265679E-2</v>
      </c>
    </row>
    <row r="209" spans="2:21" x14ac:dyDescent="0.25">
      <c r="B209" s="9"/>
      <c r="C209" s="17">
        <v>822.98</v>
      </c>
      <c r="D209" s="18">
        <v>45.808999999999997</v>
      </c>
      <c r="E209" s="18">
        <v>46.664000000000001</v>
      </c>
      <c r="F209" s="18">
        <v>47.265000000000001</v>
      </c>
      <c r="G209" s="18">
        <v>430.52</v>
      </c>
      <c r="H209" s="18">
        <f t="shared" si="10"/>
        <v>46.097874999999995</v>
      </c>
      <c r="I209" s="5"/>
      <c r="J209" s="17">
        <v>596.95600000000002</v>
      </c>
      <c r="K209" s="18">
        <v>46.394399999999997</v>
      </c>
      <c r="L209" s="18">
        <v>47.563200000000002</v>
      </c>
      <c r="M209" s="18">
        <v>48.077300000000001</v>
      </c>
      <c r="N209" s="18">
        <v>421.15109999999999</v>
      </c>
      <c r="O209" s="18">
        <f t="shared" si="11"/>
        <v>46.750862499999997</v>
      </c>
      <c r="P209" s="7"/>
      <c r="Q209" s="10"/>
      <c r="R209" s="11"/>
      <c r="S209" s="11"/>
      <c r="T209" s="26"/>
      <c r="U209" s="28">
        <f t="shared" si="9"/>
        <v>-2.1761822911827551E-2</v>
      </c>
    </row>
    <row r="210" spans="2:21" ht="16.5" thickBot="1" x14ac:dyDescent="0.3">
      <c r="B210" s="12"/>
      <c r="C210" s="19">
        <v>389.28</v>
      </c>
      <c r="D210" s="20">
        <v>41.277000000000001</v>
      </c>
      <c r="E210" s="20">
        <v>42.598999999999997</v>
      </c>
      <c r="F210" s="20">
        <v>43.119</v>
      </c>
      <c r="G210" s="20">
        <v>438.7</v>
      </c>
      <c r="H210" s="20">
        <f t="shared" si="10"/>
        <v>41.672499999999999</v>
      </c>
      <c r="I210" s="5"/>
      <c r="J210" s="19">
        <v>299.94200000000001</v>
      </c>
      <c r="K210" s="20">
        <v>41.965800000000002</v>
      </c>
      <c r="L210" s="20">
        <v>43.671300000000002</v>
      </c>
      <c r="M210" s="20">
        <v>44.184800000000003</v>
      </c>
      <c r="N210" s="20">
        <v>442.04320000000001</v>
      </c>
      <c r="O210" s="20">
        <f t="shared" si="11"/>
        <v>42.456362499999997</v>
      </c>
      <c r="P210" s="7"/>
      <c r="Q210" s="13"/>
      <c r="R210" s="14"/>
      <c r="S210" s="14"/>
      <c r="T210" s="27"/>
      <c r="U210" s="28">
        <f t="shared" si="9"/>
        <v>7.6206975153864246E-3</v>
      </c>
    </row>
    <row r="211" spans="2:21" x14ac:dyDescent="0.25">
      <c r="B211" s="6" t="s">
        <v>102</v>
      </c>
      <c r="C211" s="15">
        <v>2192.83</v>
      </c>
      <c r="D211" s="16">
        <v>41.673999999999999</v>
      </c>
      <c r="E211" s="16">
        <v>43.701999999999998</v>
      </c>
      <c r="F211" s="16">
        <v>44.226999999999997</v>
      </c>
      <c r="G211" s="16">
        <v>280.72000000000003</v>
      </c>
      <c r="H211" s="16">
        <f t="shared" si="10"/>
        <v>42.246624999999995</v>
      </c>
      <c r="I211" s="5"/>
      <c r="J211" s="15">
        <v>1492.9935</v>
      </c>
      <c r="K211" s="16">
        <v>42.173699999999997</v>
      </c>
      <c r="L211" s="16">
        <v>44.489100000000001</v>
      </c>
      <c r="M211" s="16">
        <v>44.905799999999999</v>
      </c>
      <c r="N211" s="16">
        <v>281.42590000000001</v>
      </c>
      <c r="O211" s="16">
        <f t="shared" si="11"/>
        <v>42.804637499999998</v>
      </c>
      <c r="P211" s="7"/>
      <c r="Q211" s="8">
        <f>bdrate(C211:C214,D211:D214,J211:J214,K211:K214)</f>
        <v>-0.46377680349256245</v>
      </c>
      <c r="R211" s="8">
        <f>bdrate(C211:C214,E211:E214,J211:J214,L211:L214)</f>
        <v>-0.50438124665792661</v>
      </c>
      <c r="S211" s="8">
        <f>bdrate(C211:C214,F211:F214,J211:J214,M211:M214)</f>
        <v>-0.47362939490578104</v>
      </c>
      <c r="T211" s="25">
        <f>bdrate(C211:C214,H211:H214,J211:J214,O211:O214)</f>
        <v>-0.46874333335551377</v>
      </c>
      <c r="U211" s="28">
        <f t="shared" si="9"/>
        <v>2.5146053006554056E-3</v>
      </c>
    </row>
    <row r="212" spans="2:21" x14ac:dyDescent="0.25">
      <c r="B212" s="9"/>
      <c r="C212" s="17">
        <v>1462.71</v>
      </c>
      <c r="D212" s="18">
        <v>39.22</v>
      </c>
      <c r="E212" s="18">
        <v>41.947000000000003</v>
      </c>
      <c r="F212" s="18">
        <v>42.573999999999998</v>
      </c>
      <c r="G212" s="18">
        <v>360.58</v>
      </c>
      <c r="H212" s="18">
        <f t="shared" si="10"/>
        <v>39.980125000000001</v>
      </c>
      <c r="I212" s="5"/>
      <c r="J212" s="17">
        <v>996.43050000000005</v>
      </c>
      <c r="K212" s="18">
        <v>40.251800000000003</v>
      </c>
      <c r="L212" s="18">
        <v>43.133400000000002</v>
      </c>
      <c r="M212" s="18">
        <v>43.546599999999998</v>
      </c>
      <c r="N212" s="18">
        <v>324.14909999999998</v>
      </c>
      <c r="O212" s="18">
        <f t="shared" si="11"/>
        <v>41.023850000000003</v>
      </c>
      <c r="P212" s="7"/>
      <c r="Q212" s="10"/>
      <c r="R212" s="11"/>
      <c r="S212" s="11"/>
      <c r="T212" s="26"/>
      <c r="U212" s="28">
        <f t="shared" si="9"/>
        <v>-0.1010341671751068</v>
      </c>
    </row>
    <row r="213" spans="2:21" x14ac:dyDescent="0.25">
      <c r="B213" s="9"/>
      <c r="C213" s="17">
        <v>891.56</v>
      </c>
      <c r="D213" s="18">
        <v>36.110999999999997</v>
      </c>
      <c r="E213" s="18">
        <v>40.15</v>
      </c>
      <c r="F213" s="18">
        <v>40.853999999999999</v>
      </c>
      <c r="G213" s="18">
        <v>367.5</v>
      </c>
      <c r="H213" s="18">
        <f t="shared" si="10"/>
        <v>37.208749999999995</v>
      </c>
      <c r="I213" s="5"/>
      <c r="J213" s="17">
        <v>599.39850000000001</v>
      </c>
      <c r="K213" s="18">
        <v>37.579000000000001</v>
      </c>
      <c r="L213" s="18">
        <v>41.275199999999998</v>
      </c>
      <c r="M213" s="18">
        <v>41.720199999999998</v>
      </c>
      <c r="N213" s="18">
        <v>358.35160000000002</v>
      </c>
      <c r="O213" s="18">
        <f t="shared" si="11"/>
        <v>38.558674999999994</v>
      </c>
      <c r="P213" s="7"/>
      <c r="Q213" s="10"/>
      <c r="R213" s="11"/>
      <c r="S213" s="11"/>
      <c r="T213" s="26"/>
      <c r="U213" s="28">
        <f t="shared" si="9"/>
        <v>-2.4893605442176819E-2</v>
      </c>
    </row>
    <row r="214" spans="2:21" ht="16.5" thickBot="1" x14ac:dyDescent="0.3">
      <c r="B214" s="12"/>
      <c r="C214" s="19">
        <v>426.23</v>
      </c>
      <c r="D214" s="20">
        <v>31.527000000000001</v>
      </c>
      <c r="E214" s="20">
        <v>37.884999999999998</v>
      </c>
      <c r="F214" s="20">
        <v>38.633000000000003</v>
      </c>
      <c r="G214" s="20">
        <v>372.21</v>
      </c>
      <c r="H214" s="20">
        <f t="shared" si="10"/>
        <v>33.21</v>
      </c>
      <c r="I214" s="5"/>
      <c r="J214" s="19">
        <v>303.84010000000001</v>
      </c>
      <c r="K214" s="20">
        <v>34.0242</v>
      </c>
      <c r="L214" s="20">
        <v>38.965699999999998</v>
      </c>
      <c r="M214" s="20">
        <v>39.448900000000002</v>
      </c>
      <c r="N214" s="20">
        <v>401.96519999999998</v>
      </c>
      <c r="O214" s="20">
        <f t="shared" si="11"/>
        <v>35.319974999999999</v>
      </c>
      <c r="P214" s="7"/>
      <c r="Q214" s="13"/>
      <c r="R214" s="14"/>
      <c r="S214" s="14"/>
      <c r="T214" s="27"/>
      <c r="U214" s="28">
        <f t="shared" si="9"/>
        <v>7.9941968243733383E-2</v>
      </c>
    </row>
    <row r="215" spans="2:21" x14ac:dyDescent="0.25">
      <c r="B215" s="6" t="s">
        <v>103</v>
      </c>
      <c r="C215" s="29">
        <v>2098.15</v>
      </c>
      <c r="D215" s="30">
        <v>38.072000000000003</v>
      </c>
      <c r="E215" s="30">
        <v>42.649000000000001</v>
      </c>
      <c r="F215" s="30">
        <v>42.542000000000002</v>
      </c>
      <c r="G215" s="16">
        <v>288.45999999999998</v>
      </c>
      <c r="H215" s="16">
        <f t="shared" si="10"/>
        <v>39.202875000000006</v>
      </c>
      <c r="I215" s="5"/>
      <c r="J215" s="29">
        <v>1507.7456999999999</v>
      </c>
      <c r="K215" s="30">
        <v>38.577199999999998</v>
      </c>
      <c r="L215" s="30">
        <v>43.142299999999999</v>
      </c>
      <c r="M215" s="30">
        <v>43.0991</v>
      </c>
      <c r="N215" s="16">
        <v>258.69499999999999</v>
      </c>
      <c r="O215" s="16">
        <f t="shared" si="11"/>
        <v>39.713074999999996</v>
      </c>
      <c r="P215" s="7"/>
      <c r="Q215" s="8">
        <f>bdrate(C215:C218,D215:D218,J215:J218,K215:K218)</f>
        <v>-0.43987094106028368</v>
      </c>
      <c r="R215" s="8">
        <f>bdrate(C215:C218,E215:E218,J215:J218,L215:L218)</f>
        <v>-0.41916822877815363</v>
      </c>
      <c r="S215" s="8">
        <f>bdrate(C215:C218,F215:F218,J215:J218,M215:M218)</f>
        <v>-0.44968455809859487</v>
      </c>
      <c r="T215" s="25">
        <f>bdrate(C215:C218,H215:H218,J215:J218,O215:O218)</f>
        <v>-0.44010082302970388</v>
      </c>
      <c r="U215" s="28">
        <f t="shared" si="9"/>
        <v>-0.10318588365804614</v>
      </c>
    </row>
    <row r="216" spans="2:21" x14ac:dyDescent="0.25">
      <c r="B216" s="9"/>
      <c r="C216" s="31">
        <v>1401.68</v>
      </c>
      <c r="D216" s="32">
        <v>35.877000000000002</v>
      </c>
      <c r="E216" s="32">
        <v>41.308999999999997</v>
      </c>
      <c r="F216" s="32">
        <v>41.16</v>
      </c>
      <c r="G216" s="18">
        <v>326.92</v>
      </c>
      <c r="H216" s="18">
        <f t="shared" si="10"/>
        <v>37.216374999999999</v>
      </c>
      <c r="I216" s="5"/>
      <c r="J216" s="31">
        <v>1002.8847</v>
      </c>
      <c r="K216" s="32">
        <v>36.726300000000002</v>
      </c>
      <c r="L216" s="32">
        <v>41.946399999999997</v>
      </c>
      <c r="M216" s="32">
        <v>41.935600000000001</v>
      </c>
      <c r="N216" s="18">
        <v>295.858</v>
      </c>
      <c r="O216" s="18">
        <f t="shared" si="11"/>
        <v>38.029975</v>
      </c>
      <c r="P216" s="7"/>
      <c r="Q216" s="10"/>
      <c r="R216" s="11"/>
      <c r="S216" s="11"/>
      <c r="T216" s="26"/>
      <c r="U216" s="28">
        <f t="shared" si="9"/>
        <v>-9.5014070720665644E-2</v>
      </c>
    </row>
    <row r="217" spans="2:21" x14ac:dyDescent="0.25">
      <c r="B217" s="9"/>
      <c r="C217" s="31">
        <v>855.31</v>
      </c>
      <c r="D217" s="32">
        <v>33.161999999999999</v>
      </c>
      <c r="E217" s="32">
        <v>39.905999999999999</v>
      </c>
      <c r="F217" s="32">
        <v>39.661999999999999</v>
      </c>
      <c r="G217" s="18">
        <v>334.45</v>
      </c>
      <c r="H217" s="18">
        <f t="shared" si="10"/>
        <v>34.817499999999995</v>
      </c>
      <c r="I217" s="5"/>
      <c r="J217" s="31">
        <v>600.30399999999997</v>
      </c>
      <c r="K217" s="32">
        <v>34.457700000000003</v>
      </c>
      <c r="L217" s="32">
        <v>40.453699999999998</v>
      </c>
      <c r="M217" s="32">
        <v>40.453299999999999</v>
      </c>
      <c r="N217" s="18">
        <v>333.45679999999999</v>
      </c>
      <c r="O217" s="18">
        <f t="shared" si="11"/>
        <v>35.956650000000003</v>
      </c>
      <c r="P217" s="7"/>
      <c r="Q217" s="10"/>
      <c r="R217" s="11"/>
      <c r="S217" s="11"/>
      <c r="T217" s="26"/>
      <c r="U217" s="28">
        <f t="shared" si="9"/>
        <v>-2.969651666915837E-3</v>
      </c>
    </row>
    <row r="218" spans="2:21" ht="16.5" thickBot="1" x14ac:dyDescent="0.3">
      <c r="B218" s="12"/>
      <c r="C218" s="33">
        <v>407.53</v>
      </c>
      <c r="D218" s="34">
        <v>28.731999999999999</v>
      </c>
      <c r="E218" s="34">
        <v>38.005000000000003</v>
      </c>
      <c r="F218" s="34">
        <v>37.790999999999997</v>
      </c>
      <c r="G218" s="20">
        <v>339.37</v>
      </c>
      <c r="H218" s="20">
        <f t="shared" si="10"/>
        <v>31.023499999999999</v>
      </c>
      <c r="I218" s="5"/>
      <c r="J218" s="33">
        <v>300.95310000000001</v>
      </c>
      <c r="K218" s="34">
        <v>31.4056</v>
      </c>
      <c r="L218" s="34">
        <v>38.5839</v>
      </c>
      <c r="M218" s="34">
        <v>38.407200000000003</v>
      </c>
      <c r="N218" s="20">
        <v>387.18</v>
      </c>
      <c r="O218" s="20">
        <f t="shared" si="11"/>
        <v>33.178087500000004</v>
      </c>
      <c r="P218" s="7"/>
      <c r="Q218" s="13"/>
      <c r="R218" s="14"/>
      <c r="S218" s="14"/>
      <c r="T218" s="27"/>
      <c r="U218" s="28">
        <f t="shared" si="9"/>
        <v>0.1408786869788137</v>
      </c>
    </row>
    <row r="219" spans="2:21" x14ac:dyDescent="0.25">
      <c r="B219" s="6" t="s">
        <v>104</v>
      </c>
      <c r="C219" s="15">
        <v>2130.61</v>
      </c>
      <c r="D219" s="16">
        <v>36.020000000000003</v>
      </c>
      <c r="E219" s="16">
        <v>39.505000000000003</v>
      </c>
      <c r="F219" s="16">
        <v>40.070999999999998</v>
      </c>
      <c r="G219" s="16">
        <v>217.65</v>
      </c>
      <c r="H219" s="16">
        <f t="shared" si="10"/>
        <v>36.962000000000003</v>
      </c>
      <c r="I219" s="5"/>
      <c r="J219" s="15">
        <v>1500.7913000000001</v>
      </c>
      <c r="K219" s="16">
        <v>36.436500000000002</v>
      </c>
      <c r="L219" s="16">
        <v>41.047499999999999</v>
      </c>
      <c r="M219" s="16">
        <v>41.6235</v>
      </c>
      <c r="N219" s="16">
        <v>267.1019</v>
      </c>
      <c r="O219" s="16">
        <f t="shared" si="11"/>
        <v>37.661250000000003</v>
      </c>
      <c r="P219" s="7"/>
      <c r="Q219" s="8">
        <f>bdrate(C219:C222,D219:D222,J219:J222,K219:K222)</f>
        <v>-0.41891808647373896</v>
      </c>
      <c r="R219" s="8">
        <f>bdrate(C219:C222,E219:E222,J219:J222,L219:L222)</f>
        <v>-0.55297747298280542</v>
      </c>
      <c r="S219" s="8">
        <f>bdrate(C219:C222,F219:F222,J219:J222,M219:M222)</f>
        <v>-0.56207167518203704</v>
      </c>
      <c r="T219" s="25">
        <f>bdrate(C219:C222,H219:H222,J219:J222,O219:O222)</f>
        <v>-0.44529090659339543</v>
      </c>
      <c r="U219" s="28">
        <f t="shared" si="9"/>
        <v>0.22720836204916148</v>
      </c>
    </row>
    <row r="220" spans="2:21" x14ac:dyDescent="0.25">
      <c r="B220" s="9"/>
      <c r="C220" s="17">
        <v>1420.34</v>
      </c>
      <c r="D220" s="18">
        <v>33.780999999999999</v>
      </c>
      <c r="E220" s="18">
        <v>38.137</v>
      </c>
      <c r="F220" s="18">
        <v>38.784999999999997</v>
      </c>
      <c r="G220" s="18">
        <v>258.14</v>
      </c>
      <c r="H220" s="18">
        <f t="shared" si="10"/>
        <v>34.950999999999993</v>
      </c>
      <c r="I220" s="5"/>
      <c r="J220" s="17">
        <v>991.19929999999999</v>
      </c>
      <c r="K220" s="18">
        <v>34.501199999999997</v>
      </c>
      <c r="L220" s="18">
        <v>39.6997</v>
      </c>
      <c r="M220" s="18">
        <v>40.3401</v>
      </c>
      <c r="N220" s="18">
        <v>307.69229999999999</v>
      </c>
      <c r="O220" s="18">
        <f t="shared" si="11"/>
        <v>35.880874999999996</v>
      </c>
      <c r="P220" s="7"/>
      <c r="Q220" s="10"/>
      <c r="R220" s="11"/>
      <c r="S220" s="11"/>
      <c r="T220" s="26"/>
      <c r="U220" s="28">
        <f t="shared" si="9"/>
        <v>0.19195901448826219</v>
      </c>
    </row>
    <row r="221" spans="2:21" x14ac:dyDescent="0.25">
      <c r="B221" s="9"/>
      <c r="C221" s="17">
        <v>863.15</v>
      </c>
      <c r="D221" s="18">
        <v>31.187999999999999</v>
      </c>
      <c r="E221" s="18">
        <v>36.808</v>
      </c>
      <c r="F221" s="18">
        <v>37.515999999999998</v>
      </c>
      <c r="G221" s="18">
        <v>369.76</v>
      </c>
      <c r="H221" s="18">
        <f t="shared" si="10"/>
        <v>32.6815</v>
      </c>
      <c r="I221" s="5"/>
      <c r="J221" s="17">
        <v>595.19929999999999</v>
      </c>
      <c r="K221" s="18">
        <v>32.121499999999997</v>
      </c>
      <c r="L221" s="18">
        <v>38.036700000000003</v>
      </c>
      <c r="M221" s="18">
        <v>38.737200000000001</v>
      </c>
      <c r="N221" s="18">
        <v>341.4264</v>
      </c>
      <c r="O221" s="18">
        <f t="shared" si="11"/>
        <v>33.687862499999994</v>
      </c>
      <c r="P221" s="7"/>
      <c r="Q221" s="10"/>
      <c r="R221" s="11"/>
      <c r="S221" s="11"/>
      <c r="T221" s="26"/>
      <c r="U221" s="28">
        <f t="shared" si="9"/>
        <v>-7.6627001298139305E-2</v>
      </c>
    </row>
    <row r="222" spans="2:21" ht="16.5" thickBot="1" x14ac:dyDescent="0.3">
      <c r="B222" s="12"/>
      <c r="C222" s="19">
        <v>405.7</v>
      </c>
      <c r="D222" s="20">
        <v>27.08</v>
      </c>
      <c r="E222" s="20">
        <v>35.101999999999997</v>
      </c>
      <c r="F222" s="20">
        <v>35.835999999999999</v>
      </c>
      <c r="G222" s="20">
        <v>383.3</v>
      </c>
      <c r="H222" s="20">
        <f t="shared" si="10"/>
        <v>29.177250000000001</v>
      </c>
      <c r="I222" s="5"/>
      <c r="J222" s="19">
        <v>300.67079999999999</v>
      </c>
      <c r="K222" s="20">
        <v>28.9771</v>
      </c>
      <c r="L222" s="20">
        <v>35.978299999999997</v>
      </c>
      <c r="M222" s="20">
        <v>36.783299999999997</v>
      </c>
      <c r="N222" s="20">
        <v>391.1343</v>
      </c>
      <c r="O222" s="20">
        <f t="shared" si="11"/>
        <v>30.828024999999997</v>
      </c>
      <c r="P222" s="7"/>
      <c r="Q222" s="13"/>
      <c r="R222" s="14"/>
      <c r="S222" s="14"/>
      <c r="T222" s="27"/>
      <c r="U222" s="28">
        <f t="shared" si="9"/>
        <v>2.0439081659274678E-2</v>
      </c>
    </row>
    <row r="223" spans="2:21" x14ac:dyDescent="0.25">
      <c r="B223" s="6" t="s">
        <v>105</v>
      </c>
      <c r="C223" s="15">
        <v>2140.09</v>
      </c>
      <c r="D223" s="16">
        <v>36.860999999999997</v>
      </c>
      <c r="E223" s="16">
        <v>41.972000000000001</v>
      </c>
      <c r="F223" s="16">
        <v>43.628999999999998</v>
      </c>
      <c r="G223" s="16">
        <v>202.07</v>
      </c>
      <c r="H223" s="16">
        <f t="shared" si="10"/>
        <v>38.345874999999999</v>
      </c>
      <c r="I223" s="5"/>
      <c r="J223" s="15">
        <v>1504.0335</v>
      </c>
      <c r="K223" s="16">
        <v>36.7136</v>
      </c>
      <c r="L223" s="16">
        <v>42.6706</v>
      </c>
      <c r="M223" s="16">
        <v>44.028199999999998</v>
      </c>
      <c r="N223" s="16">
        <v>253.05779999999999</v>
      </c>
      <c r="O223" s="16">
        <f t="shared" si="11"/>
        <v>38.372550000000004</v>
      </c>
      <c r="P223" s="7"/>
      <c r="Q223" s="8">
        <f>bdrate(C223:C226,D223:D226,J223:J226,K223:K226)</f>
        <v>-0.39888844859186934</v>
      </c>
      <c r="R223" s="8">
        <f>bdrate(C223:C226,E223:E226,J223:J226,L223:L226)</f>
        <v>-0.56369464118713331</v>
      </c>
      <c r="S223" s="8">
        <f>bdrate(C223:C226,F223:F226,J223:J226,M223:M226)</f>
        <v>-0.45942551413331756</v>
      </c>
      <c r="T223" s="25">
        <f>bdrate(C223:C226,H223:H226,J223:J226,O223:O226)</f>
        <v>-0.41902835563330443</v>
      </c>
      <c r="U223" s="28">
        <f t="shared" si="9"/>
        <v>0.2523274112931162</v>
      </c>
    </row>
    <row r="224" spans="2:21" x14ac:dyDescent="0.25">
      <c r="B224" s="9"/>
      <c r="C224" s="17">
        <v>1427.46</v>
      </c>
      <c r="D224" s="18">
        <v>35.045000000000002</v>
      </c>
      <c r="E224" s="18">
        <v>40.777999999999999</v>
      </c>
      <c r="F224" s="18">
        <v>42.43</v>
      </c>
      <c r="G224" s="18">
        <v>320.51</v>
      </c>
      <c r="H224" s="18">
        <f t="shared" si="10"/>
        <v>36.684750000000001</v>
      </c>
      <c r="I224" s="5"/>
      <c r="J224" s="17">
        <v>1001.9175</v>
      </c>
      <c r="K224" s="18">
        <v>35.343200000000003</v>
      </c>
      <c r="L224" s="18">
        <v>41.793799999999997</v>
      </c>
      <c r="M224" s="18">
        <v>43.022500000000001</v>
      </c>
      <c r="N224" s="18">
        <v>298.904</v>
      </c>
      <c r="O224" s="18">
        <f t="shared" si="11"/>
        <v>37.109437500000006</v>
      </c>
      <c r="P224" s="7"/>
      <c r="Q224" s="10"/>
      <c r="R224" s="11"/>
      <c r="S224" s="11"/>
      <c r="T224" s="26"/>
      <c r="U224" s="28">
        <f t="shared" si="9"/>
        <v>-6.7411313219556318E-2</v>
      </c>
    </row>
    <row r="225" spans="2:21" x14ac:dyDescent="0.25">
      <c r="B225" s="9"/>
      <c r="C225" s="17">
        <v>867.2</v>
      </c>
      <c r="D225" s="18">
        <v>32.982999999999997</v>
      </c>
      <c r="E225" s="18">
        <v>39.56</v>
      </c>
      <c r="F225" s="18">
        <v>41.082999999999998</v>
      </c>
      <c r="G225" s="18">
        <v>326.92</v>
      </c>
      <c r="H225" s="18">
        <f t="shared" si="10"/>
        <v>34.817624999999992</v>
      </c>
      <c r="I225" s="5"/>
      <c r="J225" s="17">
        <v>602.71730000000002</v>
      </c>
      <c r="K225" s="18">
        <v>33.701700000000002</v>
      </c>
      <c r="L225" s="18">
        <v>40.700000000000003</v>
      </c>
      <c r="M225" s="18">
        <v>41.787999999999997</v>
      </c>
      <c r="N225" s="18">
        <v>334.44819999999999</v>
      </c>
      <c r="O225" s="18">
        <f t="shared" si="11"/>
        <v>35.587275000000005</v>
      </c>
      <c r="P225" s="7"/>
      <c r="Q225" s="10"/>
      <c r="R225" s="11"/>
      <c r="S225" s="11"/>
      <c r="T225" s="26"/>
      <c r="U225" s="28">
        <f t="shared" si="9"/>
        <v>2.3027652024960141E-2</v>
      </c>
    </row>
    <row r="226" spans="2:21" ht="16.5" thickBot="1" x14ac:dyDescent="0.3">
      <c r="B226" s="12"/>
      <c r="C226" s="19">
        <v>411.23</v>
      </c>
      <c r="D226" s="20">
        <v>30.381</v>
      </c>
      <c r="E226" s="20">
        <v>38.173999999999999</v>
      </c>
      <c r="F226" s="20">
        <v>39.290999999999997</v>
      </c>
      <c r="G226" s="20">
        <v>328.65</v>
      </c>
      <c r="H226" s="20">
        <f t="shared" si="10"/>
        <v>32.468874999999997</v>
      </c>
      <c r="I226" s="5"/>
      <c r="J226" s="19">
        <v>301.16250000000002</v>
      </c>
      <c r="K226" s="20">
        <v>31.665900000000001</v>
      </c>
      <c r="L226" s="20">
        <v>39.286499999999997</v>
      </c>
      <c r="M226" s="20">
        <v>40.127800000000001</v>
      </c>
      <c r="N226" s="20">
        <v>385.9348</v>
      </c>
      <c r="O226" s="20">
        <f t="shared" si="11"/>
        <v>33.676212499999998</v>
      </c>
      <c r="P226" s="7"/>
      <c r="Q226" s="13"/>
      <c r="R226" s="14"/>
      <c r="S226" s="14"/>
      <c r="T226" s="27"/>
      <c r="U226" s="28">
        <f t="shared" si="9"/>
        <v>0.17430336223946455</v>
      </c>
    </row>
    <row r="227" spans="2:21" x14ac:dyDescent="0.25">
      <c r="B227" s="6" t="s">
        <v>106</v>
      </c>
      <c r="C227" s="15">
        <v>2194.36</v>
      </c>
      <c r="D227" s="16">
        <v>46.762</v>
      </c>
      <c r="E227" s="16">
        <v>50.851999999999997</v>
      </c>
      <c r="F227" s="16">
        <v>51.962000000000003</v>
      </c>
      <c r="G227" s="16">
        <v>310.70999999999998</v>
      </c>
      <c r="H227" s="16">
        <f t="shared" si="10"/>
        <v>47.923249999999996</v>
      </c>
      <c r="I227" s="5"/>
      <c r="J227" s="15">
        <v>1498.5435</v>
      </c>
      <c r="K227" s="16">
        <v>46.640799999999999</v>
      </c>
      <c r="L227" s="16">
        <v>51.409300000000002</v>
      </c>
      <c r="M227" s="16">
        <v>52.883200000000002</v>
      </c>
      <c r="N227" s="16">
        <v>218.0078</v>
      </c>
      <c r="O227" s="16">
        <f t="shared" si="11"/>
        <v>48.017162499999998</v>
      </c>
      <c r="P227" s="7"/>
      <c r="Q227" s="8">
        <f>bdrate(C227:C230,D227:D230,J227:J230,K227:K230)</f>
        <v>-0.42161507872478721</v>
      </c>
      <c r="R227" s="8">
        <f>bdrate(C227:C230,E227:E230,J227:J230,L227:L230)</f>
        <v>-0.55073425666431897</v>
      </c>
      <c r="S227" s="8">
        <f>bdrate(C227:C230,F227:F230,J227:J230,M227:M230)</f>
        <v>-0.57548895258155386</v>
      </c>
      <c r="T227" s="25">
        <f>bdrate(C227:C230,H227:H230,J227:J230,O227:O230)</f>
        <v>-0.45644272913442863</v>
      </c>
      <c r="U227" s="28">
        <f t="shared" si="9"/>
        <v>-0.29835602330147076</v>
      </c>
    </row>
    <row r="228" spans="2:21" x14ac:dyDescent="0.25">
      <c r="B228" s="9"/>
      <c r="C228" s="17">
        <v>1457.4</v>
      </c>
      <c r="D228" s="18">
        <v>44.13</v>
      </c>
      <c r="E228" s="18">
        <v>48.25</v>
      </c>
      <c r="F228" s="18">
        <v>49.496000000000002</v>
      </c>
      <c r="G228" s="18">
        <v>362.56</v>
      </c>
      <c r="H228" s="18">
        <f t="shared" si="10"/>
        <v>45.315750000000001</v>
      </c>
      <c r="I228" s="5"/>
      <c r="J228" s="17">
        <v>1004.7956</v>
      </c>
      <c r="K228" s="18">
        <v>44.848100000000002</v>
      </c>
      <c r="L228" s="18">
        <v>49.996000000000002</v>
      </c>
      <c r="M228" s="18">
        <v>51.413699999999999</v>
      </c>
      <c r="N228" s="18">
        <v>285.4196</v>
      </c>
      <c r="O228" s="18">
        <f t="shared" si="11"/>
        <v>46.312287500000004</v>
      </c>
      <c r="P228" s="7"/>
      <c r="Q228" s="10"/>
      <c r="R228" s="11"/>
      <c r="S228" s="11"/>
      <c r="T228" s="26"/>
      <c r="U228" s="28">
        <f t="shared" si="9"/>
        <v>-0.21276588702559576</v>
      </c>
    </row>
    <row r="229" spans="2:21" x14ac:dyDescent="0.25">
      <c r="B229" s="9"/>
      <c r="C229" s="17">
        <v>880.13</v>
      </c>
      <c r="D229" s="18">
        <v>41.406999999999996</v>
      </c>
      <c r="E229" s="18">
        <v>45.948999999999998</v>
      </c>
      <c r="F229" s="18">
        <v>47.267000000000003</v>
      </c>
      <c r="G229" s="18">
        <v>369.56</v>
      </c>
      <c r="H229" s="18">
        <f t="shared" si="10"/>
        <v>42.707249999999995</v>
      </c>
      <c r="I229" s="5"/>
      <c r="J229" s="17">
        <v>604.25369999999998</v>
      </c>
      <c r="K229" s="18">
        <v>42.610999999999997</v>
      </c>
      <c r="L229" s="18">
        <v>48.088900000000002</v>
      </c>
      <c r="M229" s="18">
        <v>49.5411</v>
      </c>
      <c r="N229" s="18">
        <v>374.40170000000001</v>
      </c>
      <c r="O229" s="18">
        <f t="shared" si="11"/>
        <v>44.162000000000006</v>
      </c>
      <c r="P229" s="7"/>
      <c r="Q229" s="10"/>
      <c r="R229" s="11"/>
      <c r="S229" s="11"/>
      <c r="T229" s="26"/>
      <c r="U229" s="28">
        <f t="shared" si="9"/>
        <v>1.3101255547137144E-2</v>
      </c>
    </row>
    <row r="230" spans="2:21" ht="16.5" thickBot="1" x14ac:dyDescent="0.3">
      <c r="B230" s="12"/>
      <c r="C230" s="19">
        <v>422.42</v>
      </c>
      <c r="D230" s="20">
        <v>38.793999999999997</v>
      </c>
      <c r="E230" s="20">
        <v>43.481000000000002</v>
      </c>
      <c r="F230" s="20">
        <v>44.853999999999999</v>
      </c>
      <c r="G230" s="20">
        <v>381.39</v>
      </c>
      <c r="H230" s="20">
        <f t="shared" si="10"/>
        <v>40.137374999999999</v>
      </c>
      <c r="I230" s="5"/>
      <c r="J230" s="19">
        <v>302.43720000000002</v>
      </c>
      <c r="K230" s="20">
        <v>39.326300000000003</v>
      </c>
      <c r="L230" s="20">
        <v>45.0839</v>
      </c>
      <c r="M230" s="20">
        <v>46.664299999999997</v>
      </c>
      <c r="N230" s="20">
        <v>411.7647</v>
      </c>
      <c r="O230" s="20">
        <f t="shared" si="11"/>
        <v>40.963250000000002</v>
      </c>
      <c r="P230" s="7"/>
      <c r="Q230" s="13"/>
      <c r="R230" s="14"/>
      <c r="S230" s="14"/>
      <c r="T230" s="27"/>
      <c r="U230" s="28">
        <f t="shared" si="9"/>
        <v>7.964209863918828E-2</v>
      </c>
    </row>
    <row r="231" spans="2:21" x14ac:dyDescent="0.25">
      <c r="B231" s="6" t="s">
        <v>107</v>
      </c>
      <c r="C231" s="15">
        <v>2062.5700000000002</v>
      </c>
      <c r="D231" s="16">
        <v>30.62</v>
      </c>
      <c r="E231" s="16">
        <v>39.408000000000001</v>
      </c>
      <c r="F231" s="16">
        <v>38.814</v>
      </c>
      <c r="G231" s="16">
        <v>277.35000000000002</v>
      </c>
      <c r="H231" s="16">
        <f t="shared" si="10"/>
        <v>32.742750000000001</v>
      </c>
      <c r="I231" s="5"/>
      <c r="J231" s="15">
        <v>1494.5518999999999</v>
      </c>
      <c r="K231" s="16">
        <v>31.360900000000001</v>
      </c>
      <c r="L231" s="16">
        <v>39.832799999999999</v>
      </c>
      <c r="M231" s="16">
        <v>39.191899999999997</v>
      </c>
      <c r="N231" s="16">
        <v>143.3349</v>
      </c>
      <c r="O231" s="16">
        <f t="shared" si="11"/>
        <v>33.398762499999997</v>
      </c>
      <c r="P231" s="7"/>
      <c r="Q231" s="8">
        <f>bdrate(C231:C234,D231:D234,J231:J234,K231:K234)</f>
        <v>-0.46336994611616822</v>
      </c>
      <c r="R231" s="8">
        <f>bdrate(C231:C234,E231:E234,J231:J234,L231:L234)</f>
        <v>-0.33264960862009807</v>
      </c>
      <c r="S231" s="8">
        <f>bdrate(C231:C234,F231:F234,J231:J234,M231:M234)</f>
        <v>-0.31040496977257526</v>
      </c>
      <c r="T231" s="25">
        <f>bdrate(C231:C234,H231:H234,J231:J234,O231:O234)</f>
        <v>-0.44573321119408471</v>
      </c>
      <c r="U231" s="28">
        <f t="shared" si="9"/>
        <v>-0.48319848566792861</v>
      </c>
    </row>
    <row r="232" spans="2:21" x14ac:dyDescent="0.25">
      <c r="B232" s="9"/>
      <c r="C232" s="17">
        <v>1375.17</v>
      </c>
      <c r="D232" s="18">
        <v>28.562999999999999</v>
      </c>
      <c r="E232" s="18">
        <v>38.503999999999998</v>
      </c>
      <c r="F232" s="18">
        <v>37.9</v>
      </c>
      <c r="G232" s="18">
        <v>299.7</v>
      </c>
      <c r="H232" s="18">
        <f t="shared" si="10"/>
        <v>30.972749999999998</v>
      </c>
      <c r="I232" s="5"/>
      <c r="J232" s="17">
        <v>995.19449999999995</v>
      </c>
      <c r="K232" s="18">
        <v>29.6206</v>
      </c>
      <c r="L232" s="18">
        <v>38.917000000000002</v>
      </c>
      <c r="M232" s="18">
        <v>38.198399999999999</v>
      </c>
      <c r="N232" s="18">
        <v>225.36619999999999</v>
      </c>
      <c r="O232" s="18">
        <f t="shared" si="11"/>
        <v>31.854875</v>
      </c>
      <c r="P232" s="7"/>
      <c r="Q232" s="10"/>
      <c r="R232" s="11"/>
      <c r="S232" s="11"/>
      <c r="T232" s="26"/>
      <c r="U232" s="28">
        <f t="shared" si="9"/>
        <v>-0.24802736069402737</v>
      </c>
    </row>
    <row r="233" spans="2:21" x14ac:dyDescent="0.25">
      <c r="B233" s="9"/>
      <c r="C233" s="17">
        <v>836.36</v>
      </c>
      <c r="D233" s="18">
        <v>25.984999999999999</v>
      </c>
      <c r="E233" s="18">
        <v>37.496000000000002</v>
      </c>
      <c r="F233" s="18">
        <v>36.881999999999998</v>
      </c>
      <c r="G233" s="18">
        <v>305.24</v>
      </c>
      <c r="H233" s="18">
        <f t="shared" si="10"/>
        <v>28.786000000000001</v>
      </c>
      <c r="I233" s="5"/>
      <c r="J233" s="17">
        <v>597.14589999999998</v>
      </c>
      <c r="K233" s="18">
        <v>27.468</v>
      </c>
      <c r="L233" s="18">
        <v>37.552900000000001</v>
      </c>
      <c r="M233" s="18">
        <v>36.820500000000003</v>
      </c>
      <c r="N233" s="18">
        <v>309.33150000000001</v>
      </c>
      <c r="O233" s="18">
        <f t="shared" si="11"/>
        <v>29.897675</v>
      </c>
      <c r="P233" s="7"/>
      <c r="Q233" s="10"/>
      <c r="R233" s="11"/>
      <c r="S233" s="11"/>
      <c r="T233" s="26"/>
      <c r="U233" s="28">
        <f t="shared" si="9"/>
        <v>1.3404206526012305E-2</v>
      </c>
    </row>
    <row r="234" spans="2:21" ht="16.5" thickBot="1" x14ac:dyDescent="0.3">
      <c r="B234" s="12"/>
      <c r="C234" s="19">
        <v>387.44</v>
      </c>
      <c r="D234" s="20">
        <v>21.878</v>
      </c>
      <c r="E234" s="20">
        <v>34.003</v>
      </c>
      <c r="F234" s="20">
        <v>33.393000000000001</v>
      </c>
      <c r="G234" s="20">
        <v>304.47000000000003</v>
      </c>
      <c r="H234" s="20">
        <f t="shared" si="10"/>
        <v>24.833000000000002</v>
      </c>
      <c r="I234" s="5"/>
      <c r="J234" s="19">
        <v>299.7731</v>
      </c>
      <c r="K234" s="20">
        <v>24.745999999999999</v>
      </c>
      <c r="L234" s="20">
        <v>35.185899999999997</v>
      </c>
      <c r="M234" s="20">
        <v>34.566699999999997</v>
      </c>
      <c r="N234" s="20">
        <v>368.70139999999998</v>
      </c>
      <c r="O234" s="20">
        <f t="shared" si="11"/>
        <v>27.278575</v>
      </c>
      <c r="P234" s="7"/>
      <c r="Q234" s="13"/>
      <c r="R234" s="14"/>
      <c r="S234" s="14"/>
      <c r="T234" s="27"/>
      <c r="U234" s="28">
        <f t="shared" si="9"/>
        <v>0.21096134266101732</v>
      </c>
    </row>
    <row r="235" spans="2:21" x14ac:dyDescent="0.25">
      <c r="B235" s="6" t="s">
        <v>108</v>
      </c>
      <c r="C235" s="15">
        <v>2328.0100000000002</v>
      </c>
      <c r="D235" s="16">
        <v>45.459000000000003</v>
      </c>
      <c r="E235" s="16">
        <v>45.933999999999997</v>
      </c>
      <c r="F235" s="16">
        <v>45.72</v>
      </c>
      <c r="G235" s="16">
        <v>292.87</v>
      </c>
      <c r="H235" s="16">
        <f t="shared" si="10"/>
        <v>45.551000000000002</v>
      </c>
      <c r="I235" s="5"/>
      <c r="J235" s="15">
        <v>1420.7855</v>
      </c>
      <c r="K235" s="16">
        <v>44.299500000000002</v>
      </c>
      <c r="L235" s="16">
        <v>45.314900000000002</v>
      </c>
      <c r="M235" s="16">
        <v>45.215000000000003</v>
      </c>
      <c r="N235" s="16">
        <v>264.04579999999999</v>
      </c>
      <c r="O235" s="16">
        <f t="shared" si="11"/>
        <v>44.540862500000003</v>
      </c>
      <c r="P235" s="7"/>
      <c r="Q235" s="8">
        <f>bdrate(C235:C238,D235:D238,J235:J238,K235:K238)</f>
        <v>-0.34336920184430286</v>
      </c>
      <c r="R235" s="8">
        <f>bdrate(C235:C238,E235:E238,J235:J238,L235:L238)</f>
        <v>-0.3745001223780432</v>
      </c>
      <c r="S235" s="8">
        <f>bdrate(C235:C238,F235:F238,J235:J238,M235:M238)</f>
        <v>-0.39912657275446661</v>
      </c>
      <c r="T235" s="25">
        <f>bdrate(C235:C238,H235:H238,J235:J238,O235:O238)</f>
        <v>-0.35249970817234411</v>
      </c>
      <c r="U235" s="28">
        <f t="shared" si="9"/>
        <v>-9.8419776692730623E-2</v>
      </c>
    </row>
    <row r="236" spans="2:21" x14ac:dyDescent="0.25">
      <c r="B236" s="9"/>
      <c r="C236" s="17">
        <v>1547.19</v>
      </c>
      <c r="D236" s="18">
        <v>42.884999999999998</v>
      </c>
      <c r="E236" s="18">
        <v>43.753999999999998</v>
      </c>
      <c r="F236" s="18">
        <v>43.488999999999997</v>
      </c>
      <c r="G236" s="18">
        <v>367.5</v>
      </c>
      <c r="H236" s="18">
        <f t="shared" si="10"/>
        <v>43.069125</v>
      </c>
      <c r="I236" s="5"/>
      <c r="J236" s="17">
        <v>960.65480000000002</v>
      </c>
      <c r="K236" s="18">
        <v>42.3703</v>
      </c>
      <c r="L236" s="18">
        <v>43.742400000000004</v>
      </c>
      <c r="M236" s="18">
        <v>43.610599999999998</v>
      </c>
      <c r="N236" s="18">
        <v>323.15980000000002</v>
      </c>
      <c r="O236" s="18">
        <f t="shared" si="11"/>
        <v>42.696849999999998</v>
      </c>
      <c r="P236" s="7"/>
      <c r="Q236" s="10"/>
      <c r="R236" s="11"/>
      <c r="S236" s="11"/>
      <c r="T236" s="26"/>
      <c r="U236" s="28">
        <f t="shared" si="9"/>
        <v>-0.12065360544217682</v>
      </c>
    </row>
    <row r="237" spans="2:21" x14ac:dyDescent="0.25">
      <c r="B237" s="9"/>
      <c r="C237" s="17">
        <v>940.43</v>
      </c>
      <c r="D237" s="18">
        <v>39.646999999999998</v>
      </c>
      <c r="E237" s="18">
        <v>41.247999999999998</v>
      </c>
      <c r="F237" s="18">
        <v>40.854999999999997</v>
      </c>
      <c r="G237" s="18">
        <v>380.79</v>
      </c>
      <c r="H237" s="18">
        <f t="shared" si="10"/>
        <v>39.998125000000002</v>
      </c>
      <c r="I237" s="5"/>
      <c r="J237" s="17">
        <v>584.90959999999995</v>
      </c>
      <c r="K237" s="18">
        <v>39.278399999999998</v>
      </c>
      <c r="L237" s="18">
        <v>41.266599999999997</v>
      </c>
      <c r="M237" s="18">
        <v>41.088999999999999</v>
      </c>
      <c r="N237" s="18">
        <v>361.3732</v>
      </c>
      <c r="O237" s="18">
        <f t="shared" si="11"/>
        <v>39.753249999999994</v>
      </c>
      <c r="P237" s="7"/>
      <c r="Q237" s="10"/>
      <c r="R237" s="11"/>
      <c r="S237" s="11"/>
      <c r="T237" s="26"/>
      <c r="U237" s="28">
        <f t="shared" si="9"/>
        <v>-5.099083484335204E-2</v>
      </c>
    </row>
    <row r="238" spans="2:21" ht="16.5" thickBot="1" x14ac:dyDescent="0.3">
      <c r="B238" s="12"/>
      <c r="C238" s="19">
        <v>442.42</v>
      </c>
      <c r="D238" s="20">
        <v>34.292999999999999</v>
      </c>
      <c r="E238" s="20">
        <v>37.823999999999998</v>
      </c>
      <c r="F238" s="20">
        <v>37.335999999999999</v>
      </c>
      <c r="G238" s="20">
        <v>395.17</v>
      </c>
      <c r="H238" s="20">
        <f t="shared" si="10"/>
        <v>35.114750000000001</v>
      </c>
      <c r="I238" s="5"/>
      <c r="J238" s="19">
        <v>294.98050000000001</v>
      </c>
      <c r="K238" s="20">
        <v>34.9895</v>
      </c>
      <c r="L238" s="20">
        <v>38.106099999999998</v>
      </c>
      <c r="M238" s="20">
        <v>37.925400000000003</v>
      </c>
      <c r="N238" s="20">
        <v>402.05489999999998</v>
      </c>
      <c r="O238" s="20">
        <f t="shared" si="11"/>
        <v>35.746062500000001</v>
      </c>
      <c r="P238" s="7"/>
      <c r="Q238" s="13"/>
      <c r="R238" s="14"/>
      <c r="S238" s="14"/>
      <c r="T238" s="27"/>
      <c r="U238" s="28">
        <f t="shared" si="9"/>
        <v>1.7422628235948982E-2</v>
      </c>
    </row>
    <row r="239" spans="2:21" x14ac:dyDescent="0.25">
      <c r="B239" s="6" t="s">
        <v>109</v>
      </c>
      <c r="C239" s="15">
        <v>2580.73</v>
      </c>
      <c r="D239" s="16">
        <v>47.17</v>
      </c>
      <c r="E239" s="16">
        <v>48.88</v>
      </c>
      <c r="F239" s="16">
        <v>49.036000000000001</v>
      </c>
      <c r="G239" s="16">
        <v>285.62</v>
      </c>
      <c r="H239" s="16">
        <f t="shared" si="10"/>
        <v>47.616999999999997</v>
      </c>
      <c r="I239" s="5"/>
      <c r="J239" s="15">
        <v>1405.8264999999999</v>
      </c>
      <c r="K239" s="16">
        <v>45.284599999999998</v>
      </c>
      <c r="L239" s="16">
        <v>47.535600000000002</v>
      </c>
      <c r="M239" s="16">
        <v>47.7883</v>
      </c>
      <c r="N239" s="16">
        <v>254.12960000000001</v>
      </c>
      <c r="O239" s="16">
        <f t="shared" si="11"/>
        <v>45.878937499999992</v>
      </c>
      <c r="P239" s="7"/>
      <c r="Q239" s="8">
        <f>bdrate(C239:C242,D239:D242,J239:J242,K239:K242)</f>
        <v>-0.39241365586112098</v>
      </c>
      <c r="R239" s="8">
        <f>bdrate(C239:C242,E239:E242,J239:J242,L239:L242)</f>
        <v>-0.43063171024608593</v>
      </c>
      <c r="S239" s="8">
        <f>bdrate(C239:C242,F239:F242,J239:J242,M239:M242)</f>
        <v>-0.43759894540992239</v>
      </c>
      <c r="T239" s="25">
        <f>bdrate(C239:C242,H239:H242,J239:J242,O239:O242)</f>
        <v>-0.40187013904268354</v>
      </c>
      <c r="U239" s="28">
        <f t="shared" si="9"/>
        <v>-0.11025278341852809</v>
      </c>
    </row>
    <row r="240" spans="2:21" x14ac:dyDescent="0.25">
      <c r="B240" s="9"/>
      <c r="C240" s="17">
        <v>1709.59</v>
      </c>
      <c r="D240" s="18">
        <v>44.231999999999999</v>
      </c>
      <c r="E240" s="18">
        <v>46.2</v>
      </c>
      <c r="F240" s="18">
        <v>46.386000000000003</v>
      </c>
      <c r="G240" s="18">
        <v>353.91</v>
      </c>
      <c r="H240" s="18">
        <f t="shared" si="10"/>
        <v>44.747250000000001</v>
      </c>
      <c r="I240" s="5"/>
      <c r="J240" s="17">
        <v>976.26110000000006</v>
      </c>
      <c r="K240" s="18">
        <v>43.749200000000002</v>
      </c>
      <c r="L240" s="18">
        <v>46.259399999999999</v>
      </c>
      <c r="M240" s="18">
        <v>46.525599999999997</v>
      </c>
      <c r="N240" s="18">
        <v>285.62360000000001</v>
      </c>
      <c r="O240" s="18">
        <f t="shared" si="11"/>
        <v>44.410024999999997</v>
      </c>
      <c r="P240" s="7"/>
      <c r="Q240" s="10"/>
      <c r="R240" s="11"/>
      <c r="S240" s="11"/>
      <c r="T240" s="26"/>
      <c r="U240" s="28">
        <f t="shared" si="9"/>
        <v>-0.19294848972902717</v>
      </c>
    </row>
    <row r="241" spans="2:21" x14ac:dyDescent="0.25">
      <c r="B241" s="9"/>
      <c r="C241" s="17">
        <v>1026.67</v>
      </c>
      <c r="D241" s="18">
        <v>40.774999999999999</v>
      </c>
      <c r="E241" s="18">
        <v>43.216000000000001</v>
      </c>
      <c r="F241" s="18">
        <v>43.426000000000002</v>
      </c>
      <c r="G241" s="18">
        <v>388.43</v>
      </c>
      <c r="H241" s="18">
        <f t="shared" si="10"/>
        <v>41.411499999999997</v>
      </c>
      <c r="I241" s="5"/>
      <c r="J241" s="17">
        <v>638.12710000000004</v>
      </c>
      <c r="K241" s="18">
        <v>41.014200000000002</v>
      </c>
      <c r="L241" s="18">
        <v>43.8185</v>
      </c>
      <c r="M241" s="18">
        <v>44.085799999999999</v>
      </c>
      <c r="N241" s="18">
        <v>309.22519999999997</v>
      </c>
      <c r="O241" s="18">
        <f t="shared" si="11"/>
        <v>41.748687500000003</v>
      </c>
      <c r="P241" s="7"/>
      <c r="Q241" s="10"/>
      <c r="R241" s="11"/>
      <c r="S241" s="11"/>
      <c r="T241" s="26"/>
      <c r="U241" s="28">
        <f t="shared" si="9"/>
        <v>-0.20391009963185139</v>
      </c>
    </row>
    <row r="242" spans="2:21" ht="16.5" thickBot="1" x14ac:dyDescent="0.3">
      <c r="B242" s="12"/>
      <c r="C242" s="19">
        <v>481.26</v>
      </c>
      <c r="D242" s="20">
        <v>36.06</v>
      </c>
      <c r="E242" s="20">
        <v>39.540999999999997</v>
      </c>
      <c r="F242" s="20">
        <v>39.755000000000003</v>
      </c>
      <c r="G242" s="20">
        <v>407.7</v>
      </c>
      <c r="H242" s="20">
        <f t="shared" si="10"/>
        <v>36.957000000000001</v>
      </c>
      <c r="I242" s="5"/>
      <c r="J242" s="19">
        <v>338.02409999999998</v>
      </c>
      <c r="K242" s="20">
        <v>37.0351</v>
      </c>
      <c r="L242" s="20">
        <v>40.360199999999999</v>
      </c>
      <c r="M242" s="20">
        <v>40.642400000000002</v>
      </c>
      <c r="N242" s="20">
        <v>395.08339999999998</v>
      </c>
      <c r="O242" s="20">
        <f t="shared" si="11"/>
        <v>37.901650000000004</v>
      </c>
      <c r="P242" s="7"/>
      <c r="Q242" s="13"/>
      <c r="R242" s="14"/>
      <c r="S242" s="14"/>
      <c r="T242" s="27"/>
      <c r="U242" s="28">
        <f t="shared" si="9"/>
        <v>-3.0945793475594813E-2</v>
      </c>
    </row>
    <row r="243" spans="2:21" x14ac:dyDescent="0.25">
      <c r="B243" s="6" t="s">
        <v>110</v>
      </c>
      <c r="C243" s="29">
        <v>2147.08</v>
      </c>
      <c r="D243" s="30">
        <v>31.635000000000002</v>
      </c>
      <c r="E243" s="30">
        <v>35.779000000000003</v>
      </c>
      <c r="F243" s="30">
        <v>34.790999999999997</v>
      </c>
      <c r="G243" s="16">
        <v>236.34</v>
      </c>
      <c r="H243" s="16">
        <f t="shared" si="10"/>
        <v>32.547499999999999</v>
      </c>
      <c r="I243" s="5"/>
      <c r="J243" s="29">
        <v>1506.8119999999999</v>
      </c>
      <c r="K243" s="30">
        <v>31.950900000000001</v>
      </c>
      <c r="L243" s="30">
        <v>36.303800000000003</v>
      </c>
      <c r="M243" s="30">
        <v>35.198900000000002</v>
      </c>
      <c r="N243" s="16">
        <v>234.03980000000001</v>
      </c>
      <c r="O243" s="16">
        <f t="shared" si="11"/>
        <v>32.9010125</v>
      </c>
      <c r="P243" s="7"/>
      <c r="Q243" s="8">
        <f>bdrate(C243:C246,D243:D246,J243:J246,K243:K246)</f>
        <v>-0.4214056785318826</v>
      </c>
      <c r="R243" s="8">
        <f>bdrate(C243:C246,E243:E246,J243:J246,L243:L246)</f>
        <v>-0.36655401917260044</v>
      </c>
      <c r="S243" s="8">
        <f>bdrate(C243:C246,F243:F246,J243:J246,M243:M246)</f>
        <v>-0.31591208726937059</v>
      </c>
      <c r="T243" s="25">
        <f>bdrate(C243:C246,H243:H246,J243:J246,O243:O246)</f>
        <v>-0.41355034831210047</v>
      </c>
      <c r="U243" s="28">
        <f t="shared" si="9"/>
        <v>-9.7325886434796883E-3</v>
      </c>
    </row>
    <row r="244" spans="2:21" x14ac:dyDescent="0.25">
      <c r="B244" s="9"/>
      <c r="C244" s="31">
        <v>1424.7</v>
      </c>
      <c r="D244" s="32">
        <v>29.478999999999999</v>
      </c>
      <c r="E244" s="32">
        <v>34.826000000000001</v>
      </c>
      <c r="F244" s="32">
        <v>33.786000000000001</v>
      </c>
      <c r="G244" s="18">
        <v>332.47</v>
      </c>
      <c r="H244" s="18">
        <f t="shared" si="10"/>
        <v>30.685749999999999</v>
      </c>
      <c r="I244" s="5"/>
      <c r="J244" s="31">
        <v>1007.0780999999999</v>
      </c>
      <c r="K244" s="32">
        <v>30.092300000000002</v>
      </c>
      <c r="L244" s="32">
        <v>35.2654</v>
      </c>
      <c r="M244" s="32">
        <v>34.101100000000002</v>
      </c>
      <c r="N244" s="18">
        <v>278.63780000000003</v>
      </c>
      <c r="O244" s="18">
        <f t="shared" si="11"/>
        <v>31.240037500000003</v>
      </c>
      <c r="P244" s="7"/>
      <c r="Q244" s="10"/>
      <c r="R244" s="11"/>
      <c r="S244" s="11"/>
      <c r="T244" s="26"/>
      <c r="U244" s="28">
        <f t="shared" si="9"/>
        <v>-0.16191596234246697</v>
      </c>
    </row>
    <row r="245" spans="2:21" x14ac:dyDescent="0.25">
      <c r="B245" s="9"/>
      <c r="C245" s="31">
        <v>856.01</v>
      </c>
      <c r="D245" s="32">
        <v>26.882000000000001</v>
      </c>
      <c r="E245" s="32">
        <v>33.883000000000003</v>
      </c>
      <c r="F245" s="32">
        <v>32.808999999999997</v>
      </c>
      <c r="G245" s="18">
        <v>341.23</v>
      </c>
      <c r="H245" s="18">
        <f t="shared" si="10"/>
        <v>28.498000000000001</v>
      </c>
      <c r="I245" s="5"/>
      <c r="J245" s="31">
        <v>602.26930000000004</v>
      </c>
      <c r="K245" s="32">
        <v>27.936800000000002</v>
      </c>
      <c r="L245" s="32">
        <v>34.023600000000002</v>
      </c>
      <c r="M245" s="32">
        <v>32.739800000000002</v>
      </c>
      <c r="N245" s="18">
        <v>325.02710000000002</v>
      </c>
      <c r="O245" s="18">
        <f t="shared" si="11"/>
        <v>29.298025000000003</v>
      </c>
      <c r="P245" s="7"/>
      <c r="Q245" s="10"/>
      <c r="R245" s="11"/>
      <c r="S245" s="11"/>
      <c r="T245" s="26"/>
      <c r="U245" s="28">
        <f t="shared" si="9"/>
        <v>-4.7483808574861529E-2</v>
      </c>
    </row>
    <row r="246" spans="2:21" ht="16.5" thickBot="1" x14ac:dyDescent="0.3">
      <c r="B246" s="12"/>
      <c r="C246" s="33">
        <v>378.05</v>
      </c>
      <c r="D246" s="34">
        <v>22.783000000000001</v>
      </c>
      <c r="E246" s="34">
        <v>31.248999999999999</v>
      </c>
      <c r="F246" s="34">
        <v>30.059000000000001</v>
      </c>
      <c r="G246" s="20">
        <v>350.74</v>
      </c>
      <c r="H246" s="20">
        <f t="shared" si="10"/>
        <v>24.75075</v>
      </c>
      <c r="I246" s="5"/>
      <c r="J246" s="33">
        <v>303.90910000000002</v>
      </c>
      <c r="K246" s="34">
        <v>25.415299999999998</v>
      </c>
      <c r="L246" s="34">
        <v>32.18</v>
      </c>
      <c r="M246" s="34">
        <v>30.771999999999998</v>
      </c>
      <c r="N246" s="20">
        <v>388.5172</v>
      </c>
      <c r="O246" s="20">
        <f t="shared" si="11"/>
        <v>26.930474999999998</v>
      </c>
      <c r="P246" s="7"/>
      <c r="Q246" s="13"/>
      <c r="R246" s="14"/>
      <c r="S246" s="14"/>
      <c r="T246" s="27"/>
      <c r="U246" s="28">
        <f t="shared" si="9"/>
        <v>0.10770713348919425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-0.45565053756262347</v>
      </c>
      <c r="R247" s="21">
        <f>AVERAGE(R131:R246)</f>
        <v>-0.53584388942726624</v>
      </c>
      <c r="S247" s="21">
        <f>AVERAGE(S131:S246)</f>
        <v>-0.53052142670479607</v>
      </c>
      <c r="T247" s="21">
        <f>AVERAGE(T131:T246)</f>
        <v>-0.47109649691843464</v>
      </c>
      <c r="U247" s="21">
        <f>AVERAGE(U131:U246)</f>
        <v>-9.7959757624770438E-2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011" priority="85" operator="greaterThan">
      <formula>0.03</formula>
    </cfRule>
    <cfRule type="cellIs" dxfId="1010" priority="86" stopIfTrue="1" operator="lessThan">
      <formula>-0.03</formula>
    </cfRule>
  </conditionalFormatting>
  <conditionalFormatting sqref="Q33:T36">
    <cfRule type="cellIs" dxfId="1009" priority="83" operator="greaterThan">
      <formula>0.03</formula>
    </cfRule>
    <cfRule type="cellIs" dxfId="1008" priority="84" stopIfTrue="1" operator="lessThan">
      <formula>-0.03</formula>
    </cfRule>
  </conditionalFormatting>
  <conditionalFormatting sqref="Q46:T48 Q62:T64">
    <cfRule type="cellIs" dxfId="1007" priority="81" operator="greaterThan">
      <formula>0.03</formula>
    </cfRule>
    <cfRule type="cellIs" dxfId="1006" priority="82" stopIfTrue="1" operator="lessThan">
      <formula>-0.03</formula>
    </cfRule>
  </conditionalFormatting>
  <conditionalFormatting sqref="Q50:T52 Q54:T56 Q58:T60">
    <cfRule type="cellIs" dxfId="1005" priority="79" operator="greaterThan">
      <formula>0.03</formula>
    </cfRule>
    <cfRule type="cellIs" dxfId="1004" priority="80" stopIfTrue="1" operator="lessThan">
      <formula>-0.03</formula>
    </cfRule>
  </conditionalFormatting>
  <conditionalFormatting sqref="Q70:T72 Q74:T76">
    <cfRule type="cellIs" dxfId="1003" priority="77" operator="greaterThan">
      <formula>0.03</formula>
    </cfRule>
    <cfRule type="cellIs" dxfId="1002" priority="78" stopIfTrue="1" operator="lessThan">
      <formula>-0.03</formula>
    </cfRule>
  </conditionalFormatting>
  <conditionalFormatting sqref="Q66:T68">
    <cfRule type="cellIs" dxfId="1001" priority="75" operator="greaterThan">
      <formula>0.03</formula>
    </cfRule>
    <cfRule type="cellIs" dxfId="1000" priority="76" stopIfTrue="1" operator="lessThan">
      <formula>-0.03</formula>
    </cfRule>
  </conditionalFormatting>
  <conditionalFormatting sqref="Q78:T80">
    <cfRule type="cellIs" dxfId="999" priority="73" operator="greaterThan">
      <formula>0.03</formula>
    </cfRule>
    <cfRule type="cellIs" dxfId="998" priority="74" stopIfTrue="1" operator="lessThan">
      <formula>-0.03</formula>
    </cfRule>
  </conditionalFormatting>
  <conditionalFormatting sqref="Q21:T28">
    <cfRule type="cellIs" dxfId="997" priority="71" operator="greaterThan">
      <formula>0.03</formula>
    </cfRule>
    <cfRule type="cellIs" dxfId="996" priority="72" stopIfTrue="1" operator="lessThan">
      <formula>-0.03</formula>
    </cfRule>
  </conditionalFormatting>
  <conditionalFormatting sqref="Q151:T154 Q159:T166 Q131:T142">
    <cfRule type="cellIs" dxfId="995" priority="69" operator="greaterThan">
      <formula>0.03</formula>
    </cfRule>
    <cfRule type="cellIs" dxfId="994" priority="70" stopIfTrue="1" operator="lessThan">
      <formula>-0.03</formula>
    </cfRule>
  </conditionalFormatting>
  <conditionalFormatting sqref="Q155:T158">
    <cfRule type="cellIs" dxfId="993" priority="67" operator="greaterThan">
      <formula>0.03</formula>
    </cfRule>
    <cfRule type="cellIs" dxfId="992" priority="68" stopIfTrue="1" operator="lessThan">
      <formula>-0.03</formula>
    </cfRule>
  </conditionalFormatting>
  <conditionalFormatting sqref="Q167:T170 Q183:T186">
    <cfRule type="cellIs" dxfId="991" priority="65" operator="greaterThan">
      <formula>0.03</formula>
    </cfRule>
    <cfRule type="cellIs" dxfId="990" priority="66" stopIfTrue="1" operator="lessThan">
      <formula>-0.03</formula>
    </cfRule>
  </conditionalFormatting>
  <conditionalFormatting sqref="Q171:T182">
    <cfRule type="cellIs" dxfId="989" priority="63" operator="greaterThan">
      <formula>0.03</formula>
    </cfRule>
    <cfRule type="cellIs" dxfId="988" priority="64" stopIfTrue="1" operator="lessThan">
      <formula>-0.03</formula>
    </cfRule>
  </conditionalFormatting>
  <conditionalFormatting sqref="Q191:T198">
    <cfRule type="cellIs" dxfId="987" priority="61" operator="greaterThan">
      <formula>0.03</formula>
    </cfRule>
    <cfRule type="cellIs" dxfId="986" priority="62" stopIfTrue="1" operator="lessThan">
      <formula>-0.03</formula>
    </cfRule>
  </conditionalFormatting>
  <conditionalFormatting sqref="Q187:T190">
    <cfRule type="cellIs" dxfId="985" priority="59" operator="greaterThan">
      <formula>0.03</formula>
    </cfRule>
    <cfRule type="cellIs" dxfId="984" priority="60" stopIfTrue="1" operator="lessThan">
      <formula>-0.03</formula>
    </cfRule>
  </conditionalFormatting>
  <conditionalFormatting sqref="Q199:T202">
    <cfRule type="cellIs" dxfId="983" priority="57" operator="greaterThan">
      <formula>0.03</formula>
    </cfRule>
    <cfRule type="cellIs" dxfId="982" priority="58" stopIfTrue="1" operator="lessThan">
      <formula>-0.03</formula>
    </cfRule>
  </conditionalFormatting>
  <conditionalFormatting sqref="Q143:T150">
    <cfRule type="cellIs" dxfId="981" priority="55" operator="greaterThan">
      <formula>0.03</formula>
    </cfRule>
    <cfRule type="cellIs" dxfId="980" priority="56" stopIfTrue="1" operator="lessThan">
      <formula>-0.03</formula>
    </cfRule>
  </conditionalFormatting>
  <conditionalFormatting sqref="Q45:T45">
    <cfRule type="cellIs" dxfId="979" priority="53" operator="greaterThan">
      <formula>0.03</formula>
    </cfRule>
    <cfRule type="cellIs" dxfId="978" priority="54" stopIfTrue="1" operator="lessThan">
      <formula>-0.03</formula>
    </cfRule>
  </conditionalFormatting>
  <conditionalFormatting sqref="Q49:T49">
    <cfRule type="cellIs" dxfId="977" priority="51" operator="greaterThan">
      <formula>0.03</formula>
    </cfRule>
    <cfRule type="cellIs" dxfId="976" priority="52" stopIfTrue="1" operator="lessThan">
      <formula>-0.03</formula>
    </cfRule>
  </conditionalFormatting>
  <conditionalFormatting sqref="Q53:T53">
    <cfRule type="cellIs" dxfId="975" priority="49" operator="greaterThan">
      <formula>0.03</formula>
    </cfRule>
    <cfRule type="cellIs" dxfId="974" priority="50" stopIfTrue="1" operator="lessThan">
      <formula>-0.03</formula>
    </cfRule>
  </conditionalFormatting>
  <conditionalFormatting sqref="Q57:T57">
    <cfRule type="cellIs" dxfId="973" priority="47" operator="greaterThan">
      <formula>0.03</formula>
    </cfRule>
    <cfRule type="cellIs" dxfId="972" priority="48" stopIfTrue="1" operator="lessThan">
      <formula>-0.03</formula>
    </cfRule>
  </conditionalFormatting>
  <conditionalFormatting sqref="Q61:T61">
    <cfRule type="cellIs" dxfId="971" priority="45" operator="greaterThan">
      <formula>0.03</formula>
    </cfRule>
    <cfRule type="cellIs" dxfId="970" priority="46" stopIfTrue="1" operator="lessThan">
      <formula>-0.03</formula>
    </cfRule>
  </conditionalFormatting>
  <conditionalFormatting sqref="Q65:T65">
    <cfRule type="cellIs" dxfId="969" priority="43" operator="greaterThan">
      <formula>0.03</formula>
    </cfRule>
    <cfRule type="cellIs" dxfId="968" priority="44" stopIfTrue="1" operator="lessThan">
      <formula>-0.03</formula>
    </cfRule>
  </conditionalFormatting>
  <conditionalFormatting sqref="Q69:T69">
    <cfRule type="cellIs" dxfId="967" priority="41" operator="greaterThan">
      <formula>0.03</formula>
    </cfRule>
    <cfRule type="cellIs" dxfId="966" priority="42" stopIfTrue="1" operator="lessThan">
      <formula>-0.03</formula>
    </cfRule>
  </conditionalFormatting>
  <conditionalFormatting sqref="Q73:T73">
    <cfRule type="cellIs" dxfId="965" priority="39" operator="greaterThan">
      <formula>0.03</formula>
    </cfRule>
    <cfRule type="cellIs" dxfId="964" priority="40" stopIfTrue="1" operator="lessThan">
      <formula>-0.03</formula>
    </cfRule>
  </conditionalFormatting>
  <conditionalFormatting sqref="Q77:T77">
    <cfRule type="cellIs" dxfId="963" priority="37" operator="greaterThan">
      <formula>0.03</formula>
    </cfRule>
    <cfRule type="cellIs" dxfId="962" priority="38" stopIfTrue="1" operator="lessThan">
      <formula>-0.03</formula>
    </cfRule>
  </conditionalFormatting>
  <conditionalFormatting sqref="Q117:T117">
    <cfRule type="cellIs" dxfId="961" priority="21" operator="greaterThan">
      <formula>0.03</formula>
    </cfRule>
    <cfRule type="cellIs" dxfId="960" priority="22" stopIfTrue="1" operator="lessThan">
      <formula>-0.03</formula>
    </cfRule>
  </conditionalFormatting>
  <conditionalFormatting sqref="Q93:T96 Q101:T108 Q81:T84">
    <cfRule type="cellIs" dxfId="959" priority="35" operator="greaterThan">
      <formula>0.03</formula>
    </cfRule>
    <cfRule type="cellIs" dxfId="958" priority="36" stopIfTrue="1" operator="lessThan">
      <formula>-0.03</formula>
    </cfRule>
  </conditionalFormatting>
  <conditionalFormatting sqref="Q97:T100">
    <cfRule type="cellIs" dxfId="957" priority="33" operator="greaterThan">
      <formula>0.03</formula>
    </cfRule>
    <cfRule type="cellIs" dxfId="956" priority="34" stopIfTrue="1" operator="lessThan">
      <formula>-0.03</formula>
    </cfRule>
  </conditionalFormatting>
  <conditionalFormatting sqref="Q110:T112 Q122:T124">
    <cfRule type="cellIs" dxfId="955" priority="31" operator="greaterThan">
      <formula>0.03</formula>
    </cfRule>
    <cfRule type="cellIs" dxfId="954" priority="32" stopIfTrue="1" operator="lessThan">
      <formula>-0.03</formula>
    </cfRule>
  </conditionalFormatting>
  <conditionalFormatting sqref="Q114:T116 Q118:T120">
    <cfRule type="cellIs" dxfId="953" priority="29" operator="greaterThan">
      <formula>0.03</formula>
    </cfRule>
    <cfRule type="cellIs" dxfId="952" priority="30" stopIfTrue="1" operator="lessThan">
      <formula>-0.03</formula>
    </cfRule>
  </conditionalFormatting>
  <conditionalFormatting sqref="Q85:T92">
    <cfRule type="cellIs" dxfId="951" priority="27" operator="greaterThan">
      <formula>0.03</formula>
    </cfRule>
    <cfRule type="cellIs" dxfId="950" priority="28" stopIfTrue="1" operator="lessThan">
      <formula>-0.03</formula>
    </cfRule>
  </conditionalFormatting>
  <conditionalFormatting sqref="Q109:T109">
    <cfRule type="cellIs" dxfId="949" priority="25" operator="greaterThan">
      <formula>0.03</formula>
    </cfRule>
    <cfRule type="cellIs" dxfId="948" priority="26" stopIfTrue="1" operator="lessThan">
      <formula>-0.03</formula>
    </cfRule>
  </conditionalFormatting>
  <conditionalFormatting sqref="Q113:T113">
    <cfRule type="cellIs" dxfId="947" priority="23" operator="greaterThan">
      <formula>0.03</formula>
    </cfRule>
    <cfRule type="cellIs" dxfId="946" priority="24" stopIfTrue="1" operator="lessThan">
      <formula>-0.03</formula>
    </cfRule>
  </conditionalFormatting>
  <conditionalFormatting sqref="Q121:T121">
    <cfRule type="cellIs" dxfId="945" priority="19" operator="greaterThan">
      <formula>0.03</formula>
    </cfRule>
    <cfRule type="cellIs" dxfId="944" priority="20" stopIfTrue="1" operator="lessThan">
      <formula>-0.03</formula>
    </cfRule>
  </conditionalFormatting>
  <conditionalFormatting sqref="Q239:T239">
    <cfRule type="cellIs" dxfId="943" priority="3" operator="greaterThan">
      <formula>0.03</formula>
    </cfRule>
    <cfRule type="cellIs" dxfId="942" priority="4" stopIfTrue="1" operator="lessThan">
      <formula>-0.03</formula>
    </cfRule>
  </conditionalFormatting>
  <conditionalFormatting sqref="Q215:T218 Q223:T230 Q203:T206">
    <cfRule type="cellIs" dxfId="941" priority="17" operator="greaterThan">
      <formula>0.03</formula>
    </cfRule>
    <cfRule type="cellIs" dxfId="940" priority="18" stopIfTrue="1" operator="lessThan">
      <formula>-0.03</formula>
    </cfRule>
  </conditionalFormatting>
  <conditionalFormatting sqref="Q219:T222">
    <cfRule type="cellIs" dxfId="939" priority="15" operator="greaterThan">
      <formula>0.03</formula>
    </cfRule>
    <cfRule type="cellIs" dxfId="938" priority="16" stopIfTrue="1" operator="lessThan">
      <formula>-0.03</formula>
    </cfRule>
  </conditionalFormatting>
  <conditionalFormatting sqref="Q232:T234 Q244:T246">
    <cfRule type="cellIs" dxfId="937" priority="13" operator="greaterThan">
      <formula>0.03</formula>
    </cfRule>
    <cfRule type="cellIs" dxfId="936" priority="14" stopIfTrue="1" operator="lessThan">
      <formula>-0.03</formula>
    </cfRule>
  </conditionalFormatting>
  <conditionalFormatting sqref="Q236:T238 Q240:T242">
    <cfRule type="cellIs" dxfId="935" priority="11" operator="greaterThan">
      <formula>0.03</formula>
    </cfRule>
    <cfRule type="cellIs" dxfId="934" priority="12" stopIfTrue="1" operator="lessThan">
      <formula>-0.03</formula>
    </cfRule>
  </conditionalFormatting>
  <conditionalFormatting sqref="Q207:T214">
    <cfRule type="cellIs" dxfId="933" priority="9" operator="greaterThan">
      <formula>0.03</formula>
    </cfRule>
    <cfRule type="cellIs" dxfId="932" priority="10" stopIfTrue="1" operator="lessThan">
      <formula>-0.03</formula>
    </cfRule>
  </conditionalFormatting>
  <conditionalFormatting sqref="Q231:T231">
    <cfRule type="cellIs" dxfId="931" priority="7" operator="greaterThan">
      <formula>0.03</formula>
    </cfRule>
    <cfRule type="cellIs" dxfId="930" priority="8" stopIfTrue="1" operator="lessThan">
      <formula>-0.03</formula>
    </cfRule>
  </conditionalFormatting>
  <conditionalFormatting sqref="Q235:T235">
    <cfRule type="cellIs" dxfId="929" priority="5" operator="greaterThan">
      <formula>0.03</formula>
    </cfRule>
    <cfRule type="cellIs" dxfId="928" priority="6" stopIfTrue="1" operator="lessThan">
      <formula>-0.03</formula>
    </cfRule>
  </conditionalFormatting>
  <conditionalFormatting sqref="Q243:T243">
    <cfRule type="cellIs" dxfId="927" priority="1" operator="greaterThan">
      <formula>0.03</formula>
    </cfRule>
    <cfRule type="cellIs" dxfId="92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>
      <selection activeCell="M23" sqref="M23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98</v>
      </c>
    </row>
    <row r="2" spans="1:21" x14ac:dyDescent="0.25">
      <c r="A2" t="s">
        <v>84</v>
      </c>
    </row>
    <row r="3" spans="1:21" x14ac:dyDescent="0.25">
      <c r="A3" t="s">
        <v>87</v>
      </c>
    </row>
    <row r="4" spans="1:21" x14ac:dyDescent="0.25">
      <c r="A4" t="s">
        <v>86</v>
      </c>
    </row>
    <row r="5" spans="1:21" s="35" customFormat="1" ht="15.75" customHeight="1" x14ac:dyDescent="0.25">
      <c r="B5" s="61" t="s">
        <v>29</v>
      </c>
      <c r="C5" s="63" t="s">
        <v>179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65</v>
      </c>
      <c r="D7" s="70"/>
      <c r="E7" s="70"/>
      <c r="F7" s="70"/>
      <c r="G7" s="70"/>
      <c r="H7" s="70"/>
      <c r="I7" s="5"/>
      <c r="J7" s="69" t="s">
        <v>180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5877.02</v>
      </c>
      <c r="D9" s="16">
        <v>37.286000000000001</v>
      </c>
      <c r="E9" s="16">
        <v>38.783999999999999</v>
      </c>
      <c r="F9" s="16">
        <v>41.085999999999999</v>
      </c>
      <c r="G9" s="16">
        <v>16.21</v>
      </c>
      <c r="H9" s="16">
        <f t="shared" ref="H9:H80" si="0">(6*D9+E9+F9)/8</f>
        <v>37.948250000000002</v>
      </c>
      <c r="I9" s="5"/>
      <c r="J9" s="15">
        <v>3996.5727999999999</v>
      </c>
      <c r="K9" s="16">
        <v>37.901400000000002</v>
      </c>
      <c r="L9" s="16">
        <v>39.451599999999999</v>
      </c>
      <c r="M9" s="16">
        <v>41.927100000000003</v>
      </c>
      <c r="N9" s="16">
        <v>14.2019</v>
      </c>
      <c r="O9" s="16">
        <f t="shared" ref="O9:O80" si="1">(6*K9+L9+M9)/8</f>
        <v>38.598387500000001</v>
      </c>
      <c r="P9" s="7"/>
      <c r="Q9" s="8">
        <f>bdrate(C9:C12,D9:D12,J9:J12,K9:K12)</f>
        <v>-0.46477968110792778</v>
      </c>
      <c r="R9" s="8">
        <f>bdrate(C9:C12,E9:E12,J9:J12,L9:L12)</f>
        <v>-0.51121990335641743</v>
      </c>
      <c r="S9" s="8">
        <f>bdrate(C9:C12,F9:F12,J9:J12,M9:M12)</f>
        <v>-0.51683360526724909</v>
      </c>
      <c r="T9" s="25">
        <f>bdrate(C9:C12,H9:H12,J9:J12,O9:O12)</f>
        <v>-0.4716242077593461</v>
      </c>
      <c r="U9" s="28">
        <f t="shared" ref="U9:U40" si="2">(N9-G9)/G9</f>
        <v>-0.12388032078963607</v>
      </c>
    </row>
    <row r="10" spans="1:21" x14ac:dyDescent="0.25">
      <c r="A10" s="9" t="s">
        <v>36</v>
      </c>
      <c r="B10" s="9"/>
      <c r="C10" s="17">
        <v>4367.54</v>
      </c>
      <c r="D10" s="18">
        <v>36.210999999999999</v>
      </c>
      <c r="E10" s="18">
        <v>38.326000000000001</v>
      </c>
      <c r="F10" s="18">
        <v>40.597999999999999</v>
      </c>
      <c r="G10" s="18">
        <v>17.420000000000002</v>
      </c>
      <c r="H10" s="18">
        <f t="shared" si="0"/>
        <v>37.02375</v>
      </c>
      <c r="I10" s="5"/>
      <c r="J10" s="17">
        <v>2901.0864000000001</v>
      </c>
      <c r="K10" s="18">
        <v>36.9054</v>
      </c>
      <c r="L10" s="18">
        <v>38.872300000000003</v>
      </c>
      <c r="M10" s="18">
        <v>41.210500000000003</v>
      </c>
      <c r="N10" s="18">
        <v>18.7453</v>
      </c>
      <c r="O10" s="18">
        <f t="shared" si="1"/>
        <v>37.689400000000006</v>
      </c>
      <c r="P10" s="7"/>
      <c r="Q10" s="10"/>
      <c r="R10" s="11"/>
      <c r="S10" s="11"/>
      <c r="T10" s="26"/>
      <c r="U10" s="28">
        <f t="shared" si="2"/>
        <v>7.6079219288174418E-2</v>
      </c>
    </row>
    <row r="11" spans="1:21" x14ac:dyDescent="0.25">
      <c r="B11" s="9"/>
      <c r="C11" s="17">
        <v>2868.78</v>
      </c>
      <c r="D11" s="18">
        <v>34.494999999999997</v>
      </c>
      <c r="E11" s="18">
        <v>37.679000000000002</v>
      </c>
      <c r="F11" s="18">
        <v>39.926000000000002</v>
      </c>
      <c r="G11" s="18">
        <v>18.489999999999998</v>
      </c>
      <c r="H11" s="18">
        <f t="shared" si="0"/>
        <v>35.571874999999999</v>
      </c>
      <c r="I11" s="5"/>
      <c r="J11" s="17">
        <v>1939.912</v>
      </c>
      <c r="K11" s="18">
        <v>35.383899999999997</v>
      </c>
      <c r="L11" s="18">
        <v>38.226199999999999</v>
      </c>
      <c r="M11" s="18">
        <v>40.5227</v>
      </c>
      <c r="N11" s="18">
        <v>21.901</v>
      </c>
      <c r="O11" s="18">
        <f t="shared" si="1"/>
        <v>36.3815375</v>
      </c>
      <c r="P11" s="7"/>
      <c r="Q11" s="10"/>
      <c r="R11" s="11"/>
      <c r="S11" s="11"/>
      <c r="T11" s="26"/>
      <c r="U11" s="28">
        <f t="shared" si="2"/>
        <v>0.18447809626825321</v>
      </c>
    </row>
    <row r="12" spans="1:21" ht="16.5" thickBot="1" x14ac:dyDescent="0.3">
      <c r="B12" s="12"/>
      <c r="C12" s="19">
        <v>1397.56</v>
      </c>
      <c r="D12" s="20">
        <v>31.077000000000002</v>
      </c>
      <c r="E12" s="20">
        <v>36.594999999999999</v>
      </c>
      <c r="F12" s="20">
        <v>38.762999999999998</v>
      </c>
      <c r="G12" s="20">
        <v>20.29</v>
      </c>
      <c r="H12" s="20">
        <f t="shared" si="0"/>
        <v>32.727499999999999</v>
      </c>
      <c r="I12" s="5"/>
      <c r="J12" s="19">
        <v>923.71199999999999</v>
      </c>
      <c r="K12" s="20">
        <v>32.498100000000001</v>
      </c>
      <c r="L12" s="20">
        <v>36.923999999999999</v>
      </c>
      <c r="M12" s="20">
        <v>39.136800000000001</v>
      </c>
      <c r="N12" s="20">
        <v>28.785299999999999</v>
      </c>
      <c r="O12" s="20">
        <f t="shared" si="1"/>
        <v>33.881175000000006</v>
      </c>
      <c r="P12" s="7"/>
      <c r="Q12" s="13"/>
      <c r="R12" s="14"/>
      <c r="S12" s="14"/>
      <c r="T12" s="27"/>
      <c r="U12" s="28">
        <f t="shared" si="2"/>
        <v>0.41869393790044362</v>
      </c>
    </row>
    <row r="13" spans="1:21" x14ac:dyDescent="0.25">
      <c r="B13" s="6" t="s">
        <v>47</v>
      </c>
      <c r="C13" s="15">
        <v>6236.2</v>
      </c>
      <c r="D13" s="16">
        <v>29.414999999999999</v>
      </c>
      <c r="E13" s="16">
        <v>39.261000000000003</v>
      </c>
      <c r="F13" s="16">
        <v>40.112000000000002</v>
      </c>
      <c r="G13" s="16">
        <v>14.35</v>
      </c>
      <c r="H13" s="16">
        <f t="shared" si="0"/>
        <v>31.982875</v>
      </c>
      <c r="I13" s="5"/>
      <c r="J13" s="15">
        <v>4038.4863999999998</v>
      </c>
      <c r="K13" s="16">
        <v>29.4847</v>
      </c>
      <c r="L13" s="16">
        <v>39.3401</v>
      </c>
      <c r="M13" s="16">
        <v>40.259700000000002</v>
      </c>
      <c r="N13" s="16">
        <v>12.0038</v>
      </c>
      <c r="O13" s="16">
        <f t="shared" si="1"/>
        <v>32.063499999999998</v>
      </c>
      <c r="P13" s="7"/>
      <c r="Q13" s="8">
        <f>bdrate(C13:C16,D13:D16,J13:J16,K13:K16)</f>
        <v>-0.43053610652576091</v>
      </c>
      <c r="R13" s="8">
        <f>bdrate(C13:C16,E13:E16,J13:J16,L13:L16)</f>
        <v>-0.3873730045894308</v>
      </c>
      <c r="S13" s="8">
        <f>bdrate(C13:C16,F13:F16,J13:J16,M13:M16)</f>
        <v>-0.45373937643519668</v>
      </c>
      <c r="T13" s="25">
        <f>bdrate(C13:C16,H13:H16,J13:J16,O13:O16)</f>
        <v>-0.43023672153407266</v>
      </c>
      <c r="U13" s="28">
        <f t="shared" si="2"/>
        <v>-0.16349825783972124</v>
      </c>
    </row>
    <row r="14" spans="1:21" x14ac:dyDescent="0.25">
      <c r="B14" s="9"/>
      <c r="C14" s="17">
        <v>4677.12</v>
      </c>
      <c r="D14" s="18">
        <v>27.835000000000001</v>
      </c>
      <c r="E14" s="18">
        <v>38.771999999999998</v>
      </c>
      <c r="F14" s="18">
        <v>39.634</v>
      </c>
      <c r="G14" s="18">
        <v>15.84</v>
      </c>
      <c r="H14" s="18">
        <f t="shared" si="0"/>
        <v>30.677</v>
      </c>
      <c r="I14" s="5"/>
      <c r="J14" s="17">
        <v>3049.6</v>
      </c>
      <c r="K14" s="18">
        <v>28.211600000000001</v>
      </c>
      <c r="L14" s="18">
        <v>38.883499999999998</v>
      </c>
      <c r="M14" s="18">
        <v>39.850499999999997</v>
      </c>
      <c r="N14" s="18">
        <v>13.9353</v>
      </c>
      <c r="O14" s="18">
        <f t="shared" si="1"/>
        <v>31.000450000000001</v>
      </c>
      <c r="P14" s="7"/>
      <c r="Q14" s="10"/>
      <c r="R14" s="11"/>
      <c r="S14" s="11"/>
      <c r="T14" s="26"/>
      <c r="U14" s="28">
        <f t="shared" si="2"/>
        <v>-0.12024621212121213</v>
      </c>
    </row>
    <row r="15" spans="1:21" x14ac:dyDescent="0.25">
      <c r="B15" s="9"/>
      <c r="C15" s="17">
        <v>3105.6</v>
      </c>
      <c r="D15" s="18">
        <v>25.71</v>
      </c>
      <c r="E15" s="18">
        <v>38.024999999999999</v>
      </c>
      <c r="F15" s="18">
        <v>38.906999999999996</v>
      </c>
      <c r="G15" s="18">
        <v>17.77</v>
      </c>
      <c r="H15" s="18">
        <f t="shared" si="0"/>
        <v>28.899000000000001</v>
      </c>
      <c r="I15" s="5"/>
      <c r="J15" s="17">
        <v>2019.6464000000001</v>
      </c>
      <c r="K15" s="18">
        <v>26.395399999999999</v>
      </c>
      <c r="L15" s="18">
        <v>38.172899999999998</v>
      </c>
      <c r="M15" s="18">
        <v>39.279299999999999</v>
      </c>
      <c r="N15" s="18">
        <v>17.5459</v>
      </c>
      <c r="O15" s="18">
        <f t="shared" si="1"/>
        <v>29.478075</v>
      </c>
      <c r="P15" s="7"/>
      <c r="Q15" s="10"/>
      <c r="R15" s="11"/>
      <c r="S15" s="11"/>
      <c r="T15" s="26"/>
      <c r="U15" s="28">
        <f t="shared" si="2"/>
        <v>-1.2611142374788968E-2</v>
      </c>
    </row>
    <row r="16" spans="1:21" ht="16.5" thickBot="1" x14ac:dyDescent="0.3">
      <c r="B16" s="12"/>
      <c r="C16" s="19">
        <v>1654.85</v>
      </c>
      <c r="D16" s="20">
        <v>22.556000000000001</v>
      </c>
      <c r="E16" s="20">
        <v>36.438000000000002</v>
      </c>
      <c r="F16" s="20">
        <v>37.536999999999999</v>
      </c>
      <c r="G16" s="20">
        <v>19.829999999999998</v>
      </c>
      <c r="H16" s="20">
        <f t="shared" si="0"/>
        <v>26.163875000000001</v>
      </c>
      <c r="I16" s="5"/>
      <c r="J16" s="19">
        <v>1103.0527999999999</v>
      </c>
      <c r="K16" s="20">
        <v>24.1691</v>
      </c>
      <c r="L16" s="20">
        <v>36.587000000000003</v>
      </c>
      <c r="M16" s="20">
        <v>37.904800000000002</v>
      </c>
      <c r="N16" s="20">
        <v>22.893799999999999</v>
      </c>
      <c r="O16" s="20">
        <f t="shared" si="1"/>
        <v>27.438300000000002</v>
      </c>
      <c r="P16" s="7"/>
      <c r="Q16" s="13"/>
      <c r="R16" s="14"/>
      <c r="S16" s="14"/>
      <c r="T16" s="27"/>
      <c r="U16" s="28">
        <f t="shared" si="2"/>
        <v>0.15450327786182555</v>
      </c>
    </row>
    <row r="17" spans="1:21" x14ac:dyDescent="0.25">
      <c r="A17" s="6" t="s">
        <v>37</v>
      </c>
      <c r="B17" s="6" t="s">
        <v>48</v>
      </c>
      <c r="C17" s="15">
        <v>3051.05</v>
      </c>
      <c r="D17" s="16">
        <v>38.14</v>
      </c>
      <c r="E17" s="16">
        <v>41.531999999999996</v>
      </c>
      <c r="F17" s="16">
        <v>42.531999999999996</v>
      </c>
      <c r="G17" s="16">
        <v>26.8</v>
      </c>
      <c r="H17" s="16">
        <f t="shared" si="0"/>
        <v>39.113</v>
      </c>
      <c r="I17" s="5"/>
      <c r="J17" s="15">
        <v>2398.7352000000001</v>
      </c>
      <c r="K17" s="16">
        <v>39.0854</v>
      </c>
      <c r="L17" s="16">
        <v>41.890799999999999</v>
      </c>
      <c r="M17" s="16">
        <v>43.240099999999998</v>
      </c>
      <c r="N17" s="16">
        <v>31.6539</v>
      </c>
      <c r="O17" s="16">
        <f t="shared" si="1"/>
        <v>39.955412500000001</v>
      </c>
      <c r="P17" s="7"/>
      <c r="Q17" s="8">
        <f>bdrate(C17:C20,D17:D20,J17:J20,K17:K20)</f>
        <v>-0.48291593231109953</v>
      </c>
      <c r="R17" s="8">
        <f>bdrate(C17:C20,E17:E20,J17:J20,L17:L20)</f>
        <v>-0.38881233874921717</v>
      </c>
      <c r="S17" s="8">
        <f>bdrate(C17:C20,F17:F20,J17:J20,M17:M20)</f>
        <v>-0.48903008718997809</v>
      </c>
      <c r="T17" s="25">
        <f>bdrate(C17:C20,H17:H20,J17:J20,O17:O20)</f>
        <v>-0.47760729959347714</v>
      </c>
      <c r="U17" s="28">
        <f t="shared" si="2"/>
        <v>0.18111567164179102</v>
      </c>
    </row>
    <row r="18" spans="1:21" x14ac:dyDescent="0.25">
      <c r="A18" s="9" t="s">
        <v>38</v>
      </c>
      <c r="B18" s="9"/>
      <c r="C18" s="17">
        <v>2010.23</v>
      </c>
      <c r="D18" s="18">
        <v>36.600999999999999</v>
      </c>
      <c r="E18" s="18">
        <v>40.829000000000001</v>
      </c>
      <c r="F18" s="18">
        <v>41.707000000000001</v>
      </c>
      <c r="G18" s="18">
        <v>29.87</v>
      </c>
      <c r="H18" s="18">
        <f t="shared" si="0"/>
        <v>37.767749999999999</v>
      </c>
      <c r="I18" s="5"/>
      <c r="J18" s="17">
        <v>1570.4015999999999</v>
      </c>
      <c r="K18" s="18">
        <v>37.851999999999997</v>
      </c>
      <c r="L18" s="18">
        <v>41.205300000000001</v>
      </c>
      <c r="M18" s="18">
        <v>42.441699999999997</v>
      </c>
      <c r="N18" s="18">
        <v>35.529200000000003</v>
      </c>
      <c r="O18" s="18">
        <f t="shared" si="1"/>
        <v>38.844875000000002</v>
      </c>
      <c r="P18" s="7"/>
      <c r="Q18" s="10"/>
      <c r="R18" s="11"/>
      <c r="S18" s="11"/>
      <c r="T18" s="26"/>
      <c r="U18" s="28">
        <f t="shared" si="2"/>
        <v>0.18946099765651161</v>
      </c>
    </row>
    <row r="19" spans="1:21" x14ac:dyDescent="0.25">
      <c r="B19" s="9"/>
      <c r="C19" s="17">
        <v>1252.17</v>
      </c>
      <c r="D19" s="18">
        <v>34.671999999999997</v>
      </c>
      <c r="E19" s="18">
        <v>40.048000000000002</v>
      </c>
      <c r="F19" s="18">
        <v>40.954999999999998</v>
      </c>
      <c r="G19" s="18">
        <v>33.15</v>
      </c>
      <c r="H19" s="18">
        <f t="shared" si="0"/>
        <v>36.129374999999996</v>
      </c>
      <c r="I19" s="5"/>
      <c r="J19" s="17">
        <v>962.68719999999996</v>
      </c>
      <c r="K19" s="18">
        <v>36.287700000000001</v>
      </c>
      <c r="L19" s="18">
        <v>40.410200000000003</v>
      </c>
      <c r="M19" s="18">
        <v>41.594700000000003</v>
      </c>
      <c r="N19" s="18">
        <v>41.695599999999999</v>
      </c>
      <c r="O19" s="18">
        <f t="shared" si="1"/>
        <v>37.466387499999996</v>
      </c>
      <c r="P19" s="7"/>
      <c r="Q19" s="10"/>
      <c r="R19" s="11"/>
      <c r="S19" s="11"/>
      <c r="T19" s="26"/>
      <c r="U19" s="28">
        <f t="shared" si="2"/>
        <v>0.25778582202111616</v>
      </c>
    </row>
    <row r="20" spans="1:21" ht="16.5" thickBot="1" x14ac:dyDescent="0.3">
      <c r="B20" s="12"/>
      <c r="C20" s="19">
        <v>746.89</v>
      </c>
      <c r="D20" s="20">
        <v>32.347000000000001</v>
      </c>
      <c r="E20" s="20">
        <v>39.185000000000002</v>
      </c>
      <c r="F20" s="20">
        <v>40.167000000000002</v>
      </c>
      <c r="G20" s="20">
        <v>36.630000000000003</v>
      </c>
      <c r="H20" s="20">
        <f t="shared" si="0"/>
        <v>34.179249999999996</v>
      </c>
      <c r="I20" s="5"/>
      <c r="J20" s="19">
        <v>554.31679999999994</v>
      </c>
      <c r="K20" s="20">
        <v>34.429200000000002</v>
      </c>
      <c r="L20" s="20">
        <v>39.6511</v>
      </c>
      <c r="M20" s="20">
        <v>40.857799999999997</v>
      </c>
      <c r="N20" s="20">
        <v>50.772199999999998</v>
      </c>
      <c r="O20" s="20">
        <f t="shared" si="1"/>
        <v>35.885512499999997</v>
      </c>
      <c r="P20" s="7"/>
      <c r="Q20" s="13"/>
      <c r="R20" s="14"/>
      <c r="S20" s="14"/>
      <c r="T20" s="27"/>
      <c r="U20" s="28">
        <f t="shared" si="2"/>
        <v>0.38608244608244591</v>
      </c>
    </row>
    <row r="21" spans="1:21" x14ac:dyDescent="0.25">
      <c r="B21" s="6" t="s">
        <v>49</v>
      </c>
      <c r="C21" s="15">
        <v>3469.69</v>
      </c>
      <c r="D21" s="16">
        <v>35.533999999999999</v>
      </c>
      <c r="E21" s="16">
        <v>38.76</v>
      </c>
      <c r="F21" s="16">
        <v>39.963000000000001</v>
      </c>
      <c r="G21" s="16">
        <v>30.83</v>
      </c>
      <c r="H21" s="16">
        <f t="shared" si="0"/>
        <v>36.490875000000003</v>
      </c>
      <c r="I21" s="5"/>
      <c r="J21" s="15">
        <v>2445.0632000000001</v>
      </c>
      <c r="K21" s="16">
        <v>36.016599999999997</v>
      </c>
      <c r="L21" s="16">
        <v>39.927999999999997</v>
      </c>
      <c r="M21" s="16">
        <v>41.136699999999998</v>
      </c>
      <c r="N21" s="16">
        <v>28.439399999999999</v>
      </c>
      <c r="O21" s="16">
        <f t="shared" si="1"/>
        <v>37.145537500000003</v>
      </c>
      <c r="P21" s="7"/>
      <c r="Q21" s="8">
        <f>bdrate(C21:C24,D21:D24,J21:J24,K21:K24)</f>
        <v>-0.46757377485419749</v>
      </c>
      <c r="R21" s="8">
        <f>bdrate(C21:C24,E21:E24,J21:J24,L21:L24)</f>
        <v>-0.58975277005986015</v>
      </c>
      <c r="S21" s="8">
        <f>bdrate(C21:C24,F21:F24,J21:J24,M21:M24)</f>
        <v>-0.59266332816948708</v>
      </c>
      <c r="T21" s="25">
        <f>bdrate(C21:C24,H21:H24,J21:J24,O21:O24)</f>
        <v>-0.48847710500596753</v>
      </c>
      <c r="U21" s="28">
        <f t="shared" si="2"/>
        <v>-7.7541355822251037E-2</v>
      </c>
    </row>
    <row r="22" spans="1:21" x14ac:dyDescent="0.25">
      <c r="B22" s="9"/>
      <c r="C22" s="17">
        <v>2303.2600000000002</v>
      </c>
      <c r="D22" s="18">
        <v>33.938000000000002</v>
      </c>
      <c r="E22" s="18">
        <v>38.104999999999997</v>
      </c>
      <c r="F22" s="18">
        <v>39.436999999999998</v>
      </c>
      <c r="G22" s="18">
        <v>33.67</v>
      </c>
      <c r="H22" s="18">
        <f t="shared" si="0"/>
        <v>35.146250000000002</v>
      </c>
      <c r="I22" s="5"/>
      <c r="J22" s="17">
        <v>1633.9007999999999</v>
      </c>
      <c r="K22" s="18">
        <v>34.7547</v>
      </c>
      <c r="L22" s="18">
        <v>39.174199999999999</v>
      </c>
      <c r="M22" s="18">
        <v>40.3752</v>
      </c>
      <c r="N22" s="18">
        <v>34.339700000000001</v>
      </c>
      <c r="O22" s="18">
        <f t="shared" si="1"/>
        <v>36.009700000000002</v>
      </c>
      <c r="P22" s="7"/>
      <c r="Q22" s="10"/>
      <c r="R22" s="11"/>
      <c r="S22" s="11"/>
      <c r="T22" s="26"/>
      <c r="U22" s="28">
        <f t="shared" si="2"/>
        <v>1.9890109890109853E-2</v>
      </c>
    </row>
    <row r="23" spans="1:21" x14ac:dyDescent="0.25">
      <c r="B23" s="9"/>
      <c r="C23" s="17">
        <v>1429.63</v>
      </c>
      <c r="D23" s="18">
        <v>32.098999999999997</v>
      </c>
      <c r="E23" s="18">
        <v>37.381</v>
      </c>
      <c r="F23" s="18">
        <v>38.82</v>
      </c>
      <c r="G23" s="18">
        <v>36.979999999999997</v>
      </c>
      <c r="H23" s="18">
        <f t="shared" si="0"/>
        <v>33.599375000000002</v>
      </c>
      <c r="I23" s="5"/>
      <c r="J23" s="17">
        <v>1002.3504</v>
      </c>
      <c r="K23" s="18">
        <v>33.235900000000001</v>
      </c>
      <c r="L23" s="18">
        <v>38.2121</v>
      </c>
      <c r="M23" s="18">
        <v>39.522199999999998</v>
      </c>
      <c r="N23" s="18">
        <v>41.357900000000001</v>
      </c>
      <c r="O23" s="18">
        <f t="shared" si="1"/>
        <v>34.643712499999999</v>
      </c>
      <c r="P23" s="7"/>
      <c r="Q23" s="10"/>
      <c r="R23" s="11"/>
      <c r="S23" s="11"/>
      <c r="T23" s="26"/>
      <c r="U23" s="28">
        <f t="shared" si="2"/>
        <v>0.11838561384532191</v>
      </c>
    </row>
    <row r="24" spans="1:21" ht="16.5" thickBot="1" x14ac:dyDescent="0.3">
      <c r="B24" s="12"/>
      <c r="C24" s="19">
        <v>854.33</v>
      </c>
      <c r="D24" s="20">
        <v>30.106999999999999</v>
      </c>
      <c r="E24" s="20">
        <v>36.72</v>
      </c>
      <c r="F24" s="20">
        <v>38.198999999999998</v>
      </c>
      <c r="G24" s="20">
        <v>40.49</v>
      </c>
      <c r="H24" s="20">
        <f t="shared" si="0"/>
        <v>31.945124999999997</v>
      </c>
      <c r="I24" s="5"/>
      <c r="J24" s="19">
        <v>588.62480000000005</v>
      </c>
      <c r="K24" s="20">
        <v>31.6374</v>
      </c>
      <c r="L24" s="20">
        <v>37.3065</v>
      </c>
      <c r="M24" s="20">
        <v>38.7986</v>
      </c>
      <c r="N24" s="20">
        <v>49.792499999999997</v>
      </c>
      <c r="O24" s="20">
        <f t="shared" si="1"/>
        <v>33.241187500000002</v>
      </c>
      <c r="P24" s="7"/>
      <c r="Q24" s="13"/>
      <c r="R24" s="14"/>
      <c r="S24" s="14"/>
      <c r="T24" s="27"/>
      <c r="U24" s="28">
        <f t="shared" si="2"/>
        <v>0.2297480859471473</v>
      </c>
    </row>
    <row r="25" spans="1:21" x14ac:dyDescent="0.25">
      <c r="B25" s="6" t="s">
        <v>50</v>
      </c>
      <c r="C25" s="15">
        <v>3581.97</v>
      </c>
      <c r="D25" s="16">
        <v>33.509</v>
      </c>
      <c r="E25" s="16">
        <v>37.649000000000001</v>
      </c>
      <c r="F25" s="16">
        <v>38.999000000000002</v>
      </c>
      <c r="G25" s="16">
        <v>34.76</v>
      </c>
      <c r="H25" s="16">
        <f t="shared" si="0"/>
        <v>34.71275</v>
      </c>
      <c r="I25" s="5"/>
      <c r="J25" s="15">
        <v>2409.2815999999998</v>
      </c>
      <c r="K25" s="16">
        <v>34.112499999999997</v>
      </c>
      <c r="L25" s="16">
        <v>38.1098</v>
      </c>
      <c r="M25" s="16">
        <v>40.109099999999998</v>
      </c>
      <c r="N25" s="16">
        <v>39.866100000000003</v>
      </c>
      <c r="O25" s="16">
        <f t="shared" si="1"/>
        <v>35.361737499999997</v>
      </c>
      <c r="P25" s="7"/>
      <c r="Q25" s="8">
        <f>bdrate(C25:C28,D25:D28,J25:J28,K25:K28)</f>
        <v>-0.50787672501445713</v>
      </c>
      <c r="R25" s="8">
        <f>bdrate(C25:C28,E25:E28,J25:J28,L25:L28)</f>
        <v>-0.56738871916072853</v>
      </c>
      <c r="S25" s="8">
        <f>bdrate(C25:C28,F25:F28,J25:J28,M25:M28)</f>
        <v>-0.61198407622753515</v>
      </c>
      <c r="T25" s="25">
        <f>bdrate(C25:C28,H25:H28,J25:J28,O25:O28)</f>
        <v>-0.52090209923558595</v>
      </c>
      <c r="U25" s="28">
        <f t="shared" si="2"/>
        <v>0.14689585730724986</v>
      </c>
    </row>
    <row r="26" spans="1:21" x14ac:dyDescent="0.25">
      <c r="B26" s="9"/>
      <c r="C26" s="17">
        <v>2374.21</v>
      </c>
      <c r="D26" s="18">
        <v>31.981000000000002</v>
      </c>
      <c r="E26" s="18">
        <v>37.127000000000002</v>
      </c>
      <c r="F26" s="18">
        <v>38.15</v>
      </c>
      <c r="G26" s="18">
        <v>37.44</v>
      </c>
      <c r="H26" s="18">
        <f t="shared" si="0"/>
        <v>33.395375000000001</v>
      </c>
      <c r="I26" s="5"/>
      <c r="J26" s="17">
        <v>1604.2439999999999</v>
      </c>
      <c r="K26" s="18">
        <v>32.917400000000001</v>
      </c>
      <c r="L26" s="18">
        <v>37.667900000000003</v>
      </c>
      <c r="M26" s="18">
        <v>39.304099999999998</v>
      </c>
      <c r="N26" s="18">
        <v>46.926299999999998</v>
      </c>
      <c r="O26" s="18">
        <f t="shared" si="1"/>
        <v>34.309550000000002</v>
      </c>
      <c r="P26" s="7"/>
      <c r="Q26" s="10"/>
      <c r="R26" s="11"/>
      <c r="S26" s="11"/>
      <c r="T26" s="26"/>
      <c r="U26" s="28">
        <f t="shared" si="2"/>
        <v>0.25337339743589743</v>
      </c>
    </row>
    <row r="27" spans="1:21" x14ac:dyDescent="0.25">
      <c r="B27" s="9"/>
      <c r="C27" s="17">
        <v>1479.25</v>
      </c>
      <c r="D27" s="18">
        <v>30.004000000000001</v>
      </c>
      <c r="E27" s="18">
        <v>36.551000000000002</v>
      </c>
      <c r="F27" s="18">
        <v>37.183999999999997</v>
      </c>
      <c r="G27" s="18">
        <v>40.47</v>
      </c>
      <c r="H27" s="18">
        <f t="shared" si="0"/>
        <v>31.719874999999998</v>
      </c>
      <c r="I27" s="5"/>
      <c r="J27" s="17">
        <v>998.58320000000003</v>
      </c>
      <c r="K27" s="18">
        <v>31.3521</v>
      </c>
      <c r="L27" s="18">
        <v>37.094000000000001</v>
      </c>
      <c r="M27" s="18">
        <v>38.303899999999999</v>
      </c>
      <c r="N27" s="18">
        <v>55.934699999999999</v>
      </c>
      <c r="O27" s="18">
        <f t="shared" si="1"/>
        <v>32.938812499999997</v>
      </c>
      <c r="P27" s="7"/>
      <c r="Q27" s="10"/>
      <c r="R27" s="11"/>
      <c r="S27" s="11"/>
      <c r="T27" s="26"/>
      <c r="U27" s="28">
        <f t="shared" si="2"/>
        <v>0.38212750185322464</v>
      </c>
    </row>
    <row r="28" spans="1:21" ht="16.5" thickBot="1" x14ac:dyDescent="0.3">
      <c r="B28" s="12"/>
      <c r="C28" s="19">
        <v>881.9</v>
      </c>
      <c r="D28" s="20">
        <v>27.638000000000002</v>
      </c>
      <c r="E28" s="20">
        <v>35.863</v>
      </c>
      <c r="F28" s="20">
        <v>36.247999999999998</v>
      </c>
      <c r="G28" s="20">
        <v>43.49</v>
      </c>
      <c r="H28" s="20">
        <f t="shared" si="0"/>
        <v>29.742374999999999</v>
      </c>
      <c r="I28" s="5"/>
      <c r="J28" s="19">
        <v>583.20000000000005</v>
      </c>
      <c r="K28" s="20">
        <v>29.580400000000001</v>
      </c>
      <c r="L28" s="20">
        <v>36.449599999999997</v>
      </c>
      <c r="M28" s="20">
        <v>37.235300000000002</v>
      </c>
      <c r="N28" s="20">
        <v>67.476399999999998</v>
      </c>
      <c r="O28" s="20">
        <f t="shared" si="1"/>
        <v>31.395912500000001</v>
      </c>
      <c r="P28" s="7"/>
      <c r="Q28" s="13"/>
      <c r="R28" s="14"/>
      <c r="S28" s="14"/>
      <c r="T28" s="27"/>
      <c r="U28" s="28">
        <f t="shared" si="2"/>
        <v>0.55153828466314081</v>
      </c>
    </row>
    <row r="29" spans="1:21" x14ac:dyDescent="0.25">
      <c r="B29" s="6" t="s">
        <v>51</v>
      </c>
      <c r="C29" s="29">
        <v>3595.16</v>
      </c>
      <c r="D29" s="30">
        <v>32.729999999999997</v>
      </c>
      <c r="E29" s="30">
        <v>39.26</v>
      </c>
      <c r="F29" s="30">
        <v>38.887</v>
      </c>
      <c r="G29" s="16">
        <v>32.020000000000003</v>
      </c>
      <c r="H29" s="16">
        <f t="shared" si="0"/>
        <v>34.315874999999998</v>
      </c>
      <c r="I29" s="5"/>
      <c r="J29" s="29">
        <v>2415.4128000000001</v>
      </c>
      <c r="K29" s="30">
        <v>34.057600000000001</v>
      </c>
      <c r="L29" s="30">
        <v>40.283999999999999</v>
      </c>
      <c r="M29" s="30">
        <v>39.888100000000001</v>
      </c>
      <c r="N29" s="16">
        <v>35.3782</v>
      </c>
      <c r="O29" s="16">
        <f t="shared" si="1"/>
        <v>35.564712499999999</v>
      </c>
      <c r="P29" s="7"/>
      <c r="Q29" s="8">
        <f>bdrate(C29:C32,D29:D32,J29:J32,K29:K32)</f>
        <v>-0.60834663449284931</v>
      </c>
      <c r="R29" s="8">
        <f>bdrate(C29:C32,E29:E32,J29:J32,L29:L32)</f>
        <v>-0.59351157796507681</v>
      </c>
      <c r="S29" s="8">
        <f>bdrate(C29:C32,F29:F32,J29:J32,M29:M32)</f>
        <v>-0.5293441012799992</v>
      </c>
      <c r="T29" s="25">
        <f>bdrate(C29:C32,H29:H32,J29:J32,O29:O32)</f>
        <v>-0.60510535311801472</v>
      </c>
      <c r="U29" s="28">
        <f t="shared" si="2"/>
        <v>0.1048782011242972</v>
      </c>
    </row>
    <row r="30" spans="1:21" x14ac:dyDescent="0.25">
      <c r="B30" s="9"/>
      <c r="C30" s="31">
        <v>2386.5500000000002</v>
      </c>
      <c r="D30" s="32">
        <v>30.702000000000002</v>
      </c>
      <c r="E30" s="32">
        <v>38.405000000000001</v>
      </c>
      <c r="F30" s="32">
        <v>37.975999999999999</v>
      </c>
      <c r="G30" s="18">
        <v>34.880000000000003</v>
      </c>
      <c r="H30" s="18">
        <f t="shared" si="0"/>
        <v>32.574125000000002</v>
      </c>
      <c r="I30" s="5"/>
      <c r="J30" s="31">
        <v>1606.9232</v>
      </c>
      <c r="K30" s="32">
        <v>32.689599999999999</v>
      </c>
      <c r="L30" s="32">
        <v>39.553199999999997</v>
      </c>
      <c r="M30" s="32">
        <v>38.9621</v>
      </c>
      <c r="N30" s="18">
        <v>41.788499999999999</v>
      </c>
      <c r="O30" s="18">
        <f t="shared" si="1"/>
        <v>34.331612499999999</v>
      </c>
      <c r="P30" s="7"/>
      <c r="Q30" s="10"/>
      <c r="R30" s="11"/>
      <c r="S30" s="11"/>
      <c r="T30" s="26"/>
      <c r="U30" s="28">
        <f t="shared" si="2"/>
        <v>0.19806479357798154</v>
      </c>
    </row>
    <row r="31" spans="1:21" x14ac:dyDescent="0.25">
      <c r="B31" s="9"/>
      <c r="C31" s="31">
        <v>1474.76</v>
      </c>
      <c r="D31" s="32">
        <v>27.797000000000001</v>
      </c>
      <c r="E31" s="32">
        <v>37.265999999999998</v>
      </c>
      <c r="F31" s="32">
        <v>36.798999999999999</v>
      </c>
      <c r="G31" s="18">
        <v>37.97</v>
      </c>
      <c r="H31" s="18">
        <f t="shared" si="0"/>
        <v>30.105875000000001</v>
      </c>
      <c r="I31" s="5"/>
      <c r="J31" s="31">
        <v>1001.5096</v>
      </c>
      <c r="K31" s="32">
        <v>30.976299999999998</v>
      </c>
      <c r="L31" s="32">
        <v>38.557899999999997</v>
      </c>
      <c r="M31" s="32">
        <v>37.757399999999997</v>
      </c>
      <c r="N31" s="18">
        <v>49.845500000000001</v>
      </c>
      <c r="O31" s="18">
        <f t="shared" si="1"/>
        <v>32.771637499999997</v>
      </c>
      <c r="P31" s="7"/>
      <c r="Q31" s="10"/>
      <c r="R31" s="11"/>
      <c r="S31" s="11"/>
      <c r="T31" s="26"/>
      <c r="U31" s="28">
        <f t="shared" si="2"/>
        <v>0.31276007374242831</v>
      </c>
    </row>
    <row r="32" spans="1:21" ht="16.5" thickBot="1" x14ac:dyDescent="0.3">
      <c r="B32" s="12"/>
      <c r="C32" s="33">
        <v>876.11</v>
      </c>
      <c r="D32" s="34">
        <v>23.986999999999998</v>
      </c>
      <c r="E32" s="34">
        <v>35.578000000000003</v>
      </c>
      <c r="F32" s="34">
        <v>34.762</v>
      </c>
      <c r="G32" s="20">
        <v>41.04</v>
      </c>
      <c r="H32" s="20">
        <f t="shared" si="0"/>
        <v>26.78275</v>
      </c>
      <c r="I32" s="5"/>
      <c r="J32" s="33">
        <v>589.35040000000004</v>
      </c>
      <c r="K32" s="34">
        <v>29.0975</v>
      </c>
      <c r="L32" s="34">
        <v>36.967700000000001</v>
      </c>
      <c r="M32" s="34">
        <v>36.061100000000003</v>
      </c>
      <c r="N32" s="20">
        <v>60.819899999999997</v>
      </c>
      <c r="O32" s="20">
        <f t="shared" si="1"/>
        <v>30.951725000000003</v>
      </c>
      <c r="P32" s="7"/>
      <c r="Q32" s="13"/>
      <c r="R32" s="14"/>
      <c r="S32" s="14"/>
      <c r="T32" s="27"/>
      <c r="U32" s="28">
        <f t="shared" si="2"/>
        <v>0.48196637426900579</v>
      </c>
    </row>
    <row r="33" spans="1:21" x14ac:dyDescent="0.25">
      <c r="B33" s="6" t="s">
        <v>52</v>
      </c>
      <c r="C33" s="15">
        <v>3606.5</v>
      </c>
      <c r="D33" s="16">
        <v>31.893999999999998</v>
      </c>
      <c r="E33" s="16">
        <v>38.402999999999999</v>
      </c>
      <c r="F33" s="16">
        <v>40.918999999999997</v>
      </c>
      <c r="G33" s="16">
        <v>37.630000000000003</v>
      </c>
      <c r="H33" s="16">
        <f t="shared" si="0"/>
        <v>33.835749999999997</v>
      </c>
      <c r="I33" s="5"/>
      <c r="J33" s="15">
        <v>2429.7280000000001</v>
      </c>
      <c r="K33" s="16">
        <v>33.611699999999999</v>
      </c>
      <c r="L33" s="16">
        <v>39.757100000000001</v>
      </c>
      <c r="M33" s="16">
        <v>42.173099999999998</v>
      </c>
      <c r="N33" s="16">
        <v>43.956000000000003</v>
      </c>
      <c r="O33" s="16">
        <f t="shared" si="1"/>
        <v>35.450049999999997</v>
      </c>
      <c r="P33" s="7"/>
      <c r="Q33" s="8">
        <f>bdrate(C33:C36,D33:D36,J33:J36,K33:K36)</f>
        <v>-0.72328840481084855</v>
      </c>
      <c r="R33" s="8">
        <f>bdrate(C33:C36,E33:E36,J33:J36,L33:L36)</f>
        <v>-0.76370230609653822</v>
      </c>
      <c r="S33" s="8">
        <f>bdrate(C33:C36,F33:F36,J33:J36,M33:M36)</f>
        <v>-0.76934579933160319</v>
      </c>
      <c r="T33" s="25">
        <f>bdrate(C33:C36,H33:H36,J33:J36,O33:O36)</f>
        <v>-0.72778513646899057</v>
      </c>
      <c r="U33" s="28">
        <f t="shared" si="2"/>
        <v>0.1681105500930109</v>
      </c>
    </row>
    <row r="34" spans="1:21" x14ac:dyDescent="0.25">
      <c r="B34" s="9"/>
      <c r="C34" s="17">
        <v>2378.56</v>
      </c>
      <c r="D34" s="18">
        <v>30.643000000000001</v>
      </c>
      <c r="E34" s="18">
        <v>37.996000000000002</v>
      </c>
      <c r="F34" s="18">
        <v>40.472000000000001</v>
      </c>
      <c r="G34" s="18">
        <v>40.44</v>
      </c>
      <c r="H34" s="18">
        <f t="shared" si="0"/>
        <v>32.790750000000003</v>
      </c>
      <c r="I34" s="5"/>
      <c r="J34" s="17">
        <v>1595.5047999999999</v>
      </c>
      <c r="K34" s="18">
        <v>32.892299999999999</v>
      </c>
      <c r="L34" s="18">
        <v>39.291800000000002</v>
      </c>
      <c r="M34" s="18">
        <v>41.758000000000003</v>
      </c>
      <c r="N34" s="18">
        <v>50.8733</v>
      </c>
      <c r="O34" s="18">
        <f t="shared" si="1"/>
        <v>34.800449999999998</v>
      </c>
      <c r="P34" s="7"/>
      <c r="Q34" s="10"/>
      <c r="R34" s="11"/>
      <c r="S34" s="11"/>
      <c r="T34" s="26"/>
      <c r="U34" s="28">
        <f t="shared" si="2"/>
        <v>0.25799455984174091</v>
      </c>
    </row>
    <row r="35" spans="1:21" x14ac:dyDescent="0.25">
      <c r="B35" s="9"/>
      <c r="C35" s="17">
        <v>1449.56</v>
      </c>
      <c r="D35" s="18">
        <v>28.809000000000001</v>
      </c>
      <c r="E35" s="18">
        <v>37.417999999999999</v>
      </c>
      <c r="F35" s="18">
        <v>39.878999999999998</v>
      </c>
      <c r="G35" s="18">
        <v>42.78</v>
      </c>
      <c r="H35" s="18">
        <f t="shared" si="0"/>
        <v>31.268875000000001</v>
      </c>
      <c r="I35" s="5"/>
      <c r="J35" s="17">
        <v>1021.936</v>
      </c>
      <c r="K35" s="18">
        <v>31.87</v>
      </c>
      <c r="L35" s="18">
        <v>38.626899999999999</v>
      </c>
      <c r="M35" s="18">
        <v>41.106499999999997</v>
      </c>
      <c r="N35" s="18">
        <v>57.926200000000001</v>
      </c>
      <c r="O35" s="18">
        <f t="shared" si="1"/>
        <v>33.869174999999998</v>
      </c>
      <c r="P35" s="7"/>
      <c r="Q35" s="10"/>
      <c r="R35" s="11"/>
      <c r="S35" s="11"/>
      <c r="T35" s="26"/>
      <c r="U35" s="28">
        <f t="shared" si="2"/>
        <v>0.35404862085086491</v>
      </c>
    </row>
    <row r="36" spans="1:21" ht="16.5" thickBot="1" x14ac:dyDescent="0.3">
      <c r="B36" s="12"/>
      <c r="C36" s="19">
        <v>841.12</v>
      </c>
      <c r="D36" s="20">
        <v>26.358000000000001</v>
      </c>
      <c r="E36" s="20">
        <v>36.884</v>
      </c>
      <c r="F36" s="20">
        <v>38.914999999999999</v>
      </c>
      <c r="G36" s="20">
        <v>44.83</v>
      </c>
      <c r="H36" s="20">
        <f t="shared" si="0"/>
        <v>29.243374999999997</v>
      </c>
      <c r="I36" s="5"/>
      <c r="J36" s="19">
        <v>599.37840000000006</v>
      </c>
      <c r="K36" s="20">
        <v>30.441500000000001</v>
      </c>
      <c r="L36" s="20">
        <v>38.067</v>
      </c>
      <c r="M36" s="20">
        <v>40.615099999999998</v>
      </c>
      <c r="N36" s="20">
        <v>66.540999999999997</v>
      </c>
      <c r="O36" s="20">
        <f t="shared" si="1"/>
        <v>32.666387499999999</v>
      </c>
      <c r="P36" s="7"/>
      <c r="Q36" s="13"/>
      <c r="R36" s="14"/>
      <c r="S36" s="14"/>
      <c r="T36" s="27"/>
      <c r="U36" s="28">
        <f t="shared" si="2"/>
        <v>0.48429623020298906</v>
      </c>
    </row>
    <row r="37" spans="1:21" x14ac:dyDescent="0.25">
      <c r="A37" s="6" t="s">
        <v>39</v>
      </c>
      <c r="B37" s="6" t="s">
        <v>53</v>
      </c>
      <c r="C37" s="15">
        <v>1555.88</v>
      </c>
      <c r="D37" s="16">
        <v>33.933999999999997</v>
      </c>
      <c r="E37" s="16">
        <v>37.317</v>
      </c>
      <c r="F37" s="16">
        <v>37.167999999999999</v>
      </c>
      <c r="G37" s="16">
        <v>152.63</v>
      </c>
      <c r="H37" s="16">
        <f t="shared" si="0"/>
        <v>34.761125</v>
      </c>
      <c r="I37" s="5"/>
      <c r="J37" s="15">
        <v>1214.752</v>
      </c>
      <c r="K37" s="16">
        <v>35.065100000000001</v>
      </c>
      <c r="L37" s="16">
        <v>39.060200000000002</v>
      </c>
      <c r="M37" s="16">
        <v>38.918500000000002</v>
      </c>
      <c r="N37" s="16">
        <v>128.20509999999999</v>
      </c>
      <c r="O37" s="16">
        <f t="shared" si="1"/>
        <v>36.046162500000001</v>
      </c>
      <c r="P37" s="7"/>
      <c r="Q37" s="8">
        <f>bdrate(C37:C40,D37:D40,J37:J40,K37:K40)</f>
        <v>-0.4308483893028765</v>
      </c>
      <c r="R37" s="8">
        <f>bdrate(C37:C40,E37:E40,J37:J40,L37:L40)</f>
        <v>-0.56851419657395741</v>
      </c>
      <c r="S37" s="8">
        <f>bdrate(C37:C40,F37:F40,J37:J40,M37:M40)</f>
        <v>-0.52526508371681513</v>
      </c>
      <c r="T37" s="25">
        <f>bdrate(C37:C40,H37:H40,J37:J40,O37:O40)</f>
        <v>-0.45353909079942401</v>
      </c>
      <c r="U37" s="28">
        <f t="shared" si="2"/>
        <v>-0.16002686234685193</v>
      </c>
    </row>
    <row r="38" spans="1:21" x14ac:dyDescent="0.25">
      <c r="A38" s="9" t="s">
        <v>40</v>
      </c>
      <c r="B38" s="9"/>
      <c r="C38" s="17">
        <v>1055.6199999999999</v>
      </c>
      <c r="D38" s="18">
        <v>32.447000000000003</v>
      </c>
      <c r="E38" s="18">
        <v>36.366</v>
      </c>
      <c r="F38" s="18">
        <v>36.133000000000003</v>
      </c>
      <c r="G38" s="18">
        <v>172.29</v>
      </c>
      <c r="H38" s="18">
        <f t="shared" si="0"/>
        <v>33.397624999999998</v>
      </c>
      <c r="I38" s="5"/>
      <c r="J38" s="17">
        <v>810.93359999999996</v>
      </c>
      <c r="K38" s="18">
        <v>33.5246</v>
      </c>
      <c r="L38" s="18">
        <v>37.897100000000002</v>
      </c>
      <c r="M38" s="18">
        <v>37.570799999999998</v>
      </c>
      <c r="N38" s="18">
        <v>153.3742</v>
      </c>
      <c r="O38" s="18">
        <f t="shared" si="1"/>
        <v>34.5769375</v>
      </c>
      <c r="P38" s="7"/>
      <c r="Q38" s="10"/>
      <c r="R38" s="11"/>
      <c r="S38" s="11"/>
      <c r="T38" s="26"/>
      <c r="U38" s="28">
        <f t="shared" si="2"/>
        <v>-0.10979046955714197</v>
      </c>
    </row>
    <row r="39" spans="1:21" x14ac:dyDescent="0.25">
      <c r="B39" s="9"/>
      <c r="C39" s="17">
        <v>650.20000000000005</v>
      </c>
      <c r="D39" s="18">
        <v>30.484999999999999</v>
      </c>
      <c r="E39" s="18">
        <v>35.340000000000003</v>
      </c>
      <c r="F39" s="18">
        <v>34.968000000000004</v>
      </c>
      <c r="G39" s="18">
        <v>188.54</v>
      </c>
      <c r="H39" s="18">
        <f t="shared" si="0"/>
        <v>31.652250000000002</v>
      </c>
      <c r="I39" s="5"/>
      <c r="J39" s="17">
        <v>506.56799999999998</v>
      </c>
      <c r="K39" s="18">
        <v>31.761399999999998</v>
      </c>
      <c r="L39" s="18">
        <v>36.667499999999997</v>
      </c>
      <c r="M39" s="18">
        <v>36.194800000000001</v>
      </c>
      <c r="N39" s="18">
        <v>189.68129999999999</v>
      </c>
      <c r="O39" s="18">
        <f t="shared" si="1"/>
        <v>32.9288375</v>
      </c>
      <c r="P39" s="7"/>
      <c r="Q39" s="10"/>
      <c r="R39" s="11"/>
      <c r="S39" s="11"/>
      <c r="T39" s="26"/>
      <c r="U39" s="28">
        <f t="shared" si="2"/>
        <v>6.0533573777447813E-3</v>
      </c>
    </row>
    <row r="40" spans="1:21" ht="16.5" thickBot="1" x14ac:dyDescent="0.3">
      <c r="B40" s="12"/>
      <c r="C40" s="19">
        <v>396.8</v>
      </c>
      <c r="D40" s="20">
        <v>28.202000000000002</v>
      </c>
      <c r="E40" s="20">
        <v>34.404000000000003</v>
      </c>
      <c r="F40" s="20">
        <v>33.956000000000003</v>
      </c>
      <c r="G40" s="20">
        <v>202.84</v>
      </c>
      <c r="H40" s="20">
        <f t="shared" si="0"/>
        <v>29.6965</v>
      </c>
      <c r="I40" s="5"/>
      <c r="J40" s="19">
        <v>303.5496</v>
      </c>
      <c r="K40" s="20">
        <v>29.815100000000001</v>
      </c>
      <c r="L40" s="20">
        <v>35.364100000000001</v>
      </c>
      <c r="M40" s="20">
        <v>34.793100000000003</v>
      </c>
      <c r="N40" s="20">
        <v>240.9639</v>
      </c>
      <c r="O40" s="20">
        <f t="shared" si="1"/>
        <v>31.130975000000003</v>
      </c>
      <c r="P40" s="7"/>
      <c r="Q40" s="13"/>
      <c r="R40" s="14"/>
      <c r="S40" s="14"/>
      <c r="T40" s="27"/>
      <c r="U40" s="28">
        <f t="shared" si="2"/>
        <v>0.18795060145927819</v>
      </c>
    </row>
    <row r="41" spans="1:21" x14ac:dyDescent="0.25">
      <c r="B41" s="6" t="s">
        <v>54</v>
      </c>
      <c r="C41" s="15">
        <v>1569.95</v>
      </c>
      <c r="D41" s="16">
        <v>34.162999999999997</v>
      </c>
      <c r="E41" s="16">
        <v>39.100999999999999</v>
      </c>
      <c r="F41" s="16">
        <v>39.826000000000001</v>
      </c>
      <c r="G41" s="16">
        <v>157.6</v>
      </c>
      <c r="H41" s="16">
        <f t="shared" si="0"/>
        <v>35.488124999999997</v>
      </c>
      <c r="I41" s="5"/>
      <c r="J41" s="15">
        <v>1244.8664000000001</v>
      </c>
      <c r="K41" s="16">
        <v>35.249000000000002</v>
      </c>
      <c r="L41" s="16">
        <v>40.472799999999999</v>
      </c>
      <c r="M41" s="16">
        <v>41.294400000000003</v>
      </c>
      <c r="N41" s="16">
        <v>135.90029999999999</v>
      </c>
      <c r="O41" s="16">
        <f t="shared" si="1"/>
        <v>36.657650000000004</v>
      </c>
      <c r="P41" s="7"/>
      <c r="Q41" s="8">
        <f>bdrate(C41:C44,D41:D44,J41:J44,K41:K44)</f>
        <v>-0.45792125661477401</v>
      </c>
      <c r="R41" s="8">
        <f>bdrate(C41:C44,E41:E44,J41:J44,L41:L44)</f>
        <v>-0.54621601092914762</v>
      </c>
      <c r="S41" s="8">
        <f>bdrate(C41:C44,F41:F44,J41:J44,M41:M44)</f>
        <v>-0.52792896174558845</v>
      </c>
      <c r="T41" s="25">
        <f>bdrate(C41:C44,H41:H44,J41:J44,O41:O44)</f>
        <v>-0.47089132453961613</v>
      </c>
      <c r="U41" s="28">
        <f t="shared" ref="U41:U72" si="3">(N41-G41)/G41</f>
        <v>-0.13768845177664979</v>
      </c>
    </row>
    <row r="42" spans="1:21" x14ac:dyDescent="0.25">
      <c r="B42" s="9"/>
      <c r="C42" s="17">
        <v>1064.1600000000001</v>
      </c>
      <c r="D42" s="18">
        <v>32.351999999999997</v>
      </c>
      <c r="E42" s="18">
        <v>38.31</v>
      </c>
      <c r="F42" s="18">
        <v>38.951000000000001</v>
      </c>
      <c r="G42" s="18">
        <v>169.44</v>
      </c>
      <c r="H42" s="18">
        <f t="shared" si="0"/>
        <v>33.921624999999999</v>
      </c>
      <c r="I42" s="5"/>
      <c r="J42" s="17">
        <v>829.85839999999996</v>
      </c>
      <c r="K42" s="18">
        <v>33.7042</v>
      </c>
      <c r="L42" s="18">
        <v>39.476900000000001</v>
      </c>
      <c r="M42" s="18">
        <v>40.228099999999998</v>
      </c>
      <c r="N42" s="18">
        <v>159.5745</v>
      </c>
      <c r="O42" s="18">
        <f t="shared" si="1"/>
        <v>35.241275000000002</v>
      </c>
      <c r="P42" s="7"/>
      <c r="Q42" s="10"/>
      <c r="R42" s="11"/>
      <c r="S42" s="11"/>
      <c r="T42" s="26"/>
      <c r="U42" s="28">
        <f t="shared" si="3"/>
        <v>-5.8224150141643047E-2</v>
      </c>
    </row>
    <row r="43" spans="1:21" x14ac:dyDescent="0.25">
      <c r="B43" s="9"/>
      <c r="C43" s="17">
        <v>656.82</v>
      </c>
      <c r="D43" s="18">
        <v>29.931000000000001</v>
      </c>
      <c r="E43" s="18">
        <v>37.423000000000002</v>
      </c>
      <c r="F43" s="18">
        <v>38.012</v>
      </c>
      <c r="G43" s="18">
        <v>183.15</v>
      </c>
      <c r="H43" s="18">
        <f t="shared" si="0"/>
        <v>31.877625000000002</v>
      </c>
      <c r="I43" s="5"/>
      <c r="J43" s="17">
        <v>518.3184</v>
      </c>
      <c r="K43" s="18">
        <v>31.849399999999999</v>
      </c>
      <c r="L43" s="18">
        <v>38.478700000000003</v>
      </c>
      <c r="M43" s="18">
        <v>39.0657</v>
      </c>
      <c r="N43" s="18">
        <v>195.24889999999999</v>
      </c>
      <c r="O43" s="18">
        <f t="shared" si="1"/>
        <v>33.580100000000002</v>
      </c>
      <c r="P43" s="7"/>
      <c r="Q43" s="10"/>
      <c r="R43" s="11"/>
      <c r="S43" s="11"/>
      <c r="T43" s="26"/>
      <c r="U43" s="28">
        <f t="shared" si="3"/>
        <v>6.6060060060059989E-2</v>
      </c>
    </row>
    <row r="44" spans="1:21" ht="16.5" thickBot="1" x14ac:dyDescent="0.3">
      <c r="B44" s="12"/>
      <c r="C44" s="19">
        <v>403.38</v>
      </c>
      <c r="D44" s="20">
        <v>27.056000000000001</v>
      </c>
      <c r="E44" s="20">
        <v>36.524000000000001</v>
      </c>
      <c r="F44" s="20">
        <v>37.000999999999998</v>
      </c>
      <c r="G44" s="20">
        <v>197.24</v>
      </c>
      <c r="H44" s="20">
        <f t="shared" si="0"/>
        <v>29.482625000000002</v>
      </c>
      <c r="I44" s="5"/>
      <c r="J44" s="19">
        <v>310.64960000000002</v>
      </c>
      <c r="K44" s="20">
        <v>29.7653</v>
      </c>
      <c r="L44" s="20">
        <v>37.418599999999998</v>
      </c>
      <c r="M44" s="20">
        <v>37.874099999999999</v>
      </c>
      <c r="N44" s="20">
        <v>243.40770000000001</v>
      </c>
      <c r="O44" s="20">
        <f t="shared" si="1"/>
        <v>31.7355625</v>
      </c>
      <c r="P44" s="7"/>
      <c r="Q44" s="13"/>
      <c r="R44" s="14"/>
      <c r="S44" s="14"/>
      <c r="T44" s="27"/>
      <c r="U44" s="28">
        <f t="shared" si="3"/>
        <v>0.2340686473331981</v>
      </c>
    </row>
    <row r="45" spans="1:21" x14ac:dyDescent="0.25">
      <c r="B45" s="6" t="s">
        <v>55</v>
      </c>
      <c r="C45" s="15">
        <v>1434.58</v>
      </c>
      <c r="D45" s="16">
        <v>28.477</v>
      </c>
      <c r="E45" s="16">
        <v>34.874000000000002</v>
      </c>
      <c r="F45" s="16">
        <v>35.527999999999999</v>
      </c>
      <c r="G45" s="16">
        <v>163.51</v>
      </c>
      <c r="H45" s="16">
        <f t="shared" si="0"/>
        <v>30.157999999999998</v>
      </c>
      <c r="I45" s="5"/>
      <c r="J45" s="15">
        <v>1227.3535999999999</v>
      </c>
      <c r="K45" s="16">
        <v>30.374300000000002</v>
      </c>
      <c r="L45" s="16">
        <v>36.723100000000002</v>
      </c>
      <c r="M45" s="16">
        <v>37.487400000000001</v>
      </c>
      <c r="N45" s="16">
        <v>119.1611</v>
      </c>
      <c r="O45" s="16">
        <f t="shared" si="1"/>
        <v>32.0570375</v>
      </c>
      <c r="P45" s="7"/>
      <c r="Q45" s="8">
        <f>bdrate(C45:C48,D45:D48,J45:J48,K45:K48)</f>
        <v>-0.52830638798082596</v>
      </c>
      <c r="R45" s="8">
        <f>bdrate(C45:C48,E45:E48,J45:J48,L45:L48)</f>
        <v>-0.64895335005434585</v>
      </c>
      <c r="S45" s="8">
        <f>bdrate(C45:C48,F45:F48,J45:J48,M45:M48)</f>
        <v>-0.64916748602501362</v>
      </c>
      <c r="T45" s="25">
        <f>bdrate(C45:C48,H45:H48,J45:J48,O45:O48)</f>
        <v>-0.54771676710138584</v>
      </c>
      <c r="U45" s="28">
        <f t="shared" si="3"/>
        <v>-0.27123050577946295</v>
      </c>
    </row>
    <row r="46" spans="1:21" x14ac:dyDescent="0.25">
      <c r="B46" s="9"/>
      <c r="C46" s="17">
        <v>972.03</v>
      </c>
      <c r="D46" s="18">
        <v>27.19</v>
      </c>
      <c r="E46" s="18">
        <v>34.430999999999997</v>
      </c>
      <c r="F46" s="18">
        <v>35.116</v>
      </c>
      <c r="G46" s="18">
        <v>184.23</v>
      </c>
      <c r="H46" s="18">
        <f t="shared" si="0"/>
        <v>29.085875000000001</v>
      </c>
      <c r="I46" s="5"/>
      <c r="J46" s="17">
        <v>814.67520000000002</v>
      </c>
      <c r="K46" s="18">
        <v>29.026800000000001</v>
      </c>
      <c r="L46" s="18">
        <v>35.895899999999997</v>
      </c>
      <c r="M46" s="18">
        <v>36.6404</v>
      </c>
      <c r="N46" s="18">
        <v>141.84399999999999</v>
      </c>
      <c r="O46" s="18">
        <f t="shared" si="1"/>
        <v>30.837137499999997</v>
      </c>
      <c r="P46" s="7"/>
      <c r="Q46" s="10"/>
      <c r="R46" s="11"/>
      <c r="S46" s="11"/>
      <c r="T46" s="26"/>
      <c r="U46" s="28">
        <f t="shared" si="3"/>
        <v>-0.23007110676871301</v>
      </c>
    </row>
    <row r="47" spans="1:21" x14ac:dyDescent="0.25">
      <c r="B47" s="9"/>
      <c r="C47" s="17">
        <v>604.52</v>
      </c>
      <c r="D47" s="18">
        <v>25.698</v>
      </c>
      <c r="E47" s="18">
        <v>33.975999999999999</v>
      </c>
      <c r="F47" s="18">
        <v>34.659999999999997</v>
      </c>
      <c r="G47" s="18">
        <v>199.04</v>
      </c>
      <c r="H47" s="18">
        <f t="shared" si="0"/>
        <v>27.852999999999998</v>
      </c>
      <c r="I47" s="5"/>
      <c r="J47" s="17">
        <v>513.85760000000005</v>
      </c>
      <c r="K47" s="18">
        <v>27.546399999999998</v>
      </c>
      <c r="L47" s="18">
        <v>35.089199999999998</v>
      </c>
      <c r="M47" s="18">
        <v>35.792999999999999</v>
      </c>
      <c r="N47" s="18">
        <v>181.09379999999999</v>
      </c>
      <c r="O47" s="18">
        <f t="shared" si="1"/>
        <v>29.520074999999999</v>
      </c>
      <c r="P47" s="7"/>
      <c r="Q47" s="10"/>
      <c r="R47" s="11"/>
      <c r="S47" s="11"/>
      <c r="T47" s="26"/>
      <c r="U47" s="28">
        <f t="shared" si="3"/>
        <v>-9.0163786173633464E-2</v>
      </c>
    </row>
    <row r="48" spans="1:21" ht="16.5" thickBot="1" x14ac:dyDescent="0.3">
      <c r="B48" s="12"/>
      <c r="C48" s="19">
        <v>372.38</v>
      </c>
      <c r="D48" s="20">
        <v>24.201000000000001</v>
      </c>
      <c r="E48" s="20">
        <v>33.524000000000001</v>
      </c>
      <c r="F48" s="20">
        <v>34.249000000000002</v>
      </c>
      <c r="G48" s="20">
        <v>218.05</v>
      </c>
      <c r="H48" s="20">
        <f t="shared" si="0"/>
        <v>26.622375000000002</v>
      </c>
      <c r="I48" s="5"/>
      <c r="J48" s="19">
        <v>308.86079999999998</v>
      </c>
      <c r="K48" s="20">
        <v>25.999199999999998</v>
      </c>
      <c r="L48" s="20">
        <v>34.202500000000001</v>
      </c>
      <c r="M48" s="20">
        <v>34.880499999999998</v>
      </c>
      <c r="N48" s="20">
        <v>227.27269999999999</v>
      </c>
      <c r="O48" s="20">
        <f t="shared" si="1"/>
        <v>28.134774999999998</v>
      </c>
      <c r="P48" s="7"/>
      <c r="Q48" s="13"/>
      <c r="R48" s="14"/>
      <c r="S48" s="14"/>
      <c r="T48" s="27"/>
      <c r="U48" s="28">
        <f t="shared" si="3"/>
        <v>4.2296262325154661E-2</v>
      </c>
    </row>
    <row r="49" spans="1:21" x14ac:dyDescent="0.25">
      <c r="B49" s="6" t="s">
        <v>56</v>
      </c>
      <c r="C49" s="15">
        <v>1431.35</v>
      </c>
      <c r="D49" s="16">
        <v>32.317999999999998</v>
      </c>
      <c r="E49" s="16">
        <v>36.283999999999999</v>
      </c>
      <c r="F49" s="16">
        <v>37.881</v>
      </c>
      <c r="G49" s="16">
        <v>119.43</v>
      </c>
      <c r="H49" s="16">
        <f t="shared" si="0"/>
        <v>33.509124999999997</v>
      </c>
      <c r="I49" s="5"/>
      <c r="J49" s="15">
        <v>1208.9367999999999</v>
      </c>
      <c r="K49" s="16">
        <v>32.453699999999998</v>
      </c>
      <c r="L49" s="16">
        <v>36.885199999999998</v>
      </c>
      <c r="M49" s="16">
        <v>38.4634</v>
      </c>
      <c r="N49" s="16">
        <v>86.231700000000004</v>
      </c>
      <c r="O49" s="16">
        <f t="shared" si="1"/>
        <v>33.758849999999995</v>
      </c>
      <c r="P49" s="7"/>
      <c r="Q49" s="8">
        <f>bdrate(C49:C52,D49:D52,J49:J52,K49:K52)</f>
        <v>-0.25824342178984738</v>
      </c>
      <c r="R49" s="8">
        <f>bdrate(C49:C52,E49:E52,J49:J52,L49:L52)</f>
        <v>-0.32479531969236242</v>
      </c>
      <c r="S49" s="8">
        <f>bdrate(C49:C52,F49:F52,J49:J52,M49:M52)</f>
        <v>-0.32090191680777458</v>
      </c>
      <c r="T49" s="25">
        <f>bdrate(C49:C52,H49:H52,J49:J52,O49:O52)</f>
        <v>-0.26944064729824246</v>
      </c>
      <c r="U49" s="28">
        <f t="shared" si="3"/>
        <v>-0.27797287113790509</v>
      </c>
    </row>
    <row r="50" spans="1:21" x14ac:dyDescent="0.25">
      <c r="B50" s="9"/>
      <c r="C50" s="17">
        <v>977.49</v>
      </c>
      <c r="D50" s="18">
        <v>30.704000000000001</v>
      </c>
      <c r="E50" s="18">
        <v>35.582000000000001</v>
      </c>
      <c r="F50" s="18">
        <v>37.164999999999999</v>
      </c>
      <c r="G50" s="18">
        <v>127.33</v>
      </c>
      <c r="H50" s="18">
        <f t="shared" si="0"/>
        <v>32.121375</v>
      </c>
      <c r="I50" s="5"/>
      <c r="J50" s="17">
        <v>805.56320000000005</v>
      </c>
      <c r="K50" s="18">
        <v>30.9053</v>
      </c>
      <c r="L50" s="18">
        <v>35.977899999999998</v>
      </c>
      <c r="M50" s="18">
        <v>37.525399999999998</v>
      </c>
      <c r="N50" s="18">
        <v>104.4932</v>
      </c>
      <c r="O50" s="18">
        <f t="shared" si="1"/>
        <v>32.366887500000004</v>
      </c>
      <c r="P50" s="7"/>
      <c r="Q50" s="10"/>
      <c r="R50" s="11"/>
      <c r="S50" s="11"/>
      <c r="T50" s="26"/>
      <c r="U50" s="28">
        <f t="shared" si="3"/>
        <v>-0.17935129191863658</v>
      </c>
    </row>
    <row r="51" spans="1:21" x14ac:dyDescent="0.25">
      <c r="B51" s="9"/>
      <c r="C51" s="17">
        <v>617.66</v>
      </c>
      <c r="D51" s="18">
        <v>28.751000000000001</v>
      </c>
      <c r="E51" s="18">
        <v>34.832000000000001</v>
      </c>
      <c r="F51" s="18">
        <v>36.326000000000001</v>
      </c>
      <c r="G51" s="18">
        <v>147.93</v>
      </c>
      <c r="H51" s="18">
        <f t="shared" si="0"/>
        <v>30.457999999999998</v>
      </c>
      <c r="I51" s="5"/>
      <c r="J51" s="17">
        <v>503.96159999999998</v>
      </c>
      <c r="K51" s="18">
        <v>29.267299999999999</v>
      </c>
      <c r="L51" s="18">
        <v>35.134900000000002</v>
      </c>
      <c r="M51" s="18">
        <v>36.670200000000001</v>
      </c>
      <c r="N51" s="18">
        <v>130.833</v>
      </c>
      <c r="O51" s="18">
        <f t="shared" si="1"/>
        <v>30.926112499999999</v>
      </c>
      <c r="P51" s="7"/>
      <c r="Q51" s="10"/>
      <c r="R51" s="11"/>
      <c r="S51" s="11"/>
      <c r="T51" s="26"/>
      <c r="U51" s="28">
        <f t="shared" si="3"/>
        <v>-0.11557493409044824</v>
      </c>
    </row>
    <row r="52" spans="1:21" ht="16.5" thickBot="1" x14ac:dyDescent="0.3">
      <c r="B52" s="12"/>
      <c r="C52" s="19">
        <v>383.65</v>
      </c>
      <c r="D52" s="20">
        <v>26.646999999999998</v>
      </c>
      <c r="E52" s="20">
        <v>33.960999999999999</v>
      </c>
      <c r="F52" s="20">
        <v>35.374000000000002</v>
      </c>
      <c r="G52" s="20">
        <v>164.38</v>
      </c>
      <c r="H52" s="20">
        <f t="shared" si="0"/>
        <v>28.652125000000002</v>
      </c>
      <c r="I52" s="5"/>
      <c r="J52" s="19">
        <v>301.9624</v>
      </c>
      <c r="K52" s="20">
        <v>27.655999999999999</v>
      </c>
      <c r="L52" s="20">
        <v>34.215200000000003</v>
      </c>
      <c r="M52" s="20">
        <v>35.6678</v>
      </c>
      <c r="N52" s="20">
        <v>168.63409999999999</v>
      </c>
      <c r="O52" s="20">
        <f t="shared" si="1"/>
        <v>29.477374999999999</v>
      </c>
      <c r="P52" s="7"/>
      <c r="Q52" s="13"/>
      <c r="R52" s="14"/>
      <c r="S52" s="14"/>
      <c r="T52" s="27"/>
      <c r="U52" s="28">
        <f t="shared" si="3"/>
        <v>2.5879669059496253E-2</v>
      </c>
    </row>
    <row r="53" spans="1:21" x14ac:dyDescent="0.25">
      <c r="A53" s="6" t="s">
        <v>41</v>
      </c>
      <c r="B53" s="6" t="s">
        <v>57</v>
      </c>
      <c r="C53" s="15">
        <v>849.15</v>
      </c>
      <c r="D53" s="16">
        <v>34.765999999999998</v>
      </c>
      <c r="E53" s="16">
        <v>38.771000000000001</v>
      </c>
      <c r="F53" s="16">
        <v>37.640999999999998</v>
      </c>
      <c r="G53" s="16">
        <v>493.1</v>
      </c>
      <c r="H53" s="16">
        <f t="shared" si="0"/>
        <v>35.626000000000005</v>
      </c>
      <c r="I53" s="5"/>
      <c r="J53" s="15">
        <v>604.78719999999998</v>
      </c>
      <c r="K53" s="16">
        <v>34.3994</v>
      </c>
      <c r="L53" s="16">
        <v>39.6569</v>
      </c>
      <c r="M53" s="16">
        <v>38.191299999999998</v>
      </c>
      <c r="N53" s="16">
        <v>340.83159999999998</v>
      </c>
      <c r="O53" s="16">
        <f t="shared" si="1"/>
        <v>35.530574999999999</v>
      </c>
      <c r="P53" s="7"/>
      <c r="Q53" s="8">
        <f>bdrate(C53:C56,D53:D56,J53:J56,K53:K56)</f>
        <v>-0.28168833717231967</v>
      </c>
      <c r="R53" s="8">
        <f>bdrate(C53:C56,E53:E56,J53:J56,L53:L56)</f>
        <v>-0.45546781888571619</v>
      </c>
      <c r="S53" s="8">
        <f>bdrate(C53:C56,F53:F56,J53:J56,M53:M56)</f>
        <v>-0.36934677574432073</v>
      </c>
      <c r="T53" s="25">
        <f>bdrate(C53:C56,H53:H56,J53:J56,O53:O56)</f>
        <v>-0.30325498547981367</v>
      </c>
      <c r="U53" s="28">
        <f t="shared" si="3"/>
        <v>-0.30879821537213553</v>
      </c>
    </row>
    <row r="54" spans="1:21" x14ac:dyDescent="0.25">
      <c r="A54" s="9" t="s">
        <v>42</v>
      </c>
      <c r="B54" s="9"/>
      <c r="C54" s="17">
        <v>531.5</v>
      </c>
      <c r="D54" s="18">
        <v>32.542000000000002</v>
      </c>
      <c r="E54" s="18">
        <v>37.643000000000001</v>
      </c>
      <c r="F54" s="18">
        <v>36.238999999999997</v>
      </c>
      <c r="G54" s="18">
        <v>552.49</v>
      </c>
      <c r="H54" s="18">
        <f t="shared" si="0"/>
        <v>33.641750000000002</v>
      </c>
      <c r="I54" s="5"/>
      <c r="J54" s="17">
        <v>404.87119999999999</v>
      </c>
      <c r="K54" s="18">
        <v>32.598399999999998</v>
      </c>
      <c r="L54" s="18">
        <v>38.511699999999998</v>
      </c>
      <c r="M54" s="18">
        <v>36.869700000000002</v>
      </c>
      <c r="N54" s="18">
        <v>405.51499999999999</v>
      </c>
      <c r="O54" s="18">
        <f t="shared" si="1"/>
        <v>33.871474999999997</v>
      </c>
      <c r="P54" s="7"/>
      <c r="Q54" s="10"/>
      <c r="R54" s="11"/>
      <c r="S54" s="11"/>
      <c r="T54" s="26"/>
      <c r="U54" s="28">
        <f t="shared" si="3"/>
        <v>-0.26602291444189041</v>
      </c>
    </row>
    <row r="55" spans="1:21" x14ac:dyDescent="0.25">
      <c r="B55" s="9"/>
      <c r="C55" s="17">
        <v>321.83</v>
      </c>
      <c r="D55" s="18">
        <v>30.228000000000002</v>
      </c>
      <c r="E55" s="18">
        <v>36.637</v>
      </c>
      <c r="F55" s="18">
        <v>35.088999999999999</v>
      </c>
      <c r="G55" s="18">
        <v>616.52</v>
      </c>
      <c r="H55" s="18">
        <f t="shared" si="0"/>
        <v>31.636749999999999</v>
      </c>
      <c r="I55" s="5"/>
      <c r="J55" s="17">
        <v>254.61439999999999</v>
      </c>
      <c r="K55" s="18">
        <v>30.668399999999998</v>
      </c>
      <c r="L55" s="18">
        <v>37.404600000000002</v>
      </c>
      <c r="M55" s="18">
        <v>35.655999999999999</v>
      </c>
      <c r="N55" s="18">
        <v>493.09660000000002</v>
      </c>
      <c r="O55" s="18">
        <f t="shared" si="1"/>
        <v>32.133875000000003</v>
      </c>
      <c r="P55" s="7"/>
      <c r="Q55" s="10"/>
      <c r="R55" s="11"/>
      <c r="S55" s="11"/>
      <c r="T55" s="26"/>
      <c r="U55" s="28">
        <f t="shared" si="3"/>
        <v>-0.20019366768312458</v>
      </c>
    </row>
    <row r="56" spans="1:21" ht="16.5" thickBot="1" x14ac:dyDescent="0.3">
      <c r="B56" s="12"/>
      <c r="C56" s="19">
        <v>164.71</v>
      </c>
      <c r="D56" s="20">
        <v>27.134</v>
      </c>
      <c r="E56" s="20">
        <v>35.435000000000002</v>
      </c>
      <c r="F56" s="20">
        <v>33.729999999999997</v>
      </c>
      <c r="G56" s="20">
        <v>712.25</v>
      </c>
      <c r="H56" s="20">
        <f t="shared" si="0"/>
        <v>28.996124999999999</v>
      </c>
      <c r="I56" s="5"/>
      <c r="J56" s="19">
        <v>122.9768</v>
      </c>
      <c r="K56" s="20">
        <v>27.895199999999999</v>
      </c>
      <c r="L56" s="20">
        <v>35.856000000000002</v>
      </c>
      <c r="M56" s="20">
        <v>33.788200000000003</v>
      </c>
      <c r="N56" s="20">
        <v>697.3501</v>
      </c>
      <c r="O56" s="20">
        <f t="shared" si="1"/>
        <v>29.626925</v>
      </c>
      <c r="P56" s="7"/>
      <c r="Q56" s="13"/>
      <c r="R56" s="14"/>
      <c r="S56" s="14"/>
      <c r="T56" s="27"/>
      <c r="U56" s="28">
        <f t="shared" si="3"/>
        <v>-2.0919480519480522E-2</v>
      </c>
    </row>
    <row r="57" spans="1:21" x14ac:dyDescent="0.25">
      <c r="B57" s="6" t="s">
        <v>58</v>
      </c>
      <c r="C57" s="15">
        <v>742.97</v>
      </c>
      <c r="D57" s="16">
        <v>30.85</v>
      </c>
      <c r="E57" s="16">
        <v>38.603999999999999</v>
      </c>
      <c r="F57" s="16">
        <v>39.046999999999997</v>
      </c>
      <c r="G57" s="16">
        <v>663.72</v>
      </c>
      <c r="H57" s="16">
        <f t="shared" si="0"/>
        <v>32.843874999999997</v>
      </c>
      <c r="I57" s="5"/>
      <c r="J57" s="15">
        <v>604.35440000000006</v>
      </c>
      <c r="K57" s="16">
        <v>33.662700000000001</v>
      </c>
      <c r="L57" s="16">
        <v>41.256900000000002</v>
      </c>
      <c r="M57" s="16">
        <v>42.063400000000001</v>
      </c>
      <c r="N57" s="16">
        <v>404.85829999999999</v>
      </c>
      <c r="O57" s="16">
        <f t="shared" si="1"/>
        <v>35.662062500000005</v>
      </c>
      <c r="P57" s="7"/>
      <c r="Q57" s="8">
        <f>bdrate(C57:C60,D57:D60,J57:J60,K57:K60)</f>
        <v>-0.67365087033253457</v>
      </c>
      <c r="R57" s="8">
        <f>bdrate(C57:C60,E57:E60,J57:J60,L57:L60)</f>
        <v>-0.77239477863903594</v>
      </c>
      <c r="S57" s="8">
        <f>bdrate(C57:C60,F57:F60,J57:J60,M57:M60)</f>
        <v>-0.78596359286204942</v>
      </c>
      <c r="T57" s="25">
        <f>bdrate(C57:C60,H57:H60,J57:J60,O57:O60)</f>
        <v>-0.69002401793941015</v>
      </c>
      <c r="U57" s="28">
        <f t="shared" si="3"/>
        <v>-0.39001642258783831</v>
      </c>
    </row>
    <row r="58" spans="1:21" x14ac:dyDescent="0.25">
      <c r="B58" s="9"/>
      <c r="C58" s="17">
        <v>462.41</v>
      </c>
      <c r="D58" s="18">
        <v>29.114000000000001</v>
      </c>
      <c r="E58" s="18">
        <v>38.103000000000002</v>
      </c>
      <c r="F58" s="18">
        <v>38.405000000000001</v>
      </c>
      <c r="G58" s="18">
        <v>725.51</v>
      </c>
      <c r="H58" s="18">
        <f t="shared" si="0"/>
        <v>31.399000000000001</v>
      </c>
      <c r="I58" s="5"/>
      <c r="J58" s="17">
        <v>403.31760000000003</v>
      </c>
      <c r="K58" s="18">
        <v>32.394799999999996</v>
      </c>
      <c r="L58" s="18">
        <v>40.384700000000002</v>
      </c>
      <c r="M58" s="18">
        <v>41.197000000000003</v>
      </c>
      <c r="N58" s="18">
        <v>512.82050000000004</v>
      </c>
      <c r="O58" s="18">
        <f t="shared" si="1"/>
        <v>34.493812499999997</v>
      </c>
      <c r="P58" s="7"/>
      <c r="Q58" s="10"/>
      <c r="R58" s="11"/>
      <c r="S58" s="11"/>
      <c r="T58" s="26"/>
      <c r="U58" s="28">
        <f t="shared" si="3"/>
        <v>-0.29315860567049379</v>
      </c>
    </row>
    <row r="59" spans="1:21" x14ac:dyDescent="0.25">
      <c r="B59" s="9"/>
      <c r="C59" s="17">
        <v>276.11</v>
      </c>
      <c r="D59" s="18">
        <v>27.451000000000001</v>
      </c>
      <c r="E59" s="18">
        <v>37.656999999999996</v>
      </c>
      <c r="F59" s="18">
        <v>37.75</v>
      </c>
      <c r="G59" s="18">
        <v>817.44</v>
      </c>
      <c r="H59" s="18">
        <f t="shared" si="0"/>
        <v>30.014125</v>
      </c>
      <c r="I59" s="5"/>
      <c r="J59" s="17">
        <v>251.9032</v>
      </c>
      <c r="K59" s="18">
        <v>30.897099999999998</v>
      </c>
      <c r="L59" s="18">
        <v>39.426600000000001</v>
      </c>
      <c r="M59" s="18">
        <v>40.117400000000004</v>
      </c>
      <c r="N59" s="18">
        <v>641.02560000000005</v>
      </c>
      <c r="O59" s="18">
        <f t="shared" si="1"/>
        <v>33.115825000000001</v>
      </c>
      <c r="P59" s="7"/>
      <c r="Q59" s="10"/>
      <c r="R59" s="11"/>
      <c r="S59" s="11"/>
      <c r="T59" s="26"/>
      <c r="U59" s="28">
        <f t="shared" si="3"/>
        <v>-0.21581327069876688</v>
      </c>
    </row>
    <row r="60" spans="1:21" ht="16.5" thickBot="1" x14ac:dyDescent="0.3">
      <c r="B60" s="12"/>
      <c r="C60" s="19">
        <v>136.83000000000001</v>
      </c>
      <c r="D60" s="20">
        <v>25.288</v>
      </c>
      <c r="E60" s="20">
        <v>37.055</v>
      </c>
      <c r="F60" s="20">
        <v>37.1</v>
      </c>
      <c r="G60" s="20">
        <v>894.19</v>
      </c>
      <c r="H60" s="20">
        <f t="shared" si="0"/>
        <v>28.235375000000001</v>
      </c>
      <c r="I60" s="5"/>
      <c r="J60" s="19">
        <v>121.0432</v>
      </c>
      <c r="K60" s="20">
        <v>28.3431</v>
      </c>
      <c r="L60" s="20">
        <v>38.164999999999999</v>
      </c>
      <c r="M60" s="20">
        <v>38.604199999999999</v>
      </c>
      <c r="N60" s="20">
        <v>873.36239999999998</v>
      </c>
      <c r="O60" s="20">
        <f t="shared" si="1"/>
        <v>30.853475</v>
      </c>
      <c r="P60" s="7"/>
      <c r="Q60" s="13"/>
      <c r="R60" s="14"/>
      <c r="S60" s="14"/>
      <c r="T60" s="27"/>
      <c r="U60" s="28">
        <f t="shared" si="3"/>
        <v>-2.3292141491182045E-2</v>
      </c>
    </row>
    <row r="61" spans="1:21" x14ac:dyDescent="0.25">
      <c r="B61" s="6" t="s">
        <v>59</v>
      </c>
      <c r="C61" s="29">
        <v>836.1</v>
      </c>
      <c r="D61" s="30">
        <v>32.529000000000003</v>
      </c>
      <c r="E61" s="30">
        <v>36.090000000000003</v>
      </c>
      <c r="F61" s="30">
        <v>36.457000000000001</v>
      </c>
      <c r="G61" s="16">
        <v>562.42999999999995</v>
      </c>
      <c r="H61" s="16">
        <f t="shared" si="0"/>
        <v>33.465125000000008</v>
      </c>
      <c r="I61" s="5"/>
      <c r="J61" s="29">
        <v>644.05999999999995</v>
      </c>
      <c r="K61" s="30">
        <v>33.212699999999998</v>
      </c>
      <c r="L61" s="30">
        <v>38.172899999999998</v>
      </c>
      <c r="M61" s="30">
        <v>38.936</v>
      </c>
      <c r="N61" s="16">
        <v>368.45979999999997</v>
      </c>
      <c r="O61" s="16">
        <f t="shared" si="1"/>
        <v>34.548137499999996</v>
      </c>
      <c r="P61" s="7"/>
      <c r="Q61" s="8">
        <f>bdrate(C61:C64,D61:D64,J61:J64,K61:K64)</f>
        <v>-0.39025472694249363</v>
      </c>
      <c r="R61" s="8">
        <f>bdrate(C61:C64,E61:E64,J61:J64,L61:L64)</f>
        <v>-0.642663790961155</v>
      </c>
      <c r="S61" s="8">
        <f>bdrate(C61:C64,F61:F64,J61:J64,M61:M64)</f>
        <v>-0.69304266694407335</v>
      </c>
      <c r="T61" s="25">
        <f>bdrate(C61:C64,H61:H64,J61:J64,O61:O64)</f>
        <v>-0.44599413725408577</v>
      </c>
      <c r="U61" s="28">
        <f t="shared" si="3"/>
        <v>-0.34487882936543213</v>
      </c>
    </row>
    <row r="62" spans="1:21" x14ac:dyDescent="0.25">
      <c r="B62" s="9"/>
      <c r="C62" s="31">
        <v>521.72</v>
      </c>
      <c r="D62" s="32">
        <v>30.632000000000001</v>
      </c>
      <c r="E62" s="32">
        <v>35.185000000000002</v>
      </c>
      <c r="F62" s="32">
        <v>35.619</v>
      </c>
      <c r="G62" s="18">
        <v>641.03</v>
      </c>
      <c r="H62" s="18">
        <f t="shared" si="0"/>
        <v>31.8245</v>
      </c>
      <c r="I62" s="5"/>
      <c r="J62" s="31">
        <v>427.37360000000001</v>
      </c>
      <c r="K62" s="32">
        <v>31.674399999999999</v>
      </c>
      <c r="L62" s="32">
        <v>37.095300000000002</v>
      </c>
      <c r="M62" s="32">
        <v>37.826300000000003</v>
      </c>
      <c r="N62" s="18">
        <v>439.3673</v>
      </c>
      <c r="O62" s="18">
        <f t="shared" si="1"/>
        <v>33.121000000000002</v>
      </c>
      <c r="P62" s="7"/>
      <c r="Q62" s="10"/>
      <c r="R62" s="11"/>
      <c r="S62" s="11"/>
      <c r="T62" s="26"/>
      <c r="U62" s="28">
        <f t="shared" si="3"/>
        <v>-0.31459167277662509</v>
      </c>
    </row>
    <row r="63" spans="1:21" x14ac:dyDescent="0.25">
      <c r="B63" s="9"/>
      <c r="C63" s="31">
        <v>311.38</v>
      </c>
      <c r="D63" s="32">
        <v>28.77</v>
      </c>
      <c r="E63" s="32">
        <v>34.375</v>
      </c>
      <c r="F63" s="32">
        <v>34.814999999999998</v>
      </c>
      <c r="G63" s="18">
        <v>697.35</v>
      </c>
      <c r="H63" s="18">
        <f t="shared" si="0"/>
        <v>30.22625</v>
      </c>
      <c r="I63" s="5"/>
      <c r="J63" s="31">
        <v>266.7944</v>
      </c>
      <c r="K63" s="32">
        <v>29.9938</v>
      </c>
      <c r="L63" s="32">
        <v>35.978099999999998</v>
      </c>
      <c r="M63" s="32">
        <v>36.695799999999998</v>
      </c>
      <c r="N63" s="18">
        <v>543.47829999999999</v>
      </c>
      <c r="O63" s="18">
        <f t="shared" si="1"/>
        <v>31.579587499999999</v>
      </c>
      <c r="P63" s="7"/>
      <c r="Q63" s="10"/>
      <c r="R63" s="11"/>
      <c r="S63" s="11"/>
      <c r="T63" s="26"/>
      <c r="U63" s="28">
        <f t="shared" si="3"/>
        <v>-0.22065203986520401</v>
      </c>
    </row>
    <row r="64" spans="1:21" ht="16.5" thickBot="1" x14ac:dyDescent="0.3">
      <c r="B64" s="12"/>
      <c r="C64" s="33">
        <v>152.66</v>
      </c>
      <c r="D64" s="34">
        <v>26.379000000000001</v>
      </c>
      <c r="E64" s="34">
        <v>33.506999999999998</v>
      </c>
      <c r="F64" s="34">
        <v>34.024999999999999</v>
      </c>
      <c r="G64" s="20">
        <v>782.47</v>
      </c>
      <c r="H64" s="20">
        <f t="shared" si="0"/>
        <v>28.225750000000001</v>
      </c>
      <c r="I64" s="5"/>
      <c r="J64" s="33">
        <v>128.61840000000001</v>
      </c>
      <c r="K64" s="34">
        <v>27.5792</v>
      </c>
      <c r="L64" s="34">
        <v>34.422699999999999</v>
      </c>
      <c r="M64" s="34">
        <v>35.129800000000003</v>
      </c>
      <c r="N64" s="20">
        <v>782.47260000000006</v>
      </c>
      <c r="O64" s="20">
        <f t="shared" si="1"/>
        <v>29.378462499999998</v>
      </c>
      <c r="P64" s="7"/>
      <c r="Q64" s="13"/>
      <c r="R64" s="14"/>
      <c r="S64" s="14"/>
      <c r="T64" s="27"/>
      <c r="U64" s="28">
        <f t="shared" si="3"/>
        <v>3.3228110982267274E-6</v>
      </c>
    </row>
    <row r="65" spans="1:21" x14ac:dyDescent="0.25">
      <c r="B65" s="6" t="s">
        <v>60</v>
      </c>
      <c r="C65" s="15">
        <v>768.56</v>
      </c>
      <c r="D65" s="16">
        <v>34.579000000000001</v>
      </c>
      <c r="E65" s="16">
        <v>37.023000000000003</v>
      </c>
      <c r="F65" s="16">
        <v>38.103000000000002</v>
      </c>
      <c r="G65" s="16">
        <v>400.53</v>
      </c>
      <c r="H65" s="16">
        <f t="shared" si="0"/>
        <v>35.324999999999996</v>
      </c>
      <c r="I65" s="5"/>
      <c r="J65" s="15">
        <v>605.97519999999997</v>
      </c>
      <c r="K65" s="16">
        <v>33.987099999999998</v>
      </c>
      <c r="L65" s="16">
        <v>37.743899999999996</v>
      </c>
      <c r="M65" s="16">
        <v>38.834699999999998</v>
      </c>
      <c r="N65" s="16">
        <v>240.38460000000001</v>
      </c>
      <c r="O65" s="16">
        <f t="shared" si="1"/>
        <v>35.062649999999998</v>
      </c>
      <c r="P65" s="7"/>
      <c r="Q65" s="8">
        <f>bdrate(C65:C68,D65:D68,J65:J68,K65:K68)</f>
        <v>-0.1625990512303398</v>
      </c>
      <c r="R65" s="8">
        <f>bdrate(C65:C68,E65:E68,J65:J68,L65:L68)</f>
        <v>-0.36460518701044731</v>
      </c>
      <c r="S65" s="8">
        <f>bdrate(C65:C68,F65:F68,J65:J68,M65:M68)</f>
        <v>-0.35782779075155713</v>
      </c>
      <c r="T65" s="25">
        <f>bdrate(C65:C68,H65:H68,J65:J68,O65:O68)</f>
        <v>-0.19617510138135996</v>
      </c>
      <c r="U65" s="28">
        <f t="shared" si="3"/>
        <v>-0.39983372032057518</v>
      </c>
    </row>
    <row r="66" spans="1:21" x14ac:dyDescent="0.25">
      <c r="B66" s="9"/>
      <c r="C66" s="17">
        <v>482.03</v>
      </c>
      <c r="D66" s="18">
        <v>32.338000000000001</v>
      </c>
      <c r="E66" s="18">
        <v>35.848999999999997</v>
      </c>
      <c r="F66" s="18">
        <v>36.911999999999999</v>
      </c>
      <c r="G66" s="18">
        <v>457.32</v>
      </c>
      <c r="H66" s="18">
        <f t="shared" si="0"/>
        <v>33.348624999999998</v>
      </c>
      <c r="I66" s="5"/>
      <c r="J66" s="17">
        <v>403.8888</v>
      </c>
      <c r="K66" s="18">
        <v>32.1678</v>
      </c>
      <c r="L66" s="18">
        <v>36.606400000000001</v>
      </c>
      <c r="M66" s="18">
        <v>37.706099999999999</v>
      </c>
      <c r="N66" s="18">
        <v>295.858</v>
      </c>
      <c r="O66" s="18">
        <f t="shared" si="1"/>
        <v>33.4149125</v>
      </c>
      <c r="P66" s="7"/>
      <c r="Q66" s="10"/>
      <c r="R66" s="11"/>
      <c r="S66" s="11"/>
      <c r="T66" s="26"/>
      <c r="U66" s="28">
        <f t="shared" si="3"/>
        <v>-0.35306131374092536</v>
      </c>
    </row>
    <row r="67" spans="1:21" x14ac:dyDescent="0.25">
      <c r="B67" s="9"/>
      <c r="C67" s="17">
        <v>290.94</v>
      </c>
      <c r="D67" s="18">
        <v>30.140999999999998</v>
      </c>
      <c r="E67" s="18">
        <v>34.774000000000001</v>
      </c>
      <c r="F67" s="18">
        <v>35.820999999999998</v>
      </c>
      <c r="G67" s="18">
        <v>505.9</v>
      </c>
      <c r="H67" s="18">
        <f t="shared" si="0"/>
        <v>31.430125</v>
      </c>
      <c r="I67" s="5"/>
      <c r="J67" s="17">
        <v>252.94560000000001</v>
      </c>
      <c r="K67" s="18">
        <v>30.2729</v>
      </c>
      <c r="L67" s="18">
        <v>35.393599999999999</v>
      </c>
      <c r="M67" s="18">
        <v>36.433900000000001</v>
      </c>
      <c r="N67" s="18">
        <v>369.91370000000001</v>
      </c>
      <c r="O67" s="18">
        <f t="shared" si="1"/>
        <v>31.6831125</v>
      </c>
      <c r="P67" s="7"/>
      <c r="Q67" s="10"/>
      <c r="R67" s="11"/>
      <c r="S67" s="11"/>
      <c r="T67" s="26"/>
      <c r="U67" s="28">
        <f t="shared" si="3"/>
        <v>-0.26880075113658819</v>
      </c>
    </row>
    <row r="68" spans="1:21" ht="16.5" thickBot="1" x14ac:dyDescent="0.3">
      <c r="B68" s="12"/>
      <c r="C68" s="19">
        <v>144.61000000000001</v>
      </c>
      <c r="D68" s="20">
        <v>27.175999999999998</v>
      </c>
      <c r="E68" s="20">
        <v>33.497</v>
      </c>
      <c r="F68" s="20">
        <v>34.494999999999997</v>
      </c>
      <c r="G68" s="20">
        <v>621.12</v>
      </c>
      <c r="H68" s="20">
        <f t="shared" si="0"/>
        <v>28.881</v>
      </c>
      <c r="I68" s="5"/>
      <c r="J68" s="19">
        <v>122.30800000000001</v>
      </c>
      <c r="K68" s="20">
        <v>27.795000000000002</v>
      </c>
      <c r="L68" s="20">
        <v>33.964700000000001</v>
      </c>
      <c r="M68" s="20">
        <v>34.902900000000002</v>
      </c>
      <c r="N68" s="20">
        <v>533.80780000000004</v>
      </c>
      <c r="O68" s="20">
        <f t="shared" si="1"/>
        <v>29.454700000000003</v>
      </c>
      <c r="P68" s="7"/>
      <c r="Q68" s="13"/>
      <c r="R68" s="14"/>
      <c r="S68" s="14"/>
      <c r="T68" s="27"/>
      <c r="U68" s="28">
        <f t="shared" si="3"/>
        <v>-0.14057219216898501</v>
      </c>
    </row>
    <row r="69" spans="1:21" x14ac:dyDescent="0.25">
      <c r="A69" s="6" t="s">
        <v>43</v>
      </c>
      <c r="B69" s="6" t="s">
        <v>61</v>
      </c>
      <c r="C69" s="15">
        <v>1902.34</v>
      </c>
      <c r="D69" s="16">
        <v>40.909999999999997</v>
      </c>
      <c r="E69" s="16">
        <v>44.582000000000001</v>
      </c>
      <c r="F69" s="16">
        <v>45.673999999999999</v>
      </c>
      <c r="G69" s="16">
        <v>83.97</v>
      </c>
      <c r="H69" s="16">
        <f t="shared" si="0"/>
        <v>41.964499999999994</v>
      </c>
      <c r="I69" s="5"/>
      <c r="J69" s="15">
        <v>1491.2647999999999</v>
      </c>
      <c r="K69" s="16">
        <v>41.363</v>
      </c>
      <c r="L69" s="16">
        <v>45.620399999999997</v>
      </c>
      <c r="M69" s="16">
        <v>46.805900000000001</v>
      </c>
      <c r="N69" s="16">
        <v>105.3741</v>
      </c>
      <c r="O69" s="16">
        <f t="shared" si="1"/>
        <v>42.575537500000003</v>
      </c>
      <c r="P69" s="7"/>
      <c r="Q69" s="8">
        <f>bdrate(C69:C72,D69:D72,J69:J72,K69:K72)</f>
        <v>-0.40482775143706073</v>
      </c>
      <c r="R69" s="8">
        <f>bdrate(C69:C72,E69:E72,J69:J72,L69:L72)</f>
        <v>-0.52625807170986694</v>
      </c>
      <c r="S69" s="8">
        <f>bdrate(C69:C72,F69:F72,J69:J72,M69:M72)</f>
        <v>-0.54409649068083588</v>
      </c>
      <c r="T69" s="25">
        <f>bdrate(C69:C72,H69:H72,J69:J72,O69:O72)</f>
        <v>-0.43134989454367745</v>
      </c>
      <c r="U69" s="28">
        <f t="shared" si="3"/>
        <v>0.2549017506252233</v>
      </c>
    </row>
    <row r="70" spans="1:21" x14ac:dyDescent="0.25">
      <c r="A70" s="9" t="s">
        <v>44</v>
      </c>
      <c r="B70" s="9"/>
      <c r="C70" s="17">
        <v>1241.57</v>
      </c>
      <c r="D70" s="18">
        <v>39.497</v>
      </c>
      <c r="E70" s="18">
        <v>43.429000000000002</v>
      </c>
      <c r="F70" s="18">
        <v>44.393999999999998</v>
      </c>
      <c r="G70" s="18">
        <v>88.42</v>
      </c>
      <c r="H70" s="18">
        <f t="shared" si="0"/>
        <v>40.600625000000001</v>
      </c>
      <c r="I70" s="5"/>
      <c r="J70" s="17">
        <v>984.8528</v>
      </c>
      <c r="K70" s="18">
        <v>40.243699999999997</v>
      </c>
      <c r="L70" s="18">
        <v>44.6633</v>
      </c>
      <c r="M70" s="18">
        <v>45.837899999999998</v>
      </c>
      <c r="N70" s="18">
        <v>120.9434</v>
      </c>
      <c r="O70" s="18">
        <f t="shared" si="1"/>
        <v>41.495424999999997</v>
      </c>
      <c r="P70" s="7"/>
      <c r="Q70" s="10"/>
      <c r="R70" s="11"/>
      <c r="S70" s="11"/>
      <c r="T70" s="26"/>
      <c r="U70" s="28">
        <f t="shared" si="3"/>
        <v>0.36782854557792349</v>
      </c>
    </row>
    <row r="71" spans="1:21" x14ac:dyDescent="0.25">
      <c r="B71" s="9"/>
      <c r="C71" s="17">
        <v>742.19</v>
      </c>
      <c r="D71" s="18">
        <v>37.155000000000001</v>
      </c>
      <c r="E71" s="18">
        <v>41.886000000000003</v>
      </c>
      <c r="F71" s="18">
        <v>42.853999999999999</v>
      </c>
      <c r="G71" s="18">
        <v>91.58</v>
      </c>
      <c r="H71" s="18">
        <f t="shared" si="0"/>
        <v>38.458750000000002</v>
      </c>
      <c r="I71" s="5"/>
      <c r="J71" s="17">
        <v>574.95519999999999</v>
      </c>
      <c r="K71" s="18">
        <v>38.364899999999999</v>
      </c>
      <c r="L71" s="18">
        <v>43.274500000000003</v>
      </c>
      <c r="M71" s="18">
        <v>44.390500000000003</v>
      </c>
      <c r="N71" s="18">
        <v>138.34450000000001</v>
      </c>
      <c r="O71" s="18">
        <f t="shared" si="1"/>
        <v>39.731799999999993</v>
      </c>
      <c r="P71" s="7"/>
      <c r="Q71" s="10"/>
      <c r="R71" s="11"/>
      <c r="S71" s="11"/>
      <c r="T71" s="26"/>
      <c r="U71" s="28">
        <f t="shared" si="3"/>
        <v>0.51064096964402728</v>
      </c>
    </row>
    <row r="72" spans="1:21" ht="16.5" thickBot="1" x14ac:dyDescent="0.3">
      <c r="B72" s="12"/>
      <c r="C72" s="19">
        <v>341.98</v>
      </c>
      <c r="D72" s="20">
        <v>32.871000000000002</v>
      </c>
      <c r="E72" s="20">
        <v>39.752000000000002</v>
      </c>
      <c r="F72" s="20">
        <v>40.545000000000002</v>
      </c>
      <c r="G72" s="20">
        <v>97.86</v>
      </c>
      <c r="H72" s="20">
        <f t="shared" si="0"/>
        <v>34.690375000000003</v>
      </c>
      <c r="I72" s="5"/>
      <c r="J72" s="19">
        <v>278.60320000000002</v>
      </c>
      <c r="K72" s="20">
        <v>35.244399999999999</v>
      </c>
      <c r="L72" s="20">
        <v>41.513300000000001</v>
      </c>
      <c r="M72" s="20">
        <v>42.485799999999998</v>
      </c>
      <c r="N72" s="20">
        <v>171.72300000000001</v>
      </c>
      <c r="O72" s="20">
        <f t="shared" si="1"/>
        <v>36.933187499999995</v>
      </c>
      <c r="P72" s="7"/>
      <c r="Q72" s="13"/>
      <c r="R72" s="14"/>
      <c r="S72" s="14"/>
      <c r="T72" s="27"/>
      <c r="U72" s="28">
        <f t="shared" si="3"/>
        <v>0.75478234212139805</v>
      </c>
    </row>
    <row r="73" spans="1:21" x14ac:dyDescent="0.25">
      <c r="B73" s="6" t="s">
        <v>62</v>
      </c>
      <c r="C73" s="15">
        <v>1993.4</v>
      </c>
      <c r="D73" s="16">
        <v>41.819000000000003</v>
      </c>
      <c r="E73" s="16">
        <v>46.232999999999997</v>
      </c>
      <c r="F73" s="16">
        <v>46.719000000000001</v>
      </c>
      <c r="G73" s="16">
        <v>91.35</v>
      </c>
      <c r="H73" s="16">
        <f t="shared" si="0"/>
        <v>42.983249999999998</v>
      </c>
      <c r="I73" s="5"/>
      <c r="J73" s="15">
        <v>1469.3440000000001</v>
      </c>
      <c r="K73" s="16">
        <v>42.62</v>
      </c>
      <c r="L73" s="16">
        <v>47.650399999999998</v>
      </c>
      <c r="M73" s="16">
        <v>48.2652</v>
      </c>
      <c r="N73" s="16">
        <v>118.3432</v>
      </c>
      <c r="O73" s="16">
        <f t="shared" si="1"/>
        <v>43.954449999999994</v>
      </c>
      <c r="P73" s="7"/>
      <c r="Q73" s="8">
        <f>bdrate(C73:C76,D73:D76,J73:J76,K73:K76)</f>
        <v>-0.61726278983256311</v>
      </c>
      <c r="R73" s="8">
        <f>bdrate(C73:C76,E73:E76,J73:J76,L73:L76)</f>
        <v>-0.72384427586073874</v>
      </c>
      <c r="S73" s="8">
        <f>bdrate(C73:C76,F73:F76,J73:J76,M73:M76)</f>
        <v>-0.73491076642334108</v>
      </c>
      <c r="T73" s="25">
        <f>bdrate(C73:C76,H73:H76,J73:J76,O73:O76)</f>
        <v>-0.64864938245691506</v>
      </c>
      <c r="U73" s="28">
        <f t="shared" ref="U73:U80" si="4">(N73-G73)/G73</f>
        <v>0.29549206349206353</v>
      </c>
    </row>
    <row r="74" spans="1:21" x14ac:dyDescent="0.25">
      <c r="B74" s="9"/>
      <c r="C74" s="17">
        <v>1304.96</v>
      </c>
      <c r="D74" s="18">
        <v>40.963999999999999</v>
      </c>
      <c r="E74" s="18">
        <v>45.326000000000001</v>
      </c>
      <c r="F74" s="18">
        <v>45.728999999999999</v>
      </c>
      <c r="G74" s="18">
        <v>97.13</v>
      </c>
      <c r="H74" s="18">
        <f t="shared" si="0"/>
        <v>42.104875</v>
      </c>
      <c r="I74" s="5"/>
      <c r="J74" s="17">
        <v>973.91520000000003</v>
      </c>
      <c r="K74" s="18">
        <v>42.095500000000001</v>
      </c>
      <c r="L74" s="18">
        <v>47.204500000000003</v>
      </c>
      <c r="M74" s="18">
        <v>47.851300000000002</v>
      </c>
      <c r="N74" s="18">
        <v>137.36259999999999</v>
      </c>
      <c r="O74" s="18">
        <f t="shared" si="1"/>
        <v>43.453600000000002</v>
      </c>
      <c r="P74" s="7"/>
      <c r="Q74" s="10"/>
      <c r="R74" s="11"/>
      <c r="S74" s="11"/>
      <c r="T74" s="26"/>
      <c r="U74" s="28">
        <f t="shared" si="4"/>
        <v>0.41421394008030465</v>
      </c>
    </row>
    <row r="75" spans="1:21" x14ac:dyDescent="0.25">
      <c r="B75" s="9"/>
      <c r="C75" s="17">
        <v>773.12</v>
      </c>
      <c r="D75" s="18">
        <v>39.49</v>
      </c>
      <c r="E75" s="18">
        <v>43.94</v>
      </c>
      <c r="F75" s="18">
        <v>44.570999999999998</v>
      </c>
      <c r="G75" s="18">
        <v>102.56</v>
      </c>
      <c r="H75" s="18">
        <f t="shared" si="0"/>
        <v>40.681375000000003</v>
      </c>
      <c r="I75" s="5"/>
      <c r="J75" s="17">
        <v>578.66079999999999</v>
      </c>
      <c r="K75" s="18">
        <v>41.234000000000002</v>
      </c>
      <c r="L75" s="18">
        <v>46.368499999999997</v>
      </c>
      <c r="M75" s="18">
        <v>46.933199999999999</v>
      </c>
      <c r="N75" s="18">
        <v>155.0788</v>
      </c>
      <c r="O75" s="18">
        <f t="shared" si="1"/>
        <v>42.588212499999997</v>
      </c>
      <c r="P75" s="7"/>
      <c r="Q75" s="10"/>
      <c r="R75" s="11"/>
      <c r="S75" s="11"/>
      <c r="T75" s="26"/>
      <c r="U75" s="28">
        <f t="shared" si="4"/>
        <v>0.51207878315132604</v>
      </c>
    </row>
    <row r="76" spans="1:21" ht="16.5" thickBot="1" x14ac:dyDescent="0.3">
      <c r="B76" s="12"/>
      <c r="C76" s="19">
        <v>345.53</v>
      </c>
      <c r="D76" s="20">
        <v>35.966999999999999</v>
      </c>
      <c r="E76" s="20">
        <v>41.634999999999998</v>
      </c>
      <c r="F76" s="20">
        <v>42.387999999999998</v>
      </c>
      <c r="G76" s="20">
        <v>108.97</v>
      </c>
      <c r="H76" s="20">
        <f t="shared" si="0"/>
        <v>37.478124999999999</v>
      </c>
      <c r="I76" s="5"/>
      <c r="J76" s="19">
        <v>281.61439999999999</v>
      </c>
      <c r="K76" s="20">
        <v>39.438299999999998</v>
      </c>
      <c r="L76" s="20">
        <v>44.5854</v>
      </c>
      <c r="M76" s="20">
        <v>45.122900000000001</v>
      </c>
      <c r="N76" s="20">
        <v>180.55969999999999</v>
      </c>
      <c r="O76" s="20">
        <f t="shared" si="1"/>
        <v>40.7922625</v>
      </c>
      <c r="P76" s="7"/>
      <c r="Q76" s="13"/>
      <c r="R76" s="14"/>
      <c r="S76" s="14"/>
      <c r="T76" s="27"/>
      <c r="U76" s="28">
        <f t="shared" si="4"/>
        <v>0.6569670551527943</v>
      </c>
    </row>
    <row r="77" spans="1:21" x14ac:dyDescent="0.25">
      <c r="B77" s="6" t="s">
        <v>63</v>
      </c>
      <c r="C77" s="15">
        <v>2091.64</v>
      </c>
      <c r="D77" s="16">
        <v>41.814</v>
      </c>
      <c r="E77" s="16">
        <v>45.527000000000001</v>
      </c>
      <c r="F77" s="16">
        <v>46.262999999999998</v>
      </c>
      <c r="G77" s="16">
        <v>86.23</v>
      </c>
      <c r="H77" s="16">
        <f t="shared" si="0"/>
        <v>42.834249999999997</v>
      </c>
      <c r="I77" s="5"/>
      <c r="J77" s="15">
        <v>1534.556</v>
      </c>
      <c r="K77" s="16">
        <v>42.498699999999999</v>
      </c>
      <c r="L77" s="16">
        <v>46.739100000000001</v>
      </c>
      <c r="M77" s="16">
        <v>47.615299999999998</v>
      </c>
      <c r="N77" s="16">
        <v>105.0972</v>
      </c>
      <c r="O77" s="16">
        <f t="shared" si="1"/>
        <v>43.668324999999996</v>
      </c>
      <c r="P77" s="7"/>
      <c r="Q77" s="8">
        <f>bdrate(C77:C80,D77:D80,J77:J80,K77:K80)</f>
        <v>-0.53404490203706034</v>
      </c>
      <c r="R77" s="8">
        <f>bdrate(C77:C80,E77:E80,J77:J80,L77:L80)</f>
        <v>-0.62936124197523469</v>
      </c>
      <c r="S77" s="8">
        <f>bdrate(C77:C80,F77:F80,J77:J80,M77:M80)</f>
        <v>-0.64986257409423787</v>
      </c>
      <c r="T77" s="25">
        <f>bdrate(C77:C80,H77:H80,J77:J80,O77:O80)</f>
        <v>-0.55988853624694823</v>
      </c>
      <c r="U77" s="28">
        <f t="shared" si="4"/>
        <v>0.21880088136379447</v>
      </c>
    </row>
    <row r="78" spans="1:21" x14ac:dyDescent="0.25">
      <c r="B78" s="9"/>
      <c r="C78" s="17">
        <v>1376.91</v>
      </c>
      <c r="D78" s="18">
        <v>40.616</v>
      </c>
      <c r="E78" s="18">
        <v>44.451999999999998</v>
      </c>
      <c r="F78" s="18">
        <v>45.058</v>
      </c>
      <c r="G78" s="18">
        <v>92.45</v>
      </c>
      <c r="H78" s="18">
        <f t="shared" si="0"/>
        <v>41.650750000000002</v>
      </c>
      <c r="I78" s="5"/>
      <c r="J78" s="17">
        <v>1011.9088</v>
      </c>
      <c r="K78" s="18">
        <v>41.670200000000001</v>
      </c>
      <c r="L78" s="18">
        <v>45.9681</v>
      </c>
      <c r="M78" s="18">
        <v>46.803600000000003</v>
      </c>
      <c r="N78" s="18">
        <v>121.7039</v>
      </c>
      <c r="O78" s="18">
        <f t="shared" si="1"/>
        <v>42.849112500000004</v>
      </c>
      <c r="P78" s="7"/>
      <c r="Q78" s="10"/>
      <c r="R78" s="11"/>
      <c r="S78" s="11"/>
      <c r="T78" s="26"/>
      <c r="U78" s="28">
        <f t="shared" si="4"/>
        <v>0.31642942130881557</v>
      </c>
    </row>
    <row r="79" spans="1:21" x14ac:dyDescent="0.25">
      <c r="B79" s="9"/>
      <c r="C79" s="17">
        <v>819.91</v>
      </c>
      <c r="D79" s="18">
        <v>38.643000000000001</v>
      </c>
      <c r="E79" s="18">
        <v>42.667000000000002</v>
      </c>
      <c r="F79" s="18">
        <v>43.341999999999999</v>
      </c>
      <c r="G79" s="18">
        <v>97.86</v>
      </c>
      <c r="H79" s="18">
        <f t="shared" si="0"/>
        <v>39.733374999999995</v>
      </c>
      <c r="I79" s="5"/>
      <c r="J79" s="17">
        <v>606.48320000000001</v>
      </c>
      <c r="K79" s="18">
        <v>40.3491</v>
      </c>
      <c r="L79" s="18">
        <v>44.813200000000002</v>
      </c>
      <c r="M79" s="18">
        <v>45.621099999999998</v>
      </c>
      <c r="N79" s="18">
        <v>138.85669999999999</v>
      </c>
      <c r="O79" s="18">
        <f t="shared" si="1"/>
        <v>41.566112500000003</v>
      </c>
      <c r="P79" s="7"/>
      <c r="Q79" s="10"/>
      <c r="R79" s="11"/>
      <c r="S79" s="11"/>
      <c r="T79" s="26"/>
      <c r="U79" s="28">
        <f t="shared" si="4"/>
        <v>0.41893214796648265</v>
      </c>
    </row>
    <row r="80" spans="1:21" ht="16.5" thickBot="1" x14ac:dyDescent="0.3">
      <c r="B80" s="12"/>
      <c r="C80" s="19">
        <v>376.98</v>
      </c>
      <c r="D80" s="20">
        <v>34.680999999999997</v>
      </c>
      <c r="E80" s="20">
        <v>40.332000000000001</v>
      </c>
      <c r="F80" s="20">
        <v>41.054000000000002</v>
      </c>
      <c r="G80" s="20">
        <v>105.37</v>
      </c>
      <c r="H80" s="20">
        <f t="shared" si="0"/>
        <v>36.183999999999997</v>
      </c>
      <c r="I80" s="5"/>
      <c r="J80" s="19">
        <v>296.06400000000002</v>
      </c>
      <c r="K80" s="20">
        <v>37.845100000000002</v>
      </c>
      <c r="L80" s="20">
        <v>42.853700000000003</v>
      </c>
      <c r="M80" s="20">
        <v>43.685299999999998</v>
      </c>
      <c r="N80" s="20">
        <v>167.92609999999999</v>
      </c>
      <c r="O80" s="20">
        <f t="shared" si="1"/>
        <v>39.2012</v>
      </c>
      <c r="P80" s="7"/>
      <c r="Q80" s="13"/>
      <c r="R80" s="14"/>
      <c r="S80" s="14"/>
      <c r="T80" s="27"/>
      <c r="U80" s="28">
        <f t="shared" si="4"/>
        <v>0.5936803644301033</v>
      </c>
    </row>
    <row r="81" spans="1:21" x14ac:dyDescent="0.25">
      <c r="A81" s="6" t="s">
        <v>99</v>
      </c>
      <c r="B81" s="6" t="s">
        <v>100</v>
      </c>
      <c r="C81" s="15">
        <v>1609.46</v>
      </c>
      <c r="D81" s="16">
        <v>41.334000000000003</v>
      </c>
      <c r="E81" s="16">
        <v>46.189</v>
      </c>
      <c r="F81" s="16">
        <v>47.826000000000001</v>
      </c>
      <c r="G81" s="16">
        <v>71.010000000000005</v>
      </c>
      <c r="H81" s="16">
        <f t="shared" ref="H81:H91" si="5">(6*D81+E81+F81)/8</f>
        <v>42.752375000000008</v>
      </c>
      <c r="I81" s="5"/>
      <c r="J81" s="15">
        <v>1284.4647</v>
      </c>
      <c r="K81" s="16">
        <v>43.5306</v>
      </c>
      <c r="L81" s="16">
        <v>49.320300000000003</v>
      </c>
      <c r="M81" s="16">
        <v>50.169600000000003</v>
      </c>
      <c r="N81" s="16">
        <v>61.538499999999999</v>
      </c>
      <c r="O81" s="16">
        <f t="shared" ref="O81:O91" si="6">(6*K81+L81+M81)/8</f>
        <v>45.084187500000006</v>
      </c>
      <c r="P81" s="7"/>
      <c r="Q81" s="8">
        <f>bdrate(C81:C84,D81:D84,J81:J84,K81:K84)</f>
        <v>-0.57845252914817902</v>
      </c>
      <c r="R81" s="8">
        <f>bdrate(C81:C84,E81:E84,J81:J84,L81:L84)</f>
        <v>-0.67303451706727913</v>
      </c>
      <c r="S81" s="8">
        <f>bdrate(C81:C84,F81:F84,J81:J84,M81:M84)</f>
        <v>-0.64114622006510724</v>
      </c>
      <c r="T81" s="25">
        <f>bdrate(C81:C84,H81:H84,J81:J84,O81:O84)</f>
        <v>-0.59476035532245763</v>
      </c>
      <c r="U81" s="28">
        <f t="shared" ref="U81:U91" si="7">(N81-G81)/G81</f>
        <v>-0.1333826221658922</v>
      </c>
    </row>
    <row r="82" spans="1:21" x14ac:dyDescent="0.25">
      <c r="A82" s="9" t="s">
        <v>77</v>
      </c>
      <c r="B82" s="9"/>
      <c r="C82" s="17">
        <v>1075.94</v>
      </c>
      <c r="D82" s="18">
        <v>38.960999999999999</v>
      </c>
      <c r="E82" s="18">
        <v>44.704999999999998</v>
      </c>
      <c r="F82" s="18">
        <v>46.332999999999998</v>
      </c>
      <c r="G82" s="18">
        <v>78.17</v>
      </c>
      <c r="H82" s="18">
        <f t="shared" si="5"/>
        <v>40.600499999999997</v>
      </c>
      <c r="I82" s="5"/>
      <c r="J82" s="17">
        <v>879.48929999999996</v>
      </c>
      <c r="K82" s="18">
        <v>41.948799999999999</v>
      </c>
      <c r="L82" s="18">
        <v>48.056399999999996</v>
      </c>
      <c r="M82" s="18">
        <v>49.049799999999998</v>
      </c>
      <c r="N82" s="18">
        <v>71.890699999999995</v>
      </c>
      <c r="O82" s="18">
        <f t="shared" si="6"/>
        <v>43.599874999999997</v>
      </c>
      <c r="P82" s="7"/>
      <c r="Q82" s="10"/>
      <c r="R82" s="11"/>
      <c r="S82" s="11"/>
      <c r="T82" s="26"/>
      <c r="U82" s="28">
        <f t="shared" si="7"/>
        <v>-8.0328770628118287E-2</v>
      </c>
    </row>
    <row r="83" spans="1:21" x14ac:dyDescent="0.25">
      <c r="B83" s="9"/>
      <c r="C83" s="17">
        <v>655.58</v>
      </c>
      <c r="D83" s="18">
        <v>35.781999999999996</v>
      </c>
      <c r="E83" s="18">
        <v>42.284999999999997</v>
      </c>
      <c r="F83" s="18">
        <v>44.844999999999999</v>
      </c>
      <c r="G83" s="18">
        <v>84.97</v>
      </c>
      <c r="H83" s="18">
        <f t="shared" si="5"/>
        <v>37.72775</v>
      </c>
      <c r="I83" s="5"/>
      <c r="J83" s="17">
        <v>545.35910000000001</v>
      </c>
      <c r="K83" s="18">
        <v>39.795099999999998</v>
      </c>
      <c r="L83" s="18">
        <v>46.178600000000003</v>
      </c>
      <c r="M83" s="18">
        <v>47.460299999999997</v>
      </c>
      <c r="N83" s="18">
        <v>89.029600000000002</v>
      </c>
      <c r="O83" s="18">
        <f t="shared" si="6"/>
        <v>41.551187500000005</v>
      </c>
      <c r="P83" s="7"/>
      <c r="Q83" s="10"/>
      <c r="R83" s="11"/>
      <c r="S83" s="11"/>
      <c r="T83" s="26"/>
      <c r="U83" s="28">
        <f t="shared" si="7"/>
        <v>4.7776862422031344E-2</v>
      </c>
    </row>
    <row r="84" spans="1:21" ht="16.5" thickBot="1" x14ac:dyDescent="0.3">
      <c r="B84" s="12"/>
      <c r="C84" s="19">
        <v>309.89</v>
      </c>
      <c r="D84" s="20">
        <v>31.052</v>
      </c>
      <c r="E84" s="20">
        <v>40.287999999999997</v>
      </c>
      <c r="F84" s="20">
        <v>42.761000000000003</v>
      </c>
      <c r="G84" s="20">
        <v>97.46</v>
      </c>
      <c r="H84" s="20">
        <f t="shared" si="5"/>
        <v>33.670125000000006</v>
      </c>
      <c r="I84" s="5"/>
      <c r="J84" s="19">
        <v>282.40550000000002</v>
      </c>
      <c r="K84" s="20">
        <v>36.8446</v>
      </c>
      <c r="L84" s="20">
        <v>44.142499999999998</v>
      </c>
      <c r="M84" s="20">
        <v>45.454900000000002</v>
      </c>
      <c r="N84" s="20">
        <v>118.3432</v>
      </c>
      <c r="O84" s="20">
        <f t="shared" si="6"/>
        <v>38.833125000000003</v>
      </c>
      <c r="P84" s="7"/>
      <c r="Q84" s="13"/>
      <c r="R84" s="14"/>
      <c r="S84" s="14"/>
      <c r="T84" s="27"/>
      <c r="U84" s="28">
        <f t="shared" si="7"/>
        <v>0.21427457418428078</v>
      </c>
    </row>
    <row r="85" spans="1:21" x14ac:dyDescent="0.25">
      <c r="B85" s="6" t="s">
        <v>101</v>
      </c>
      <c r="C85" s="15">
        <v>1995.46</v>
      </c>
      <c r="D85" s="16">
        <v>52.850999999999999</v>
      </c>
      <c r="E85" s="16">
        <v>53.143000000000001</v>
      </c>
      <c r="F85" s="16">
        <v>53.533999999999999</v>
      </c>
      <c r="G85" s="16">
        <v>124.6</v>
      </c>
      <c r="H85" s="16">
        <f t="shared" si="5"/>
        <v>52.972875000000002</v>
      </c>
      <c r="I85" s="5"/>
      <c r="J85" s="15">
        <v>1450.0807</v>
      </c>
      <c r="K85" s="16">
        <v>51.507899999999999</v>
      </c>
      <c r="L85" s="16">
        <v>52.500399999999999</v>
      </c>
      <c r="M85" s="16">
        <v>52.997700000000002</v>
      </c>
      <c r="N85" s="16">
        <v>98.114000000000004</v>
      </c>
      <c r="O85" s="16">
        <f t="shared" si="6"/>
        <v>51.818187500000001</v>
      </c>
      <c r="P85" s="7"/>
      <c r="Q85" s="8">
        <f>bdrate(C85:C88,D85:D88,J85:J88,K85:K88)</f>
        <v>-0.18874995250401239</v>
      </c>
      <c r="R85" s="8">
        <f>bdrate(C85:C88,E85:E88,J85:J88,L85:L88)</f>
        <v>-0.28008167111580362</v>
      </c>
      <c r="S85" s="8">
        <f>bdrate(C85:C88,F85:F88,J85:J88,M85:M88)</f>
        <v>-0.2827166027295438</v>
      </c>
      <c r="T85" s="25">
        <f>bdrate(C85:C88,H85:H88,J85:J88,O85:O88)</f>
        <v>-0.21190222442856377</v>
      </c>
      <c r="U85" s="28">
        <f t="shared" si="7"/>
        <v>-0.21256821829855529</v>
      </c>
    </row>
    <row r="86" spans="1:21" x14ac:dyDescent="0.25">
      <c r="B86" s="9"/>
      <c r="C86" s="17">
        <v>1333.17</v>
      </c>
      <c r="D86" s="18">
        <v>50.171999999999997</v>
      </c>
      <c r="E86" s="18">
        <v>50.634999999999998</v>
      </c>
      <c r="F86" s="18">
        <v>51.091000000000001</v>
      </c>
      <c r="G86" s="18">
        <v>119.44</v>
      </c>
      <c r="H86" s="18">
        <f t="shared" si="5"/>
        <v>50.344749999999998</v>
      </c>
      <c r="I86" s="5"/>
      <c r="J86" s="17">
        <v>976.32950000000005</v>
      </c>
      <c r="K86" s="18">
        <v>49.613100000000003</v>
      </c>
      <c r="L86" s="18">
        <v>50.7087</v>
      </c>
      <c r="M86" s="18">
        <v>51.253100000000003</v>
      </c>
      <c r="N86" s="18">
        <v>135.583</v>
      </c>
      <c r="O86" s="18">
        <f t="shared" si="6"/>
        <v>49.955050000000007</v>
      </c>
      <c r="P86" s="7"/>
      <c r="Q86" s="10"/>
      <c r="R86" s="11"/>
      <c r="S86" s="11"/>
      <c r="T86" s="26"/>
      <c r="U86" s="28">
        <f t="shared" si="7"/>
        <v>0.13515572672471535</v>
      </c>
    </row>
    <row r="87" spans="1:21" x14ac:dyDescent="0.25">
      <c r="B87" s="9"/>
      <c r="C87" s="17">
        <v>809.37</v>
      </c>
      <c r="D87" s="18">
        <v>47.081000000000003</v>
      </c>
      <c r="E87" s="18">
        <v>47.588999999999999</v>
      </c>
      <c r="F87" s="18">
        <v>48.183</v>
      </c>
      <c r="G87" s="18">
        <v>138.02000000000001</v>
      </c>
      <c r="H87" s="18">
        <f t="shared" si="5"/>
        <v>47.282249999999998</v>
      </c>
      <c r="I87" s="5"/>
      <c r="J87" s="17">
        <v>592.02679999999998</v>
      </c>
      <c r="K87" s="18">
        <v>46.379800000000003</v>
      </c>
      <c r="L87" s="18">
        <v>47.723500000000001</v>
      </c>
      <c r="M87" s="18">
        <v>48.2849</v>
      </c>
      <c r="N87" s="18">
        <v>157.20519999999999</v>
      </c>
      <c r="O87" s="18">
        <f t="shared" si="6"/>
        <v>46.785900000000005</v>
      </c>
      <c r="P87" s="7"/>
      <c r="Q87" s="10"/>
      <c r="R87" s="11"/>
      <c r="S87" s="11"/>
      <c r="T87" s="26"/>
      <c r="U87" s="28">
        <f t="shared" si="7"/>
        <v>0.13900304303724081</v>
      </c>
    </row>
    <row r="88" spans="1:21" ht="16.5" thickBot="1" x14ac:dyDescent="0.3">
      <c r="B88" s="12"/>
      <c r="C88" s="19">
        <v>382.66</v>
      </c>
      <c r="D88" s="20">
        <v>42.404000000000003</v>
      </c>
      <c r="E88" s="20">
        <v>43.276000000000003</v>
      </c>
      <c r="F88" s="20">
        <v>43.866</v>
      </c>
      <c r="G88" s="20">
        <v>147.55000000000001</v>
      </c>
      <c r="H88" s="20">
        <f t="shared" si="5"/>
        <v>42.695750000000004</v>
      </c>
      <c r="I88" s="5"/>
      <c r="J88" s="19">
        <v>299.8784</v>
      </c>
      <c r="K88" s="20">
        <v>42.425800000000002</v>
      </c>
      <c r="L88" s="20">
        <v>43.935600000000001</v>
      </c>
      <c r="M88" s="20">
        <v>44.562600000000003</v>
      </c>
      <c r="N88" s="20">
        <v>177.51480000000001</v>
      </c>
      <c r="O88" s="20">
        <f t="shared" si="6"/>
        <v>42.881625</v>
      </c>
      <c r="P88" s="7"/>
      <c r="Q88" s="13"/>
      <c r="R88" s="14"/>
      <c r="S88" s="14"/>
      <c r="T88" s="27"/>
      <c r="U88" s="28">
        <f t="shared" si="7"/>
        <v>0.2030823449678075</v>
      </c>
    </row>
    <row r="89" spans="1:21" x14ac:dyDescent="0.25">
      <c r="B89" s="6" t="s">
        <v>102</v>
      </c>
      <c r="C89" s="15">
        <v>2177.4699999999998</v>
      </c>
      <c r="D89" s="16">
        <v>42.386000000000003</v>
      </c>
      <c r="E89" s="16">
        <v>44.103999999999999</v>
      </c>
      <c r="F89" s="16">
        <v>44.786000000000001</v>
      </c>
      <c r="G89" s="16">
        <v>80.459999999999994</v>
      </c>
      <c r="H89" s="16">
        <f t="shared" si="5"/>
        <v>42.900750000000002</v>
      </c>
      <c r="I89" s="5"/>
      <c r="J89" s="15">
        <v>1492.1165000000001</v>
      </c>
      <c r="K89" s="16">
        <v>42.7438</v>
      </c>
      <c r="L89" s="16">
        <v>45.086300000000001</v>
      </c>
      <c r="M89" s="16">
        <v>45.512</v>
      </c>
      <c r="N89" s="16">
        <v>67.319900000000004</v>
      </c>
      <c r="O89" s="16">
        <f t="shared" si="6"/>
        <v>43.382637500000001</v>
      </c>
      <c r="P89" s="7"/>
      <c r="Q89" s="8">
        <f>bdrate(C89:C92,D89:D92,J89:J92,K89:K92)</f>
        <v>-0.44879899222375463</v>
      </c>
      <c r="R89" s="8">
        <f>bdrate(C89:C92,E89:E92,J89:J92,L89:L92)</f>
        <v>-0.4948357041989504</v>
      </c>
      <c r="S89" s="8">
        <f>bdrate(C89:C92,F89:F92,J89:J92,M89:M92)</f>
        <v>-0.45517063552112835</v>
      </c>
      <c r="T89" s="25">
        <f>bdrate(C89:C92,H89:H92,J89:J92,O89:O92)</f>
        <v>-0.45455020912818411</v>
      </c>
      <c r="U89" s="28">
        <f t="shared" si="7"/>
        <v>-0.16331220482227182</v>
      </c>
    </row>
    <row r="90" spans="1:21" x14ac:dyDescent="0.25">
      <c r="B90" s="9"/>
      <c r="C90" s="17">
        <v>1452.98</v>
      </c>
      <c r="D90" s="18">
        <v>39.85</v>
      </c>
      <c r="E90" s="18">
        <v>42.439</v>
      </c>
      <c r="F90" s="18">
        <v>43.154000000000003</v>
      </c>
      <c r="G90" s="18">
        <v>86.95</v>
      </c>
      <c r="H90" s="18">
        <f t="shared" si="5"/>
        <v>40.586625000000005</v>
      </c>
      <c r="I90" s="5"/>
      <c r="J90" s="17">
        <v>996.19849999999997</v>
      </c>
      <c r="K90" s="18">
        <v>40.787100000000002</v>
      </c>
      <c r="L90" s="18">
        <v>43.570099999999996</v>
      </c>
      <c r="M90" s="18">
        <v>43.997999999999998</v>
      </c>
      <c r="N90" s="18">
        <v>93.201499999999996</v>
      </c>
      <c r="O90" s="18">
        <f t="shared" si="6"/>
        <v>41.536337499999995</v>
      </c>
      <c r="P90" s="7"/>
      <c r="Q90" s="10"/>
      <c r="R90" s="11"/>
      <c r="S90" s="11"/>
      <c r="T90" s="26"/>
      <c r="U90" s="28">
        <f t="shared" si="7"/>
        <v>7.1897642323174152E-2</v>
      </c>
    </row>
    <row r="91" spans="1:21" x14ac:dyDescent="0.25">
      <c r="B91" s="9"/>
      <c r="C91" s="17">
        <v>884.44</v>
      </c>
      <c r="D91" s="18">
        <v>36.963000000000001</v>
      </c>
      <c r="E91" s="18">
        <v>40.61</v>
      </c>
      <c r="F91" s="18">
        <v>41.329000000000001</v>
      </c>
      <c r="G91" s="18">
        <v>93.43</v>
      </c>
      <c r="H91" s="18">
        <f t="shared" si="5"/>
        <v>37.964625000000005</v>
      </c>
      <c r="I91" s="5"/>
      <c r="J91" s="17">
        <v>598.95360000000005</v>
      </c>
      <c r="K91" s="18">
        <v>38.256300000000003</v>
      </c>
      <c r="L91" s="18">
        <v>41.760300000000001</v>
      </c>
      <c r="M91" s="18">
        <v>42.1935</v>
      </c>
      <c r="N91" s="18">
        <v>110.1996</v>
      </c>
      <c r="O91" s="18">
        <f t="shared" si="6"/>
        <v>39.186449999999994</v>
      </c>
      <c r="P91" s="7"/>
      <c r="Q91" s="10"/>
      <c r="R91" s="11"/>
      <c r="S91" s="11"/>
      <c r="T91" s="26"/>
      <c r="U91" s="28">
        <f t="shared" si="7"/>
        <v>0.17948838702772124</v>
      </c>
    </row>
    <row r="92" spans="1:21" ht="16.5" thickBot="1" x14ac:dyDescent="0.3">
      <c r="B92" s="12"/>
      <c r="C92" s="19">
        <v>422.61</v>
      </c>
      <c r="D92" s="20">
        <v>31.797999999999998</v>
      </c>
      <c r="E92" s="20">
        <v>38.088999999999999</v>
      </c>
      <c r="F92" s="20">
        <v>38.874000000000002</v>
      </c>
      <c r="G92" s="20">
        <v>102.11</v>
      </c>
      <c r="H92" s="20">
        <f t="shared" ref="H92:H124" si="8">(6*D92+E92+F92)/8</f>
        <v>33.468874999999997</v>
      </c>
      <c r="I92" s="5"/>
      <c r="J92" s="19">
        <v>299.65050000000002</v>
      </c>
      <c r="K92" s="20">
        <v>34.445700000000002</v>
      </c>
      <c r="L92" s="20">
        <v>39.090699999999998</v>
      </c>
      <c r="M92" s="20">
        <v>39.5884</v>
      </c>
      <c r="N92" s="20">
        <v>135.43</v>
      </c>
      <c r="O92" s="20">
        <f t="shared" ref="O92:O124" si="9">(6*K92+L92+M92)/8</f>
        <v>35.669162499999999</v>
      </c>
      <c r="P92" s="7"/>
      <c r="Q92" s="13"/>
      <c r="R92" s="14"/>
      <c r="S92" s="14"/>
      <c r="T92" s="27"/>
      <c r="U92" s="28">
        <f t="shared" ref="U92:U124" si="10">(N92-G92)/G92</f>
        <v>0.32631475859367354</v>
      </c>
    </row>
    <row r="93" spans="1:21" x14ac:dyDescent="0.25">
      <c r="B93" s="6" t="s">
        <v>103</v>
      </c>
      <c r="C93" s="29">
        <v>2056.19</v>
      </c>
      <c r="D93" s="30">
        <v>38.831000000000003</v>
      </c>
      <c r="E93" s="30">
        <v>43.152999999999999</v>
      </c>
      <c r="F93" s="30">
        <v>43.113999999999997</v>
      </c>
      <c r="G93" s="16">
        <v>65.52</v>
      </c>
      <c r="H93" s="16">
        <f t="shared" si="8"/>
        <v>39.906624999999998</v>
      </c>
      <c r="I93" s="5"/>
      <c r="J93" s="29">
        <v>1497.2303999999999</v>
      </c>
      <c r="K93" s="30">
        <v>39.035800000000002</v>
      </c>
      <c r="L93" s="30">
        <v>43.499299999999998</v>
      </c>
      <c r="M93" s="30">
        <v>43.509599999999999</v>
      </c>
      <c r="N93" s="16">
        <v>63.8185</v>
      </c>
      <c r="O93" s="16">
        <f t="shared" si="9"/>
        <v>40.152962500000001</v>
      </c>
      <c r="P93" s="7"/>
      <c r="Q93" s="8">
        <f>bdrate(C93:C96,D93:D96,J93:J96,K93:K96)</f>
        <v>-0.40390328580244117</v>
      </c>
      <c r="R93" s="8">
        <f>bdrate(C93:C96,E93:E96,J93:J96,L93:L96)</f>
        <v>-0.37532659126118961</v>
      </c>
      <c r="S93" s="8">
        <f>bdrate(C93:C96,F93:F96,J93:J96,M93:M96)</f>
        <v>-0.40337419665174135</v>
      </c>
      <c r="T93" s="25">
        <f>bdrate(C93:C96,H93:H96,J93:J96,O93:O96)</f>
        <v>-0.40272412937855218</v>
      </c>
      <c r="U93" s="28">
        <f t="shared" si="10"/>
        <v>-2.5969169719169658E-2</v>
      </c>
    </row>
    <row r="94" spans="1:21" x14ac:dyDescent="0.25">
      <c r="B94" s="9"/>
      <c r="C94" s="31">
        <v>1376.07</v>
      </c>
      <c r="D94" s="32">
        <v>36.603000000000002</v>
      </c>
      <c r="E94" s="32">
        <v>41.765999999999998</v>
      </c>
      <c r="F94" s="32">
        <v>41.66</v>
      </c>
      <c r="G94" s="18">
        <v>76.569999999999993</v>
      </c>
      <c r="H94" s="18">
        <f t="shared" si="8"/>
        <v>37.880499999999998</v>
      </c>
      <c r="I94" s="5"/>
      <c r="J94" s="31">
        <v>1000.9473</v>
      </c>
      <c r="K94" s="32">
        <v>37.204500000000003</v>
      </c>
      <c r="L94" s="32">
        <v>42.235900000000001</v>
      </c>
      <c r="M94" s="32">
        <v>42.220199999999998</v>
      </c>
      <c r="N94" s="18">
        <v>79.519300000000001</v>
      </c>
      <c r="O94" s="18">
        <f t="shared" si="9"/>
        <v>38.460387500000003</v>
      </c>
      <c r="P94" s="7"/>
      <c r="Q94" s="10"/>
      <c r="R94" s="11"/>
      <c r="S94" s="11"/>
      <c r="T94" s="26"/>
      <c r="U94" s="28">
        <f t="shared" si="10"/>
        <v>3.8517696225675961E-2</v>
      </c>
    </row>
    <row r="95" spans="1:21" x14ac:dyDescent="0.25">
      <c r="B95" s="9"/>
      <c r="C95" s="31">
        <v>840.41</v>
      </c>
      <c r="D95" s="32">
        <v>33.814999999999998</v>
      </c>
      <c r="E95" s="32">
        <v>40.253999999999998</v>
      </c>
      <c r="F95" s="32">
        <v>40.064</v>
      </c>
      <c r="G95" s="18">
        <v>83.85</v>
      </c>
      <c r="H95" s="18">
        <f t="shared" si="8"/>
        <v>35.400999999999996</v>
      </c>
      <c r="I95" s="5"/>
      <c r="J95" s="31">
        <v>600.63570000000004</v>
      </c>
      <c r="K95" s="32">
        <v>34.933399999999999</v>
      </c>
      <c r="L95" s="32">
        <v>40.6708</v>
      </c>
      <c r="M95" s="32">
        <v>40.707299999999996</v>
      </c>
      <c r="N95" s="18">
        <v>95.912999999999997</v>
      </c>
      <c r="O95" s="18">
        <f t="shared" si="9"/>
        <v>36.372312499999992</v>
      </c>
      <c r="P95" s="7"/>
      <c r="Q95" s="10"/>
      <c r="R95" s="11"/>
      <c r="S95" s="11"/>
      <c r="T95" s="26"/>
      <c r="U95" s="28">
        <f t="shared" si="10"/>
        <v>0.14386404293381042</v>
      </c>
    </row>
    <row r="96" spans="1:21" ht="16.5" thickBot="1" x14ac:dyDescent="0.3">
      <c r="B96" s="12"/>
      <c r="C96" s="33">
        <v>400.85</v>
      </c>
      <c r="D96" s="34">
        <v>29.248999999999999</v>
      </c>
      <c r="E96" s="34">
        <v>38.246000000000002</v>
      </c>
      <c r="F96" s="34">
        <v>38.079000000000001</v>
      </c>
      <c r="G96" s="20">
        <v>92.61</v>
      </c>
      <c r="H96" s="20">
        <f t="shared" si="8"/>
        <v>31.477375000000002</v>
      </c>
      <c r="I96" s="5"/>
      <c r="J96" s="33">
        <v>301.35430000000002</v>
      </c>
      <c r="K96" s="34">
        <v>31.894300000000001</v>
      </c>
      <c r="L96" s="34">
        <v>38.762900000000002</v>
      </c>
      <c r="M96" s="34">
        <v>38.667299999999997</v>
      </c>
      <c r="N96" s="20">
        <v>123.6688</v>
      </c>
      <c r="O96" s="20">
        <f t="shared" si="9"/>
        <v>33.599499999999999</v>
      </c>
      <c r="P96" s="7"/>
      <c r="Q96" s="13"/>
      <c r="R96" s="14"/>
      <c r="S96" s="14"/>
      <c r="T96" s="27"/>
      <c r="U96" s="28">
        <f t="shared" si="10"/>
        <v>0.33537199006586765</v>
      </c>
    </row>
    <row r="97" spans="2:21" x14ac:dyDescent="0.25">
      <c r="B97" s="6" t="s">
        <v>104</v>
      </c>
      <c r="C97" s="15">
        <v>2123.35</v>
      </c>
      <c r="D97" s="16">
        <v>37.134</v>
      </c>
      <c r="E97" s="16">
        <v>40.329000000000001</v>
      </c>
      <c r="F97" s="16">
        <v>40.883000000000003</v>
      </c>
      <c r="G97" s="16">
        <v>79.58</v>
      </c>
      <c r="H97" s="16">
        <f t="shared" si="8"/>
        <v>38.001999999999995</v>
      </c>
      <c r="I97" s="5"/>
      <c r="J97" s="15">
        <v>1501.104</v>
      </c>
      <c r="K97" s="16">
        <v>36.958599999999997</v>
      </c>
      <c r="L97" s="16">
        <v>41.437600000000003</v>
      </c>
      <c r="M97" s="16">
        <v>41.97</v>
      </c>
      <c r="N97" s="16">
        <v>68.274900000000002</v>
      </c>
      <c r="O97" s="16">
        <f t="shared" si="9"/>
        <v>38.144900000000007</v>
      </c>
      <c r="P97" s="7"/>
      <c r="Q97" s="8">
        <f>bdrate(C97:C100,D97:D100,J97:J100,K97:K100)</f>
        <v>-0.35065251965264754</v>
      </c>
      <c r="R97" s="8">
        <f>bdrate(C97:C100,E97:E100,J97:J100,L97:L100)</f>
        <v>-0.49715857337688751</v>
      </c>
      <c r="S97" s="8">
        <f>bdrate(C97:C100,F97:F100,J97:J100,M97:M100)</f>
        <v>-0.49606620948267577</v>
      </c>
      <c r="T97" s="25">
        <f>bdrate(C97:C100,H97:H100,J97:J100,O97:O100)</f>
        <v>-0.37748007023566865</v>
      </c>
      <c r="U97" s="28">
        <f t="shared" si="10"/>
        <v>-0.14205956270419698</v>
      </c>
    </row>
    <row r="98" spans="2:21" x14ac:dyDescent="0.25">
      <c r="B98" s="9"/>
      <c r="C98" s="17">
        <v>1417.56</v>
      </c>
      <c r="D98" s="18">
        <v>34.938000000000002</v>
      </c>
      <c r="E98" s="18">
        <v>38.911000000000001</v>
      </c>
      <c r="F98" s="18">
        <v>39.54</v>
      </c>
      <c r="G98" s="18">
        <v>79.959999999999994</v>
      </c>
      <c r="H98" s="18">
        <f t="shared" si="8"/>
        <v>36.009875000000001</v>
      </c>
      <c r="I98" s="5"/>
      <c r="J98" s="17">
        <v>1003.5619</v>
      </c>
      <c r="K98" s="18">
        <v>35.055599999999998</v>
      </c>
      <c r="L98" s="18">
        <v>40.040300000000002</v>
      </c>
      <c r="M98" s="18">
        <v>40.634999999999998</v>
      </c>
      <c r="N98" s="18">
        <v>79.575599999999994</v>
      </c>
      <c r="O98" s="18">
        <f t="shared" si="9"/>
        <v>36.376112499999998</v>
      </c>
      <c r="P98" s="7"/>
      <c r="Q98" s="10"/>
      <c r="R98" s="11"/>
      <c r="S98" s="11"/>
      <c r="T98" s="26"/>
      <c r="U98" s="28">
        <f t="shared" si="10"/>
        <v>-4.8074037018509186E-3</v>
      </c>
    </row>
    <row r="99" spans="2:21" x14ac:dyDescent="0.25">
      <c r="B99" s="9"/>
      <c r="C99" s="17">
        <v>861.2</v>
      </c>
      <c r="D99" s="18">
        <v>32.28</v>
      </c>
      <c r="E99" s="18">
        <v>37.375</v>
      </c>
      <c r="F99" s="18">
        <v>38.076000000000001</v>
      </c>
      <c r="G99" s="18">
        <v>91.94</v>
      </c>
      <c r="H99" s="18">
        <f t="shared" si="8"/>
        <v>33.641375000000004</v>
      </c>
      <c r="I99" s="5"/>
      <c r="J99" s="17">
        <v>602.41719999999998</v>
      </c>
      <c r="K99" s="18">
        <v>32.7455</v>
      </c>
      <c r="L99" s="18">
        <v>38.423299999999998</v>
      </c>
      <c r="M99" s="18">
        <v>39.064999999999998</v>
      </c>
      <c r="N99" s="18">
        <v>94.4238</v>
      </c>
      <c r="O99" s="18">
        <f t="shared" si="9"/>
        <v>34.245162499999999</v>
      </c>
      <c r="P99" s="7"/>
      <c r="Q99" s="10"/>
      <c r="R99" s="11"/>
      <c r="S99" s="11"/>
      <c r="T99" s="26"/>
      <c r="U99" s="28">
        <f t="shared" si="10"/>
        <v>2.7015444855340465E-2</v>
      </c>
    </row>
    <row r="100" spans="2:21" ht="16.5" thickBot="1" x14ac:dyDescent="0.3">
      <c r="B100" s="12"/>
      <c r="C100" s="19">
        <v>404.05</v>
      </c>
      <c r="D100" s="20">
        <v>27.861999999999998</v>
      </c>
      <c r="E100" s="20">
        <v>35.396000000000001</v>
      </c>
      <c r="F100" s="20">
        <v>36.164999999999999</v>
      </c>
      <c r="G100" s="20">
        <v>102.56</v>
      </c>
      <c r="H100" s="20">
        <f t="shared" si="8"/>
        <v>29.841624999999997</v>
      </c>
      <c r="I100" s="5"/>
      <c r="J100" s="19">
        <v>298.27120000000002</v>
      </c>
      <c r="K100" s="20">
        <v>29.479099999999999</v>
      </c>
      <c r="L100" s="20">
        <v>36.251100000000001</v>
      </c>
      <c r="M100" s="20">
        <v>36.978400000000001</v>
      </c>
      <c r="N100" s="20">
        <v>121.20399999999999</v>
      </c>
      <c r="O100" s="20">
        <f t="shared" si="9"/>
        <v>31.263012499999999</v>
      </c>
      <c r="P100" s="7"/>
      <c r="Q100" s="13"/>
      <c r="R100" s="14"/>
      <c r="S100" s="14"/>
      <c r="T100" s="27"/>
      <c r="U100" s="28">
        <f t="shared" si="10"/>
        <v>0.18178627145085793</v>
      </c>
    </row>
    <row r="101" spans="2:21" x14ac:dyDescent="0.25">
      <c r="B101" s="6" t="s">
        <v>105</v>
      </c>
      <c r="C101" s="15">
        <v>2124.35</v>
      </c>
      <c r="D101" s="16">
        <v>37.604999999999997</v>
      </c>
      <c r="E101" s="16">
        <v>42.658000000000001</v>
      </c>
      <c r="F101" s="16">
        <v>44.220999999999997</v>
      </c>
      <c r="G101" s="16">
        <v>65.900000000000006</v>
      </c>
      <c r="H101" s="16">
        <f t="shared" si="8"/>
        <v>39.063625000000002</v>
      </c>
      <c r="I101" s="5"/>
      <c r="J101" s="15">
        <v>1506.6112000000001</v>
      </c>
      <c r="K101" s="16">
        <v>37.189100000000003</v>
      </c>
      <c r="L101" s="16">
        <v>43.0501</v>
      </c>
      <c r="M101" s="16">
        <v>44.443899999999999</v>
      </c>
      <c r="N101" s="16">
        <v>65.115899999999996</v>
      </c>
      <c r="O101" s="16">
        <f t="shared" si="9"/>
        <v>38.828575000000001</v>
      </c>
      <c r="P101" s="7"/>
      <c r="Q101" s="8">
        <f>bdrate(C101:C104,D101:D104,J101:J104,K101:K104)</f>
        <v>-0.35882688622199921</v>
      </c>
      <c r="R101" s="8">
        <f>bdrate(C101:C104,E101:E104,J101:J104,L101:L104)</f>
        <v>-0.48515848743319157</v>
      </c>
      <c r="S101" s="8">
        <f>bdrate(C101:C104,F101:F104,J101:J104,M101:M104)</f>
        <v>-0.41595827299233368</v>
      </c>
      <c r="T101" s="25">
        <f>bdrate(C101:C104,H101:H104,J101:J104,O101:O104)</f>
        <v>-0.37544818932923607</v>
      </c>
      <c r="U101" s="28">
        <f t="shared" si="10"/>
        <v>-1.1898330804249003E-2</v>
      </c>
    </row>
    <row r="102" spans="2:21" x14ac:dyDescent="0.25">
      <c r="B102" s="9"/>
      <c r="C102" s="17">
        <v>1418.35</v>
      </c>
      <c r="D102" s="18">
        <v>35.755000000000003</v>
      </c>
      <c r="E102" s="18">
        <v>41.412999999999997</v>
      </c>
      <c r="F102" s="18">
        <v>42.991</v>
      </c>
      <c r="G102" s="18">
        <v>72.16</v>
      </c>
      <c r="H102" s="18">
        <f t="shared" si="8"/>
        <v>37.366750000000003</v>
      </c>
      <c r="I102" s="5"/>
      <c r="J102" s="17">
        <v>1006.7127</v>
      </c>
      <c r="K102" s="18">
        <v>35.811</v>
      </c>
      <c r="L102" s="18">
        <v>42.086300000000001</v>
      </c>
      <c r="M102" s="18">
        <v>43.381100000000004</v>
      </c>
      <c r="N102" s="18">
        <v>76.615300000000005</v>
      </c>
      <c r="O102" s="18">
        <f t="shared" si="9"/>
        <v>37.541674999999998</v>
      </c>
      <c r="P102" s="7"/>
      <c r="Q102" s="10"/>
      <c r="R102" s="11"/>
      <c r="S102" s="11"/>
      <c r="T102" s="26"/>
      <c r="U102" s="28">
        <f t="shared" si="10"/>
        <v>6.1741962305986817E-2</v>
      </c>
    </row>
    <row r="103" spans="2:21" x14ac:dyDescent="0.25">
      <c r="B103" s="9"/>
      <c r="C103" s="17">
        <v>863.17</v>
      </c>
      <c r="D103" s="18">
        <v>33.643999999999998</v>
      </c>
      <c r="E103" s="18">
        <v>40.064999999999998</v>
      </c>
      <c r="F103" s="18">
        <v>41.445999999999998</v>
      </c>
      <c r="G103" s="18">
        <v>80.010000000000005</v>
      </c>
      <c r="H103" s="18">
        <f t="shared" si="8"/>
        <v>35.421875</v>
      </c>
      <c r="I103" s="5"/>
      <c r="J103" s="17">
        <v>604.09490000000005</v>
      </c>
      <c r="K103" s="18">
        <v>34.142299999999999</v>
      </c>
      <c r="L103" s="18">
        <v>40.920099999999998</v>
      </c>
      <c r="M103" s="18">
        <v>42.028100000000002</v>
      </c>
      <c r="N103" s="18">
        <v>91.649699999999996</v>
      </c>
      <c r="O103" s="18">
        <f t="shared" si="9"/>
        <v>35.975249999999996</v>
      </c>
      <c r="P103" s="7"/>
      <c r="Q103" s="10"/>
      <c r="R103" s="11"/>
      <c r="S103" s="11"/>
      <c r="T103" s="26"/>
      <c r="U103" s="28">
        <f t="shared" si="10"/>
        <v>0.14547806524184465</v>
      </c>
    </row>
    <row r="104" spans="2:21" ht="16.5" thickBot="1" x14ac:dyDescent="0.3">
      <c r="B104" s="12"/>
      <c r="C104" s="19">
        <v>408.16</v>
      </c>
      <c r="D104" s="20">
        <v>30.850999999999999</v>
      </c>
      <c r="E104" s="20">
        <v>38.353000000000002</v>
      </c>
      <c r="F104" s="20">
        <v>39.396999999999998</v>
      </c>
      <c r="G104" s="20">
        <v>92.09</v>
      </c>
      <c r="H104" s="20">
        <f t="shared" si="8"/>
        <v>32.856999999999999</v>
      </c>
      <c r="I104" s="5"/>
      <c r="J104" s="19">
        <v>302.91370000000001</v>
      </c>
      <c r="K104" s="20">
        <v>32.097000000000001</v>
      </c>
      <c r="L104" s="20">
        <v>39.484099999999998</v>
      </c>
      <c r="M104" s="20">
        <v>40.381900000000002</v>
      </c>
      <c r="N104" s="20">
        <v>118.0947</v>
      </c>
      <c r="O104" s="20">
        <f t="shared" si="9"/>
        <v>34.055999999999997</v>
      </c>
      <c r="P104" s="7"/>
      <c r="Q104" s="13"/>
      <c r="R104" s="14"/>
      <c r="S104" s="14"/>
      <c r="T104" s="27"/>
      <c r="U104" s="28">
        <f t="shared" si="10"/>
        <v>0.28238353784341402</v>
      </c>
    </row>
    <row r="105" spans="2:21" x14ac:dyDescent="0.25">
      <c r="B105" s="6" t="s">
        <v>106</v>
      </c>
      <c r="C105" s="15">
        <v>2211.14</v>
      </c>
      <c r="D105" s="16">
        <v>46.975999999999999</v>
      </c>
      <c r="E105" s="16">
        <v>51.308</v>
      </c>
      <c r="F105" s="16">
        <v>52.465000000000003</v>
      </c>
      <c r="G105" s="16">
        <v>79.86</v>
      </c>
      <c r="H105" s="16">
        <f t="shared" si="8"/>
        <v>48.203625000000002</v>
      </c>
      <c r="I105" s="5"/>
      <c r="J105" s="15">
        <v>1500.4631999999999</v>
      </c>
      <c r="K105" s="16">
        <v>47.454500000000003</v>
      </c>
      <c r="L105" s="16">
        <v>52.731000000000002</v>
      </c>
      <c r="M105" s="16">
        <v>54.069299999999998</v>
      </c>
      <c r="N105" s="16">
        <v>80.362700000000004</v>
      </c>
      <c r="O105" s="16">
        <f t="shared" si="9"/>
        <v>48.940912500000003</v>
      </c>
      <c r="P105" s="7"/>
      <c r="Q105" s="8">
        <f>bdrate(C105:C108,D105:D108,J105:J108,K105:K108)</f>
        <v>-0.45982366106230588</v>
      </c>
      <c r="R105" s="8">
        <f>bdrate(C105:C108,E105:E108,J105:J108,L105:L108)</f>
        <v>-0.59178225980578369</v>
      </c>
      <c r="S105" s="8">
        <f>bdrate(C105:C108,F105:F108,J105:J108,M105:M108)</f>
        <v>-0.59806332624903313</v>
      </c>
      <c r="T105" s="25">
        <f>bdrate(C105:C108,H105:H108,J105:J108,O105:O108)</f>
        <v>-0.49721239937177975</v>
      </c>
      <c r="U105" s="28">
        <f t="shared" si="10"/>
        <v>6.29476584022044E-3</v>
      </c>
    </row>
    <row r="106" spans="2:21" x14ac:dyDescent="0.25">
      <c r="B106" s="9"/>
      <c r="C106" s="17">
        <v>1469.93</v>
      </c>
      <c r="D106" s="18">
        <v>44.402999999999999</v>
      </c>
      <c r="E106" s="18">
        <v>48.865000000000002</v>
      </c>
      <c r="F106" s="18">
        <v>50.176000000000002</v>
      </c>
      <c r="G106" s="18">
        <v>90.17</v>
      </c>
      <c r="H106" s="18">
        <f t="shared" si="8"/>
        <v>45.682375</v>
      </c>
      <c r="I106" s="5"/>
      <c r="J106" s="17">
        <v>1001.8679</v>
      </c>
      <c r="K106" s="18">
        <v>45.643900000000002</v>
      </c>
      <c r="L106" s="18">
        <v>51.103000000000002</v>
      </c>
      <c r="M106" s="18">
        <v>52.455100000000002</v>
      </c>
      <c r="N106" s="18">
        <v>96.424899999999994</v>
      </c>
      <c r="O106" s="18">
        <f t="shared" si="9"/>
        <v>47.177687500000005</v>
      </c>
      <c r="P106" s="7"/>
      <c r="Q106" s="10"/>
      <c r="R106" s="11"/>
      <c r="S106" s="11"/>
      <c r="T106" s="26"/>
      <c r="U106" s="28">
        <f t="shared" si="10"/>
        <v>6.9367860707552312E-2</v>
      </c>
    </row>
    <row r="107" spans="2:21" x14ac:dyDescent="0.25">
      <c r="B107" s="9"/>
      <c r="C107" s="17">
        <v>891.28</v>
      </c>
      <c r="D107" s="18">
        <v>42.151000000000003</v>
      </c>
      <c r="E107" s="18">
        <v>46.682000000000002</v>
      </c>
      <c r="F107" s="18">
        <v>48.048999999999999</v>
      </c>
      <c r="G107" s="18">
        <v>104.56</v>
      </c>
      <c r="H107" s="18">
        <f t="shared" si="8"/>
        <v>43.454625</v>
      </c>
      <c r="I107" s="5"/>
      <c r="J107" s="17">
        <v>601.41189999999995</v>
      </c>
      <c r="K107" s="18">
        <v>43.317500000000003</v>
      </c>
      <c r="L107" s="18">
        <v>48.994100000000003</v>
      </c>
      <c r="M107" s="18">
        <v>50.347200000000001</v>
      </c>
      <c r="N107" s="18">
        <v>116.7197</v>
      </c>
      <c r="O107" s="18">
        <f t="shared" si="9"/>
        <v>44.905787500000002</v>
      </c>
      <c r="P107" s="7"/>
      <c r="Q107" s="10"/>
      <c r="R107" s="11"/>
      <c r="S107" s="11"/>
      <c r="T107" s="26"/>
      <c r="U107" s="28">
        <f t="shared" si="10"/>
        <v>0.11629399387911248</v>
      </c>
    </row>
    <row r="108" spans="2:21" ht="16.5" thickBot="1" x14ac:dyDescent="0.3">
      <c r="B108" s="12"/>
      <c r="C108" s="19">
        <v>426.32</v>
      </c>
      <c r="D108" s="20">
        <v>39.700000000000003</v>
      </c>
      <c r="E108" s="20">
        <v>43.896000000000001</v>
      </c>
      <c r="F108" s="20">
        <v>45.305999999999997</v>
      </c>
      <c r="G108" s="20">
        <v>115.44</v>
      </c>
      <c r="H108" s="20">
        <f t="shared" si="8"/>
        <v>40.925249999999998</v>
      </c>
      <c r="I108" s="5"/>
      <c r="J108" s="19">
        <v>301.69240000000002</v>
      </c>
      <c r="K108" s="20">
        <v>40.197000000000003</v>
      </c>
      <c r="L108" s="20">
        <v>46.045000000000002</v>
      </c>
      <c r="M108" s="20">
        <v>47.433</v>
      </c>
      <c r="N108" s="20">
        <v>146.1532</v>
      </c>
      <c r="O108" s="20">
        <f t="shared" si="9"/>
        <v>41.832500000000003</v>
      </c>
      <c r="P108" s="7"/>
      <c r="Q108" s="13"/>
      <c r="R108" s="14"/>
      <c r="S108" s="14"/>
      <c r="T108" s="27"/>
      <c r="U108" s="28">
        <f t="shared" si="10"/>
        <v>0.26605336105336108</v>
      </c>
    </row>
    <row r="109" spans="2:21" x14ac:dyDescent="0.25">
      <c r="B109" s="6" t="s">
        <v>107</v>
      </c>
      <c r="C109" s="15">
        <v>2050.1999999999998</v>
      </c>
      <c r="D109" s="16">
        <v>31.462</v>
      </c>
      <c r="E109" s="16">
        <v>39.835000000000001</v>
      </c>
      <c r="F109" s="16">
        <v>39.173000000000002</v>
      </c>
      <c r="G109" s="16">
        <v>60.76</v>
      </c>
      <c r="H109" s="16">
        <f t="shared" si="8"/>
        <v>33.472499999999997</v>
      </c>
      <c r="I109" s="5"/>
      <c r="J109" s="15">
        <v>1496.6615999999999</v>
      </c>
      <c r="K109" s="16">
        <v>32.0002</v>
      </c>
      <c r="L109" s="16">
        <v>40.169199999999996</v>
      </c>
      <c r="M109" s="16">
        <v>39.538499999999999</v>
      </c>
      <c r="N109" s="16">
        <v>49.457299999999996</v>
      </c>
      <c r="O109" s="16">
        <f t="shared" si="9"/>
        <v>33.963612499999996</v>
      </c>
      <c r="P109" s="7"/>
      <c r="Q109" s="8">
        <f>bdrate(C109:C112,D109:D112,J109:J112,K109:K112)</f>
        <v>-0.45000857310481979</v>
      </c>
      <c r="R109" s="8">
        <f>bdrate(C109:C112,E109:E112,J109:J112,L109:L112)</f>
        <v>-0.37282319137021025</v>
      </c>
      <c r="S109" s="8">
        <f>bdrate(C109:C112,F109:F112,J109:J112,M109:M112)</f>
        <v>-0.35547051973536536</v>
      </c>
      <c r="T109" s="25">
        <f>bdrate(C109:C112,H109:H112,J109:J112,O109:O112)</f>
        <v>-0.43925329161705307</v>
      </c>
      <c r="U109" s="28">
        <f t="shared" si="10"/>
        <v>-0.18602205398288352</v>
      </c>
    </row>
    <row r="110" spans="2:21" x14ac:dyDescent="0.25">
      <c r="B110" s="9"/>
      <c r="C110" s="17">
        <v>1365.42</v>
      </c>
      <c r="D110" s="18">
        <v>29.295999999999999</v>
      </c>
      <c r="E110" s="18">
        <v>38.802999999999997</v>
      </c>
      <c r="F110" s="18">
        <v>38.179000000000002</v>
      </c>
      <c r="G110" s="18">
        <v>66.58</v>
      </c>
      <c r="H110" s="18">
        <f t="shared" si="8"/>
        <v>31.594750000000001</v>
      </c>
      <c r="I110" s="5"/>
      <c r="J110" s="17">
        <v>996.12189999999998</v>
      </c>
      <c r="K110" s="18">
        <v>30.224599999999999</v>
      </c>
      <c r="L110" s="18">
        <v>39.198900000000002</v>
      </c>
      <c r="M110" s="18">
        <v>38.531999999999996</v>
      </c>
      <c r="N110" s="18">
        <v>57.405299999999997</v>
      </c>
      <c r="O110" s="18">
        <f t="shared" si="9"/>
        <v>32.384812500000002</v>
      </c>
      <c r="P110" s="7"/>
      <c r="Q110" s="10"/>
      <c r="R110" s="11"/>
      <c r="S110" s="11"/>
      <c r="T110" s="26"/>
      <c r="U110" s="28">
        <f t="shared" si="10"/>
        <v>-0.13779963953139082</v>
      </c>
    </row>
    <row r="111" spans="2:21" x14ac:dyDescent="0.25">
      <c r="B111" s="9"/>
      <c r="C111" s="17">
        <v>830.07</v>
      </c>
      <c r="D111" s="18">
        <v>26.457999999999998</v>
      </c>
      <c r="E111" s="18">
        <v>37.642000000000003</v>
      </c>
      <c r="F111" s="18">
        <v>37.021000000000001</v>
      </c>
      <c r="G111" s="18">
        <v>73.489999999999995</v>
      </c>
      <c r="H111" s="18">
        <f t="shared" si="8"/>
        <v>29.176375</v>
      </c>
      <c r="I111" s="5"/>
      <c r="J111" s="17">
        <v>597.71310000000005</v>
      </c>
      <c r="K111" s="18">
        <v>28.037800000000001</v>
      </c>
      <c r="L111" s="18">
        <v>37.933900000000001</v>
      </c>
      <c r="M111" s="18">
        <v>37.192500000000003</v>
      </c>
      <c r="N111" s="18">
        <v>71.667500000000004</v>
      </c>
      <c r="O111" s="18">
        <f t="shared" si="9"/>
        <v>30.419149999999998</v>
      </c>
      <c r="P111" s="7"/>
      <c r="Q111" s="10"/>
      <c r="R111" s="11"/>
      <c r="S111" s="11"/>
      <c r="T111" s="26"/>
      <c r="U111" s="28">
        <f t="shared" si="10"/>
        <v>-2.4799292420737393E-2</v>
      </c>
    </row>
    <row r="112" spans="2:21" ht="16.5" thickBot="1" x14ac:dyDescent="0.3">
      <c r="B112" s="12"/>
      <c r="C112" s="19">
        <v>385.24</v>
      </c>
      <c r="D112" s="20">
        <v>21.971</v>
      </c>
      <c r="E112" s="20">
        <v>33.65</v>
      </c>
      <c r="F112" s="20">
        <v>33.103999999999999</v>
      </c>
      <c r="G112" s="20">
        <v>84.16</v>
      </c>
      <c r="H112" s="20">
        <f t="shared" si="8"/>
        <v>24.822499999999998</v>
      </c>
      <c r="I112" s="5"/>
      <c r="J112" s="19">
        <v>299.06670000000003</v>
      </c>
      <c r="K112" s="20">
        <v>25.2727</v>
      </c>
      <c r="L112" s="20">
        <v>35.665799999999997</v>
      </c>
      <c r="M112" s="20">
        <v>35.048099999999998</v>
      </c>
      <c r="N112" s="20">
        <v>102.1103</v>
      </c>
      <c r="O112" s="20">
        <f t="shared" si="9"/>
        <v>27.7937625</v>
      </c>
      <c r="P112" s="7"/>
      <c r="Q112" s="13"/>
      <c r="R112" s="14"/>
      <c r="S112" s="14"/>
      <c r="T112" s="27"/>
      <c r="U112" s="28">
        <f t="shared" si="10"/>
        <v>0.21328778517110267</v>
      </c>
    </row>
    <row r="113" spans="2:21" x14ac:dyDescent="0.25">
      <c r="B113" s="6" t="s">
        <v>108</v>
      </c>
      <c r="C113" s="15">
        <v>2347.94</v>
      </c>
      <c r="D113" s="16">
        <v>46.12</v>
      </c>
      <c r="E113" s="16">
        <v>46.585999999999999</v>
      </c>
      <c r="F113" s="16">
        <v>46.307000000000002</v>
      </c>
      <c r="G113" s="16">
        <v>81.599999999999994</v>
      </c>
      <c r="H113" s="16">
        <f t="shared" si="8"/>
        <v>46.201625</v>
      </c>
      <c r="I113" s="5"/>
      <c r="J113" s="15">
        <v>1426.7881</v>
      </c>
      <c r="K113" s="16">
        <v>45.045099999999998</v>
      </c>
      <c r="L113" s="16">
        <v>46.120600000000003</v>
      </c>
      <c r="M113" s="16">
        <v>46.0259</v>
      </c>
      <c r="N113" s="16">
        <v>71.713099999999997</v>
      </c>
      <c r="O113" s="16">
        <f t="shared" si="9"/>
        <v>45.302137500000001</v>
      </c>
      <c r="P113" s="7"/>
      <c r="Q113" s="8">
        <f>bdrate(C113:C116,D113:D116,J113:J116,K113:K116)</f>
        <v>-0.3355121652337637</v>
      </c>
      <c r="R113" s="8">
        <f>bdrate(C113:C116,E113:E116,J113:J116,L113:L116)</f>
        <v>-0.3719975611484424</v>
      </c>
      <c r="S113" s="8">
        <f>bdrate(C113:C116,F113:F116,J113:J116,M113:M116)</f>
        <v>-0.3972329795585926</v>
      </c>
      <c r="T113" s="25">
        <f>bdrate(C113:C116,H113:H116,J113:J116,O113:O116)</f>
        <v>-0.34610803942902491</v>
      </c>
      <c r="U113" s="28">
        <f t="shared" si="10"/>
        <v>-0.1211629901960784</v>
      </c>
    </row>
    <row r="114" spans="2:21" x14ac:dyDescent="0.25">
      <c r="B114" s="9"/>
      <c r="C114" s="17">
        <v>1559.99</v>
      </c>
      <c r="D114" s="18">
        <v>43.838999999999999</v>
      </c>
      <c r="E114" s="18">
        <v>44.581000000000003</v>
      </c>
      <c r="F114" s="18">
        <v>44.262999999999998</v>
      </c>
      <c r="G114" s="18">
        <v>90.57</v>
      </c>
      <c r="H114" s="18">
        <f t="shared" si="8"/>
        <v>43.984749999999998</v>
      </c>
      <c r="I114" s="5"/>
      <c r="J114" s="17">
        <v>965.39189999999996</v>
      </c>
      <c r="K114" s="18">
        <v>43.239400000000003</v>
      </c>
      <c r="L114" s="18">
        <v>44.613199999999999</v>
      </c>
      <c r="M114" s="18">
        <v>44.491100000000003</v>
      </c>
      <c r="N114" s="18">
        <v>90.004499999999993</v>
      </c>
      <c r="O114" s="18">
        <f t="shared" si="9"/>
        <v>43.567587500000009</v>
      </c>
      <c r="P114" s="7"/>
      <c r="Q114" s="10"/>
      <c r="R114" s="11"/>
      <c r="S114" s="11"/>
      <c r="T114" s="26"/>
      <c r="U114" s="28">
        <f t="shared" si="10"/>
        <v>-6.2437893342166297E-3</v>
      </c>
    </row>
    <row r="115" spans="2:21" x14ac:dyDescent="0.25">
      <c r="B115" s="9"/>
      <c r="C115" s="17">
        <v>943.8</v>
      </c>
      <c r="D115" s="18">
        <v>40.732999999999997</v>
      </c>
      <c r="E115" s="18">
        <v>42.113999999999997</v>
      </c>
      <c r="F115" s="18">
        <v>41.726999999999997</v>
      </c>
      <c r="G115" s="18">
        <v>97.7</v>
      </c>
      <c r="H115" s="18">
        <f t="shared" si="8"/>
        <v>41.02987499999999</v>
      </c>
      <c r="I115" s="5"/>
      <c r="J115" s="17">
        <v>588.9828</v>
      </c>
      <c r="K115" s="18">
        <v>40.255200000000002</v>
      </c>
      <c r="L115" s="18">
        <v>42.058300000000003</v>
      </c>
      <c r="M115" s="18">
        <v>41.893999999999998</v>
      </c>
      <c r="N115" s="18">
        <v>111.05629999999999</v>
      </c>
      <c r="O115" s="18">
        <f t="shared" si="9"/>
        <v>40.685437500000006</v>
      </c>
      <c r="P115" s="7"/>
      <c r="Q115" s="10"/>
      <c r="R115" s="11"/>
      <c r="S115" s="11"/>
      <c r="T115" s="26"/>
      <c r="U115" s="28">
        <f t="shared" si="10"/>
        <v>0.13670726714431924</v>
      </c>
    </row>
    <row r="116" spans="2:21" ht="16.5" thickBot="1" x14ac:dyDescent="0.3">
      <c r="B116" s="12"/>
      <c r="C116" s="19">
        <v>436.89</v>
      </c>
      <c r="D116" s="20">
        <v>34.939</v>
      </c>
      <c r="E116" s="20">
        <v>38.234000000000002</v>
      </c>
      <c r="F116" s="20">
        <v>37.840000000000003</v>
      </c>
      <c r="G116" s="20">
        <v>106.84</v>
      </c>
      <c r="H116" s="20">
        <f t="shared" si="8"/>
        <v>35.713500000000003</v>
      </c>
      <c r="I116" s="5"/>
      <c r="J116" s="19">
        <v>295.0856</v>
      </c>
      <c r="K116" s="20">
        <v>35.911499999999997</v>
      </c>
      <c r="L116" s="20">
        <v>38.628700000000002</v>
      </c>
      <c r="M116" s="20">
        <v>38.411299999999997</v>
      </c>
      <c r="N116" s="20">
        <v>137.0384</v>
      </c>
      <c r="O116" s="20">
        <f t="shared" si="9"/>
        <v>36.563625000000002</v>
      </c>
      <c r="P116" s="7"/>
      <c r="Q116" s="13"/>
      <c r="R116" s="14"/>
      <c r="S116" s="14"/>
      <c r="T116" s="27"/>
      <c r="U116" s="28">
        <f t="shared" si="10"/>
        <v>0.28265069262448511</v>
      </c>
    </row>
    <row r="117" spans="2:21" x14ac:dyDescent="0.25">
      <c r="B117" s="6" t="s">
        <v>109</v>
      </c>
      <c r="C117" s="15">
        <v>2789.08</v>
      </c>
      <c r="D117" s="16">
        <v>47.192999999999998</v>
      </c>
      <c r="E117" s="16">
        <v>48.585999999999999</v>
      </c>
      <c r="F117" s="16">
        <v>48.808999999999997</v>
      </c>
      <c r="G117" s="16">
        <v>86.89</v>
      </c>
      <c r="H117" s="16">
        <f t="shared" si="8"/>
        <v>47.569125</v>
      </c>
      <c r="I117" s="5"/>
      <c r="J117" s="15">
        <v>1396.9183</v>
      </c>
      <c r="K117" s="16">
        <v>45.549199999999999</v>
      </c>
      <c r="L117" s="16">
        <v>47.799199999999999</v>
      </c>
      <c r="M117" s="16">
        <v>48.039299999999997</v>
      </c>
      <c r="N117" s="16">
        <v>67.242000000000004</v>
      </c>
      <c r="O117" s="16">
        <f t="shared" si="9"/>
        <v>46.141712499999997</v>
      </c>
      <c r="P117" s="7"/>
      <c r="Q117" s="8">
        <f>bdrate(C117:C120,D117:D120,J117:J120,K117:K120)</f>
        <v>-0.39911389591336077</v>
      </c>
      <c r="R117" s="8">
        <f>bdrate(C117:C120,E117:E120,J117:J120,L117:L120)</f>
        <v>-0.45007358649652929</v>
      </c>
      <c r="S117" s="8">
        <f>bdrate(C117:C120,F117:F120,J117:J120,M117:M120)</f>
        <v>-0.4549880120304437</v>
      </c>
      <c r="T117" s="25">
        <f>bdrate(C117:C120,H117:H120,J117:J120,O117:O120)</f>
        <v>-0.4111124294525641</v>
      </c>
      <c r="U117" s="28">
        <f t="shared" si="10"/>
        <v>-0.22612498561399466</v>
      </c>
    </row>
    <row r="118" spans="2:21" x14ac:dyDescent="0.25">
      <c r="B118" s="9"/>
      <c r="C118" s="17">
        <v>1842.82</v>
      </c>
      <c r="D118" s="18">
        <v>44.503</v>
      </c>
      <c r="E118" s="18">
        <v>46.255000000000003</v>
      </c>
      <c r="F118" s="18">
        <v>46.481999999999999</v>
      </c>
      <c r="G118" s="18">
        <v>97.29</v>
      </c>
      <c r="H118" s="18">
        <f t="shared" si="8"/>
        <v>44.969374999999999</v>
      </c>
      <c r="I118" s="5"/>
      <c r="J118" s="17">
        <v>972.96010000000001</v>
      </c>
      <c r="K118" s="18">
        <v>43.9392</v>
      </c>
      <c r="L118" s="18">
        <v>46.417000000000002</v>
      </c>
      <c r="M118" s="18">
        <v>46.653500000000001</v>
      </c>
      <c r="N118" s="18">
        <v>75.465400000000002</v>
      </c>
      <c r="O118" s="18">
        <f t="shared" si="9"/>
        <v>44.588212499999997</v>
      </c>
      <c r="P118" s="7"/>
      <c r="Q118" s="10"/>
      <c r="R118" s="11"/>
      <c r="S118" s="11"/>
      <c r="T118" s="26"/>
      <c r="U118" s="28">
        <f t="shared" si="10"/>
        <v>-0.22432521327988492</v>
      </c>
    </row>
    <row r="119" spans="2:21" x14ac:dyDescent="0.25">
      <c r="B119" s="9"/>
      <c r="C119" s="17">
        <v>1105.9000000000001</v>
      </c>
      <c r="D119" s="18">
        <v>41.652999999999999</v>
      </c>
      <c r="E119" s="18">
        <v>43.911000000000001</v>
      </c>
      <c r="F119" s="18">
        <v>44.125999999999998</v>
      </c>
      <c r="G119" s="18">
        <v>108.04</v>
      </c>
      <c r="H119" s="18">
        <f t="shared" si="8"/>
        <v>42.244374999999998</v>
      </c>
      <c r="I119" s="5"/>
      <c r="J119" s="17">
        <v>630.25549999999998</v>
      </c>
      <c r="K119" s="18">
        <v>41.457999999999998</v>
      </c>
      <c r="L119" s="18">
        <v>44.203699999999998</v>
      </c>
      <c r="M119" s="18">
        <v>44.496099999999998</v>
      </c>
      <c r="N119" s="18">
        <v>87.877799999999993</v>
      </c>
      <c r="O119" s="18">
        <f t="shared" si="9"/>
        <v>42.180974999999997</v>
      </c>
      <c r="P119" s="7"/>
      <c r="Q119" s="10"/>
      <c r="R119" s="11"/>
      <c r="S119" s="11"/>
      <c r="T119" s="26"/>
      <c r="U119" s="28">
        <f t="shared" si="10"/>
        <v>-0.18661791928915228</v>
      </c>
    </row>
    <row r="120" spans="2:21" ht="16.5" thickBot="1" x14ac:dyDescent="0.3">
      <c r="B120" s="12"/>
      <c r="C120" s="19">
        <v>518.85</v>
      </c>
      <c r="D120" s="20">
        <v>37.094999999999999</v>
      </c>
      <c r="E120" s="20">
        <v>40.326999999999998</v>
      </c>
      <c r="F120" s="20">
        <v>40.573</v>
      </c>
      <c r="G120" s="20">
        <v>121.58</v>
      </c>
      <c r="H120" s="20">
        <f t="shared" si="8"/>
        <v>37.933749999999996</v>
      </c>
      <c r="I120" s="5"/>
      <c r="J120" s="19">
        <v>343.34030000000001</v>
      </c>
      <c r="K120" s="20">
        <v>37.286000000000001</v>
      </c>
      <c r="L120" s="20">
        <v>40.5351</v>
      </c>
      <c r="M120" s="20">
        <v>40.788600000000002</v>
      </c>
      <c r="N120" s="20">
        <v>135.7466</v>
      </c>
      <c r="O120" s="20">
        <f t="shared" si="9"/>
        <v>38.129962500000005</v>
      </c>
      <c r="P120" s="7"/>
      <c r="Q120" s="13"/>
      <c r="R120" s="14"/>
      <c r="S120" s="14"/>
      <c r="T120" s="27"/>
      <c r="U120" s="28">
        <f t="shared" si="10"/>
        <v>0.11652080934364206</v>
      </c>
    </row>
    <row r="121" spans="2:21" x14ac:dyDescent="0.25">
      <c r="B121" s="6" t="s">
        <v>110</v>
      </c>
      <c r="C121" s="29">
        <v>2133.66</v>
      </c>
      <c r="D121" s="30">
        <v>32.844999999999999</v>
      </c>
      <c r="E121" s="30">
        <v>36.453000000000003</v>
      </c>
      <c r="F121" s="30">
        <v>35.447000000000003</v>
      </c>
      <c r="G121" s="16">
        <v>71.66</v>
      </c>
      <c r="H121" s="16">
        <f t="shared" si="8"/>
        <v>33.621250000000003</v>
      </c>
      <c r="I121" s="5"/>
      <c r="J121" s="29">
        <v>1504.8884</v>
      </c>
      <c r="K121" s="30">
        <v>32.379899999999999</v>
      </c>
      <c r="L121" s="30">
        <v>36.547199999999997</v>
      </c>
      <c r="M121" s="30">
        <v>35.4544</v>
      </c>
      <c r="N121" s="16">
        <v>59.111400000000003</v>
      </c>
      <c r="O121" s="16">
        <f t="shared" si="9"/>
        <v>33.285125000000001</v>
      </c>
      <c r="P121" s="7"/>
      <c r="Q121" s="8">
        <f>bdrate(C121:C124,D121:D124,J121:J124,K121:K124)</f>
        <v>-0.34005734432646928</v>
      </c>
      <c r="R121" s="8">
        <f>bdrate(C121:C124,E121:E124,J121:J124,L121:L124)</f>
        <v>-0.31532871036476706</v>
      </c>
      <c r="S121" s="8">
        <f>bdrate(C121:C124,F121:F124,J121:J124,M121:M124)</f>
        <v>-0.27327950496198483</v>
      </c>
      <c r="T121" s="25">
        <f>bdrate(C121:C124,H121:H124,J121:J124,O121:O124)</f>
        <v>-0.33517297117255829</v>
      </c>
      <c r="U121" s="28">
        <f t="shared" si="10"/>
        <v>-0.17511303377058324</v>
      </c>
    </row>
    <row r="122" spans="2:21" x14ac:dyDescent="0.25">
      <c r="B122" s="9"/>
      <c r="C122" s="31">
        <v>1412.33</v>
      </c>
      <c r="D122" s="32">
        <v>30.606000000000002</v>
      </c>
      <c r="E122" s="32">
        <v>35.356999999999999</v>
      </c>
      <c r="F122" s="32">
        <v>34.307000000000002</v>
      </c>
      <c r="G122" s="18">
        <v>79.680000000000007</v>
      </c>
      <c r="H122" s="18">
        <f t="shared" si="8"/>
        <v>31.662500000000001</v>
      </c>
      <c r="I122" s="5"/>
      <c r="J122" s="31">
        <v>1003.1686999999999</v>
      </c>
      <c r="K122" s="32">
        <v>30.5029</v>
      </c>
      <c r="L122" s="32">
        <v>35.512099999999997</v>
      </c>
      <c r="M122" s="32">
        <v>34.356699999999996</v>
      </c>
      <c r="N122" s="18">
        <v>65.559399999999997</v>
      </c>
      <c r="O122" s="18">
        <f t="shared" si="9"/>
        <v>31.610775</v>
      </c>
      <c r="P122" s="7"/>
      <c r="Q122" s="10"/>
      <c r="R122" s="11"/>
      <c r="S122" s="11"/>
      <c r="T122" s="26"/>
      <c r="U122" s="28">
        <f t="shared" si="10"/>
        <v>-0.17721636546184749</v>
      </c>
    </row>
    <row r="123" spans="2:21" x14ac:dyDescent="0.25">
      <c r="B123" s="9"/>
      <c r="C123" s="31">
        <v>848.44</v>
      </c>
      <c r="D123" s="32">
        <v>27.806999999999999</v>
      </c>
      <c r="E123" s="32">
        <v>34.279000000000003</v>
      </c>
      <c r="F123" s="32">
        <v>33.213000000000001</v>
      </c>
      <c r="G123" s="18">
        <v>87.28</v>
      </c>
      <c r="H123" s="18">
        <f t="shared" si="8"/>
        <v>29.291749999999997</v>
      </c>
      <c r="I123" s="5"/>
      <c r="J123" s="31">
        <v>604.08360000000005</v>
      </c>
      <c r="K123" s="32">
        <v>28.3383</v>
      </c>
      <c r="L123" s="32">
        <v>34.282400000000003</v>
      </c>
      <c r="M123" s="32">
        <v>33.036200000000001</v>
      </c>
      <c r="N123" s="18">
        <v>88.010999999999996</v>
      </c>
      <c r="O123" s="18">
        <f t="shared" si="9"/>
        <v>29.66855</v>
      </c>
      <c r="P123" s="7"/>
      <c r="Q123" s="10"/>
      <c r="R123" s="11"/>
      <c r="S123" s="11"/>
      <c r="T123" s="26"/>
      <c r="U123" s="28">
        <f t="shared" si="10"/>
        <v>8.3753437213564905E-3</v>
      </c>
    </row>
    <row r="124" spans="2:21" ht="16.5" thickBot="1" x14ac:dyDescent="0.3">
      <c r="B124" s="12"/>
      <c r="C124" s="33">
        <v>384.66</v>
      </c>
      <c r="D124" s="34">
        <v>23.35</v>
      </c>
      <c r="E124" s="34">
        <v>31.812999999999999</v>
      </c>
      <c r="F124" s="34">
        <v>30.623000000000001</v>
      </c>
      <c r="G124" s="20">
        <v>98.71</v>
      </c>
      <c r="H124" s="20">
        <f t="shared" si="8"/>
        <v>25.317</v>
      </c>
      <c r="I124" s="5"/>
      <c r="J124" s="33">
        <v>303.32279999999997</v>
      </c>
      <c r="K124" s="34">
        <v>25.824300000000001</v>
      </c>
      <c r="L124" s="34">
        <v>32.542499999999997</v>
      </c>
      <c r="M124" s="34">
        <v>31.165800000000001</v>
      </c>
      <c r="N124" s="20">
        <v>118.4678</v>
      </c>
      <c r="O124" s="20">
        <f t="shared" si="9"/>
        <v>27.3317625</v>
      </c>
      <c r="P124" s="7"/>
      <c r="Q124" s="13"/>
      <c r="R124" s="14"/>
      <c r="S124" s="14"/>
      <c r="T124" s="27"/>
      <c r="U124" s="28">
        <f t="shared" si="10"/>
        <v>0.20016006483638946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-0.43927120513736523</v>
      </c>
      <c r="R125" s="21">
        <f>AVERAGE(R9:R124)</f>
        <v>-0.51422191434166598</v>
      </c>
      <c r="S125" s="21">
        <f>AVERAGE(S9:S124)</f>
        <v>-0.51361106757498642</v>
      </c>
      <c r="T125" s="21">
        <f>AVERAGE(T9:T124)</f>
        <v>-0.45463400402144727</v>
      </c>
      <c r="U125" s="21">
        <f>AVERAGE(U9:U124)</f>
        <v>6.5603221388165739E-2</v>
      </c>
    </row>
    <row r="127" spans="2:21" s="35" customFormat="1" ht="15.75" customHeight="1" x14ac:dyDescent="0.25">
      <c r="B127" s="61" t="s">
        <v>29</v>
      </c>
      <c r="C127" s="63" t="s">
        <v>181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81</v>
      </c>
      <c r="D129" s="70"/>
      <c r="E129" s="70"/>
      <c r="F129" s="70"/>
      <c r="G129" s="70"/>
      <c r="H129" s="70"/>
      <c r="I129" s="5"/>
      <c r="J129" s="69" t="s">
        <v>182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5906.76</v>
      </c>
      <c r="D131" s="16">
        <v>36.969000000000001</v>
      </c>
      <c r="E131" s="16">
        <v>38.771000000000001</v>
      </c>
      <c r="F131" s="16">
        <v>41.063000000000002</v>
      </c>
      <c r="G131" s="16">
        <v>47.83</v>
      </c>
      <c r="H131" s="16">
        <f t="shared" ref="H131:H202" si="11">(6*D131+E131+F131)/8</f>
        <v>37.706000000000003</v>
      </c>
      <c r="I131" s="5"/>
      <c r="J131" s="15">
        <v>4005.9056</v>
      </c>
      <c r="K131" s="16">
        <v>37.8626</v>
      </c>
      <c r="L131" s="16">
        <v>39.444499999999998</v>
      </c>
      <c r="M131" s="16">
        <v>41.921399999999998</v>
      </c>
      <c r="N131" s="16">
        <v>49.570399999999999</v>
      </c>
      <c r="O131" s="16">
        <f t="shared" ref="O131:O202" si="12">(6*K131+L131+M131)/8</f>
        <v>38.567687499999998</v>
      </c>
      <c r="P131" s="7"/>
      <c r="Q131" s="8">
        <f>bdrate(C131:C134,D131:D134,J131:J134,K131:K134)</f>
        <v>-0.48651437873320391</v>
      </c>
      <c r="R131" s="8">
        <f>bdrate(C131:C134,E131:E134,J131:J134,L131:L134)</f>
        <v>-0.51349161120737818</v>
      </c>
      <c r="S131" s="8">
        <f>bdrate(C131:C134,F131:F134,J131:J134,M131:M134)</f>
        <v>-0.52302157846213482</v>
      </c>
      <c r="T131" s="25">
        <f>bdrate(C131:C134,H131:H134,J131:J134,O131:O134)</f>
        <v>-0.49075420056407759</v>
      </c>
      <c r="U131" s="28">
        <f t="shared" ref="U131:U162" si="13">(N131-G131)/G131</f>
        <v>3.638720468325321E-2</v>
      </c>
    </row>
    <row r="132" spans="1:21" x14ac:dyDescent="0.25">
      <c r="A132" s="9" t="s">
        <v>36</v>
      </c>
      <c r="B132" s="9"/>
      <c r="C132" s="17">
        <v>4362.6899999999996</v>
      </c>
      <c r="D132" s="18">
        <v>35.905999999999999</v>
      </c>
      <c r="E132" s="18">
        <v>38.317999999999998</v>
      </c>
      <c r="F132" s="18">
        <v>40.582000000000001</v>
      </c>
      <c r="G132" s="18">
        <v>53.42</v>
      </c>
      <c r="H132" s="18">
        <f t="shared" si="11"/>
        <v>36.791999999999994</v>
      </c>
      <c r="I132" s="5"/>
      <c r="J132" s="17">
        <v>2921.8607999999999</v>
      </c>
      <c r="K132" s="18">
        <v>36.866900000000001</v>
      </c>
      <c r="L132" s="18">
        <v>38.861899999999999</v>
      </c>
      <c r="M132" s="18">
        <v>41.210599999999999</v>
      </c>
      <c r="N132" s="18">
        <v>54.945099999999996</v>
      </c>
      <c r="O132" s="18">
        <f t="shared" si="12"/>
        <v>37.659237500000003</v>
      </c>
      <c r="P132" s="7"/>
      <c r="Q132" s="10"/>
      <c r="R132" s="11"/>
      <c r="S132" s="11"/>
      <c r="T132" s="26"/>
      <c r="U132" s="28">
        <f t="shared" si="13"/>
        <v>2.8549232497191965E-2</v>
      </c>
    </row>
    <row r="133" spans="1:21" x14ac:dyDescent="0.25">
      <c r="B133" s="9"/>
      <c r="C133" s="17">
        <v>2859.46</v>
      </c>
      <c r="D133" s="18">
        <v>34.274999999999999</v>
      </c>
      <c r="E133" s="18">
        <v>37.656999999999996</v>
      </c>
      <c r="F133" s="18">
        <v>39.887999999999998</v>
      </c>
      <c r="G133" s="18">
        <v>55.91</v>
      </c>
      <c r="H133" s="18">
        <f t="shared" si="11"/>
        <v>35.399374999999992</v>
      </c>
      <c r="I133" s="5"/>
      <c r="J133" s="17">
        <v>1902.6559999999999</v>
      </c>
      <c r="K133" s="18">
        <v>35.246200000000002</v>
      </c>
      <c r="L133" s="18">
        <v>38.186900000000001</v>
      </c>
      <c r="M133" s="18">
        <v>40.489600000000003</v>
      </c>
      <c r="N133" s="18">
        <v>62.448</v>
      </c>
      <c r="O133" s="18">
        <f t="shared" si="12"/>
        <v>36.269212500000002</v>
      </c>
      <c r="P133" s="7"/>
      <c r="Q133" s="10"/>
      <c r="R133" s="11"/>
      <c r="S133" s="11"/>
      <c r="T133" s="26"/>
      <c r="U133" s="28">
        <f t="shared" si="13"/>
        <v>0.11693793596852091</v>
      </c>
    </row>
    <row r="134" spans="1:21" ht="16.5" thickBot="1" x14ac:dyDescent="0.3">
      <c r="B134" s="12"/>
      <c r="C134" s="19">
        <v>1390.8</v>
      </c>
      <c r="D134" s="20">
        <v>30.922000000000001</v>
      </c>
      <c r="E134" s="20">
        <v>36.572000000000003</v>
      </c>
      <c r="F134" s="20">
        <v>38.728000000000002</v>
      </c>
      <c r="G134" s="20">
        <v>57.58</v>
      </c>
      <c r="H134" s="20">
        <f t="shared" si="11"/>
        <v>32.603999999999999</v>
      </c>
      <c r="I134" s="5"/>
      <c r="J134" s="19">
        <v>903.43359999999996</v>
      </c>
      <c r="K134" s="20">
        <v>32.271299999999997</v>
      </c>
      <c r="L134" s="20">
        <v>36.887300000000003</v>
      </c>
      <c r="M134" s="20">
        <v>39.083100000000002</v>
      </c>
      <c r="N134" s="20">
        <v>75.150300000000001</v>
      </c>
      <c r="O134" s="20">
        <f t="shared" si="12"/>
        <v>33.699775000000002</v>
      </c>
      <c r="P134" s="7"/>
      <c r="Q134" s="13"/>
      <c r="R134" s="14"/>
      <c r="S134" s="14"/>
      <c r="T134" s="27"/>
      <c r="U134" s="28">
        <f t="shared" si="13"/>
        <v>0.3051458839874957</v>
      </c>
    </row>
    <row r="135" spans="1:21" x14ac:dyDescent="0.25">
      <c r="B135" s="6" t="s">
        <v>47</v>
      </c>
      <c r="C135" s="15">
        <v>6656.77</v>
      </c>
      <c r="D135" s="16">
        <v>28.562999999999999</v>
      </c>
      <c r="E135" s="16">
        <v>39.088000000000001</v>
      </c>
      <c r="F135" s="16">
        <v>39.884999999999998</v>
      </c>
      <c r="G135" s="16">
        <v>44.5</v>
      </c>
      <c r="H135" s="16">
        <f t="shared" si="11"/>
        <v>31.293874999999996</v>
      </c>
      <c r="I135" s="5"/>
      <c r="J135" s="15">
        <v>4057.8112000000001</v>
      </c>
      <c r="K135" s="16">
        <v>29.434899999999999</v>
      </c>
      <c r="L135" s="16">
        <v>39.3324</v>
      </c>
      <c r="M135" s="16">
        <v>40.259700000000002</v>
      </c>
      <c r="N135" s="16">
        <v>38.461500000000001</v>
      </c>
      <c r="O135" s="16">
        <f t="shared" si="12"/>
        <v>32.025187500000001</v>
      </c>
      <c r="P135" s="7"/>
      <c r="Q135" s="8">
        <f>bdrate(C135:C138,D135:D138,J135:J138,K135:K138)</f>
        <v>-0.53219505469149886</v>
      </c>
      <c r="R135" s="8">
        <f>bdrate(C135:C138,E135:E138,J135:J138,L135:L138)</f>
        <v>-0.46925429659868634</v>
      </c>
      <c r="S135" s="8">
        <f>bdrate(C135:C138,F135:F138,J135:J138,M135:M138)</f>
        <v>-0.51201342895529489</v>
      </c>
      <c r="T135" s="25">
        <f>bdrate(C135:C138,H135:H138,J135:J138,O135:O138)</f>
        <v>-0.52780038225592418</v>
      </c>
      <c r="U135" s="28">
        <f t="shared" si="13"/>
        <v>-0.13569662921348313</v>
      </c>
    </row>
    <row r="136" spans="1:21" x14ac:dyDescent="0.25">
      <c r="B136" s="9"/>
      <c r="C136" s="17">
        <v>4995.1000000000004</v>
      </c>
      <c r="D136" s="18">
        <v>27.12</v>
      </c>
      <c r="E136" s="18">
        <v>38.566000000000003</v>
      </c>
      <c r="F136" s="18">
        <v>39.484000000000002</v>
      </c>
      <c r="G136" s="18">
        <v>50.07</v>
      </c>
      <c r="H136" s="18">
        <f t="shared" si="11"/>
        <v>30.096250000000001</v>
      </c>
      <c r="I136" s="5"/>
      <c r="J136" s="17">
        <v>3024.7552000000001</v>
      </c>
      <c r="K136" s="18">
        <v>28.085799999999999</v>
      </c>
      <c r="L136" s="18">
        <v>38.857300000000002</v>
      </c>
      <c r="M136" s="18">
        <v>39.827800000000003</v>
      </c>
      <c r="N136" s="18">
        <v>43.516100000000002</v>
      </c>
      <c r="O136" s="18">
        <f t="shared" si="12"/>
        <v>30.899987499999998</v>
      </c>
      <c r="P136" s="7"/>
      <c r="Q136" s="10"/>
      <c r="R136" s="11"/>
      <c r="S136" s="11"/>
      <c r="T136" s="26"/>
      <c r="U136" s="28">
        <f t="shared" si="13"/>
        <v>-0.13089474735370479</v>
      </c>
    </row>
    <row r="137" spans="1:21" x14ac:dyDescent="0.25">
      <c r="B137" s="9"/>
      <c r="C137" s="17">
        <v>3210.31</v>
      </c>
      <c r="D137" s="18">
        <v>24.861999999999998</v>
      </c>
      <c r="E137" s="18">
        <v>37.792000000000002</v>
      </c>
      <c r="F137" s="18">
        <v>38.747</v>
      </c>
      <c r="G137" s="18">
        <v>54.9</v>
      </c>
      <c r="H137" s="18">
        <f t="shared" si="11"/>
        <v>28.213875000000002</v>
      </c>
      <c r="I137" s="5"/>
      <c r="J137" s="17">
        <v>2013.2560000000001</v>
      </c>
      <c r="K137" s="18">
        <v>26.285799999999998</v>
      </c>
      <c r="L137" s="18">
        <v>38.126800000000003</v>
      </c>
      <c r="M137" s="18">
        <v>39.2239</v>
      </c>
      <c r="N137" s="18">
        <v>51.688499999999998</v>
      </c>
      <c r="O137" s="18">
        <f t="shared" si="12"/>
        <v>29.383187499999998</v>
      </c>
      <c r="P137" s="7"/>
      <c r="Q137" s="10"/>
      <c r="R137" s="11"/>
      <c r="S137" s="11"/>
      <c r="T137" s="26"/>
      <c r="U137" s="28">
        <f t="shared" si="13"/>
        <v>-5.8497267759562863E-2</v>
      </c>
    </row>
    <row r="138" spans="1:21" ht="16.5" thickBot="1" x14ac:dyDescent="0.3">
      <c r="B138" s="12"/>
      <c r="C138" s="19">
        <v>1786.27</v>
      </c>
      <c r="D138" s="20">
        <v>22.268000000000001</v>
      </c>
      <c r="E138" s="20">
        <v>35.76</v>
      </c>
      <c r="F138" s="20">
        <v>36.933</v>
      </c>
      <c r="G138" s="20">
        <v>58.28</v>
      </c>
      <c r="H138" s="20">
        <f t="shared" si="11"/>
        <v>25.787624999999998</v>
      </c>
      <c r="I138" s="5"/>
      <c r="J138" s="19">
        <v>1141.2175999999999</v>
      </c>
      <c r="K138" s="20">
        <v>24.154299999999999</v>
      </c>
      <c r="L138" s="20">
        <v>36.563499999999998</v>
      </c>
      <c r="M138" s="20">
        <v>37.840299999999999</v>
      </c>
      <c r="N138" s="20">
        <v>62.448</v>
      </c>
      <c r="O138" s="20">
        <f t="shared" si="12"/>
        <v>27.416199999999996</v>
      </c>
      <c r="P138" s="7"/>
      <c r="Q138" s="13"/>
      <c r="R138" s="14"/>
      <c r="S138" s="14"/>
      <c r="T138" s="27"/>
      <c r="U138" s="28">
        <f t="shared" si="13"/>
        <v>7.151681537405627E-2</v>
      </c>
    </row>
    <row r="139" spans="1:21" x14ac:dyDescent="0.25">
      <c r="A139" s="6" t="s">
        <v>37</v>
      </c>
      <c r="B139" s="6" t="s">
        <v>48</v>
      </c>
      <c r="C139" s="15">
        <v>3027.51</v>
      </c>
      <c r="D139" s="16">
        <v>37.984000000000002</v>
      </c>
      <c r="E139" s="16">
        <v>41.488999999999997</v>
      </c>
      <c r="F139" s="16">
        <v>42.491999999999997</v>
      </c>
      <c r="G139" s="16">
        <v>84.06</v>
      </c>
      <c r="H139" s="16">
        <f t="shared" si="11"/>
        <v>38.985624999999999</v>
      </c>
      <c r="I139" s="5"/>
      <c r="J139" s="15">
        <v>2372.8335999999999</v>
      </c>
      <c r="K139" s="16">
        <v>39.077800000000003</v>
      </c>
      <c r="L139" s="16">
        <v>41.903300000000002</v>
      </c>
      <c r="M139" s="16">
        <v>43.250900000000001</v>
      </c>
      <c r="N139" s="16">
        <v>96.153800000000004</v>
      </c>
      <c r="O139" s="16">
        <f t="shared" si="12"/>
        <v>39.952625000000005</v>
      </c>
      <c r="P139" s="7"/>
      <c r="Q139" s="8">
        <f>bdrate(C139:C142,D139:D142,J139:J142,K139:K142)</f>
        <v>-0.49168026921863828</v>
      </c>
      <c r="R139" s="8">
        <f>bdrate(C139:C142,E139:E142,J139:J142,L139:L142)</f>
        <v>-0.39898155081918041</v>
      </c>
      <c r="S139" s="8">
        <f>bdrate(C139:C142,F139:F142,J139:J142,M139:M142)</f>
        <v>-0.49092926713450058</v>
      </c>
      <c r="T139" s="25">
        <f>bdrate(C139:C142,H139:H142,J139:J142,O139:O142)</f>
        <v>-0.48601714190941381</v>
      </c>
      <c r="U139" s="28">
        <f t="shared" si="13"/>
        <v>0.14387104449202953</v>
      </c>
    </row>
    <row r="140" spans="1:21" x14ac:dyDescent="0.25">
      <c r="A140" s="9" t="s">
        <v>38</v>
      </c>
      <c r="B140" s="9"/>
      <c r="C140" s="17">
        <v>1995.54</v>
      </c>
      <c r="D140" s="18">
        <v>36.457000000000001</v>
      </c>
      <c r="E140" s="18">
        <v>40.786999999999999</v>
      </c>
      <c r="F140" s="18">
        <v>41.673999999999999</v>
      </c>
      <c r="G140" s="18">
        <v>94.38</v>
      </c>
      <c r="H140" s="18">
        <f t="shared" si="11"/>
        <v>37.650374999999997</v>
      </c>
      <c r="I140" s="5"/>
      <c r="J140" s="17">
        <v>1566.864</v>
      </c>
      <c r="K140" s="18">
        <v>37.7988</v>
      </c>
      <c r="L140" s="18">
        <v>41.172699999999999</v>
      </c>
      <c r="M140" s="18">
        <v>42.403700000000001</v>
      </c>
      <c r="N140" s="18">
        <v>108.35209999999999</v>
      </c>
      <c r="O140" s="18">
        <f t="shared" si="12"/>
        <v>38.796150000000004</v>
      </c>
      <c r="P140" s="7"/>
      <c r="Q140" s="10"/>
      <c r="R140" s="11"/>
      <c r="S140" s="11"/>
      <c r="T140" s="26"/>
      <c r="U140" s="28">
        <f t="shared" si="13"/>
        <v>0.14804089849544394</v>
      </c>
    </row>
    <row r="141" spans="1:21" x14ac:dyDescent="0.25">
      <c r="B141" s="9"/>
      <c r="C141" s="17">
        <v>1236.3800000000001</v>
      </c>
      <c r="D141" s="18">
        <v>34.499000000000002</v>
      </c>
      <c r="E141" s="18">
        <v>39.988</v>
      </c>
      <c r="F141" s="18">
        <v>40.927999999999997</v>
      </c>
      <c r="G141" s="18">
        <v>103.9</v>
      </c>
      <c r="H141" s="18">
        <f t="shared" si="11"/>
        <v>35.988750000000003</v>
      </c>
      <c r="I141" s="5"/>
      <c r="J141" s="17">
        <v>957.50400000000002</v>
      </c>
      <c r="K141" s="18">
        <v>36.212000000000003</v>
      </c>
      <c r="L141" s="18">
        <v>40.410200000000003</v>
      </c>
      <c r="M141" s="18">
        <v>41.588799999999999</v>
      </c>
      <c r="N141" s="18">
        <v>122.1374</v>
      </c>
      <c r="O141" s="18">
        <f t="shared" si="12"/>
        <v>37.408875000000002</v>
      </c>
      <c r="P141" s="7"/>
      <c r="Q141" s="10"/>
      <c r="R141" s="11"/>
      <c r="S141" s="11"/>
      <c r="T141" s="26"/>
      <c r="U141" s="28">
        <f t="shared" si="13"/>
        <v>0.17552839268527423</v>
      </c>
    </row>
    <row r="142" spans="1:21" ht="16.5" thickBot="1" x14ac:dyDescent="0.3">
      <c r="B142" s="12"/>
      <c r="C142" s="19">
        <v>737.05</v>
      </c>
      <c r="D142" s="20">
        <v>32.176000000000002</v>
      </c>
      <c r="E142" s="20">
        <v>39.122999999999998</v>
      </c>
      <c r="F142" s="20">
        <v>40.091999999999999</v>
      </c>
      <c r="G142" s="20">
        <v>109.09</v>
      </c>
      <c r="H142" s="20">
        <f t="shared" si="11"/>
        <v>34.033875000000002</v>
      </c>
      <c r="I142" s="5"/>
      <c r="J142" s="19">
        <v>558.56240000000003</v>
      </c>
      <c r="K142" s="20">
        <v>34.381999999999998</v>
      </c>
      <c r="L142" s="20">
        <v>39.661499999999997</v>
      </c>
      <c r="M142" s="20">
        <v>40.848500000000001</v>
      </c>
      <c r="N142" s="20">
        <v>139.86009999999999</v>
      </c>
      <c r="O142" s="20">
        <f t="shared" si="12"/>
        <v>35.850249999999996</v>
      </c>
      <c r="P142" s="7"/>
      <c r="Q142" s="13"/>
      <c r="R142" s="14"/>
      <c r="S142" s="14"/>
      <c r="T142" s="27"/>
      <c r="U142" s="28">
        <f t="shared" si="13"/>
        <v>0.28206160051333745</v>
      </c>
    </row>
    <row r="143" spans="1:21" x14ac:dyDescent="0.25">
      <c r="B143" s="6" t="s">
        <v>49</v>
      </c>
      <c r="C143" s="15">
        <v>3459.85</v>
      </c>
      <c r="D143" s="16">
        <v>35.295000000000002</v>
      </c>
      <c r="E143" s="16">
        <v>38.71</v>
      </c>
      <c r="F143" s="16">
        <v>39.929000000000002</v>
      </c>
      <c r="G143" s="16">
        <v>93.75</v>
      </c>
      <c r="H143" s="16">
        <f t="shared" si="11"/>
        <v>36.301124999999999</v>
      </c>
      <c r="I143" s="5"/>
      <c r="J143" s="15">
        <v>2440.8175999999999</v>
      </c>
      <c r="K143" s="16">
        <v>35.988500000000002</v>
      </c>
      <c r="L143" s="16">
        <v>39.927900000000001</v>
      </c>
      <c r="M143" s="16">
        <v>41.1569</v>
      </c>
      <c r="N143" s="16">
        <v>88.2029</v>
      </c>
      <c r="O143" s="16">
        <f t="shared" si="12"/>
        <v>37.126975000000002</v>
      </c>
      <c r="P143" s="7"/>
      <c r="Q143" s="8">
        <f>bdrate(C143:C146,D143:D146,J143:J146,K143:K146)</f>
        <v>-0.47915636151658159</v>
      </c>
      <c r="R143" s="8">
        <f>bdrate(C143:C146,E143:E146,J143:J146,L143:L146)</f>
        <v>-0.58511482748145249</v>
      </c>
      <c r="S143" s="8">
        <f>bdrate(C143:C146,F143:F146,J143:J146,M143:M146)</f>
        <v>-0.58575303340446849</v>
      </c>
      <c r="T143" s="25">
        <f>bdrate(C143:C146,H143:H146,J143:J146,O143:O146)</f>
        <v>-0.49673206623523869</v>
      </c>
      <c r="U143" s="28">
        <f t="shared" si="13"/>
        <v>-5.9169066666666673E-2</v>
      </c>
    </row>
    <row r="144" spans="1:21" x14ac:dyDescent="0.25">
      <c r="B144" s="9"/>
      <c r="C144" s="17">
        <v>2292.25</v>
      </c>
      <c r="D144" s="18">
        <v>33.765000000000001</v>
      </c>
      <c r="E144" s="18">
        <v>38.06</v>
      </c>
      <c r="F144" s="18">
        <v>39.408000000000001</v>
      </c>
      <c r="G144" s="18">
        <v>103.9</v>
      </c>
      <c r="H144" s="18">
        <f t="shared" si="11"/>
        <v>35.007249999999999</v>
      </c>
      <c r="I144" s="5"/>
      <c r="J144" s="17">
        <v>1626.3592000000001</v>
      </c>
      <c r="K144" s="18">
        <v>34.7149</v>
      </c>
      <c r="L144" s="18">
        <v>39.148299999999999</v>
      </c>
      <c r="M144" s="18">
        <v>40.3566</v>
      </c>
      <c r="N144" s="18">
        <v>102.5641</v>
      </c>
      <c r="O144" s="18">
        <f t="shared" si="12"/>
        <v>35.974287500000003</v>
      </c>
      <c r="P144" s="7"/>
      <c r="Q144" s="10"/>
      <c r="R144" s="11"/>
      <c r="S144" s="11"/>
      <c r="T144" s="26"/>
      <c r="U144" s="28">
        <f t="shared" si="13"/>
        <v>-1.2857555341674777E-2</v>
      </c>
    </row>
    <row r="145" spans="1:21" x14ac:dyDescent="0.25">
      <c r="B145" s="9"/>
      <c r="C145" s="17">
        <v>1420.28</v>
      </c>
      <c r="D145" s="18">
        <v>31.957999999999998</v>
      </c>
      <c r="E145" s="18">
        <v>37.348999999999997</v>
      </c>
      <c r="F145" s="18">
        <v>38.765000000000001</v>
      </c>
      <c r="G145" s="18">
        <v>114.83</v>
      </c>
      <c r="H145" s="18">
        <f t="shared" si="11"/>
        <v>33.482749999999996</v>
      </c>
      <c r="I145" s="5"/>
      <c r="J145" s="17">
        <v>1031.1776</v>
      </c>
      <c r="K145" s="18">
        <v>33.208799999999997</v>
      </c>
      <c r="L145" s="18">
        <v>38.211199999999998</v>
      </c>
      <c r="M145" s="18">
        <v>39.508000000000003</v>
      </c>
      <c r="N145" s="18">
        <v>119.2843</v>
      </c>
      <c r="O145" s="18">
        <f t="shared" si="12"/>
        <v>34.621499999999997</v>
      </c>
      <c r="P145" s="7"/>
      <c r="Q145" s="10"/>
      <c r="R145" s="11"/>
      <c r="S145" s="11"/>
      <c r="T145" s="26"/>
      <c r="U145" s="28">
        <f t="shared" si="13"/>
        <v>3.8790385787686177E-2</v>
      </c>
    </row>
    <row r="146" spans="1:21" ht="16.5" thickBot="1" x14ac:dyDescent="0.3">
      <c r="B146" s="12"/>
      <c r="C146" s="19">
        <v>846.05</v>
      </c>
      <c r="D146" s="20">
        <v>29.966999999999999</v>
      </c>
      <c r="E146" s="20">
        <v>36.673999999999999</v>
      </c>
      <c r="F146" s="20">
        <v>38.143999999999998</v>
      </c>
      <c r="G146" s="20">
        <v>120.18</v>
      </c>
      <c r="H146" s="20">
        <f t="shared" si="11"/>
        <v>31.827500000000001</v>
      </c>
      <c r="I146" s="5"/>
      <c r="J146" s="19">
        <v>593.72640000000001</v>
      </c>
      <c r="K146" s="20">
        <v>31.537700000000001</v>
      </c>
      <c r="L146" s="20">
        <v>37.267699999999998</v>
      </c>
      <c r="M146" s="20">
        <v>38.761699999999998</v>
      </c>
      <c r="N146" s="20">
        <v>136.13159999999999</v>
      </c>
      <c r="O146" s="20">
        <f t="shared" si="12"/>
        <v>33.156950000000002</v>
      </c>
      <c r="P146" s="7"/>
      <c r="Q146" s="13"/>
      <c r="R146" s="14"/>
      <c r="S146" s="14"/>
      <c r="T146" s="27"/>
      <c r="U146" s="28">
        <f t="shared" si="13"/>
        <v>0.13273090364453308</v>
      </c>
    </row>
    <row r="147" spans="1:21" x14ac:dyDescent="0.25">
      <c r="B147" s="6" t="s">
        <v>50</v>
      </c>
      <c r="C147" s="15">
        <v>3574.57</v>
      </c>
      <c r="D147" s="16">
        <v>33.496000000000002</v>
      </c>
      <c r="E147" s="16">
        <v>37.649000000000001</v>
      </c>
      <c r="F147" s="16">
        <v>38.997</v>
      </c>
      <c r="G147" s="16">
        <v>84.12</v>
      </c>
      <c r="H147" s="16">
        <f t="shared" si="11"/>
        <v>34.702750000000002</v>
      </c>
      <c r="I147" s="5"/>
      <c r="J147" s="15">
        <v>2410.6959999999999</v>
      </c>
      <c r="K147" s="16">
        <v>34.031300000000002</v>
      </c>
      <c r="L147" s="16">
        <v>38.087699999999998</v>
      </c>
      <c r="M147" s="16">
        <v>40.077800000000003</v>
      </c>
      <c r="N147" s="16">
        <v>115.714</v>
      </c>
      <c r="O147" s="16">
        <f t="shared" si="12"/>
        <v>35.294162500000006</v>
      </c>
      <c r="P147" s="7"/>
      <c r="Q147" s="8">
        <f>bdrate(C147:C150,D147:D150,J147:J150,K147:K150)</f>
        <v>-0.48803844379065631</v>
      </c>
      <c r="R147" s="8">
        <f>bdrate(C147:C150,E147:E150,J147:J150,L147:L150)</f>
        <v>-0.54298242867009339</v>
      </c>
      <c r="S147" s="8">
        <f>bdrate(C147:C150,F147:F150,J147:J150,M147:M150)</f>
        <v>-0.59030833860541443</v>
      </c>
      <c r="T147" s="25">
        <f>bdrate(C147:C150,H147:H150,J147:J150,O147:O150)</f>
        <v>-0.5009096918881133</v>
      </c>
      <c r="U147" s="28">
        <f t="shared" si="13"/>
        <v>0.37558250118877784</v>
      </c>
    </row>
    <row r="148" spans="1:21" x14ac:dyDescent="0.25">
      <c r="B148" s="9"/>
      <c r="C148" s="17">
        <v>2368.64</v>
      </c>
      <c r="D148" s="18">
        <v>31.972000000000001</v>
      </c>
      <c r="E148" s="18">
        <v>37.134</v>
      </c>
      <c r="F148" s="18">
        <v>38.152999999999999</v>
      </c>
      <c r="G148" s="18">
        <v>115.26</v>
      </c>
      <c r="H148" s="18">
        <f t="shared" si="11"/>
        <v>33.389875000000004</v>
      </c>
      <c r="I148" s="5"/>
      <c r="J148" s="17">
        <v>1605.22</v>
      </c>
      <c r="K148" s="18">
        <v>32.817999999999998</v>
      </c>
      <c r="L148" s="18">
        <v>37.639800000000001</v>
      </c>
      <c r="M148" s="18">
        <v>39.26</v>
      </c>
      <c r="N148" s="18">
        <v>135.20820000000001</v>
      </c>
      <c r="O148" s="18">
        <f t="shared" si="12"/>
        <v>34.225974999999998</v>
      </c>
      <c r="P148" s="7"/>
      <c r="Q148" s="10"/>
      <c r="R148" s="11"/>
      <c r="S148" s="11"/>
      <c r="T148" s="26"/>
      <c r="U148" s="28">
        <f t="shared" si="13"/>
        <v>0.17307131702238418</v>
      </c>
    </row>
    <row r="149" spans="1:21" x14ac:dyDescent="0.25">
      <c r="B149" s="9"/>
      <c r="C149" s="17">
        <v>1474.3</v>
      </c>
      <c r="D149" s="18">
        <v>29.984000000000002</v>
      </c>
      <c r="E149" s="18">
        <v>36.540999999999997</v>
      </c>
      <c r="F149" s="18">
        <v>37.189</v>
      </c>
      <c r="G149" s="18">
        <v>120.45</v>
      </c>
      <c r="H149" s="18">
        <f t="shared" si="11"/>
        <v>31.704249999999998</v>
      </c>
      <c r="I149" s="5"/>
      <c r="J149" s="17">
        <v>1001.4328</v>
      </c>
      <c r="K149" s="18">
        <v>31.208500000000001</v>
      </c>
      <c r="L149" s="18">
        <v>37.040399999999998</v>
      </c>
      <c r="M149" s="18">
        <v>38.221499999999999</v>
      </c>
      <c r="N149" s="18">
        <v>152.62520000000001</v>
      </c>
      <c r="O149" s="18">
        <f t="shared" si="12"/>
        <v>32.8141125</v>
      </c>
      <c r="P149" s="7"/>
      <c r="Q149" s="10"/>
      <c r="R149" s="11"/>
      <c r="S149" s="11"/>
      <c r="T149" s="26"/>
      <c r="U149" s="28">
        <f t="shared" si="13"/>
        <v>0.26712494811124948</v>
      </c>
    </row>
    <row r="150" spans="1:21" ht="16.5" thickBot="1" x14ac:dyDescent="0.3">
      <c r="B150" s="12"/>
      <c r="C150" s="19">
        <v>879.79</v>
      </c>
      <c r="D150" s="20">
        <v>27.626999999999999</v>
      </c>
      <c r="E150" s="20">
        <v>35.869999999999997</v>
      </c>
      <c r="F150" s="20">
        <v>36.261000000000003</v>
      </c>
      <c r="G150" s="20">
        <v>124.25</v>
      </c>
      <c r="H150" s="20">
        <f t="shared" si="11"/>
        <v>29.736625</v>
      </c>
      <c r="I150" s="5"/>
      <c r="J150" s="19">
        <v>597.66959999999995</v>
      </c>
      <c r="K150" s="20">
        <v>29.4344</v>
      </c>
      <c r="L150" s="20">
        <v>36.360799999999998</v>
      </c>
      <c r="M150" s="20">
        <v>37.111800000000002</v>
      </c>
      <c r="N150" s="20">
        <v>168.691</v>
      </c>
      <c r="O150" s="20">
        <f t="shared" si="12"/>
        <v>31.259875000000001</v>
      </c>
      <c r="P150" s="7"/>
      <c r="Q150" s="13"/>
      <c r="R150" s="14"/>
      <c r="S150" s="14"/>
      <c r="T150" s="27"/>
      <c r="U150" s="28">
        <f t="shared" si="13"/>
        <v>0.35767404426559357</v>
      </c>
    </row>
    <row r="151" spans="1:21" x14ac:dyDescent="0.25">
      <c r="B151" s="6" t="s">
        <v>51</v>
      </c>
      <c r="C151" s="29">
        <v>3594.75</v>
      </c>
      <c r="D151" s="30">
        <v>32.722999999999999</v>
      </c>
      <c r="E151" s="30">
        <v>39.253</v>
      </c>
      <c r="F151" s="30">
        <v>38.896000000000001</v>
      </c>
      <c r="G151" s="16">
        <v>96.54</v>
      </c>
      <c r="H151" s="16">
        <f t="shared" si="11"/>
        <v>34.310875000000003</v>
      </c>
      <c r="I151" s="5"/>
      <c r="J151" s="29">
        <v>2417.0095999999999</v>
      </c>
      <c r="K151" s="30">
        <v>33.9968</v>
      </c>
      <c r="L151" s="30">
        <v>40.270600000000002</v>
      </c>
      <c r="M151" s="30">
        <v>39.850499999999997</v>
      </c>
      <c r="N151" s="16">
        <v>103.73439999999999</v>
      </c>
      <c r="O151" s="16">
        <f t="shared" si="12"/>
        <v>35.5127375</v>
      </c>
      <c r="P151" s="7"/>
      <c r="Q151" s="8">
        <f>bdrate(C151:C154,D151:D154,J151:J154,K151:K154)</f>
        <v>-0.59340946641058512</v>
      </c>
      <c r="R151" s="8">
        <f>bdrate(C151:C154,E151:E154,J151:J154,L151:L154)</f>
        <v>-0.57289178163747501</v>
      </c>
      <c r="S151" s="8">
        <f>bdrate(C151:C154,F151:F154,J151:J154,M151:M154)</f>
        <v>-0.4957623217234155</v>
      </c>
      <c r="T151" s="25">
        <f>bdrate(C151:C154,H151:H154,J151:J154,O151:O154)</f>
        <v>-0.58864699605845039</v>
      </c>
      <c r="U151" s="28">
        <f t="shared" si="13"/>
        <v>7.4522477729438444E-2</v>
      </c>
    </row>
    <row r="152" spans="1:21" x14ac:dyDescent="0.25">
      <c r="B152" s="9"/>
      <c r="C152" s="31">
        <v>2385.96</v>
      </c>
      <c r="D152" s="32">
        <v>30.704999999999998</v>
      </c>
      <c r="E152" s="32">
        <v>38.412999999999997</v>
      </c>
      <c r="F152" s="32">
        <v>37.997999999999998</v>
      </c>
      <c r="G152" s="18">
        <v>107.16</v>
      </c>
      <c r="H152" s="18">
        <f t="shared" si="11"/>
        <v>32.580124999999995</v>
      </c>
      <c r="I152" s="5"/>
      <c r="J152" s="31">
        <v>1610.6872000000001</v>
      </c>
      <c r="K152" s="32">
        <v>32.601799999999997</v>
      </c>
      <c r="L152" s="32">
        <v>39.476799999999997</v>
      </c>
      <c r="M152" s="32">
        <v>38.889800000000001</v>
      </c>
      <c r="N152" s="18">
        <v>121.3887</v>
      </c>
      <c r="O152" s="18">
        <f t="shared" si="12"/>
        <v>34.247174999999999</v>
      </c>
      <c r="P152" s="7"/>
      <c r="Q152" s="10"/>
      <c r="R152" s="11"/>
      <c r="S152" s="11"/>
      <c r="T152" s="26"/>
      <c r="U152" s="28">
        <f t="shared" si="13"/>
        <v>0.1327799552071669</v>
      </c>
    </row>
    <row r="153" spans="1:21" x14ac:dyDescent="0.25">
      <c r="B153" s="9"/>
      <c r="C153" s="31">
        <v>1476.73</v>
      </c>
      <c r="D153" s="32">
        <v>27.832999999999998</v>
      </c>
      <c r="E153" s="32">
        <v>37.265999999999998</v>
      </c>
      <c r="F153" s="32">
        <v>36.813000000000002</v>
      </c>
      <c r="G153" s="18">
        <v>110.84</v>
      </c>
      <c r="H153" s="18">
        <f t="shared" si="11"/>
        <v>30.134625</v>
      </c>
      <c r="I153" s="5"/>
      <c r="J153" s="31">
        <v>1000.8128</v>
      </c>
      <c r="K153" s="32">
        <v>30.808800000000002</v>
      </c>
      <c r="L153" s="32">
        <v>38.472099999999998</v>
      </c>
      <c r="M153" s="32">
        <v>37.607500000000002</v>
      </c>
      <c r="N153" s="18">
        <v>138.0453</v>
      </c>
      <c r="O153" s="18">
        <f t="shared" si="12"/>
        <v>32.616550000000004</v>
      </c>
      <c r="P153" s="7"/>
      <c r="Q153" s="10"/>
      <c r="R153" s="11"/>
      <c r="S153" s="11"/>
      <c r="T153" s="26"/>
      <c r="U153" s="28">
        <f t="shared" si="13"/>
        <v>0.24544658967881625</v>
      </c>
    </row>
    <row r="154" spans="1:21" ht="16.5" thickBot="1" x14ac:dyDescent="0.3">
      <c r="B154" s="12"/>
      <c r="C154" s="33">
        <v>875.54</v>
      </c>
      <c r="D154" s="34">
        <v>23.96</v>
      </c>
      <c r="E154" s="34">
        <v>35.402999999999999</v>
      </c>
      <c r="F154" s="34">
        <v>34.661999999999999</v>
      </c>
      <c r="G154" s="20">
        <v>112.03</v>
      </c>
      <c r="H154" s="20">
        <f t="shared" si="11"/>
        <v>26.728124999999999</v>
      </c>
      <c r="I154" s="5"/>
      <c r="J154" s="33">
        <v>599.38800000000003</v>
      </c>
      <c r="K154" s="34">
        <v>28.915500000000002</v>
      </c>
      <c r="L154" s="34">
        <v>36.801099999999998</v>
      </c>
      <c r="M154" s="34">
        <v>35.783299999999997</v>
      </c>
      <c r="N154" s="20">
        <v>153.3742</v>
      </c>
      <c r="O154" s="20">
        <f t="shared" si="12"/>
        <v>30.759674999999998</v>
      </c>
      <c r="P154" s="7"/>
      <c r="Q154" s="13"/>
      <c r="R154" s="14"/>
      <c r="S154" s="14"/>
      <c r="T154" s="27"/>
      <c r="U154" s="28">
        <f t="shared" si="13"/>
        <v>0.36904579130590021</v>
      </c>
    </row>
    <row r="155" spans="1:21" x14ac:dyDescent="0.25">
      <c r="B155" s="6" t="s">
        <v>52</v>
      </c>
      <c r="C155" s="15">
        <v>3601.37</v>
      </c>
      <c r="D155" s="16">
        <v>31.856000000000002</v>
      </c>
      <c r="E155" s="16">
        <v>38.381</v>
      </c>
      <c r="F155" s="16">
        <v>40.902999999999999</v>
      </c>
      <c r="G155" s="16">
        <v>89.42</v>
      </c>
      <c r="H155" s="16">
        <f t="shared" si="11"/>
        <v>33.802500000000002</v>
      </c>
      <c r="I155" s="5"/>
      <c r="J155" s="15">
        <v>2413.2152000000001</v>
      </c>
      <c r="K155" s="16">
        <v>33.5685</v>
      </c>
      <c r="L155" s="16">
        <v>39.741900000000001</v>
      </c>
      <c r="M155" s="16">
        <v>42.183700000000002</v>
      </c>
      <c r="N155" s="16">
        <v>123.2539</v>
      </c>
      <c r="O155" s="16">
        <f t="shared" si="12"/>
        <v>35.417074999999997</v>
      </c>
      <c r="P155" s="7"/>
      <c r="Q155" s="8">
        <f>bdrate(C155:C158,D155:D158,J155:J158,K155:K158)</f>
        <v>-0.71054121064368747</v>
      </c>
      <c r="R155" s="8">
        <f>bdrate(C155:C158,E155:E158,J155:J158,L155:L158)</f>
        <v>-0.76160845674517452</v>
      </c>
      <c r="S155" s="8">
        <f>bdrate(C155:C158,F155:F158,J155:J158,M155:M158)</f>
        <v>-0.77317204389452132</v>
      </c>
      <c r="T155" s="25">
        <f>bdrate(C155:C158,H155:H158,J155:J158,O155:O158)</f>
        <v>-0.71695694042316738</v>
      </c>
      <c r="U155" s="28">
        <f t="shared" si="13"/>
        <v>0.37837061060165511</v>
      </c>
    </row>
    <row r="156" spans="1:21" x14ac:dyDescent="0.25">
      <c r="B156" s="9"/>
      <c r="C156" s="17">
        <v>2375.42</v>
      </c>
      <c r="D156" s="18">
        <v>30.619</v>
      </c>
      <c r="E156" s="18">
        <v>37.994999999999997</v>
      </c>
      <c r="F156" s="18">
        <v>40.445</v>
      </c>
      <c r="G156" s="18">
        <v>121.33</v>
      </c>
      <c r="H156" s="18">
        <f t="shared" si="11"/>
        <v>32.76925</v>
      </c>
      <c r="I156" s="5"/>
      <c r="J156" s="17">
        <v>1604.7752</v>
      </c>
      <c r="K156" s="18">
        <v>32.856200000000001</v>
      </c>
      <c r="L156" s="18">
        <v>39.254300000000001</v>
      </c>
      <c r="M156" s="18">
        <v>41.743600000000001</v>
      </c>
      <c r="N156" s="18">
        <v>139.34049999999999</v>
      </c>
      <c r="O156" s="18">
        <f t="shared" si="12"/>
        <v>34.766887500000003</v>
      </c>
      <c r="P156" s="7"/>
      <c r="Q156" s="10"/>
      <c r="R156" s="11"/>
      <c r="S156" s="11"/>
      <c r="T156" s="26"/>
      <c r="U156" s="28">
        <f t="shared" si="13"/>
        <v>0.14844226489738724</v>
      </c>
    </row>
    <row r="157" spans="1:21" x14ac:dyDescent="0.25">
      <c r="B157" s="9"/>
      <c r="C157" s="17">
        <v>1448.88</v>
      </c>
      <c r="D157" s="18">
        <v>28.838000000000001</v>
      </c>
      <c r="E157" s="18">
        <v>37.424999999999997</v>
      </c>
      <c r="F157" s="18">
        <v>39.884999999999998</v>
      </c>
      <c r="G157" s="18">
        <v>123.66</v>
      </c>
      <c r="H157" s="18">
        <f t="shared" si="11"/>
        <v>31.292250000000003</v>
      </c>
      <c r="I157" s="5"/>
      <c r="J157" s="17">
        <v>1028.3</v>
      </c>
      <c r="K157" s="18">
        <v>31.758600000000001</v>
      </c>
      <c r="L157" s="18">
        <v>38.616</v>
      </c>
      <c r="M157" s="18">
        <v>41.137599999999999</v>
      </c>
      <c r="N157" s="18">
        <v>153.84620000000001</v>
      </c>
      <c r="O157" s="18">
        <f t="shared" si="12"/>
        <v>33.788150000000002</v>
      </c>
      <c r="P157" s="7"/>
      <c r="Q157" s="10"/>
      <c r="R157" s="11"/>
      <c r="S157" s="11"/>
      <c r="T157" s="26"/>
      <c r="U157" s="28">
        <f t="shared" si="13"/>
        <v>0.24410642083131179</v>
      </c>
    </row>
    <row r="158" spans="1:21" ht="16.5" thickBot="1" x14ac:dyDescent="0.3">
      <c r="B158" s="12"/>
      <c r="C158" s="19">
        <v>837.94</v>
      </c>
      <c r="D158" s="20">
        <v>26.353000000000002</v>
      </c>
      <c r="E158" s="20">
        <v>36.884999999999998</v>
      </c>
      <c r="F158" s="20">
        <v>38.792000000000002</v>
      </c>
      <c r="G158" s="20">
        <v>126.93</v>
      </c>
      <c r="H158" s="20">
        <f t="shared" si="11"/>
        <v>29.224374999999998</v>
      </c>
      <c r="I158" s="5"/>
      <c r="J158" s="19">
        <v>595.30319999999995</v>
      </c>
      <c r="K158" s="20">
        <v>30.2346</v>
      </c>
      <c r="L158" s="20">
        <v>38.039200000000001</v>
      </c>
      <c r="M158" s="20">
        <v>40.583399999999997</v>
      </c>
      <c r="N158" s="20">
        <v>166.48169999999999</v>
      </c>
      <c r="O158" s="20">
        <f t="shared" si="12"/>
        <v>32.503774999999997</v>
      </c>
      <c r="P158" s="7"/>
      <c r="Q158" s="13"/>
      <c r="R158" s="14"/>
      <c r="S158" s="14"/>
      <c r="T158" s="27"/>
      <c r="U158" s="28">
        <f t="shared" si="13"/>
        <v>0.31160245804774267</v>
      </c>
    </row>
    <row r="159" spans="1:21" x14ac:dyDescent="0.25">
      <c r="A159" s="6" t="s">
        <v>39</v>
      </c>
      <c r="B159" s="6" t="s">
        <v>53</v>
      </c>
      <c r="C159" s="15">
        <v>1551.07</v>
      </c>
      <c r="D159" s="16">
        <v>33.914999999999999</v>
      </c>
      <c r="E159" s="16">
        <v>37.308</v>
      </c>
      <c r="F159" s="16">
        <v>37.158999999999999</v>
      </c>
      <c r="G159" s="16">
        <v>445.24</v>
      </c>
      <c r="H159" s="16">
        <f t="shared" si="11"/>
        <v>34.744624999999999</v>
      </c>
      <c r="I159" s="5"/>
      <c r="J159" s="15">
        <v>1208.1184000000001</v>
      </c>
      <c r="K159" s="16">
        <v>34.969299999999997</v>
      </c>
      <c r="L159" s="16">
        <v>39.006500000000003</v>
      </c>
      <c r="M159" s="16">
        <v>38.851900000000001</v>
      </c>
      <c r="N159" s="16">
        <v>400.64100000000002</v>
      </c>
      <c r="O159" s="16">
        <f t="shared" si="12"/>
        <v>35.959274999999998</v>
      </c>
      <c r="P159" s="7"/>
      <c r="Q159" s="8">
        <f>bdrate(C159:C162,D159:D162,J159:J162,K159:K162)</f>
        <v>-0.4125681579538768</v>
      </c>
      <c r="R159" s="8">
        <f>bdrate(C159:C162,E159:E162,J159:J162,L159:L162)</f>
        <v>-0.55279229728130252</v>
      </c>
      <c r="S159" s="8">
        <f>bdrate(C159:C162,F159:F162,J159:J162,M159:M162)</f>
        <v>-0.5116655107338588</v>
      </c>
      <c r="T159" s="25">
        <f>bdrate(C159:C162,H159:H162,J159:J162,O159:O162)</f>
        <v>-0.43574158402605745</v>
      </c>
      <c r="U159" s="28">
        <f t="shared" si="13"/>
        <v>-0.10016844847722574</v>
      </c>
    </row>
    <row r="160" spans="1:21" x14ac:dyDescent="0.25">
      <c r="A160" s="9" t="s">
        <v>40</v>
      </c>
      <c r="B160" s="9"/>
      <c r="C160" s="17">
        <v>1053.92</v>
      </c>
      <c r="D160" s="18">
        <v>32.433</v>
      </c>
      <c r="E160" s="18">
        <v>36.356999999999999</v>
      </c>
      <c r="F160" s="18">
        <v>36.100999999999999</v>
      </c>
      <c r="G160" s="18">
        <v>552.49</v>
      </c>
      <c r="H160" s="18">
        <f t="shared" si="11"/>
        <v>33.382000000000005</v>
      </c>
      <c r="I160" s="5"/>
      <c r="J160" s="17">
        <v>803.43439999999998</v>
      </c>
      <c r="K160" s="18">
        <v>33.403500000000001</v>
      </c>
      <c r="L160" s="18">
        <v>37.789700000000003</v>
      </c>
      <c r="M160" s="18">
        <v>37.501399999999997</v>
      </c>
      <c r="N160" s="18">
        <v>433.2756</v>
      </c>
      <c r="O160" s="18">
        <f t="shared" si="12"/>
        <v>34.464012500000003</v>
      </c>
      <c r="P160" s="7"/>
      <c r="Q160" s="10"/>
      <c r="R160" s="11"/>
      <c r="S160" s="11"/>
      <c r="T160" s="26"/>
      <c r="U160" s="28">
        <f t="shared" si="13"/>
        <v>-0.21577657514163154</v>
      </c>
    </row>
    <row r="161" spans="1:21" x14ac:dyDescent="0.25">
      <c r="B161" s="9"/>
      <c r="C161" s="17">
        <v>647.76</v>
      </c>
      <c r="D161" s="18">
        <v>30.478999999999999</v>
      </c>
      <c r="E161" s="18">
        <v>35.363999999999997</v>
      </c>
      <c r="F161" s="18">
        <v>34.950000000000003</v>
      </c>
      <c r="G161" s="18">
        <v>582.75</v>
      </c>
      <c r="H161" s="18">
        <f t="shared" si="11"/>
        <v>31.648499999999999</v>
      </c>
      <c r="I161" s="5"/>
      <c r="J161" s="17">
        <v>503.51280000000003</v>
      </c>
      <c r="K161" s="18">
        <v>31.599900000000002</v>
      </c>
      <c r="L161" s="18">
        <v>36.585900000000002</v>
      </c>
      <c r="M161" s="18">
        <v>36.1004</v>
      </c>
      <c r="N161" s="18">
        <v>553.09730000000002</v>
      </c>
      <c r="O161" s="18">
        <f t="shared" si="12"/>
        <v>32.785712500000002</v>
      </c>
      <c r="P161" s="7"/>
      <c r="Q161" s="10"/>
      <c r="R161" s="11"/>
      <c r="S161" s="11"/>
      <c r="T161" s="26"/>
      <c r="U161" s="28">
        <f t="shared" si="13"/>
        <v>-5.0884084084084055E-2</v>
      </c>
    </row>
    <row r="162" spans="1:21" ht="16.5" thickBot="1" x14ac:dyDescent="0.3">
      <c r="B162" s="12"/>
      <c r="C162" s="19">
        <v>395.4</v>
      </c>
      <c r="D162" s="20">
        <v>28.172000000000001</v>
      </c>
      <c r="E162" s="20">
        <v>34.387999999999998</v>
      </c>
      <c r="F162" s="20">
        <v>33.975000000000001</v>
      </c>
      <c r="G162" s="20">
        <v>628.14</v>
      </c>
      <c r="H162" s="20">
        <f t="shared" si="11"/>
        <v>29.674375000000001</v>
      </c>
      <c r="I162" s="5"/>
      <c r="J162" s="19">
        <v>301.7328</v>
      </c>
      <c r="K162" s="20">
        <v>29.621500000000001</v>
      </c>
      <c r="L162" s="20">
        <v>35.257100000000001</v>
      </c>
      <c r="M162" s="20">
        <v>34.642400000000002</v>
      </c>
      <c r="N162" s="20">
        <v>654.45029999999997</v>
      </c>
      <c r="O162" s="20">
        <f t="shared" si="12"/>
        <v>30.953562500000004</v>
      </c>
      <c r="P162" s="7"/>
      <c r="Q162" s="13"/>
      <c r="R162" s="14"/>
      <c r="S162" s="14"/>
      <c r="T162" s="27"/>
      <c r="U162" s="28">
        <f t="shared" si="13"/>
        <v>4.1886044512369831E-2</v>
      </c>
    </row>
    <row r="163" spans="1:21" x14ac:dyDescent="0.25">
      <c r="B163" s="6" t="s">
        <v>54</v>
      </c>
      <c r="C163" s="15">
        <v>1571.77</v>
      </c>
      <c r="D163" s="16">
        <v>34.173999999999999</v>
      </c>
      <c r="E163" s="16">
        <v>39.08</v>
      </c>
      <c r="F163" s="16">
        <v>39.814999999999998</v>
      </c>
      <c r="G163" s="16">
        <v>458.02</v>
      </c>
      <c r="H163" s="16">
        <f t="shared" si="11"/>
        <v>35.492374999999996</v>
      </c>
      <c r="I163" s="5"/>
      <c r="J163" s="15">
        <v>1233.104</v>
      </c>
      <c r="K163" s="16">
        <v>35.176200000000001</v>
      </c>
      <c r="L163" s="16">
        <v>40.452100000000002</v>
      </c>
      <c r="M163" s="16">
        <v>41.289200000000001</v>
      </c>
      <c r="N163" s="16">
        <v>396.30119999999999</v>
      </c>
      <c r="O163" s="16">
        <f t="shared" si="12"/>
        <v>36.599812500000006</v>
      </c>
      <c r="P163" s="7"/>
      <c r="Q163" s="8">
        <f>bdrate(C163:C166,D163:D166,J163:J166,K163:K166)</f>
        <v>-0.44334901025924323</v>
      </c>
      <c r="R163" s="8">
        <f>bdrate(C163:C166,E163:E166,J163:J166,L163:L166)</f>
        <v>-0.53644252881556431</v>
      </c>
      <c r="S163" s="8">
        <f>bdrate(C163:C166,F163:F166,J163:J166,M163:M166)</f>
        <v>-0.51426345042290822</v>
      </c>
      <c r="T163" s="25">
        <f>bdrate(C163:C166,H163:H166,J163:J166,O163:O166)</f>
        <v>-0.45729454162286098</v>
      </c>
      <c r="U163" s="28">
        <f t="shared" ref="U163:U194" si="14">(N163-G163)/G163</f>
        <v>-0.13475132090301731</v>
      </c>
    </row>
    <row r="164" spans="1:21" x14ac:dyDescent="0.25">
      <c r="B164" s="9"/>
      <c r="C164" s="17">
        <v>1065</v>
      </c>
      <c r="D164" s="18">
        <v>32.344000000000001</v>
      </c>
      <c r="E164" s="18">
        <v>38.31</v>
      </c>
      <c r="F164" s="18">
        <v>38.991999999999997</v>
      </c>
      <c r="G164" s="18">
        <v>541.52</v>
      </c>
      <c r="H164" s="18">
        <f t="shared" si="11"/>
        <v>33.920750000000005</v>
      </c>
      <c r="I164" s="5"/>
      <c r="J164" s="17">
        <v>820.75519999999995</v>
      </c>
      <c r="K164" s="18">
        <v>33.572800000000001</v>
      </c>
      <c r="L164" s="18">
        <v>39.491199999999999</v>
      </c>
      <c r="M164" s="18">
        <v>40.192599999999999</v>
      </c>
      <c r="N164" s="18">
        <v>480.76920000000001</v>
      </c>
      <c r="O164" s="18">
        <f t="shared" si="12"/>
        <v>35.140074999999996</v>
      </c>
      <c r="P164" s="7"/>
      <c r="Q164" s="10"/>
      <c r="R164" s="11"/>
      <c r="S164" s="11"/>
      <c r="T164" s="26"/>
      <c r="U164" s="28">
        <f t="shared" si="14"/>
        <v>-0.11218569951248333</v>
      </c>
    </row>
    <row r="165" spans="1:21" x14ac:dyDescent="0.25">
      <c r="B165" s="9"/>
      <c r="C165" s="17">
        <v>657.31</v>
      </c>
      <c r="D165" s="18">
        <v>29.917000000000002</v>
      </c>
      <c r="E165" s="18">
        <v>37.408999999999999</v>
      </c>
      <c r="F165" s="18">
        <v>37.963000000000001</v>
      </c>
      <c r="G165" s="18">
        <v>549.45000000000005</v>
      </c>
      <c r="H165" s="18">
        <f t="shared" si="11"/>
        <v>31.859249999999999</v>
      </c>
      <c r="I165" s="5"/>
      <c r="J165" s="17">
        <v>513.0992</v>
      </c>
      <c r="K165" s="18">
        <v>31.657900000000001</v>
      </c>
      <c r="L165" s="18">
        <v>38.407600000000002</v>
      </c>
      <c r="M165" s="18">
        <v>38.990900000000003</v>
      </c>
      <c r="N165" s="18">
        <v>557.62080000000003</v>
      </c>
      <c r="O165" s="18">
        <f t="shared" si="12"/>
        <v>33.418237500000004</v>
      </c>
      <c r="P165" s="7"/>
      <c r="Q165" s="10"/>
      <c r="R165" s="11"/>
      <c r="S165" s="11"/>
      <c r="T165" s="26"/>
      <c r="U165" s="28">
        <f t="shared" si="14"/>
        <v>1.4870870870870844E-2</v>
      </c>
    </row>
    <row r="166" spans="1:21" ht="16.5" thickBot="1" x14ac:dyDescent="0.3">
      <c r="B166" s="12"/>
      <c r="C166" s="19">
        <v>403.22</v>
      </c>
      <c r="D166" s="20">
        <v>27.097999999999999</v>
      </c>
      <c r="E166" s="20">
        <v>36.502000000000002</v>
      </c>
      <c r="F166" s="20">
        <v>37.026000000000003</v>
      </c>
      <c r="G166" s="20">
        <v>582.52</v>
      </c>
      <c r="H166" s="20">
        <f t="shared" si="11"/>
        <v>29.514500000000002</v>
      </c>
      <c r="I166" s="5"/>
      <c r="J166" s="19">
        <v>308.36</v>
      </c>
      <c r="K166" s="20">
        <v>29.5747</v>
      </c>
      <c r="L166" s="20">
        <v>37.336100000000002</v>
      </c>
      <c r="M166" s="20">
        <v>37.767499999999998</v>
      </c>
      <c r="N166" s="20">
        <v>662.98339999999996</v>
      </c>
      <c r="O166" s="20">
        <f t="shared" si="12"/>
        <v>31.568974999999995</v>
      </c>
      <c r="P166" s="7"/>
      <c r="Q166" s="13"/>
      <c r="R166" s="14"/>
      <c r="S166" s="14"/>
      <c r="T166" s="27"/>
      <c r="U166" s="28">
        <f t="shared" si="14"/>
        <v>0.13812984961889718</v>
      </c>
    </row>
    <row r="167" spans="1:21" x14ac:dyDescent="0.25">
      <c r="B167" s="6" t="s">
        <v>55</v>
      </c>
      <c r="C167" s="15">
        <v>1434.52</v>
      </c>
      <c r="D167" s="16">
        <v>28.427</v>
      </c>
      <c r="E167" s="16">
        <v>34.868000000000002</v>
      </c>
      <c r="F167" s="16">
        <v>35.511000000000003</v>
      </c>
      <c r="G167" s="16">
        <v>517.05999999999995</v>
      </c>
      <c r="H167" s="16">
        <f t="shared" si="11"/>
        <v>30.117625</v>
      </c>
      <c r="I167" s="5"/>
      <c r="J167" s="15">
        <v>1208.3263999999999</v>
      </c>
      <c r="K167" s="16">
        <v>30.280100000000001</v>
      </c>
      <c r="L167" s="16">
        <v>36.673099999999998</v>
      </c>
      <c r="M167" s="16">
        <v>37.429000000000002</v>
      </c>
      <c r="N167" s="16">
        <v>372.85610000000003</v>
      </c>
      <c r="O167" s="16">
        <f t="shared" si="12"/>
        <v>31.972837500000001</v>
      </c>
      <c r="P167" s="7"/>
      <c r="Q167" s="8">
        <f>bdrate(C167:C170,D167:D170,J167:J170,K167:K170)</f>
        <v>-0.52637914139909181</v>
      </c>
      <c r="R167" s="8">
        <f>bdrate(C167:C170,E167:E170,J167:J170,L167:L170)</f>
        <v>-0.63404985300802741</v>
      </c>
      <c r="S167" s="8">
        <f>bdrate(C167:C170,F167:F170,J167:J170,M167:M170)</f>
        <v>-0.64558901054152584</v>
      </c>
      <c r="T167" s="25">
        <f>bdrate(C167:C170,H167:H170,J167:J170,O167:O170)</f>
        <v>-0.54437166040480101</v>
      </c>
      <c r="U167" s="28">
        <f t="shared" si="14"/>
        <v>-0.27889200479634846</v>
      </c>
    </row>
    <row r="168" spans="1:21" x14ac:dyDescent="0.25">
      <c r="B168" s="9"/>
      <c r="C168" s="17">
        <v>970.93</v>
      </c>
      <c r="D168" s="18">
        <v>27.15</v>
      </c>
      <c r="E168" s="18">
        <v>34.441000000000003</v>
      </c>
      <c r="F168" s="18">
        <v>35.112000000000002</v>
      </c>
      <c r="G168" s="18">
        <v>582.75</v>
      </c>
      <c r="H168" s="18">
        <f t="shared" si="11"/>
        <v>29.056624999999997</v>
      </c>
      <c r="I168" s="5"/>
      <c r="J168" s="17">
        <v>807.99599999999998</v>
      </c>
      <c r="K168" s="18">
        <v>28.947399999999998</v>
      </c>
      <c r="L168" s="18">
        <v>35.874400000000001</v>
      </c>
      <c r="M168" s="18">
        <v>36.643799999999999</v>
      </c>
      <c r="N168" s="18">
        <v>439.3673</v>
      </c>
      <c r="O168" s="18">
        <f t="shared" si="12"/>
        <v>30.775324999999999</v>
      </c>
      <c r="P168" s="7"/>
      <c r="Q168" s="10"/>
      <c r="R168" s="11"/>
      <c r="S168" s="11"/>
      <c r="T168" s="26"/>
      <c r="U168" s="28">
        <f t="shared" si="14"/>
        <v>-0.24604495924495925</v>
      </c>
    </row>
    <row r="169" spans="1:21" x14ac:dyDescent="0.25">
      <c r="B169" s="9"/>
      <c r="C169" s="17">
        <v>603.51</v>
      </c>
      <c r="D169" s="18">
        <v>25.675000000000001</v>
      </c>
      <c r="E169" s="18">
        <v>33.954000000000001</v>
      </c>
      <c r="F169" s="18">
        <v>34.651000000000003</v>
      </c>
      <c r="G169" s="18">
        <v>628.92999999999995</v>
      </c>
      <c r="H169" s="18">
        <f t="shared" si="11"/>
        <v>27.831875000000004</v>
      </c>
      <c r="I169" s="5"/>
      <c r="J169" s="17">
        <v>508.47199999999998</v>
      </c>
      <c r="K169" s="18">
        <v>27.473500000000001</v>
      </c>
      <c r="L169" s="18">
        <v>34.9938</v>
      </c>
      <c r="M169" s="18">
        <v>35.758099999999999</v>
      </c>
      <c r="N169" s="18">
        <v>525.21010000000001</v>
      </c>
      <c r="O169" s="18">
        <f t="shared" si="12"/>
        <v>29.449112499999998</v>
      </c>
      <c r="P169" s="7"/>
      <c r="Q169" s="10"/>
      <c r="R169" s="11"/>
      <c r="S169" s="11"/>
      <c r="T169" s="26"/>
      <c r="U169" s="28">
        <f t="shared" si="14"/>
        <v>-0.16491485538931192</v>
      </c>
    </row>
    <row r="170" spans="1:21" ht="16.5" thickBot="1" x14ac:dyDescent="0.3">
      <c r="B170" s="12"/>
      <c r="C170" s="19">
        <v>370.5</v>
      </c>
      <c r="D170" s="20">
        <v>24.152000000000001</v>
      </c>
      <c r="E170" s="20">
        <v>33.509</v>
      </c>
      <c r="F170" s="20">
        <v>34.234000000000002</v>
      </c>
      <c r="G170" s="20">
        <v>654.45000000000005</v>
      </c>
      <c r="H170" s="20">
        <f t="shared" si="11"/>
        <v>26.581875</v>
      </c>
      <c r="I170" s="5"/>
      <c r="J170" s="19">
        <v>305.57440000000003</v>
      </c>
      <c r="K170" s="20">
        <v>25.892900000000001</v>
      </c>
      <c r="L170" s="20">
        <v>34.172899999999998</v>
      </c>
      <c r="M170" s="20">
        <v>34.856200000000001</v>
      </c>
      <c r="N170" s="20">
        <v>604.59490000000005</v>
      </c>
      <c r="O170" s="20">
        <f t="shared" si="12"/>
        <v>28.048312500000002</v>
      </c>
      <c r="P170" s="7"/>
      <c r="Q170" s="13"/>
      <c r="R170" s="14"/>
      <c r="S170" s="14"/>
      <c r="T170" s="27"/>
      <c r="U170" s="28">
        <f t="shared" si="14"/>
        <v>-7.6178623271449294E-2</v>
      </c>
    </row>
    <row r="171" spans="1:21" x14ac:dyDescent="0.25">
      <c r="B171" s="6" t="s">
        <v>56</v>
      </c>
      <c r="C171" s="15">
        <v>1430.52</v>
      </c>
      <c r="D171" s="16">
        <v>32.164000000000001</v>
      </c>
      <c r="E171" s="16">
        <v>36.247999999999998</v>
      </c>
      <c r="F171" s="16">
        <v>37.813000000000002</v>
      </c>
      <c r="G171" s="16">
        <v>392.67</v>
      </c>
      <c r="H171" s="16">
        <f t="shared" si="11"/>
        <v>33.380625000000002</v>
      </c>
      <c r="I171" s="5"/>
      <c r="J171" s="15">
        <v>1203.0848000000001</v>
      </c>
      <c r="K171" s="16">
        <v>32.357599999999998</v>
      </c>
      <c r="L171" s="16">
        <v>36.852600000000002</v>
      </c>
      <c r="M171" s="16">
        <v>38.392299999999999</v>
      </c>
      <c r="N171" s="16">
        <v>283.01889999999997</v>
      </c>
      <c r="O171" s="16">
        <f t="shared" si="12"/>
        <v>33.673812499999997</v>
      </c>
      <c r="P171" s="7"/>
      <c r="Q171" s="8">
        <f>bdrate(C171:C174,D171:D174,J171:J174,K171:K174)</f>
        <v>-0.26305048537157782</v>
      </c>
      <c r="R171" s="8">
        <f>bdrate(C171:C174,E171:E174,J171:J174,L171:L174)</f>
        <v>-0.30937084940282189</v>
      </c>
      <c r="S171" s="8">
        <f>bdrate(C171:C174,F171:F174,J171:J174,M171:M174)</f>
        <v>-0.31623116929622297</v>
      </c>
      <c r="T171" s="25">
        <f>bdrate(C171:C174,H171:H174,J171:J174,O171:O174)</f>
        <v>-0.27240711710190679</v>
      </c>
      <c r="U171" s="28">
        <f t="shared" si="14"/>
        <v>-0.27924491303129867</v>
      </c>
    </row>
    <row r="172" spans="1:21" x14ac:dyDescent="0.25">
      <c r="B172" s="9"/>
      <c r="C172" s="17">
        <v>976.5</v>
      </c>
      <c r="D172" s="18">
        <v>30.556999999999999</v>
      </c>
      <c r="E172" s="18">
        <v>35.567</v>
      </c>
      <c r="F172" s="18">
        <v>37.100999999999999</v>
      </c>
      <c r="G172" s="18">
        <v>447.09</v>
      </c>
      <c r="H172" s="18">
        <f t="shared" si="11"/>
        <v>32.001249999999999</v>
      </c>
      <c r="I172" s="5"/>
      <c r="J172" s="17">
        <v>801.65679999999998</v>
      </c>
      <c r="K172" s="18">
        <v>30.8261</v>
      </c>
      <c r="L172" s="18">
        <v>35.948599999999999</v>
      </c>
      <c r="M172" s="18">
        <v>37.5017</v>
      </c>
      <c r="N172" s="18">
        <v>337.45780000000002</v>
      </c>
      <c r="O172" s="18">
        <f t="shared" si="12"/>
        <v>32.300862500000001</v>
      </c>
      <c r="P172" s="7"/>
      <c r="Q172" s="10"/>
      <c r="R172" s="11"/>
      <c r="S172" s="11"/>
      <c r="T172" s="26"/>
      <c r="U172" s="28">
        <f t="shared" si="14"/>
        <v>-0.24521282068487321</v>
      </c>
    </row>
    <row r="173" spans="1:21" x14ac:dyDescent="0.25">
      <c r="B173" s="9"/>
      <c r="C173" s="17">
        <v>615.01</v>
      </c>
      <c r="D173" s="18">
        <v>28.638999999999999</v>
      </c>
      <c r="E173" s="18">
        <v>34.786999999999999</v>
      </c>
      <c r="F173" s="18">
        <v>36.255000000000003</v>
      </c>
      <c r="G173" s="18">
        <v>427.35</v>
      </c>
      <c r="H173" s="18">
        <f t="shared" si="11"/>
        <v>30.359500000000001</v>
      </c>
      <c r="I173" s="5"/>
      <c r="J173" s="17">
        <v>500.89920000000001</v>
      </c>
      <c r="K173" s="18">
        <v>29.111999999999998</v>
      </c>
      <c r="L173" s="18">
        <v>35.041699999999999</v>
      </c>
      <c r="M173" s="18">
        <v>36.564799999999998</v>
      </c>
      <c r="N173" s="18">
        <v>392.67020000000002</v>
      </c>
      <c r="O173" s="18">
        <f t="shared" si="12"/>
        <v>30.784812499999997</v>
      </c>
      <c r="P173" s="7"/>
      <c r="Q173" s="10"/>
      <c r="R173" s="11"/>
      <c r="S173" s="11"/>
      <c r="T173" s="26"/>
      <c r="U173" s="28">
        <f t="shared" si="14"/>
        <v>-8.1150813150813142E-2</v>
      </c>
    </row>
    <row r="174" spans="1:21" ht="16.5" thickBot="1" x14ac:dyDescent="0.3">
      <c r="B174" s="12"/>
      <c r="C174" s="19">
        <v>379.75</v>
      </c>
      <c r="D174" s="20">
        <v>26.513999999999999</v>
      </c>
      <c r="E174" s="20">
        <v>33.887</v>
      </c>
      <c r="F174" s="20">
        <v>35.267000000000003</v>
      </c>
      <c r="G174" s="20">
        <v>534.76</v>
      </c>
      <c r="H174" s="20">
        <f t="shared" si="11"/>
        <v>28.52975</v>
      </c>
      <c r="I174" s="5"/>
      <c r="J174" s="19">
        <v>301.20319999999998</v>
      </c>
      <c r="K174" s="20">
        <v>27.5093</v>
      </c>
      <c r="L174" s="20">
        <v>34.095799999999997</v>
      </c>
      <c r="M174" s="20">
        <v>35.5246</v>
      </c>
      <c r="N174" s="20">
        <v>519.03110000000004</v>
      </c>
      <c r="O174" s="20">
        <f t="shared" si="12"/>
        <v>29.334524999999999</v>
      </c>
      <c r="P174" s="7"/>
      <c r="Q174" s="13"/>
      <c r="R174" s="14"/>
      <c r="S174" s="14"/>
      <c r="T174" s="27"/>
      <c r="U174" s="28">
        <f t="shared" si="14"/>
        <v>-2.9413007704390669E-2</v>
      </c>
    </row>
    <row r="175" spans="1:21" x14ac:dyDescent="0.25">
      <c r="A175" s="6" t="s">
        <v>41</v>
      </c>
      <c r="B175" s="6" t="s">
        <v>57</v>
      </c>
      <c r="C175" s="15">
        <v>850.11</v>
      </c>
      <c r="D175" s="16">
        <v>34.750999999999998</v>
      </c>
      <c r="E175" s="16">
        <v>38.750999999999998</v>
      </c>
      <c r="F175" s="16">
        <v>37.621000000000002</v>
      </c>
      <c r="G175" s="16">
        <v>1457.73</v>
      </c>
      <c r="H175" s="16">
        <f t="shared" si="11"/>
        <v>35.609749999999998</v>
      </c>
      <c r="I175" s="5"/>
      <c r="J175" s="15">
        <v>602.59680000000003</v>
      </c>
      <c r="K175" s="16">
        <v>34.344200000000001</v>
      </c>
      <c r="L175" s="16">
        <v>39.622100000000003</v>
      </c>
      <c r="M175" s="16">
        <v>38.131700000000002</v>
      </c>
      <c r="N175" s="16">
        <v>943.39620000000002</v>
      </c>
      <c r="O175" s="16">
        <f t="shared" si="12"/>
        <v>35.477375000000002</v>
      </c>
      <c r="P175" s="7"/>
      <c r="Q175" s="8">
        <f>bdrate(C175:C178,D175:D178,J175:J178,K175:K178)</f>
        <v>-0.27283902229011425</v>
      </c>
      <c r="R175" s="8">
        <f>bdrate(C175:C178,E175:E178,J175:J178,L175:L178)</f>
        <v>-0.43585198758129018</v>
      </c>
      <c r="S175" s="8">
        <f>bdrate(C175:C178,F175:F178,J175:J178,M175:M178)</f>
        <v>-0.35448834305785637</v>
      </c>
      <c r="T175" s="25">
        <f>bdrate(C175:C178,H175:H178,J175:J178,O175:O178)</f>
        <v>-0.29311319241120848</v>
      </c>
      <c r="U175" s="28">
        <f t="shared" si="14"/>
        <v>-0.35283200592702352</v>
      </c>
    </row>
    <row r="176" spans="1:21" x14ac:dyDescent="0.25">
      <c r="A176" s="9" t="s">
        <v>42</v>
      </c>
      <c r="B176" s="9"/>
      <c r="C176" s="17">
        <v>531.82000000000005</v>
      </c>
      <c r="D176" s="18">
        <v>32.515999999999998</v>
      </c>
      <c r="E176" s="18">
        <v>37.652000000000001</v>
      </c>
      <c r="F176" s="18">
        <v>36.243000000000002</v>
      </c>
      <c r="G176" s="18">
        <v>1683.5</v>
      </c>
      <c r="H176" s="18">
        <f t="shared" si="11"/>
        <v>33.623874999999998</v>
      </c>
      <c r="I176" s="5"/>
      <c r="J176" s="17">
        <v>402.46319999999997</v>
      </c>
      <c r="K176" s="18">
        <v>32.519300000000001</v>
      </c>
      <c r="L176" s="18">
        <v>38.462499999999999</v>
      </c>
      <c r="M176" s="18">
        <v>36.8307</v>
      </c>
      <c r="N176" s="18">
        <v>1144.1648</v>
      </c>
      <c r="O176" s="18">
        <f t="shared" si="12"/>
        <v>33.801124999999999</v>
      </c>
      <c r="P176" s="7"/>
      <c r="Q176" s="10"/>
      <c r="R176" s="11"/>
      <c r="S176" s="11"/>
      <c r="T176" s="26"/>
      <c r="U176" s="28">
        <f t="shared" si="14"/>
        <v>-0.32036542916542915</v>
      </c>
    </row>
    <row r="177" spans="1:21" x14ac:dyDescent="0.25">
      <c r="B177" s="9"/>
      <c r="C177" s="17">
        <v>321.74</v>
      </c>
      <c r="D177" s="18">
        <v>30.224</v>
      </c>
      <c r="E177" s="18">
        <v>36.68</v>
      </c>
      <c r="F177" s="18">
        <v>35.081000000000003</v>
      </c>
      <c r="G177" s="18">
        <v>1524.39</v>
      </c>
      <c r="H177" s="18">
        <f t="shared" si="11"/>
        <v>31.638125000000002</v>
      </c>
      <c r="I177" s="5"/>
      <c r="J177" s="17">
        <v>253.4776</v>
      </c>
      <c r="K177" s="18">
        <v>30.568899999999999</v>
      </c>
      <c r="L177" s="18">
        <v>37.3444</v>
      </c>
      <c r="M177" s="18">
        <v>35.575800000000001</v>
      </c>
      <c r="N177" s="18">
        <v>1333.3333</v>
      </c>
      <c r="O177" s="18">
        <f t="shared" si="12"/>
        <v>32.041699999999999</v>
      </c>
      <c r="P177" s="7"/>
      <c r="Q177" s="10"/>
      <c r="R177" s="11"/>
      <c r="S177" s="11"/>
      <c r="T177" s="26"/>
      <c r="U177" s="28">
        <f t="shared" si="14"/>
        <v>-0.12533321525331451</v>
      </c>
    </row>
    <row r="178" spans="1:21" ht="16.5" thickBot="1" x14ac:dyDescent="0.3">
      <c r="B178" s="12"/>
      <c r="C178" s="19">
        <v>165.06</v>
      </c>
      <c r="D178" s="20">
        <v>27.103999999999999</v>
      </c>
      <c r="E178" s="20">
        <v>35.418999999999997</v>
      </c>
      <c r="F178" s="20">
        <v>33.722000000000001</v>
      </c>
      <c r="G178" s="20">
        <v>1689.19</v>
      </c>
      <c r="H178" s="20">
        <f t="shared" si="11"/>
        <v>28.970625000000002</v>
      </c>
      <c r="I178" s="5"/>
      <c r="J178" s="19">
        <v>121.5256</v>
      </c>
      <c r="K178" s="20">
        <v>27.706800000000001</v>
      </c>
      <c r="L178" s="20">
        <v>35.752099999999999</v>
      </c>
      <c r="M178" s="20">
        <v>33.653500000000001</v>
      </c>
      <c r="N178" s="20">
        <v>1779.3594000000001</v>
      </c>
      <c r="O178" s="20">
        <f t="shared" si="12"/>
        <v>29.455800000000004</v>
      </c>
      <c r="P178" s="7"/>
      <c r="Q178" s="13"/>
      <c r="R178" s="14"/>
      <c r="S178" s="14"/>
      <c r="T178" s="27"/>
      <c r="U178" s="28">
        <f t="shared" si="14"/>
        <v>5.3380259177475589E-2</v>
      </c>
    </row>
    <row r="179" spans="1:21" x14ac:dyDescent="0.25">
      <c r="B179" s="6" t="s">
        <v>58</v>
      </c>
      <c r="C179" s="15">
        <v>740.86</v>
      </c>
      <c r="D179" s="16">
        <v>30.843</v>
      </c>
      <c r="E179" s="16">
        <v>38.604999999999997</v>
      </c>
      <c r="F179" s="16">
        <v>39.046999999999997</v>
      </c>
      <c r="G179" s="16">
        <v>1604.28</v>
      </c>
      <c r="H179" s="16">
        <f t="shared" si="11"/>
        <v>32.838749999999997</v>
      </c>
      <c r="I179" s="5"/>
      <c r="J179" s="15">
        <v>599.83199999999999</v>
      </c>
      <c r="K179" s="16">
        <v>33.598199999999999</v>
      </c>
      <c r="L179" s="16">
        <v>41.313600000000001</v>
      </c>
      <c r="M179" s="16">
        <v>42.096400000000003</v>
      </c>
      <c r="N179" s="16">
        <v>1098.9011</v>
      </c>
      <c r="O179" s="16">
        <f t="shared" si="12"/>
        <v>35.624900000000004</v>
      </c>
      <c r="P179" s="7"/>
      <c r="Q179" s="8">
        <f>bdrate(C179:C182,D179:D182,J179:J182,K179:K182)</f>
        <v>-0.66241156477055529</v>
      </c>
      <c r="R179" s="8">
        <f>bdrate(C179:C182,E179:E182,J179:J182,L179:L182)</f>
        <v>-0.7735024717308181</v>
      </c>
      <c r="S179" s="8">
        <f>bdrate(C179:C182,F179:F182,J179:J182,M179:M182)</f>
        <v>-0.78578394262345519</v>
      </c>
      <c r="T179" s="25">
        <f>bdrate(C179:C182,H179:H182,J179:J182,O179:O182)</f>
        <v>-0.68031533711388081</v>
      </c>
      <c r="U179" s="28">
        <f t="shared" si="14"/>
        <v>-0.31501913631036971</v>
      </c>
    </row>
    <row r="180" spans="1:21" x14ac:dyDescent="0.25">
      <c r="B180" s="9"/>
      <c r="C180" s="17">
        <v>461.9</v>
      </c>
      <c r="D180" s="18">
        <v>29.105</v>
      </c>
      <c r="E180" s="18">
        <v>38.067999999999998</v>
      </c>
      <c r="F180" s="18">
        <v>38.445</v>
      </c>
      <c r="G180" s="18">
        <v>1923.08</v>
      </c>
      <c r="H180" s="18">
        <f t="shared" si="11"/>
        <v>31.392874999999997</v>
      </c>
      <c r="I180" s="5"/>
      <c r="J180" s="17">
        <v>399.4984</v>
      </c>
      <c r="K180" s="18">
        <v>32.304900000000004</v>
      </c>
      <c r="L180" s="18">
        <v>40.373100000000001</v>
      </c>
      <c r="M180" s="18">
        <v>41.199800000000003</v>
      </c>
      <c r="N180" s="18">
        <v>1282.0513000000001</v>
      </c>
      <c r="O180" s="18">
        <f t="shared" si="12"/>
        <v>34.425287500000003</v>
      </c>
      <c r="P180" s="7"/>
      <c r="Q180" s="10"/>
      <c r="R180" s="11"/>
      <c r="S180" s="11"/>
      <c r="T180" s="26"/>
      <c r="U180" s="28">
        <f t="shared" si="14"/>
        <v>-0.33333439066497489</v>
      </c>
    </row>
    <row r="181" spans="1:21" x14ac:dyDescent="0.25">
      <c r="B181" s="9"/>
      <c r="C181" s="17">
        <v>275.7</v>
      </c>
      <c r="D181" s="18">
        <v>27.440999999999999</v>
      </c>
      <c r="E181" s="18">
        <v>37.655000000000001</v>
      </c>
      <c r="F181" s="18">
        <v>37.749000000000002</v>
      </c>
      <c r="G181" s="18">
        <v>1923.08</v>
      </c>
      <c r="H181" s="18">
        <f t="shared" si="11"/>
        <v>30.006249999999998</v>
      </c>
      <c r="I181" s="5"/>
      <c r="J181" s="17">
        <v>250.1472</v>
      </c>
      <c r="K181" s="18">
        <v>30.788599999999999</v>
      </c>
      <c r="L181" s="18">
        <v>39.470100000000002</v>
      </c>
      <c r="M181" s="18">
        <v>40.058399999999999</v>
      </c>
      <c r="N181" s="18">
        <v>1600</v>
      </c>
      <c r="O181" s="18">
        <f t="shared" si="12"/>
        <v>33.032512499999996</v>
      </c>
      <c r="P181" s="7"/>
      <c r="Q181" s="10"/>
      <c r="R181" s="11"/>
      <c r="S181" s="11"/>
      <c r="T181" s="26"/>
      <c r="U181" s="28">
        <f t="shared" si="14"/>
        <v>-0.16800133119787006</v>
      </c>
    </row>
    <row r="182" spans="1:21" ht="16.5" thickBot="1" x14ac:dyDescent="0.3">
      <c r="B182" s="12"/>
      <c r="C182" s="19">
        <v>136.34</v>
      </c>
      <c r="D182" s="20">
        <v>25.28</v>
      </c>
      <c r="E182" s="20">
        <v>37.079000000000001</v>
      </c>
      <c r="F182" s="20">
        <v>37.093000000000004</v>
      </c>
      <c r="G182" s="20">
        <v>1829.27</v>
      </c>
      <c r="H182" s="20">
        <f t="shared" si="11"/>
        <v>28.231500000000004</v>
      </c>
      <c r="I182" s="5"/>
      <c r="J182" s="19">
        <v>119.81440000000001</v>
      </c>
      <c r="K182" s="20">
        <v>28.147099999999998</v>
      </c>
      <c r="L182" s="20">
        <v>38.109499999999997</v>
      </c>
      <c r="M182" s="20">
        <v>38.633899999999997</v>
      </c>
      <c r="N182" s="20">
        <v>1923.0769</v>
      </c>
      <c r="O182" s="20">
        <f t="shared" si="12"/>
        <v>30.703249999999997</v>
      </c>
      <c r="P182" s="7"/>
      <c r="Q182" s="13"/>
      <c r="R182" s="14"/>
      <c r="S182" s="14"/>
      <c r="T182" s="27"/>
      <c r="U182" s="28">
        <f t="shared" si="14"/>
        <v>5.1281057471013053E-2</v>
      </c>
    </row>
    <row r="183" spans="1:21" x14ac:dyDescent="0.25">
      <c r="B183" s="6" t="s">
        <v>59</v>
      </c>
      <c r="C183" s="29">
        <v>836.75</v>
      </c>
      <c r="D183" s="30">
        <v>32.526000000000003</v>
      </c>
      <c r="E183" s="30">
        <v>36.087000000000003</v>
      </c>
      <c r="F183" s="30">
        <v>36.493000000000002</v>
      </c>
      <c r="G183" s="16">
        <v>1524.39</v>
      </c>
      <c r="H183" s="16">
        <f t="shared" si="11"/>
        <v>33.466999999999999</v>
      </c>
      <c r="I183" s="5"/>
      <c r="J183" s="29">
        <v>639.80399999999997</v>
      </c>
      <c r="K183" s="30">
        <v>33.100700000000003</v>
      </c>
      <c r="L183" s="30">
        <v>38.1158</v>
      </c>
      <c r="M183" s="30">
        <v>38.869100000000003</v>
      </c>
      <c r="N183" s="16">
        <v>970.87379999999996</v>
      </c>
      <c r="O183" s="16">
        <f t="shared" si="12"/>
        <v>34.448637500000004</v>
      </c>
      <c r="P183" s="7"/>
      <c r="Q183" s="8">
        <f>bdrate(C183:C186,D183:D186,J183:J186,K183:K186)</f>
        <v>-0.37588419473694956</v>
      </c>
      <c r="R183" s="8">
        <f>bdrate(C183:C186,E183:E186,J183:J186,L183:L186)</f>
        <v>-0.62988886035829106</v>
      </c>
      <c r="S183" s="8">
        <f>bdrate(C183:C186,F183:F186,J183:J186,M183:M186)</f>
        <v>-0.6742851724751725</v>
      </c>
      <c r="T183" s="25">
        <f>bdrate(C183:C186,H183:H186,J183:J186,O183:O186)</f>
        <v>-0.43125387960510453</v>
      </c>
      <c r="U183" s="28">
        <f t="shared" si="14"/>
        <v>-0.36310668529706974</v>
      </c>
    </row>
    <row r="184" spans="1:21" x14ac:dyDescent="0.25">
      <c r="B184" s="9"/>
      <c r="C184" s="31">
        <v>522.47</v>
      </c>
      <c r="D184" s="32">
        <v>30.635999999999999</v>
      </c>
      <c r="E184" s="32">
        <v>35.194000000000003</v>
      </c>
      <c r="F184" s="32">
        <v>35.621000000000002</v>
      </c>
      <c r="G184" s="18">
        <v>1689.19</v>
      </c>
      <c r="H184" s="18">
        <f t="shared" si="11"/>
        <v>31.828875</v>
      </c>
      <c r="I184" s="5"/>
      <c r="J184" s="31">
        <v>427.3184</v>
      </c>
      <c r="K184" s="32">
        <v>31.6112</v>
      </c>
      <c r="L184" s="32">
        <v>37.076300000000003</v>
      </c>
      <c r="M184" s="32">
        <v>37.813499999999998</v>
      </c>
      <c r="N184" s="18">
        <v>1231.5271</v>
      </c>
      <c r="O184" s="18">
        <f t="shared" si="12"/>
        <v>33.069625000000002</v>
      </c>
      <c r="P184" s="7"/>
      <c r="Q184" s="10"/>
      <c r="R184" s="11"/>
      <c r="S184" s="11"/>
      <c r="T184" s="26"/>
      <c r="U184" s="28">
        <f t="shared" si="14"/>
        <v>-0.27093630675057279</v>
      </c>
    </row>
    <row r="185" spans="1:21" x14ac:dyDescent="0.25">
      <c r="B185" s="9"/>
      <c r="C185" s="31">
        <v>311.39999999999998</v>
      </c>
      <c r="D185" s="32">
        <v>28.757000000000001</v>
      </c>
      <c r="E185" s="32">
        <v>34.347000000000001</v>
      </c>
      <c r="F185" s="32">
        <v>34.811</v>
      </c>
      <c r="G185" s="18">
        <v>1785.71</v>
      </c>
      <c r="H185" s="18">
        <f t="shared" si="11"/>
        <v>30.212500000000002</v>
      </c>
      <c r="I185" s="5"/>
      <c r="J185" s="31">
        <v>264.6336</v>
      </c>
      <c r="K185" s="32">
        <v>29.856300000000001</v>
      </c>
      <c r="L185" s="32">
        <v>35.871000000000002</v>
      </c>
      <c r="M185" s="32">
        <v>36.564900000000002</v>
      </c>
      <c r="N185" s="18">
        <v>1333.3333</v>
      </c>
      <c r="O185" s="18">
        <f t="shared" si="12"/>
        <v>31.4467125</v>
      </c>
      <c r="P185" s="7"/>
      <c r="Q185" s="10"/>
      <c r="R185" s="11"/>
      <c r="S185" s="11"/>
      <c r="T185" s="26"/>
      <c r="U185" s="28">
        <f t="shared" si="14"/>
        <v>-0.25333155999574403</v>
      </c>
    </row>
    <row r="186" spans="1:21" ht="16.5" thickBot="1" x14ac:dyDescent="0.3">
      <c r="B186" s="12"/>
      <c r="C186" s="33">
        <v>152.97</v>
      </c>
      <c r="D186" s="34">
        <v>26.361999999999998</v>
      </c>
      <c r="E186" s="34">
        <v>33.511000000000003</v>
      </c>
      <c r="F186" s="34">
        <v>34.009</v>
      </c>
      <c r="G186" s="20">
        <v>1779.36</v>
      </c>
      <c r="H186" s="20">
        <f t="shared" si="11"/>
        <v>28.211500000000001</v>
      </c>
      <c r="I186" s="5"/>
      <c r="J186" s="33">
        <v>126.4312</v>
      </c>
      <c r="K186" s="34">
        <v>27.436699999999998</v>
      </c>
      <c r="L186" s="34">
        <v>34.363500000000002</v>
      </c>
      <c r="M186" s="34">
        <v>35.017600000000002</v>
      </c>
      <c r="N186" s="20">
        <v>1689.1892</v>
      </c>
      <c r="O186" s="20">
        <f t="shared" si="12"/>
        <v>29.250162500000002</v>
      </c>
      <c r="P186" s="7"/>
      <c r="Q186" s="13"/>
      <c r="R186" s="14"/>
      <c r="S186" s="14"/>
      <c r="T186" s="27"/>
      <c r="U186" s="28">
        <f t="shared" si="14"/>
        <v>-5.0675973383688448E-2</v>
      </c>
    </row>
    <row r="187" spans="1:21" x14ac:dyDescent="0.25">
      <c r="B187" s="6" t="s">
        <v>60</v>
      </c>
      <c r="C187" s="15">
        <v>767.85</v>
      </c>
      <c r="D187" s="16">
        <v>34.536999999999999</v>
      </c>
      <c r="E187" s="16">
        <v>37.01</v>
      </c>
      <c r="F187" s="16">
        <v>38.076000000000001</v>
      </c>
      <c r="G187" s="16">
        <v>1127.82</v>
      </c>
      <c r="H187" s="16">
        <f t="shared" si="11"/>
        <v>35.288499999999999</v>
      </c>
      <c r="I187" s="5"/>
      <c r="J187" s="15">
        <v>601.67280000000005</v>
      </c>
      <c r="K187" s="16">
        <v>33.899099999999997</v>
      </c>
      <c r="L187" s="16">
        <v>37.682400000000001</v>
      </c>
      <c r="M187" s="16">
        <v>38.751800000000003</v>
      </c>
      <c r="N187" s="16">
        <v>619.8347</v>
      </c>
      <c r="O187" s="16">
        <f t="shared" si="12"/>
        <v>34.9786</v>
      </c>
      <c r="P187" s="7"/>
      <c r="Q187" s="8">
        <f>bdrate(C187:C190,D187:D190,J187:J190,K187:K190)</f>
        <v>-0.1573574159638953</v>
      </c>
      <c r="R187" s="8">
        <f>bdrate(C187:C190,E187:E190,J187:J190,L187:L190)</f>
        <v>-0.35724977284885884</v>
      </c>
      <c r="S187" s="8">
        <f>bdrate(C187:C190,F187:F190,J187:J190,M187:M190)</f>
        <v>-0.34863347442678327</v>
      </c>
      <c r="T187" s="25">
        <f>bdrate(C187:C190,H187:H190,J187:J190,O187:O190)</f>
        <v>-0.19026653389579162</v>
      </c>
      <c r="U187" s="28">
        <f t="shared" si="14"/>
        <v>-0.45041345250128562</v>
      </c>
    </row>
    <row r="188" spans="1:21" x14ac:dyDescent="0.25">
      <c r="B188" s="9"/>
      <c r="C188" s="17">
        <v>481.17</v>
      </c>
      <c r="D188" s="18">
        <v>32.296999999999997</v>
      </c>
      <c r="E188" s="18">
        <v>35.828000000000003</v>
      </c>
      <c r="F188" s="18">
        <v>36.878999999999998</v>
      </c>
      <c r="G188" s="18">
        <v>1477.83</v>
      </c>
      <c r="H188" s="18">
        <f t="shared" si="11"/>
        <v>33.311124999999997</v>
      </c>
      <c r="I188" s="5"/>
      <c r="J188" s="17">
        <v>400.50880000000001</v>
      </c>
      <c r="K188" s="18">
        <v>32.0274</v>
      </c>
      <c r="L188" s="18">
        <v>36.527500000000003</v>
      </c>
      <c r="M188" s="18">
        <v>37.592300000000002</v>
      </c>
      <c r="N188" s="18">
        <v>738.91629999999998</v>
      </c>
      <c r="O188" s="18">
        <f t="shared" si="12"/>
        <v>33.285525</v>
      </c>
      <c r="P188" s="7"/>
      <c r="Q188" s="10"/>
      <c r="R188" s="11"/>
      <c r="S188" s="11"/>
      <c r="T188" s="26"/>
      <c r="U188" s="28">
        <f t="shared" si="14"/>
        <v>-0.49999912033183791</v>
      </c>
    </row>
    <row r="189" spans="1:21" x14ac:dyDescent="0.25">
      <c r="B189" s="9"/>
      <c r="C189" s="17">
        <v>290.48</v>
      </c>
      <c r="D189" s="18">
        <v>30.097999999999999</v>
      </c>
      <c r="E189" s="18">
        <v>34.743000000000002</v>
      </c>
      <c r="F189" s="18">
        <v>35.795999999999999</v>
      </c>
      <c r="G189" s="18">
        <v>1485.15</v>
      </c>
      <c r="H189" s="18">
        <f t="shared" si="11"/>
        <v>31.390874999999998</v>
      </c>
      <c r="I189" s="5"/>
      <c r="J189" s="17">
        <v>250.78720000000001</v>
      </c>
      <c r="K189" s="18">
        <v>30.206800000000001</v>
      </c>
      <c r="L189" s="18">
        <v>35.343200000000003</v>
      </c>
      <c r="M189" s="18">
        <v>36.384300000000003</v>
      </c>
      <c r="N189" s="18">
        <v>961.5385</v>
      </c>
      <c r="O189" s="18">
        <f t="shared" si="12"/>
        <v>31.6210375</v>
      </c>
      <c r="P189" s="7"/>
      <c r="Q189" s="10"/>
      <c r="R189" s="11"/>
      <c r="S189" s="11"/>
      <c r="T189" s="26"/>
      <c r="U189" s="28">
        <f t="shared" si="14"/>
        <v>-0.35256472410194262</v>
      </c>
    </row>
    <row r="190" spans="1:21" ht="16.5" thickBot="1" x14ac:dyDescent="0.3">
      <c r="B190" s="12"/>
      <c r="C190" s="19">
        <v>143.99</v>
      </c>
      <c r="D190" s="20">
        <v>27.166</v>
      </c>
      <c r="E190" s="20">
        <v>33.488</v>
      </c>
      <c r="F190" s="20">
        <v>34.485999999999997</v>
      </c>
      <c r="G190" s="20">
        <v>1604.28</v>
      </c>
      <c r="H190" s="20">
        <f t="shared" si="11"/>
        <v>28.87125</v>
      </c>
      <c r="I190" s="5"/>
      <c r="J190" s="19">
        <v>120.83280000000001</v>
      </c>
      <c r="K190" s="20">
        <v>27.6815</v>
      </c>
      <c r="L190" s="20">
        <v>33.8782</v>
      </c>
      <c r="M190" s="20">
        <v>34.808500000000002</v>
      </c>
      <c r="N190" s="20">
        <v>1282.0513000000001</v>
      </c>
      <c r="O190" s="20">
        <f t="shared" si="12"/>
        <v>29.3469625</v>
      </c>
      <c r="P190" s="7"/>
      <c r="Q190" s="13"/>
      <c r="R190" s="14"/>
      <c r="S190" s="14"/>
      <c r="T190" s="27"/>
      <c r="U190" s="28">
        <f t="shared" si="14"/>
        <v>-0.20085564863988822</v>
      </c>
    </row>
    <row r="191" spans="1:21" x14ac:dyDescent="0.25">
      <c r="A191" s="6" t="s">
        <v>43</v>
      </c>
      <c r="B191" s="6" t="s">
        <v>61</v>
      </c>
      <c r="C191" s="15">
        <v>1896.4</v>
      </c>
      <c r="D191" s="16">
        <v>40.869999999999997</v>
      </c>
      <c r="E191" s="16">
        <v>44.581000000000003</v>
      </c>
      <c r="F191" s="16">
        <v>45.67</v>
      </c>
      <c r="G191" s="16">
        <v>231.75</v>
      </c>
      <c r="H191" s="16">
        <f t="shared" si="11"/>
        <v>41.933875</v>
      </c>
      <c r="I191" s="5"/>
      <c r="J191" s="15">
        <v>1491.184</v>
      </c>
      <c r="K191" s="16">
        <v>41.3431</v>
      </c>
      <c r="L191" s="16">
        <v>45.633000000000003</v>
      </c>
      <c r="M191" s="16">
        <v>46.8309</v>
      </c>
      <c r="N191" s="16">
        <v>268.93770000000001</v>
      </c>
      <c r="O191" s="16">
        <f t="shared" si="12"/>
        <v>42.565312499999997</v>
      </c>
      <c r="P191" s="7"/>
      <c r="Q191" s="8">
        <f>bdrate(C191:C194,D191:D194,J191:J194,K191:K194)</f>
        <v>-0.37771624025874684</v>
      </c>
      <c r="R191" s="8">
        <f>bdrate(C191:C194,E191:E194,J191:J194,L191:L194)</f>
        <v>-0.50336094752938521</v>
      </c>
      <c r="S191" s="8">
        <f>bdrate(C191:C194,F191:F194,J191:J194,M191:M194)</f>
        <v>-0.51240802747921843</v>
      </c>
      <c r="T191" s="25">
        <f>bdrate(C191:C194,H191:H194,J191:J194,O191:O194)</f>
        <v>-0.40398857610252448</v>
      </c>
      <c r="U191" s="28">
        <f t="shared" si="14"/>
        <v>0.16046472491909389</v>
      </c>
    </row>
    <row r="192" spans="1:21" x14ac:dyDescent="0.25">
      <c r="A192" s="9" t="s">
        <v>44</v>
      </c>
      <c r="B192" s="9"/>
      <c r="C192" s="17">
        <v>1237.8399999999999</v>
      </c>
      <c r="D192" s="18">
        <v>39.482999999999997</v>
      </c>
      <c r="E192" s="18">
        <v>43.412999999999997</v>
      </c>
      <c r="F192" s="18">
        <v>44.389000000000003</v>
      </c>
      <c r="G192" s="18">
        <v>261.67</v>
      </c>
      <c r="H192" s="18">
        <f t="shared" si="11"/>
        <v>40.587499999999999</v>
      </c>
      <c r="I192" s="5"/>
      <c r="J192" s="17">
        <v>984.6232</v>
      </c>
      <c r="K192" s="18">
        <v>40.185099999999998</v>
      </c>
      <c r="L192" s="18">
        <v>44.661499999999997</v>
      </c>
      <c r="M192" s="18">
        <v>45.8048</v>
      </c>
      <c r="N192" s="18">
        <v>305.18819999999999</v>
      </c>
      <c r="O192" s="18">
        <f t="shared" si="12"/>
        <v>41.447112499999996</v>
      </c>
      <c r="P192" s="7"/>
      <c r="Q192" s="10"/>
      <c r="R192" s="11"/>
      <c r="S192" s="11"/>
      <c r="T192" s="26"/>
      <c r="U192" s="28">
        <f t="shared" si="14"/>
        <v>0.16630947376466532</v>
      </c>
    </row>
    <row r="193" spans="1:21" x14ac:dyDescent="0.25">
      <c r="B193" s="9"/>
      <c r="C193" s="17">
        <v>739.67</v>
      </c>
      <c r="D193" s="18">
        <v>37.136000000000003</v>
      </c>
      <c r="E193" s="18">
        <v>41.856000000000002</v>
      </c>
      <c r="F193" s="18">
        <v>42.869</v>
      </c>
      <c r="G193" s="18">
        <v>259.85000000000002</v>
      </c>
      <c r="H193" s="18">
        <f t="shared" si="11"/>
        <v>38.442625000000007</v>
      </c>
      <c r="I193" s="5"/>
      <c r="J193" s="17">
        <v>577.78719999999998</v>
      </c>
      <c r="K193" s="18">
        <v>38.200400000000002</v>
      </c>
      <c r="L193" s="18">
        <v>43.170699999999997</v>
      </c>
      <c r="M193" s="18">
        <v>44.245199999999997</v>
      </c>
      <c r="N193" s="18">
        <v>349.65030000000002</v>
      </c>
      <c r="O193" s="18">
        <f t="shared" si="12"/>
        <v>39.577287500000004</v>
      </c>
      <c r="P193" s="7"/>
      <c r="Q193" s="10"/>
      <c r="R193" s="11"/>
      <c r="S193" s="11"/>
      <c r="T193" s="26"/>
      <c r="U193" s="28">
        <f t="shared" si="14"/>
        <v>0.34558514527612078</v>
      </c>
    </row>
    <row r="194" spans="1:21" ht="16.5" thickBot="1" x14ac:dyDescent="0.3">
      <c r="B194" s="12"/>
      <c r="C194" s="19">
        <v>341.57</v>
      </c>
      <c r="D194" s="20">
        <v>32.912999999999997</v>
      </c>
      <c r="E194" s="20">
        <v>39.732999999999997</v>
      </c>
      <c r="F194" s="20">
        <v>40.573</v>
      </c>
      <c r="G194" s="20">
        <v>265.25</v>
      </c>
      <c r="H194" s="20">
        <f t="shared" si="11"/>
        <v>34.722999999999999</v>
      </c>
      <c r="I194" s="5"/>
      <c r="J194" s="19">
        <v>281.95760000000001</v>
      </c>
      <c r="K194" s="20">
        <v>34.830300000000001</v>
      </c>
      <c r="L194" s="20">
        <v>41.218000000000004</v>
      </c>
      <c r="M194" s="20">
        <v>42.189</v>
      </c>
      <c r="N194" s="20">
        <v>396.56310000000002</v>
      </c>
      <c r="O194" s="20">
        <f t="shared" si="12"/>
        <v>36.548600000000008</v>
      </c>
      <c r="P194" s="7"/>
      <c r="Q194" s="13"/>
      <c r="R194" s="14"/>
      <c r="S194" s="14"/>
      <c r="T194" s="27"/>
      <c r="U194" s="28">
        <f t="shared" si="14"/>
        <v>0.49505409990574939</v>
      </c>
    </row>
    <row r="195" spans="1:21" x14ac:dyDescent="0.25">
      <c r="B195" s="6" t="s">
        <v>62</v>
      </c>
      <c r="C195" s="15">
        <v>1991.55</v>
      </c>
      <c r="D195" s="16">
        <v>41.807000000000002</v>
      </c>
      <c r="E195" s="16">
        <v>46.203000000000003</v>
      </c>
      <c r="F195" s="16">
        <v>46.707999999999998</v>
      </c>
      <c r="G195" s="16">
        <v>237.44</v>
      </c>
      <c r="H195" s="16">
        <f t="shared" si="11"/>
        <v>42.969125000000005</v>
      </c>
      <c r="I195" s="5"/>
      <c r="J195" s="15">
        <v>1471.7552000000001</v>
      </c>
      <c r="K195" s="16">
        <v>42.599200000000003</v>
      </c>
      <c r="L195" s="16">
        <v>47.629800000000003</v>
      </c>
      <c r="M195" s="16">
        <v>48.2881</v>
      </c>
      <c r="N195" s="16">
        <v>293.5421</v>
      </c>
      <c r="O195" s="16">
        <f t="shared" si="12"/>
        <v>43.939137500000001</v>
      </c>
      <c r="P195" s="7"/>
      <c r="Q195" s="8">
        <f>bdrate(C195:C198,D195:D198,J195:J198,K195:K198)</f>
        <v>-0.60029418133524137</v>
      </c>
      <c r="R195" s="8">
        <f>bdrate(C195:C198,E195:E198,J195:J198,L195:L198)</f>
        <v>-0.71216345918963786</v>
      </c>
      <c r="S195" s="8">
        <f>bdrate(C195:C198,F195:F198,J195:J198,M195:M198)</f>
        <v>-0.72552182287473954</v>
      </c>
      <c r="T195" s="25">
        <f>bdrate(C195:C198,H195:H198,J195:J198,O195:O198)</f>
        <v>-0.63205384096444628</v>
      </c>
      <c r="U195" s="28">
        <f t="shared" ref="U195:U202" si="15">(N195-G195)/G195</f>
        <v>0.23627905997304585</v>
      </c>
    </row>
    <row r="196" spans="1:21" x14ac:dyDescent="0.25">
      <c r="B196" s="9"/>
      <c r="C196" s="17">
        <v>1303.4100000000001</v>
      </c>
      <c r="D196" s="18">
        <v>40.962000000000003</v>
      </c>
      <c r="E196" s="18">
        <v>45.308</v>
      </c>
      <c r="F196" s="18">
        <v>45.692</v>
      </c>
      <c r="G196" s="18">
        <v>284.77</v>
      </c>
      <c r="H196" s="18">
        <f t="shared" si="11"/>
        <v>42.096500000000006</v>
      </c>
      <c r="I196" s="5"/>
      <c r="J196" s="17">
        <v>969.6096</v>
      </c>
      <c r="K196" s="18">
        <v>42.046199999999999</v>
      </c>
      <c r="L196" s="18">
        <v>47.089700000000001</v>
      </c>
      <c r="M196" s="18">
        <v>47.734200000000001</v>
      </c>
      <c r="N196" s="18">
        <v>343.44589999999999</v>
      </c>
      <c r="O196" s="18">
        <f t="shared" si="12"/>
        <v>43.387637499999997</v>
      </c>
      <c r="P196" s="7"/>
      <c r="Q196" s="10"/>
      <c r="R196" s="11"/>
      <c r="S196" s="11"/>
      <c r="T196" s="26"/>
      <c r="U196" s="28">
        <f t="shared" si="15"/>
        <v>0.20604663412578578</v>
      </c>
    </row>
    <row r="197" spans="1:21" x14ac:dyDescent="0.25">
      <c r="B197" s="9"/>
      <c r="C197" s="17">
        <v>771.47</v>
      </c>
      <c r="D197" s="18">
        <v>39.468000000000004</v>
      </c>
      <c r="E197" s="18">
        <v>43.942</v>
      </c>
      <c r="F197" s="18">
        <v>44.537999999999997</v>
      </c>
      <c r="G197" s="18">
        <v>272.73</v>
      </c>
      <c r="H197" s="18">
        <f t="shared" si="11"/>
        <v>40.661000000000001</v>
      </c>
      <c r="I197" s="5"/>
      <c r="J197" s="17">
        <v>574.77760000000001</v>
      </c>
      <c r="K197" s="18">
        <v>41.124000000000002</v>
      </c>
      <c r="L197" s="18">
        <v>46.212600000000002</v>
      </c>
      <c r="M197" s="18">
        <v>46.792400000000001</v>
      </c>
      <c r="N197" s="18">
        <v>373.36649999999997</v>
      </c>
      <c r="O197" s="18">
        <f t="shared" si="12"/>
        <v>42.468625000000003</v>
      </c>
      <c r="P197" s="7"/>
      <c r="Q197" s="10"/>
      <c r="R197" s="11"/>
      <c r="S197" s="11"/>
      <c r="T197" s="26"/>
      <c r="U197" s="28">
        <f t="shared" si="15"/>
        <v>0.36899681003189949</v>
      </c>
    </row>
    <row r="198" spans="1:21" ht="16.5" thickBot="1" x14ac:dyDescent="0.3">
      <c r="B198" s="12"/>
      <c r="C198" s="19">
        <v>344.66</v>
      </c>
      <c r="D198" s="20">
        <v>35.939</v>
      </c>
      <c r="E198" s="20">
        <v>41.594999999999999</v>
      </c>
      <c r="F198" s="20">
        <v>42.341000000000001</v>
      </c>
      <c r="G198" s="20">
        <v>293.54000000000002</v>
      </c>
      <c r="H198" s="20">
        <f t="shared" si="11"/>
        <v>37.446250000000006</v>
      </c>
      <c r="I198" s="5"/>
      <c r="J198" s="19">
        <v>277.072</v>
      </c>
      <c r="K198" s="20">
        <v>39.232900000000001</v>
      </c>
      <c r="L198" s="20">
        <v>44.510199999999998</v>
      </c>
      <c r="M198" s="20">
        <v>45.012099999999997</v>
      </c>
      <c r="N198" s="20">
        <v>409.27690000000001</v>
      </c>
      <c r="O198" s="20">
        <f t="shared" si="12"/>
        <v>40.614962499999997</v>
      </c>
      <c r="P198" s="7"/>
      <c r="Q198" s="13"/>
      <c r="R198" s="14"/>
      <c r="S198" s="14"/>
      <c r="T198" s="27"/>
      <c r="U198" s="28">
        <f t="shared" si="15"/>
        <v>0.39427982557743402</v>
      </c>
    </row>
    <row r="199" spans="1:21" x14ac:dyDescent="0.25">
      <c r="B199" s="6" t="s">
        <v>63</v>
      </c>
      <c r="C199" s="15">
        <v>2089.94</v>
      </c>
      <c r="D199" s="16">
        <v>41.784999999999997</v>
      </c>
      <c r="E199" s="16">
        <v>45.500999999999998</v>
      </c>
      <c r="F199" s="16">
        <v>46.249000000000002</v>
      </c>
      <c r="G199" s="16">
        <v>238.85</v>
      </c>
      <c r="H199" s="16">
        <f t="shared" si="11"/>
        <v>42.807499999999997</v>
      </c>
      <c r="I199" s="5"/>
      <c r="J199" s="15">
        <v>1534.1007999999999</v>
      </c>
      <c r="K199" s="16">
        <v>42.478200000000001</v>
      </c>
      <c r="L199" s="16">
        <v>46.75</v>
      </c>
      <c r="M199" s="16">
        <v>47.625500000000002</v>
      </c>
      <c r="N199" s="16">
        <v>280.6361</v>
      </c>
      <c r="O199" s="16">
        <f t="shared" si="12"/>
        <v>43.655587499999996</v>
      </c>
      <c r="P199" s="7"/>
      <c r="Q199" s="8">
        <f>bdrate(C199:C202,D199:D202,J199:J202,K199:K202)</f>
        <v>-0.52887903118605983</v>
      </c>
      <c r="R199" s="8">
        <f>bdrate(C199:C202,E199:E202,J199:J202,L199:L202)</f>
        <v>-0.62034649488467031</v>
      </c>
      <c r="S199" s="8">
        <f>bdrate(C199:C202,F199:F202,J199:J202,M199:M202)</f>
        <v>-0.64259293989880684</v>
      </c>
      <c r="T199" s="25">
        <f>bdrate(C199:C202,H199:H202,J199:J202,O199:O202)</f>
        <v>-0.55396712471486476</v>
      </c>
      <c r="U199" s="28">
        <f t="shared" si="15"/>
        <v>0.17494703788988908</v>
      </c>
    </row>
    <row r="200" spans="1:21" x14ac:dyDescent="0.25">
      <c r="B200" s="9"/>
      <c r="C200" s="17">
        <v>1375.68</v>
      </c>
      <c r="D200" s="18">
        <v>40.549999999999997</v>
      </c>
      <c r="E200" s="18">
        <v>44.460999999999999</v>
      </c>
      <c r="F200" s="18">
        <v>45.048999999999999</v>
      </c>
      <c r="G200" s="18">
        <v>268.94</v>
      </c>
      <c r="H200" s="18">
        <f t="shared" si="11"/>
        <v>41.601249999999993</v>
      </c>
      <c r="I200" s="5"/>
      <c r="J200" s="17">
        <v>1007.0703999999999</v>
      </c>
      <c r="K200" s="18">
        <v>41.633400000000002</v>
      </c>
      <c r="L200" s="18">
        <v>45.951000000000001</v>
      </c>
      <c r="M200" s="18">
        <v>46.778700000000001</v>
      </c>
      <c r="N200" s="18">
        <v>323.27589999999998</v>
      </c>
      <c r="O200" s="18">
        <f t="shared" si="12"/>
        <v>42.816262500000008</v>
      </c>
      <c r="P200" s="7"/>
      <c r="Q200" s="10"/>
      <c r="R200" s="11"/>
      <c r="S200" s="11"/>
      <c r="T200" s="26"/>
      <c r="U200" s="28">
        <f t="shared" si="15"/>
        <v>0.20203725738082837</v>
      </c>
    </row>
    <row r="201" spans="1:21" x14ac:dyDescent="0.25">
      <c r="B201" s="9"/>
      <c r="C201" s="17">
        <v>818.75</v>
      </c>
      <c r="D201" s="18">
        <v>38.616</v>
      </c>
      <c r="E201" s="18">
        <v>42.656999999999996</v>
      </c>
      <c r="F201" s="18">
        <v>43.298999999999999</v>
      </c>
      <c r="G201" s="18">
        <v>265.25</v>
      </c>
      <c r="H201" s="18">
        <f t="shared" si="11"/>
        <v>39.706499999999998</v>
      </c>
      <c r="I201" s="5"/>
      <c r="J201" s="17">
        <v>599.44560000000001</v>
      </c>
      <c r="K201" s="18">
        <v>40.256999999999998</v>
      </c>
      <c r="L201" s="18">
        <v>44.728200000000001</v>
      </c>
      <c r="M201" s="18">
        <v>45.5366</v>
      </c>
      <c r="N201" s="18">
        <v>349.65030000000002</v>
      </c>
      <c r="O201" s="18">
        <f t="shared" si="12"/>
        <v>41.475850000000001</v>
      </c>
      <c r="P201" s="7"/>
      <c r="Q201" s="10"/>
      <c r="R201" s="11"/>
      <c r="S201" s="11"/>
      <c r="T201" s="26"/>
      <c r="U201" s="28">
        <f t="shared" si="15"/>
        <v>0.31819151743638086</v>
      </c>
    </row>
    <row r="202" spans="1:21" ht="16.5" thickBot="1" x14ac:dyDescent="0.3">
      <c r="B202" s="12"/>
      <c r="C202" s="19">
        <v>376.61</v>
      </c>
      <c r="D202" s="20">
        <v>34.631999999999998</v>
      </c>
      <c r="E202" s="20">
        <v>40.283000000000001</v>
      </c>
      <c r="F202" s="20">
        <v>41.01</v>
      </c>
      <c r="G202" s="20">
        <v>284.89999999999998</v>
      </c>
      <c r="H202" s="20">
        <f t="shared" si="11"/>
        <v>36.135624999999997</v>
      </c>
      <c r="I202" s="5"/>
      <c r="J202" s="19">
        <v>295.70479999999998</v>
      </c>
      <c r="K202" s="20">
        <v>37.608600000000003</v>
      </c>
      <c r="L202" s="20">
        <v>42.739400000000003</v>
      </c>
      <c r="M202" s="20">
        <v>43.555399999999999</v>
      </c>
      <c r="N202" s="20">
        <v>392.41329999999999</v>
      </c>
      <c r="O202" s="20">
        <f t="shared" si="12"/>
        <v>38.993300000000005</v>
      </c>
      <c r="P202" s="7"/>
      <c r="Q202" s="13"/>
      <c r="R202" s="14"/>
      <c r="S202" s="14"/>
      <c r="T202" s="27"/>
      <c r="U202" s="28">
        <f t="shared" si="15"/>
        <v>0.37737206037206045</v>
      </c>
    </row>
    <row r="203" spans="1:21" x14ac:dyDescent="0.25">
      <c r="A203" s="6" t="s">
        <v>99</v>
      </c>
      <c r="B203" s="6" t="s">
        <v>100</v>
      </c>
      <c r="C203" s="15">
        <v>1608.53</v>
      </c>
      <c r="D203" s="16">
        <v>41.314999999999998</v>
      </c>
      <c r="E203" s="16">
        <v>46.136000000000003</v>
      </c>
      <c r="F203" s="16">
        <v>47.805999999999997</v>
      </c>
      <c r="G203" s="16">
        <v>199.6</v>
      </c>
      <c r="H203" s="16">
        <f t="shared" ref="H203:H213" si="16">(6*D203+E203+F203)/8</f>
        <v>42.728999999999999</v>
      </c>
      <c r="I203" s="5"/>
      <c r="J203" s="15">
        <v>1287.4358999999999</v>
      </c>
      <c r="K203" s="16">
        <v>43.404800000000002</v>
      </c>
      <c r="L203" s="16">
        <v>49.183999999999997</v>
      </c>
      <c r="M203" s="16">
        <v>50.186999999999998</v>
      </c>
      <c r="N203" s="16">
        <v>185.77770000000001</v>
      </c>
      <c r="O203" s="16">
        <f t="shared" ref="O203:O213" si="17">(6*K203+L203+M203)/8</f>
        <v>44.974975000000001</v>
      </c>
      <c r="P203" s="7"/>
      <c r="Q203" s="8">
        <f>bdrate(C203:C206,D203:D206,J203:J206,K203:K206)</f>
        <v>-0.5772484639872979</v>
      </c>
      <c r="R203" s="8">
        <f>bdrate(C203:C206,E203:E206,J203:J206,L203:L206)</f>
        <v>-0.66840076203341803</v>
      </c>
      <c r="S203" s="8">
        <f>bdrate(C203:C206,F203:F206,J203:J206,M203:M206)</f>
        <v>-0.62835627111354597</v>
      </c>
      <c r="T203" s="25">
        <f>bdrate(C203:C206,H203:H206,J203:J206,O203:O206)</f>
        <v>-0.59264387166788624</v>
      </c>
      <c r="U203" s="28">
        <f t="shared" ref="U203:U213" si="18">(N203-G203)/G203</f>
        <v>-6.9249999999999923E-2</v>
      </c>
    </row>
    <row r="204" spans="1:21" x14ac:dyDescent="0.25">
      <c r="A204" s="9" t="s">
        <v>77</v>
      </c>
      <c r="B204" s="9"/>
      <c r="C204" s="17">
        <v>1075.26</v>
      </c>
      <c r="D204" s="18">
        <v>38.844000000000001</v>
      </c>
      <c r="E204" s="18">
        <v>44.55</v>
      </c>
      <c r="F204" s="18">
        <v>46.341000000000001</v>
      </c>
      <c r="G204" s="18">
        <v>239.39</v>
      </c>
      <c r="H204" s="18">
        <f t="shared" si="16"/>
        <v>40.494375000000005</v>
      </c>
      <c r="I204" s="5"/>
      <c r="J204" s="17">
        <v>881.40319999999997</v>
      </c>
      <c r="K204" s="18">
        <v>41.9193</v>
      </c>
      <c r="L204" s="18">
        <v>47.935699999999997</v>
      </c>
      <c r="M204" s="18">
        <v>48.816600000000001</v>
      </c>
      <c r="N204" s="18">
        <v>218.52619999999999</v>
      </c>
      <c r="O204" s="18">
        <f t="shared" si="17"/>
        <v>43.533512500000001</v>
      </c>
      <c r="P204" s="7"/>
      <c r="Q204" s="10"/>
      <c r="R204" s="11"/>
      <c r="S204" s="11"/>
      <c r="T204" s="26"/>
      <c r="U204" s="28">
        <f t="shared" si="18"/>
        <v>-8.7154016458498684E-2</v>
      </c>
    </row>
    <row r="205" spans="1:21" x14ac:dyDescent="0.25">
      <c r="B205" s="9"/>
      <c r="C205" s="17">
        <v>654.39</v>
      </c>
      <c r="D205" s="18">
        <v>35.758000000000003</v>
      </c>
      <c r="E205" s="18">
        <v>41.969000000000001</v>
      </c>
      <c r="F205" s="18">
        <v>44.761000000000003</v>
      </c>
      <c r="G205" s="18">
        <v>253.56</v>
      </c>
      <c r="H205" s="18">
        <f t="shared" si="16"/>
        <v>37.659750000000003</v>
      </c>
      <c r="I205" s="5"/>
      <c r="J205" s="17">
        <v>548.32309999999995</v>
      </c>
      <c r="K205" s="18">
        <v>39.747500000000002</v>
      </c>
      <c r="L205" s="18">
        <v>46.101599999999998</v>
      </c>
      <c r="M205" s="18">
        <v>47.4238</v>
      </c>
      <c r="N205" s="18">
        <v>258.69499999999999</v>
      </c>
      <c r="O205" s="18">
        <f t="shared" si="17"/>
        <v>41.501300000000001</v>
      </c>
      <c r="P205" s="7"/>
      <c r="Q205" s="10"/>
      <c r="R205" s="11"/>
      <c r="S205" s="11"/>
      <c r="T205" s="26"/>
      <c r="U205" s="28">
        <f t="shared" si="18"/>
        <v>2.0251616974286128E-2</v>
      </c>
    </row>
    <row r="206" spans="1:21" ht="16.5" thickBot="1" x14ac:dyDescent="0.3">
      <c r="B206" s="12"/>
      <c r="C206" s="19">
        <v>309.69</v>
      </c>
      <c r="D206" s="20">
        <v>31.065000000000001</v>
      </c>
      <c r="E206" s="20">
        <v>40.097000000000001</v>
      </c>
      <c r="F206" s="20">
        <v>42.780999999999999</v>
      </c>
      <c r="G206" s="20">
        <v>260.98</v>
      </c>
      <c r="H206" s="20">
        <f t="shared" si="16"/>
        <v>33.658500000000004</v>
      </c>
      <c r="I206" s="5"/>
      <c r="J206" s="19">
        <v>283.34320000000002</v>
      </c>
      <c r="K206" s="20">
        <v>36.664900000000003</v>
      </c>
      <c r="L206" s="20">
        <v>43.841900000000003</v>
      </c>
      <c r="M206" s="20">
        <v>45.158099999999997</v>
      </c>
      <c r="N206" s="20">
        <v>322.2919</v>
      </c>
      <c r="O206" s="20">
        <f t="shared" si="17"/>
        <v>38.623674999999999</v>
      </c>
      <c r="P206" s="7"/>
      <c r="Q206" s="13"/>
      <c r="R206" s="14"/>
      <c r="S206" s="14"/>
      <c r="T206" s="27"/>
      <c r="U206" s="28">
        <f t="shared" si="18"/>
        <v>0.23492949651314268</v>
      </c>
    </row>
    <row r="207" spans="1:21" x14ac:dyDescent="0.25">
      <c r="B207" s="6" t="s">
        <v>101</v>
      </c>
      <c r="C207" s="15">
        <v>1996.96</v>
      </c>
      <c r="D207" s="16">
        <v>52.884</v>
      </c>
      <c r="E207" s="16">
        <v>53.177</v>
      </c>
      <c r="F207" s="16">
        <v>53.58</v>
      </c>
      <c r="G207" s="16">
        <v>277.31</v>
      </c>
      <c r="H207" s="16">
        <f t="shared" si="16"/>
        <v>53.007624999999997</v>
      </c>
      <c r="I207" s="5"/>
      <c r="J207" s="15">
        <v>1442.9251999999999</v>
      </c>
      <c r="K207" s="16">
        <v>51.4589</v>
      </c>
      <c r="L207" s="16">
        <v>52.421300000000002</v>
      </c>
      <c r="M207" s="16">
        <v>52.938899999999997</v>
      </c>
      <c r="N207" s="16">
        <v>293.35070000000002</v>
      </c>
      <c r="O207" s="16">
        <f t="shared" si="17"/>
        <v>51.764200000000002</v>
      </c>
      <c r="P207" s="7"/>
      <c r="Q207" s="8">
        <f>bdrate(C207:C210,D207:D210,J207:J210,K207:K210)</f>
        <v>-0.17529382069459598</v>
      </c>
      <c r="R207" s="8">
        <f>bdrate(C207:C210,E207:E210,J207:J210,L207:L210)</f>
        <v>-0.26264153792059797</v>
      </c>
      <c r="S207" s="8">
        <f>bdrate(C207:C210,F207:F210,J207:J210,M207:M210)</f>
        <v>-0.26818530174164379</v>
      </c>
      <c r="T207" s="25">
        <f>bdrate(C207:C210,H207:H210,J207:J210,O207:O210)</f>
        <v>-0.1979006350303163</v>
      </c>
      <c r="U207" s="28">
        <f t="shared" si="18"/>
        <v>5.7843929176733672E-2</v>
      </c>
    </row>
    <row r="208" spans="1:21" x14ac:dyDescent="0.25">
      <c r="B208" s="9"/>
      <c r="C208" s="17">
        <v>1334.37</v>
      </c>
      <c r="D208" s="18">
        <v>50.234000000000002</v>
      </c>
      <c r="E208" s="18">
        <v>50.692</v>
      </c>
      <c r="F208" s="18">
        <v>51.146999999999998</v>
      </c>
      <c r="G208" s="18">
        <v>355.94</v>
      </c>
      <c r="H208" s="18">
        <f t="shared" si="16"/>
        <v>50.405374999999999</v>
      </c>
      <c r="I208" s="5"/>
      <c r="J208" s="17">
        <v>973.90869999999995</v>
      </c>
      <c r="K208" s="18">
        <v>49.350700000000003</v>
      </c>
      <c r="L208" s="18">
        <v>50.436399999999999</v>
      </c>
      <c r="M208" s="18">
        <v>50.999899999999997</v>
      </c>
      <c r="N208" s="18">
        <v>243.37479999999999</v>
      </c>
      <c r="O208" s="18">
        <f t="shared" si="17"/>
        <v>49.692562499999994</v>
      </c>
      <c r="P208" s="7"/>
      <c r="Q208" s="10"/>
      <c r="R208" s="11"/>
      <c r="S208" s="11"/>
      <c r="T208" s="26"/>
      <c r="U208" s="28">
        <f t="shared" si="18"/>
        <v>-0.31624768219362814</v>
      </c>
    </row>
    <row r="209" spans="2:21" x14ac:dyDescent="0.25">
      <c r="B209" s="9"/>
      <c r="C209" s="17">
        <v>810.14</v>
      </c>
      <c r="D209" s="18">
        <v>47.14</v>
      </c>
      <c r="E209" s="18">
        <v>47.698</v>
      </c>
      <c r="F209" s="18">
        <v>48.244</v>
      </c>
      <c r="G209" s="18">
        <v>366.23</v>
      </c>
      <c r="H209" s="18">
        <f t="shared" si="16"/>
        <v>47.347750000000005</v>
      </c>
      <c r="I209" s="5"/>
      <c r="J209" s="17">
        <v>594.47450000000003</v>
      </c>
      <c r="K209" s="18">
        <v>46.514099999999999</v>
      </c>
      <c r="L209" s="18">
        <v>47.813499999999998</v>
      </c>
      <c r="M209" s="18">
        <v>48.375599999999999</v>
      </c>
      <c r="N209" s="18">
        <v>374.60980000000001</v>
      </c>
      <c r="O209" s="18">
        <f t="shared" si="17"/>
        <v>46.909212500000002</v>
      </c>
      <c r="P209" s="7"/>
      <c r="Q209" s="10"/>
      <c r="R209" s="11"/>
      <c r="S209" s="11"/>
      <c r="T209" s="26"/>
      <c r="U209" s="28">
        <f t="shared" si="18"/>
        <v>2.2881249488026618E-2</v>
      </c>
    </row>
    <row r="210" spans="2:21" ht="16.5" thickBot="1" x14ac:dyDescent="0.3">
      <c r="B210" s="12"/>
      <c r="C210" s="19">
        <v>382.92</v>
      </c>
      <c r="D210" s="20">
        <v>42.451999999999998</v>
      </c>
      <c r="E210" s="20">
        <v>43.378</v>
      </c>
      <c r="F210" s="20">
        <v>43.921999999999997</v>
      </c>
      <c r="G210" s="20">
        <v>375.78</v>
      </c>
      <c r="H210" s="20">
        <f t="shared" si="16"/>
        <v>42.751499999999993</v>
      </c>
      <c r="I210" s="5"/>
      <c r="J210" s="19">
        <v>300.09719999999999</v>
      </c>
      <c r="K210" s="20">
        <v>42.255800000000001</v>
      </c>
      <c r="L210" s="20">
        <v>43.860399999999998</v>
      </c>
      <c r="M210" s="20">
        <v>44.41</v>
      </c>
      <c r="N210" s="20">
        <v>402.05489999999998</v>
      </c>
      <c r="O210" s="20">
        <f t="shared" si="17"/>
        <v>42.725650000000002</v>
      </c>
      <c r="P210" s="7"/>
      <c r="Q210" s="13"/>
      <c r="R210" s="14"/>
      <c r="S210" s="14"/>
      <c r="T210" s="27"/>
      <c r="U210" s="28">
        <f t="shared" si="18"/>
        <v>6.992096439406037E-2</v>
      </c>
    </row>
    <row r="211" spans="2:21" x14ac:dyDescent="0.25">
      <c r="B211" s="6" t="s">
        <v>102</v>
      </c>
      <c r="C211" s="15">
        <v>2181.4699999999998</v>
      </c>
      <c r="D211" s="16">
        <v>42.334000000000003</v>
      </c>
      <c r="E211" s="16">
        <v>44.066000000000003</v>
      </c>
      <c r="F211" s="16">
        <v>44.765000000000001</v>
      </c>
      <c r="G211" s="16">
        <v>226.7</v>
      </c>
      <c r="H211" s="16">
        <f t="shared" si="16"/>
        <v>42.854375000000005</v>
      </c>
      <c r="I211" s="5"/>
      <c r="J211" s="15">
        <v>1489.9457</v>
      </c>
      <c r="K211" s="16">
        <v>42.660800000000002</v>
      </c>
      <c r="L211" s="16">
        <v>45.001899999999999</v>
      </c>
      <c r="M211" s="16">
        <v>45.431399999999996</v>
      </c>
      <c r="N211" s="16">
        <v>176.97370000000001</v>
      </c>
      <c r="O211" s="16">
        <f t="shared" si="17"/>
        <v>43.2997625</v>
      </c>
      <c r="P211" s="7"/>
      <c r="Q211" s="8">
        <f>bdrate(C211:C214,D211:D214,J211:J214,K211:K214)</f>
        <v>-0.447502979083095</v>
      </c>
      <c r="R211" s="8">
        <f>bdrate(C211:C214,E211:E214,J211:J214,L211:L214)</f>
        <v>-0.49127413427299638</v>
      </c>
      <c r="S211" s="8">
        <f>bdrate(C211:C214,F211:F214,J211:J214,M211:M214)</f>
        <v>-0.45026674422216173</v>
      </c>
      <c r="T211" s="25">
        <f>bdrate(C211:C214,H211:H214,J211:J214,O211:O214)</f>
        <v>-0.45268802781863582</v>
      </c>
      <c r="U211" s="28">
        <f t="shared" si="18"/>
        <v>-0.21934847816497566</v>
      </c>
    </row>
    <row r="212" spans="2:21" x14ac:dyDescent="0.25">
      <c r="B212" s="9"/>
      <c r="C212" s="17">
        <v>1455.51</v>
      </c>
      <c r="D212" s="18">
        <v>39.768999999999998</v>
      </c>
      <c r="E212" s="18">
        <v>42.387999999999998</v>
      </c>
      <c r="F212" s="18">
        <v>43.109000000000002</v>
      </c>
      <c r="G212" s="18">
        <v>260.87</v>
      </c>
      <c r="H212" s="18">
        <f t="shared" si="16"/>
        <v>40.513874999999992</v>
      </c>
      <c r="I212" s="5"/>
      <c r="J212" s="17">
        <v>996.37480000000005</v>
      </c>
      <c r="K212" s="18">
        <v>40.715600000000002</v>
      </c>
      <c r="L212" s="18">
        <v>43.510300000000001</v>
      </c>
      <c r="M212" s="18">
        <v>43.922899999999998</v>
      </c>
      <c r="N212" s="18">
        <v>259.8528</v>
      </c>
      <c r="O212" s="18">
        <f t="shared" si="17"/>
        <v>41.465850000000003</v>
      </c>
      <c r="P212" s="7"/>
      <c r="Q212" s="10"/>
      <c r="R212" s="11"/>
      <c r="S212" s="11"/>
      <c r="T212" s="26"/>
      <c r="U212" s="28">
        <f t="shared" si="18"/>
        <v>-3.89926016789973E-3</v>
      </c>
    </row>
    <row r="213" spans="2:21" x14ac:dyDescent="0.25">
      <c r="B213" s="9"/>
      <c r="C213" s="17">
        <v>885.99</v>
      </c>
      <c r="D213" s="18">
        <v>36.896999999999998</v>
      </c>
      <c r="E213" s="18">
        <v>40.564999999999998</v>
      </c>
      <c r="F213" s="18">
        <v>41.286999999999999</v>
      </c>
      <c r="G213" s="18">
        <v>271.49</v>
      </c>
      <c r="H213" s="18">
        <f t="shared" si="16"/>
        <v>37.904249999999998</v>
      </c>
      <c r="I213" s="5"/>
      <c r="J213" s="17">
        <v>600.63589999999999</v>
      </c>
      <c r="K213" s="18">
        <v>38.172400000000003</v>
      </c>
      <c r="L213" s="18">
        <v>41.677799999999998</v>
      </c>
      <c r="M213" s="18">
        <v>42.120600000000003</v>
      </c>
      <c r="N213" s="18">
        <v>295.08199999999999</v>
      </c>
      <c r="O213" s="18">
        <f t="shared" si="17"/>
        <v>39.104100000000003</v>
      </c>
      <c r="P213" s="7"/>
      <c r="Q213" s="10"/>
      <c r="R213" s="11"/>
      <c r="S213" s="11"/>
      <c r="T213" s="26"/>
      <c r="U213" s="28">
        <f t="shared" si="18"/>
        <v>8.6898228295701443E-2</v>
      </c>
    </row>
    <row r="214" spans="2:21" ht="16.5" thickBot="1" x14ac:dyDescent="0.3">
      <c r="B214" s="12"/>
      <c r="C214" s="19">
        <v>423.43</v>
      </c>
      <c r="D214" s="20">
        <v>31.693000000000001</v>
      </c>
      <c r="E214" s="20">
        <v>38.021000000000001</v>
      </c>
      <c r="F214" s="20">
        <v>38.832000000000001</v>
      </c>
      <c r="G214" s="20">
        <v>279.98</v>
      </c>
      <c r="H214" s="20">
        <f t="shared" ref="H214:H246" si="19">(6*D214+E214+F214)/8</f>
        <v>33.376375000000003</v>
      </c>
      <c r="I214" s="5"/>
      <c r="J214" s="19">
        <v>301.5677</v>
      </c>
      <c r="K214" s="20">
        <v>34.3825</v>
      </c>
      <c r="L214" s="20">
        <v>39.048400000000001</v>
      </c>
      <c r="M214" s="20">
        <v>39.5381</v>
      </c>
      <c r="N214" s="20">
        <v>346.48700000000002</v>
      </c>
      <c r="O214" s="20">
        <f t="shared" ref="O214:O246" si="20">(6*K214+L214+M214)/8</f>
        <v>35.610187500000002</v>
      </c>
      <c r="P214" s="7"/>
      <c r="Q214" s="13"/>
      <c r="R214" s="14"/>
      <c r="S214" s="14"/>
      <c r="T214" s="27"/>
      <c r="U214" s="28">
        <f t="shared" ref="U214:U246" si="21">(N214-G214)/G214</f>
        <v>0.2375419672833774</v>
      </c>
    </row>
    <row r="215" spans="2:21" x14ac:dyDescent="0.25">
      <c r="B215" s="6" t="s">
        <v>103</v>
      </c>
      <c r="C215" s="29">
        <v>2059.41</v>
      </c>
      <c r="D215" s="30">
        <v>38.74</v>
      </c>
      <c r="E215" s="30">
        <v>43.076000000000001</v>
      </c>
      <c r="F215" s="30">
        <v>43.073999999999998</v>
      </c>
      <c r="G215" s="16">
        <v>171.18</v>
      </c>
      <c r="H215" s="16">
        <f t="shared" si="19"/>
        <v>39.823750000000004</v>
      </c>
      <c r="I215" s="5"/>
      <c r="J215" s="29">
        <v>1497.7275</v>
      </c>
      <c r="K215" s="30">
        <v>38.997700000000002</v>
      </c>
      <c r="L215" s="30">
        <v>43.473999999999997</v>
      </c>
      <c r="M215" s="30">
        <v>43.472099999999998</v>
      </c>
      <c r="N215" s="16">
        <v>203.13730000000001</v>
      </c>
      <c r="O215" s="16">
        <f t="shared" si="20"/>
        <v>40.1165375</v>
      </c>
      <c r="P215" s="7"/>
      <c r="Q215" s="8">
        <f>bdrate(C215:C218,D215:D218,J215:J218,K215:K218)</f>
        <v>-0.40193892497015093</v>
      </c>
      <c r="R215" s="8">
        <f>bdrate(C215:C218,E215:E218,J215:J218,L215:L218)</f>
        <v>-0.37728873389761042</v>
      </c>
      <c r="S215" s="8">
        <f>bdrate(C215:C218,F215:F218,J215:J218,M215:M218)</f>
        <v>-0.38791393977994937</v>
      </c>
      <c r="T215" s="25">
        <f>bdrate(C215:C218,H215:H218,J215:J218,O215:O218)</f>
        <v>-0.39989377175865792</v>
      </c>
      <c r="U215" s="28">
        <f t="shared" si="21"/>
        <v>0.18668828134127821</v>
      </c>
    </row>
    <row r="216" spans="2:21" x14ac:dyDescent="0.25">
      <c r="B216" s="9"/>
      <c r="C216" s="31">
        <v>1377.26</v>
      </c>
      <c r="D216" s="32">
        <v>36.479999999999997</v>
      </c>
      <c r="E216" s="32">
        <v>41.686999999999998</v>
      </c>
      <c r="F216" s="32">
        <v>41.603999999999999</v>
      </c>
      <c r="G216" s="18">
        <v>235.91</v>
      </c>
      <c r="H216" s="18">
        <f t="shared" si="19"/>
        <v>37.771374999999999</v>
      </c>
      <c r="I216" s="5"/>
      <c r="J216" s="31">
        <v>995.80079999999998</v>
      </c>
      <c r="K216" s="32">
        <v>37.078099999999999</v>
      </c>
      <c r="L216" s="32">
        <v>42.109099999999998</v>
      </c>
      <c r="M216" s="32">
        <v>42.112699999999997</v>
      </c>
      <c r="N216" s="18">
        <v>237.2792</v>
      </c>
      <c r="O216" s="18">
        <f t="shared" si="20"/>
        <v>38.336300000000001</v>
      </c>
      <c r="P216" s="7"/>
      <c r="Q216" s="10"/>
      <c r="R216" s="11"/>
      <c r="S216" s="11"/>
      <c r="T216" s="26"/>
      <c r="U216" s="28">
        <f t="shared" si="21"/>
        <v>5.8039082701030328E-3</v>
      </c>
    </row>
    <row r="217" spans="2:21" x14ac:dyDescent="0.25">
      <c r="B217" s="9"/>
      <c r="C217" s="31">
        <v>841.68</v>
      </c>
      <c r="D217" s="32">
        <v>33.72</v>
      </c>
      <c r="E217" s="32">
        <v>40.188000000000002</v>
      </c>
      <c r="F217" s="32">
        <v>40.033000000000001</v>
      </c>
      <c r="G217" s="18">
        <v>245.5</v>
      </c>
      <c r="H217" s="18">
        <f t="shared" si="19"/>
        <v>35.317625</v>
      </c>
      <c r="I217" s="5"/>
      <c r="J217" s="31">
        <v>601.09410000000003</v>
      </c>
      <c r="K217" s="32">
        <v>34.796599999999998</v>
      </c>
      <c r="L217" s="32">
        <v>40.640099999999997</v>
      </c>
      <c r="M217" s="32">
        <v>40.568300000000001</v>
      </c>
      <c r="N217" s="18">
        <v>272.10879999999997</v>
      </c>
      <c r="O217" s="18">
        <f t="shared" si="20"/>
        <v>36.2485</v>
      </c>
      <c r="P217" s="7"/>
      <c r="Q217" s="10"/>
      <c r="R217" s="11"/>
      <c r="S217" s="11"/>
      <c r="T217" s="26"/>
      <c r="U217" s="28">
        <f t="shared" si="21"/>
        <v>0.10838615071283085</v>
      </c>
    </row>
    <row r="218" spans="2:21" ht="16.5" thickBot="1" x14ac:dyDescent="0.3">
      <c r="B218" s="12"/>
      <c r="C218" s="33">
        <v>401.9</v>
      </c>
      <c r="D218" s="34">
        <v>29.134</v>
      </c>
      <c r="E218" s="34">
        <v>38.140999999999998</v>
      </c>
      <c r="F218" s="34">
        <v>38.000999999999998</v>
      </c>
      <c r="G218" s="20">
        <v>254.13</v>
      </c>
      <c r="H218" s="20">
        <f t="shared" si="19"/>
        <v>31.36825</v>
      </c>
      <c r="I218" s="5"/>
      <c r="J218" s="33">
        <v>302.06760000000003</v>
      </c>
      <c r="K218" s="34">
        <v>31.674800000000001</v>
      </c>
      <c r="L218" s="34">
        <v>38.657899999999998</v>
      </c>
      <c r="M218" s="34">
        <v>38.518500000000003</v>
      </c>
      <c r="N218" s="20">
        <v>327.74950000000001</v>
      </c>
      <c r="O218" s="20">
        <f t="shared" si="20"/>
        <v>33.403150000000004</v>
      </c>
      <c r="P218" s="7"/>
      <c r="Q218" s="13"/>
      <c r="R218" s="14"/>
      <c r="S218" s="14"/>
      <c r="T218" s="27"/>
      <c r="U218" s="28">
        <f t="shared" si="21"/>
        <v>0.28969228347696069</v>
      </c>
    </row>
    <row r="219" spans="2:21" x14ac:dyDescent="0.25">
      <c r="B219" s="6" t="s">
        <v>104</v>
      </c>
      <c r="C219" s="15">
        <v>2125.2199999999998</v>
      </c>
      <c r="D219" s="16">
        <v>37.119999999999997</v>
      </c>
      <c r="E219" s="16">
        <v>40.320999999999998</v>
      </c>
      <c r="F219" s="16">
        <v>40.875</v>
      </c>
      <c r="G219" s="16">
        <v>233.52</v>
      </c>
      <c r="H219" s="16">
        <f t="shared" si="19"/>
        <v>37.989499999999992</v>
      </c>
      <c r="I219" s="5"/>
      <c r="J219" s="15">
        <v>1498.8072999999999</v>
      </c>
      <c r="K219" s="16">
        <v>36.906399999999998</v>
      </c>
      <c r="L219" s="16">
        <v>41.418999999999997</v>
      </c>
      <c r="M219" s="16">
        <v>41.957999999999998</v>
      </c>
      <c r="N219" s="16">
        <v>208.21279999999999</v>
      </c>
      <c r="O219" s="16">
        <f t="shared" si="20"/>
        <v>38.101924999999994</v>
      </c>
      <c r="P219" s="7"/>
      <c r="Q219" s="8">
        <f>bdrate(C219:C222,D219:D222,J219:J222,K219:K222)</f>
        <v>-0.34021221544016766</v>
      </c>
      <c r="R219" s="8">
        <f>bdrate(C219:C222,E219:E222,J219:J222,L219:L222)</f>
        <v>-0.48367576877308804</v>
      </c>
      <c r="S219" s="8">
        <f>bdrate(C219:C222,F219:F222,J219:J222,M219:M222)</f>
        <v>-0.48575723149726557</v>
      </c>
      <c r="T219" s="25">
        <f>bdrate(C219:C222,H219:H222,J219:J222,O219:O222)</f>
        <v>-0.36631687744209052</v>
      </c>
      <c r="U219" s="28">
        <f t="shared" si="21"/>
        <v>-0.10837273038711898</v>
      </c>
    </row>
    <row r="220" spans="2:21" x14ac:dyDescent="0.25">
      <c r="B220" s="9"/>
      <c r="C220" s="17">
        <v>1418.35</v>
      </c>
      <c r="D220" s="18">
        <v>34.923000000000002</v>
      </c>
      <c r="E220" s="18">
        <v>38.905000000000001</v>
      </c>
      <c r="F220" s="18">
        <v>39.533999999999999</v>
      </c>
      <c r="G220" s="18">
        <v>263.43</v>
      </c>
      <c r="H220" s="18">
        <f t="shared" si="19"/>
        <v>35.997125000000004</v>
      </c>
      <c r="I220" s="5"/>
      <c r="J220" s="17">
        <v>1002.9527</v>
      </c>
      <c r="K220" s="18">
        <v>34.968699999999998</v>
      </c>
      <c r="L220" s="18">
        <v>39.959499999999998</v>
      </c>
      <c r="M220" s="18">
        <v>40.544899999999998</v>
      </c>
      <c r="N220" s="18">
        <v>238.8852</v>
      </c>
      <c r="O220" s="18">
        <f t="shared" si="20"/>
        <v>36.289574999999999</v>
      </c>
      <c r="P220" s="7"/>
      <c r="Q220" s="10"/>
      <c r="R220" s="11"/>
      <c r="S220" s="11"/>
      <c r="T220" s="26"/>
      <c r="U220" s="28">
        <f t="shared" si="21"/>
        <v>-9.3173898189272325E-2</v>
      </c>
    </row>
    <row r="221" spans="2:21" x14ac:dyDescent="0.25">
      <c r="B221" s="9"/>
      <c r="C221" s="17">
        <v>861.65</v>
      </c>
      <c r="D221" s="18">
        <v>32.250999999999998</v>
      </c>
      <c r="E221" s="18">
        <v>37.369999999999997</v>
      </c>
      <c r="F221" s="18">
        <v>38.067999999999998</v>
      </c>
      <c r="G221" s="18">
        <v>275.27</v>
      </c>
      <c r="H221" s="18">
        <f t="shared" si="19"/>
        <v>33.617999999999995</v>
      </c>
      <c r="I221" s="5"/>
      <c r="J221" s="17">
        <v>599.18169999999998</v>
      </c>
      <c r="K221" s="18">
        <v>32.587499999999999</v>
      </c>
      <c r="L221" s="18">
        <v>38.3005</v>
      </c>
      <c r="M221" s="18">
        <v>38.9696</v>
      </c>
      <c r="N221" s="18">
        <v>274.05599999999998</v>
      </c>
      <c r="O221" s="18">
        <f t="shared" si="20"/>
        <v>34.099387499999999</v>
      </c>
      <c r="P221" s="7"/>
      <c r="Q221" s="10"/>
      <c r="R221" s="11"/>
      <c r="S221" s="11"/>
      <c r="T221" s="26"/>
      <c r="U221" s="28">
        <f t="shared" si="21"/>
        <v>-4.410215424855592E-3</v>
      </c>
    </row>
    <row r="222" spans="2:21" ht="16.5" thickBot="1" x14ac:dyDescent="0.3">
      <c r="B222" s="12"/>
      <c r="C222" s="19">
        <v>404.2</v>
      </c>
      <c r="D222" s="20">
        <v>27.835999999999999</v>
      </c>
      <c r="E222" s="20">
        <v>35.378999999999998</v>
      </c>
      <c r="F222" s="20">
        <v>36.146999999999998</v>
      </c>
      <c r="G222" s="20">
        <v>291.31</v>
      </c>
      <c r="H222" s="20">
        <f t="shared" si="19"/>
        <v>29.817749999999997</v>
      </c>
      <c r="I222" s="5"/>
      <c r="J222" s="19">
        <v>297.83269999999999</v>
      </c>
      <c r="K222" s="20">
        <v>29.3367</v>
      </c>
      <c r="L222" s="20">
        <v>36.1952</v>
      </c>
      <c r="M222" s="20">
        <v>36.953200000000002</v>
      </c>
      <c r="N222" s="20">
        <v>328.64710000000002</v>
      </c>
      <c r="O222" s="20">
        <f t="shared" si="20"/>
        <v>31.146075</v>
      </c>
      <c r="P222" s="7"/>
      <c r="Q222" s="13"/>
      <c r="R222" s="14"/>
      <c r="S222" s="14"/>
      <c r="T222" s="27"/>
      <c r="U222" s="28">
        <f t="shared" si="21"/>
        <v>0.12816964745460169</v>
      </c>
    </row>
    <row r="223" spans="2:21" x14ac:dyDescent="0.25">
      <c r="B223" s="6" t="s">
        <v>105</v>
      </c>
      <c r="C223" s="15">
        <v>2126.0100000000002</v>
      </c>
      <c r="D223" s="16">
        <v>37.555999999999997</v>
      </c>
      <c r="E223" s="16">
        <v>42.618000000000002</v>
      </c>
      <c r="F223" s="16">
        <v>44.218000000000004</v>
      </c>
      <c r="G223" s="16">
        <v>159.57</v>
      </c>
      <c r="H223" s="16">
        <f t="shared" si="19"/>
        <v>39.021500000000003</v>
      </c>
      <c r="I223" s="5"/>
      <c r="J223" s="15">
        <v>1511.8400999999999</v>
      </c>
      <c r="K223" s="16">
        <v>37.1111</v>
      </c>
      <c r="L223" s="16">
        <v>43.003300000000003</v>
      </c>
      <c r="M223" s="16">
        <v>44.395400000000002</v>
      </c>
      <c r="N223" s="16">
        <v>199.9778</v>
      </c>
      <c r="O223" s="16">
        <f t="shared" si="20"/>
        <v>38.758162500000005</v>
      </c>
      <c r="P223" s="7"/>
      <c r="Q223" s="8">
        <f>bdrate(C223:C226,D223:D226,J223:J226,K223:K226)</f>
        <v>-0.34627849156577051</v>
      </c>
      <c r="R223" s="8">
        <f>bdrate(C223:C226,E223:E226,J223:J226,L223:L226)</f>
        <v>-0.47468998269992857</v>
      </c>
      <c r="S223" s="8">
        <f>bdrate(C223:C226,F223:F226,J223:J226,M223:M226)</f>
        <v>-0.40305814383931304</v>
      </c>
      <c r="T223" s="25">
        <f>bdrate(C223:C226,H223:H226,J223:J226,O223:O226)</f>
        <v>-0.3633491270285738</v>
      </c>
      <c r="U223" s="28">
        <f t="shared" si="21"/>
        <v>0.25322930375383851</v>
      </c>
    </row>
    <row r="224" spans="2:21" x14ac:dyDescent="0.25">
      <c r="B224" s="9"/>
      <c r="C224" s="17">
        <v>1418.41</v>
      </c>
      <c r="D224" s="18">
        <v>35.710999999999999</v>
      </c>
      <c r="E224" s="18">
        <v>41.368000000000002</v>
      </c>
      <c r="F224" s="18">
        <v>42.966000000000001</v>
      </c>
      <c r="G224" s="18">
        <v>228.37</v>
      </c>
      <c r="H224" s="18">
        <f t="shared" si="19"/>
        <v>37.324999999999996</v>
      </c>
      <c r="I224" s="5"/>
      <c r="J224" s="17">
        <v>1005.3803</v>
      </c>
      <c r="K224" s="18">
        <v>35.677799999999998</v>
      </c>
      <c r="L224" s="18">
        <v>42.009099999999997</v>
      </c>
      <c r="M224" s="18">
        <v>43.2712</v>
      </c>
      <c r="N224" s="18">
        <v>231.6901</v>
      </c>
      <c r="O224" s="18">
        <f t="shared" si="20"/>
        <v>37.418387500000001</v>
      </c>
      <c r="P224" s="7"/>
      <c r="Q224" s="10"/>
      <c r="R224" s="11"/>
      <c r="S224" s="11"/>
      <c r="T224" s="26"/>
      <c r="U224" s="28">
        <f t="shared" si="21"/>
        <v>1.4538249332224007E-2</v>
      </c>
    </row>
    <row r="225" spans="2:21" x14ac:dyDescent="0.25">
      <c r="B225" s="9"/>
      <c r="C225" s="17">
        <v>863.17</v>
      </c>
      <c r="D225" s="18">
        <v>33.603000000000002</v>
      </c>
      <c r="E225" s="18">
        <v>40.021999999999998</v>
      </c>
      <c r="F225" s="18">
        <v>41.427999999999997</v>
      </c>
      <c r="G225" s="18">
        <v>241.35</v>
      </c>
      <c r="H225" s="18">
        <f t="shared" si="19"/>
        <v>35.383499999999998</v>
      </c>
      <c r="I225" s="5"/>
      <c r="J225" s="17">
        <v>604.73050000000001</v>
      </c>
      <c r="K225" s="18">
        <v>34.035499999999999</v>
      </c>
      <c r="L225" s="18">
        <v>40.829799999999999</v>
      </c>
      <c r="M225" s="18">
        <v>41.983499999999999</v>
      </c>
      <c r="N225" s="18">
        <v>267.6182</v>
      </c>
      <c r="O225" s="18">
        <f t="shared" si="20"/>
        <v>35.878287499999999</v>
      </c>
      <c r="P225" s="7"/>
      <c r="Q225" s="10"/>
      <c r="R225" s="11"/>
      <c r="S225" s="11"/>
      <c r="T225" s="26"/>
      <c r="U225" s="28">
        <f t="shared" si="21"/>
        <v>0.10883861611767147</v>
      </c>
    </row>
    <row r="226" spans="2:21" ht="16.5" thickBot="1" x14ac:dyDescent="0.3">
      <c r="B226" s="12"/>
      <c r="C226" s="19">
        <v>407.8</v>
      </c>
      <c r="D226" s="20">
        <v>30.844999999999999</v>
      </c>
      <c r="E226" s="20">
        <v>38.348999999999997</v>
      </c>
      <c r="F226" s="20">
        <v>39.427</v>
      </c>
      <c r="G226" s="20">
        <v>239.87</v>
      </c>
      <c r="H226" s="20">
        <f t="shared" si="19"/>
        <v>32.85575</v>
      </c>
      <c r="I226" s="5"/>
      <c r="J226" s="19">
        <v>302.6859</v>
      </c>
      <c r="K226" s="20">
        <v>31.953199999999999</v>
      </c>
      <c r="L226" s="20">
        <v>39.3324</v>
      </c>
      <c r="M226" s="20">
        <v>40.247900000000001</v>
      </c>
      <c r="N226" s="20">
        <v>320.45580000000001</v>
      </c>
      <c r="O226" s="20">
        <f t="shared" si="20"/>
        <v>33.912437500000003</v>
      </c>
      <c r="P226" s="7"/>
      <c r="Q226" s="13"/>
      <c r="R226" s="14"/>
      <c r="S226" s="14"/>
      <c r="T226" s="27"/>
      <c r="U226" s="28">
        <f t="shared" si="21"/>
        <v>0.33595614291074333</v>
      </c>
    </row>
    <row r="227" spans="2:21" x14ac:dyDescent="0.25">
      <c r="B227" s="6" t="s">
        <v>106</v>
      </c>
      <c r="C227" s="15">
        <v>2215.9699999999998</v>
      </c>
      <c r="D227" s="16">
        <v>46.994999999999997</v>
      </c>
      <c r="E227" s="16">
        <v>51.284999999999997</v>
      </c>
      <c r="F227" s="16">
        <v>52.46</v>
      </c>
      <c r="G227" s="16">
        <v>237.24</v>
      </c>
      <c r="H227" s="16">
        <f t="shared" si="19"/>
        <v>48.214374999999997</v>
      </c>
      <c r="I227" s="5"/>
      <c r="J227" s="15">
        <v>1499.0866000000001</v>
      </c>
      <c r="K227" s="16">
        <v>47.3658</v>
      </c>
      <c r="L227" s="16">
        <v>52.656399999999998</v>
      </c>
      <c r="M227" s="16">
        <v>54.023600000000002</v>
      </c>
      <c r="N227" s="16">
        <v>234.3974</v>
      </c>
      <c r="O227" s="16">
        <f t="shared" si="20"/>
        <v>48.859349999999999</v>
      </c>
      <c r="P227" s="7"/>
      <c r="Q227" s="8">
        <f>bdrate(C227:C230,D227:D230,J227:J230,K227:K230)</f>
        <v>-0.43784316111832211</v>
      </c>
      <c r="R227" s="8">
        <f>bdrate(C227:C230,E227:E230,J227:J230,L227:L230)</f>
        <v>-0.57943265221993889</v>
      </c>
      <c r="S227" s="8">
        <f>bdrate(C227:C230,F227:F230,J227:J230,M227:M230)</f>
        <v>-0.58356885233308331</v>
      </c>
      <c r="T227" s="25">
        <f>bdrate(C227:C230,H227:H230,J227:J230,O227:O230)</f>
        <v>-0.47811328017954846</v>
      </c>
      <c r="U227" s="28">
        <f t="shared" si="21"/>
        <v>-1.1981959197437213E-2</v>
      </c>
    </row>
    <row r="228" spans="2:21" x14ac:dyDescent="0.25">
      <c r="B228" s="9"/>
      <c r="C228" s="17">
        <v>1472.46</v>
      </c>
      <c r="D228" s="18">
        <v>44.365000000000002</v>
      </c>
      <c r="E228" s="18">
        <v>48.844999999999999</v>
      </c>
      <c r="F228" s="18">
        <v>50.161999999999999</v>
      </c>
      <c r="G228" s="18">
        <v>273.74</v>
      </c>
      <c r="H228" s="18">
        <f t="shared" si="19"/>
        <v>45.649624999999993</v>
      </c>
      <c r="I228" s="5"/>
      <c r="J228" s="17">
        <v>1001.3665999999999</v>
      </c>
      <c r="K228" s="18">
        <v>45.521000000000001</v>
      </c>
      <c r="L228" s="18">
        <v>50.962499999999999</v>
      </c>
      <c r="M228" s="18">
        <v>52.388300000000001</v>
      </c>
      <c r="N228" s="18">
        <v>275.20269999999999</v>
      </c>
      <c r="O228" s="18">
        <f t="shared" si="20"/>
        <v>47.059599999999996</v>
      </c>
      <c r="P228" s="7"/>
      <c r="Q228" s="10"/>
      <c r="R228" s="11"/>
      <c r="S228" s="11"/>
      <c r="T228" s="26"/>
      <c r="U228" s="28">
        <f t="shared" si="21"/>
        <v>5.3433915394169064E-3</v>
      </c>
    </row>
    <row r="229" spans="2:21" x14ac:dyDescent="0.25">
      <c r="B229" s="9"/>
      <c r="C229" s="17">
        <v>893.38</v>
      </c>
      <c r="D229" s="18">
        <v>42.146000000000001</v>
      </c>
      <c r="E229" s="18">
        <v>46.63</v>
      </c>
      <c r="F229" s="18">
        <v>48.048000000000002</v>
      </c>
      <c r="G229" s="18">
        <v>295.69</v>
      </c>
      <c r="H229" s="18">
        <f t="shared" si="19"/>
        <v>43.444250000000004</v>
      </c>
      <c r="I229" s="5"/>
      <c r="J229" s="17">
        <v>602.69939999999997</v>
      </c>
      <c r="K229" s="18">
        <v>43.1708</v>
      </c>
      <c r="L229" s="18">
        <v>48.873899999999999</v>
      </c>
      <c r="M229" s="18">
        <v>50.2179</v>
      </c>
      <c r="N229" s="18">
        <v>315.11649999999997</v>
      </c>
      <c r="O229" s="18">
        <f t="shared" si="20"/>
        <v>44.764575000000001</v>
      </c>
      <c r="P229" s="7"/>
      <c r="Q229" s="10"/>
      <c r="R229" s="11"/>
      <c r="S229" s="11"/>
      <c r="T229" s="26"/>
      <c r="U229" s="28">
        <f t="shared" si="21"/>
        <v>6.5698873820555226E-2</v>
      </c>
    </row>
    <row r="230" spans="2:21" ht="16.5" thickBot="1" x14ac:dyDescent="0.3">
      <c r="B230" s="12"/>
      <c r="C230" s="19">
        <v>427.08</v>
      </c>
      <c r="D230" s="20">
        <v>39.695999999999998</v>
      </c>
      <c r="E230" s="20">
        <v>43.890999999999998</v>
      </c>
      <c r="F230" s="20">
        <v>45.305</v>
      </c>
      <c r="G230" s="20">
        <v>304.04000000000002</v>
      </c>
      <c r="H230" s="20">
        <f t="shared" si="19"/>
        <v>40.921500000000002</v>
      </c>
      <c r="I230" s="5"/>
      <c r="J230" s="19">
        <v>302.12880000000001</v>
      </c>
      <c r="K230" s="20">
        <v>39.863100000000003</v>
      </c>
      <c r="L230" s="20">
        <v>45.7393</v>
      </c>
      <c r="M230" s="20">
        <v>47.125300000000003</v>
      </c>
      <c r="N230" s="20">
        <v>364.9828</v>
      </c>
      <c r="O230" s="20">
        <f t="shared" si="20"/>
        <v>41.505400000000002</v>
      </c>
      <c r="P230" s="7"/>
      <c r="Q230" s="13"/>
      <c r="R230" s="14"/>
      <c r="S230" s="14"/>
      <c r="T230" s="27"/>
      <c r="U230" s="28">
        <f t="shared" si="21"/>
        <v>0.20044336271543209</v>
      </c>
    </row>
    <row r="231" spans="2:21" x14ac:dyDescent="0.25">
      <c r="B231" s="6" t="s">
        <v>107</v>
      </c>
      <c r="C231" s="15">
        <v>2050.42</v>
      </c>
      <c r="D231" s="16">
        <v>31.425999999999998</v>
      </c>
      <c r="E231" s="16">
        <v>39.802</v>
      </c>
      <c r="F231" s="16">
        <v>39.171999999999997</v>
      </c>
      <c r="G231" s="16">
        <v>191.63</v>
      </c>
      <c r="H231" s="16">
        <f t="shared" si="19"/>
        <v>33.441249999999997</v>
      </c>
      <c r="I231" s="5"/>
      <c r="J231" s="15">
        <v>1495.0839000000001</v>
      </c>
      <c r="K231" s="16">
        <v>31.944600000000001</v>
      </c>
      <c r="L231" s="16">
        <v>40.145499999999998</v>
      </c>
      <c r="M231" s="16">
        <v>39.5246</v>
      </c>
      <c r="N231" s="16">
        <v>159.3484</v>
      </c>
      <c r="O231" s="16">
        <f t="shared" si="20"/>
        <v>33.917212499999998</v>
      </c>
      <c r="P231" s="7"/>
      <c r="Q231" s="8">
        <f>bdrate(C231:C234,D231:D234,J231:J234,K231:K234)</f>
        <v>-0.44285285302394539</v>
      </c>
      <c r="R231" s="8">
        <f>bdrate(C231:C234,E231:E234,J231:J234,L231:L234)</f>
        <v>-0.35959782859301903</v>
      </c>
      <c r="S231" s="8">
        <f>bdrate(C231:C234,F231:F234,J231:J234,M231:M234)</f>
        <v>-0.3399624517505645</v>
      </c>
      <c r="T231" s="25">
        <f>bdrate(C231:C234,H231:H234,J231:J234,O231:O234)</f>
        <v>-0.43100827499201333</v>
      </c>
      <c r="U231" s="28">
        <f t="shared" si="21"/>
        <v>-0.16845796587173198</v>
      </c>
    </row>
    <row r="232" spans="2:21" x14ac:dyDescent="0.25">
      <c r="B232" s="9"/>
      <c r="C232" s="17">
        <v>1364.83</v>
      </c>
      <c r="D232" s="18">
        <v>29.248000000000001</v>
      </c>
      <c r="E232" s="18">
        <v>38.781999999999996</v>
      </c>
      <c r="F232" s="18">
        <v>38.167000000000002</v>
      </c>
      <c r="G232" s="18">
        <v>214.06</v>
      </c>
      <c r="H232" s="18">
        <f t="shared" si="19"/>
        <v>31.554624999999998</v>
      </c>
      <c r="I232" s="5"/>
      <c r="J232" s="17">
        <v>995.52290000000005</v>
      </c>
      <c r="K232" s="18">
        <v>30.1616</v>
      </c>
      <c r="L232" s="18">
        <v>39.181800000000003</v>
      </c>
      <c r="M232" s="18">
        <v>38.496099999999998</v>
      </c>
      <c r="N232" s="18">
        <v>184.61539999999999</v>
      </c>
      <c r="O232" s="18">
        <f t="shared" si="20"/>
        <v>32.330937500000005</v>
      </c>
      <c r="P232" s="7"/>
      <c r="Q232" s="10"/>
      <c r="R232" s="11"/>
      <c r="S232" s="11"/>
      <c r="T232" s="26"/>
      <c r="U232" s="28">
        <f t="shared" si="21"/>
        <v>-0.13755302251705134</v>
      </c>
    </row>
    <row r="233" spans="2:21" x14ac:dyDescent="0.25">
      <c r="B233" s="9"/>
      <c r="C233" s="17">
        <v>829.82</v>
      </c>
      <c r="D233" s="18">
        <v>26.417000000000002</v>
      </c>
      <c r="E233" s="18">
        <v>37.610999999999997</v>
      </c>
      <c r="F233" s="18">
        <v>36.99</v>
      </c>
      <c r="G233" s="18">
        <v>224.38</v>
      </c>
      <c r="H233" s="18">
        <f t="shared" si="19"/>
        <v>29.137875000000001</v>
      </c>
      <c r="I233" s="5"/>
      <c r="J233" s="17">
        <v>597.17750000000001</v>
      </c>
      <c r="K233" s="18">
        <v>27.9085</v>
      </c>
      <c r="L233" s="18">
        <v>37.833399999999997</v>
      </c>
      <c r="M233" s="18">
        <v>37.089700000000001</v>
      </c>
      <c r="N233" s="18">
        <v>231.24359999999999</v>
      </c>
      <c r="O233" s="18">
        <f t="shared" si="20"/>
        <v>30.2967625</v>
      </c>
      <c r="P233" s="7"/>
      <c r="Q233" s="10"/>
      <c r="R233" s="11"/>
      <c r="S233" s="11"/>
      <c r="T233" s="26"/>
      <c r="U233" s="28">
        <f t="shared" si="21"/>
        <v>3.0589179071218428E-2</v>
      </c>
    </row>
    <row r="234" spans="2:21" ht="16.5" thickBot="1" x14ac:dyDescent="0.3">
      <c r="B234" s="12"/>
      <c r="C234" s="19">
        <v>386.92</v>
      </c>
      <c r="D234" s="20">
        <v>21.957000000000001</v>
      </c>
      <c r="E234" s="20">
        <v>33.554000000000002</v>
      </c>
      <c r="F234" s="20">
        <v>33.070999999999998</v>
      </c>
      <c r="G234" s="20">
        <v>228.43</v>
      </c>
      <c r="H234" s="20">
        <f t="shared" si="19"/>
        <v>24.795875000000002</v>
      </c>
      <c r="I234" s="5"/>
      <c r="J234" s="19">
        <v>299.36599999999999</v>
      </c>
      <c r="K234" s="20">
        <v>25.080200000000001</v>
      </c>
      <c r="L234" s="20">
        <v>35.4407</v>
      </c>
      <c r="M234" s="20">
        <v>34.831400000000002</v>
      </c>
      <c r="N234" s="20">
        <v>295.03359999999998</v>
      </c>
      <c r="O234" s="20">
        <f t="shared" si="20"/>
        <v>27.594162499999999</v>
      </c>
      <c r="P234" s="7"/>
      <c r="Q234" s="13"/>
      <c r="R234" s="14"/>
      <c r="S234" s="14"/>
      <c r="T234" s="27"/>
      <c r="U234" s="28">
        <f t="shared" si="21"/>
        <v>0.29157115965503644</v>
      </c>
    </row>
    <row r="235" spans="2:21" x14ac:dyDescent="0.25">
      <c r="B235" s="6" t="s">
        <v>108</v>
      </c>
      <c r="C235" s="15">
        <v>2358.6999999999998</v>
      </c>
      <c r="D235" s="16">
        <v>46.08</v>
      </c>
      <c r="E235" s="16">
        <v>46.557000000000002</v>
      </c>
      <c r="F235" s="16">
        <v>46.273000000000003</v>
      </c>
      <c r="G235" s="16">
        <v>236.9</v>
      </c>
      <c r="H235" s="16">
        <f t="shared" si="19"/>
        <v>46.163750000000007</v>
      </c>
      <c r="I235" s="5"/>
      <c r="J235" s="15">
        <v>1421.0835999999999</v>
      </c>
      <c r="K235" s="16">
        <v>44.881</v>
      </c>
      <c r="L235" s="16">
        <v>45.980800000000002</v>
      </c>
      <c r="M235" s="16">
        <v>45.853000000000002</v>
      </c>
      <c r="N235" s="16">
        <v>166.72839999999999</v>
      </c>
      <c r="O235" s="16">
        <f t="shared" si="20"/>
        <v>45.139975</v>
      </c>
      <c r="P235" s="7"/>
      <c r="Q235" s="8">
        <f>bdrate(C235:C238,D235:D238,J235:J238,K235:K238)</f>
        <v>-0.32193036510857986</v>
      </c>
      <c r="R235" s="8">
        <f>bdrate(C235:C238,E235:E238,J235:J238,L235:L238)</f>
        <v>-0.35779209495669007</v>
      </c>
      <c r="S235" s="8">
        <f>bdrate(C235:C238,F235:F238,J235:J238,M235:M238)</f>
        <v>-0.38333843413941227</v>
      </c>
      <c r="T235" s="25">
        <f>bdrate(C235:C238,H235:H238,J235:J238,O235:O238)</f>
        <v>-0.33231705278232826</v>
      </c>
      <c r="U235" s="28">
        <f t="shared" si="21"/>
        <v>-0.29620768256648378</v>
      </c>
    </row>
    <row r="236" spans="2:21" x14ac:dyDescent="0.25">
      <c r="B236" s="9"/>
      <c r="C236" s="17">
        <v>1567.25</v>
      </c>
      <c r="D236" s="18">
        <v>43.786999999999999</v>
      </c>
      <c r="E236" s="18">
        <v>44.552</v>
      </c>
      <c r="F236" s="18">
        <v>44.225000000000001</v>
      </c>
      <c r="G236" s="18">
        <v>270.14999999999998</v>
      </c>
      <c r="H236" s="18">
        <f t="shared" si="19"/>
        <v>43.937375000000003</v>
      </c>
      <c r="I236" s="5"/>
      <c r="J236" s="17">
        <v>961.03729999999996</v>
      </c>
      <c r="K236" s="18">
        <v>42.993099999999998</v>
      </c>
      <c r="L236" s="18">
        <v>44.319899999999997</v>
      </c>
      <c r="M236" s="18">
        <v>44.261899999999997</v>
      </c>
      <c r="N236" s="18">
        <v>252.4898</v>
      </c>
      <c r="O236" s="18">
        <f t="shared" si="20"/>
        <v>43.317549999999997</v>
      </c>
      <c r="P236" s="7"/>
      <c r="Q236" s="10"/>
      <c r="R236" s="11"/>
      <c r="S236" s="11"/>
      <c r="T236" s="26"/>
      <c r="U236" s="28">
        <f t="shared" si="21"/>
        <v>-6.5371830464556635E-2</v>
      </c>
    </row>
    <row r="237" spans="2:21" x14ac:dyDescent="0.25">
      <c r="B237" s="9"/>
      <c r="C237" s="17">
        <v>947.23</v>
      </c>
      <c r="D237" s="18">
        <v>40.671999999999997</v>
      </c>
      <c r="E237" s="18">
        <v>42.073999999999998</v>
      </c>
      <c r="F237" s="18">
        <v>41.668999999999997</v>
      </c>
      <c r="G237" s="18">
        <v>282.70999999999998</v>
      </c>
      <c r="H237" s="18">
        <f t="shared" si="19"/>
        <v>40.971874999999997</v>
      </c>
      <c r="I237" s="5"/>
      <c r="J237" s="17">
        <v>584.60029999999995</v>
      </c>
      <c r="K237" s="18">
        <v>40.009399999999999</v>
      </c>
      <c r="L237" s="18">
        <v>41.880800000000001</v>
      </c>
      <c r="M237" s="18">
        <v>41.699199999999998</v>
      </c>
      <c r="N237" s="18">
        <v>297.42230000000001</v>
      </c>
      <c r="O237" s="18">
        <f t="shared" si="20"/>
        <v>40.454550000000005</v>
      </c>
      <c r="P237" s="7"/>
      <c r="Q237" s="10"/>
      <c r="R237" s="11"/>
      <c r="S237" s="11"/>
      <c r="T237" s="26"/>
      <c r="U237" s="28">
        <f t="shared" si="21"/>
        <v>5.2040253263061186E-2</v>
      </c>
    </row>
    <row r="238" spans="2:21" ht="16.5" thickBot="1" x14ac:dyDescent="0.3">
      <c r="B238" s="12"/>
      <c r="C238" s="19">
        <v>438.68</v>
      </c>
      <c r="D238" s="20">
        <v>34.926000000000002</v>
      </c>
      <c r="E238" s="20">
        <v>38.229999999999997</v>
      </c>
      <c r="F238" s="20">
        <v>37.826999999999998</v>
      </c>
      <c r="G238" s="20">
        <v>299.7</v>
      </c>
      <c r="H238" s="20">
        <f t="shared" si="19"/>
        <v>35.701625</v>
      </c>
      <c r="I238" s="5"/>
      <c r="J238" s="19">
        <v>294.59210000000002</v>
      </c>
      <c r="K238" s="20">
        <v>35.610300000000002</v>
      </c>
      <c r="L238" s="20">
        <v>38.57</v>
      </c>
      <c r="M238" s="20">
        <v>38.197099999999999</v>
      </c>
      <c r="N238" s="20">
        <v>346.55369999999999</v>
      </c>
      <c r="O238" s="20">
        <f t="shared" si="20"/>
        <v>36.3036125</v>
      </c>
      <c r="P238" s="7"/>
      <c r="Q238" s="13"/>
      <c r="R238" s="14"/>
      <c r="S238" s="14"/>
      <c r="T238" s="27"/>
      <c r="U238" s="28">
        <f t="shared" si="21"/>
        <v>0.15633533533533536</v>
      </c>
    </row>
    <row r="239" spans="2:21" x14ac:dyDescent="0.25">
      <c r="B239" s="6" t="s">
        <v>109</v>
      </c>
      <c r="C239" s="15">
        <v>2848.82</v>
      </c>
      <c r="D239" s="16">
        <v>47.22</v>
      </c>
      <c r="E239" s="16">
        <v>48.61</v>
      </c>
      <c r="F239" s="16">
        <v>48.832000000000001</v>
      </c>
      <c r="G239" s="16">
        <v>232.17</v>
      </c>
      <c r="H239" s="16">
        <f t="shared" si="19"/>
        <v>47.59525</v>
      </c>
      <c r="I239" s="5"/>
      <c r="J239" s="15">
        <v>1406.9559999999999</v>
      </c>
      <c r="K239" s="16">
        <v>45.471499999999999</v>
      </c>
      <c r="L239" s="16">
        <v>47.719200000000001</v>
      </c>
      <c r="M239" s="16">
        <v>47.948999999999998</v>
      </c>
      <c r="N239" s="16">
        <v>206.77770000000001</v>
      </c>
      <c r="O239" s="16">
        <f t="shared" si="20"/>
        <v>46.062150000000003</v>
      </c>
      <c r="P239" s="7"/>
      <c r="Q239" s="8">
        <f>bdrate(C239:C242,D239:D242,J239:J242,K239:K242)</f>
        <v>-0.38750288370348152</v>
      </c>
      <c r="R239" s="8">
        <f>bdrate(C239:C242,E239:E242,J239:J242,L239:L242)</f>
        <v>-0.43662930803751909</v>
      </c>
      <c r="S239" s="8">
        <f>bdrate(C239:C242,F239:F242,J239:J242,M239:M242)</f>
        <v>-0.44158240329960463</v>
      </c>
      <c r="T239" s="25">
        <f>bdrate(C239:C242,H239:H242,J239:J242,O239:O242)</f>
        <v>-0.39910711039290159</v>
      </c>
      <c r="U239" s="28">
        <f t="shared" si="21"/>
        <v>-0.10936942757462195</v>
      </c>
    </row>
    <row r="240" spans="2:21" x14ac:dyDescent="0.25">
      <c r="B240" s="9"/>
      <c r="C240" s="17">
        <v>1885.73</v>
      </c>
      <c r="D240" s="18">
        <v>44.545000000000002</v>
      </c>
      <c r="E240" s="18">
        <v>46.3</v>
      </c>
      <c r="F240" s="18">
        <v>46.530999999999999</v>
      </c>
      <c r="G240" s="18">
        <v>286.26</v>
      </c>
      <c r="H240" s="18">
        <f t="shared" si="19"/>
        <v>45.012625</v>
      </c>
      <c r="I240" s="5"/>
      <c r="J240" s="17">
        <v>972.74270000000001</v>
      </c>
      <c r="K240" s="18">
        <v>43.8857</v>
      </c>
      <c r="L240" s="18">
        <v>46.377600000000001</v>
      </c>
      <c r="M240" s="18">
        <v>46.627499999999998</v>
      </c>
      <c r="N240" s="18">
        <v>229.82640000000001</v>
      </c>
      <c r="O240" s="18">
        <f t="shared" si="20"/>
        <v>44.539912500000007</v>
      </c>
      <c r="P240" s="7"/>
      <c r="Q240" s="10"/>
      <c r="R240" s="11"/>
      <c r="S240" s="11"/>
      <c r="T240" s="26"/>
      <c r="U240" s="28">
        <f t="shared" si="21"/>
        <v>-0.19714106057430303</v>
      </c>
    </row>
    <row r="241" spans="2:21" x14ac:dyDescent="0.25">
      <c r="B241" s="9"/>
      <c r="C241" s="17">
        <v>1126.43</v>
      </c>
      <c r="D241" s="18">
        <v>41.738999999999997</v>
      </c>
      <c r="E241" s="18">
        <v>43.99</v>
      </c>
      <c r="F241" s="18">
        <v>44.210999999999999</v>
      </c>
      <c r="G241" s="18">
        <v>307.69</v>
      </c>
      <c r="H241" s="18">
        <f t="shared" si="19"/>
        <v>42.329374999999999</v>
      </c>
      <c r="I241" s="5"/>
      <c r="J241" s="17">
        <v>633.72720000000004</v>
      </c>
      <c r="K241" s="18">
        <v>41.299199999999999</v>
      </c>
      <c r="L241" s="18">
        <v>44.041699999999999</v>
      </c>
      <c r="M241" s="18">
        <v>44.336100000000002</v>
      </c>
      <c r="N241" s="18">
        <v>258.06450000000001</v>
      </c>
      <c r="O241" s="18">
        <f t="shared" si="20"/>
        <v>42.021625</v>
      </c>
      <c r="P241" s="7"/>
      <c r="Q241" s="10"/>
      <c r="R241" s="11"/>
      <c r="S241" s="11"/>
      <c r="T241" s="26"/>
      <c r="U241" s="28">
        <f t="shared" si="21"/>
        <v>-0.16128408463063471</v>
      </c>
    </row>
    <row r="242" spans="2:21" ht="16.5" thickBot="1" x14ac:dyDescent="0.3">
      <c r="B242" s="12"/>
      <c r="C242" s="19">
        <v>526.66999999999996</v>
      </c>
      <c r="D242" s="20">
        <v>37.195999999999998</v>
      </c>
      <c r="E242" s="20">
        <v>40.415999999999997</v>
      </c>
      <c r="F242" s="20">
        <v>40.658000000000001</v>
      </c>
      <c r="G242" s="20">
        <v>332.47</v>
      </c>
      <c r="H242" s="20">
        <f t="shared" si="19"/>
        <v>38.03125</v>
      </c>
      <c r="I242" s="5"/>
      <c r="J242" s="19">
        <v>337.25279999999998</v>
      </c>
      <c r="K242" s="20">
        <v>37.010399999999997</v>
      </c>
      <c r="L242" s="20">
        <v>40.2742</v>
      </c>
      <c r="M242" s="20">
        <v>40.536499999999997</v>
      </c>
      <c r="N242" s="20">
        <v>349.17559999999997</v>
      </c>
      <c r="O242" s="20">
        <f t="shared" si="20"/>
        <v>37.859137499999996</v>
      </c>
      <c r="P242" s="7"/>
      <c r="Q242" s="13"/>
      <c r="R242" s="14"/>
      <c r="S242" s="14"/>
      <c r="T242" s="27"/>
      <c r="U242" s="28">
        <f t="shared" si="21"/>
        <v>5.0246939573495193E-2</v>
      </c>
    </row>
    <row r="243" spans="2:21" x14ac:dyDescent="0.25">
      <c r="B243" s="6" t="s">
        <v>110</v>
      </c>
      <c r="C243" s="29">
        <v>2133.06</v>
      </c>
      <c r="D243" s="30">
        <v>32.802</v>
      </c>
      <c r="E243" s="30">
        <v>36.438000000000002</v>
      </c>
      <c r="F243" s="30">
        <v>35.436999999999998</v>
      </c>
      <c r="G243" s="16">
        <v>222.77</v>
      </c>
      <c r="H243" s="16">
        <f t="shared" si="19"/>
        <v>33.585875000000001</v>
      </c>
      <c r="I243" s="5"/>
      <c r="J243" s="29">
        <v>1505.8457000000001</v>
      </c>
      <c r="K243" s="30">
        <v>32.307099999999998</v>
      </c>
      <c r="L243" s="30">
        <v>36.517600000000002</v>
      </c>
      <c r="M243" s="30">
        <v>35.425199999999997</v>
      </c>
      <c r="N243" s="16">
        <v>183.72970000000001</v>
      </c>
      <c r="O243" s="16">
        <f t="shared" si="20"/>
        <v>33.223175000000005</v>
      </c>
      <c r="P243" s="7"/>
      <c r="Q243" s="8">
        <f>bdrate(C243:C246,D243:D246,J243:J246,K243:K246)</f>
        <v>-0.33514759688514062</v>
      </c>
      <c r="R243" s="8">
        <f>bdrate(C243:C246,E243:E246,J243:J246,L243:L246)</f>
        <v>-0.29994440473184358</v>
      </c>
      <c r="S243" s="8">
        <f>bdrate(C243:C246,F243:F246,J243:J246,M243:M246)</f>
        <v>-0.25813714636655849</v>
      </c>
      <c r="T243" s="25">
        <f>bdrate(C243:C246,H243:H246,J243:J246,O243:O246)</f>
        <v>-0.32887867419258354</v>
      </c>
      <c r="U243" s="28">
        <f t="shared" si="21"/>
        <v>-0.17524936032679445</v>
      </c>
    </row>
    <row r="244" spans="2:21" x14ac:dyDescent="0.25">
      <c r="B244" s="9"/>
      <c r="C244" s="31">
        <v>1411.83</v>
      </c>
      <c r="D244" s="32">
        <v>30.553000000000001</v>
      </c>
      <c r="E244" s="32">
        <v>35.338999999999999</v>
      </c>
      <c r="F244" s="32">
        <v>34.299999999999997</v>
      </c>
      <c r="G244" s="18">
        <v>246</v>
      </c>
      <c r="H244" s="18">
        <f t="shared" si="19"/>
        <v>31.619624999999999</v>
      </c>
      <c r="I244" s="5"/>
      <c r="J244" s="31">
        <v>1003.7800999999999</v>
      </c>
      <c r="K244" s="32">
        <v>30.428699999999999</v>
      </c>
      <c r="L244" s="32">
        <v>35.453099999999999</v>
      </c>
      <c r="M244" s="32">
        <v>34.308999999999997</v>
      </c>
      <c r="N244" s="18">
        <v>215.28530000000001</v>
      </c>
      <c r="O244" s="18">
        <f t="shared" si="20"/>
        <v>31.541787500000002</v>
      </c>
      <c r="P244" s="7"/>
      <c r="Q244" s="10"/>
      <c r="R244" s="11"/>
      <c r="S244" s="11"/>
      <c r="T244" s="26"/>
      <c r="U244" s="28">
        <f t="shared" si="21"/>
        <v>-0.12485650406504062</v>
      </c>
    </row>
    <row r="245" spans="2:21" x14ac:dyDescent="0.25">
      <c r="B245" s="9"/>
      <c r="C245" s="31">
        <v>848.08</v>
      </c>
      <c r="D245" s="32">
        <v>27.748000000000001</v>
      </c>
      <c r="E245" s="32">
        <v>34.262999999999998</v>
      </c>
      <c r="F245" s="32">
        <v>33.19</v>
      </c>
      <c r="G245" s="18">
        <v>259.22000000000003</v>
      </c>
      <c r="H245" s="18">
        <f t="shared" si="19"/>
        <v>29.242625</v>
      </c>
      <c r="I245" s="5"/>
      <c r="J245" s="31">
        <v>602.11040000000003</v>
      </c>
      <c r="K245" s="32">
        <v>28.220099999999999</v>
      </c>
      <c r="L245" s="32">
        <v>34.197699999999998</v>
      </c>
      <c r="M245" s="32">
        <v>32.941499999999998</v>
      </c>
      <c r="N245" s="18">
        <v>258.65789999999998</v>
      </c>
      <c r="O245" s="18">
        <f t="shared" si="20"/>
        <v>29.557474999999997</v>
      </c>
      <c r="P245" s="7"/>
      <c r="Q245" s="10"/>
      <c r="R245" s="11"/>
      <c r="S245" s="11"/>
      <c r="T245" s="26"/>
      <c r="U245" s="28">
        <f t="shared" si="21"/>
        <v>-2.168428362009272E-3</v>
      </c>
    </row>
    <row r="246" spans="2:21" ht="16.5" thickBot="1" x14ac:dyDescent="0.3">
      <c r="B246" s="12"/>
      <c r="C246" s="33">
        <v>382.09</v>
      </c>
      <c r="D246" s="34">
        <v>23.204999999999998</v>
      </c>
      <c r="E246" s="34">
        <v>31.617000000000001</v>
      </c>
      <c r="F246" s="34">
        <v>30.463000000000001</v>
      </c>
      <c r="G246" s="20">
        <v>267.58</v>
      </c>
      <c r="H246" s="20">
        <f t="shared" si="19"/>
        <v>25.163749999999997</v>
      </c>
      <c r="I246" s="5"/>
      <c r="J246" s="33">
        <v>303.55279999999999</v>
      </c>
      <c r="K246" s="34">
        <v>25.6768</v>
      </c>
      <c r="L246" s="34">
        <v>32.354799999999997</v>
      </c>
      <c r="M246" s="34">
        <v>30.979800000000001</v>
      </c>
      <c r="N246" s="20">
        <v>321.37119999999999</v>
      </c>
      <c r="O246" s="20">
        <f t="shared" si="20"/>
        <v>27.174424999999999</v>
      </c>
      <c r="P246" s="7"/>
      <c r="Q246" s="13"/>
      <c r="R246" s="14"/>
      <c r="S246" s="14"/>
      <c r="T246" s="27"/>
      <c r="U246" s="28">
        <f t="shared" si="21"/>
        <v>0.2010284774646835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-0.43503501331416389</v>
      </c>
      <c r="R247" s="21">
        <f>AVERAGE(R131:R246)</f>
        <v>-0.50692109254919859</v>
      </c>
      <c r="S247" s="21">
        <f>AVERAGE(S131:S246)</f>
        <v>-0.50457068262391036</v>
      </c>
      <c r="T247" s="21">
        <f>AVERAGE(T131:T246)</f>
        <v>-0.44982094864080585</v>
      </c>
      <c r="U247" s="21">
        <f>AVERAGE(U131:U246)</f>
        <v>2.3250934783351163E-2</v>
      </c>
    </row>
  </sheetData>
  <mergeCells count="12">
    <mergeCell ref="B5:B6"/>
    <mergeCell ref="C7:H7"/>
    <mergeCell ref="J7:O7"/>
    <mergeCell ref="Q7:S7"/>
    <mergeCell ref="C5:U6"/>
    <mergeCell ref="B127:B128"/>
    <mergeCell ref="C129:H129"/>
    <mergeCell ref="J129:O129"/>
    <mergeCell ref="Q129:S129"/>
    <mergeCell ref="U7:U8"/>
    <mergeCell ref="U129:U130"/>
    <mergeCell ref="C127:U128"/>
  </mergeCells>
  <phoneticPr fontId="5" type="noConversion"/>
  <conditionalFormatting sqref="Q29:T32 Q37:T44 Q9:T20">
    <cfRule type="cellIs" dxfId="925" priority="473" operator="greaterThan">
      <formula>0.03</formula>
    </cfRule>
    <cfRule type="cellIs" dxfId="924" priority="474" stopIfTrue="1" operator="lessThan">
      <formula>-0.03</formula>
    </cfRule>
  </conditionalFormatting>
  <conditionalFormatting sqref="Q33:T36">
    <cfRule type="cellIs" dxfId="923" priority="471" operator="greaterThan">
      <formula>0.03</formula>
    </cfRule>
    <cfRule type="cellIs" dxfId="922" priority="472" stopIfTrue="1" operator="lessThan">
      <formula>-0.03</formula>
    </cfRule>
  </conditionalFormatting>
  <conditionalFormatting sqref="Q46:T48 Q62:T64">
    <cfRule type="cellIs" dxfId="921" priority="469" operator="greaterThan">
      <formula>0.03</formula>
    </cfRule>
    <cfRule type="cellIs" dxfId="920" priority="470" stopIfTrue="1" operator="lessThan">
      <formula>-0.03</formula>
    </cfRule>
  </conditionalFormatting>
  <conditionalFormatting sqref="Q50:T52 Q54:T56 Q58:T60">
    <cfRule type="cellIs" dxfId="919" priority="467" operator="greaterThan">
      <formula>0.03</formula>
    </cfRule>
    <cfRule type="cellIs" dxfId="918" priority="468" stopIfTrue="1" operator="lessThan">
      <formula>-0.03</formula>
    </cfRule>
  </conditionalFormatting>
  <conditionalFormatting sqref="Q70:T72 Q74:T76">
    <cfRule type="cellIs" dxfId="917" priority="465" operator="greaterThan">
      <formula>0.03</formula>
    </cfRule>
    <cfRule type="cellIs" dxfId="916" priority="466" stopIfTrue="1" operator="lessThan">
      <formula>-0.03</formula>
    </cfRule>
  </conditionalFormatting>
  <conditionalFormatting sqref="Q66:T68">
    <cfRule type="cellIs" dxfId="915" priority="463" operator="greaterThan">
      <formula>0.03</formula>
    </cfRule>
    <cfRule type="cellIs" dxfId="914" priority="464" stopIfTrue="1" operator="lessThan">
      <formula>-0.03</formula>
    </cfRule>
  </conditionalFormatting>
  <conditionalFormatting sqref="Q78:T80">
    <cfRule type="cellIs" dxfId="913" priority="461" operator="greaterThan">
      <formula>0.03</formula>
    </cfRule>
    <cfRule type="cellIs" dxfId="912" priority="462" stopIfTrue="1" operator="lessThan">
      <formula>-0.03</formula>
    </cfRule>
  </conditionalFormatting>
  <conditionalFormatting sqref="Q21:T28">
    <cfRule type="cellIs" dxfId="911" priority="437" operator="greaterThan">
      <formula>0.03</formula>
    </cfRule>
    <cfRule type="cellIs" dxfId="910" priority="438" stopIfTrue="1" operator="lessThan">
      <formula>-0.03</formula>
    </cfRule>
  </conditionalFormatting>
  <conditionalFormatting sqref="Q151:T154 Q159:T166 Q131:T142">
    <cfRule type="cellIs" dxfId="909" priority="433" operator="greaterThan">
      <formula>0.03</formula>
    </cfRule>
    <cfRule type="cellIs" dxfId="908" priority="434" stopIfTrue="1" operator="lessThan">
      <formula>-0.03</formula>
    </cfRule>
  </conditionalFormatting>
  <conditionalFormatting sqref="Q155:T158">
    <cfRule type="cellIs" dxfId="907" priority="431" operator="greaterThan">
      <formula>0.03</formula>
    </cfRule>
    <cfRule type="cellIs" dxfId="906" priority="432" stopIfTrue="1" operator="lessThan">
      <formula>-0.03</formula>
    </cfRule>
  </conditionalFormatting>
  <conditionalFormatting sqref="Q167:T170 Q183:T186">
    <cfRule type="cellIs" dxfId="905" priority="429" operator="greaterThan">
      <formula>0.03</formula>
    </cfRule>
    <cfRule type="cellIs" dxfId="904" priority="430" stopIfTrue="1" operator="lessThan">
      <formula>-0.03</formula>
    </cfRule>
  </conditionalFormatting>
  <conditionalFormatting sqref="Q171:T182">
    <cfRule type="cellIs" dxfId="903" priority="427" operator="greaterThan">
      <formula>0.03</formula>
    </cfRule>
    <cfRule type="cellIs" dxfId="902" priority="428" stopIfTrue="1" operator="lessThan">
      <formula>-0.03</formula>
    </cfRule>
  </conditionalFormatting>
  <conditionalFormatting sqref="Q191:T198">
    <cfRule type="cellIs" dxfId="901" priority="425" operator="greaterThan">
      <formula>0.03</formula>
    </cfRule>
    <cfRule type="cellIs" dxfId="900" priority="426" stopIfTrue="1" operator="lessThan">
      <formula>-0.03</formula>
    </cfRule>
  </conditionalFormatting>
  <conditionalFormatting sqref="Q187:T190">
    <cfRule type="cellIs" dxfId="899" priority="423" operator="greaterThan">
      <formula>0.03</formula>
    </cfRule>
    <cfRule type="cellIs" dxfId="898" priority="424" stopIfTrue="1" operator="lessThan">
      <formula>-0.03</formula>
    </cfRule>
  </conditionalFormatting>
  <conditionalFormatting sqref="Q199:T202">
    <cfRule type="cellIs" dxfId="897" priority="421" operator="greaterThan">
      <formula>0.03</formula>
    </cfRule>
    <cfRule type="cellIs" dxfId="896" priority="422" stopIfTrue="1" operator="lessThan">
      <formula>-0.03</formula>
    </cfRule>
  </conditionalFormatting>
  <conditionalFormatting sqref="Q143:T150">
    <cfRule type="cellIs" dxfId="895" priority="417" operator="greaterThan">
      <formula>0.03</formula>
    </cfRule>
    <cfRule type="cellIs" dxfId="894" priority="418" stopIfTrue="1" operator="lessThan">
      <formula>-0.03</formula>
    </cfRule>
  </conditionalFormatting>
  <conditionalFormatting sqref="Q45:T45">
    <cfRule type="cellIs" dxfId="893" priority="415" operator="greaterThan">
      <formula>0.03</formula>
    </cfRule>
    <cfRule type="cellIs" dxfId="892" priority="416" stopIfTrue="1" operator="lessThan">
      <formula>-0.03</formula>
    </cfRule>
  </conditionalFormatting>
  <conditionalFormatting sqref="Q49:T49">
    <cfRule type="cellIs" dxfId="891" priority="413" operator="greaterThan">
      <formula>0.03</formula>
    </cfRule>
    <cfRule type="cellIs" dxfId="890" priority="414" stopIfTrue="1" operator="lessThan">
      <formula>-0.03</formula>
    </cfRule>
  </conditionalFormatting>
  <conditionalFormatting sqref="Q53:T53">
    <cfRule type="cellIs" dxfId="889" priority="411" operator="greaterThan">
      <formula>0.03</formula>
    </cfRule>
    <cfRule type="cellIs" dxfId="888" priority="412" stopIfTrue="1" operator="lessThan">
      <formula>-0.03</formula>
    </cfRule>
  </conditionalFormatting>
  <conditionalFormatting sqref="Q57:T57">
    <cfRule type="cellIs" dxfId="887" priority="409" operator="greaterThan">
      <formula>0.03</formula>
    </cfRule>
    <cfRule type="cellIs" dxfId="886" priority="410" stopIfTrue="1" operator="lessThan">
      <formula>-0.03</formula>
    </cfRule>
  </conditionalFormatting>
  <conditionalFormatting sqref="Q61:T61">
    <cfRule type="cellIs" dxfId="885" priority="407" operator="greaterThan">
      <formula>0.03</formula>
    </cfRule>
    <cfRule type="cellIs" dxfId="884" priority="408" stopIfTrue="1" operator="lessThan">
      <formula>-0.03</formula>
    </cfRule>
  </conditionalFormatting>
  <conditionalFormatting sqref="Q65:T65">
    <cfRule type="cellIs" dxfId="883" priority="405" operator="greaterThan">
      <formula>0.03</formula>
    </cfRule>
    <cfRule type="cellIs" dxfId="882" priority="406" stopIfTrue="1" operator="lessThan">
      <formula>-0.03</formula>
    </cfRule>
  </conditionalFormatting>
  <conditionalFormatting sqref="Q69:T69">
    <cfRule type="cellIs" dxfId="881" priority="403" operator="greaterThan">
      <formula>0.03</formula>
    </cfRule>
    <cfRule type="cellIs" dxfId="880" priority="404" stopIfTrue="1" operator="lessThan">
      <formula>-0.03</formula>
    </cfRule>
  </conditionalFormatting>
  <conditionalFormatting sqref="Q73:T73">
    <cfRule type="cellIs" dxfId="879" priority="401" operator="greaterThan">
      <formula>0.03</formula>
    </cfRule>
    <cfRule type="cellIs" dxfId="878" priority="402" stopIfTrue="1" operator="lessThan">
      <formula>-0.03</formula>
    </cfRule>
  </conditionalFormatting>
  <conditionalFormatting sqref="Q77:T77">
    <cfRule type="cellIs" dxfId="877" priority="399" operator="greaterThan">
      <formula>0.03</formula>
    </cfRule>
    <cfRule type="cellIs" dxfId="876" priority="400" stopIfTrue="1" operator="lessThan">
      <formula>-0.03</formula>
    </cfRule>
  </conditionalFormatting>
  <conditionalFormatting sqref="Q117:T117">
    <cfRule type="cellIs" dxfId="875" priority="99" operator="greaterThan">
      <formula>0.03</formula>
    </cfRule>
    <cfRule type="cellIs" dxfId="874" priority="100" stopIfTrue="1" operator="lessThan">
      <formula>-0.03</formula>
    </cfRule>
  </conditionalFormatting>
  <conditionalFormatting sqref="Q93:T96 Q101:T108 Q81:T84">
    <cfRule type="cellIs" dxfId="873" priority="113" operator="greaterThan">
      <formula>0.03</formula>
    </cfRule>
    <cfRule type="cellIs" dxfId="872" priority="114" stopIfTrue="1" operator="lessThan">
      <formula>-0.03</formula>
    </cfRule>
  </conditionalFormatting>
  <conditionalFormatting sqref="Q97:T100">
    <cfRule type="cellIs" dxfId="871" priority="111" operator="greaterThan">
      <formula>0.03</formula>
    </cfRule>
    <cfRule type="cellIs" dxfId="870" priority="112" stopIfTrue="1" operator="lessThan">
      <formula>-0.03</formula>
    </cfRule>
  </conditionalFormatting>
  <conditionalFormatting sqref="Q110:T112 Q122:T124">
    <cfRule type="cellIs" dxfId="869" priority="109" operator="greaterThan">
      <formula>0.03</formula>
    </cfRule>
    <cfRule type="cellIs" dxfId="868" priority="110" stopIfTrue="1" operator="lessThan">
      <formula>-0.03</formula>
    </cfRule>
  </conditionalFormatting>
  <conditionalFormatting sqref="Q114:T116 Q118:T120">
    <cfRule type="cellIs" dxfId="867" priority="107" operator="greaterThan">
      <formula>0.03</formula>
    </cfRule>
    <cfRule type="cellIs" dxfId="866" priority="108" stopIfTrue="1" operator="lessThan">
      <formula>-0.03</formula>
    </cfRule>
  </conditionalFormatting>
  <conditionalFormatting sqref="Q85:T92">
    <cfRule type="cellIs" dxfId="865" priority="105" operator="greaterThan">
      <formula>0.03</formula>
    </cfRule>
    <cfRule type="cellIs" dxfId="864" priority="106" stopIfTrue="1" operator="lessThan">
      <formula>-0.03</formula>
    </cfRule>
  </conditionalFormatting>
  <conditionalFormatting sqref="Q109:T109">
    <cfRule type="cellIs" dxfId="863" priority="103" operator="greaterThan">
      <formula>0.03</formula>
    </cfRule>
    <cfRule type="cellIs" dxfId="862" priority="104" stopIfTrue="1" operator="lessThan">
      <formula>-0.03</formula>
    </cfRule>
  </conditionalFormatting>
  <conditionalFormatting sqref="Q113:T113">
    <cfRule type="cellIs" dxfId="861" priority="101" operator="greaterThan">
      <formula>0.03</formula>
    </cfRule>
    <cfRule type="cellIs" dxfId="860" priority="102" stopIfTrue="1" operator="lessThan">
      <formula>-0.03</formula>
    </cfRule>
  </conditionalFormatting>
  <conditionalFormatting sqref="Q121:T121">
    <cfRule type="cellIs" dxfId="859" priority="97" operator="greaterThan">
      <formula>0.03</formula>
    </cfRule>
    <cfRule type="cellIs" dxfId="858" priority="98" stopIfTrue="1" operator="lessThan">
      <formula>-0.03</formula>
    </cfRule>
  </conditionalFormatting>
  <conditionalFormatting sqref="Q239:T239">
    <cfRule type="cellIs" dxfId="857" priority="33" operator="greaterThan">
      <formula>0.03</formula>
    </cfRule>
    <cfRule type="cellIs" dxfId="856" priority="34" stopIfTrue="1" operator="lessThan">
      <formula>-0.03</formula>
    </cfRule>
  </conditionalFormatting>
  <conditionalFormatting sqref="Q215:T218 Q223:T230 Q203:T206">
    <cfRule type="cellIs" dxfId="855" priority="47" operator="greaterThan">
      <formula>0.03</formula>
    </cfRule>
    <cfRule type="cellIs" dxfId="854" priority="48" stopIfTrue="1" operator="lessThan">
      <formula>-0.03</formula>
    </cfRule>
  </conditionalFormatting>
  <conditionalFormatting sqref="Q219:T222">
    <cfRule type="cellIs" dxfId="853" priority="45" operator="greaterThan">
      <formula>0.03</formula>
    </cfRule>
    <cfRule type="cellIs" dxfId="852" priority="46" stopIfTrue="1" operator="lessThan">
      <formula>-0.03</formula>
    </cfRule>
  </conditionalFormatting>
  <conditionalFormatting sqref="Q232:T234 Q244:T246">
    <cfRule type="cellIs" dxfId="851" priority="43" operator="greaterThan">
      <formula>0.03</formula>
    </cfRule>
    <cfRule type="cellIs" dxfId="850" priority="44" stopIfTrue="1" operator="lessThan">
      <formula>-0.03</formula>
    </cfRule>
  </conditionalFormatting>
  <conditionalFormatting sqref="Q236:T238 Q240:T242">
    <cfRule type="cellIs" dxfId="849" priority="41" operator="greaterThan">
      <formula>0.03</formula>
    </cfRule>
    <cfRule type="cellIs" dxfId="848" priority="42" stopIfTrue="1" operator="lessThan">
      <formula>-0.03</formula>
    </cfRule>
  </conditionalFormatting>
  <conditionalFormatting sqref="Q207:T214">
    <cfRule type="cellIs" dxfId="847" priority="39" operator="greaterThan">
      <formula>0.03</formula>
    </cfRule>
    <cfRule type="cellIs" dxfId="846" priority="40" stopIfTrue="1" operator="lessThan">
      <formula>-0.03</formula>
    </cfRule>
  </conditionalFormatting>
  <conditionalFormatting sqref="Q231:T231">
    <cfRule type="cellIs" dxfId="845" priority="37" operator="greaterThan">
      <formula>0.03</formula>
    </cfRule>
    <cfRule type="cellIs" dxfId="844" priority="38" stopIfTrue="1" operator="lessThan">
      <formula>-0.03</formula>
    </cfRule>
  </conditionalFormatting>
  <conditionalFormatting sqref="Q235:T235">
    <cfRule type="cellIs" dxfId="843" priority="35" operator="greaterThan">
      <formula>0.03</formula>
    </cfRule>
    <cfRule type="cellIs" dxfId="842" priority="36" stopIfTrue="1" operator="lessThan">
      <formula>-0.03</formula>
    </cfRule>
  </conditionalFormatting>
  <conditionalFormatting sqref="Q243:T243">
    <cfRule type="cellIs" dxfId="841" priority="31" operator="greaterThan">
      <formula>0.03</formula>
    </cfRule>
    <cfRule type="cellIs" dxfId="840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97</v>
      </c>
    </row>
    <row r="2" spans="1:21" x14ac:dyDescent="0.25">
      <c r="A2" t="s">
        <v>84</v>
      </c>
    </row>
    <row r="3" spans="1:21" x14ac:dyDescent="0.25">
      <c r="A3" t="s">
        <v>88</v>
      </c>
    </row>
    <row r="4" spans="1:21" x14ac:dyDescent="0.25">
      <c r="A4" t="s">
        <v>86</v>
      </c>
    </row>
    <row r="5" spans="1:21" s="35" customFormat="1" ht="15.75" customHeight="1" x14ac:dyDescent="0.25">
      <c r="B5" s="61" t="s">
        <v>29</v>
      </c>
      <c r="C5" s="63" t="s">
        <v>183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66</v>
      </c>
      <c r="D7" s="70"/>
      <c r="E7" s="70"/>
      <c r="F7" s="70"/>
      <c r="G7" s="70"/>
      <c r="H7" s="70"/>
      <c r="I7" s="5"/>
      <c r="J7" s="69" t="s">
        <v>184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5750.1</v>
      </c>
      <c r="D9" s="16">
        <v>38.338999999999999</v>
      </c>
      <c r="E9" s="16">
        <v>39.268999999999998</v>
      </c>
      <c r="F9" s="16">
        <v>41.694000000000003</v>
      </c>
      <c r="G9" s="16">
        <v>3.92</v>
      </c>
      <c r="H9" s="16">
        <f t="shared" ref="H9:H80" si="0">(6*D9+E9+F9)/8</f>
        <v>38.874625000000002</v>
      </c>
      <c r="I9" s="5"/>
      <c r="J9" s="15">
        <v>4106.9391999999998</v>
      </c>
      <c r="K9" s="16">
        <v>38.540999999999997</v>
      </c>
      <c r="L9" s="16">
        <v>40.197299999999998</v>
      </c>
      <c r="M9" s="16">
        <v>42.9542</v>
      </c>
      <c r="N9" s="16">
        <v>3.375</v>
      </c>
      <c r="O9" s="16">
        <f t="shared" ref="O9:O80" si="1">(6*K9+L9+M9)/8</f>
        <v>39.299687499999997</v>
      </c>
      <c r="P9" s="7"/>
      <c r="Q9" s="8">
        <f>bdrate(C9:C12,D9:D12,J9:J12,K9:K12)</f>
        <v>-0.39647708676378635</v>
      </c>
      <c r="R9" s="8">
        <f>bdrate(C9:C12,E9:E12,J9:J12,L9:L12)</f>
        <v>-0.61652492733064312</v>
      </c>
      <c r="S9" s="8">
        <f>bdrate(C9:C12,F9:F12,J9:J12,M9:M12)</f>
        <v>-0.60645262776861419</v>
      </c>
      <c r="T9" s="25">
        <f>bdrate(C9:C12,H9:H12,J9:J12,O9:O12)</f>
        <v>-0.43276709625697252</v>
      </c>
      <c r="U9" s="28">
        <f t="shared" ref="U9:U72" si="2">(N9-G9)/G9</f>
        <v>-0.13903061224489793</v>
      </c>
    </row>
    <row r="10" spans="1:21" x14ac:dyDescent="0.25">
      <c r="A10" s="9" t="s">
        <v>36</v>
      </c>
      <c r="B10" s="9"/>
      <c r="C10" s="17">
        <v>4264</v>
      </c>
      <c r="D10" s="18">
        <v>37.332000000000001</v>
      </c>
      <c r="E10" s="18">
        <v>38.750999999999998</v>
      </c>
      <c r="F10" s="18">
        <v>41.148000000000003</v>
      </c>
      <c r="G10" s="18">
        <v>4.43</v>
      </c>
      <c r="H10" s="18">
        <f t="shared" si="0"/>
        <v>37.986375000000002</v>
      </c>
      <c r="I10" s="5"/>
      <c r="J10" s="17">
        <v>3027.6448</v>
      </c>
      <c r="K10" s="18">
        <v>37.637999999999998</v>
      </c>
      <c r="L10" s="18">
        <v>39.729799999999997</v>
      </c>
      <c r="M10" s="18">
        <v>42.320500000000003</v>
      </c>
      <c r="N10" s="18">
        <v>3.8538999999999999</v>
      </c>
      <c r="O10" s="18">
        <f t="shared" si="1"/>
        <v>38.484787499999996</v>
      </c>
      <c r="P10" s="7"/>
      <c r="Q10" s="10"/>
      <c r="R10" s="11"/>
      <c r="S10" s="11"/>
      <c r="T10" s="26"/>
      <c r="U10" s="28">
        <f t="shared" si="2"/>
        <v>-0.13004514672686227</v>
      </c>
    </row>
    <row r="11" spans="1:21" x14ac:dyDescent="0.25">
      <c r="B11" s="9"/>
      <c r="C11" s="17">
        <v>2805.35</v>
      </c>
      <c r="D11" s="18">
        <v>35.709000000000003</v>
      </c>
      <c r="E11" s="18">
        <v>38.03</v>
      </c>
      <c r="F11" s="18">
        <v>40.393000000000001</v>
      </c>
      <c r="G11" s="18">
        <v>5.15</v>
      </c>
      <c r="H11" s="18">
        <f t="shared" si="0"/>
        <v>36.584625000000003</v>
      </c>
      <c r="I11" s="5"/>
      <c r="J11" s="17">
        <v>1990.912</v>
      </c>
      <c r="K11" s="18">
        <v>36.290100000000002</v>
      </c>
      <c r="L11" s="18">
        <v>39.096699999999998</v>
      </c>
      <c r="M11" s="18">
        <v>41.521000000000001</v>
      </c>
      <c r="N11" s="18">
        <v>4.6814</v>
      </c>
      <c r="O11" s="18">
        <f t="shared" si="1"/>
        <v>37.294787500000005</v>
      </c>
      <c r="P11" s="7"/>
      <c r="Q11" s="10"/>
      <c r="R11" s="11"/>
      <c r="S11" s="11"/>
      <c r="T11" s="26"/>
      <c r="U11" s="28">
        <f t="shared" si="2"/>
        <v>-9.0990291262135981E-2</v>
      </c>
    </row>
    <row r="12" spans="1:21" ht="16.5" thickBot="1" x14ac:dyDescent="0.3">
      <c r="B12" s="12"/>
      <c r="C12" s="19">
        <v>1385.05</v>
      </c>
      <c r="D12" s="20">
        <v>32.401000000000003</v>
      </c>
      <c r="E12" s="20">
        <v>36.902000000000001</v>
      </c>
      <c r="F12" s="20">
        <v>39.222999999999999</v>
      </c>
      <c r="G12" s="20">
        <v>6.37</v>
      </c>
      <c r="H12" s="20">
        <f t="shared" si="0"/>
        <v>33.816375000000001</v>
      </c>
      <c r="I12" s="5"/>
      <c r="J12" s="19">
        <v>942.05920000000003</v>
      </c>
      <c r="K12" s="20">
        <v>33.590400000000002</v>
      </c>
      <c r="L12" s="20">
        <v>37.745600000000003</v>
      </c>
      <c r="M12" s="20">
        <v>40.015000000000001</v>
      </c>
      <c r="N12" s="20">
        <v>6.1833</v>
      </c>
      <c r="O12" s="20">
        <f t="shared" si="1"/>
        <v>34.912875</v>
      </c>
      <c r="P12" s="7"/>
      <c r="Q12" s="13"/>
      <c r="R12" s="14"/>
      <c r="S12" s="14"/>
      <c r="T12" s="27"/>
      <c r="U12" s="28">
        <f t="shared" si="2"/>
        <v>-2.9309262166405038E-2</v>
      </c>
    </row>
    <row r="13" spans="1:21" x14ac:dyDescent="0.25">
      <c r="B13" s="6" t="s">
        <v>47</v>
      </c>
      <c r="C13" s="15">
        <v>6234.39</v>
      </c>
      <c r="D13" s="16">
        <v>30.94</v>
      </c>
      <c r="E13" s="16">
        <v>40.103999999999999</v>
      </c>
      <c r="F13" s="16">
        <v>40.841000000000001</v>
      </c>
      <c r="G13" s="16">
        <v>3</v>
      </c>
      <c r="H13" s="16">
        <f t="shared" si="0"/>
        <v>33.323125000000005</v>
      </c>
      <c r="I13" s="5"/>
      <c r="J13" s="15">
        <v>4154.3248000000003</v>
      </c>
      <c r="K13" s="16">
        <v>30.071999999999999</v>
      </c>
      <c r="L13" s="16">
        <v>40.860500000000002</v>
      </c>
      <c r="M13" s="16">
        <v>41.6556</v>
      </c>
      <c r="N13" s="16">
        <v>2.3401000000000001</v>
      </c>
      <c r="O13" s="16">
        <f t="shared" si="1"/>
        <v>32.868512500000001</v>
      </c>
      <c r="P13" s="7"/>
      <c r="Q13" s="8">
        <f>bdrate(C13:C16,D13:D16,J13:J16,K13:K16)</f>
        <v>-0.29436874076471464</v>
      </c>
      <c r="R13" s="8">
        <f>bdrate(C13:C16,E13:E16,J13:J16,L13:L16)</f>
        <v>-0.52321777460911045</v>
      </c>
      <c r="S13" s="8">
        <f>bdrate(C13:C16,F13:F16,J13:J16,M13:M16)</f>
        <v>-0.59423025143064601</v>
      </c>
      <c r="T13" s="25">
        <f>bdrate(C13:C16,H13:H16,J13:J16,O13:O16)</f>
        <v>-0.33098009630754577</v>
      </c>
      <c r="U13" s="28">
        <f t="shared" si="2"/>
        <v>-0.21996666666666664</v>
      </c>
    </row>
    <row r="14" spans="1:21" x14ac:dyDescent="0.25">
      <c r="B14" s="9"/>
      <c r="C14" s="17">
        <v>4673.4799999999996</v>
      </c>
      <c r="D14" s="18">
        <v>29.373999999999999</v>
      </c>
      <c r="E14" s="18">
        <v>39.582999999999998</v>
      </c>
      <c r="F14" s="18">
        <v>40.33</v>
      </c>
      <c r="G14" s="18">
        <v>3.34</v>
      </c>
      <c r="H14" s="18">
        <f t="shared" si="0"/>
        <v>32.019624999999998</v>
      </c>
      <c r="I14" s="5"/>
      <c r="J14" s="17">
        <v>3137.8</v>
      </c>
      <c r="K14" s="18">
        <v>28.828700000000001</v>
      </c>
      <c r="L14" s="18">
        <v>40.379600000000003</v>
      </c>
      <c r="M14" s="18">
        <v>41.260800000000003</v>
      </c>
      <c r="N14" s="18">
        <v>2.8</v>
      </c>
      <c r="O14" s="18">
        <f t="shared" si="1"/>
        <v>31.826575000000005</v>
      </c>
      <c r="P14" s="7"/>
      <c r="Q14" s="10"/>
      <c r="R14" s="11"/>
      <c r="S14" s="11"/>
      <c r="T14" s="26"/>
      <c r="U14" s="28">
        <f t="shared" si="2"/>
        <v>-0.16167664670658685</v>
      </c>
    </row>
    <row r="15" spans="1:21" x14ac:dyDescent="0.25">
      <c r="B15" s="9"/>
      <c r="C15" s="17">
        <v>3102.21</v>
      </c>
      <c r="D15" s="18">
        <v>27.167000000000002</v>
      </c>
      <c r="E15" s="18">
        <v>38.869999999999997</v>
      </c>
      <c r="F15" s="18">
        <v>39.645000000000003</v>
      </c>
      <c r="G15" s="18">
        <v>3.86</v>
      </c>
      <c r="H15" s="18">
        <f t="shared" si="0"/>
        <v>30.189625000000003</v>
      </c>
      <c r="I15" s="5"/>
      <c r="J15" s="17">
        <v>2112.0688</v>
      </c>
      <c r="K15" s="18">
        <v>27.104900000000001</v>
      </c>
      <c r="L15" s="18">
        <v>39.626199999999997</v>
      </c>
      <c r="M15" s="18">
        <v>40.619700000000002</v>
      </c>
      <c r="N15" s="18">
        <v>3.2728000000000002</v>
      </c>
      <c r="O15" s="18">
        <f t="shared" si="1"/>
        <v>30.359412500000001</v>
      </c>
      <c r="P15" s="7"/>
      <c r="Q15" s="10"/>
      <c r="R15" s="11"/>
      <c r="S15" s="11"/>
      <c r="T15" s="26"/>
      <c r="U15" s="28">
        <f t="shared" si="2"/>
        <v>-0.15212435233160615</v>
      </c>
    </row>
    <row r="16" spans="1:21" ht="16.5" thickBot="1" x14ac:dyDescent="0.3">
      <c r="B16" s="12"/>
      <c r="C16" s="19">
        <v>1537.26</v>
      </c>
      <c r="D16" s="20">
        <v>23.866</v>
      </c>
      <c r="E16" s="20">
        <v>37.814999999999998</v>
      </c>
      <c r="F16" s="20">
        <v>38.677999999999997</v>
      </c>
      <c r="G16" s="20">
        <v>4.78</v>
      </c>
      <c r="H16" s="20">
        <f t="shared" si="0"/>
        <v>27.461124999999999</v>
      </c>
      <c r="I16" s="5"/>
      <c r="J16" s="19">
        <v>1373.2608</v>
      </c>
      <c r="K16" s="20">
        <v>25.686399999999999</v>
      </c>
      <c r="L16" s="20">
        <v>38.421300000000002</v>
      </c>
      <c r="M16" s="20">
        <v>39.569400000000002</v>
      </c>
      <c r="N16" s="20">
        <v>3.6027</v>
      </c>
      <c r="O16" s="20">
        <f t="shared" si="1"/>
        <v>29.013637500000002</v>
      </c>
      <c r="P16" s="7"/>
      <c r="Q16" s="13"/>
      <c r="R16" s="14"/>
      <c r="S16" s="14"/>
      <c r="T16" s="27"/>
      <c r="U16" s="28">
        <f t="shared" si="2"/>
        <v>-0.24629707112970714</v>
      </c>
    </row>
    <row r="17" spans="1:21" x14ac:dyDescent="0.25">
      <c r="A17" s="6" t="s">
        <v>37</v>
      </c>
      <c r="B17" s="6" t="s">
        <v>48</v>
      </c>
      <c r="C17" s="15">
        <v>3055.15</v>
      </c>
      <c r="D17" s="16">
        <v>39.247</v>
      </c>
      <c r="E17" s="16">
        <v>41.923000000000002</v>
      </c>
      <c r="F17" s="16">
        <v>43.036000000000001</v>
      </c>
      <c r="G17" s="16">
        <v>5.93</v>
      </c>
      <c r="H17" s="16">
        <f t="shared" si="0"/>
        <v>40.055124999999997</v>
      </c>
      <c r="I17" s="5"/>
      <c r="J17" s="15">
        <v>2379.4704000000002</v>
      </c>
      <c r="K17" s="16">
        <v>39.520099999999999</v>
      </c>
      <c r="L17" s="16">
        <v>42.4206</v>
      </c>
      <c r="M17" s="16">
        <v>44.128900000000002</v>
      </c>
      <c r="N17" s="16">
        <v>5.6810999999999998</v>
      </c>
      <c r="O17" s="16">
        <f t="shared" si="1"/>
        <v>40.458762499999999</v>
      </c>
      <c r="P17" s="7"/>
      <c r="Q17" s="8">
        <f>bdrate(C17:C20,D17:D20,J17:J20,K17:K20)</f>
        <v>-0.37044095659103926</v>
      </c>
      <c r="R17" s="8">
        <f>bdrate(C17:C20,E17:E20,J17:J20,L17:L20)</f>
        <v>-0.50395147637460758</v>
      </c>
      <c r="S17" s="8">
        <f>bdrate(C17:C20,F17:F20,J17:J20,M17:M20)</f>
        <v>-0.58065045957279571</v>
      </c>
      <c r="T17" s="25">
        <f>bdrate(C17:C20,H17:H20,J17:J20,O17:O20)</f>
        <v>-0.39919612567358942</v>
      </c>
      <c r="U17" s="28">
        <f t="shared" si="2"/>
        <v>-4.1973018549747033E-2</v>
      </c>
    </row>
    <row r="18" spans="1:21" x14ac:dyDescent="0.25">
      <c r="A18" s="9" t="s">
        <v>38</v>
      </c>
      <c r="B18" s="9"/>
      <c r="C18" s="17">
        <v>2014.58</v>
      </c>
      <c r="D18" s="18">
        <v>37.834000000000003</v>
      </c>
      <c r="E18" s="18">
        <v>41.206000000000003</v>
      </c>
      <c r="F18" s="18">
        <v>42.212000000000003</v>
      </c>
      <c r="G18" s="18">
        <v>6.74</v>
      </c>
      <c r="H18" s="18">
        <f t="shared" si="0"/>
        <v>38.802750000000003</v>
      </c>
      <c r="I18" s="5"/>
      <c r="J18" s="17">
        <v>1575.144</v>
      </c>
      <c r="K18" s="18">
        <v>38.374099999999999</v>
      </c>
      <c r="L18" s="18">
        <v>41.8551</v>
      </c>
      <c r="M18" s="18">
        <v>43.337299999999999</v>
      </c>
      <c r="N18" s="18">
        <v>6.7625000000000002</v>
      </c>
      <c r="O18" s="18">
        <f t="shared" si="1"/>
        <v>39.429625000000001</v>
      </c>
      <c r="P18" s="7"/>
      <c r="Q18" s="10"/>
      <c r="R18" s="11"/>
      <c r="S18" s="11"/>
      <c r="T18" s="26"/>
      <c r="U18" s="28">
        <f t="shared" si="2"/>
        <v>3.3382789317507365E-3</v>
      </c>
    </row>
    <row r="19" spans="1:21" x14ac:dyDescent="0.25">
      <c r="B19" s="9"/>
      <c r="C19" s="17">
        <v>1250.22</v>
      </c>
      <c r="D19" s="18">
        <v>35.951000000000001</v>
      </c>
      <c r="E19" s="18">
        <v>40.357999999999997</v>
      </c>
      <c r="F19" s="18">
        <v>41.295999999999999</v>
      </c>
      <c r="G19" s="18">
        <v>7.86</v>
      </c>
      <c r="H19" s="18">
        <f t="shared" si="0"/>
        <v>37.17</v>
      </c>
      <c r="I19" s="5"/>
      <c r="J19" s="17">
        <v>973.26959999999997</v>
      </c>
      <c r="K19" s="18">
        <v>36.862900000000003</v>
      </c>
      <c r="L19" s="18">
        <v>41.138100000000001</v>
      </c>
      <c r="M19" s="18">
        <v>42.429499999999997</v>
      </c>
      <c r="N19" s="18">
        <v>8.2578999999999994</v>
      </c>
      <c r="O19" s="18">
        <f t="shared" si="1"/>
        <v>38.093125000000008</v>
      </c>
      <c r="P19" s="7"/>
      <c r="Q19" s="10"/>
      <c r="R19" s="11"/>
      <c r="S19" s="11"/>
      <c r="T19" s="26"/>
      <c r="U19" s="28">
        <f t="shared" si="2"/>
        <v>5.062340966921107E-2</v>
      </c>
    </row>
    <row r="20" spans="1:21" ht="16.5" thickBot="1" x14ac:dyDescent="0.3">
      <c r="B20" s="12"/>
      <c r="C20" s="19">
        <v>742.22</v>
      </c>
      <c r="D20" s="20">
        <v>33.622</v>
      </c>
      <c r="E20" s="20">
        <v>39.456000000000003</v>
      </c>
      <c r="F20" s="20">
        <v>40.39</v>
      </c>
      <c r="G20" s="20">
        <v>9.44</v>
      </c>
      <c r="H20" s="20">
        <f t="shared" si="0"/>
        <v>35.197249999999997</v>
      </c>
      <c r="I20" s="5"/>
      <c r="J20" s="19">
        <v>567.38</v>
      </c>
      <c r="K20" s="20">
        <v>35.079000000000001</v>
      </c>
      <c r="L20" s="20">
        <v>40.453299999999999</v>
      </c>
      <c r="M20" s="20">
        <v>41.696300000000001</v>
      </c>
      <c r="N20" s="20">
        <v>10.3324</v>
      </c>
      <c r="O20" s="20">
        <f t="shared" si="1"/>
        <v>36.577950000000001</v>
      </c>
      <c r="P20" s="7"/>
      <c r="Q20" s="13"/>
      <c r="R20" s="14"/>
      <c r="S20" s="14"/>
      <c r="T20" s="27"/>
      <c r="U20" s="28">
        <f t="shared" si="2"/>
        <v>9.4533898305084782E-2</v>
      </c>
    </row>
    <row r="21" spans="1:21" x14ac:dyDescent="0.25">
      <c r="B21" s="6" t="s">
        <v>49</v>
      </c>
      <c r="C21" s="15">
        <v>3436.31</v>
      </c>
      <c r="D21" s="16">
        <v>36.783000000000001</v>
      </c>
      <c r="E21" s="16">
        <v>39.529000000000003</v>
      </c>
      <c r="F21" s="16">
        <v>40.68</v>
      </c>
      <c r="G21" s="16">
        <v>6.57</v>
      </c>
      <c r="H21" s="16">
        <f t="shared" si="0"/>
        <v>37.613375000000005</v>
      </c>
      <c r="I21" s="5"/>
      <c r="J21" s="15">
        <v>2534.1239999999998</v>
      </c>
      <c r="K21" s="16">
        <v>36.662999999999997</v>
      </c>
      <c r="L21" s="16">
        <v>40.8108</v>
      </c>
      <c r="M21" s="16">
        <v>42.122199999999999</v>
      </c>
      <c r="N21" s="16">
        <v>5.4363000000000001</v>
      </c>
      <c r="O21" s="16">
        <f t="shared" si="1"/>
        <v>37.863875</v>
      </c>
      <c r="P21" s="7"/>
      <c r="Q21" s="8">
        <f>bdrate(C21:C24,D21:D24,J21:J24,K21:K24)</f>
        <v>-0.3145416479033587</v>
      </c>
      <c r="R21" s="8">
        <f>bdrate(C21:C24,E21:E24,J21:J24,L21:L24)</f>
        <v>-0.61887483543315303</v>
      </c>
      <c r="S21" s="8">
        <f>bdrate(C21:C24,F21:F24,J21:J24,M21:M24)</f>
        <v>-0.619222885058061</v>
      </c>
      <c r="T21" s="25">
        <f>bdrate(C21:C24,H21:H24,J21:J24,O21:O24)</f>
        <v>-0.37105644480453226</v>
      </c>
      <c r="U21" s="28">
        <f t="shared" si="2"/>
        <v>-0.17255707762557079</v>
      </c>
    </row>
    <row r="22" spans="1:21" x14ac:dyDescent="0.25">
      <c r="B22" s="9"/>
      <c r="C22" s="17">
        <v>2270.73</v>
      </c>
      <c r="D22" s="18">
        <v>35.341999999999999</v>
      </c>
      <c r="E22" s="18">
        <v>38.767000000000003</v>
      </c>
      <c r="F22" s="18">
        <v>40.021999999999998</v>
      </c>
      <c r="G22" s="18">
        <v>7.19</v>
      </c>
      <c r="H22" s="18">
        <f t="shared" si="0"/>
        <v>36.355125000000001</v>
      </c>
      <c r="I22" s="5"/>
      <c r="J22" s="17">
        <v>1658.3896</v>
      </c>
      <c r="K22" s="18">
        <v>35.398699999999998</v>
      </c>
      <c r="L22" s="18">
        <v>40.003399999999999</v>
      </c>
      <c r="M22" s="18">
        <v>41.207999999999998</v>
      </c>
      <c r="N22" s="18">
        <v>6.4344999999999999</v>
      </c>
      <c r="O22" s="18">
        <f t="shared" si="1"/>
        <v>36.700450000000004</v>
      </c>
      <c r="P22" s="7"/>
      <c r="Q22" s="10"/>
      <c r="R22" s="11"/>
      <c r="S22" s="11"/>
      <c r="T22" s="26"/>
      <c r="U22" s="28">
        <f t="shared" si="2"/>
        <v>-0.10507649513212802</v>
      </c>
    </row>
    <row r="23" spans="1:21" x14ac:dyDescent="0.25">
      <c r="B23" s="9"/>
      <c r="C23" s="17">
        <v>1413.59</v>
      </c>
      <c r="D23" s="18">
        <v>33.597000000000001</v>
      </c>
      <c r="E23" s="18">
        <v>37.972000000000001</v>
      </c>
      <c r="F23" s="18">
        <v>39.381</v>
      </c>
      <c r="G23" s="18">
        <v>8.11</v>
      </c>
      <c r="H23" s="18">
        <f t="shared" si="0"/>
        <v>34.866875</v>
      </c>
      <c r="I23" s="5"/>
      <c r="J23" s="17">
        <v>1031.2344000000001</v>
      </c>
      <c r="K23" s="18">
        <v>33.930199999999999</v>
      </c>
      <c r="L23" s="18">
        <v>39.0989</v>
      </c>
      <c r="M23" s="18">
        <v>40.322699999999998</v>
      </c>
      <c r="N23" s="18">
        <v>7.9221000000000004</v>
      </c>
      <c r="O23" s="18">
        <f t="shared" si="1"/>
        <v>35.375349999999997</v>
      </c>
      <c r="P23" s="7"/>
      <c r="Q23" s="10"/>
      <c r="R23" s="11"/>
      <c r="S23" s="11"/>
      <c r="T23" s="26"/>
      <c r="U23" s="28">
        <f t="shared" si="2"/>
        <v>-2.3168927250308148E-2</v>
      </c>
    </row>
    <row r="24" spans="1:21" ht="16.5" thickBot="1" x14ac:dyDescent="0.3">
      <c r="B24" s="12"/>
      <c r="C24" s="19">
        <v>844.74</v>
      </c>
      <c r="D24" s="20">
        <v>31.687000000000001</v>
      </c>
      <c r="E24" s="20">
        <v>37.212000000000003</v>
      </c>
      <c r="F24" s="20">
        <v>38.752000000000002</v>
      </c>
      <c r="G24" s="20">
        <v>9.35</v>
      </c>
      <c r="H24" s="20">
        <f t="shared" si="0"/>
        <v>33.260750000000002</v>
      </c>
      <c r="I24" s="5"/>
      <c r="J24" s="19">
        <v>614.44240000000002</v>
      </c>
      <c r="K24" s="20">
        <v>32.351700000000001</v>
      </c>
      <c r="L24" s="20">
        <v>38.136299999999999</v>
      </c>
      <c r="M24" s="20">
        <v>39.4773</v>
      </c>
      <c r="N24" s="20">
        <v>9.7739999999999991</v>
      </c>
      <c r="O24" s="20">
        <f t="shared" si="1"/>
        <v>33.965475000000005</v>
      </c>
      <c r="P24" s="7"/>
      <c r="Q24" s="13"/>
      <c r="R24" s="14"/>
      <c r="S24" s="14"/>
      <c r="T24" s="27"/>
      <c r="U24" s="28">
        <f t="shared" si="2"/>
        <v>4.5347593582887646E-2</v>
      </c>
    </row>
    <row r="25" spans="1:21" x14ac:dyDescent="0.25">
      <c r="B25" s="6" t="s">
        <v>50</v>
      </c>
      <c r="C25" s="15">
        <v>3536.03</v>
      </c>
      <c r="D25" s="16">
        <v>34.637999999999998</v>
      </c>
      <c r="E25" s="16">
        <v>38.149000000000001</v>
      </c>
      <c r="F25" s="16">
        <v>39.863</v>
      </c>
      <c r="G25" s="16">
        <v>7.64</v>
      </c>
      <c r="H25" s="16">
        <f t="shared" si="0"/>
        <v>35.729999999999997</v>
      </c>
      <c r="I25" s="5"/>
      <c r="J25" s="15">
        <v>2412.0816</v>
      </c>
      <c r="K25" s="16">
        <v>34.968499999999999</v>
      </c>
      <c r="L25" s="16">
        <v>38.624499999999998</v>
      </c>
      <c r="M25" s="16">
        <v>41.241100000000003</v>
      </c>
      <c r="N25" s="16">
        <v>7.6733000000000002</v>
      </c>
      <c r="O25" s="16">
        <f t="shared" si="1"/>
        <v>36.209575000000001</v>
      </c>
      <c r="P25" s="7"/>
      <c r="Q25" s="8">
        <f>bdrate(C25:C28,D25:D28,J25:J28,K25:K28)</f>
        <v>-0.45905665655281502</v>
      </c>
      <c r="R25" s="8">
        <f>bdrate(C25:C28,E25:E28,J25:J28,L25:L28)</f>
        <v>-0.65623762093207261</v>
      </c>
      <c r="S25" s="8">
        <f>bdrate(C25:C28,F25:F28,J25:J28,M25:M28)</f>
        <v>-0.67887997164605451</v>
      </c>
      <c r="T25" s="25">
        <f>bdrate(C25:C28,H25:H28,J25:J28,O25:O28)</f>
        <v>-0.49473566245400635</v>
      </c>
      <c r="U25" s="28">
        <f t="shared" si="2"/>
        <v>4.3586387434555694E-3</v>
      </c>
    </row>
    <row r="26" spans="1:21" x14ac:dyDescent="0.25">
      <c r="B26" s="9"/>
      <c r="C26" s="17">
        <v>2355.5500000000002</v>
      </c>
      <c r="D26" s="18">
        <v>33.234000000000002</v>
      </c>
      <c r="E26" s="18">
        <v>37.576999999999998</v>
      </c>
      <c r="F26" s="18">
        <v>38.962000000000003</v>
      </c>
      <c r="G26" s="18">
        <v>8.6</v>
      </c>
      <c r="H26" s="18">
        <f t="shared" si="0"/>
        <v>34.492874999999998</v>
      </c>
      <c r="I26" s="5"/>
      <c r="J26" s="17">
        <v>1605.0648000000001</v>
      </c>
      <c r="K26" s="18">
        <v>33.860300000000002</v>
      </c>
      <c r="L26" s="18">
        <v>38.275399999999998</v>
      </c>
      <c r="M26" s="18">
        <v>40.439700000000002</v>
      </c>
      <c r="N26" s="18">
        <v>9.3225999999999996</v>
      </c>
      <c r="O26" s="18">
        <f t="shared" si="1"/>
        <v>35.234612500000004</v>
      </c>
      <c r="P26" s="7"/>
      <c r="Q26" s="10"/>
      <c r="R26" s="11"/>
      <c r="S26" s="11"/>
      <c r="T26" s="26"/>
      <c r="U26" s="28">
        <f t="shared" si="2"/>
        <v>8.4023255813953479E-2</v>
      </c>
    </row>
    <row r="27" spans="1:21" x14ac:dyDescent="0.25">
      <c r="B27" s="9"/>
      <c r="C27" s="17">
        <v>1465.76</v>
      </c>
      <c r="D27" s="18">
        <v>31.404</v>
      </c>
      <c r="E27" s="18">
        <v>36.93</v>
      </c>
      <c r="F27" s="18">
        <v>37.843000000000004</v>
      </c>
      <c r="G27" s="18">
        <v>10.029999999999999</v>
      </c>
      <c r="H27" s="18">
        <f t="shared" si="0"/>
        <v>32.899625</v>
      </c>
      <c r="I27" s="5"/>
      <c r="J27" s="17">
        <v>998.51520000000005</v>
      </c>
      <c r="K27" s="18">
        <v>32.355200000000004</v>
      </c>
      <c r="L27" s="18">
        <v>37.848500000000001</v>
      </c>
      <c r="M27" s="18">
        <v>39.535800000000002</v>
      </c>
      <c r="N27" s="18">
        <v>11.297599999999999</v>
      </c>
      <c r="O27" s="18">
        <f t="shared" si="1"/>
        <v>33.939437500000004</v>
      </c>
      <c r="P27" s="7"/>
      <c r="Q27" s="10"/>
      <c r="R27" s="11"/>
      <c r="S27" s="11"/>
      <c r="T27" s="26"/>
      <c r="U27" s="28">
        <f t="shared" si="2"/>
        <v>0.12638085742771685</v>
      </c>
    </row>
    <row r="28" spans="1:21" ht="16.5" thickBot="1" x14ac:dyDescent="0.3">
      <c r="B28" s="12"/>
      <c r="C28" s="19">
        <v>884.22</v>
      </c>
      <c r="D28" s="20">
        <v>29.256</v>
      </c>
      <c r="E28" s="20">
        <v>36.231000000000002</v>
      </c>
      <c r="F28" s="20">
        <v>36.767000000000003</v>
      </c>
      <c r="G28" s="20">
        <v>11.72</v>
      </c>
      <c r="H28" s="20">
        <f t="shared" si="0"/>
        <v>31.066749999999999</v>
      </c>
      <c r="I28" s="5"/>
      <c r="J28" s="19">
        <v>599.77520000000004</v>
      </c>
      <c r="K28" s="20">
        <v>30.6997</v>
      </c>
      <c r="L28" s="20">
        <v>37.2316</v>
      </c>
      <c r="M28" s="20">
        <v>38.521700000000003</v>
      </c>
      <c r="N28" s="20">
        <v>13.9719</v>
      </c>
      <c r="O28" s="20">
        <f t="shared" si="1"/>
        <v>32.493937500000001</v>
      </c>
      <c r="P28" s="7"/>
      <c r="Q28" s="13"/>
      <c r="R28" s="14"/>
      <c r="S28" s="14"/>
      <c r="T28" s="27"/>
      <c r="U28" s="28">
        <f t="shared" si="2"/>
        <v>0.1921416382252559</v>
      </c>
    </row>
    <row r="29" spans="1:21" x14ac:dyDescent="0.25">
      <c r="B29" s="6" t="s">
        <v>51</v>
      </c>
      <c r="C29" s="29">
        <v>3583.67</v>
      </c>
      <c r="D29" s="30">
        <v>34.298999999999999</v>
      </c>
      <c r="E29" s="30">
        <v>39.918999999999997</v>
      </c>
      <c r="F29" s="30">
        <v>39.628</v>
      </c>
      <c r="G29" s="16">
        <v>6.76</v>
      </c>
      <c r="H29" s="16">
        <f t="shared" si="0"/>
        <v>35.667624999999994</v>
      </c>
      <c r="I29" s="5"/>
      <c r="J29" s="29">
        <v>2453.7887999999998</v>
      </c>
      <c r="K29" s="30">
        <v>34.714700000000001</v>
      </c>
      <c r="L29" s="30">
        <v>41.213200000000001</v>
      </c>
      <c r="M29" s="30">
        <v>40.981999999999999</v>
      </c>
      <c r="N29" s="16">
        <v>6.64</v>
      </c>
      <c r="O29" s="16">
        <f t="shared" si="1"/>
        <v>36.310425000000002</v>
      </c>
      <c r="P29" s="7"/>
      <c r="Q29" s="8">
        <f>bdrate(C29:C32,D29:D32,J29:J32,K29:K32)</f>
        <v>-0.48255875926317537</v>
      </c>
      <c r="R29" s="8">
        <f>bdrate(C29:C32,E29:E32,J29:J32,L29:L32)</f>
        <v>-0.71977001042693034</v>
      </c>
      <c r="S29" s="8">
        <f>bdrate(C29:C32,F29:F32,J29:J32,M29:M32)</f>
        <v>-0.65769326043139631</v>
      </c>
      <c r="T29" s="25">
        <f>bdrate(C29:C32,H29:H32,J29:J32,O29:O32)</f>
        <v>-0.52169911126256685</v>
      </c>
      <c r="U29" s="28">
        <f t="shared" si="2"/>
        <v>-1.7751479289940846E-2</v>
      </c>
    </row>
    <row r="30" spans="1:21" x14ac:dyDescent="0.25">
      <c r="B30" s="9"/>
      <c r="C30" s="31">
        <v>2380.67</v>
      </c>
      <c r="D30" s="32">
        <v>32.631999999999998</v>
      </c>
      <c r="E30" s="32">
        <v>39.084000000000003</v>
      </c>
      <c r="F30" s="32">
        <v>38.530999999999999</v>
      </c>
      <c r="G30" s="18">
        <v>7.84</v>
      </c>
      <c r="H30" s="18">
        <f t="shared" si="0"/>
        <v>34.175874999999998</v>
      </c>
      <c r="I30" s="5"/>
      <c r="J30" s="31">
        <v>1640.396</v>
      </c>
      <c r="K30" s="32">
        <v>33.4422</v>
      </c>
      <c r="L30" s="32">
        <v>40.568300000000001</v>
      </c>
      <c r="M30" s="32">
        <v>40.111699999999999</v>
      </c>
      <c r="N30" s="18">
        <v>7.7157</v>
      </c>
      <c r="O30" s="18">
        <f t="shared" si="1"/>
        <v>35.166649999999997</v>
      </c>
      <c r="P30" s="7"/>
      <c r="Q30" s="10"/>
      <c r="R30" s="11"/>
      <c r="S30" s="11"/>
      <c r="T30" s="26"/>
      <c r="U30" s="28">
        <f t="shared" si="2"/>
        <v>-1.5854591836734676E-2</v>
      </c>
    </row>
    <row r="31" spans="1:21" x14ac:dyDescent="0.25">
      <c r="B31" s="9"/>
      <c r="C31" s="31">
        <v>1471.91</v>
      </c>
      <c r="D31" s="32">
        <v>30.318999999999999</v>
      </c>
      <c r="E31" s="32">
        <v>38.023000000000003</v>
      </c>
      <c r="F31" s="32">
        <v>37.088999999999999</v>
      </c>
      <c r="G31" s="18">
        <v>9.4499999999999993</v>
      </c>
      <c r="H31" s="18">
        <f t="shared" si="0"/>
        <v>32.128249999999994</v>
      </c>
      <c r="I31" s="5"/>
      <c r="J31" s="31">
        <v>1021.044</v>
      </c>
      <c r="K31" s="32">
        <v>31.8614</v>
      </c>
      <c r="L31" s="32">
        <v>39.893900000000002</v>
      </c>
      <c r="M31" s="32">
        <v>39.1203</v>
      </c>
      <c r="N31" s="18">
        <v>9.3308</v>
      </c>
      <c r="O31" s="18">
        <f t="shared" si="1"/>
        <v>33.772824999999997</v>
      </c>
      <c r="P31" s="7"/>
      <c r="Q31" s="10"/>
      <c r="R31" s="11"/>
      <c r="S31" s="11"/>
      <c r="T31" s="26"/>
      <c r="U31" s="28">
        <f t="shared" si="2"/>
        <v>-1.2613756613756541E-2</v>
      </c>
    </row>
    <row r="32" spans="1:21" ht="16.5" thickBot="1" x14ac:dyDescent="0.3">
      <c r="B32" s="12"/>
      <c r="C32" s="33">
        <v>881.28</v>
      </c>
      <c r="D32" s="34">
        <v>27.396999999999998</v>
      </c>
      <c r="E32" s="34">
        <v>36.825000000000003</v>
      </c>
      <c r="F32" s="34">
        <v>35.256999999999998</v>
      </c>
      <c r="G32" s="20">
        <v>11.13</v>
      </c>
      <c r="H32" s="20">
        <f t="shared" si="0"/>
        <v>29.558</v>
      </c>
      <c r="I32" s="5"/>
      <c r="J32" s="33">
        <v>612.05119999999999</v>
      </c>
      <c r="K32" s="34">
        <v>30.118400000000001</v>
      </c>
      <c r="L32" s="34">
        <v>38.914099999999998</v>
      </c>
      <c r="M32" s="34">
        <v>37.7483</v>
      </c>
      <c r="N32" s="20">
        <v>11.317600000000001</v>
      </c>
      <c r="O32" s="20">
        <f t="shared" si="1"/>
        <v>32.171599999999998</v>
      </c>
      <c r="P32" s="7"/>
      <c r="Q32" s="13"/>
      <c r="R32" s="14"/>
      <c r="S32" s="14"/>
      <c r="T32" s="27"/>
      <c r="U32" s="28">
        <f t="shared" si="2"/>
        <v>1.6855345911949662E-2</v>
      </c>
    </row>
    <row r="33" spans="1:21" x14ac:dyDescent="0.25">
      <c r="B33" s="6" t="s">
        <v>52</v>
      </c>
      <c r="C33" s="15">
        <v>3615.43</v>
      </c>
      <c r="D33" s="16">
        <v>33.414999999999999</v>
      </c>
      <c r="E33" s="16">
        <v>39.091000000000001</v>
      </c>
      <c r="F33" s="16">
        <v>41.826999999999998</v>
      </c>
      <c r="G33" s="16">
        <v>8.26</v>
      </c>
      <c r="H33" s="16">
        <f t="shared" si="0"/>
        <v>35.176000000000002</v>
      </c>
      <c r="I33" s="5"/>
      <c r="J33" s="15">
        <v>2397.6592000000001</v>
      </c>
      <c r="K33" s="16">
        <v>34.0199</v>
      </c>
      <c r="L33" s="16">
        <v>40.378700000000002</v>
      </c>
      <c r="M33" s="16">
        <v>42.816499999999998</v>
      </c>
      <c r="N33" s="16">
        <v>7.2542</v>
      </c>
      <c r="O33" s="16">
        <f t="shared" si="1"/>
        <v>35.914324999999998</v>
      </c>
      <c r="P33" s="7"/>
      <c r="Q33" s="8">
        <f>bdrate(C33:C36,D33:D36,J33:J36,K33:K36)</f>
        <v>-0.57981121507394129</v>
      </c>
      <c r="R33" s="8">
        <f>bdrate(C33:C36,E33:E36,J33:J36,L33:L36)</f>
        <v>-0.76481645062964954</v>
      </c>
      <c r="S33" s="8">
        <f>bdrate(C33:C36,F33:F36,J33:J36,M33:M36)</f>
        <v>-0.73524312595032515</v>
      </c>
      <c r="T33" s="25">
        <f>bdrate(C33:C36,H33:H36,J33:J36,O33:O36)</f>
        <v>-0.60798809136883414</v>
      </c>
      <c r="U33" s="28">
        <f t="shared" si="2"/>
        <v>-0.12176755447941887</v>
      </c>
    </row>
    <row r="34" spans="1:21" x14ac:dyDescent="0.25">
      <c r="B34" s="9"/>
      <c r="C34" s="17">
        <v>2384.64</v>
      </c>
      <c r="D34" s="18">
        <v>32.481000000000002</v>
      </c>
      <c r="E34" s="18">
        <v>38.6</v>
      </c>
      <c r="F34" s="18">
        <v>41.268999999999998</v>
      </c>
      <c r="G34" s="18">
        <v>9.06</v>
      </c>
      <c r="H34" s="18">
        <f t="shared" si="0"/>
        <v>34.344374999999999</v>
      </c>
      <c r="I34" s="5"/>
      <c r="J34" s="17">
        <v>1608.3232</v>
      </c>
      <c r="K34" s="18">
        <v>33.408900000000003</v>
      </c>
      <c r="L34" s="18">
        <v>39.942799999999998</v>
      </c>
      <c r="M34" s="18">
        <v>42.4283</v>
      </c>
      <c r="N34" s="18">
        <v>8.6877999999999993</v>
      </c>
      <c r="O34" s="18">
        <f t="shared" si="1"/>
        <v>35.3530625</v>
      </c>
      <c r="P34" s="7"/>
      <c r="Q34" s="10"/>
      <c r="R34" s="11"/>
      <c r="S34" s="11"/>
      <c r="T34" s="26"/>
      <c r="U34" s="28">
        <f t="shared" si="2"/>
        <v>-4.1081677704194387E-2</v>
      </c>
    </row>
    <row r="35" spans="1:21" x14ac:dyDescent="0.25">
      <c r="B35" s="9"/>
      <c r="C35" s="17">
        <v>1469.89</v>
      </c>
      <c r="D35" s="18">
        <v>31.05</v>
      </c>
      <c r="E35" s="18">
        <v>38.113</v>
      </c>
      <c r="F35" s="18">
        <v>40.817</v>
      </c>
      <c r="G35" s="18">
        <v>10.119999999999999</v>
      </c>
      <c r="H35" s="18">
        <f t="shared" si="0"/>
        <v>33.153750000000002</v>
      </c>
      <c r="I35" s="5"/>
      <c r="J35" s="17">
        <v>989.25760000000002</v>
      </c>
      <c r="K35" s="18">
        <v>32.438699999999997</v>
      </c>
      <c r="L35" s="18">
        <v>39.254899999999999</v>
      </c>
      <c r="M35" s="18">
        <v>41.794400000000003</v>
      </c>
      <c r="N35" s="18">
        <v>10.5664</v>
      </c>
      <c r="O35" s="18">
        <f t="shared" si="1"/>
        <v>34.460187499999996</v>
      </c>
      <c r="P35" s="7"/>
      <c r="Q35" s="10"/>
      <c r="R35" s="11"/>
      <c r="S35" s="11"/>
      <c r="T35" s="26"/>
      <c r="U35" s="28">
        <f t="shared" si="2"/>
        <v>4.4110671936758952E-2</v>
      </c>
    </row>
    <row r="36" spans="1:21" ht="16.5" thickBot="1" x14ac:dyDescent="0.3">
      <c r="B36" s="12"/>
      <c r="C36" s="19">
        <v>862.56</v>
      </c>
      <c r="D36" s="20">
        <v>29.079000000000001</v>
      </c>
      <c r="E36" s="20">
        <v>37.476999999999997</v>
      </c>
      <c r="F36" s="20">
        <v>39.926000000000002</v>
      </c>
      <c r="G36" s="20">
        <v>11.67</v>
      </c>
      <c r="H36" s="20">
        <f t="shared" si="0"/>
        <v>31.484625000000001</v>
      </c>
      <c r="I36" s="5"/>
      <c r="J36" s="19">
        <v>607.54480000000001</v>
      </c>
      <c r="K36" s="20">
        <v>31.101500000000001</v>
      </c>
      <c r="L36" s="20">
        <v>38.707000000000001</v>
      </c>
      <c r="M36" s="20">
        <v>41.2819</v>
      </c>
      <c r="N36" s="20">
        <v>13.8249</v>
      </c>
      <c r="O36" s="20">
        <f t="shared" si="1"/>
        <v>33.324737499999998</v>
      </c>
      <c r="P36" s="7"/>
      <c r="Q36" s="13"/>
      <c r="R36" s="14"/>
      <c r="S36" s="14"/>
      <c r="T36" s="27"/>
      <c r="U36" s="28">
        <f t="shared" si="2"/>
        <v>0.18465295629820047</v>
      </c>
    </row>
    <row r="37" spans="1:21" x14ac:dyDescent="0.25">
      <c r="A37" s="6" t="s">
        <v>39</v>
      </c>
      <c r="B37" s="6" t="s">
        <v>53</v>
      </c>
      <c r="C37" s="15">
        <v>1549.7</v>
      </c>
      <c r="D37" s="16">
        <v>35.359000000000002</v>
      </c>
      <c r="E37" s="16">
        <v>38.744999999999997</v>
      </c>
      <c r="F37" s="16">
        <v>38.712000000000003</v>
      </c>
      <c r="G37" s="16">
        <v>30.85</v>
      </c>
      <c r="H37" s="16">
        <f t="shared" si="0"/>
        <v>36.201374999999999</v>
      </c>
      <c r="I37" s="5"/>
      <c r="J37" s="15">
        <v>1235.9784</v>
      </c>
      <c r="K37" s="16">
        <v>36.6265</v>
      </c>
      <c r="L37" s="16">
        <v>40.979300000000002</v>
      </c>
      <c r="M37" s="16">
        <v>40.976300000000002</v>
      </c>
      <c r="N37" s="16">
        <v>22.042899999999999</v>
      </c>
      <c r="O37" s="16">
        <f t="shared" si="1"/>
        <v>37.714325000000002</v>
      </c>
      <c r="P37" s="7"/>
      <c r="Q37" s="8">
        <f>bdrate(C37:C40,D37:D40,J37:J40,K37:K40)</f>
        <v>-0.39525798650172639</v>
      </c>
      <c r="R37" s="8">
        <f>bdrate(C37:C40,E37:E40,J37:J40,L37:L40)</f>
        <v>-0.63747346388050441</v>
      </c>
      <c r="S37" s="8">
        <f>bdrate(C37:C40,F37:F40,J37:J40,M37:M40)</f>
        <v>-0.60612640367218429</v>
      </c>
      <c r="T37" s="25">
        <f>bdrate(C37:C40,H37:H40,J37:J40,O37:O40)</f>
        <v>-0.44753783002005232</v>
      </c>
      <c r="U37" s="28">
        <f t="shared" si="2"/>
        <v>-0.28548136142625613</v>
      </c>
    </row>
    <row r="38" spans="1:21" x14ac:dyDescent="0.25">
      <c r="A38" s="9" t="s">
        <v>40</v>
      </c>
      <c r="B38" s="9"/>
      <c r="C38" s="17">
        <v>1047.1199999999999</v>
      </c>
      <c r="D38" s="18">
        <v>33.825000000000003</v>
      </c>
      <c r="E38" s="18">
        <v>37.521999999999998</v>
      </c>
      <c r="F38" s="18">
        <v>37.363</v>
      </c>
      <c r="G38" s="18">
        <v>34.65</v>
      </c>
      <c r="H38" s="18">
        <f t="shared" si="0"/>
        <v>34.729375000000005</v>
      </c>
      <c r="I38" s="5"/>
      <c r="J38" s="17">
        <v>823.58640000000003</v>
      </c>
      <c r="K38" s="18">
        <v>34.836100000000002</v>
      </c>
      <c r="L38" s="18">
        <v>39.676299999999998</v>
      </c>
      <c r="M38" s="18">
        <v>39.477899999999998</v>
      </c>
      <c r="N38" s="18">
        <v>25.02</v>
      </c>
      <c r="O38" s="18">
        <f t="shared" si="1"/>
        <v>36.021349999999998</v>
      </c>
      <c r="P38" s="7"/>
      <c r="Q38" s="10"/>
      <c r="R38" s="11"/>
      <c r="S38" s="11"/>
      <c r="T38" s="26"/>
      <c r="U38" s="28">
        <f t="shared" si="2"/>
        <v>-0.2779220779220779</v>
      </c>
    </row>
    <row r="39" spans="1:21" x14ac:dyDescent="0.25">
      <c r="B39" s="9"/>
      <c r="C39" s="17">
        <v>646.15</v>
      </c>
      <c r="D39" s="18">
        <v>31.879000000000001</v>
      </c>
      <c r="E39" s="18">
        <v>36.237000000000002</v>
      </c>
      <c r="F39" s="18">
        <v>35.884</v>
      </c>
      <c r="G39" s="18">
        <v>39.909999999999997</v>
      </c>
      <c r="H39" s="18">
        <f t="shared" si="0"/>
        <v>32.924374999999998</v>
      </c>
      <c r="I39" s="5"/>
      <c r="J39" s="17">
        <v>516.36400000000003</v>
      </c>
      <c r="K39" s="18">
        <v>32.985100000000003</v>
      </c>
      <c r="L39" s="18">
        <v>38.369</v>
      </c>
      <c r="M39" s="18">
        <v>38.062100000000001</v>
      </c>
      <c r="N39" s="18">
        <v>30.209700000000002</v>
      </c>
      <c r="O39" s="18">
        <f t="shared" si="1"/>
        <v>34.2927125</v>
      </c>
      <c r="P39" s="7"/>
      <c r="Q39" s="10"/>
      <c r="R39" s="11"/>
      <c r="S39" s="11"/>
      <c r="T39" s="26"/>
      <c r="U39" s="28">
        <f t="shared" si="2"/>
        <v>-0.24305437233775987</v>
      </c>
    </row>
    <row r="40" spans="1:21" ht="16.5" thickBot="1" x14ac:dyDescent="0.3">
      <c r="B40" s="12"/>
      <c r="C40" s="19">
        <v>396.23</v>
      </c>
      <c r="D40" s="20">
        <v>29.733000000000001</v>
      </c>
      <c r="E40" s="20">
        <v>35.045999999999999</v>
      </c>
      <c r="F40" s="20">
        <v>34.500999999999998</v>
      </c>
      <c r="G40" s="20">
        <v>48.05</v>
      </c>
      <c r="H40" s="20">
        <f t="shared" si="0"/>
        <v>30.993124999999999</v>
      </c>
      <c r="I40" s="5"/>
      <c r="J40" s="19">
        <v>309.87599999999998</v>
      </c>
      <c r="K40" s="20">
        <v>31.052800000000001</v>
      </c>
      <c r="L40" s="20">
        <v>37.100999999999999</v>
      </c>
      <c r="M40" s="20">
        <v>36.594299999999997</v>
      </c>
      <c r="N40" s="20">
        <v>36.927599999999998</v>
      </c>
      <c r="O40" s="20">
        <f t="shared" si="1"/>
        <v>32.501512499999997</v>
      </c>
      <c r="P40" s="7"/>
      <c r="Q40" s="13"/>
      <c r="R40" s="14"/>
      <c r="S40" s="14"/>
      <c r="T40" s="27"/>
      <c r="U40" s="28">
        <f t="shared" si="2"/>
        <v>-0.23147554630593131</v>
      </c>
    </row>
    <row r="41" spans="1:21" x14ac:dyDescent="0.25">
      <c r="B41" s="6" t="s">
        <v>54</v>
      </c>
      <c r="C41" s="15">
        <v>1559.67</v>
      </c>
      <c r="D41" s="16">
        <v>35.686</v>
      </c>
      <c r="E41" s="16">
        <v>40.110999999999997</v>
      </c>
      <c r="F41" s="16">
        <v>40.927</v>
      </c>
      <c r="G41" s="16">
        <v>34.65</v>
      </c>
      <c r="H41" s="16">
        <f t="shared" si="0"/>
        <v>36.89425</v>
      </c>
      <c r="I41" s="5"/>
      <c r="J41" s="15">
        <v>1258.9960000000001</v>
      </c>
      <c r="K41" s="16">
        <v>36.261099999999999</v>
      </c>
      <c r="L41" s="16">
        <v>41.755000000000003</v>
      </c>
      <c r="M41" s="16">
        <v>42.766800000000003</v>
      </c>
      <c r="N41" s="16">
        <v>24.6386</v>
      </c>
      <c r="O41" s="16">
        <f t="shared" si="1"/>
        <v>37.761049999999997</v>
      </c>
      <c r="P41" s="7"/>
      <c r="Q41" s="8">
        <f>bdrate(C41:C44,D41:D44,J41:J44,K41:K44)</f>
        <v>-0.37419980076372739</v>
      </c>
      <c r="R41" s="8">
        <f>bdrate(C41:C44,E41:E44,J41:J44,L41:L44)</f>
        <v>-0.60731159229965237</v>
      </c>
      <c r="S41" s="8">
        <f>bdrate(C41:C44,F41:F44,J41:J44,M41:M44)</f>
        <v>-0.60069987316256324</v>
      </c>
      <c r="T41" s="25">
        <f>bdrate(C41:C44,H41:H44,J41:J44,O41:O44)</f>
        <v>-0.41730385706529383</v>
      </c>
      <c r="U41" s="28">
        <f t="shared" si="2"/>
        <v>-0.28892929292929287</v>
      </c>
    </row>
    <row r="42" spans="1:21" x14ac:dyDescent="0.25">
      <c r="B42" s="9"/>
      <c r="C42" s="17">
        <v>1058.5899999999999</v>
      </c>
      <c r="D42" s="18">
        <v>33.985999999999997</v>
      </c>
      <c r="E42" s="18">
        <v>39.262999999999998</v>
      </c>
      <c r="F42" s="18">
        <v>39.960999999999999</v>
      </c>
      <c r="G42" s="18">
        <v>37.82</v>
      </c>
      <c r="H42" s="18">
        <f t="shared" si="0"/>
        <v>35.392499999999998</v>
      </c>
      <c r="I42" s="5"/>
      <c r="J42" s="17">
        <v>836.16</v>
      </c>
      <c r="K42" s="18">
        <v>34.773400000000002</v>
      </c>
      <c r="L42" s="18">
        <v>40.794499999999999</v>
      </c>
      <c r="M42" s="18">
        <v>41.660299999999999</v>
      </c>
      <c r="N42" s="18">
        <v>28.724599999999999</v>
      </c>
      <c r="O42" s="18">
        <f t="shared" si="1"/>
        <v>36.386899999999997</v>
      </c>
      <c r="P42" s="7"/>
      <c r="Q42" s="10"/>
      <c r="R42" s="11"/>
      <c r="S42" s="11"/>
      <c r="T42" s="26"/>
      <c r="U42" s="28">
        <f t="shared" si="2"/>
        <v>-0.24049180327868855</v>
      </c>
    </row>
    <row r="43" spans="1:21" x14ac:dyDescent="0.25">
      <c r="B43" s="9"/>
      <c r="C43" s="17">
        <v>654.4</v>
      </c>
      <c r="D43" s="18">
        <v>31.754999999999999</v>
      </c>
      <c r="E43" s="18">
        <v>38.220999999999997</v>
      </c>
      <c r="F43" s="18">
        <v>38.82</v>
      </c>
      <c r="G43" s="18">
        <v>42.17</v>
      </c>
      <c r="H43" s="18">
        <f t="shared" si="0"/>
        <v>33.446375000000003</v>
      </c>
      <c r="I43" s="5"/>
      <c r="J43" s="17">
        <v>520.70960000000002</v>
      </c>
      <c r="K43" s="18">
        <v>32.941200000000002</v>
      </c>
      <c r="L43" s="18">
        <v>39.743299999999998</v>
      </c>
      <c r="M43" s="18">
        <v>40.451599999999999</v>
      </c>
      <c r="N43" s="18">
        <v>33.738199999999999</v>
      </c>
      <c r="O43" s="18">
        <f t="shared" si="1"/>
        <v>34.730262500000002</v>
      </c>
      <c r="P43" s="7"/>
      <c r="Q43" s="10"/>
      <c r="R43" s="11"/>
      <c r="S43" s="11"/>
      <c r="T43" s="26"/>
      <c r="U43" s="28">
        <f t="shared" si="2"/>
        <v>-0.19994783021105056</v>
      </c>
    </row>
    <row r="44" spans="1:21" ht="16.5" thickBot="1" x14ac:dyDescent="0.3">
      <c r="B44" s="12"/>
      <c r="C44" s="19">
        <v>404.48</v>
      </c>
      <c r="D44" s="20">
        <v>29.388000000000002</v>
      </c>
      <c r="E44" s="20">
        <v>37.277000000000001</v>
      </c>
      <c r="F44" s="20">
        <v>37.783999999999999</v>
      </c>
      <c r="G44" s="20">
        <v>47.78</v>
      </c>
      <c r="H44" s="20">
        <f t="shared" si="0"/>
        <v>31.423625000000001</v>
      </c>
      <c r="I44" s="5"/>
      <c r="J44" s="19">
        <v>312.04640000000001</v>
      </c>
      <c r="K44" s="20">
        <v>30.8996</v>
      </c>
      <c r="L44" s="20">
        <v>38.664999999999999</v>
      </c>
      <c r="M44" s="20">
        <v>39.289099999999998</v>
      </c>
      <c r="N44" s="20">
        <v>41.177700000000002</v>
      </c>
      <c r="O44" s="20">
        <f t="shared" si="1"/>
        <v>32.918962499999999</v>
      </c>
      <c r="P44" s="7"/>
      <c r="Q44" s="13"/>
      <c r="R44" s="14"/>
      <c r="S44" s="14"/>
      <c r="T44" s="27"/>
      <c r="U44" s="28">
        <f t="shared" si="2"/>
        <v>-0.1381812473838426</v>
      </c>
    </row>
    <row r="45" spans="1:21" x14ac:dyDescent="0.25">
      <c r="B45" s="6" t="s">
        <v>55</v>
      </c>
      <c r="C45" s="15">
        <v>1422.97</v>
      </c>
      <c r="D45" s="16">
        <v>30.19</v>
      </c>
      <c r="E45" s="16">
        <v>35.831000000000003</v>
      </c>
      <c r="F45" s="16">
        <v>36.554000000000002</v>
      </c>
      <c r="G45" s="16">
        <v>30.58</v>
      </c>
      <c r="H45" s="16">
        <f t="shared" si="0"/>
        <v>31.690625000000001</v>
      </c>
      <c r="I45" s="5"/>
      <c r="J45" s="15">
        <v>1240.2936</v>
      </c>
      <c r="K45" s="16">
        <v>31.1479</v>
      </c>
      <c r="L45" s="16">
        <v>37.735199999999999</v>
      </c>
      <c r="M45" s="16">
        <v>38.575200000000002</v>
      </c>
      <c r="N45" s="16">
        <v>20.989899999999999</v>
      </c>
      <c r="O45" s="16">
        <f t="shared" si="1"/>
        <v>32.899725000000004</v>
      </c>
      <c r="P45" s="7"/>
      <c r="Q45" s="8">
        <f>bdrate(C45:C48,D45:D48,J45:J48,K45:K48)</f>
        <v>-0.38425691922639427</v>
      </c>
      <c r="R45" s="8">
        <f>bdrate(C45:C48,E45:E48,J45:J48,L45:L48)</f>
        <v>-0.66294314900183315</v>
      </c>
      <c r="S45" s="8">
        <f>bdrate(C45:C48,F45:F48,J45:J48,M45:M48)</f>
        <v>-0.66783735598561433</v>
      </c>
      <c r="T45" s="25">
        <f>bdrate(C45:C48,H45:H48,J45:J48,O45:O48)</f>
        <v>-0.43519715693359262</v>
      </c>
      <c r="U45" s="28">
        <f t="shared" si="2"/>
        <v>-0.3136069326357096</v>
      </c>
    </row>
    <row r="46" spans="1:21" x14ac:dyDescent="0.25">
      <c r="B46" s="9"/>
      <c r="C46" s="17">
        <v>966.76</v>
      </c>
      <c r="D46" s="18">
        <v>28.774999999999999</v>
      </c>
      <c r="E46" s="18">
        <v>35.237000000000002</v>
      </c>
      <c r="F46" s="18">
        <v>35.962000000000003</v>
      </c>
      <c r="G46" s="18">
        <v>33.18</v>
      </c>
      <c r="H46" s="18">
        <f t="shared" si="0"/>
        <v>30.481124999999999</v>
      </c>
      <c r="I46" s="5"/>
      <c r="J46" s="17">
        <v>823.4896</v>
      </c>
      <c r="K46" s="18">
        <v>29.7879</v>
      </c>
      <c r="L46" s="18">
        <v>36.847499999999997</v>
      </c>
      <c r="M46" s="18">
        <v>37.644399999999997</v>
      </c>
      <c r="N46" s="18">
        <v>24.5411</v>
      </c>
      <c r="O46" s="18">
        <f t="shared" si="1"/>
        <v>31.652412499999997</v>
      </c>
      <c r="P46" s="7"/>
      <c r="Q46" s="10"/>
      <c r="R46" s="11"/>
      <c r="S46" s="11"/>
      <c r="T46" s="26"/>
      <c r="U46" s="28">
        <f t="shared" si="2"/>
        <v>-0.26036467751657622</v>
      </c>
    </row>
    <row r="47" spans="1:21" x14ac:dyDescent="0.25">
      <c r="B47" s="9"/>
      <c r="C47" s="17">
        <v>600.79999999999995</v>
      </c>
      <c r="D47" s="18">
        <v>27.152999999999999</v>
      </c>
      <c r="E47" s="18">
        <v>34.591000000000001</v>
      </c>
      <c r="F47" s="18">
        <v>35.334000000000003</v>
      </c>
      <c r="G47" s="18">
        <v>36.92</v>
      </c>
      <c r="H47" s="18">
        <f t="shared" si="0"/>
        <v>29.105375000000002</v>
      </c>
      <c r="I47" s="5"/>
      <c r="J47" s="17">
        <v>514.72720000000004</v>
      </c>
      <c r="K47" s="18">
        <v>28.288399999999999</v>
      </c>
      <c r="L47" s="18">
        <v>35.981099999999998</v>
      </c>
      <c r="M47" s="18">
        <v>36.7378</v>
      </c>
      <c r="N47" s="18">
        <v>29.514199999999999</v>
      </c>
      <c r="O47" s="18">
        <f t="shared" si="1"/>
        <v>30.306162499999999</v>
      </c>
      <c r="P47" s="7"/>
      <c r="Q47" s="10"/>
      <c r="R47" s="11"/>
      <c r="S47" s="11"/>
      <c r="T47" s="26"/>
      <c r="U47" s="28">
        <f t="shared" si="2"/>
        <v>-0.20059046587215609</v>
      </c>
    </row>
    <row r="48" spans="1:21" ht="16.5" thickBot="1" x14ac:dyDescent="0.3">
      <c r="B48" s="12"/>
      <c r="C48" s="19">
        <v>371.69</v>
      </c>
      <c r="D48" s="20">
        <v>25.623999999999999</v>
      </c>
      <c r="E48" s="20">
        <v>34.061</v>
      </c>
      <c r="F48" s="20">
        <v>34.792000000000002</v>
      </c>
      <c r="G48" s="20">
        <v>41.9</v>
      </c>
      <c r="H48" s="20">
        <f t="shared" si="0"/>
        <v>27.824625000000001</v>
      </c>
      <c r="I48" s="5"/>
      <c r="J48" s="19">
        <v>308.76240000000001</v>
      </c>
      <c r="K48" s="20">
        <v>26.753900000000002</v>
      </c>
      <c r="L48" s="20">
        <v>35.129300000000001</v>
      </c>
      <c r="M48" s="20">
        <v>35.872399999999999</v>
      </c>
      <c r="N48" s="20">
        <v>36.756599999999999</v>
      </c>
      <c r="O48" s="20">
        <f t="shared" si="1"/>
        <v>28.940637500000001</v>
      </c>
      <c r="P48" s="7"/>
      <c r="Q48" s="13"/>
      <c r="R48" s="14"/>
      <c r="S48" s="14"/>
      <c r="T48" s="27"/>
      <c r="U48" s="28">
        <f t="shared" si="2"/>
        <v>-0.12275417661097852</v>
      </c>
    </row>
    <row r="49" spans="1:21" x14ac:dyDescent="0.25">
      <c r="B49" s="6" t="s">
        <v>56</v>
      </c>
      <c r="C49" s="15">
        <v>1424.49</v>
      </c>
      <c r="D49" s="16">
        <v>33.524999999999999</v>
      </c>
      <c r="E49" s="16">
        <v>37.01</v>
      </c>
      <c r="F49" s="16">
        <v>38.732999999999997</v>
      </c>
      <c r="G49" s="16">
        <v>22.39</v>
      </c>
      <c r="H49" s="16">
        <f t="shared" si="0"/>
        <v>34.611624999999997</v>
      </c>
      <c r="I49" s="5"/>
      <c r="J49" s="15">
        <v>1225.7464</v>
      </c>
      <c r="K49" s="16">
        <v>33.2361</v>
      </c>
      <c r="L49" s="16">
        <v>37.906100000000002</v>
      </c>
      <c r="M49" s="16">
        <v>39.520899999999997</v>
      </c>
      <c r="N49" s="16">
        <v>15.6723</v>
      </c>
      <c r="O49" s="16">
        <f t="shared" si="1"/>
        <v>34.605450000000005</v>
      </c>
      <c r="P49" s="7"/>
      <c r="Q49" s="8">
        <f>bdrate(C49:C52,D49:D52,J49:J52,K49:K52)</f>
        <v>-0.14935004858661405</v>
      </c>
      <c r="R49" s="8">
        <f>bdrate(C49:C52,E49:E52,J49:J52,L49:L52)</f>
        <v>-0.46703240945809743</v>
      </c>
      <c r="S49" s="8">
        <f>bdrate(C49:C52,F49:F52,J49:J52,M49:M52)</f>
        <v>-0.46242684251341248</v>
      </c>
      <c r="T49" s="25">
        <f>bdrate(C49:C52,H49:H52,J49:J52,O49:O52)</f>
        <v>-0.20132451230896431</v>
      </c>
      <c r="U49" s="28">
        <f t="shared" si="2"/>
        <v>-0.30003126395712376</v>
      </c>
    </row>
    <row r="50" spans="1:21" x14ac:dyDescent="0.25">
      <c r="B50" s="9"/>
      <c r="C50" s="17">
        <v>979.48</v>
      </c>
      <c r="D50" s="18">
        <v>31.972000000000001</v>
      </c>
      <c r="E50" s="18">
        <v>36.216000000000001</v>
      </c>
      <c r="F50" s="18">
        <v>37.908999999999999</v>
      </c>
      <c r="G50" s="18">
        <v>24.98</v>
      </c>
      <c r="H50" s="18">
        <f t="shared" si="0"/>
        <v>33.244624999999999</v>
      </c>
      <c r="I50" s="5"/>
      <c r="J50" s="17">
        <v>821.15279999999996</v>
      </c>
      <c r="K50" s="18">
        <v>31.720199999999998</v>
      </c>
      <c r="L50" s="18">
        <v>37.019199999999998</v>
      </c>
      <c r="M50" s="18">
        <v>38.670900000000003</v>
      </c>
      <c r="N50" s="18">
        <v>18.040800000000001</v>
      </c>
      <c r="O50" s="18">
        <f t="shared" si="1"/>
        <v>33.251412500000001</v>
      </c>
      <c r="P50" s="7"/>
      <c r="Q50" s="10"/>
      <c r="R50" s="11"/>
      <c r="S50" s="11"/>
      <c r="T50" s="26"/>
      <c r="U50" s="28">
        <f t="shared" si="2"/>
        <v>-0.27779023218574855</v>
      </c>
    </row>
    <row r="51" spans="1:21" x14ac:dyDescent="0.25">
      <c r="B51" s="9"/>
      <c r="C51" s="17">
        <v>614.30999999999995</v>
      </c>
      <c r="D51" s="18">
        <v>30.033999999999999</v>
      </c>
      <c r="E51" s="18">
        <v>35.305</v>
      </c>
      <c r="F51" s="18">
        <v>36.914999999999999</v>
      </c>
      <c r="G51" s="18">
        <v>28.28</v>
      </c>
      <c r="H51" s="18">
        <f t="shared" si="0"/>
        <v>31.553000000000001</v>
      </c>
      <c r="I51" s="5"/>
      <c r="J51" s="17">
        <v>516.572</v>
      </c>
      <c r="K51" s="18">
        <v>30.0809</v>
      </c>
      <c r="L51" s="18">
        <v>36.208399999999997</v>
      </c>
      <c r="M51" s="18">
        <v>37.883499999999998</v>
      </c>
      <c r="N51" s="18">
        <v>21.110399999999998</v>
      </c>
      <c r="O51" s="18">
        <f t="shared" si="1"/>
        <v>31.822162500000001</v>
      </c>
      <c r="P51" s="7"/>
      <c r="Q51" s="10"/>
      <c r="R51" s="11"/>
      <c r="S51" s="11"/>
      <c r="T51" s="26"/>
      <c r="U51" s="28">
        <f t="shared" si="2"/>
        <v>-0.25352192362093362</v>
      </c>
    </row>
    <row r="52" spans="1:21" ht="16.5" thickBot="1" x14ac:dyDescent="0.3">
      <c r="B52" s="12"/>
      <c r="C52" s="19">
        <v>382.43</v>
      </c>
      <c r="D52" s="20">
        <v>28.099</v>
      </c>
      <c r="E52" s="20">
        <v>34.341000000000001</v>
      </c>
      <c r="F52" s="20">
        <v>35.783999999999999</v>
      </c>
      <c r="G52" s="20">
        <v>32.99</v>
      </c>
      <c r="H52" s="20">
        <f t="shared" si="0"/>
        <v>29.839874999999999</v>
      </c>
      <c r="I52" s="5"/>
      <c r="J52" s="19">
        <v>309.84960000000001</v>
      </c>
      <c r="K52" s="20">
        <v>28.465900000000001</v>
      </c>
      <c r="L52" s="20">
        <v>35.297600000000003</v>
      </c>
      <c r="M52" s="20">
        <v>36.959200000000003</v>
      </c>
      <c r="N52" s="20">
        <v>25.882100000000001</v>
      </c>
      <c r="O52" s="20">
        <f t="shared" si="1"/>
        <v>30.381525000000003</v>
      </c>
      <c r="P52" s="7"/>
      <c r="Q52" s="13"/>
      <c r="R52" s="14"/>
      <c r="S52" s="14"/>
      <c r="T52" s="27"/>
      <c r="U52" s="28">
        <f t="shared" si="2"/>
        <v>-0.2154561988481358</v>
      </c>
    </row>
    <row r="53" spans="1:21" x14ac:dyDescent="0.25">
      <c r="A53" s="6" t="s">
        <v>41</v>
      </c>
      <c r="B53" s="6" t="s">
        <v>57</v>
      </c>
      <c r="C53" s="15">
        <v>850.79</v>
      </c>
      <c r="D53" s="16">
        <v>36.146000000000001</v>
      </c>
      <c r="E53" s="16">
        <v>39.966999999999999</v>
      </c>
      <c r="F53" s="16">
        <v>38.777000000000001</v>
      </c>
      <c r="G53" s="16">
        <v>94.84</v>
      </c>
      <c r="H53" s="16">
        <f t="shared" si="0"/>
        <v>36.952500000000001</v>
      </c>
      <c r="I53" s="5"/>
      <c r="J53" s="15">
        <v>608.52639999999997</v>
      </c>
      <c r="K53" s="16">
        <v>35.329099999999997</v>
      </c>
      <c r="L53" s="16">
        <v>40.997199999999999</v>
      </c>
      <c r="M53" s="16">
        <v>39.428600000000003</v>
      </c>
      <c r="N53" s="16">
        <v>69.676699999999997</v>
      </c>
      <c r="O53" s="16">
        <f t="shared" si="1"/>
        <v>36.550049999999999</v>
      </c>
      <c r="P53" s="7"/>
      <c r="Q53" s="8">
        <f>bdrate(C53:C56,D53:D56,J53:J56,K53:K56)</f>
        <v>-0.20087326881014911</v>
      </c>
      <c r="R53" s="8">
        <f>bdrate(C53:C56,E53:E56,J53:J56,L53:L56)</f>
        <v>-0.52958997398794705</v>
      </c>
      <c r="S53" s="8">
        <f>bdrate(C53:C56,F53:F56,J53:J56,M53:M56)</f>
        <v>-0.45887219028836246</v>
      </c>
      <c r="T53" s="25">
        <f>bdrate(C53:C56,H53:H56,J53:J56,O53:O56)</f>
        <v>-0.25670994473778497</v>
      </c>
      <c r="U53" s="28">
        <f t="shared" si="2"/>
        <v>-0.26532370307886971</v>
      </c>
    </row>
    <row r="54" spans="1:21" x14ac:dyDescent="0.25">
      <c r="A54" s="9" t="s">
        <v>42</v>
      </c>
      <c r="B54" s="9"/>
      <c r="C54" s="17">
        <v>532.89</v>
      </c>
      <c r="D54" s="18">
        <v>33.826999999999998</v>
      </c>
      <c r="E54" s="18">
        <v>38.631</v>
      </c>
      <c r="F54" s="18">
        <v>37.200000000000003</v>
      </c>
      <c r="G54" s="18">
        <v>106.5</v>
      </c>
      <c r="H54" s="18">
        <f t="shared" si="0"/>
        <v>34.849125000000001</v>
      </c>
      <c r="I54" s="5"/>
      <c r="J54" s="17">
        <v>409.15199999999999</v>
      </c>
      <c r="K54" s="18">
        <v>33.481900000000003</v>
      </c>
      <c r="L54" s="18">
        <v>39.850299999999997</v>
      </c>
      <c r="M54" s="18">
        <v>38.150199999999998</v>
      </c>
      <c r="N54" s="18">
        <v>80.528300000000002</v>
      </c>
      <c r="O54" s="18">
        <f t="shared" si="1"/>
        <v>34.861487500000003</v>
      </c>
      <c r="P54" s="7"/>
      <c r="Q54" s="10"/>
      <c r="R54" s="11"/>
      <c r="S54" s="11"/>
      <c r="T54" s="26"/>
      <c r="U54" s="28">
        <f t="shared" si="2"/>
        <v>-0.24386572769953049</v>
      </c>
    </row>
    <row r="55" spans="1:21" x14ac:dyDescent="0.25">
      <c r="B55" s="9"/>
      <c r="C55" s="17">
        <v>320.8</v>
      </c>
      <c r="D55" s="18">
        <v>31.478000000000002</v>
      </c>
      <c r="E55" s="18">
        <v>37.417999999999999</v>
      </c>
      <c r="F55" s="18">
        <v>35.713000000000001</v>
      </c>
      <c r="G55" s="18">
        <v>121.89</v>
      </c>
      <c r="H55" s="18">
        <f t="shared" si="0"/>
        <v>32.749875000000003</v>
      </c>
      <c r="I55" s="5"/>
      <c r="J55" s="17">
        <v>254.82560000000001</v>
      </c>
      <c r="K55" s="18">
        <v>31.450600000000001</v>
      </c>
      <c r="L55" s="18">
        <v>38.657299999999999</v>
      </c>
      <c r="M55" s="18">
        <v>36.839199999999998</v>
      </c>
      <c r="N55" s="18">
        <v>95.1113</v>
      </c>
      <c r="O55" s="18">
        <f t="shared" si="1"/>
        <v>33.025012499999995</v>
      </c>
      <c r="P55" s="7"/>
      <c r="Q55" s="10"/>
      <c r="R55" s="11"/>
      <c r="S55" s="11"/>
      <c r="T55" s="26"/>
      <c r="U55" s="28">
        <f t="shared" si="2"/>
        <v>-0.21969562720485683</v>
      </c>
    </row>
    <row r="56" spans="1:21" ht="16.5" thickBot="1" x14ac:dyDescent="0.3">
      <c r="B56" s="12"/>
      <c r="C56" s="19">
        <v>161.97999999999999</v>
      </c>
      <c r="D56" s="20">
        <v>28.443000000000001</v>
      </c>
      <c r="E56" s="20">
        <v>36.069000000000003</v>
      </c>
      <c r="F56" s="20">
        <v>34.008000000000003</v>
      </c>
      <c r="G56" s="20">
        <v>154.13</v>
      </c>
      <c r="H56" s="20">
        <f t="shared" si="0"/>
        <v>30.091875000000005</v>
      </c>
      <c r="I56" s="5"/>
      <c r="J56" s="19">
        <v>123.46559999999999</v>
      </c>
      <c r="K56" s="20">
        <v>28.6279</v>
      </c>
      <c r="L56" s="20">
        <v>37.125999999999998</v>
      </c>
      <c r="M56" s="20">
        <v>35.010399999999997</v>
      </c>
      <c r="N56" s="20">
        <v>127.19410000000001</v>
      </c>
      <c r="O56" s="20">
        <f t="shared" si="1"/>
        <v>30.487975000000002</v>
      </c>
      <c r="P56" s="7"/>
      <c r="Q56" s="13"/>
      <c r="R56" s="14"/>
      <c r="S56" s="14"/>
      <c r="T56" s="27"/>
      <c r="U56" s="28">
        <f t="shared" si="2"/>
        <v>-0.1747609161097774</v>
      </c>
    </row>
    <row r="57" spans="1:21" x14ac:dyDescent="0.25">
      <c r="B57" s="6" t="s">
        <v>115</v>
      </c>
      <c r="C57" s="15">
        <v>742.03</v>
      </c>
      <c r="D57" s="16">
        <v>32.997999999999998</v>
      </c>
      <c r="E57" s="16">
        <v>39.741999999999997</v>
      </c>
      <c r="F57" s="16">
        <v>40.506</v>
      </c>
      <c r="G57" s="16">
        <v>126.96</v>
      </c>
      <c r="H57" s="16">
        <f t="shared" si="0"/>
        <v>34.779499999999999</v>
      </c>
      <c r="I57" s="5"/>
      <c r="J57" s="15">
        <v>618.48800000000006</v>
      </c>
      <c r="K57" s="16">
        <v>34.281199999999998</v>
      </c>
      <c r="L57" s="16">
        <v>42.043500000000002</v>
      </c>
      <c r="M57" s="16">
        <v>43.025100000000002</v>
      </c>
      <c r="N57" s="16">
        <v>79.459699999999998</v>
      </c>
      <c r="O57" s="16">
        <f t="shared" si="1"/>
        <v>36.344474999999996</v>
      </c>
      <c r="P57" s="7"/>
      <c r="Q57" s="8">
        <f>bdrate(C57:C60,D57:D60,J57:J60,K57:K60)</f>
        <v>-0.46988000216290171</v>
      </c>
      <c r="R57" s="8">
        <f>bdrate(C57:C60,E57:E60,J57:J60,L57:L60)</f>
        <v>-0.71118189745784732</v>
      </c>
      <c r="S57" s="8">
        <f>bdrate(C57:C60,F57:F60,J57:J60,M57:M60)</f>
        <v>-0.74007376669166247</v>
      </c>
      <c r="T57" s="25">
        <f>bdrate(C57:C60,H57:H60,J57:J60,O57:O60)</f>
        <v>-0.51673802221851517</v>
      </c>
      <c r="U57" s="28">
        <f t="shared" si="2"/>
        <v>-0.37413594833018271</v>
      </c>
    </row>
    <row r="58" spans="1:21" x14ac:dyDescent="0.25">
      <c r="B58" s="9"/>
      <c r="C58" s="17">
        <v>457.53</v>
      </c>
      <c r="D58" s="18">
        <v>31.273</v>
      </c>
      <c r="E58" s="18">
        <v>39.170999999999999</v>
      </c>
      <c r="F58" s="18">
        <v>39.723999999999997</v>
      </c>
      <c r="G58" s="18">
        <v>140.91</v>
      </c>
      <c r="H58" s="18">
        <f t="shared" si="0"/>
        <v>33.316625000000002</v>
      </c>
      <c r="I58" s="5"/>
      <c r="J58" s="17">
        <v>410.66640000000001</v>
      </c>
      <c r="K58" s="18">
        <v>32.936199999999999</v>
      </c>
      <c r="L58" s="18">
        <v>41.251300000000001</v>
      </c>
      <c r="M58" s="18">
        <v>42.124499999999998</v>
      </c>
      <c r="N58" s="18">
        <v>94.265500000000003</v>
      </c>
      <c r="O58" s="18">
        <f t="shared" si="1"/>
        <v>35.124124999999999</v>
      </c>
      <c r="P58" s="7"/>
      <c r="Q58" s="10"/>
      <c r="R58" s="11"/>
      <c r="S58" s="11"/>
      <c r="T58" s="26"/>
      <c r="U58" s="28">
        <f t="shared" si="2"/>
        <v>-0.33102334823646296</v>
      </c>
    </row>
    <row r="59" spans="1:21" x14ac:dyDescent="0.25">
      <c r="B59" s="9"/>
      <c r="C59" s="17">
        <v>271.64</v>
      </c>
      <c r="D59" s="18">
        <v>29.402000000000001</v>
      </c>
      <c r="E59" s="18">
        <v>38.652000000000001</v>
      </c>
      <c r="F59" s="18">
        <v>38.920999999999999</v>
      </c>
      <c r="G59" s="18">
        <v>156.99</v>
      </c>
      <c r="H59" s="18">
        <f t="shared" si="0"/>
        <v>31.748125000000002</v>
      </c>
      <c r="I59" s="5"/>
      <c r="J59" s="17">
        <v>254.75360000000001</v>
      </c>
      <c r="K59" s="18">
        <v>31.416899999999998</v>
      </c>
      <c r="L59" s="18">
        <v>40.251100000000001</v>
      </c>
      <c r="M59" s="18">
        <v>41.064999999999998</v>
      </c>
      <c r="N59" s="18">
        <v>117.9941</v>
      </c>
      <c r="O59" s="18">
        <f t="shared" si="1"/>
        <v>33.727187499999999</v>
      </c>
      <c r="P59" s="7"/>
      <c r="Q59" s="10"/>
      <c r="R59" s="11"/>
      <c r="S59" s="11"/>
      <c r="T59" s="26"/>
      <c r="U59" s="28">
        <f t="shared" si="2"/>
        <v>-0.24839735014969108</v>
      </c>
    </row>
    <row r="60" spans="1:21" ht="16.5" thickBot="1" x14ac:dyDescent="0.3">
      <c r="B60" s="12"/>
      <c r="C60" s="19">
        <v>134.47</v>
      </c>
      <c r="D60" s="20">
        <v>26.803999999999998</v>
      </c>
      <c r="E60" s="20">
        <v>37.975999999999999</v>
      </c>
      <c r="F60" s="20">
        <v>38.081000000000003</v>
      </c>
      <c r="G60" s="20">
        <v>184.05</v>
      </c>
      <c r="H60" s="20">
        <f t="shared" si="0"/>
        <v>29.610124999999996</v>
      </c>
      <c r="I60" s="5"/>
      <c r="J60" s="19">
        <v>121.2312</v>
      </c>
      <c r="K60" s="20">
        <v>28.9665</v>
      </c>
      <c r="L60" s="20">
        <v>38.954000000000001</v>
      </c>
      <c r="M60" s="20">
        <v>39.739100000000001</v>
      </c>
      <c r="N60" s="20">
        <v>170.9402</v>
      </c>
      <c r="O60" s="20">
        <f t="shared" si="1"/>
        <v>31.561512500000003</v>
      </c>
      <c r="P60" s="7"/>
      <c r="Q60" s="13"/>
      <c r="R60" s="14"/>
      <c r="S60" s="14"/>
      <c r="T60" s="27"/>
      <c r="U60" s="28">
        <f t="shared" si="2"/>
        <v>-7.1229557185547437E-2</v>
      </c>
    </row>
    <row r="61" spans="1:21" x14ac:dyDescent="0.25">
      <c r="B61" s="6" t="s">
        <v>59</v>
      </c>
      <c r="C61" s="29">
        <v>828.98</v>
      </c>
      <c r="D61" s="30">
        <v>34.072000000000003</v>
      </c>
      <c r="E61" s="30">
        <v>37.503</v>
      </c>
      <c r="F61" s="30">
        <v>37.972999999999999</v>
      </c>
      <c r="G61" s="16">
        <v>112.46</v>
      </c>
      <c r="H61" s="16">
        <f t="shared" si="0"/>
        <v>34.988500000000002</v>
      </c>
      <c r="I61" s="5"/>
      <c r="J61" s="29">
        <v>645.60239999999999</v>
      </c>
      <c r="K61" s="30">
        <v>33.804699999999997</v>
      </c>
      <c r="L61" s="30">
        <v>39.130699999999997</v>
      </c>
      <c r="M61" s="30">
        <v>40.022599999999997</v>
      </c>
      <c r="N61" s="16">
        <v>76.864000000000004</v>
      </c>
      <c r="O61" s="16">
        <f t="shared" si="1"/>
        <v>35.247687499999998</v>
      </c>
      <c r="P61" s="7"/>
      <c r="Q61" s="8">
        <f>bdrate(C61:C64,D61:D64,J61:J64,K61:K64)</f>
        <v>-0.22449711738000533</v>
      </c>
      <c r="R61" s="8">
        <f>bdrate(C61:C64,E61:E64,J61:J64,L61:L64)</f>
        <v>-0.60822343002149248</v>
      </c>
      <c r="S61" s="8">
        <f>bdrate(C61:C64,F61:F64,J61:J64,M61:M64)</f>
        <v>-0.65761537663947056</v>
      </c>
      <c r="T61" s="25">
        <f>bdrate(C61:C64,H61:H64,J61:J64,O61:O64)</f>
        <v>-0.31186874630561678</v>
      </c>
      <c r="U61" s="28">
        <f t="shared" si="2"/>
        <v>-0.31652142984172144</v>
      </c>
    </row>
    <row r="62" spans="1:21" x14ac:dyDescent="0.25">
      <c r="B62" s="9"/>
      <c r="C62" s="31">
        <v>516.67999999999995</v>
      </c>
      <c r="D62" s="32">
        <v>32.109000000000002</v>
      </c>
      <c r="E62" s="32">
        <v>36.283000000000001</v>
      </c>
      <c r="F62" s="32">
        <v>36.744999999999997</v>
      </c>
      <c r="G62" s="18">
        <v>122.34</v>
      </c>
      <c r="H62" s="18">
        <f t="shared" si="0"/>
        <v>33.210250000000002</v>
      </c>
      <c r="I62" s="5"/>
      <c r="J62" s="31">
        <v>431.6952</v>
      </c>
      <c r="K62" s="32">
        <v>32.274000000000001</v>
      </c>
      <c r="L62" s="32">
        <v>38.0717</v>
      </c>
      <c r="M62" s="32">
        <v>38.880499999999998</v>
      </c>
      <c r="N62" s="18">
        <v>90.793499999999995</v>
      </c>
      <c r="O62" s="18">
        <f t="shared" si="1"/>
        <v>33.824525000000001</v>
      </c>
      <c r="P62" s="7"/>
      <c r="Q62" s="10"/>
      <c r="R62" s="11"/>
      <c r="S62" s="11"/>
      <c r="T62" s="26"/>
      <c r="U62" s="28">
        <f t="shared" si="2"/>
        <v>-0.2578592447278078</v>
      </c>
    </row>
    <row r="63" spans="1:21" x14ac:dyDescent="0.25">
      <c r="B63" s="9"/>
      <c r="C63" s="31">
        <v>307.94</v>
      </c>
      <c r="D63" s="32">
        <v>30.103000000000002</v>
      </c>
      <c r="E63" s="32">
        <v>35.295000000000002</v>
      </c>
      <c r="F63" s="32">
        <v>35.789000000000001</v>
      </c>
      <c r="G63" s="18">
        <v>134.12</v>
      </c>
      <c r="H63" s="18">
        <f t="shared" si="0"/>
        <v>31.46275</v>
      </c>
      <c r="I63" s="5"/>
      <c r="J63" s="31">
        <v>268.096</v>
      </c>
      <c r="K63" s="32">
        <v>30.555199999999999</v>
      </c>
      <c r="L63" s="32">
        <v>36.9193</v>
      </c>
      <c r="M63" s="32">
        <v>37.659199999999998</v>
      </c>
      <c r="N63" s="18">
        <v>109.76949999999999</v>
      </c>
      <c r="O63" s="18">
        <f t="shared" si="1"/>
        <v>32.238712499999998</v>
      </c>
      <c r="P63" s="7"/>
      <c r="Q63" s="10"/>
      <c r="R63" s="11"/>
      <c r="S63" s="11"/>
      <c r="T63" s="26"/>
      <c r="U63" s="28">
        <f t="shared" si="2"/>
        <v>-0.18155756039367738</v>
      </c>
    </row>
    <row r="64" spans="1:21" ht="16.5" thickBot="1" x14ac:dyDescent="0.3">
      <c r="B64" s="12"/>
      <c r="C64" s="33">
        <v>151.28</v>
      </c>
      <c r="D64" s="34">
        <v>27.585000000000001</v>
      </c>
      <c r="E64" s="34">
        <v>34.149000000000001</v>
      </c>
      <c r="F64" s="34">
        <v>34.689</v>
      </c>
      <c r="G64" s="20">
        <v>157.13</v>
      </c>
      <c r="H64" s="20">
        <f t="shared" si="0"/>
        <v>29.293499999999998</v>
      </c>
      <c r="I64" s="5"/>
      <c r="J64" s="33">
        <v>126.744</v>
      </c>
      <c r="K64" s="34">
        <v>28.141999999999999</v>
      </c>
      <c r="L64" s="34">
        <v>35.408099999999997</v>
      </c>
      <c r="M64" s="34">
        <v>36.200000000000003</v>
      </c>
      <c r="N64" s="20">
        <v>151.1944</v>
      </c>
      <c r="O64" s="20">
        <f t="shared" si="1"/>
        <v>30.057512500000001</v>
      </c>
      <c r="P64" s="7"/>
      <c r="Q64" s="13"/>
      <c r="R64" s="14"/>
      <c r="S64" s="14"/>
      <c r="T64" s="27"/>
      <c r="U64" s="28">
        <f t="shared" si="2"/>
        <v>-3.7775090689238171E-2</v>
      </c>
    </row>
    <row r="65" spans="1:21" x14ac:dyDescent="0.25">
      <c r="B65" s="6" t="s">
        <v>60</v>
      </c>
      <c r="C65" s="15">
        <v>764.04</v>
      </c>
      <c r="D65" s="16">
        <v>35.875999999999998</v>
      </c>
      <c r="E65" s="16">
        <v>37.972999999999999</v>
      </c>
      <c r="F65" s="16">
        <v>39.107999999999997</v>
      </c>
      <c r="G65" s="16">
        <v>73.400000000000006</v>
      </c>
      <c r="H65" s="16">
        <f t="shared" si="0"/>
        <v>36.542124999999999</v>
      </c>
      <c r="I65" s="5"/>
      <c r="J65" s="15">
        <v>613.83199999999999</v>
      </c>
      <c r="K65" s="16">
        <v>34.881</v>
      </c>
      <c r="L65" s="16">
        <v>38.877899999999997</v>
      </c>
      <c r="M65" s="16">
        <v>40.011499999999998</v>
      </c>
      <c r="N65" s="16">
        <v>51.831400000000002</v>
      </c>
      <c r="O65" s="16">
        <f t="shared" si="1"/>
        <v>36.021925000000003</v>
      </c>
      <c r="P65" s="7"/>
      <c r="Q65" s="8">
        <f>bdrate(C65:C68,D65:D68,J65:J68,K65:K68)</f>
        <v>-6.972846237381658E-2</v>
      </c>
      <c r="R65" s="8">
        <f>bdrate(C65:C68,E65:E68,J65:J68,L65:L68)</f>
        <v>-0.44951444701875964</v>
      </c>
      <c r="S65" s="8">
        <f>bdrate(C65:C68,F65:F68,J65:J68,M65:M68)</f>
        <v>-0.44901195970321961</v>
      </c>
      <c r="T65" s="25">
        <f>bdrate(C65:C68,H65:H68,J65:J68,O65:O68)</f>
        <v>-0.14291583437295186</v>
      </c>
      <c r="U65" s="28">
        <f t="shared" si="2"/>
        <v>-0.29385013623978207</v>
      </c>
    </row>
    <row r="66" spans="1:21" x14ac:dyDescent="0.25">
      <c r="B66" s="9"/>
      <c r="C66" s="17">
        <v>480.01</v>
      </c>
      <c r="D66" s="18">
        <v>33.563000000000002</v>
      </c>
      <c r="E66" s="18">
        <v>36.640999999999998</v>
      </c>
      <c r="F66" s="18">
        <v>37.805999999999997</v>
      </c>
      <c r="G66" s="18">
        <v>81.5</v>
      </c>
      <c r="H66" s="18">
        <f t="shared" si="0"/>
        <v>34.478124999999999</v>
      </c>
      <c r="I66" s="5"/>
      <c r="J66" s="17">
        <v>410.43360000000001</v>
      </c>
      <c r="K66" s="18">
        <v>32.9998</v>
      </c>
      <c r="L66" s="18">
        <v>37.744799999999998</v>
      </c>
      <c r="M66" s="18">
        <v>38.887799999999999</v>
      </c>
      <c r="N66" s="18">
        <v>58.811999999999998</v>
      </c>
      <c r="O66" s="18">
        <f t="shared" si="1"/>
        <v>34.328924999999998</v>
      </c>
      <c r="P66" s="7"/>
      <c r="Q66" s="10"/>
      <c r="R66" s="11"/>
      <c r="S66" s="11"/>
      <c r="T66" s="26"/>
      <c r="U66" s="28">
        <f t="shared" si="2"/>
        <v>-0.27838036809815953</v>
      </c>
    </row>
    <row r="67" spans="1:21" x14ac:dyDescent="0.25">
      <c r="B67" s="9"/>
      <c r="C67" s="17">
        <v>289.07</v>
      </c>
      <c r="D67" s="18">
        <v>31.242999999999999</v>
      </c>
      <c r="E67" s="18">
        <v>35.392000000000003</v>
      </c>
      <c r="F67" s="18">
        <v>36.533999999999999</v>
      </c>
      <c r="G67" s="18">
        <v>91.58</v>
      </c>
      <c r="H67" s="18">
        <f t="shared" si="0"/>
        <v>32.423000000000002</v>
      </c>
      <c r="I67" s="5"/>
      <c r="J67" s="17">
        <v>258.37920000000003</v>
      </c>
      <c r="K67" s="18">
        <v>31.0839</v>
      </c>
      <c r="L67" s="18">
        <v>36.537199999999999</v>
      </c>
      <c r="M67" s="18">
        <v>37.694899999999997</v>
      </c>
      <c r="N67" s="18">
        <v>71.753200000000007</v>
      </c>
      <c r="O67" s="18">
        <f t="shared" si="1"/>
        <v>32.5919375</v>
      </c>
      <c r="P67" s="7"/>
      <c r="Q67" s="10"/>
      <c r="R67" s="11"/>
      <c r="S67" s="11"/>
      <c r="T67" s="26"/>
      <c r="U67" s="28">
        <f t="shared" si="2"/>
        <v>-0.21649705175802569</v>
      </c>
    </row>
    <row r="68" spans="1:21" ht="16.5" thickBot="1" x14ac:dyDescent="0.3">
      <c r="B68" s="12"/>
      <c r="C68" s="19">
        <v>145.16999999999999</v>
      </c>
      <c r="D68" s="20">
        <v>28.408999999999999</v>
      </c>
      <c r="E68" s="20">
        <v>33.960999999999999</v>
      </c>
      <c r="F68" s="20">
        <v>34.948999999999998</v>
      </c>
      <c r="G68" s="20">
        <v>113.12</v>
      </c>
      <c r="H68" s="20">
        <f t="shared" si="0"/>
        <v>29.920500000000004</v>
      </c>
      <c r="I68" s="5"/>
      <c r="J68" s="19">
        <v>125.1992</v>
      </c>
      <c r="K68" s="20">
        <v>28.4757</v>
      </c>
      <c r="L68" s="20">
        <v>35.092500000000001</v>
      </c>
      <c r="M68" s="20">
        <v>36.231299999999997</v>
      </c>
      <c r="N68" s="20">
        <v>99.108000000000004</v>
      </c>
      <c r="O68" s="20">
        <f t="shared" si="1"/>
        <v>30.27225</v>
      </c>
      <c r="P68" s="7"/>
      <c r="Q68" s="13"/>
      <c r="R68" s="14"/>
      <c r="S68" s="14"/>
      <c r="T68" s="27"/>
      <c r="U68" s="28">
        <f t="shared" si="2"/>
        <v>-0.12386845827439887</v>
      </c>
    </row>
    <row r="69" spans="1:21" x14ac:dyDescent="0.25">
      <c r="A69" s="6" t="s">
        <v>43</v>
      </c>
      <c r="B69" s="6" t="s">
        <v>61</v>
      </c>
      <c r="C69" s="15">
        <v>1924.11</v>
      </c>
      <c r="D69" s="16">
        <v>41.56</v>
      </c>
      <c r="E69" s="16">
        <v>45.156999999999996</v>
      </c>
      <c r="F69" s="16">
        <v>46.411999999999999</v>
      </c>
      <c r="G69" s="16">
        <v>24.3</v>
      </c>
      <c r="H69" s="16">
        <f t="shared" si="0"/>
        <v>42.616124999999997</v>
      </c>
      <c r="I69" s="5"/>
      <c r="J69" s="15">
        <v>1507.6687999999999</v>
      </c>
      <c r="K69" s="16">
        <v>41.945900000000002</v>
      </c>
      <c r="L69" s="16">
        <v>46.529400000000003</v>
      </c>
      <c r="M69" s="16">
        <v>47.826500000000003</v>
      </c>
      <c r="N69" s="16">
        <v>18.553999999999998</v>
      </c>
      <c r="O69" s="16">
        <f t="shared" si="1"/>
        <v>43.253912500000006</v>
      </c>
      <c r="P69" s="7"/>
      <c r="Q69" s="8">
        <f>bdrate(C69:C72,D69:D72,J69:J72,K69:K72)</f>
        <v>-0.37242257910436216</v>
      </c>
      <c r="R69" s="8">
        <f>bdrate(C69:C72,E69:E72,J69:J72,L69:L72)</f>
        <v>-0.60185358457487836</v>
      </c>
      <c r="S69" s="8">
        <f>bdrate(C69:C72,F69:F72,J69:J72,M69:M72)</f>
        <v>-0.60712681055450157</v>
      </c>
      <c r="T69" s="25">
        <f>bdrate(C69:C72,H69:H72,J69:J72,O69:O72)</f>
        <v>-0.427252071398455</v>
      </c>
      <c r="U69" s="28">
        <f t="shared" si="2"/>
        <v>-0.23646090534979433</v>
      </c>
    </row>
    <row r="70" spans="1:21" x14ac:dyDescent="0.25">
      <c r="A70" s="9" t="s">
        <v>44</v>
      </c>
      <c r="B70" s="9"/>
      <c r="C70" s="17">
        <v>1251.3399999999999</v>
      </c>
      <c r="D70" s="18">
        <v>40.411999999999999</v>
      </c>
      <c r="E70" s="18">
        <v>44.015999999999998</v>
      </c>
      <c r="F70" s="18">
        <v>45.142000000000003</v>
      </c>
      <c r="G70" s="18">
        <v>26.36</v>
      </c>
      <c r="H70" s="18">
        <f t="shared" si="0"/>
        <v>41.453749999999999</v>
      </c>
      <c r="I70" s="5"/>
      <c r="J70" s="17">
        <v>998.2912</v>
      </c>
      <c r="K70" s="18">
        <v>40.978499999999997</v>
      </c>
      <c r="L70" s="18">
        <v>45.77</v>
      </c>
      <c r="M70" s="18">
        <v>46.977499999999999</v>
      </c>
      <c r="N70" s="18">
        <v>23.225200000000001</v>
      </c>
      <c r="O70" s="18">
        <f t="shared" si="1"/>
        <v>42.327312499999998</v>
      </c>
      <c r="P70" s="7"/>
      <c r="Q70" s="10"/>
      <c r="R70" s="11"/>
      <c r="S70" s="11"/>
      <c r="T70" s="26"/>
      <c r="U70" s="28">
        <f t="shared" si="2"/>
        <v>-0.11892261001517446</v>
      </c>
    </row>
    <row r="71" spans="1:21" x14ac:dyDescent="0.25">
      <c r="B71" s="9"/>
      <c r="C71" s="17">
        <v>740.14</v>
      </c>
      <c r="D71" s="18">
        <v>38.362000000000002</v>
      </c>
      <c r="E71" s="18">
        <v>42.456000000000003</v>
      </c>
      <c r="F71" s="18">
        <v>43.603000000000002</v>
      </c>
      <c r="G71" s="18">
        <v>29.4</v>
      </c>
      <c r="H71" s="18">
        <f t="shared" si="0"/>
        <v>39.528875000000006</v>
      </c>
      <c r="I71" s="5"/>
      <c r="J71" s="17">
        <v>588.25840000000005</v>
      </c>
      <c r="K71" s="18">
        <v>39.284199999999998</v>
      </c>
      <c r="L71" s="18">
        <v>44.377800000000001</v>
      </c>
      <c r="M71" s="18">
        <v>45.603400000000001</v>
      </c>
      <c r="N71" s="18">
        <v>29.884899999999998</v>
      </c>
      <c r="O71" s="18">
        <f t="shared" si="1"/>
        <v>40.710799999999999</v>
      </c>
      <c r="P71" s="7"/>
      <c r="Q71" s="10"/>
      <c r="R71" s="11"/>
      <c r="S71" s="11"/>
      <c r="T71" s="26"/>
      <c r="U71" s="28">
        <f t="shared" si="2"/>
        <v>1.6493197278911555E-2</v>
      </c>
    </row>
    <row r="72" spans="1:21" ht="16.5" thickBot="1" x14ac:dyDescent="0.3">
      <c r="B72" s="12"/>
      <c r="C72" s="19">
        <v>338.88</v>
      </c>
      <c r="D72" s="20">
        <v>34.116</v>
      </c>
      <c r="E72" s="20">
        <v>40.308999999999997</v>
      </c>
      <c r="F72" s="20">
        <v>41.255000000000003</v>
      </c>
      <c r="G72" s="20">
        <v>35.840000000000003</v>
      </c>
      <c r="H72" s="20">
        <f t="shared" si="0"/>
        <v>35.782499999999999</v>
      </c>
      <c r="I72" s="5"/>
      <c r="J72" s="19">
        <v>285.44959999999998</v>
      </c>
      <c r="K72" s="20">
        <v>36.350099999999998</v>
      </c>
      <c r="L72" s="20">
        <v>42.5976</v>
      </c>
      <c r="M72" s="20">
        <v>43.703000000000003</v>
      </c>
      <c r="N72" s="20">
        <v>39.6511</v>
      </c>
      <c r="O72" s="20">
        <f t="shared" si="1"/>
        <v>38.050150000000002</v>
      </c>
      <c r="P72" s="7"/>
      <c r="Q72" s="13"/>
      <c r="R72" s="14"/>
      <c r="S72" s="14"/>
      <c r="T72" s="27"/>
      <c r="U72" s="28">
        <f t="shared" si="2"/>
        <v>0.10633649553571417</v>
      </c>
    </row>
    <row r="73" spans="1:21" x14ac:dyDescent="0.25">
      <c r="B73" s="6" t="s">
        <v>62</v>
      </c>
      <c r="C73" s="15">
        <v>1977.59</v>
      </c>
      <c r="D73" s="16">
        <v>42.466000000000001</v>
      </c>
      <c r="E73" s="16">
        <v>47.005000000000003</v>
      </c>
      <c r="F73" s="16">
        <v>47.442999999999998</v>
      </c>
      <c r="G73" s="16">
        <v>23.27</v>
      </c>
      <c r="H73" s="16">
        <f t="shared" si="0"/>
        <v>43.655499999999996</v>
      </c>
      <c r="I73" s="5"/>
      <c r="J73" s="15">
        <v>1513.5832</v>
      </c>
      <c r="K73" s="16">
        <v>42.937600000000003</v>
      </c>
      <c r="L73" s="16">
        <v>48.334600000000002</v>
      </c>
      <c r="M73" s="16">
        <v>49.0715</v>
      </c>
      <c r="N73" s="16">
        <v>19.876799999999999</v>
      </c>
      <c r="O73" s="16">
        <f t="shared" si="1"/>
        <v>44.378962500000007</v>
      </c>
      <c r="P73" s="7"/>
      <c r="Q73" s="8">
        <f>bdrate(C73:C76,D73:D76,J73:J76,K73:K76)</f>
        <v>-0.54868473886168934</v>
      </c>
      <c r="R73" s="8">
        <f>bdrate(C73:C76,E73:E76,J73:J76,L73:L76)</f>
        <v>-0.76220507252930192</v>
      </c>
      <c r="S73" s="8">
        <f>bdrate(C73:C76,F73:F76,J73:J76,M73:M76)</f>
        <v>-0.78903228167371431</v>
      </c>
      <c r="T73" s="25">
        <f>bdrate(C73:C76,H73:H76,J73:J76,O73:O76)</f>
        <v>-0.6263624104219111</v>
      </c>
      <c r="U73" s="28">
        <f t="shared" ref="U73:U91" si="3">(N73-G73)/G73</f>
        <v>-0.14581865062311991</v>
      </c>
    </row>
    <row r="74" spans="1:21" x14ac:dyDescent="0.25">
      <c r="B74" s="9"/>
      <c r="C74" s="17">
        <v>1299.3800000000001</v>
      </c>
      <c r="D74" s="18">
        <v>41.828000000000003</v>
      </c>
      <c r="E74" s="18">
        <v>46.069000000000003</v>
      </c>
      <c r="F74" s="18">
        <v>46.323</v>
      </c>
      <c r="G74" s="18">
        <v>25.17</v>
      </c>
      <c r="H74" s="18">
        <f t="shared" si="0"/>
        <v>42.92</v>
      </c>
      <c r="I74" s="5"/>
      <c r="J74" s="17">
        <v>997.68640000000005</v>
      </c>
      <c r="K74" s="18">
        <v>42.521900000000002</v>
      </c>
      <c r="L74" s="18">
        <v>48.037700000000001</v>
      </c>
      <c r="M74" s="18">
        <v>48.723500000000001</v>
      </c>
      <c r="N74" s="18">
        <v>23.977900000000002</v>
      </c>
      <c r="O74" s="18">
        <f t="shared" si="1"/>
        <v>43.986575000000002</v>
      </c>
      <c r="P74" s="7"/>
      <c r="Q74" s="10"/>
      <c r="R74" s="11"/>
      <c r="S74" s="11"/>
      <c r="T74" s="26"/>
      <c r="U74" s="28">
        <f t="shared" si="3"/>
        <v>-4.7361938816050851E-2</v>
      </c>
    </row>
    <row r="75" spans="1:21" x14ac:dyDescent="0.25">
      <c r="B75" s="9"/>
      <c r="C75" s="17">
        <v>762.47</v>
      </c>
      <c r="D75" s="18">
        <v>40.701999999999998</v>
      </c>
      <c r="E75" s="18">
        <v>44.783000000000001</v>
      </c>
      <c r="F75" s="18">
        <v>45.189</v>
      </c>
      <c r="G75" s="18">
        <v>27.83</v>
      </c>
      <c r="H75" s="18">
        <f t="shared" si="0"/>
        <v>41.773000000000003</v>
      </c>
      <c r="I75" s="5"/>
      <c r="J75" s="17">
        <v>578.15359999999998</v>
      </c>
      <c r="K75" s="18">
        <v>41.770499999999998</v>
      </c>
      <c r="L75" s="18">
        <v>47.310499999999998</v>
      </c>
      <c r="M75" s="18">
        <v>47.925899999999999</v>
      </c>
      <c r="N75" s="18">
        <v>30.235800000000001</v>
      </c>
      <c r="O75" s="18">
        <f t="shared" si="1"/>
        <v>43.232424999999999</v>
      </c>
      <c r="P75" s="7"/>
      <c r="Q75" s="10"/>
      <c r="R75" s="11"/>
      <c r="S75" s="11"/>
      <c r="T75" s="26"/>
      <c r="U75" s="28">
        <f t="shared" si="3"/>
        <v>8.6446280991735638E-2</v>
      </c>
    </row>
    <row r="76" spans="1:21" ht="16.5" thickBot="1" x14ac:dyDescent="0.3">
      <c r="B76" s="12"/>
      <c r="C76" s="19">
        <v>333.15</v>
      </c>
      <c r="D76" s="20">
        <v>37.78</v>
      </c>
      <c r="E76" s="20">
        <v>42.140999999999998</v>
      </c>
      <c r="F76" s="20">
        <v>43.262999999999998</v>
      </c>
      <c r="G76" s="20">
        <v>33.619999999999997</v>
      </c>
      <c r="H76" s="20">
        <f t="shared" si="0"/>
        <v>39.0105</v>
      </c>
      <c r="I76" s="5"/>
      <c r="J76" s="19">
        <v>277.81200000000001</v>
      </c>
      <c r="K76" s="20">
        <v>40.203800000000001</v>
      </c>
      <c r="L76" s="20">
        <v>45.773299999999999</v>
      </c>
      <c r="M76" s="20">
        <v>46.384999999999998</v>
      </c>
      <c r="N76" s="20">
        <v>41.0931</v>
      </c>
      <c r="O76" s="20">
        <f t="shared" si="1"/>
        <v>41.6726375</v>
      </c>
      <c r="P76" s="7"/>
      <c r="Q76" s="13"/>
      <c r="R76" s="14"/>
      <c r="S76" s="14"/>
      <c r="T76" s="27"/>
      <c r="U76" s="28">
        <f t="shared" si="3"/>
        <v>0.22228138013087456</v>
      </c>
    </row>
    <row r="77" spans="1:21" x14ac:dyDescent="0.25">
      <c r="B77" s="6" t="s">
        <v>63</v>
      </c>
      <c r="C77" s="15">
        <v>2052.38</v>
      </c>
      <c r="D77" s="16">
        <v>42.570999999999998</v>
      </c>
      <c r="E77" s="16">
        <v>46.329000000000001</v>
      </c>
      <c r="F77" s="16">
        <v>46.918999999999997</v>
      </c>
      <c r="G77" s="16">
        <v>22.05</v>
      </c>
      <c r="H77" s="16">
        <f t="shared" si="0"/>
        <v>43.584249999999997</v>
      </c>
      <c r="I77" s="5"/>
      <c r="J77" s="15">
        <v>1541.1104</v>
      </c>
      <c r="K77" s="16">
        <v>42.894100000000002</v>
      </c>
      <c r="L77" s="16">
        <v>47.544899999999998</v>
      </c>
      <c r="M77" s="16">
        <v>48.440100000000001</v>
      </c>
      <c r="N77" s="16">
        <v>18.472899999999999</v>
      </c>
      <c r="O77" s="16">
        <f t="shared" si="1"/>
        <v>44.168700000000001</v>
      </c>
      <c r="P77" s="7"/>
      <c r="Q77" s="8">
        <f>bdrate(C77:C80,D77:D80,J77:J80,K77:K80)</f>
        <v>-0.43384535622850129</v>
      </c>
      <c r="R77" s="8">
        <f>bdrate(C77:C80,E77:E80,J77:J80,L77:L80)</f>
        <v>-0.66749331014436453</v>
      </c>
      <c r="S77" s="8">
        <f>bdrate(C77:C80,F77:F80,J77:J80,M77:M80)</f>
        <v>-0.68539904280233088</v>
      </c>
      <c r="T77" s="25">
        <f>bdrate(C77:C80,H77:H80,J77:J80,O77:O80)</f>
        <v>-0.50545549253738964</v>
      </c>
      <c r="U77" s="28">
        <f t="shared" si="3"/>
        <v>-0.16222675736961459</v>
      </c>
    </row>
    <row r="78" spans="1:21" x14ac:dyDescent="0.25">
      <c r="B78" s="9"/>
      <c r="C78" s="17">
        <v>1354.15</v>
      </c>
      <c r="D78" s="18">
        <v>41.701000000000001</v>
      </c>
      <c r="E78" s="18">
        <v>45.259</v>
      </c>
      <c r="F78" s="18">
        <v>46.002000000000002</v>
      </c>
      <c r="G78" s="18">
        <v>24.14</v>
      </c>
      <c r="H78" s="18">
        <f t="shared" si="0"/>
        <v>42.683375000000005</v>
      </c>
      <c r="I78" s="5"/>
      <c r="J78" s="17">
        <v>1028.9775999999999</v>
      </c>
      <c r="K78" s="18">
        <v>42.227800000000002</v>
      </c>
      <c r="L78" s="18">
        <v>47.025799999999997</v>
      </c>
      <c r="M78" s="18">
        <v>47.899900000000002</v>
      </c>
      <c r="N78" s="18">
        <v>22.9481</v>
      </c>
      <c r="O78" s="18">
        <f t="shared" si="1"/>
        <v>43.536562500000002</v>
      </c>
      <c r="P78" s="7"/>
      <c r="Q78" s="10"/>
      <c r="R78" s="11"/>
      <c r="S78" s="11"/>
      <c r="T78" s="26"/>
      <c r="U78" s="28">
        <f t="shared" si="3"/>
        <v>-4.9374482187241109E-2</v>
      </c>
    </row>
    <row r="79" spans="1:21" x14ac:dyDescent="0.25">
      <c r="B79" s="9"/>
      <c r="C79" s="17">
        <v>805.56</v>
      </c>
      <c r="D79" s="18">
        <v>40.159999999999997</v>
      </c>
      <c r="E79" s="18">
        <v>43.554000000000002</v>
      </c>
      <c r="F79" s="18">
        <v>44.304000000000002</v>
      </c>
      <c r="G79" s="18">
        <v>27.41</v>
      </c>
      <c r="H79" s="18">
        <f t="shared" si="0"/>
        <v>41.102249999999998</v>
      </c>
      <c r="I79" s="5"/>
      <c r="J79" s="17">
        <v>601.06960000000004</v>
      </c>
      <c r="K79" s="18">
        <v>40.991700000000002</v>
      </c>
      <c r="L79" s="18">
        <v>45.9084</v>
      </c>
      <c r="M79" s="18">
        <v>46.776800000000001</v>
      </c>
      <c r="N79" s="18">
        <v>30.1432</v>
      </c>
      <c r="O79" s="18">
        <f t="shared" si="1"/>
        <v>42.329425000000001</v>
      </c>
      <c r="P79" s="7"/>
      <c r="Q79" s="10"/>
      <c r="R79" s="11"/>
      <c r="S79" s="11"/>
      <c r="T79" s="26"/>
      <c r="U79" s="28">
        <f t="shared" si="3"/>
        <v>9.9715432323969358E-2</v>
      </c>
    </row>
    <row r="80" spans="1:21" ht="16.5" thickBot="1" x14ac:dyDescent="0.3">
      <c r="B80" s="12"/>
      <c r="C80" s="19">
        <v>365.63</v>
      </c>
      <c r="D80" s="20">
        <v>36.497999999999998</v>
      </c>
      <c r="E80" s="20">
        <v>41.082000000000001</v>
      </c>
      <c r="F80" s="20">
        <v>41.728999999999999</v>
      </c>
      <c r="G80" s="20">
        <v>34.65</v>
      </c>
      <c r="H80" s="20">
        <f t="shared" si="0"/>
        <v>37.724874999999997</v>
      </c>
      <c r="I80" s="5"/>
      <c r="J80" s="19">
        <v>296.42959999999999</v>
      </c>
      <c r="K80" s="20">
        <v>38.747300000000003</v>
      </c>
      <c r="L80" s="20">
        <v>44.170299999999997</v>
      </c>
      <c r="M80" s="20">
        <v>44.993499999999997</v>
      </c>
      <c r="N80" s="20">
        <v>39.7746</v>
      </c>
      <c r="O80" s="20">
        <f t="shared" si="1"/>
        <v>40.205950000000001</v>
      </c>
      <c r="P80" s="7"/>
      <c r="Q80" s="13"/>
      <c r="R80" s="14"/>
      <c r="S80" s="14"/>
      <c r="T80" s="27"/>
      <c r="U80" s="28">
        <f t="shared" si="3"/>
        <v>0.14789610389610394</v>
      </c>
    </row>
    <row r="81" spans="1:21" x14ac:dyDescent="0.25">
      <c r="A81" s="6" t="s">
        <v>99</v>
      </c>
      <c r="B81" s="6" t="s">
        <v>100</v>
      </c>
      <c r="C81" s="15">
        <v>1616.6</v>
      </c>
      <c r="D81" s="16">
        <v>43.667000000000002</v>
      </c>
      <c r="E81" s="16">
        <v>47.59</v>
      </c>
      <c r="F81" s="16">
        <v>49.664000000000001</v>
      </c>
      <c r="G81" s="16">
        <v>14.99</v>
      </c>
      <c r="H81" s="16">
        <f t="shared" ref="H81:H91" si="4">(6*D81+E81+F81)/8</f>
        <v>44.906999999999996</v>
      </c>
      <c r="I81" s="5"/>
      <c r="J81" s="15">
        <v>1230.0805</v>
      </c>
      <c r="K81" s="16">
        <v>45.374699999999997</v>
      </c>
      <c r="L81" s="16">
        <v>51.469200000000001</v>
      </c>
      <c r="M81" s="16">
        <v>52.05</v>
      </c>
      <c r="N81" s="16">
        <v>11.7011</v>
      </c>
      <c r="O81" s="16">
        <f t="shared" ref="O81:O91" si="5">(6*K81+L81+M81)/8</f>
        <v>46.970925000000001</v>
      </c>
      <c r="P81" s="7"/>
      <c r="Q81" s="8">
        <f>bdrate(C81:C84,D81:D84,J81:J84,K81:K84)</f>
        <v>-0.51678443295289977</v>
      </c>
      <c r="R81" s="8">
        <f>bdrate(C81:C84,E81:E84,J81:J84,L81:L84)</f>
        <v>-0.73837018944429067</v>
      </c>
      <c r="S81" s="8">
        <f>bdrate(C81:C84,F81:F84,J81:J84,M81:M84)</f>
        <v>-0.68760108445886559</v>
      </c>
      <c r="T81" s="25">
        <f>bdrate(C81:C84,H81:H84,J81:J84,O81:O84)</f>
        <v>-0.56470789481899852</v>
      </c>
      <c r="U81" s="28">
        <f t="shared" si="3"/>
        <v>-0.21940627084723149</v>
      </c>
    </row>
    <row r="82" spans="1:21" x14ac:dyDescent="0.25">
      <c r="A82" s="9" t="s">
        <v>77</v>
      </c>
      <c r="B82" s="9"/>
      <c r="C82" s="17">
        <v>1079.52</v>
      </c>
      <c r="D82" s="18">
        <v>41.301000000000002</v>
      </c>
      <c r="E82" s="18">
        <v>46.073999999999998</v>
      </c>
      <c r="F82" s="18">
        <v>48.02</v>
      </c>
      <c r="G82" s="18">
        <v>16.71</v>
      </c>
      <c r="H82" s="18">
        <f t="shared" si="4"/>
        <v>42.737499999999997</v>
      </c>
      <c r="I82" s="5"/>
      <c r="J82" s="17">
        <v>829.62670000000003</v>
      </c>
      <c r="K82" s="18">
        <v>43.552300000000002</v>
      </c>
      <c r="L82" s="18">
        <v>50.189500000000002</v>
      </c>
      <c r="M82" s="18">
        <v>50.826599999999999</v>
      </c>
      <c r="N82" s="18">
        <v>14.071300000000001</v>
      </c>
      <c r="O82" s="18">
        <f t="shared" si="5"/>
        <v>45.291237500000001</v>
      </c>
      <c r="P82" s="7"/>
      <c r="Q82" s="10"/>
      <c r="R82" s="11"/>
      <c r="S82" s="11"/>
      <c r="T82" s="26"/>
      <c r="U82" s="28">
        <f t="shared" si="3"/>
        <v>-0.15791143028126869</v>
      </c>
    </row>
    <row r="83" spans="1:21" x14ac:dyDescent="0.25">
      <c r="B83" s="9"/>
      <c r="C83" s="17">
        <v>657.8</v>
      </c>
      <c r="D83" s="18">
        <v>38.439</v>
      </c>
      <c r="E83" s="18">
        <v>43.75</v>
      </c>
      <c r="F83" s="18">
        <v>45.807000000000002</v>
      </c>
      <c r="G83" s="18">
        <v>18.98</v>
      </c>
      <c r="H83" s="18">
        <f t="shared" si="4"/>
        <v>40.023875000000004</v>
      </c>
      <c r="I83" s="5"/>
      <c r="J83" s="17">
        <v>505.03190000000001</v>
      </c>
      <c r="K83" s="18">
        <v>41.033700000000003</v>
      </c>
      <c r="L83" s="18">
        <v>48.448599999999999</v>
      </c>
      <c r="M83" s="18">
        <v>49.466000000000001</v>
      </c>
      <c r="N83" s="18">
        <v>16.666799999999999</v>
      </c>
      <c r="O83" s="18">
        <f t="shared" si="5"/>
        <v>43.014600000000002</v>
      </c>
      <c r="P83" s="7"/>
      <c r="Q83" s="10"/>
      <c r="R83" s="11"/>
      <c r="S83" s="11"/>
      <c r="T83" s="26"/>
      <c r="U83" s="28">
        <f t="shared" si="3"/>
        <v>-0.12187565858798745</v>
      </c>
    </row>
    <row r="84" spans="1:21" ht="16.5" thickBot="1" x14ac:dyDescent="0.3">
      <c r="B84" s="12"/>
      <c r="C84" s="19">
        <v>310.77</v>
      </c>
      <c r="D84" s="20">
        <v>33.451000000000001</v>
      </c>
      <c r="E84" s="20">
        <v>40.622</v>
      </c>
      <c r="F84" s="20">
        <v>43.107999999999997</v>
      </c>
      <c r="G84" s="20">
        <v>23.41</v>
      </c>
      <c r="H84" s="20">
        <f t="shared" si="4"/>
        <v>35.554500000000004</v>
      </c>
      <c r="I84" s="5"/>
      <c r="J84" s="19">
        <v>256.42930000000001</v>
      </c>
      <c r="K84" s="20">
        <v>37.762099999999997</v>
      </c>
      <c r="L84" s="20">
        <v>45.518900000000002</v>
      </c>
      <c r="M84" s="20">
        <v>46.919800000000002</v>
      </c>
      <c r="N84" s="20">
        <v>21.6401</v>
      </c>
      <c r="O84" s="20">
        <f t="shared" si="5"/>
        <v>39.876412500000001</v>
      </c>
      <c r="P84" s="7"/>
      <c r="Q84" s="13"/>
      <c r="R84" s="14"/>
      <c r="S84" s="14"/>
      <c r="T84" s="27"/>
      <c r="U84" s="28">
        <f t="shared" si="3"/>
        <v>-7.5604442545920539E-2</v>
      </c>
    </row>
    <row r="85" spans="1:21" x14ac:dyDescent="0.25">
      <c r="B85" s="6" t="s">
        <v>101</v>
      </c>
      <c r="C85" s="15">
        <v>1989.03</v>
      </c>
      <c r="D85" s="16">
        <v>55.28</v>
      </c>
      <c r="E85" s="16">
        <v>55.456000000000003</v>
      </c>
      <c r="F85" s="16">
        <v>55.783999999999999</v>
      </c>
      <c r="G85" s="16">
        <v>47.42</v>
      </c>
      <c r="H85" s="16">
        <f t="shared" si="4"/>
        <v>55.365000000000002</v>
      </c>
      <c r="I85" s="5"/>
      <c r="J85" s="15">
        <v>1421.7419</v>
      </c>
      <c r="K85" s="16">
        <v>53.316800000000001</v>
      </c>
      <c r="L85" s="16">
        <v>54.197000000000003</v>
      </c>
      <c r="M85" s="16">
        <v>54.798200000000001</v>
      </c>
      <c r="N85" s="16">
        <v>22.921199999999999</v>
      </c>
      <c r="O85" s="16">
        <f t="shared" si="5"/>
        <v>53.612000000000002</v>
      </c>
      <c r="P85" s="7"/>
      <c r="Q85" s="8">
        <f>bdrate(C85:C88,D85:D88,J85:J88,K85:K88)</f>
        <v>-0.12686658993609379</v>
      </c>
      <c r="R85" s="8">
        <f>bdrate(C85:C88,E85:E88,J85:J88,L85:L88)</f>
        <v>-0.28037462489394682</v>
      </c>
      <c r="S85" s="8">
        <f>bdrate(C85:C88,F85:F88,J85:J88,M85:M88)</f>
        <v>-0.28571070409445487</v>
      </c>
      <c r="T85" s="25">
        <f>bdrate(C85:C88,H85:H88,J85:J88,O85:O88)</f>
        <v>-0.1665843826776815</v>
      </c>
      <c r="U85" s="28">
        <f t="shared" si="3"/>
        <v>-0.51663433150569382</v>
      </c>
    </row>
    <row r="86" spans="1:21" x14ac:dyDescent="0.25">
      <c r="B86" s="9"/>
      <c r="C86" s="17">
        <v>1327.85</v>
      </c>
      <c r="D86" s="18">
        <v>52.584000000000003</v>
      </c>
      <c r="E86" s="18">
        <v>52.914000000000001</v>
      </c>
      <c r="F86" s="18">
        <v>53.337000000000003</v>
      </c>
      <c r="G86" s="18">
        <v>50.54</v>
      </c>
      <c r="H86" s="18">
        <f t="shared" si="4"/>
        <v>52.719374999999999</v>
      </c>
      <c r="I86" s="5"/>
      <c r="J86" s="17">
        <v>973.48050000000001</v>
      </c>
      <c r="K86" s="18">
        <v>51.449100000000001</v>
      </c>
      <c r="L86" s="18">
        <v>52.6404</v>
      </c>
      <c r="M86" s="18">
        <v>53.194699999999997</v>
      </c>
      <c r="N86" s="18">
        <v>29.923200000000001</v>
      </c>
      <c r="O86" s="18">
        <f t="shared" si="5"/>
        <v>51.816212500000006</v>
      </c>
      <c r="P86" s="7"/>
      <c r="Q86" s="10"/>
      <c r="R86" s="11"/>
      <c r="S86" s="11"/>
      <c r="T86" s="26"/>
      <c r="U86" s="28">
        <f t="shared" si="3"/>
        <v>-0.40793035219628015</v>
      </c>
    </row>
    <row r="87" spans="1:21" x14ac:dyDescent="0.25">
      <c r="B87" s="9"/>
      <c r="C87" s="17">
        <v>809.55</v>
      </c>
      <c r="D87" s="18">
        <v>49.506999999999998</v>
      </c>
      <c r="E87" s="18">
        <v>49.93</v>
      </c>
      <c r="F87" s="18">
        <v>50.466999999999999</v>
      </c>
      <c r="G87" s="18">
        <v>54.02</v>
      </c>
      <c r="H87" s="18">
        <f t="shared" si="4"/>
        <v>49.679874999999996</v>
      </c>
      <c r="I87" s="5"/>
      <c r="J87" s="17">
        <v>605.66610000000003</v>
      </c>
      <c r="K87" s="18">
        <v>48.702300000000001</v>
      </c>
      <c r="L87" s="18">
        <v>50.3459</v>
      </c>
      <c r="M87" s="18">
        <v>50.868000000000002</v>
      </c>
      <c r="N87" s="18">
        <v>39.610100000000003</v>
      </c>
      <c r="O87" s="18">
        <f t="shared" si="5"/>
        <v>49.178462500000002</v>
      </c>
      <c r="P87" s="7"/>
      <c r="Q87" s="10"/>
      <c r="R87" s="11"/>
      <c r="S87" s="11"/>
      <c r="T87" s="26"/>
      <c r="U87" s="28">
        <f t="shared" si="3"/>
        <v>-0.26675120325805257</v>
      </c>
    </row>
    <row r="88" spans="1:21" ht="16.5" thickBot="1" x14ac:dyDescent="0.3">
      <c r="B88" s="12"/>
      <c r="C88" s="19">
        <v>383.15</v>
      </c>
      <c r="D88" s="20">
        <v>44.932000000000002</v>
      </c>
      <c r="E88" s="20">
        <v>45.573</v>
      </c>
      <c r="F88" s="20">
        <v>46.009</v>
      </c>
      <c r="G88" s="20">
        <v>59.94</v>
      </c>
      <c r="H88" s="20">
        <f t="shared" si="4"/>
        <v>45.146749999999997</v>
      </c>
      <c r="I88" s="5"/>
      <c r="J88" s="19">
        <v>312.34449999999998</v>
      </c>
      <c r="K88" s="20">
        <v>44.300699999999999</v>
      </c>
      <c r="L88" s="20">
        <v>46.627000000000002</v>
      </c>
      <c r="M88" s="20">
        <v>47.176499999999997</v>
      </c>
      <c r="N88" s="20">
        <v>50.784300000000002</v>
      </c>
      <c r="O88" s="20">
        <f t="shared" si="5"/>
        <v>44.950962499999996</v>
      </c>
      <c r="P88" s="7"/>
      <c r="Q88" s="13"/>
      <c r="R88" s="14"/>
      <c r="S88" s="14"/>
      <c r="T88" s="27"/>
      <c r="U88" s="28">
        <f t="shared" si="3"/>
        <v>-0.15274774774774769</v>
      </c>
    </row>
    <row r="89" spans="1:21" x14ac:dyDescent="0.25">
      <c r="B89" s="6" t="s">
        <v>102</v>
      </c>
      <c r="C89" s="15">
        <v>2167.04</v>
      </c>
      <c r="D89" s="16">
        <v>44.707000000000001</v>
      </c>
      <c r="E89" s="16">
        <v>46.164000000000001</v>
      </c>
      <c r="F89" s="16">
        <v>46.643999999999998</v>
      </c>
      <c r="G89" s="16">
        <v>18.25</v>
      </c>
      <c r="H89" s="16">
        <f t="shared" si="4"/>
        <v>45.131250000000001</v>
      </c>
      <c r="I89" s="5"/>
      <c r="J89" s="15">
        <v>1483.9939999999999</v>
      </c>
      <c r="K89" s="16">
        <v>44.176699999999997</v>
      </c>
      <c r="L89" s="16">
        <v>46.607199999999999</v>
      </c>
      <c r="M89" s="16">
        <v>47.0655</v>
      </c>
      <c r="N89" s="16">
        <v>13.9961</v>
      </c>
      <c r="O89" s="16">
        <f t="shared" si="5"/>
        <v>44.841612499999997</v>
      </c>
      <c r="P89" s="7"/>
      <c r="Q89" s="8">
        <f>bdrate(C89:C92,D89:D92,J89:J92,K89:K92)</f>
        <v>-0.32590363315073301</v>
      </c>
      <c r="R89" s="8">
        <f>bdrate(C89:C92,E89:E92,J89:J92,L89:L92)</f>
        <v>-0.46571727358802628</v>
      </c>
      <c r="S89" s="8">
        <f>bdrate(C89:C92,F89:F92,J89:J92,M89:M92)</f>
        <v>-0.45015349270656313</v>
      </c>
      <c r="T89" s="25">
        <f>bdrate(C89:C92,H89:H92,J89:J92,O89:O92)</f>
        <v>-0.35190808744518465</v>
      </c>
      <c r="U89" s="28">
        <f t="shared" si="3"/>
        <v>-0.23309041095890409</v>
      </c>
    </row>
    <row r="90" spans="1:21" x14ac:dyDescent="0.25">
      <c r="B90" s="9"/>
      <c r="C90" s="17">
        <v>1445.91</v>
      </c>
      <c r="D90" s="18">
        <v>42.463000000000001</v>
      </c>
      <c r="E90" s="18">
        <v>44.387</v>
      </c>
      <c r="F90" s="18">
        <v>44.884999999999998</v>
      </c>
      <c r="G90" s="18">
        <v>20.190000000000001</v>
      </c>
      <c r="H90" s="18">
        <f t="shared" si="4"/>
        <v>43.006250000000001</v>
      </c>
      <c r="I90" s="5"/>
      <c r="J90" s="17">
        <v>992.67489999999998</v>
      </c>
      <c r="K90" s="18">
        <v>42.321100000000001</v>
      </c>
      <c r="L90" s="18">
        <v>45.247700000000002</v>
      </c>
      <c r="M90" s="18">
        <v>45.647799999999997</v>
      </c>
      <c r="N90" s="18">
        <v>17.109100000000002</v>
      </c>
      <c r="O90" s="18">
        <f t="shared" si="5"/>
        <v>43.102762500000004</v>
      </c>
      <c r="P90" s="7"/>
      <c r="Q90" s="10"/>
      <c r="R90" s="11"/>
      <c r="S90" s="11"/>
      <c r="T90" s="26"/>
      <c r="U90" s="28">
        <f t="shared" si="3"/>
        <v>-0.15259534422981672</v>
      </c>
    </row>
    <row r="91" spans="1:21" x14ac:dyDescent="0.25">
      <c r="B91" s="9"/>
      <c r="C91" s="17">
        <v>881.88</v>
      </c>
      <c r="D91" s="18">
        <v>39.579000000000001</v>
      </c>
      <c r="E91" s="18">
        <v>42.368000000000002</v>
      </c>
      <c r="F91" s="18">
        <v>42.887999999999998</v>
      </c>
      <c r="G91" s="18">
        <v>23.34</v>
      </c>
      <c r="H91" s="18">
        <f t="shared" si="4"/>
        <v>40.341249999999995</v>
      </c>
      <c r="I91" s="5"/>
      <c r="J91" s="17">
        <v>599.44150000000002</v>
      </c>
      <c r="K91" s="18">
        <v>39.661499999999997</v>
      </c>
      <c r="L91" s="18">
        <v>43.358499999999999</v>
      </c>
      <c r="M91" s="18">
        <v>43.7515</v>
      </c>
      <c r="N91" s="18">
        <v>21.2728</v>
      </c>
      <c r="O91" s="18">
        <f t="shared" si="5"/>
        <v>40.634875000000001</v>
      </c>
      <c r="P91" s="7"/>
      <c r="Q91" s="10"/>
      <c r="R91" s="11"/>
      <c r="S91" s="11"/>
      <c r="T91" s="26"/>
      <c r="U91" s="28">
        <f t="shared" si="3"/>
        <v>-8.8568980291345314E-2</v>
      </c>
    </row>
    <row r="92" spans="1:21" ht="16.5" thickBot="1" x14ac:dyDescent="0.3">
      <c r="B92" s="12"/>
      <c r="C92" s="19">
        <v>420.12</v>
      </c>
      <c r="D92" s="20">
        <v>34.965000000000003</v>
      </c>
      <c r="E92" s="20">
        <v>39.478000000000002</v>
      </c>
      <c r="F92" s="20">
        <v>40.055999999999997</v>
      </c>
      <c r="G92" s="20">
        <v>28.72</v>
      </c>
      <c r="H92" s="20">
        <f t="shared" ref="H92:H124" si="6">(6*D92+E92+F92)/8</f>
        <v>36.165500000000002</v>
      </c>
      <c r="I92" s="5"/>
      <c r="J92" s="19">
        <v>303.53910000000002</v>
      </c>
      <c r="K92" s="20">
        <v>36.085000000000001</v>
      </c>
      <c r="L92" s="20">
        <v>40.998199999999997</v>
      </c>
      <c r="M92" s="20">
        <v>41.394500000000001</v>
      </c>
      <c r="N92" s="20">
        <v>27.0092</v>
      </c>
      <c r="O92" s="20">
        <f t="shared" ref="O92:O124" si="7">(6*K92+L92+M92)/8</f>
        <v>37.362837499999998</v>
      </c>
      <c r="P92" s="7"/>
      <c r="Q92" s="13"/>
      <c r="R92" s="14"/>
      <c r="S92" s="14"/>
      <c r="T92" s="27"/>
      <c r="U92" s="28">
        <f t="shared" ref="U92:U124" si="8">(N92-G92)/G92</f>
        <v>-5.9568245125348154E-2</v>
      </c>
    </row>
    <row r="93" spans="1:21" x14ac:dyDescent="0.25">
      <c r="B93" s="6" t="s">
        <v>103</v>
      </c>
      <c r="C93" s="29">
        <v>2055.91</v>
      </c>
      <c r="D93" s="30">
        <v>40.713000000000001</v>
      </c>
      <c r="E93" s="30">
        <v>44.478999999999999</v>
      </c>
      <c r="F93" s="30">
        <v>44.473999999999997</v>
      </c>
      <c r="G93" s="16">
        <v>14.97</v>
      </c>
      <c r="H93" s="16">
        <f t="shared" si="6"/>
        <v>41.653874999999999</v>
      </c>
      <c r="I93" s="5"/>
      <c r="J93" s="29">
        <v>1499.7494999999999</v>
      </c>
      <c r="K93" s="30">
        <v>40.084899999999998</v>
      </c>
      <c r="L93" s="30">
        <v>44.765900000000002</v>
      </c>
      <c r="M93" s="30">
        <v>44.759900000000002</v>
      </c>
      <c r="N93" s="16">
        <v>13.4465</v>
      </c>
      <c r="O93" s="16">
        <f t="shared" si="7"/>
        <v>41.254399999999997</v>
      </c>
      <c r="P93" s="7"/>
      <c r="Q93" s="8">
        <f>bdrate(C93:C96,D93:D96,J93:J96,K93:K96)</f>
        <v>-0.2744765259784383</v>
      </c>
      <c r="R93" s="8">
        <f>bdrate(C93:C96,E93:E96,J93:J96,L93:L96)</f>
        <v>-0.43308170009594671</v>
      </c>
      <c r="S93" s="8">
        <f>bdrate(C93:C96,F93:F96,J93:J96,M93:M96)</f>
        <v>-0.42906171239110191</v>
      </c>
      <c r="T93" s="25">
        <f>bdrate(C93:C96,H93:H96,J93:J96,O93:O96)</f>
        <v>-0.30391728537437923</v>
      </c>
      <c r="U93" s="28">
        <f t="shared" si="8"/>
        <v>-0.10177020708082835</v>
      </c>
    </row>
    <row r="94" spans="1:21" x14ac:dyDescent="0.25">
      <c r="B94" s="9"/>
      <c r="C94" s="31">
        <v>1376.14</v>
      </c>
      <c r="D94" s="32">
        <v>38.582999999999998</v>
      </c>
      <c r="E94" s="32">
        <v>42.929000000000002</v>
      </c>
      <c r="F94" s="32">
        <v>42.926000000000002</v>
      </c>
      <c r="G94" s="18">
        <v>16.45</v>
      </c>
      <c r="H94" s="18">
        <f t="shared" si="6"/>
        <v>39.669125000000001</v>
      </c>
      <c r="I94" s="5"/>
      <c r="J94" s="31">
        <v>1000.1031</v>
      </c>
      <c r="K94" s="32">
        <v>38.259799999999998</v>
      </c>
      <c r="L94" s="32">
        <v>43.555700000000002</v>
      </c>
      <c r="M94" s="32">
        <v>43.519599999999997</v>
      </c>
      <c r="N94" s="18">
        <v>15.6348</v>
      </c>
      <c r="O94" s="18">
        <f t="shared" si="7"/>
        <v>39.579262499999999</v>
      </c>
      <c r="P94" s="7"/>
      <c r="Q94" s="10"/>
      <c r="R94" s="11"/>
      <c r="S94" s="11"/>
      <c r="T94" s="26"/>
      <c r="U94" s="28">
        <f t="shared" si="8"/>
        <v>-4.9556231003039457E-2</v>
      </c>
    </row>
    <row r="95" spans="1:21" x14ac:dyDescent="0.25">
      <c r="B95" s="9"/>
      <c r="C95" s="31">
        <v>841.9</v>
      </c>
      <c r="D95" s="32">
        <v>35.981999999999999</v>
      </c>
      <c r="E95" s="32">
        <v>41.234999999999999</v>
      </c>
      <c r="F95" s="32">
        <v>41.19</v>
      </c>
      <c r="G95" s="18">
        <v>19.14</v>
      </c>
      <c r="H95" s="18">
        <f t="shared" si="6"/>
        <v>37.289625000000001</v>
      </c>
      <c r="I95" s="5"/>
      <c r="J95" s="31">
        <v>600.55349999999999</v>
      </c>
      <c r="K95" s="32">
        <v>35.912100000000002</v>
      </c>
      <c r="L95" s="32">
        <v>42.065300000000001</v>
      </c>
      <c r="M95" s="32">
        <v>42.018900000000002</v>
      </c>
      <c r="N95" s="18">
        <v>18.6858</v>
      </c>
      <c r="O95" s="18">
        <f t="shared" si="7"/>
        <v>37.444599999999994</v>
      </c>
      <c r="P95" s="7"/>
      <c r="Q95" s="10"/>
      <c r="R95" s="11"/>
      <c r="S95" s="11"/>
      <c r="T95" s="26"/>
      <c r="U95" s="28">
        <f t="shared" si="8"/>
        <v>-2.373040752351098E-2</v>
      </c>
    </row>
    <row r="96" spans="1:21" ht="16.5" thickBot="1" x14ac:dyDescent="0.3">
      <c r="B96" s="12"/>
      <c r="C96" s="33">
        <v>403.1</v>
      </c>
      <c r="D96" s="34">
        <v>31.728999999999999</v>
      </c>
      <c r="E96" s="34">
        <v>38.923000000000002</v>
      </c>
      <c r="F96" s="34">
        <v>38.771000000000001</v>
      </c>
      <c r="G96" s="20">
        <v>23.31</v>
      </c>
      <c r="H96" s="20">
        <f t="shared" si="6"/>
        <v>33.508499999999998</v>
      </c>
      <c r="I96" s="5"/>
      <c r="J96" s="33">
        <v>301.51600000000002</v>
      </c>
      <c r="K96" s="34">
        <v>32.978000000000002</v>
      </c>
      <c r="L96" s="34">
        <v>40.273000000000003</v>
      </c>
      <c r="M96" s="34">
        <v>40.1815</v>
      </c>
      <c r="N96" s="20">
        <v>24.058399999999999</v>
      </c>
      <c r="O96" s="20">
        <f t="shared" si="7"/>
        <v>34.790312499999999</v>
      </c>
      <c r="P96" s="7"/>
      <c r="Q96" s="13"/>
      <c r="R96" s="14"/>
      <c r="S96" s="14"/>
      <c r="T96" s="27"/>
      <c r="U96" s="28">
        <f t="shared" si="8"/>
        <v>3.2106392106392115E-2</v>
      </c>
    </row>
    <row r="97" spans="2:21" x14ac:dyDescent="0.25">
      <c r="B97" s="6" t="s">
        <v>104</v>
      </c>
      <c r="C97" s="15">
        <v>2119.3200000000002</v>
      </c>
      <c r="D97" s="16">
        <v>39.137999999999998</v>
      </c>
      <c r="E97" s="16">
        <v>42.082999999999998</v>
      </c>
      <c r="F97" s="16">
        <v>42.621000000000002</v>
      </c>
      <c r="G97" s="16">
        <v>18.73</v>
      </c>
      <c r="H97" s="16">
        <f t="shared" si="6"/>
        <v>39.941499999999991</v>
      </c>
      <c r="I97" s="5"/>
      <c r="J97" s="15">
        <v>1508.9935</v>
      </c>
      <c r="K97" s="16">
        <v>38.211599999999997</v>
      </c>
      <c r="L97" s="16">
        <v>43.113799999999998</v>
      </c>
      <c r="M97" s="16">
        <v>43.596299999999999</v>
      </c>
      <c r="N97" s="16">
        <v>13.921900000000001</v>
      </c>
      <c r="O97" s="16">
        <f t="shared" si="7"/>
        <v>39.49746249999999</v>
      </c>
      <c r="P97" s="7"/>
      <c r="Q97" s="8">
        <f>bdrate(C97:C100,D97:D100,J97:J100,K97:K100)</f>
        <v>-0.23690434405553451</v>
      </c>
      <c r="R97" s="8">
        <f>bdrate(C97:C100,E97:E100,J97:J100,L97:L100)</f>
        <v>-0.52929447936530938</v>
      </c>
      <c r="S97" s="8">
        <f>bdrate(C97:C100,F97:F100,J97:J100,M97:M100)</f>
        <v>-0.5215095118276718</v>
      </c>
      <c r="T97" s="25">
        <f>bdrate(C97:C100,H97:H100,J97:J100,O97:O100)</f>
        <v>-0.29657574828102296</v>
      </c>
      <c r="U97" s="28">
        <f t="shared" si="8"/>
        <v>-0.25670581954084354</v>
      </c>
    </row>
    <row r="98" spans="2:21" x14ac:dyDescent="0.25">
      <c r="B98" s="9"/>
      <c r="C98" s="17">
        <v>1415.06</v>
      </c>
      <c r="D98" s="18">
        <v>37.014000000000003</v>
      </c>
      <c r="E98" s="18">
        <v>40.470999999999997</v>
      </c>
      <c r="F98" s="18">
        <v>41.098999999999997</v>
      </c>
      <c r="G98" s="18">
        <v>20.65</v>
      </c>
      <c r="H98" s="18">
        <f t="shared" si="6"/>
        <v>37.95675</v>
      </c>
      <c r="I98" s="5"/>
      <c r="J98" s="17">
        <v>1007.6051</v>
      </c>
      <c r="K98" s="18">
        <v>36.338700000000003</v>
      </c>
      <c r="L98" s="18">
        <v>41.791699999999999</v>
      </c>
      <c r="M98" s="18">
        <v>42.341999999999999</v>
      </c>
      <c r="N98" s="18">
        <v>16.239799999999999</v>
      </c>
      <c r="O98" s="18">
        <f t="shared" si="7"/>
        <v>37.770737500000003</v>
      </c>
      <c r="P98" s="7"/>
      <c r="Q98" s="10"/>
      <c r="R98" s="11"/>
      <c r="S98" s="11"/>
      <c r="T98" s="26"/>
      <c r="U98" s="28">
        <f t="shared" si="8"/>
        <v>-0.21356900726392253</v>
      </c>
    </row>
    <row r="99" spans="2:21" x14ac:dyDescent="0.25">
      <c r="B99" s="9"/>
      <c r="C99" s="17">
        <v>859.21</v>
      </c>
      <c r="D99" s="18">
        <v>34.445</v>
      </c>
      <c r="E99" s="18">
        <v>38.731000000000002</v>
      </c>
      <c r="F99" s="18">
        <v>39.479999999999997</v>
      </c>
      <c r="G99" s="18">
        <v>22.99</v>
      </c>
      <c r="H99" s="18">
        <f t="shared" si="6"/>
        <v>35.610125000000004</v>
      </c>
      <c r="I99" s="5"/>
      <c r="J99" s="17">
        <v>604.66840000000002</v>
      </c>
      <c r="K99" s="18">
        <v>34.074300000000001</v>
      </c>
      <c r="L99" s="18">
        <v>40.142499999999998</v>
      </c>
      <c r="M99" s="18">
        <v>40.738</v>
      </c>
      <c r="N99" s="18">
        <v>19.324100000000001</v>
      </c>
      <c r="O99" s="18">
        <f t="shared" si="7"/>
        <v>35.6657875</v>
      </c>
      <c r="P99" s="7"/>
      <c r="Q99" s="10"/>
      <c r="R99" s="11"/>
      <c r="S99" s="11"/>
      <c r="T99" s="26"/>
      <c r="U99" s="28">
        <f t="shared" si="8"/>
        <v>-0.15945628534145267</v>
      </c>
    </row>
    <row r="100" spans="2:21" ht="16.5" thickBot="1" x14ac:dyDescent="0.3">
      <c r="B100" s="12"/>
      <c r="C100" s="19">
        <v>404.4</v>
      </c>
      <c r="D100" s="20">
        <v>30.300999999999998</v>
      </c>
      <c r="E100" s="20">
        <v>36.323999999999998</v>
      </c>
      <c r="F100" s="20">
        <v>37.220999999999997</v>
      </c>
      <c r="G100" s="20">
        <v>27.37</v>
      </c>
      <c r="H100" s="20">
        <f t="shared" si="6"/>
        <v>31.918875</v>
      </c>
      <c r="I100" s="5"/>
      <c r="J100" s="19">
        <v>302.75409999999999</v>
      </c>
      <c r="K100" s="20">
        <v>30.954000000000001</v>
      </c>
      <c r="L100" s="20">
        <v>37.965400000000002</v>
      </c>
      <c r="M100" s="20">
        <v>38.673999999999999</v>
      </c>
      <c r="N100" s="20">
        <v>24.5549</v>
      </c>
      <c r="O100" s="20">
        <f t="shared" si="7"/>
        <v>32.795424999999994</v>
      </c>
      <c r="P100" s="7"/>
      <c r="Q100" s="13"/>
      <c r="R100" s="14"/>
      <c r="S100" s="14"/>
      <c r="T100" s="27"/>
      <c r="U100" s="28">
        <f t="shared" si="8"/>
        <v>-0.1028534892217757</v>
      </c>
    </row>
    <row r="101" spans="2:21" x14ac:dyDescent="0.25">
      <c r="B101" s="6" t="s">
        <v>105</v>
      </c>
      <c r="C101" s="15">
        <v>2109.5</v>
      </c>
      <c r="D101" s="16">
        <v>38.912999999999997</v>
      </c>
      <c r="E101" s="16">
        <v>43.835999999999999</v>
      </c>
      <c r="F101" s="16">
        <v>45.503</v>
      </c>
      <c r="G101" s="16">
        <v>13.01</v>
      </c>
      <c r="H101" s="16">
        <f t="shared" si="6"/>
        <v>40.352124999999994</v>
      </c>
      <c r="I101" s="5"/>
      <c r="J101" s="15">
        <v>1509.9652000000001</v>
      </c>
      <c r="K101" s="16">
        <v>38.102899999999998</v>
      </c>
      <c r="L101" s="16">
        <v>44.184600000000003</v>
      </c>
      <c r="M101" s="16">
        <v>45.700200000000002</v>
      </c>
      <c r="N101" s="16">
        <v>13.123699999999999</v>
      </c>
      <c r="O101" s="16">
        <f t="shared" si="7"/>
        <v>39.812774999999995</v>
      </c>
      <c r="P101" s="7"/>
      <c r="Q101" s="8">
        <f>bdrate(C101:C104,D101:D104,J101:J104,K101:K104)</f>
        <v>-0.25724360456213013</v>
      </c>
      <c r="R101" s="8">
        <f>bdrate(C101:C104,E101:E104,J101:J104,L101:L104)</f>
        <v>-0.50786749912106233</v>
      </c>
      <c r="S101" s="8">
        <f>bdrate(C101:C104,F101:F104,J101:J104,M101:M104)</f>
        <v>-0.45416352059577003</v>
      </c>
      <c r="T101" s="25">
        <f>bdrate(C101:C104,H101:H104,J101:J104,O101:O104)</f>
        <v>-0.30585624997408412</v>
      </c>
      <c r="U101" s="28">
        <f t="shared" si="8"/>
        <v>8.7394312067640041E-3</v>
      </c>
    </row>
    <row r="102" spans="2:21" x14ac:dyDescent="0.25">
      <c r="B102" s="9"/>
      <c r="C102" s="17">
        <v>1408.34</v>
      </c>
      <c r="D102" s="18">
        <v>37.189</v>
      </c>
      <c r="E102" s="18">
        <v>42.551000000000002</v>
      </c>
      <c r="F102" s="18">
        <v>44.252000000000002</v>
      </c>
      <c r="G102" s="18">
        <v>14.95</v>
      </c>
      <c r="H102" s="18">
        <f t="shared" si="6"/>
        <v>38.742125000000001</v>
      </c>
      <c r="I102" s="5"/>
      <c r="J102" s="17">
        <v>1008.2073</v>
      </c>
      <c r="K102" s="18">
        <v>36.671999999999997</v>
      </c>
      <c r="L102" s="18">
        <v>43.256999999999998</v>
      </c>
      <c r="M102" s="18">
        <v>44.725700000000003</v>
      </c>
      <c r="N102" s="18">
        <v>15.3804</v>
      </c>
      <c r="O102" s="18">
        <f t="shared" si="7"/>
        <v>38.501837500000001</v>
      </c>
      <c r="P102" s="7"/>
      <c r="Q102" s="10"/>
      <c r="R102" s="11"/>
      <c r="S102" s="11"/>
      <c r="T102" s="26"/>
      <c r="U102" s="28">
        <f t="shared" si="8"/>
        <v>2.8789297658862914E-2</v>
      </c>
    </row>
    <row r="103" spans="2:21" x14ac:dyDescent="0.25">
      <c r="B103" s="9"/>
      <c r="C103" s="17">
        <v>857.22</v>
      </c>
      <c r="D103" s="18">
        <v>35.094000000000001</v>
      </c>
      <c r="E103" s="18">
        <v>41.088000000000001</v>
      </c>
      <c r="F103" s="18">
        <v>42.686</v>
      </c>
      <c r="G103" s="18">
        <v>17.39</v>
      </c>
      <c r="H103" s="18">
        <f t="shared" si="6"/>
        <v>36.792250000000003</v>
      </c>
      <c r="I103" s="5"/>
      <c r="J103" s="17">
        <v>604.61479999999995</v>
      </c>
      <c r="K103" s="18">
        <v>34.994</v>
      </c>
      <c r="L103" s="18">
        <v>42.192100000000003</v>
      </c>
      <c r="M103" s="18">
        <v>43.548099999999998</v>
      </c>
      <c r="N103" s="18">
        <v>18.722100000000001</v>
      </c>
      <c r="O103" s="18">
        <f t="shared" si="7"/>
        <v>36.963025000000002</v>
      </c>
      <c r="P103" s="7"/>
      <c r="Q103" s="10"/>
      <c r="R103" s="11"/>
      <c r="S103" s="11"/>
      <c r="T103" s="26"/>
      <c r="U103" s="28">
        <f t="shared" si="8"/>
        <v>7.6601495112133433E-2</v>
      </c>
    </row>
    <row r="104" spans="2:21" ht="16.5" thickBot="1" x14ac:dyDescent="0.3">
      <c r="B104" s="12"/>
      <c r="C104" s="19">
        <v>404.92</v>
      </c>
      <c r="D104" s="20">
        <v>32.170999999999999</v>
      </c>
      <c r="E104" s="20">
        <v>39.128999999999998</v>
      </c>
      <c r="F104" s="20">
        <v>40.213000000000001</v>
      </c>
      <c r="G104" s="20">
        <v>22.27</v>
      </c>
      <c r="H104" s="20">
        <f t="shared" si="6"/>
        <v>34.045999999999999</v>
      </c>
      <c r="I104" s="5"/>
      <c r="J104" s="19">
        <v>300.61040000000003</v>
      </c>
      <c r="K104" s="20">
        <v>32.884399999999999</v>
      </c>
      <c r="L104" s="20">
        <v>40.860100000000003</v>
      </c>
      <c r="M104" s="20">
        <v>42.021799999999999</v>
      </c>
      <c r="N104" s="20">
        <v>24.2607</v>
      </c>
      <c r="O104" s="20">
        <f t="shared" si="7"/>
        <v>35.023537499999996</v>
      </c>
      <c r="P104" s="7"/>
      <c r="Q104" s="13"/>
      <c r="R104" s="14"/>
      <c r="S104" s="14"/>
      <c r="T104" s="27"/>
      <c r="U104" s="28">
        <f t="shared" si="8"/>
        <v>8.9389312977099261E-2</v>
      </c>
    </row>
    <row r="105" spans="2:21" x14ac:dyDescent="0.25">
      <c r="B105" s="6" t="s">
        <v>106</v>
      </c>
      <c r="C105" s="15">
        <v>2220.44</v>
      </c>
      <c r="D105" s="16">
        <v>49.820999999999998</v>
      </c>
      <c r="E105" s="16">
        <v>53.89</v>
      </c>
      <c r="F105" s="16">
        <v>55.170999999999999</v>
      </c>
      <c r="G105" s="16">
        <v>17.11</v>
      </c>
      <c r="H105" s="16">
        <f t="shared" si="6"/>
        <v>50.998374999999996</v>
      </c>
      <c r="I105" s="5"/>
      <c r="J105" s="15">
        <v>1497.8632</v>
      </c>
      <c r="K105" s="16">
        <v>49.450499999999998</v>
      </c>
      <c r="L105" s="16">
        <v>54.351500000000001</v>
      </c>
      <c r="M105" s="16">
        <v>55.757599999999996</v>
      </c>
      <c r="N105" s="16">
        <v>16.7179</v>
      </c>
      <c r="O105" s="16">
        <f t="shared" si="7"/>
        <v>50.851512499999998</v>
      </c>
      <c r="P105" s="7"/>
      <c r="Q105" s="8">
        <f>bdrate(C105:C108,D105:D108,J105:J108,K105:K108)</f>
        <v>-0.42100285613574406</v>
      </c>
      <c r="R105" s="8">
        <f>bdrate(C105:C108,E105:E108,J105:J108,L105:L108)</f>
        <v>-0.55118502501691702</v>
      </c>
      <c r="S105" s="8">
        <f>bdrate(C105:C108,F105:F108,J105:J108,M105:M108)</f>
        <v>-0.56130181393222922</v>
      </c>
      <c r="T105" s="25">
        <f>bdrate(C105:C108,H105:H108,J105:J108,O105:O108)</f>
        <v>-0.45333917673910562</v>
      </c>
      <c r="U105" s="28">
        <f t="shared" si="8"/>
        <v>-2.2916423144359981E-2</v>
      </c>
    </row>
    <row r="106" spans="2:21" x14ac:dyDescent="0.25">
      <c r="B106" s="9"/>
      <c r="C106" s="17">
        <v>1472.45</v>
      </c>
      <c r="D106" s="18">
        <v>47.597000000000001</v>
      </c>
      <c r="E106" s="18">
        <v>51.649000000000001</v>
      </c>
      <c r="F106" s="18">
        <v>53.097000000000001</v>
      </c>
      <c r="G106" s="18">
        <v>19.41</v>
      </c>
      <c r="H106" s="18">
        <f t="shared" si="6"/>
        <v>48.790999999999997</v>
      </c>
      <c r="I106" s="5"/>
      <c r="J106" s="17">
        <v>1003.8488</v>
      </c>
      <c r="K106" s="18">
        <v>47.873199999999997</v>
      </c>
      <c r="L106" s="18">
        <v>52.982900000000001</v>
      </c>
      <c r="M106" s="18">
        <v>54.491100000000003</v>
      </c>
      <c r="N106" s="18">
        <v>19.4864</v>
      </c>
      <c r="O106" s="18">
        <f t="shared" si="7"/>
        <v>49.339149999999997</v>
      </c>
      <c r="P106" s="7"/>
      <c r="Q106" s="10"/>
      <c r="R106" s="11"/>
      <c r="S106" s="11"/>
      <c r="T106" s="26"/>
      <c r="U106" s="28">
        <f t="shared" si="8"/>
        <v>3.9361154044306838E-3</v>
      </c>
    </row>
    <row r="107" spans="2:21" x14ac:dyDescent="0.25">
      <c r="B107" s="9"/>
      <c r="C107" s="17">
        <v>885.09</v>
      </c>
      <c r="D107" s="18">
        <v>44.737000000000002</v>
      </c>
      <c r="E107" s="18">
        <v>49.061</v>
      </c>
      <c r="F107" s="18">
        <v>50.625999999999998</v>
      </c>
      <c r="G107" s="18">
        <v>23.58</v>
      </c>
      <c r="H107" s="18">
        <f t="shared" si="6"/>
        <v>46.013624999999998</v>
      </c>
      <c r="I107" s="5"/>
      <c r="J107" s="17">
        <v>601.15279999999996</v>
      </c>
      <c r="K107" s="18">
        <v>45.858600000000003</v>
      </c>
      <c r="L107" s="18">
        <v>51.271500000000003</v>
      </c>
      <c r="M107" s="18">
        <v>52.790799999999997</v>
      </c>
      <c r="N107" s="18">
        <v>23.3536</v>
      </c>
      <c r="O107" s="18">
        <f t="shared" si="7"/>
        <v>47.401737500000003</v>
      </c>
      <c r="P107" s="7"/>
      <c r="Q107" s="10"/>
      <c r="R107" s="11"/>
      <c r="S107" s="11"/>
      <c r="T107" s="26"/>
      <c r="U107" s="28">
        <f t="shared" si="8"/>
        <v>-9.6013570822730352E-3</v>
      </c>
    </row>
    <row r="108" spans="2:21" ht="16.5" thickBot="1" x14ac:dyDescent="0.3">
      <c r="B108" s="12"/>
      <c r="C108" s="19">
        <v>420.01</v>
      </c>
      <c r="D108" s="20">
        <v>41.67</v>
      </c>
      <c r="E108" s="20">
        <v>45.960999999999999</v>
      </c>
      <c r="F108" s="20">
        <v>47.51</v>
      </c>
      <c r="G108" s="20">
        <v>32.950000000000003</v>
      </c>
      <c r="H108" s="20">
        <f t="shared" si="6"/>
        <v>42.936374999999998</v>
      </c>
      <c r="I108" s="5"/>
      <c r="J108" s="19">
        <v>302.47910000000002</v>
      </c>
      <c r="K108" s="20">
        <v>43.050699999999999</v>
      </c>
      <c r="L108" s="20">
        <v>48.780099999999997</v>
      </c>
      <c r="M108" s="20">
        <v>50.2973</v>
      </c>
      <c r="N108" s="20">
        <v>30.4193</v>
      </c>
      <c r="O108" s="20">
        <f t="shared" si="7"/>
        <v>44.672699999999999</v>
      </c>
      <c r="P108" s="7"/>
      <c r="Q108" s="13"/>
      <c r="R108" s="14"/>
      <c r="S108" s="14"/>
      <c r="T108" s="27"/>
      <c r="U108" s="28">
        <f t="shared" si="8"/>
        <v>-7.6804248861912075E-2</v>
      </c>
    </row>
    <row r="109" spans="2:21" x14ac:dyDescent="0.25">
      <c r="B109" s="6" t="s">
        <v>107</v>
      </c>
      <c r="C109" s="15">
        <v>2047.68</v>
      </c>
      <c r="D109" s="16">
        <v>33.523000000000003</v>
      </c>
      <c r="E109" s="16">
        <v>41.225000000000001</v>
      </c>
      <c r="F109" s="16">
        <v>40.53</v>
      </c>
      <c r="G109" s="16">
        <v>11.5</v>
      </c>
      <c r="H109" s="16">
        <f t="shared" si="6"/>
        <v>35.361625000000004</v>
      </c>
      <c r="I109" s="5"/>
      <c r="J109" s="15">
        <v>1495.8276000000001</v>
      </c>
      <c r="K109" s="16">
        <v>33.085700000000003</v>
      </c>
      <c r="L109" s="16">
        <v>41.515000000000001</v>
      </c>
      <c r="M109" s="16">
        <v>40.909500000000001</v>
      </c>
      <c r="N109" s="16">
        <v>9.0790000000000006</v>
      </c>
      <c r="O109" s="16">
        <f t="shared" si="7"/>
        <v>35.117337499999998</v>
      </c>
      <c r="P109" s="7"/>
      <c r="Q109" s="8">
        <f>bdrate(C109:C112,D109:D112,J109:J112,K109:K112)</f>
        <v>-0.32553604199127606</v>
      </c>
      <c r="R109" s="8">
        <f>bdrate(C109:C112,E109:E112,J109:J112,L109:L112)</f>
        <v>-0.45863713980961318</v>
      </c>
      <c r="S109" s="8">
        <f>bdrate(C109:C112,F109:F112,J109:J112,M109:M112)</f>
        <v>-0.47933224880435854</v>
      </c>
      <c r="T109" s="25">
        <f>bdrate(C109:C112,H109:H112,J109:J112,O109:O112)</f>
        <v>-0.3497003338761171</v>
      </c>
      <c r="U109" s="28">
        <f t="shared" si="8"/>
        <v>-0.21052173913043473</v>
      </c>
    </row>
    <row r="110" spans="2:21" x14ac:dyDescent="0.25">
      <c r="B110" s="9"/>
      <c r="C110" s="17">
        <v>1367.9</v>
      </c>
      <c r="D110" s="18">
        <v>31.545000000000002</v>
      </c>
      <c r="E110" s="18">
        <v>40.036000000000001</v>
      </c>
      <c r="F110" s="18">
        <v>39.268999999999998</v>
      </c>
      <c r="G110" s="18">
        <v>13.07</v>
      </c>
      <c r="H110" s="18">
        <f t="shared" si="6"/>
        <v>33.571874999999999</v>
      </c>
      <c r="I110" s="5"/>
      <c r="J110" s="17">
        <v>994.11839999999995</v>
      </c>
      <c r="K110" s="18">
        <v>31.410699999999999</v>
      </c>
      <c r="L110" s="18">
        <v>40.652000000000001</v>
      </c>
      <c r="M110" s="18">
        <v>40.020200000000003</v>
      </c>
      <c r="N110" s="18">
        <v>10.4933</v>
      </c>
      <c r="O110" s="18">
        <f t="shared" si="7"/>
        <v>33.642049999999998</v>
      </c>
      <c r="P110" s="7"/>
      <c r="Q110" s="10"/>
      <c r="R110" s="11"/>
      <c r="S110" s="11"/>
      <c r="T110" s="26"/>
      <c r="U110" s="28">
        <f t="shared" si="8"/>
        <v>-0.19714613618974755</v>
      </c>
    </row>
    <row r="111" spans="2:21" x14ac:dyDescent="0.25">
      <c r="B111" s="9"/>
      <c r="C111" s="17">
        <v>829.37</v>
      </c>
      <c r="D111" s="18">
        <v>28.815999999999999</v>
      </c>
      <c r="E111" s="18">
        <v>38.554000000000002</v>
      </c>
      <c r="F111" s="18">
        <v>37.756</v>
      </c>
      <c r="G111" s="18">
        <v>15.17</v>
      </c>
      <c r="H111" s="18">
        <f t="shared" si="6"/>
        <v>31.150749999999999</v>
      </c>
      <c r="I111" s="5"/>
      <c r="J111" s="17">
        <v>596.26430000000005</v>
      </c>
      <c r="K111" s="18">
        <v>29.2851</v>
      </c>
      <c r="L111" s="18">
        <v>39.455100000000002</v>
      </c>
      <c r="M111" s="18">
        <v>38.782800000000002</v>
      </c>
      <c r="N111" s="18">
        <v>12.6768</v>
      </c>
      <c r="O111" s="18">
        <f t="shared" si="7"/>
        <v>31.743562500000003</v>
      </c>
      <c r="P111" s="7"/>
      <c r="Q111" s="10"/>
      <c r="R111" s="11"/>
      <c r="S111" s="11"/>
      <c r="T111" s="26"/>
      <c r="U111" s="28">
        <f t="shared" si="8"/>
        <v>-0.16435069215557019</v>
      </c>
    </row>
    <row r="112" spans="2:21" ht="16.5" thickBot="1" x14ac:dyDescent="0.3">
      <c r="B112" s="12"/>
      <c r="C112" s="19">
        <v>391.41</v>
      </c>
      <c r="D112" s="20">
        <v>24.550999999999998</v>
      </c>
      <c r="E112" s="20">
        <v>36.103999999999999</v>
      </c>
      <c r="F112" s="20">
        <v>35.395000000000003</v>
      </c>
      <c r="G112" s="20">
        <v>19.2</v>
      </c>
      <c r="H112" s="20">
        <f t="shared" si="6"/>
        <v>27.350624999999997</v>
      </c>
      <c r="I112" s="5"/>
      <c r="J112" s="19">
        <v>298.76530000000002</v>
      </c>
      <c r="K112" s="20">
        <v>26.5501</v>
      </c>
      <c r="L112" s="20">
        <v>37.482100000000003</v>
      </c>
      <c r="M112" s="20">
        <v>36.828400000000002</v>
      </c>
      <c r="N112" s="20">
        <v>16.2881</v>
      </c>
      <c r="O112" s="20">
        <f t="shared" si="7"/>
        <v>29.201387500000003</v>
      </c>
      <c r="P112" s="7"/>
      <c r="Q112" s="13"/>
      <c r="R112" s="14"/>
      <c r="S112" s="14"/>
      <c r="T112" s="27"/>
      <c r="U112" s="28">
        <f t="shared" si="8"/>
        <v>-0.1516614583333333</v>
      </c>
    </row>
    <row r="113" spans="2:21" x14ac:dyDescent="0.25">
      <c r="B113" s="6" t="s">
        <v>108</v>
      </c>
      <c r="C113" s="15">
        <v>2336.44</v>
      </c>
      <c r="D113" s="16">
        <v>48.421999999999997</v>
      </c>
      <c r="E113" s="16">
        <v>48.661000000000001</v>
      </c>
      <c r="F113" s="16">
        <v>48.398000000000003</v>
      </c>
      <c r="G113" s="16">
        <v>20.72</v>
      </c>
      <c r="H113" s="16">
        <f t="shared" si="6"/>
        <v>48.448875000000001</v>
      </c>
      <c r="I113" s="5"/>
      <c r="J113" s="15">
        <v>1421.1383000000001</v>
      </c>
      <c r="K113" s="16">
        <v>46.816099999999999</v>
      </c>
      <c r="L113" s="16">
        <v>48.222200000000001</v>
      </c>
      <c r="M113" s="16">
        <v>48.122</v>
      </c>
      <c r="N113" s="16">
        <v>11.500500000000001</v>
      </c>
      <c r="O113" s="16">
        <f t="shared" si="7"/>
        <v>47.155099999999997</v>
      </c>
      <c r="P113" s="7"/>
      <c r="Q113" s="8">
        <f>bdrate(C113:C116,D113:D116,J113:J116,K113:K116)</f>
        <v>-0.24398615271414092</v>
      </c>
      <c r="R113" s="8">
        <f>bdrate(C113:C116,E113:E116,J113:J116,L113:L116)</f>
        <v>-0.39806358355330584</v>
      </c>
      <c r="S113" s="8">
        <f>bdrate(C113:C116,F113:F116,J113:J116,M113:M116)</f>
        <v>-0.41695625546984916</v>
      </c>
      <c r="T113" s="25">
        <f>bdrate(C113:C116,H113:H116,J113:J116,O113:O116)</f>
        <v>-0.28247563550382915</v>
      </c>
      <c r="U113" s="28">
        <f t="shared" si="8"/>
        <v>-0.44495656370656367</v>
      </c>
    </row>
    <row r="114" spans="2:21" x14ac:dyDescent="0.25">
      <c r="B114" s="9"/>
      <c r="C114" s="17">
        <v>1549.62</v>
      </c>
      <c r="D114" s="18">
        <v>46.4</v>
      </c>
      <c r="E114" s="18">
        <v>46.792999999999999</v>
      </c>
      <c r="F114" s="18">
        <v>46.540999999999997</v>
      </c>
      <c r="G114" s="18">
        <v>23.2</v>
      </c>
      <c r="H114" s="18">
        <f t="shared" si="6"/>
        <v>46.466749999999998</v>
      </c>
      <c r="I114" s="5"/>
      <c r="J114" s="17">
        <v>958.25210000000004</v>
      </c>
      <c r="K114" s="18">
        <v>45.225000000000001</v>
      </c>
      <c r="L114" s="18">
        <v>46.8063</v>
      </c>
      <c r="M114" s="18">
        <v>46.704300000000003</v>
      </c>
      <c r="N114" s="18">
        <v>16.3018</v>
      </c>
      <c r="O114" s="18">
        <f t="shared" si="7"/>
        <v>45.607575000000004</v>
      </c>
      <c r="P114" s="7"/>
      <c r="Q114" s="10"/>
      <c r="R114" s="11"/>
      <c r="S114" s="11"/>
      <c r="T114" s="26"/>
      <c r="U114" s="28">
        <f t="shared" si="8"/>
        <v>-0.29733620689655171</v>
      </c>
    </row>
    <row r="115" spans="2:21" x14ac:dyDescent="0.25">
      <c r="B115" s="9"/>
      <c r="C115" s="17">
        <v>931.45</v>
      </c>
      <c r="D115" s="18">
        <v>43.557000000000002</v>
      </c>
      <c r="E115" s="18">
        <v>44.316000000000003</v>
      </c>
      <c r="F115" s="18">
        <v>43.991999999999997</v>
      </c>
      <c r="G115" s="18">
        <v>26.74</v>
      </c>
      <c r="H115" s="18">
        <f t="shared" si="6"/>
        <v>43.706250000000004</v>
      </c>
      <c r="I115" s="5"/>
      <c r="J115" s="17">
        <v>594.99950000000001</v>
      </c>
      <c r="K115" s="18">
        <v>42.481999999999999</v>
      </c>
      <c r="L115" s="18">
        <v>44.677300000000002</v>
      </c>
      <c r="M115" s="18">
        <v>44.509700000000002</v>
      </c>
      <c r="N115" s="18">
        <v>21.530799999999999</v>
      </c>
      <c r="O115" s="18">
        <f t="shared" si="7"/>
        <v>43.009875000000001</v>
      </c>
      <c r="P115" s="7"/>
      <c r="Q115" s="10"/>
      <c r="R115" s="11"/>
      <c r="S115" s="11"/>
      <c r="T115" s="26"/>
      <c r="U115" s="28">
        <f t="shared" si="8"/>
        <v>-0.19480927449513835</v>
      </c>
    </row>
    <row r="116" spans="2:21" ht="16.5" thickBot="1" x14ac:dyDescent="0.3">
      <c r="B116" s="12"/>
      <c r="C116" s="19">
        <v>432.54</v>
      </c>
      <c r="D116" s="20">
        <v>38.171999999999997</v>
      </c>
      <c r="E116" s="20">
        <v>40.213000000000001</v>
      </c>
      <c r="F116" s="20">
        <v>39.738999999999997</v>
      </c>
      <c r="G116" s="20">
        <v>32.36</v>
      </c>
      <c r="H116" s="20">
        <f t="shared" si="6"/>
        <v>38.622999999999998</v>
      </c>
      <c r="I116" s="5"/>
      <c r="J116" s="19">
        <v>303.10559999999998</v>
      </c>
      <c r="K116" s="20">
        <v>38.090000000000003</v>
      </c>
      <c r="L116" s="20">
        <v>41.245600000000003</v>
      </c>
      <c r="M116" s="20">
        <v>41.044899999999998</v>
      </c>
      <c r="N116" s="20">
        <v>27.736699999999999</v>
      </c>
      <c r="O116" s="20">
        <f t="shared" si="7"/>
        <v>38.853812500000004</v>
      </c>
      <c r="P116" s="7"/>
      <c r="Q116" s="13"/>
      <c r="R116" s="14"/>
      <c r="S116" s="14"/>
      <c r="T116" s="27"/>
      <c r="U116" s="28">
        <f t="shared" si="8"/>
        <v>-0.14287082818294192</v>
      </c>
    </row>
    <row r="117" spans="2:21" x14ac:dyDescent="0.25">
      <c r="B117" s="6" t="s">
        <v>109</v>
      </c>
      <c r="C117" s="15">
        <v>2702.46</v>
      </c>
      <c r="D117" s="16">
        <v>50.112000000000002</v>
      </c>
      <c r="E117" s="16">
        <v>51.209000000000003</v>
      </c>
      <c r="F117" s="16">
        <v>51.442</v>
      </c>
      <c r="G117" s="16">
        <v>22.11</v>
      </c>
      <c r="H117" s="16">
        <f t="shared" si="6"/>
        <v>50.415375000000004</v>
      </c>
      <c r="I117" s="5"/>
      <c r="J117" s="15">
        <v>1417.4314999999999</v>
      </c>
      <c r="K117" s="16">
        <v>47.064900000000002</v>
      </c>
      <c r="L117" s="16">
        <v>49.953099999999999</v>
      </c>
      <c r="M117" s="16">
        <v>50.092300000000002</v>
      </c>
      <c r="N117" s="16">
        <v>11.8818</v>
      </c>
      <c r="O117" s="16">
        <f t="shared" si="7"/>
        <v>47.804350000000007</v>
      </c>
      <c r="P117" s="7"/>
      <c r="Q117" s="8">
        <f>bdrate(C117:C120,D117:D120,J117:J120,K117:K120)</f>
        <v>-0.33571345444655776</v>
      </c>
      <c r="R117" s="8">
        <f>bdrate(C117:C120,E117:E120,J117:J120,L117:L120)</f>
        <v>-0.4797106537593111</v>
      </c>
      <c r="S117" s="8">
        <f>bdrate(C117:C120,F117:F120,J117:J120,M117:M120)</f>
        <v>-0.48040795471804498</v>
      </c>
      <c r="T117" s="25">
        <f>bdrate(C117:C120,H117:H120,J117:J120,O117:O120)</f>
        <v>-0.37024627574363311</v>
      </c>
      <c r="U117" s="28">
        <f t="shared" si="8"/>
        <v>-0.46260515603799185</v>
      </c>
    </row>
    <row r="118" spans="2:21" x14ac:dyDescent="0.25">
      <c r="B118" s="9"/>
      <c r="C118" s="17">
        <v>1788.4</v>
      </c>
      <c r="D118" s="18">
        <v>46.965000000000003</v>
      </c>
      <c r="E118" s="18">
        <v>48.4</v>
      </c>
      <c r="F118" s="18">
        <v>48.652999999999999</v>
      </c>
      <c r="G118" s="18">
        <v>24.87</v>
      </c>
      <c r="H118" s="18">
        <f t="shared" si="6"/>
        <v>47.355375000000002</v>
      </c>
      <c r="I118" s="5"/>
      <c r="J118" s="17">
        <v>976.06010000000003</v>
      </c>
      <c r="K118" s="18">
        <v>45.974600000000002</v>
      </c>
      <c r="L118" s="18">
        <v>49.116700000000002</v>
      </c>
      <c r="M118" s="18">
        <v>49.252499999999998</v>
      </c>
      <c r="N118" s="18">
        <v>13.7905</v>
      </c>
      <c r="O118" s="18">
        <f t="shared" si="7"/>
        <v>46.777099999999997</v>
      </c>
      <c r="P118" s="7"/>
      <c r="Q118" s="10"/>
      <c r="R118" s="11"/>
      <c r="S118" s="11"/>
      <c r="T118" s="26"/>
      <c r="U118" s="28">
        <f t="shared" si="8"/>
        <v>-0.44549658222758348</v>
      </c>
    </row>
    <row r="119" spans="2:21" x14ac:dyDescent="0.25">
      <c r="B119" s="9"/>
      <c r="C119" s="17">
        <v>1073.45</v>
      </c>
      <c r="D119" s="18">
        <v>43.706000000000003</v>
      </c>
      <c r="E119" s="18">
        <v>45.569000000000003</v>
      </c>
      <c r="F119" s="18">
        <v>45.796999999999997</v>
      </c>
      <c r="G119" s="18">
        <v>27.92</v>
      </c>
      <c r="H119" s="18">
        <f t="shared" si="6"/>
        <v>44.200249999999997</v>
      </c>
      <c r="I119" s="5"/>
      <c r="J119" s="17">
        <v>638.1721</v>
      </c>
      <c r="K119" s="18">
        <v>43.142299999999999</v>
      </c>
      <c r="L119" s="18">
        <v>46.427900000000001</v>
      </c>
      <c r="M119" s="18">
        <v>46.710299999999997</v>
      </c>
      <c r="N119" s="18">
        <v>14.2204</v>
      </c>
      <c r="O119" s="18">
        <f t="shared" si="7"/>
        <v>43.999000000000002</v>
      </c>
      <c r="P119" s="7"/>
      <c r="Q119" s="10"/>
      <c r="R119" s="11"/>
      <c r="S119" s="11"/>
      <c r="T119" s="26"/>
      <c r="U119" s="28">
        <f t="shared" si="8"/>
        <v>-0.49067335243553012</v>
      </c>
    </row>
    <row r="120" spans="2:21" ht="16.5" thickBot="1" x14ac:dyDescent="0.3">
      <c r="B120" s="12"/>
      <c r="C120" s="19">
        <v>500.25</v>
      </c>
      <c r="D120" s="20">
        <v>38.872999999999998</v>
      </c>
      <c r="E120" s="20">
        <v>41.488</v>
      </c>
      <c r="F120" s="20">
        <v>41.747999999999998</v>
      </c>
      <c r="G120" s="20">
        <v>33.85</v>
      </c>
      <c r="H120" s="20">
        <f t="shared" si="6"/>
        <v>39.559249999999999</v>
      </c>
      <c r="I120" s="5"/>
      <c r="J120" s="19">
        <v>353.9991</v>
      </c>
      <c r="K120" s="20">
        <v>38.666400000000003</v>
      </c>
      <c r="L120" s="20">
        <v>42.457299999999996</v>
      </c>
      <c r="M120" s="20">
        <v>42.747399999999999</v>
      </c>
      <c r="N120" s="20">
        <v>23.5716</v>
      </c>
      <c r="O120" s="20">
        <f t="shared" si="7"/>
        <v>39.650387499999994</v>
      </c>
      <c r="P120" s="7"/>
      <c r="Q120" s="13"/>
      <c r="R120" s="14"/>
      <c r="S120" s="14"/>
      <c r="T120" s="27"/>
      <c r="U120" s="28">
        <f t="shared" si="8"/>
        <v>-0.30364549483013298</v>
      </c>
    </row>
    <row r="121" spans="2:21" x14ac:dyDescent="0.25">
      <c r="B121" s="6" t="s">
        <v>110</v>
      </c>
      <c r="C121" s="29">
        <v>2141.15</v>
      </c>
      <c r="D121" s="30">
        <v>34.564</v>
      </c>
      <c r="E121" s="30">
        <v>37.655999999999999</v>
      </c>
      <c r="F121" s="30">
        <v>36.590000000000003</v>
      </c>
      <c r="G121" s="16">
        <v>14.62</v>
      </c>
      <c r="H121" s="16">
        <f t="shared" si="6"/>
        <v>35.203749999999999</v>
      </c>
      <c r="I121" s="5"/>
      <c r="J121" s="29">
        <v>1511.9264000000001</v>
      </c>
      <c r="K121" s="30">
        <v>33.393099999999997</v>
      </c>
      <c r="L121" s="30">
        <v>37.843699999999998</v>
      </c>
      <c r="M121" s="30">
        <v>36.696599999999997</v>
      </c>
      <c r="N121" s="16">
        <v>10.791600000000001</v>
      </c>
      <c r="O121" s="16">
        <f t="shared" si="7"/>
        <v>34.362362499999996</v>
      </c>
      <c r="P121" s="7"/>
      <c r="Q121" s="8">
        <f>bdrate(C121:C124,D121:D124,J121:J124,K121:K124)</f>
        <v>-0.23117344366468184</v>
      </c>
      <c r="R121" s="8">
        <f>bdrate(C121:C124,E121:E124,J121:J124,L121:L124)</f>
        <v>-0.42380259420494348</v>
      </c>
      <c r="S121" s="8">
        <f>bdrate(C121:C124,F121:F124,J121:J124,M121:M124)</f>
        <v>-0.40356663570854678</v>
      </c>
      <c r="T121" s="25">
        <f>bdrate(C121:C124,H121:H124,J121:J124,O121:O124)</f>
        <v>-0.26264499234915417</v>
      </c>
      <c r="U121" s="28">
        <f t="shared" si="8"/>
        <v>-0.26186046511627897</v>
      </c>
    </row>
    <row r="122" spans="2:21" x14ac:dyDescent="0.25">
      <c r="B122" s="9"/>
      <c r="C122" s="31">
        <v>1419.43</v>
      </c>
      <c r="D122" s="32">
        <v>32.372999999999998</v>
      </c>
      <c r="E122" s="32">
        <v>36.356999999999999</v>
      </c>
      <c r="F122" s="32">
        <v>35.222999999999999</v>
      </c>
      <c r="G122" s="18">
        <v>16.25</v>
      </c>
      <c r="H122" s="18">
        <f t="shared" si="6"/>
        <v>33.227249999999998</v>
      </c>
      <c r="I122" s="5"/>
      <c r="J122" s="31">
        <v>1009.6621</v>
      </c>
      <c r="K122" s="32">
        <v>31.499400000000001</v>
      </c>
      <c r="L122" s="32">
        <v>36.7898</v>
      </c>
      <c r="M122" s="32">
        <v>35.591700000000003</v>
      </c>
      <c r="N122" s="18">
        <v>12.361700000000001</v>
      </c>
      <c r="O122" s="18">
        <f t="shared" si="7"/>
        <v>32.672237500000001</v>
      </c>
      <c r="P122" s="7"/>
      <c r="Q122" s="10"/>
      <c r="R122" s="11"/>
      <c r="S122" s="11"/>
      <c r="T122" s="26"/>
      <c r="U122" s="28">
        <f t="shared" si="8"/>
        <v>-0.23927999999999994</v>
      </c>
    </row>
    <row r="123" spans="2:21" x14ac:dyDescent="0.25">
      <c r="B123" s="9"/>
      <c r="C123" s="31">
        <v>855.96</v>
      </c>
      <c r="D123" s="32">
        <v>29.655000000000001</v>
      </c>
      <c r="E123" s="32">
        <v>34.947000000000003</v>
      </c>
      <c r="F123" s="32">
        <v>33.718000000000004</v>
      </c>
      <c r="G123" s="18">
        <v>18.66</v>
      </c>
      <c r="H123" s="18">
        <f t="shared" si="6"/>
        <v>30.824375000000003</v>
      </c>
      <c r="I123" s="5"/>
      <c r="J123" s="31">
        <v>606.32150000000001</v>
      </c>
      <c r="K123" s="32">
        <v>29.310500000000001</v>
      </c>
      <c r="L123" s="32">
        <v>35.563099999999999</v>
      </c>
      <c r="M123" s="32">
        <v>34.273899999999998</v>
      </c>
      <c r="N123" s="18">
        <v>14.9948</v>
      </c>
      <c r="O123" s="18">
        <f t="shared" si="7"/>
        <v>30.712499999999999</v>
      </c>
      <c r="P123" s="7"/>
      <c r="Q123" s="10"/>
      <c r="R123" s="11"/>
      <c r="S123" s="11"/>
      <c r="T123" s="26"/>
      <c r="U123" s="28">
        <f t="shared" si="8"/>
        <v>-0.19642015005359059</v>
      </c>
    </row>
    <row r="124" spans="2:21" ht="16.5" thickBot="1" x14ac:dyDescent="0.3">
      <c r="B124" s="12"/>
      <c r="C124" s="33">
        <v>398.36</v>
      </c>
      <c r="D124" s="34">
        <v>25.606000000000002</v>
      </c>
      <c r="E124" s="34">
        <v>32.972999999999999</v>
      </c>
      <c r="F124" s="34">
        <v>31.568999999999999</v>
      </c>
      <c r="G124" s="20">
        <v>23.42</v>
      </c>
      <c r="H124" s="20">
        <f t="shared" si="6"/>
        <v>27.272250000000003</v>
      </c>
      <c r="I124" s="5"/>
      <c r="J124" s="33">
        <v>303.65789999999998</v>
      </c>
      <c r="K124" s="34">
        <v>26.9268</v>
      </c>
      <c r="L124" s="34">
        <v>34.011699999999998</v>
      </c>
      <c r="M124" s="34">
        <v>32.607900000000001</v>
      </c>
      <c r="N124" s="20">
        <v>19.275700000000001</v>
      </c>
      <c r="O124" s="20">
        <f t="shared" si="7"/>
        <v>28.522549999999999</v>
      </c>
      <c r="P124" s="7"/>
      <c r="Q124" s="13"/>
      <c r="R124" s="14"/>
      <c r="S124" s="14"/>
      <c r="T124" s="27"/>
      <c r="U124" s="28">
        <f t="shared" si="8"/>
        <v>-0.17695559350982071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-0.33847732491382582</v>
      </c>
      <c r="R125" s="21">
        <f>AVERAGE(R9:R124)</f>
        <v>-0.56463173065391448</v>
      </c>
      <c r="S125" s="21">
        <f>AVERAGE(S9:S124)</f>
        <v>-0.56435722138801336</v>
      </c>
      <c r="T125" s="21">
        <f>AVERAGE(T9:T124)</f>
        <v>-0.38465670928385393</v>
      </c>
      <c r="U125" s="21">
        <f>AVERAGE(U9:U124)</f>
        <v>-0.1383700948328376</v>
      </c>
    </row>
    <row r="127" spans="2:21" s="35" customFormat="1" ht="15.75" customHeight="1" x14ac:dyDescent="0.25">
      <c r="B127" s="61" t="s">
        <v>29</v>
      </c>
      <c r="C127" s="63" t="s">
        <v>185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80</v>
      </c>
      <c r="D129" s="70"/>
      <c r="E129" s="70"/>
      <c r="F129" s="70"/>
      <c r="G129" s="70"/>
      <c r="H129" s="70"/>
      <c r="I129" s="5"/>
      <c r="J129" s="69" t="s">
        <v>186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5814.4</v>
      </c>
      <c r="D131" s="16">
        <v>37.981999999999999</v>
      </c>
      <c r="E131" s="16">
        <v>39.220999999999997</v>
      </c>
      <c r="F131" s="16">
        <v>41.649000000000001</v>
      </c>
      <c r="G131" s="16">
        <v>11.74</v>
      </c>
      <c r="H131" s="16">
        <f t="shared" ref="H131:H202" si="9">(6*D131+E131+F131)/8</f>
        <v>38.59525</v>
      </c>
      <c r="I131" s="5"/>
      <c r="J131" s="15">
        <v>4142.7695999999996</v>
      </c>
      <c r="K131" s="16">
        <v>38.5274</v>
      </c>
      <c r="L131" s="16">
        <v>40.211399999999998</v>
      </c>
      <c r="M131" s="16">
        <v>42.996000000000002</v>
      </c>
      <c r="N131" s="16">
        <v>11.446899999999999</v>
      </c>
      <c r="O131" s="16">
        <f t="shared" ref="O131:O202" si="10">(6*K131+L131+M131)/8</f>
        <v>39.296475000000001</v>
      </c>
      <c r="P131" s="7"/>
      <c r="Q131" s="8">
        <f>bdrate(C131:C134,D131:D134,J131:J134,K131:K134)</f>
        <v>-0.43477209648693238</v>
      </c>
      <c r="R131" s="8">
        <f>bdrate(C131:C134,E131:E134,J131:J134,L131:L134)</f>
        <v>-0.62334637817557192</v>
      </c>
      <c r="S131" s="8">
        <f>bdrate(C131:C134,F131:F134,J131:J134,M131:M134)</f>
        <v>-0.6172606241766776</v>
      </c>
      <c r="T131" s="25">
        <f>bdrate(C131:C134,H131:H134,J131:J134,O131:O134)</f>
        <v>-0.46542858644273155</v>
      </c>
      <c r="U131" s="28">
        <f t="shared" ref="U131:U194" si="11">(N131-G131)/G131</f>
        <v>-2.4965928449744532E-2</v>
      </c>
    </row>
    <row r="132" spans="1:21" x14ac:dyDescent="0.25">
      <c r="A132" s="9" t="s">
        <v>36</v>
      </c>
      <c r="B132" s="9"/>
      <c r="C132" s="17">
        <v>4291.3</v>
      </c>
      <c r="D132" s="18">
        <v>37.018000000000001</v>
      </c>
      <c r="E132" s="18">
        <v>38.741999999999997</v>
      </c>
      <c r="F132" s="18">
        <v>41.134999999999998</v>
      </c>
      <c r="G132" s="18">
        <v>12.96</v>
      </c>
      <c r="H132" s="18">
        <f t="shared" si="9"/>
        <v>37.748125000000002</v>
      </c>
      <c r="I132" s="5"/>
      <c r="J132" s="17">
        <v>3019.0816</v>
      </c>
      <c r="K132" s="18">
        <v>37.582900000000002</v>
      </c>
      <c r="L132" s="18">
        <v>39.7453</v>
      </c>
      <c r="M132" s="18">
        <v>42.348199999999999</v>
      </c>
      <c r="N132" s="18">
        <v>13.484400000000001</v>
      </c>
      <c r="O132" s="18">
        <f t="shared" si="10"/>
        <v>38.448862500000004</v>
      </c>
      <c r="P132" s="7"/>
      <c r="Q132" s="10"/>
      <c r="R132" s="11"/>
      <c r="S132" s="11"/>
      <c r="T132" s="26"/>
      <c r="U132" s="28">
        <f t="shared" si="11"/>
        <v>4.0462962962962958E-2</v>
      </c>
    </row>
    <row r="133" spans="1:21" x14ac:dyDescent="0.25">
      <c r="B133" s="9"/>
      <c r="C133" s="17">
        <v>2817.53</v>
      </c>
      <c r="D133" s="18">
        <v>35.475000000000001</v>
      </c>
      <c r="E133" s="18">
        <v>38.042000000000002</v>
      </c>
      <c r="F133" s="18">
        <v>40.386000000000003</v>
      </c>
      <c r="G133" s="18">
        <v>13.91</v>
      </c>
      <c r="H133" s="18">
        <f t="shared" si="9"/>
        <v>36.409750000000003</v>
      </c>
      <c r="I133" s="5"/>
      <c r="J133" s="17">
        <v>1979.9616000000001</v>
      </c>
      <c r="K133" s="18">
        <v>36.218800000000002</v>
      </c>
      <c r="L133" s="18">
        <v>39.0961</v>
      </c>
      <c r="M133" s="18">
        <v>41.536799999999999</v>
      </c>
      <c r="N133" s="18">
        <v>16.160299999999999</v>
      </c>
      <c r="O133" s="18">
        <f t="shared" si="10"/>
        <v>37.243212499999998</v>
      </c>
      <c r="P133" s="7"/>
      <c r="Q133" s="10"/>
      <c r="R133" s="11"/>
      <c r="S133" s="11"/>
      <c r="T133" s="26"/>
      <c r="U133" s="28">
        <f t="shared" si="11"/>
        <v>0.16177570093457938</v>
      </c>
    </row>
    <row r="134" spans="1:21" ht="16.5" thickBot="1" x14ac:dyDescent="0.3">
      <c r="B134" s="12"/>
      <c r="C134" s="19">
        <v>1397.86</v>
      </c>
      <c r="D134" s="20">
        <v>32.298000000000002</v>
      </c>
      <c r="E134" s="20">
        <v>36.923999999999999</v>
      </c>
      <c r="F134" s="20">
        <v>39.241999999999997</v>
      </c>
      <c r="G134" s="20">
        <v>14.7</v>
      </c>
      <c r="H134" s="20">
        <f t="shared" si="9"/>
        <v>33.744250000000001</v>
      </c>
      <c r="I134" s="5"/>
      <c r="J134" s="19">
        <v>918.49760000000003</v>
      </c>
      <c r="K134" s="20">
        <v>33.448799999999999</v>
      </c>
      <c r="L134" s="20">
        <v>37.738700000000001</v>
      </c>
      <c r="M134" s="20">
        <v>40.006999999999998</v>
      </c>
      <c r="N134" s="20">
        <v>21.3675</v>
      </c>
      <c r="O134" s="20">
        <f t="shared" si="10"/>
        <v>34.804812499999997</v>
      </c>
      <c r="P134" s="7"/>
      <c r="Q134" s="13"/>
      <c r="R134" s="14"/>
      <c r="S134" s="14"/>
      <c r="T134" s="27"/>
      <c r="U134" s="28">
        <f t="shared" si="11"/>
        <v>0.45357142857142863</v>
      </c>
    </row>
    <row r="135" spans="1:21" x14ac:dyDescent="0.25">
      <c r="B135" s="6" t="s">
        <v>47</v>
      </c>
      <c r="C135" s="15">
        <v>6839.46</v>
      </c>
      <c r="D135" s="16">
        <v>30.146999999999998</v>
      </c>
      <c r="E135" s="16">
        <v>39.950000000000003</v>
      </c>
      <c r="F135" s="16">
        <v>40.662999999999997</v>
      </c>
      <c r="G135" s="16">
        <v>9.14</v>
      </c>
      <c r="H135" s="16">
        <f t="shared" si="9"/>
        <v>32.686875000000001</v>
      </c>
      <c r="I135" s="5"/>
      <c r="J135" s="15">
        <v>4185.1440000000002</v>
      </c>
      <c r="K135" s="16">
        <v>29.918099999999999</v>
      </c>
      <c r="L135" s="16">
        <v>40.865099999999998</v>
      </c>
      <c r="M135" s="16">
        <v>41.673999999999999</v>
      </c>
      <c r="N135" s="16">
        <v>8.6936</v>
      </c>
      <c r="O135" s="16">
        <f t="shared" si="10"/>
        <v>32.755962499999995</v>
      </c>
      <c r="P135" s="7"/>
      <c r="Q135" s="8">
        <f>bdrate(C135:C138,D135:D138,J135:J138,K135:K138)</f>
        <v>-0.4067983809909681</v>
      </c>
      <c r="R135" s="8">
        <f>bdrate(C135:C138,E135:E138,J135:J138,L135:L138)</f>
        <v>-0.58251079504366332</v>
      </c>
      <c r="S135" s="8">
        <f>bdrate(C135:C138,F135:F138,J135:J138,M135:M138)</f>
        <v>-0.65059887184590393</v>
      </c>
      <c r="T135" s="25">
        <f>bdrate(C135:C138,H135:H138,J135:J138,O135:O138)</f>
        <v>-0.43887802322548519</v>
      </c>
      <c r="U135" s="28">
        <f t="shared" si="11"/>
        <v>-4.8840262582056954E-2</v>
      </c>
    </row>
    <row r="136" spans="1:21" x14ac:dyDescent="0.25">
      <c r="B136" s="9"/>
      <c r="C136" s="17">
        <v>5144.6400000000003</v>
      </c>
      <c r="D136" s="18">
        <v>28.654</v>
      </c>
      <c r="E136" s="18">
        <v>39.453000000000003</v>
      </c>
      <c r="F136" s="18">
        <v>40.198</v>
      </c>
      <c r="G136" s="18">
        <v>10.11</v>
      </c>
      <c r="H136" s="18">
        <f t="shared" si="9"/>
        <v>31.446875000000002</v>
      </c>
      <c r="I136" s="5"/>
      <c r="J136" s="17">
        <v>3086.8384000000001</v>
      </c>
      <c r="K136" s="18">
        <v>28.551300000000001</v>
      </c>
      <c r="L136" s="18">
        <v>40.342700000000001</v>
      </c>
      <c r="M136" s="18">
        <v>41.244399999999999</v>
      </c>
      <c r="N136" s="18">
        <v>9.9535999999999998</v>
      </c>
      <c r="O136" s="18">
        <f t="shared" si="10"/>
        <v>31.611862500000001</v>
      </c>
      <c r="P136" s="7"/>
      <c r="Q136" s="10"/>
      <c r="R136" s="11"/>
      <c r="S136" s="11"/>
      <c r="T136" s="26"/>
      <c r="U136" s="28">
        <f t="shared" si="11"/>
        <v>-1.5469831849653774E-2</v>
      </c>
    </row>
    <row r="137" spans="1:21" x14ac:dyDescent="0.25">
      <c r="B137" s="9"/>
      <c r="C137" s="17">
        <v>3429</v>
      </c>
      <c r="D137" s="18">
        <v>26.683</v>
      </c>
      <c r="E137" s="18">
        <v>38.826999999999998</v>
      </c>
      <c r="F137" s="18">
        <v>39.573999999999998</v>
      </c>
      <c r="G137" s="18">
        <v>11.15</v>
      </c>
      <c r="H137" s="18">
        <f t="shared" si="9"/>
        <v>29.812375000000003</v>
      </c>
      <c r="I137" s="5"/>
      <c r="J137" s="17">
        <v>2076.4144000000001</v>
      </c>
      <c r="K137" s="18">
        <v>26.8767</v>
      </c>
      <c r="L137" s="18">
        <v>39.5627</v>
      </c>
      <c r="M137" s="18">
        <v>40.6053</v>
      </c>
      <c r="N137" s="18">
        <v>11.4749</v>
      </c>
      <c r="O137" s="18">
        <f t="shared" si="10"/>
        <v>30.178525</v>
      </c>
      <c r="P137" s="7"/>
      <c r="Q137" s="10"/>
      <c r="R137" s="11"/>
      <c r="S137" s="11"/>
      <c r="T137" s="26"/>
      <c r="U137" s="28">
        <f t="shared" si="11"/>
        <v>2.9139013452914756E-2</v>
      </c>
    </row>
    <row r="138" spans="1:21" ht="16.5" thickBot="1" x14ac:dyDescent="0.3">
      <c r="B138" s="12"/>
      <c r="C138" s="19">
        <v>1654.94</v>
      </c>
      <c r="D138" s="20">
        <v>23.427</v>
      </c>
      <c r="E138" s="20">
        <v>37.423000000000002</v>
      </c>
      <c r="F138" s="20">
        <v>38.295999999999999</v>
      </c>
      <c r="G138" s="20">
        <v>12.42</v>
      </c>
      <c r="H138" s="20">
        <f t="shared" si="9"/>
        <v>27.035125000000001</v>
      </c>
      <c r="I138" s="5"/>
      <c r="J138" s="19">
        <v>1421.4480000000001</v>
      </c>
      <c r="K138" s="20">
        <v>25.660599999999999</v>
      </c>
      <c r="L138" s="20">
        <v>38.463999999999999</v>
      </c>
      <c r="M138" s="20">
        <v>39.5732</v>
      </c>
      <c r="N138" s="20">
        <v>12.5366</v>
      </c>
      <c r="O138" s="20">
        <f t="shared" si="10"/>
        <v>29.000099999999996</v>
      </c>
      <c r="P138" s="7"/>
      <c r="Q138" s="13"/>
      <c r="R138" s="14"/>
      <c r="S138" s="14"/>
      <c r="T138" s="27"/>
      <c r="U138" s="28">
        <f t="shared" si="11"/>
        <v>9.3880837359098263E-3</v>
      </c>
    </row>
    <row r="139" spans="1:21" x14ac:dyDescent="0.25">
      <c r="A139" s="6" t="s">
        <v>37</v>
      </c>
      <c r="B139" s="6" t="s">
        <v>48</v>
      </c>
      <c r="C139" s="15">
        <v>3037.23</v>
      </c>
      <c r="D139" s="16">
        <v>39.088000000000001</v>
      </c>
      <c r="E139" s="16">
        <v>41.853999999999999</v>
      </c>
      <c r="F139" s="16">
        <v>42.98</v>
      </c>
      <c r="G139" s="16">
        <v>18.649999999999999</v>
      </c>
      <c r="H139" s="16">
        <f t="shared" si="9"/>
        <v>39.920250000000003</v>
      </c>
      <c r="I139" s="5"/>
      <c r="J139" s="15">
        <v>2371.4720000000002</v>
      </c>
      <c r="K139" s="16">
        <v>39.395699999999998</v>
      </c>
      <c r="L139" s="16">
        <v>42.400300000000001</v>
      </c>
      <c r="M139" s="16">
        <v>44.1023</v>
      </c>
      <c r="N139" s="16">
        <v>19.648</v>
      </c>
      <c r="O139" s="16">
        <f t="shared" si="10"/>
        <v>40.3596</v>
      </c>
      <c r="P139" s="7"/>
      <c r="Q139" s="8">
        <f>bdrate(C139:C142,D139:D142,J139:J142,K139:K142)</f>
        <v>-0.37892360818123594</v>
      </c>
      <c r="R139" s="8">
        <f>bdrate(C139:C142,E139:E142,J139:J142,L139:L142)</f>
        <v>-0.53074518185282371</v>
      </c>
      <c r="S139" s="8">
        <f>bdrate(C139:C142,F139:F142,J139:J142,M139:M142)</f>
        <v>-0.60052423967644097</v>
      </c>
      <c r="T139" s="25">
        <f>bdrate(C139:C142,H139:H142,J139:J142,O139:O142)</f>
        <v>-0.40982788428074179</v>
      </c>
      <c r="U139" s="28">
        <f t="shared" si="11"/>
        <v>5.35120643431636E-2</v>
      </c>
    </row>
    <row r="140" spans="1:21" x14ac:dyDescent="0.25">
      <c r="A140" s="9" t="s">
        <v>38</v>
      </c>
      <c r="B140" s="9"/>
      <c r="C140" s="17">
        <v>1995.7</v>
      </c>
      <c r="D140" s="18">
        <v>37.64</v>
      </c>
      <c r="E140" s="18">
        <v>41.094999999999999</v>
      </c>
      <c r="F140" s="18">
        <v>42.12</v>
      </c>
      <c r="G140" s="18">
        <v>21.22</v>
      </c>
      <c r="H140" s="18">
        <f t="shared" si="9"/>
        <v>38.631875000000001</v>
      </c>
      <c r="I140" s="5"/>
      <c r="J140" s="17">
        <v>1562.7023999999999</v>
      </c>
      <c r="K140" s="18">
        <v>38.241700000000002</v>
      </c>
      <c r="L140" s="18">
        <v>41.840499999999999</v>
      </c>
      <c r="M140" s="18">
        <v>43.333500000000001</v>
      </c>
      <c r="N140" s="18">
        <v>24.2669</v>
      </c>
      <c r="O140" s="18">
        <f t="shared" si="10"/>
        <v>39.328025000000004</v>
      </c>
      <c r="P140" s="7"/>
      <c r="Q140" s="10"/>
      <c r="R140" s="11"/>
      <c r="S140" s="11"/>
      <c r="T140" s="26"/>
      <c r="U140" s="28">
        <f t="shared" si="11"/>
        <v>0.14358623939679552</v>
      </c>
    </row>
    <row r="141" spans="1:21" x14ac:dyDescent="0.25">
      <c r="B141" s="9"/>
      <c r="C141" s="17">
        <v>1233.77</v>
      </c>
      <c r="D141" s="18">
        <v>35.718000000000004</v>
      </c>
      <c r="E141" s="18">
        <v>40.301000000000002</v>
      </c>
      <c r="F141" s="18">
        <v>41.212000000000003</v>
      </c>
      <c r="G141" s="18">
        <v>23.85</v>
      </c>
      <c r="H141" s="18">
        <f t="shared" si="9"/>
        <v>36.977625000000003</v>
      </c>
      <c r="I141" s="5"/>
      <c r="J141" s="17">
        <v>963.56719999999996</v>
      </c>
      <c r="K141" s="18">
        <v>36.7104</v>
      </c>
      <c r="L141" s="18">
        <v>41.1432</v>
      </c>
      <c r="M141" s="18">
        <v>42.445300000000003</v>
      </c>
      <c r="N141" s="18">
        <v>29.817399999999999</v>
      </c>
      <c r="O141" s="18">
        <f t="shared" si="10"/>
        <v>37.981362500000003</v>
      </c>
      <c r="P141" s="7"/>
      <c r="Q141" s="10"/>
      <c r="R141" s="11"/>
      <c r="S141" s="11"/>
      <c r="T141" s="26"/>
      <c r="U141" s="28">
        <f t="shared" si="11"/>
        <v>0.2502054507337525</v>
      </c>
    </row>
    <row r="142" spans="1:21" ht="16.5" thickBot="1" x14ac:dyDescent="0.3">
      <c r="B142" s="12"/>
      <c r="C142" s="19">
        <v>736.2</v>
      </c>
      <c r="D142" s="20">
        <v>33.401000000000003</v>
      </c>
      <c r="E142" s="20">
        <v>39.384999999999998</v>
      </c>
      <c r="F142" s="20">
        <v>40.356000000000002</v>
      </c>
      <c r="G142" s="20">
        <v>26.66</v>
      </c>
      <c r="H142" s="20">
        <f t="shared" si="9"/>
        <v>35.018374999999999</v>
      </c>
      <c r="I142" s="5"/>
      <c r="J142" s="19">
        <v>565.38480000000004</v>
      </c>
      <c r="K142" s="20">
        <v>34.920299999999997</v>
      </c>
      <c r="L142" s="20">
        <v>40.427100000000003</v>
      </c>
      <c r="M142" s="20">
        <v>41.661499999999997</v>
      </c>
      <c r="N142" s="20">
        <v>36.199100000000001</v>
      </c>
      <c r="O142" s="20">
        <f t="shared" si="10"/>
        <v>36.451299999999996</v>
      </c>
      <c r="P142" s="7"/>
      <c r="Q142" s="13"/>
      <c r="R142" s="14"/>
      <c r="S142" s="14"/>
      <c r="T142" s="27"/>
      <c r="U142" s="28">
        <f t="shared" si="11"/>
        <v>0.35780570142535639</v>
      </c>
    </row>
    <row r="143" spans="1:21" x14ac:dyDescent="0.25">
      <c r="B143" s="6" t="s">
        <v>49</v>
      </c>
      <c r="C143" s="15">
        <v>3436.03</v>
      </c>
      <c r="D143" s="16">
        <v>36.549999999999997</v>
      </c>
      <c r="E143" s="16">
        <v>39.44</v>
      </c>
      <c r="F143" s="16">
        <v>40.624000000000002</v>
      </c>
      <c r="G143" s="16">
        <v>20.03</v>
      </c>
      <c r="H143" s="16">
        <f t="shared" si="9"/>
        <v>37.420500000000004</v>
      </c>
      <c r="I143" s="5"/>
      <c r="J143" s="15">
        <v>2555.096</v>
      </c>
      <c r="K143" s="16">
        <v>36.616799999999998</v>
      </c>
      <c r="L143" s="16">
        <v>40.853400000000001</v>
      </c>
      <c r="M143" s="16">
        <v>42.209699999999998</v>
      </c>
      <c r="N143" s="16">
        <v>19.278700000000001</v>
      </c>
      <c r="O143" s="16">
        <f t="shared" si="10"/>
        <v>37.845487499999997</v>
      </c>
      <c r="P143" s="7"/>
      <c r="Q143" s="8">
        <f>bdrate(C143:C146,D143:D146,J143:J146,K143:K146)</f>
        <v>-0.33090846480924818</v>
      </c>
      <c r="R143" s="8">
        <f>bdrate(C143:C146,E143:E146,J143:J146,L143:L146)</f>
        <v>-0.63899539347802947</v>
      </c>
      <c r="S143" s="8">
        <f>bdrate(C143:C146,F143:F146,J143:J146,M143:M146)</f>
        <v>-0.6347199453819613</v>
      </c>
      <c r="T143" s="25">
        <f>bdrate(C143:C146,H143:H146,J143:J146,O143:O146)</f>
        <v>-0.38911074460616546</v>
      </c>
      <c r="U143" s="28">
        <f t="shared" si="11"/>
        <v>-3.7508736894658036E-2</v>
      </c>
    </row>
    <row r="144" spans="1:21" x14ac:dyDescent="0.25">
      <c r="B144" s="9"/>
      <c r="C144" s="17">
        <v>2263.19</v>
      </c>
      <c r="D144" s="18">
        <v>35.164999999999999</v>
      </c>
      <c r="E144" s="18">
        <v>38.698</v>
      </c>
      <c r="F144" s="18">
        <v>39.985999999999997</v>
      </c>
      <c r="G144" s="18">
        <v>22.89</v>
      </c>
      <c r="H144" s="18">
        <f t="shared" si="9"/>
        <v>36.209250000000004</v>
      </c>
      <c r="I144" s="5"/>
      <c r="J144" s="17">
        <v>1661.6872000000001</v>
      </c>
      <c r="K144" s="18">
        <v>35.346699999999998</v>
      </c>
      <c r="L144" s="18">
        <v>40.002899999999997</v>
      </c>
      <c r="M144" s="18">
        <v>41.221899999999998</v>
      </c>
      <c r="N144" s="18">
        <v>23.032599999999999</v>
      </c>
      <c r="O144" s="18">
        <f t="shared" si="10"/>
        <v>36.663125000000001</v>
      </c>
      <c r="P144" s="7"/>
      <c r="Q144" s="10"/>
      <c r="R144" s="11"/>
      <c r="S144" s="11"/>
      <c r="T144" s="26"/>
      <c r="U144" s="28">
        <f t="shared" si="11"/>
        <v>6.2297946701615576E-3</v>
      </c>
    </row>
    <row r="145" spans="1:21" x14ac:dyDescent="0.25">
      <c r="B145" s="9"/>
      <c r="C145" s="17">
        <v>1408.27</v>
      </c>
      <c r="D145" s="18">
        <v>33.475000000000001</v>
      </c>
      <c r="E145" s="18">
        <v>37.924999999999997</v>
      </c>
      <c r="F145" s="18">
        <v>39.350999999999999</v>
      </c>
      <c r="G145" s="18">
        <v>25.14</v>
      </c>
      <c r="H145" s="18">
        <f t="shared" si="9"/>
        <v>34.765750000000004</v>
      </c>
      <c r="I145" s="5"/>
      <c r="J145" s="17">
        <v>1029.732</v>
      </c>
      <c r="K145" s="18">
        <v>33.864800000000002</v>
      </c>
      <c r="L145" s="18">
        <v>39.142400000000002</v>
      </c>
      <c r="M145" s="18">
        <v>40.370399999999997</v>
      </c>
      <c r="N145" s="18">
        <v>28.021000000000001</v>
      </c>
      <c r="O145" s="18">
        <f t="shared" si="10"/>
        <v>35.337700000000005</v>
      </c>
      <c r="P145" s="7"/>
      <c r="Q145" s="10"/>
      <c r="R145" s="11"/>
      <c r="S145" s="11"/>
      <c r="T145" s="26"/>
      <c r="U145" s="28">
        <f t="shared" si="11"/>
        <v>0.11459824980111377</v>
      </c>
    </row>
    <row r="146" spans="1:21" ht="16.5" thickBot="1" x14ac:dyDescent="0.3">
      <c r="B146" s="12"/>
      <c r="C146" s="19">
        <v>839.46</v>
      </c>
      <c r="D146" s="20">
        <v>31.591999999999999</v>
      </c>
      <c r="E146" s="20">
        <v>37.174999999999997</v>
      </c>
      <c r="F146" s="20">
        <v>38.746000000000002</v>
      </c>
      <c r="G146" s="20">
        <v>27.37</v>
      </c>
      <c r="H146" s="20">
        <f t="shared" si="9"/>
        <v>33.184124999999995</v>
      </c>
      <c r="I146" s="5"/>
      <c r="J146" s="19">
        <v>614.03279999999995</v>
      </c>
      <c r="K146" s="20">
        <v>32.272100000000002</v>
      </c>
      <c r="L146" s="20">
        <v>38.133600000000001</v>
      </c>
      <c r="M146" s="20">
        <v>39.470799999999997</v>
      </c>
      <c r="N146" s="20">
        <v>33.960700000000003</v>
      </c>
      <c r="O146" s="20">
        <f t="shared" si="10"/>
        <v>33.904625000000003</v>
      </c>
      <c r="P146" s="7"/>
      <c r="Q146" s="13"/>
      <c r="R146" s="14"/>
      <c r="S146" s="14"/>
      <c r="T146" s="27"/>
      <c r="U146" s="28">
        <f t="shared" si="11"/>
        <v>0.24080014614541476</v>
      </c>
    </row>
    <row r="147" spans="1:21" x14ac:dyDescent="0.25">
      <c r="B147" s="6" t="s">
        <v>50</v>
      </c>
      <c r="C147" s="15">
        <v>3527.68</v>
      </c>
      <c r="D147" s="16">
        <v>34.64</v>
      </c>
      <c r="E147" s="16">
        <v>38.149000000000001</v>
      </c>
      <c r="F147" s="16">
        <v>39.862000000000002</v>
      </c>
      <c r="G147" s="16">
        <v>24.62</v>
      </c>
      <c r="H147" s="16">
        <f t="shared" si="9"/>
        <v>35.731375</v>
      </c>
      <c r="I147" s="5"/>
      <c r="J147" s="15">
        <v>2413.2248</v>
      </c>
      <c r="K147" s="16">
        <v>34.878799999999998</v>
      </c>
      <c r="L147" s="16">
        <v>38.622900000000001</v>
      </c>
      <c r="M147" s="16">
        <v>41.2151</v>
      </c>
      <c r="N147" s="16">
        <v>27.7254</v>
      </c>
      <c r="O147" s="16">
        <f t="shared" si="10"/>
        <v>36.138849999999998</v>
      </c>
      <c r="P147" s="7"/>
      <c r="Q147" s="8">
        <f>bdrate(C147:C150,D147:D150,J147:J150,K147:K150)</f>
        <v>-0.43884141880412986</v>
      </c>
      <c r="R147" s="8">
        <f>bdrate(C147:C150,E147:E150,J147:J150,L147:L150)</f>
        <v>-0.64720354175457617</v>
      </c>
      <c r="S147" s="8">
        <f>bdrate(C147:C150,F147:F150,J147:J150,M147:M150)</f>
        <v>-0.66622354347668478</v>
      </c>
      <c r="T147" s="25">
        <f>bdrate(C147:C150,H147:H150,J147:J150,O147:O150)</f>
        <v>-0.47636208823084947</v>
      </c>
      <c r="U147" s="28">
        <f t="shared" si="11"/>
        <v>0.12613322502030866</v>
      </c>
    </row>
    <row r="148" spans="1:21" x14ac:dyDescent="0.25">
      <c r="B148" s="9"/>
      <c r="C148" s="17">
        <v>2352.4699999999998</v>
      </c>
      <c r="D148" s="18">
        <v>33.226999999999997</v>
      </c>
      <c r="E148" s="18">
        <v>37.581000000000003</v>
      </c>
      <c r="F148" s="18">
        <v>38.969000000000001</v>
      </c>
      <c r="G148" s="18">
        <v>27.35</v>
      </c>
      <c r="H148" s="18">
        <f t="shared" si="9"/>
        <v>34.488999999999997</v>
      </c>
      <c r="I148" s="5"/>
      <c r="J148" s="17">
        <v>1604.2575999999999</v>
      </c>
      <c r="K148" s="18">
        <v>33.732100000000003</v>
      </c>
      <c r="L148" s="18">
        <v>38.262</v>
      </c>
      <c r="M148" s="18">
        <v>40.392400000000002</v>
      </c>
      <c r="N148" s="18">
        <v>33.389000000000003</v>
      </c>
      <c r="O148" s="18">
        <f t="shared" si="10"/>
        <v>35.130875000000003</v>
      </c>
      <c r="P148" s="7"/>
      <c r="Q148" s="10"/>
      <c r="R148" s="11"/>
      <c r="S148" s="11"/>
      <c r="T148" s="26"/>
      <c r="U148" s="28">
        <f t="shared" si="11"/>
        <v>0.2208043875685558</v>
      </c>
    </row>
    <row r="149" spans="1:21" x14ac:dyDescent="0.25">
      <c r="B149" s="9"/>
      <c r="C149" s="17">
        <v>1463.87</v>
      </c>
      <c r="D149" s="18">
        <v>31.395</v>
      </c>
      <c r="E149" s="18">
        <v>36.923000000000002</v>
      </c>
      <c r="F149" s="18">
        <v>37.832999999999998</v>
      </c>
      <c r="G149" s="18">
        <v>29.76</v>
      </c>
      <c r="H149" s="18">
        <f t="shared" si="9"/>
        <v>32.890749999999997</v>
      </c>
      <c r="I149" s="5"/>
      <c r="J149" s="17">
        <v>999.93359999999996</v>
      </c>
      <c r="K149" s="18">
        <v>32.226100000000002</v>
      </c>
      <c r="L149" s="18">
        <v>37.8277</v>
      </c>
      <c r="M149" s="18">
        <v>39.469799999999999</v>
      </c>
      <c r="N149" s="18">
        <v>40.316099999999999</v>
      </c>
      <c r="O149" s="18">
        <f t="shared" si="10"/>
        <v>33.831762500000004</v>
      </c>
      <c r="P149" s="7"/>
      <c r="Q149" s="10"/>
      <c r="R149" s="11"/>
      <c r="S149" s="11"/>
      <c r="T149" s="26"/>
      <c r="U149" s="28">
        <f t="shared" si="11"/>
        <v>0.35470766129032244</v>
      </c>
    </row>
    <row r="150" spans="1:21" ht="16.5" thickBot="1" x14ac:dyDescent="0.3">
      <c r="B150" s="12"/>
      <c r="C150" s="19">
        <v>882.69</v>
      </c>
      <c r="D150" s="20">
        <v>29.251000000000001</v>
      </c>
      <c r="E150" s="20">
        <v>36.220999999999997</v>
      </c>
      <c r="F150" s="20">
        <v>36.76</v>
      </c>
      <c r="G150" s="20">
        <v>30.44</v>
      </c>
      <c r="H150" s="20">
        <f t="shared" si="9"/>
        <v>31.060874999999999</v>
      </c>
      <c r="I150" s="5"/>
      <c r="J150" s="19">
        <v>589.70640000000003</v>
      </c>
      <c r="K150" s="20">
        <v>30.4739</v>
      </c>
      <c r="L150" s="20">
        <v>37.147399999999998</v>
      </c>
      <c r="M150" s="20">
        <v>38.385399999999997</v>
      </c>
      <c r="N150" s="20">
        <v>49.005200000000002</v>
      </c>
      <c r="O150" s="20">
        <f t="shared" si="10"/>
        <v>32.297024999999998</v>
      </c>
      <c r="P150" s="7"/>
      <c r="Q150" s="13"/>
      <c r="R150" s="14"/>
      <c r="S150" s="14"/>
      <c r="T150" s="27"/>
      <c r="U150" s="28">
        <f t="shared" si="11"/>
        <v>0.60989487516425755</v>
      </c>
    </row>
    <row r="151" spans="1:21" x14ac:dyDescent="0.25">
      <c r="B151" s="6" t="s">
        <v>51</v>
      </c>
      <c r="C151" s="29">
        <v>3575.71</v>
      </c>
      <c r="D151" s="30">
        <v>34.281999999999996</v>
      </c>
      <c r="E151" s="30">
        <v>39.92</v>
      </c>
      <c r="F151" s="30">
        <v>39.619999999999997</v>
      </c>
      <c r="G151" s="16">
        <v>21.67</v>
      </c>
      <c r="H151" s="16">
        <f t="shared" si="9"/>
        <v>35.653999999999996</v>
      </c>
      <c r="I151" s="5"/>
      <c r="J151" s="29">
        <v>2453.5408000000002</v>
      </c>
      <c r="K151" s="30">
        <v>34.621699999999997</v>
      </c>
      <c r="L151" s="30">
        <v>41.1858</v>
      </c>
      <c r="M151" s="30">
        <v>40.920699999999997</v>
      </c>
      <c r="N151" s="16">
        <v>23.293700000000001</v>
      </c>
      <c r="O151" s="16">
        <f t="shared" si="10"/>
        <v>36.229587499999994</v>
      </c>
      <c r="P151" s="7"/>
      <c r="Q151" s="8">
        <f>bdrate(C151:C154,D151:D154,J151:J154,K151:K154)</f>
        <v>-0.46423613988949342</v>
      </c>
      <c r="R151" s="8">
        <f>bdrate(C151:C154,E151:E154,J151:J154,L151:L154)</f>
        <v>-0.70092413950686661</v>
      </c>
      <c r="S151" s="8">
        <f>bdrate(C151:C154,F151:F154,J151:J154,M151:M154)</f>
        <v>-0.63488116469537026</v>
      </c>
      <c r="T151" s="25">
        <f>bdrate(C151:C154,H151:H154,J151:J154,O151:O154)</f>
        <v>-0.50309610434645813</v>
      </c>
      <c r="U151" s="28">
        <f t="shared" si="11"/>
        <v>7.4928472542685712E-2</v>
      </c>
    </row>
    <row r="152" spans="1:21" x14ac:dyDescent="0.25">
      <c r="B152" s="9"/>
      <c r="C152" s="31">
        <v>2378.0500000000002</v>
      </c>
      <c r="D152" s="32">
        <v>32.619999999999997</v>
      </c>
      <c r="E152" s="32">
        <v>39.075000000000003</v>
      </c>
      <c r="F152" s="32">
        <v>38.512999999999998</v>
      </c>
      <c r="G152" s="18">
        <v>25.04</v>
      </c>
      <c r="H152" s="18">
        <f t="shared" si="9"/>
        <v>34.163499999999992</v>
      </c>
      <c r="I152" s="5"/>
      <c r="J152" s="31">
        <v>1624.6936000000001</v>
      </c>
      <c r="K152" s="32">
        <v>33.292299999999997</v>
      </c>
      <c r="L152" s="32">
        <v>40.527299999999997</v>
      </c>
      <c r="M152" s="32">
        <v>40.017800000000001</v>
      </c>
      <c r="N152" s="18">
        <v>26.680900000000001</v>
      </c>
      <c r="O152" s="18">
        <f t="shared" si="10"/>
        <v>35.0373625</v>
      </c>
      <c r="P152" s="7"/>
      <c r="Q152" s="10"/>
      <c r="R152" s="11"/>
      <c r="S152" s="11"/>
      <c r="T152" s="26"/>
      <c r="U152" s="28">
        <f t="shared" si="11"/>
        <v>6.5531150159744492E-2</v>
      </c>
    </row>
    <row r="153" spans="1:21" x14ac:dyDescent="0.25">
      <c r="B153" s="9"/>
      <c r="C153" s="31">
        <v>1473.32</v>
      </c>
      <c r="D153" s="32">
        <v>30.318999999999999</v>
      </c>
      <c r="E153" s="32">
        <v>38.033999999999999</v>
      </c>
      <c r="F153" s="32">
        <v>37.125999999999998</v>
      </c>
      <c r="G153" s="18">
        <v>27.61</v>
      </c>
      <c r="H153" s="18">
        <f t="shared" si="9"/>
        <v>32.134249999999994</v>
      </c>
      <c r="I153" s="5"/>
      <c r="J153" s="31">
        <v>1011.5064</v>
      </c>
      <c r="K153" s="32">
        <v>31.653600000000001</v>
      </c>
      <c r="L153" s="32">
        <v>39.775100000000002</v>
      </c>
      <c r="M153" s="32">
        <v>38.936500000000002</v>
      </c>
      <c r="N153" s="18">
        <v>32.082099999999997</v>
      </c>
      <c r="O153" s="18">
        <f t="shared" si="10"/>
        <v>33.579150000000006</v>
      </c>
      <c r="P153" s="7"/>
      <c r="Q153" s="10"/>
      <c r="R153" s="11"/>
      <c r="S153" s="11"/>
      <c r="T153" s="26"/>
      <c r="U153" s="28">
        <f t="shared" si="11"/>
        <v>0.16197392249185069</v>
      </c>
    </row>
    <row r="154" spans="1:21" ht="16.5" thickBot="1" x14ac:dyDescent="0.3">
      <c r="B154" s="12"/>
      <c r="C154" s="33">
        <v>882.97</v>
      </c>
      <c r="D154" s="34">
        <v>27.428000000000001</v>
      </c>
      <c r="E154" s="34">
        <v>36.886000000000003</v>
      </c>
      <c r="F154" s="34">
        <v>35.284999999999997</v>
      </c>
      <c r="G154" s="20">
        <v>28.31</v>
      </c>
      <c r="H154" s="20">
        <f t="shared" si="9"/>
        <v>29.592375000000001</v>
      </c>
      <c r="I154" s="5"/>
      <c r="J154" s="33">
        <v>607.57280000000003</v>
      </c>
      <c r="K154" s="34">
        <v>29.840399999999999</v>
      </c>
      <c r="L154" s="34">
        <v>38.741300000000003</v>
      </c>
      <c r="M154" s="34">
        <v>37.501300000000001</v>
      </c>
      <c r="N154" s="20">
        <v>40.163899999999998</v>
      </c>
      <c r="O154" s="20">
        <f t="shared" si="10"/>
        <v>31.910624999999996</v>
      </c>
      <c r="P154" s="7"/>
      <c r="Q154" s="13"/>
      <c r="R154" s="14"/>
      <c r="S154" s="14"/>
      <c r="T154" s="27"/>
      <c r="U154" s="28">
        <f t="shared" si="11"/>
        <v>0.41871776757329565</v>
      </c>
    </row>
    <row r="155" spans="1:21" x14ac:dyDescent="0.25">
      <c r="B155" s="6" t="s">
        <v>52</v>
      </c>
      <c r="C155" s="15">
        <v>3604.69</v>
      </c>
      <c r="D155" s="16">
        <v>33.375999999999998</v>
      </c>
      <c r="E155" s="16">
        <v>39.079000000000001</v>
      </c>
      <c r="F155" s="16">
        <v>41.796999999999997</v>
      </c>
      <c r="G155" s="16">
        <v>26.78</v>
      </c>
      <c r="H155" s="16">
        <f t="shared" si="9"/>
        <v>35.141499999999994</v>
      </c>
      <c r="I155" s="5"/>
      <c r="J155" s="15">
        <v>2417.2912000000001</v>
      </c>
      <c r="K155" s="16">
        <v>33.995899999999999</v>
      </c>
      <c r="L155" s="16">
        <v>40.386200000000002</v>
      </c>
      <c r="M155" s="16">
        <v>42.818800000000003</v>
      </c>
      <c r="N155" s="16">
        <v>25.220700000000001</v>
      </c>
      <c r="O155" s="16">
        <f t="shared" si="10"/>
        <v>35.897549999999995</v>
      </c>
      <c r="P155" s="7"/>
      <c r="Q155" s="8">
        <f>bdrate(C155:C158,D155:D158,J155:J158,K155:K158)</f>
        <v>-0.57074230523709757</v>
      </c>
      <c r="R155" s="8">
        <f>bdrate(C155:C158,E155:E158,J155:J158,L155:L158)</f>
        <v>-0.76295237140122418</v>
      </c>
      <c r="S155" s="8">
        <f>bdrate(C155:C158,F155:F158,J155:J158,M155:M158)</f>
        <v>-0.74187129912589722</v>
      </c>
      <c r="T155" s="25">
        <f>bdrate(C155:C158,H155:H158,J155:J158,O155:O158)</f>
        <v>-0.59984399414117706</v>
      </c>
      <c r="U155" s="28">
        <f t="shared" si="11"/>
        <v>-5.8226288274831978E-2</v>
      </c>
    </row>
    <row r="156" spans="1:21" x14ac:dyDescent="0.25">
      <c r="B156" s="9"/>
      <c r="C156" s="17">
        <v>2376.98</v>
      </c>
      <c r="D156" s="18">
        <v>32.459000000000003</v>
      </c>
      <c r="E156" s="18">
        <v>38.597999999999999</v>
      </c>
      <c r="F156" s="18">
        <v>41.276000000000003</v>
      </c>
      <c r="G156" s="18">
        <v>29.25</v>
      </c>
      <c r="H156" s="18">
        <f t="shared" si="9"/>
        <v>34.328500000000005</v>
      </c>
      <c r="I156" s="5"/>
      <c r="J156" s="17">
        <v>1581.3792000000001</v>
      </c>
      <c r="K156" s="18">
        <v>33.327199999999998</v>
      </c>
      <c r="L156" s="18">
        <v>39.917000000000002</v>
      </c>
      <c r="M156" s="18">
        <v>42.403399999999998</v>
      </c>
      <c r="N156" s="18">
        <v>29.259699999999999</v>
      </c>
      <c r="O156" s="18">
        <f t="shared" si="10"/>
        <v>35.285449999999997</v>
      </c>
      <c r="P156" s="7"/>
      <c r="Q156" s="10"/>
      <c r="R156" s="11"/>
      <c r="S156" s="11"/>
      <c r="T156" s="26"/>
      <c r="U156" s="28">
        <f t="shared" si="11"/>
        <v>3.3162393162388748E-4</v>
      </c>
    </row>
    <row r="157" spans="1:21" x14ac:dyDescent="0.25">
      <c r="B157" s="9"/>
      <c r="C157" s="17">
        <v>1466.57</v>
      </c>
      <c r="D157" s="18">
        <v>31.047000000000001</v>
      </c>
      <c r="E157" s="18">
        <v>38.087000000000003</v>
      </c>
      <c r="F157" s="18">
        <v>40.877000000000002</v>
      </c>
      <c r="G157" s="18">
        <v>30.67</v>
      </c>
      <c r="H157" s="18">
        <f t="shared" si="9"/>
        <v>33.155750000000005</v>
      </c>
      <c r="I157" s="5"/>
      <c r="J157" s="17">
        <v>988.18079999999998</v>
      </c>
      <c r="K157" s="18">
        <v>32.352400000000003</v>
      </c>
      <c r="L157" s="18">
        <v>39.246899999999997</v>
      </c>
      <c r="M157" s="18">
        <v>41.783700000000003</v>
      </c>
      <c r="N157" s="18">
        <v>36.663600000000002</v>
      </c>
      <c r="O157" s="18">
        <f t="shared" si="10"/>
        <v>34.393125000000005</v>
      </c>
      <c r="P157" s="7"/>
      <c r="Q157" s="10"/>
      <c r="R157" s="11"/>
      <c r="S157" s="11"/>
      <c r="T157" s="26"/>
      <c r="U157" s="28">
        <f t="shared" si="11"/>
        <v>0.19542223671340073</v>
      </c>
    </row>
    <row r="158" spans="1:21" ht="16.5" thickBot="1" x14ac:dyDescent="0.3">
      <c r="B158" s="12"/>
      <c r="C158" s="19">
        <v>862.06</v>
      </c>
      <c r="D158" s="20">
        <v>29.076000000000001</v>
      </c>
      <c r="E158" s="20">
        <v>37.462000000000003</v>
      </c>
      <c r="F158" s="20">
        <v>39.981000000000002</v>
      </c>
      <c r="G158" s="20">
        <v>31.42</v>
      </c>
      <c r="H158" s="20">
        <f t="shared" si="9"/>
        <v>31.487375</v>
      </c>
      <c r="I158" s="5"/>
      <c r="J158" s="19">
        <v>582.39279999999997</v>
      </c>
      <c r="K158" s="20">
        <v>30.9251</v>
      </c>
      <c r="L158" s="20">
        <v>38.648800000000001</v>
      </c>
      <c r="M158" s="20">
        <v>41.290300000000002</v>
      </c>
      <c r="N158" s="20">
        <v>45.731699999999996</v>
      </c>
      <c r="O158" s="20">
        <f t="shared" si="10"/>
        <v>33.186212499999996</v>
      </c>
      <c r="P158" s="7"/>
      <c r="Q158" s="13"/>
      <c r="R158" s="14"/>
      <c r="S158" s="14"/>
      <c r="T158" s="27"/>
      <c r="U158" s="28">
        <f t="shared" si="11"/>
        <v>0.45549649904519396</v>
      </c>
    </row>
    <row r="159" spans="1:21" x14ac:dyDescent="0.25">
      <c r="A159" s="6" t="s">
        <v>39</v>
      </c>
      <c r="B159" s="6" t="s">
        <v>53</v>
      </c>
      <c r="C159" s="15">
        <v>1546.65</v>
      </c>
      <c r="D159" s="16">
        <v>35.35</v>
      </c>
      <c r="E159" s="16">
        <v>38.74</v>
      </c>
      <c r="F159" s="16">
        <v>38.683999999999997</v>
      </c>
      <c r="G159" s="16">
        <v>103.03</v>
      </c>
      <c r="H159" s="16">
        <f t="shared" si="9"/>
        <v>36.1905</v>
      </c>
      <c r="I159" s="5"/>
      <c r="J159" s="15">
        <v>1208.1912</v>
      </c>
      <c r="K159" s="16">
        <v>36.624899999999997</v>
      </c>
      <c r="L159" s="16">
        <v>40.985700000000001</v>
      </c>
      <c r="M159" s="16">
        <v>40.972999999999999</v>
      </c>
      <c r="N159" s="16">
        <v>76.312600000000003</v>
      </c>
      <c r="O159" s="16">
        <f t="shared" si="10"/>
        <v>37.7135125</v>
      </c>
      <c r="P159" s="7"/>
      <c r="Q159" s="8">
        <f>bdrate(C159:C162,D159:D162,J159:J162,K159:K162)</f>
        <v>-0.40237673433602938</v>
      </c>
      <c r="R159" s="8">
        <f>bdrate(C159:C162,E159:E162,J159:J162,L159:L162)</f>
        <v>-0.64199564591965363</v>
      </c>
      <c r="S159" s="8">
        <f>bdrate(C159:C162,F159:F162,J159:J162,M159:M162)</f>
        <v>-0.60930777123803448</v>
      </c>
      <c r="T159" s="25">
        <f>bdrate(C159:C162,H159:H162,J159:J162,O159:O162)</f>
        <v>-0.45378163822221418</v>
      </c>
      <c r="U159" s="28">
        <f t="shared" si="11"/>
        <v>-0.25931670387265843</v>
      </c>
    </row>
    <row r="160" spans="1:21" x14ac:dyDescent="0.25">
      <c r="A160" s="9" t="s">
        <v>40</v>
      </c>
      <c r="B160" s="9"/>
      <c r="C160" s="17">
        <v>1046.5999999999999</v>
      </c>
      <c r="D160" s="18">
        <v>33.822000000000003</v>
      </c>
      <c r="E160" s="18">
        <v>37.537999999999997</v>
      </c>
      <c r="F160" s="18">
        <v>37.378</v>
      </c>
      <c r="G160" s="18">
        <v>117.81</v>
      </c>
      <c r="H160" s="18">
        <f t="shared" si="9"/>
        <v>34.731000000000002</v>
      </c>
      <c r="I160" s="5"/>
      <c r="J160" s="17">
        <v>802.49599999999998</v>
      </c>
      <c r="K160" s="18">
        <v>34.831499999999998</v>
      </c>
      <c r="L160" s="18">
        <v>39.692500000000003</v>
      </c>
      <c r="M160" s="18">
        <v>39.470799999999997</v>
      </c>
      <c r="N160" s="18">
        <v>89.031300000000002</v>
      </c>
      <c r="O160" s="18">
        <f t="shared" si="10"/>
        <v>36.019037499999996</v>
      </c>
      <c r="P160" s="7"/>
      <c r="Q160" s="10"/>
      <c r="R160" s="11"/>
      <c r="S160" s="11"/>
      <c r="T160" s="26"/>
      <c r="U160" s="28">
        <f t="shared" si="11"/>
        <v>-0.24428062133944486</v>
      </c>
    </row>
    <row r="161" spans="1:21" x14ac:dyDescent="0.25">
      <c r="B161" s="9"/>
      <c r="C161" s="17">
        <v>645.12</v>
      </c>
      <c r="D161" s="18">
        <v>31.861999999999998</v>
      </c>
      <c r="E161" s="18">
        <v>36.212000000000003</v>
      </c>
      <c r="F161" s="18">
        <v>35.890999999999998</v>
      </c>
      <c r="G161" s="18">
        <v>134.66</v>
      </c>
      <c r="H161" s="18">
        <f t="shared" si="9"/>
        <v>32.909375000000004</v>
      </c>
      <c r="I161" s="5"/>
      <c r="J161" s="17">
        <v>500.29919999999998</v>
      </c>
      <c r="K161" s="18">
        <v>32.882800000000003</v>
      </c>
      <c r="L161" s="18">
        <v>38.351399999999998</v>
      </c>
      <c r="M161" s="18">
        <v>38.028300000000002</v>
      </c>
      <c r="N161" s="18">
        <v>103.3912</v>
      </c>
      <c r="O161" s="18">
        <f t="shared" si="10"/>
        <v>34.209562500000004</v>
      </c>
      <c r="P161" s="7"/>
      <c r="Q161" s="10"/>
      <c r="R161" s="11"/>
      <c r="S161" s="11"/>
      <c r="T161" s="26"/>
      <c r="U161" s="28">
        <f t="shared" si="11"/>
        <v>-0.2322055547304322</v>
      </c>
    </row>
    <row r="162" spans="1:21" ht="16.5" thickBot="1" x14ac:dyDescent="0.3">
      <c r="B162" s="12"/>
      <c r="C162" s="19">
        <v>395.82</v>
      </c>
      <c r="D162" s="20">
        <v>29.736000000000001</v>
      </c>
      <c r="E162" s="20">
        <v>35.024000000000001</v>
      </c>
      <c r="F162" s="20">
        <v>34.515000000000001</v>
      </c>
      <c r="G162" s="20">
        <v>157.13</v>
      </c>
      <c r="H162" s="20">
        <f t="shared" si="9"/>
        <v>30.994374999999998</v>
      </c>
      <c r="I162" s="5"/>
      <c r="J162" s="19">
        <v>299.14640000000003</v>
      </c>
      <c r="K162" s="20">
        <v>30.900200000000002</v>
      </c>
      <c r="L162" s="20">
        <v>36.992899999999999</v>
      </c>
      <c r="M162" s="20">
        <v>36.4191</v>
      </c>
      <c r="N162" s="20">
        <v>125.2191</v>
      </c>
      <c r="O162" s="20">
        <f t="shared" si="10"/>
        <v>32.351649999999999</v>
      </c>
      <c r="P162" s="7"/>
      <c r="Q162" s="13"/>
      <c r="R162" s="14"/>
      <c r="S162" s="14"/>
      <c r="T162" s="27"/>
      <c r="U162" s="28">
        <f t="shared" si="11"/>
        <v>-0.20308597976198051</v>
      </c>
    </row>
    <row r="163" spans="1:21" x14ac:dyDescent="0.25">
      <c r="B163" s="6" t="s">
        <v>54</v>
      </c>
      <c r="C163" s="15">
        <v>1560.66</v>
      </c>
      <c r="D163" s="16">
        <v>35.69</v>
      </c>
      <c r="E163" s="16">
        <v>40.106999999999999</v>
      </c>
      <c r="F163" s="16">
        <v>40.924999999999997</v>
      </c>
      <c r="G163" s="16">
        <v>116.19</v>
      </c>
      <c r="H163" s="16">
        <f t="shared" si="9"/>
        <v>36.896499999999996</v>
      </c>
      <c r="I163" s="5"/>
      <c r="J163" s="15">
        <v>1209.992</v>
      </c>
      <c r="K163" s="16">
        <v>36.023499999999999</v>
      </c>
      <c r="L163" s="16">
        <v>41.632800000000003</v>
      </c>
      <c r="M163" s="16">
        <v>42.619100000000003</v>
      </c>
      <c r="N163" s="16">
        <v>83.426000000000002</v>
      </c>
      <c r="O163" s="16">
        <f t="shared" si="10"/>
        <v>37.5491125</v>
      </c>
      <c r="P163" s="7"/>
      <c r="Q163" s="8">
        <f>bdrate(C163:C166,D163:D166,J163:J166,K163:K166)</f>
        <v>-0.35781239692324263</v>
      </c>
      <c r="R163" s="8">
        <f>bdrate(C163:C166,E163:E166,J163:J166,L163:L166)</f>
        <v>-0.60512897918636366</v>
      </c>
      <c r="S163" s="8">
        <f>bdrate(C163:C166,F163:F166,J163:J166,M163:M166)</f>
        <v>-0.59878526485235239</v>
      </c>
      <c r="T163" s="25">
        <f>bdrate(C163:C166,H163:H166,J163:J166,O163:O166)</f>
        <v>-0.40430366895653747</v>
      </c>
      <c r="U163" s="28">
        <f t="shared" si="11"/>
        <v>-0.28198640158361304</v>
      </c>
    </row>
    <row r="164" spans="1:21" x14ac:dyDescent="0.25">
      <c r="B164" s="9"/>
      <c r="C164" s="17">
        <v>1057.33</v>
      </c>
      <c r="D164" s="18">
        <v>33.972000000000001</v>
      </c>
      <c r="E164" s="18">
        <v>39.234000000000002</v>
      </c>
      <c r="F164" s="18">
        <v>39.94</v>
      </c>
      <c r="G164" s="18">
        <v>128.21</v>
      </c>
      <c r="H164" s="18">
        <f t="shared" si="9"/>
        <v>35.375749999999996</v>
      </c>
      <c r="I164" s="5"/>
      <c r="J164" s="17">
        <v>806.10559999999998</v>
      </c>
      <c r="K164" s="18">
        <v>34.513399999999997</v>
      </c>
      <c r="L164" s="18">
        <v>40.753900000000002</v>
      </c>
      <c r="M164" s="18">
        <v>41.5946</v>
      </c>
      <c r="N164" s="18">
        <v>97.040300000000002</v>
      </c>
      <c r="O164" s="18">
        <f t="shared" si="10"/>
        <v>36.1786125</v>
      </c>
      <c r="P164" s="7"/>
      <c r="Q164" s="10"/>
      <c r="R164" s="11"/>
      <c r="S164" s="11"/>
      <c r="T164" s="26"/>
      <c r="U164" s="28">
        <f t="shared" si="11"/>
        <v>-0.24311442165197725</v>
      </c>
    </row>
    <row r="165" spans="1:21" x14ac:dyDescent="0.25">
      <c r="B165" s="9"/>
      <c r="C165" s="17">
        <v>654.32000000000005</v>
      </c>
      <c r="D165" s="18">
        <v>31.731999999999999</v>
      </c>
      <c r="E165" s="18">
        <v>38.225999999999999</v>
      </c>
      <c r="F165" s="18">
        <v>38.857999999999997</v>
      </c>
      <c r="G165" s="18">
        <v>139.34</v>
      </c>
      <c r="H165" s="18">
        <f t="shared" si="9"/>
        <v>33.4345</v>
      </c>
      <c r="I165" s="5"/>
      <c r="J165" s="17">
        <v>505.16559999999998</v>
      </c>
      <c r="K165" s="18">
        <v>32.689399999999999</v>
      </c>
      <c r="L165" s="18">
        <v>39.655099999999997</v>
      </c>
      <c r="M165" s="18">
        <v>40.380800000000001</v>
      </c>
      <c r="N165" s="18">
        <v>115.14100000000001</v>
      </c>
      <c r="O165" s="18">
        <f t="shared" si="10"/>
        <v>34.521537500000001</v>
      </c>
      <c r="P165" s="7"/>
      <c r="Q165" s="10"/>
      <c r="R165" s="11"/>
      <c r="S165" s="11"/>
      <c r="T165" s="26"/>
      <c r="U165" s="28">
        <f t="shared" si="11"/>
        <v>-0.17366872398449834</v>
      </c>
    </row>
    <row r="166" spans="1:21" ht="16.5" thickBot="1" x14ac:dyDescent="0.3">
      <c r="B166" s="12"/>
      <c r="C166" s="19">
        <v>404.56</v>
      </c>
      <c r="D166" s="20">
        <v>29.382999999999999</v>
      </c>
      <c r="E166" s="20">
        <v>37.311</v>
      </c>
      <c r="F166" s="20">
        <v>37.735999999999997</v>
      </c>
      <c r="G166" s="20">
        <v>154.47999999999999</v>
      </c>
      <c r="H166" s="20">
        <f t="shared" si="9"/>
        <v>31.418125</v>
      </c>
      <c r="I166" s="5"/>
      <c r="J166" s="19">
        <v>305.024</v>
      </c>
      <c r="K166" s="20">
        <v>30.656600000000001</v>
      </c>
      <c r="L166" s="20">
        <v>38.560899999999997</v>
      </c>
      <c r="M166" s="20">
        <v>39.157200000000003</v>
      </c>
      <c r="N166" s="20">
        <v>137.36259999999999</v>
      </c>
      <c r="O166" s="20">
        <f t="shared" si="10"/>
        <v>32.707212500000004</v>
      </c>
      <c r="P166" s="7"/>
      <c r="Q166" s="13"/>
      <c r="R166" s="14"/>
      <c r="S166" s="14"/>
      <c r="T166" s="27"/>
      <c r="U166" s="28">
        <f t="shared" si="11"/>
        <v>-0.11080657690315901</v>
      </c>
    </row>
    <row r="167" spans="1:21" x14ac:dyDescent="0.25">
      <c r="B167" s="6" t="s">
        <v>55</v>
      </c>
      <c r="C167" s="15">
        <v>1423.31</v>
      </c>
      <c r="D167" s="16">
        <v>30.140999999999998</v>
      </c>
      <c r="E167" s="16">
        <v>35.822000000000003</v>
      </c>
      <c r="F167" s="16">
        <v>36.536000000000001</v>
      </c>
      <c r="G167" s="16">
        <v>104.08</v>
      </c>
      <c r="H167" s="16">
        <f t="shared" si="9"/>
        <v>31.650500000000001</v>
      </c>
      <c r="I167" s="5"/>
      <c r="J167" s="15">
        <v>1194.7704000000001</v>
      </c>
      <c r="K167" s="16">
        <v>30.976600000000001</v>
      </c>
      <c r="L167" s="16">
        <v>37.688200000000002</v>
      </c>
      <c r="M167" s="16">
        <v>38.532699999999998</v>
      </c>
      <c r="N167" s="16">
        <v>73.163600000000002</v>
      </c>
      <c r="O167" s="16">
        <f t="shared" si="10"/>
        <v>32.760062499999997</v>
      </c>
      <c r="P167" s="7"/>
      <c r="Q167" s="8">
        <f>bdrate(C167:C170,D167:D170,J167:J170,K167:K170)</f>
        <v>-0.38144330272762028</v>
      </c>
      <c r="R167" s="8">
        <f>bdrate(C167:C170,E167:E170,J167:J170,L167:L170)</f>
        <v>-0.66114121107009849</v>
      </c>
      <c r="S167" s="8">
        <f>bdrate(C167:C170,F167:F170,J167:J170,M167:M170)</f>
        <v>-0.6599714203808319</v>
      </c>
      <c r="T167" s="25">
        <f>bdrate(C167:C170,H167:H170,J167:J170,O167:O170)</f>
        <v>-0.43244399681511536</v>
      </c>
      <c r="U167" s="28">
        <f t="shared" si="11"/>
        <v>-0.29704458109146809</v>
      </c>
    </row>
    <row r="168" spans="1:21" x14ac:dyDescent="0.25">
      <c r="B168" s="9"/>
      <c r="C168" s="17">
        <v>963.68</v>
      </c>
      <c r="D168" s="18">
        <v>28.721</v>
      </c>
      <c r="E168" s="18">
        <v>35.216999999999999</v>
      </c>
      <c r="F168" s="18">
        <v>35.948</v>
      </c>
      <c r="G168" s="18">
        <v>114.47</v>
      </c>
      <c r="H168" s="18">
        <f t="shared" si="9"/>
        <v>30.436375000000002</v>
      </c>
      <c r="I168" s="5"/>
      <c r="J168" s="17">
        <v>793.48080000000004</v>
      </c>
      <c r="K168" s="18">
        <v>29.620999999999999</v>
      </c>
      <c r="L168" s="18">
        <v>36.777799999999999</v>
      </c>
      <c r="M168" s="18">
        <v>37.590299999999999</v>
      </c>
      <c r="N168" s="18">
        <v>85.019599999999997</v>
      </c>
      <c r="O168" s="18">
        <f t="shared" si="10"/>
        <v>31.511762500000003</v>
      </c>
      <c r="P168" s="7"/>
      <c r="Q168" s="10"/>
      <c r="R168" s="11"/>
      <c r="S168" s="11"/>
      <c r="T168" s="26"/>
      <c r="U168" s="28">
        <f t="shared" si="11"/>
        <v>-0.25727614222066919</v>
      </c>
    </row>
    <row r="169" spans="1:21" x14ac:dyDescent="0.25">
      <c r="B169" s="9"/>
      <c r="C169" s="17">
        <v>599.53</v>
      </c>
      <c r="D169" s="18">
        <v>27.123000000000001</v>
      </c>
      <c r="E169" s="18">
        <v>34.595999999999997</v>
      </c>
      <c r="F169" s="18">
        <v>35.319000000000003</v>
      </c>
      <c r="G169" s="18">
        <v>127.19</v>
      </c>
      <c r="H169" s="18">
        <f t="shared" si="9"/>
        <v>29.081625000000003</v>
      </c>
      <c r="I169" s="5"/>
      <c r="J169" s="17">
        <v>501.66399999999999</v>
      </c>
      <c r="K169" s="18">
        <v>28.145</v>
      </c>
      <c r="L169" s="18">
        <v>35.916400000000003</v>
      </c>
      <c r="M169" s="18">
        <v>36.664700000000003</v>
      </c>
      <c r="N169" s="18">
        <v>101.7501</v>
      </c>
      <c r="O169" s="18">
        <f t="shared" si="10"/>
        <v>30.181387500000003</v>
      </c>
      <c r="P169" s="7"/>
      <c r="Q169" s="10"/>
      <c r="R169" s="11"/>
      <c r="S169" s="11"/>
      <c r="T169" s="26"/>
      <c r="U169" s="28">
        <f t="shared" si="11"/>
        <v>-0.20001493828131139</v>
      </c>
    </row>
    <row r="170" spans="1:21" ht="16.5" thickBot="1" x14ac:dyDescent="0.3">
      <c r="B170" s="12"/>
      <c r="C170" s="19">
        <v>370.78</v>
      </c>
      <c r="D170" s="20">
        <v>25.596</v>
      </c>
      <c r="E170" s="20">
        <v>34.052999999999997</v>
      </c>
      <c r="F170" s="20">
        <v>34.753999999999998</v>
      </c>
      <c r="G170" s="20">
        <v>138.05000000000001</v>
      </c>
      <c r="H170" s="20">
        <f t="shared" si="9"/>
        <v>27.797874999999998</v>
      </c>
      <c r="I170" s="5"/>
      <c r="J170" s="19">
        <v>303.64960000000002</v>
      </c>
      <c r="K170" s="20">
        <v>26.663</v>
      </c>
      <c r="L170" s="20">
        <v>35.081699999999998</v>
      </c>
      <c r="M170" s="20">
        <v>35.7879</v>
      </c>
      <c r="N170" s="20">
        <v>126.6785</v>
      </c>
      <c r="O170" s="20">
        <f t="shared" si="10"/>
        <v>28.855950000000004</v>
      </c>
      <c r="P170" s="7"/>
      <c r="Q170" s="13"/>
      <c r="R170" s="14"/>
      <c r="S170" s="14"/>
      <c r="T170" s="27"/>
      <c r="U170" s="28">
        <f t="shared" si="11"/>
        <v>-8.2372328866352845E-2</v>
      </c>
    </row>
    <row r="171" spans="1:21" x14ac:dyDescent="0.25">
      <c r="B171" s="6" t="s">
        <v>56</v>
      </c>
      <c r="C171" s="15">
        <v>1426</v>
      </c>
      <c r="D171" s="16">
        <v>33.356000000000002</v>
      </c>
      <c r="E171" s="16">
        <v>36.948999999999998</v>
      </c>
      <c r="F171" s="16">
        <v>38.651000000000003</v>
      </c>
      <c r="G171" s="16">
        <v>68.180000000000007</v>
      </c>
      <c r="H171" s="16">
        <f t="shared" si="9"/>
        <v>34.467000000000006</v>
      </c>
      <c r="I171" s="5"/>
      <c r="J171" s="15">
        <v>1191.5408</v>
      </c>
      <c r="K171" s="16">
        <v>32.977899999999998</v>
      </c>
      <c r="L171" s="16">
        <v>37.779499999999999</v>
      </c>
      <c r="M171" s="16">
        <v>39.386800000000001</v>
      </c>
      <c r="N171" s="16">
        <v>55.555599999999998</v>
      </c>
      <c r="O171" s="16">
        <f t="shared" si="10"/>
        <v>34.379212499999994</v>
      </c>
      <c r="P171" s="7"/>
      <c r="Q171" s="8">
        <f>bdrate(C171:C174,D171:D174,J171:J174,K171:K174)</f>
        <v>-0.15533127505373057</v>
      </c>
      <c r="R171" s="8">
        <f>bdrate(C171:C174,E171:E174,J171:J174,L171:L174)</f>
        <v>-0.45441807139572554</v>
      </c>
      <c r="S171" s="8">
        <f>bdrate(C171:C174,F171:F174,J171:J174,M171:M174)</f>
        <v>-0.4522656450987167</v>
      </c>
      <c r="T171" s="25">
        <f>bdrate(C171:C174,H171:H174,J171:J174,O171:O174)</f>
        <v>-0.20599639500019096</v>
      </c>
      <c r="U171" s="28">
        <f t="shared" si="11"/>
        <v>-0.18516280434144922</v>
      </c>
    </row>
    <row r="172" spans="1:21" x14ac:dyDescent="0.25">
      <c r="B172" s="9"/>
      <c r="C172" s="17">
        <v>978.26</v>
      </c>
      <c r="D172" s="18">
        <v>31.814</v>
      </c>
      <c r="E172" s="18">
        <v>36.152000000000001</v>
      </c>
      <c r="F172" s="18">
        <v>37.828000000000003</v>
      </c>
      <c r="G172" s="18">
        <v>81.5</v>
      </c>
      <c r="H172" s="18">
        <f t="shared" si="9"/>
        <v>33.108000000000004</v>
      </c>
      <c r="I172" s="5"/>
      <c r="J172" s="17">
        <v>792.62639999999999</v>
      </c>
      <c r="K172" s="18">
        <v>31.485499999999998</v>
      </c>
      <c r="L172" s="18">
        <v>36.9161</v>
      </c>
      <c r="M172" s="18">
        <v>38.542400000000001</v>
      </c>
      <c r="N172" s="18">
        <v>63.4786</v>
      </c>
      <c r="O172" s="18">
        <f t="shared" si="10"/>
        <v>33.046437499999996</v>
      </c>
      <c r="P172" s="7"/>
      <c r="Q172" s="10"/>
      <c r="R172" s="11"/>
      <c r="S172" s="11"/>
      <c r="T172" s="26"/>
      <c r="U172" s="28">
        <f t="shared" si="11"/>
        <v>-0.22112147239263805</v>
      </c>
    </row>
    <row r="173" spans="1:21" x14ac:dyDescent="0.25">
      <c r="B173" s="9"/>
      <c r="C173" s="17">
        <v>612.36</v>
      </c>
      <c r="D173" s="18">
        <v>29.907</v>
      </c>
      <c r="E173" s="18">
        <v>35.246000000000002</v>
      </c>
      <c r="F173" s="18">
        <v>36.822000000000003</v>
      </c>
      <c r="G173" s="18">
        <v>91.13</v>
      </c>
      <c r="H173" s="18">
        <f t="shared" si="9"/>
        <v>31.438750000000002</v>
      </c>
      <c r="I173" s="5"/>
      <c r="J173" s="17">
        <v>495.64479999999998</v>
      </c>
      <c r="K173" s="18">
        <v>29.821899999999999</v>
      </c>
      <c r="L173" s="18">
        <v>36.000999999999998</v>
      </c>
      <c r="M173" s="18">
        <v>37.659799999999997</v>
      </c>
      <c r="N173" s="18">
        <v>73.691999999999993</v>
      </c>
      <c r="O173" s="18">
        <f t="shared" si="10"/>
        <v>31.574024999999999</v>
      </c>
      <c r="P173" s="7"/>
      <c r="Q173" s="10"/>
      <c r="R173" s="11"/>
      <c r="S173" s="11"/>
      <c r="T173" s="26"/>
      <c r="U173" s="28">
        <f t="shared" si="11"/>
        <v>-0.19135301218040165</v>
      </c>
    </row>
    <row r="174" spans="1:21" ht="16.5" thickBot="1" x14ac:dyDescent="0.3">
      <c r="B174" s="12"/>
      <c r="C174" s="19">
        <v>380.91</v>
      </c>
      <c r="D174" s="20">
        <v>28.027000000000001</v>
      </c>
      <c r="E174" s="20">
        <v>34.296999999999997</v>
      </c>
      <c r="F174" s="20">
        <v>35.688000000000002</v>
      </c>
      <c r="G174" s="20">
        <v>105.67</v>
      </c>
      <c r="H174" s="20">
        <f t="shared" si="9"/>
        <v>29.768374999999999</v>
      </c>
      <c r="I174" s="5"/>
      <c r="J174" s="19">
        <v>298.5856</v>
      </c>
      <c r="K174" s="20">
        <v>28.2056</v>
      </c>
      <c r="L174" s="20">
        <v>35.129600000000003</v>
      </c>
      <c r="M174" s="20">
        <v>36.782400000000003</v>
      </c>
      <c r="N174" s="20">
        <v>89.445400000000006</v>
      </c>
      <c r="O174" s="20">
        <f t="shared" si="10"/>
        <v>30.1432</v>
      </c>
      <c r="P174" s="7"/>
      <c r="Q174" s="13"/>
      <c r="R174" s="14"/>
      <c r="S174" s="14"/>
      <c r="T174" s="27"/>
      <c r="U174" s="28">
        <f t="shared" si="11"/>
        <v>-0.15354026686855299</v>
      </c>
    </row>
    <row r="175" spans="1:21" x14ac:dyDescent="0.25">
      <c r="A175" s="6" t="s">
        <v>41</v>
      </c>
      <c r="B175" s="6" t="s">
        <v>57</v>
      </c>
      <c r="C175" s="15">
        <v>851.86</v>
      </c>
      <c r="D175" s="16">
        <v>36.134999999999998</v>
      </c>
      <c r="E175" s="16">
        <v>39.966999999999999</v>
      </c>
      <c r="F175" s="16">
        <v>38.753999999999998</v>
      </c>
      <c r="G175" s="16">
        <v>323.62</v>
      </c>
      <c r="H175" s="16">
        <f t="shared" si="9"/>
        <v>36.941375000000001</v>
      </c>
      <c r="I175" s="5"/>
      <c r="J175" s="15">
        <v>602.38720000000001</v>
      </c>
      <c r="K175" s="16">
        <v>35.206299999999999</v>
      </c>
      <c r="L175" s="16">
        <v>40.945099999999996</v>
      </c>
      <c r="M175" s="16">
        <v>39.336399999999998</v>
      </c>
      <c r="N175" s="16">
        <v>209.20500000000001</v>
      </c>
      <c r="O175" s="16">
        <f t="shared" si="10"/>
        <v>36.439912499999998</v>
      </c>
      <c r="P175" s="7"/>
      <c r="Q175" s="8">
        <f>bdrate(C175:C178,D175:D178,J175:J178,K175:K178)</f>
        <v>-0.18714399098740719</v>
      </c>
      <c r="R175" s="8">
        <f>bdrate(C175:C178,E175:E178,J175:J178,L175:L178)</f>
        <v>-0.52169729294623313</v>
      </c>
      <c r="S175" s="8">
        <f>bdrate(C175:C178,F175:F178,J175:J178,M175:M178)</f>
        <v>-0.45041380951626142</v>
      </c>
      <c r="T175" s="25">
        <f>bdrate(C175:C178,H175:H178,J175:J178,O175:O178)</f>
        <v>-0.2443539588753445</v>
      </c>
      <c r="U175" s="28">
        <f t="shared" si="11"/>
        <v>-0.35354737037265926</v>
      </c>
    </row>
    <row r="176" spans="1:21" x14ac:dyDescent="0.25">
      <c r="A176" s="9" t="s">
        <v>42</v>
      </c>
      <c r="B176" s="9"/>
      <c r="C176" s="17">
        <v>533.16</v>
      </c>
      <c r="D176" s="18">
        <v>33.820999999999998</v>
      </c>
      <c r="E176" s="18">
        <v>38.627000000000002</v>
      </c>
      <c r="F176" s="18">
        <v>37.176000000000002</v>
      </c>
      <c r="G176" s="18">
        <v>359.97</v>
      </c>
      <c r="H176" s="18">
        <f t="shared" si="9"/>
        <v>34.841124999999998</v>
      </c>
      <c r="I176" s="5"/>
      <c r="J176" s="17">
        <v>401.62880000000001</v>
      </c>
      <c r="K176" s="18">
        <v>33.321599999999997</v>
      </c>
      <c r="L176" s="18">
        <v>39.787500000000001</v>
      </c>
      <c r="M176" s="18">
        <v>38.033999999999999</v>
      </c>
      <c r="N176" s="18">
        <v>239.12</v>
      </c>
      <c r="O176" s="18">
        <f t="shared" si="10"/>
        <v>34.718887500000001</v>
      </c>
      <c r="P176" s="7"/>
      <c r="Q176" s="10"/>
      <c r="R176" s="11"/>
      <c r="S176" s="11"/>
      <c r="T176" s="26"/>
      <c r="U176" s="28">
        <f t="shared" si="11"/>
        <v>-0.33572242131288721</v>
      </c>
    </row>
    <row r="177" spans="1:21" x14ac:dyDescent="0.25">
      <c r="B177" s="9"/>
      <c r="C177" s="17">
        <v>321.87</v>
      </c>
      <c r="D177" s="18">
        <v>31.475000000000001</v>
      </c>
      <c r="E177" s="18">
        <v>37.459000000000003</v>
      </c>
      <c r="F177" s="18">
        <v>35.716000000000001</v>
      </c>
      <c r="G177" s="18">
        <v>410.85</v>
      </c>
      <c r="H177" s="18">
        <f t="shared" si="9"/>
        <v>32.753125000000004</v>
      </c>
      <c r="I177" s="5"/>
      <c r="J177" s="17">
        <v>250.62639999999999</v>
      </c>
      <c r="K177" s="18">
        <v>31.285499999999999</v>
      </c>
      <c r="L177" s="18">
        <v>38.603700000000003</v>
      </c>
      <c r="M177" s="18">
        <v>36.752299999999998</v>
      </c>
      <c r="N177" s="18">
        <v>281.21480000000003</v>
      </c>
      <c r="O177" s="18">
        <f t="shared" si="10"/>
        <v>32.883625000000002</v>
      </c>
      <c r="P177" s="7"/>
      <c r="Q177" s="10"/>
      <c r="R177" s="11"/>
      <c r="S177" s="11"/>
      <c r="T177" s="26"/>
      <c r="U177" s="28">
        <f t="shared" si="11"/>
        <v>-0.31552926858950953</v>
      </c>
    </row>
    <row r="178" spans="1:21" ht="16.5" thickBot="1" x14ac:dyDescent="0.3">
      <c r="B178" s="12"/>
      <c r="C178" s="19">
        <v>162.19</v>
      </c>
      <c r="D178" s="20">
        <v>28.434000000000001</v>
      </c>
      <c r="E178" s="20">
        <v>36.078000000000003</v>
      </c>
      <c r="F178" s="20">
        <v>33.973999999999997</v>
      </c>
      <c r="G178" s="20">
        <v>517.05999999999995</v>
      </c>
      <c r="H178" s="20">
        <f t="shared" si="9"/>
        <v>30.082000000000001</v>
      </c>
      <c r="I178" s="5"/>
      <c r="J178" s="19">
        <v>120.3904</v>
      </c>
      <c r="K178" s="20">
        <v>28.382000000000001</v>
      </c>
      <c r="L178" s="20">
        <v>36.9709</v>
      </c>
      <c r="M178" s="20">
        <v>34.804499999999997</v>
      </c>
      <c r="N178" s="20">
        <v>368.45979999999997</v>
      </c>
      <c r="O178" s="20">
        <f t="shared" si="10"/>
        <v>30.258424999999999</v>
      </c>
      <c r="P178" s="7"/>
      <c r="Q178" s="13"/>
      <c r="R178" s="14"/>
      <c r="S178" s="14"/>
      <c r="T178" s="27"/>
      <c r="U178" s="28">
        <f t="shared" si="11"/>
        <v>-0.287394499671218</v>
      </c>
    </row>
    <row r="179" spans="1:21" x14ac:dyDescent="0.25">
      <c r="B179" s="6" t="s">
        <v>58</v>
      </c>
      <c r="C179" s="15">
        <v>739.63</v>
      </c>
      <c r="D179" s="16">
        <v>32.991</v>
      </c>
      <c r="E179" s="16">
        <v>39.744</v>
      </c>
      <c r="F179" s="16">
        <v>40.487000000000002</v>
      </c>
      <c r="G179" s="16">
        <v>422.54</v>
      </c>
      <c r="H179" s="16">
        <f t="shared" si="9"/>
        <v>34.772125000000003</v>
      </c>
      <c r="I179" s="5"/>
      <c r="J179" s="15">
        <v>597.68079999999998</v>
      </c>
      <c r="K179" s="16">
        <v>34.110300000000002</v>
      </c>
      <c r="L179" s="16">
        <v>42.077500000000001</v>
      </c>
      <c r="M179" s="16">
        <v>43.009900000000002</v>
      </c>
      <c r="N179" s="16">
        <v>265.25200000000001</v>
      </c>
      <c r="O179" s="16">
        <f t="shared" si="10"/>
        <v>36.218650000000004</v>
      </c>
      <c r="P179" s="7"/>
      <c r="Q179" s="8">
        <f>bdrate(C179:C182,D179:D182,J179:J182,K179:K182)</f>
        <v>-0.45728891827384788</v>
      </c>
      <c r="R179" s="8">
        <f>bdrate(C179:C182,E179:E182,J179:J182,L179:L182)</f>
        <v>-0.69729335582586138</v>
      </c>
      <c r="S179" s="8">
        <f>bdrate(C179:C182,F179:F182,J179:J182,M179:M182)</f>
        <v>-0.73659699749270346</v>
      </c>
      <c r="T179" s="25">
        <f>bdrate(C179:C182,H179:H182,J179:J182,O179:O182)</f>
        <v>-0.50440838258757426</v>
      </c>
      <c r="U179" s="28">
        <f t="shared" si="11"/>
        <v>-0.37224404790079046</v>
      </c>
    </row>
    <row r="180" spans="1:21" x14ac:dyDescent="0.25">
      <c r="B180" s="9"/>
      <c r="C180" s="17">
        <v>455.57</v>
      </c>
      <c r="D180" s="18">
        <v>31.262</v>
      </c>
      <c r="E180" s="18">
        <v>39.164000000000001</v>
      </c>
      <c r="F180" s="18">
        <v>39.744</v>
      </c>
      <c r="G180" s="18">
        <v>475.06</v>
      </c>
      <c r="H180" s="18">
        <f t="shared" si="9"/>
        <v>33.31</v>
      </c>
      <c r="I180" s="5"/>
      <c r="J180" s="17">
        <v>397.27359999999999</v>
      </c>
      <c r="K180" s="18">
        <v>32.797499999999999</v>
      </c>
      <c r="L180" s="18">
        <v>41.1892</v>
      </c>
      <c r="M180" s="18">
        <v>42.052599999999998</v>
      </c>
      <c r="N180" s="18">
        <v>305.34350000000001</v>
      </c>
      <c r="O180" s="18">
        <f t="shared" si="10"/>
        <v>35.003349999999998</v>
      </c>
      <c r="P180" s="7"/>
      <c r="Q180" s="10"/>
      <c r="R180" s="11"/>
      <c r="S180" s="11"/>
      <c r="T180" s="26"/>
      <c r="U180" s="28">
        <f t="shared" si="11"/>
        <v>-0.35725276807140149</v>
      </c>
    </row>
    <row r="181" spans="1:21" x14ac:dyDescent="0.25">
      <c r="B181" s="9"/>
      <c r="C181" s="17">
        <v>271.16000000000003</v>
      </c>
      <c r="D181" s="18">
        <v>29.393999999999998</v>
      </c>
      <c r="E181" s="18">
        <v>38.628</v>
      </c>
      <c r="F181" s="18">
        <v>38.911999999999999</v>
      </c>
      <c r="G181" s="18">
        <v>526.78</v>
      </c>
      <c r="H181" s="18">
        <f t="shared" si="9"/>
        <v>31.737999999999996</v>
      </c>
      <c r="I181" s="5"/>
      <c r="J181" s="17">
        <v>248.05119999999999</v>
      </c>
      <c r="K181" s="18">
        <v>31.259499999999999</v>
      </c>
      <c r="L181" s="18">
        <v>40.165999999999997</v>
      </c>
      <c r="M181" s="18">
        <v>40.994900000000001</v>
      </c>
      <c r="N181" s="18">
        <v>373.36649999999997</v>
      </c>
      <c r="O181" s="18">
        <f t="shared" si="10"/>
        <v>33.589737499999998</v>
      </c>
      <c r="P181" s="7"/>
      <c r="Q181" s="10"/>
      <c r="R181" s="11"/>
      <c r="S181" s="11"/>
      <c r="T181" s="26"/>
      <c r="U181" s="28">
        <f t="shared" si="11"/>
        <v>-0.29122878621056231</v>
      </c>
    </row>
    <row r="182" spans="1:21" ht="16.5" thickBot="1" x14ac:dyDescent="0.3">
      <c r="B182" s="12"/>
      <c r="C182" s="19">
        <v>134.53</v>
      </c>
      <c r="D182" s="20">
        <v>26.808</v>
      </c>
      <c r="E182" s="20">
        <v>37.975999999999999</v>
      </c>
      <c r="F182" s="20">
        <v>38.085999999999999</v>
      </c>
      <c r="G182" s="20">
        <v>601.20000000000005</v>
      </c>
      <c r="H182" s="20">
        <f t="shared" si="9"/>
        <v>29.613750000000003</v>
      </c>
      <c r="I182" s="5"/>
      <c r="J182" s="19">
        <v>118.4312</v>
      </c>
      <c r="K182" s="20">
        <v>28.730499999999999</v>
      </c>
      <c r="L182" s="20">
        <v>38.855800000000002</v>
      </c>
      <c r="M182" s="20">
        <v>39.7042</v>
      </c>
      <c r="N182" s="20">
        <v>519.9307</v>
      </c>
      <c r="O182" s="20">
        <f t="shared" si="10"/>
        <v>31.367874999999998</v>
      </c>
      <c r="P182" s="7"/>
      <c r="Q182" s="13"/>
      <c r="R182" s="14"/>
      <c r="S182" s="14"/>
      <c r="T182" s="27"/>
      <c r="U182" s="28">
        <f t="shared" si="11"/>
        <v>-0.13517847638057226</v>
      </c>
    </row>
    <row r="183" spans="1:21" x14ac:dyDescent="0.25">
      <c r="B183" s="6" t="s">
        <v>59</v>
      </c>
      <c r="C183" s="29">
        <v>828.37</v>
      </c>
      <c r="D183" s="30">
        <v>34.066000000000003</v>
      </c>
      <c r="E183" s="30">
        <v>37.494</v>
      </c>
      <c r="F183" s="30">
        <v>37.981000000000002</v>
      </c>
      <c r="G183" s="16">
        <v>360.23</v>
      </c>
      <c r="H183" s="16">
        <f t="shared" si="9"/>
        <v>34.983875000000005</v>
      </c>
      <c r="I183" s="5"/>
      <c r="J183" s="29">
        <v>595.20479999999998</v>
      </c>
      <c r="K183" s="30">
        <v>33.476199999999999</v>
      </c>
      <c r="L183" s="30">
        <v>38.916899999999998</v>
      </c>
      <c r="M183" s="30">
        <v>39.798000000000002</v>
      </c>
      <c r="N183" s="16">
        <v>246.54830000000001</v>
      </c>
      <c r="O183" s="16">
        <f t="shared" si="10"/>
        <v>34.946512499999997</v>
      </c>
      <c r="P183" s="7"/>
      <c r="Q183" s="8">
        <f>bdrate(C183:C186,D183:D186,J183:J186,K183:K186)</f>
        <v>-0.2281658529146241</v>
      </c>
      <c r="R183" s="8">
        <f>bdrate(C183:C186,E183:E186,J183:J186,L183:L186)</f>
        <v>-0.61144484952175082</v>
      </c>
      <c r="S183" s="8">
        <f>bdrate(C183:C186,F183:F186,J183:J186,M183:M186)</f>
        <v>-0.66212368377926234</v>
      </c>
      <c r="T183" s="25">
        <f>bdrate(C183:C186,H183:H186,J183:J186,O183:O186)</f>
        <v>-0.3131887542593832</v>
      </c>
      <c r="U183" s="28">
        <f t="shared" si="11"/>
        <v>-0.3155808788829359</v>
      </c>
    </row>
    <row r="184" spans="1:21" x14ac:dyDescent="0.25">
      <c r="B184" s="9"/>
      <c r="C184" s="31">
        <v>516.80999999999995</v>
      </c>
      <c r="D184" s="32">
        <v>32.106999999999999</v>
      </c>
      <c r="E184" s="32">
        <v>36.287999999999997</v>
      </c>
      <c r="F184" s="32">
        <v>36.756</v>
      </c>
      <c r="G184" s="18">
        <v>400.64</v>
      </c>
      <c r="H184" s="18">
        <f t="shared" si="9"/>
        <v>33.210750000000004</v>
      </c>
      <c r="I184" s="5"/>
      <c r="J184" s="31">
        <v>395.45119999999997</v>
      </c>
      <c r="K184" s="32">
        <v>31.927800000000001</v>
      </c>
      <c r="L184" s="32">
        <v>37.838700000000003</v>
      </c>
      <c r="M184" s="32">
        <v>38.6601</v>
      </c>
      <c r="N184" s="18">
        <v>288.85039999999998</v>
      </c>
      <c r="O184" s="18">
        <f t="shared" si="10"/>
        <v>33.508200000000002</v>
      </c>
      <c r="P184" s="7"/>
      <c r="Q184" s="10"/>
      <c r="R184" s="11"/>
      <c r="S184" s="11"/>
      <c r="T184" s="26"/>
      <c r="U184" s="28">
        <f t="shared" si="11"/>
        <v>-0.27902755591054318</v>
      </c>
    </row>
    <row r="185" spans="1:21" x14ac:dyDescent="0.25">
      <c r="B185" s="9"/>
      <c r="C185" s="31">
        <v>307.88</v>
      </c>
      <c r="D185" s="32">
        <v>30.084</v>
      </c>
      <c r="E185" s="32">
        <v>35.283999999999999</v>
      </c>
      <c r="F185" s="32">
        <v>35.798999999999999</v>
      </c>
      <c r="G185" s="18">
        <v>438.98</v>
      </c>
      <c r="H185" s="18">
        <f t="shared" si="9"/>
        <v>31.448374999999999</v>
      </c>
      <c r="I185" s="5"/>
      <c r="J185" s="31">
        <v>249.11760000000001</v>
      </c>
      <c r="K185" s="32">
        <v>30.310300000000002</v>
      </c>
      <c r="L185" s="32">
        <v>36.780200000000001</v>
      </c>
      <c r="M185" s="32">
        <v>37.596600000000002</v>
      </c>
      <c r="N185" s="18">
        <v>330.25099999999998</v>
      </c>
      <c r="O185" s="18">
        <f t="shared" si="10"/>
        <v>32.029825000000002</v>
      </c>
      <c r="P185" s="7"/>
      <c r="Q185" s="10"/>
      <c r="R185" s="11"/>
      <c r="S185" s="11"/>
      <c r="T185" s="26"/>
      <c r="U185" s="28">
        <f t="shared" si="11"/>
        <v>-0.24768554376053586</v>
      </c>
    </row>
    <row r="186" spans="1:21" ht="16.5" thickBot="1" x14ac:dyDescent="0.3">
      <c r="B186" s="12"/>
      <c r="C186" s="33">
        <v>151.54</v>
      </c>
      <c r="D186" s="34">
        <v>27.582000000000001</v>
      </c>
      <c r="E186" s="34">
        <v>34.128</v>
      </c>
      <c r="F186" s="34">
        <v>34.709000000000003</v>
      </c>
      <c r="G186" s="20">
        <v>508.65</v>
      </c>
      <c r="H186" s="20">
        <f t="shared" si="9"/>
        <v>29.291125000000001</v>
      </c>
      <c r="I186" s="5"/>
      <c r="J186" s="33">
        <v>120.19840000000001</v>
      </c>
      <c r="K186" s="34">
        <v>27.8979</v>
      </c>
      <c r="L186" s="34">
        <v>35.310600000000001</v>
      </c>
      <c r="M186" s="34">
        <v>35.991599999999998</v>
      </c>
      <c r="N186" s="20">
        <v>433.2756</v>
      </c>
      <c r="O186" s="20">
        <f t="shared" si="10"/>
        <v>29.836200000000002</v>
      </c>
      <c r="P186" s="7"/>
      <c r="Q186" s="13"/>
      <c r="R186" s="14"/>
      <c r="S186" s="14"/>
      <c r="T186" s="27"/>
      <c r="U186" s="28">
        <f t="shared" si="11"/>
        <v>-0.14818519610734293</v>
      </c>
    </row>
    <row r="187" spans="1:21" x14ac:dyDescent="0.25">
      <c r="B187" s="6" t="s">
        <v>60</v>
      </c>
      <c r="C187" s="15">
        <v>762.7</v>
      </c>
      <c r="D187" s="16">
        <v>35.814999999999998</v>
      </c>
      <c r="E187" s="16">
        <v>37.94</v>
      </c>
      <c r="F187" s="16">
        <v>39.094000000000001</v>
      </c>
      <c r="G187" s="16">
        <v>243.11</v>
      </c>
      <c r="H187" s="16">
        <f t="shared" si="9"/>
        <v>36.490499999999997</v>
      </c>
      <c r="I187" s="5"/>
      <c r="J187" s="15">
        <v>593.00080000000003</v>
      </c>
      <c r="K187" s="16">
        <v>34.526899999999998</v>
      </c>
      <c r="L187" s="16">
        <v>38.6858</v>
      </c>
      <c r="M187" s="16">
        <v>39.837600000000002</v>
      </c>
      <c r="N187" s="16">
        <v>144.57830000000001</v>
      </c>
      <c r="O187" s="16">
        <f t="shared" si="10"/>
        <v>35.710599999999999</v>
      </c>
      <c r="P187" s="7"/>
      <c r="Q187" s="8">
        <f>bdrate(C187:C190,D187:D190,J187:J190,K187:K190)</f>
        <v>-3.6682709136025005E-2</v>
      </c>
      <c r="R187" s="8">
        <f>bdrate(C187:C190,E187:E190,J187:J190,L187:L190)</f>
        <v>-0.43394330749031684</v>
      </c>
      <c r="S187" s="8">
        <f>bdrate(C187:C190,F187:F190,J187:J190,M187:M190)</f>
        <v>-0.43565430253964454</v>
      </c>
      <c r="T187" s="25">
        <f>bdrate(C187:C190,H187:H190,J187:J190,O187:O190)</f>
        <v>-0.11728328766576945</v>
      </c>
      <c r="U187" s="28">
        <f t="shared" si="11"/>
        <v>-0.40529677923573687</v>
      </c>
    </row>
    <row r="188" spans="1:21" x14ac:dyDescent="0.25">
      <c r="B188" s="9"/>
      <c r="C188" s="17">
        <v>478.29</v>
      </c>
      <c r="D188" s="18">
        <v>33.497</v>
      </c>
      <c r="E188" s="18">
        <v>36.630000000000003</v>
      </c>
      <c r="F188" s="18">
        <v>37.777000000000001</v>
      </c>
      <c r="G188" s="18">
        <v>274.73</v>
      </c>
      <c r="H188" s="18">
        <f t="shared" si="9"/>
        <v>34.423625000000001</v>
      </c>
      <c r="I188" s="5"/>
      <c r="J188" s="17">
        <v>388.85359999999997</v>
      </c>
      <c r="K188" s="18">
        <v>32.585999999999999</v>
      </c>
      <c r="L188" s="18">
        <v>37.506500000000003</v>
      </c>
      <c r="M188" s="18">
        <v>38.673400000000001</v>
      </c>
      <c r="N188" s="18">
        <v>167.22409999999999</v>
      </c>
      <c r="O188" s="18">
        <f t="shared" si="10"/>
        <v>33.961987499999999</v>
      </c>
      <c r="P188" s="7"/>
      <c r="Q188" s="10"/>
      <c r="R188" s="11"/>
      <c r="S188" s="11"/>
      <c r="T188" s="26"/>
      <c r="U188" s="28">
        <f t="shared" si="11"/>
        <v>-0.39131474538637945</v>
      </c>
    </row>
    <row r="189" spans="1:21" x14ac:dyDescent="0.25">
      <c r="B189" s="9"/>
      <c r="C189" s="17">
        <v>288.69</v>
      </c>
      <c r="D189" s="18">
        <v>31.2</v>
      </c>
      <c r="E189" s="18">
        <v>35.377000000000002</v>
      </c>
      <c r="F189" s="18">
        <v>36.503</v>
      </c>
      <c r="G189" s="18">
        <v>309.92</v>
      </c>
      <c r="H189" s="18">
        <f t="shared" si="9"/>
        <v>32.384999999999998</v>
      </c>
      <c r="I189" s="5"/>
      <c r="J189" s="17">
        <v>245.85919999999999</v>
      </c>
      <c r="K189" s="18">
        <v>30.694900000000001</v>
      </c>
      <c r="L189" s="18">
        <v>36.348500000000001</v>
      </c>
      <c r="M189" s="18">
        <v>37.497399999999999</v>
      </c>
      <c r="N189" s="18">
        <v>200.4008</v>
      </c>
      <c r="O189" s="18">
        <f t="shared" si="10"/>
        <v>32.251912500000003</v>
      </c>
      <c r="P189" s="7"/>
      <c r="Q189" s="10"/>
      <c r="R189" s="11"/>
      <c r="S189" s="11"/>
      <c r="T189" s="26"/>
      <c r="U189" s="28">
        <f t="shared" si="11"/>
        <v>-0.35337893649974189</v>
      </c>
    </row>
    <row r="190" spans="1:21" ht="16.5" thickBot="1" x14ac:dyDescent="0.3">
      <c r="B190" s="12"/>
      <c r="C190" s="19">
        <v>144.69</v>
      </c>
      <c r="D190" s="20">
        <v>28.382000000000001</v>
      </c>
      <c r="E190" s="20">
        <v>33.959000000000003</v>
      </c>
      <c r="F190" s="20">
        <v>34.923999999999999</v>
      </c>
      <c r="G190" s="20">
        <v>376.88</v>
      </c>
      <c r="H190" s="20">
        <f t="shared" si="9"/>
        <v>29.896875000000001</v>
      </c>
      <c r="I190" s="5"/>
      <c r="J190" s="19">
        <v>117.93519999999999</v>
      </c>
      <c r="K190" s="20">
        <v>28.082999999999998</v>
      </c>
      <c r="L190" s="20">
        <v>34.860999999999997</v>
      </c>
      <c r="M190" s="20">
        <v>35.972299999999997</v>
      </c>
      <c r="N190" s="20">
        <v>266.90390000000002</v>
      </c>
      <c r="O190" s="20">
        <f t="shared" si="10"/>
        <v>29.916412499999996</v>
      </c>
      <c r="P190" s="7"/>
      <c r="Q190" s="13"/>
      <c r="R190" s="14"/>
      <c r="S190" s="14"/>
      <c r="T190" s="27"/>
      <c r="U190" s="28">
        <f t="shared" si="11"/>
        <v>-0.29180667586499676</v>
      </c>
    </row>
    <row r="191" spans="1:21" x14ac:dyDescent="0.25">
      <c r="A191" s="6" t="s">
        <v>43</v>
      </c>
      <c r="B191" s="6" t="s">
        <v>61</v>
      </c>
      <c r="C191" s="15">
        <v>1918.21</v>
      </c>
      <c r="D191" s="16">
        <v>41.551000000000002</v>
      </c>
      <c r="E191" s="16">
        <v>45.18</v>
      </c>
      <c r="F191" s="16">
        <v>46.383000000000003</v>
      </c>
      <c r="G191" s="16">
        <v>74.25</v>
      </c>
      <c r="H191" s="16">
        <f t="shared" si="9"/>
        <v>42.608624999999996</v>
      </c>
      <c r="I191" s="5"/>
      <c r="J191" s="15">
        <v>1506.4848</v>
      </c>
      <c r="K191" s="16">
        <v>41.904600000000002</v>
      </c>
      <c r="L191" s="16">
        <v>46.515099999999997</v>
      </c>
      <c r="M191" s="16">
        <v>47.802999999999997</v>
      </c>
      <c r="N191" s="16">
        <v>58.156399999999998</v>
      </c>
      <c r="O191" s="16">
        <f t="shared" si="10"/>
        <v>43.2182125</v>
      </c>
      <c r="P191" s="7"/>
      <c r="Q191" s="8">
        <f>bdrate(C191:C194,D191:D194,J191:J194,K191:K194)</f>
        <v>-0.33702483014737328</v>
      </c>
      <c r="R191" s="8">
        <f>bdrate(C191:C194,E191:E194,J191:J194,L191:L194)</f>
        <v>-0.57794903921292073</v>
      </c>
      <c r="S191" s="8">
        <f>bdrate(C191:C194,F191:F194,J191:J194,M191:M194)</f>
        <v>-0.58442920015408029</v>
      </c>
      <c r="T191" s="25">
        <f>bdrate(C191:C194,H191:H194,J191:J194,O191:O194)</f>
        <v>-0.39410912933872777</v>
      </c>
      <c r="U191" s="28">
        <f t="shared" si="11"/>
        <v>-0.21674882154882158</v>
      </c>
    </row>
    <row r="192" spans="1:21" x14ac:dyDescent="0.25">
      <c r="A192" s="9" t="s">
        <v>44</v>
      </c>
      <c r="B192" s="9"/>
      <c r="C192" s="17">
        <v>1247.21</v>
      </c>
      <c r="D192" s="18">
        <v>40.399000000000001</v>
      </c>
      <c r="E192" s="18">
        <v>43.988999999999997</v>
      </c>
      <c r="F192" s="18">
        <v>45.113999999999997</v>
      </c>
      <c r="G192" s="18">
        <v>76.459999999999994</v>
      </c>
      <c r="H192" s="18">
        <f t="shared" si="9"/>
        <v>41.437124999999995</v>
      </c>
      <c r="I192" s="5"/>
      <c r="J192" s="17">
        <v>995.88879999999995</v>
      </c>
      <c r="K192" s="18">
        <v>40.900300000000001</v>
      </c>
      <c r="L192" s="18">
        <v>45.723700000000001</v>
      </c>
      <c r="M192" s="18">
        <v>46.9236</v>
      </c>
      <c r="N192" s="18">
        <v>71.761799999999994</v>
      </c>
      <c r="O192" s="18">
        <f t="shared" si="10"/>
        <v>42.256137500000001</v>
      </c>
      <c r="P192" s="7"/>
      <c r="Q192" s="10"/>
      <c r="R192" s="11"/>
      <c r="S192" s="11"/>
      <c r="T192" s="26"/>
      <c r="U192" s="28">
        <f t="shared" si="11"/>
        <v>-6.1446507978027733E-2</v>
      </c>
    </row>
    <row r="193" spans="1:21" x14ac:dyDescent="0.25">
      <c r="B193" s="9"/>
      <c r="C193" s="17">
        <v>738.94</v>
      </c>
      <c r="D193" s="18">
        <v>38.371000000000002</v>
      </c>
      <c r="E193" s="18">
        <v>42.436999999999998</v>
      </c>
      <c r="F193" s="18">
        <v>43.633000000000003</v>
      </c>
      <c r="G193" s="18">
        <v>79.13</v>
      </c>
      <c r="H193" s="18">
        <f t="shared" si="9"/>
        <v>39.536999999999999</v>
      </c>
      <c r="I193" s="5"/>
      <c r="J193" s="17">
        <v>591.71119999999996</v>
      </c>
      <c r="K193" s="18">
        <v>39.110900000000001</v>
      </c>
      <c r="L193" s="18">
        <v>44.283000000000001</v>
      </c>
      <c r="M193" s="18">
        <v>45.485700000000001</v>
      </c>
      <c r="N193" s="18">
        <v>89.445400000000006</v>
      </c>
      <c r="O193" s="18">
        <f t="shared" si="10"/>
        <v>40.5542625</v>
      </c>
      <c r="P193" s="7"/>
      <c r="Q193" s="10"/>
      <c r="R193" s="11"/>
      <c r="S193" s="11"/>
      <c r="T193" s="26"/>
      <c r="U193" s="28">
        <f t="shared" si="11"/>
        <v>0.13036016681410353</v>
      </c>
    </row>
    <row r="194" spans="1:21" ht="16.5" thickBot="1" x14ac:dyDescent="0.3">
      <c r="B194" s="12"/>
      <c r="C194" s="19">
        <v>339.34</v>
      </c>
      <c r="D194" s="20">
        <v>34.149000000000001</v>
      </c>
      <c r="E194" s="20">
        <v>40.261000000000003</v>
      </c>
      <c r="F194" s="20">
        <v>41.284999999999997</v>
      </c>
      <c r="G194" s="20">
        <v>78.650000000000006</v>
      </c>
      <c r="H194" s="20">
        <f t="shared" si="9"/>
        <v>35.805</v>
      </c>
      <c r="I194" s="5"/>
      <c r="J194" s="19">
        <v>291.45519999999999</v>
      </c>
      <c r="K194" s="20">
        <v>36.003799999999998</v>
      </c>
      <c r="L194" s="20">
        <v>42.299300000000002</v>
      </c>
      <c r="M194" s="20">
        <v>43.513199999999998</v>
      </c>
      <c r="N194" s="20">
        <v>118.6944</v>
      </c>
      <c r="O194" s="20">
        <f t="shared" si="10"/>
        <v>37.729412499999995</v>
      </c>
      <c r="P194" s="7"/>
      <c r="Q194" s="13"/>
      <c r="R194" s="14"/>
      <c r="S194" s="14"/>
      <c r="T194" s="27"/>
      <c r="U194" s="28">
        <f t="shared" si="11"/>
        <v>0.50914685314685304</v>
      </c>
    </row>
    <row r="195" spans="1:21" x14ac:dyDescent="0.25">
      <c r="B195" s="6" t="s">
        <v>62</v>
      </c>
      <c r="C195" s="15">
        <v>1971.13</v>
      </c>
      <c r="D195" s="16">
        <v>42.453000000000003</v>
      </c>
      <c r="E195" s="16">
        <v>46.963999999999999</v>
      </c>
      <c r="F195" s="16">
        <v>47.430999999999997</v>
      </c>
      <c r="G195" s="16">
        <v>71.489999999999995</v>
      </c>
      <c r="H195" s="16">
        <f t="shared" si="9"/>
        <v>43.639125</v>
      </c>
      <c r="I195" s="5"/>
      <c r="J195" s="15">
        <v>1506.3792000000001</v>
      </c>
      <c r="K195" s="16">
        <v>42.911299999999997</v>
      </c>
      <c r="L195" s="16">
        <v>48.3352</v>
      </c>
      <c r="M195" s="16">
        <v>49.069200000000002</v>
      </c>
      <c r="N195" s="16">
        <v>66.423100000000005</v>
      </c>
      <c r="O195" s="16">
        <f t="shared" si="10"/>
        <v>44.359025000000003</v>
      </c>
      <c r="P195" s="7"/>
      <c r="Q195" s="8">
        <f>bdrate(C195:C198,D195:D198,J195:J198,K195:K198)</f>
        <v>-0.53074825104749368</v>
      </c>
      <c r="R195" s="8">
        <f>bdrate(C195:C198,E195:E198,J195:J198,L195:L198)</f>
        <v>-0.74063236802690835</v>
      </c>
      <c r="S195" s="8">
        <f>bdrate(C195:C198,F195:F198,J195:J198,M195:M198)</f>
        <v>-0.77160312832542688</v>
      </c>
      <c r="T195" s="25">
        <f>bdrate(C195:C198,H195:H198,J195:J198,O195:O198)</f>
        <v>-0.60665799590495184</v>
      </c>
      <c r="U195" s="28">
        <f t="shared" ref="U195:U213" si="12">(N195-G195)/G195</f>
        <v>-7.0875646943628343E-2</v>
      </c>
    </row>
    <row r="196" spans="1:21" x14ac:dyDescent="0.25">
      <c r="B196" s="9"/>
      <c r="C196" s="17">
        <v>1296</v>
      </c>
      <c r="D196" s="18">
        <v>41.817</v>
      </c>
      <c r="E196" s="18">
        <v>46.097000000000001</v>
      </c>
      <c r="F196" s="18">
        <v>46.375</v>
      </c>
      <c r="G196" s="18">
        <v>72.84</v>
      </c>
      <c r="H196" s="18">
        <f t="shared" si="9"/>
        <v>42.921749999999996</v>
      </c>
      <c r="I196" s="5"/>
      <c r="J196" s="17">
        <v>998.04</v>
      </c>
      <c r="K196" s="18">
        <v>42.480899999999998</v>
      </c>
      <c r="L196" s="18">
        <v>47.990299999999998</v>
      </c>
      <c r="M196" s="18">
        <v>48.7044</v>
      </c>
      <c r="N196" s="18">
        <v>80.634299999999996</v>
      </c>
      <c r="O196" s="18">
        <f t="shared" si="10"/>
        <v>43.947512500000002</v>
      </c>
      <c r="P196" s="7"/>
      <c r="Q196" s="10"/>
      <c r="R196" s="11"/>
      <c r="S196" s="11"/>
      <c r="T196" s="26"/>
      <c r="U196" s="28">
        <f t="shared" si="12"/>
        <v>0.10700576606260286</v>
      </c>
    </row>
    <row r="197" spans="1:21" x14ac:dyDescent="0.25">
      <c r="B197" s="9"/>
      <c r="C197" s="17">
        <v>759.55</v>
      </c>
      <c r="D197" s="18">
        <v>40.652999999999999</v>
      </c>
      <c r="E197" s="18">
        <v>44.777999999999999</v>
      </c>
      <c r="F197" s="18">
        <v>45.128</v>
      </c>
      <c r="G197" s="18">
        <v>72.98</v>
      </c>
      <c r="H197" s="18">
        <f t="shared" si="9"/>
        <v>41.728000000000002</v>
      </c>
      <c r="I197" s="5"/>
      <c r="J197" s="17">
        <v>573.58720000000005</v>
      </c>
      <c r="K197" s="18">
        <v>41.688400000000001</v>
      </c>
      <c r="L197" s="18">
        <v>47.214300000000001</v>
      </c>
      <c r="M197" s="18">
        <v>47.904299999999999</v>
      </c>
      <c r="N197" s="18">
        <v>100.43519999999999</v>
      </c>
      <c r="O197" s="18">
        <f t="shared" si="10"/>
        <v>43.156124999999996</v>
      </c>
      <c r="P197" s="7"/>
      <c r="Q197" s="10"/>
      <c r="R197" s="11"/>
      <c r="S197" s="11"/>
      <c r="T197" s="26"/>
      <c r="U197" s="28">
        <f t="shared" si="12"/>
        <v>0.37620169909564249</v>
      </c>
    </row>
    <row r="198" spans="1:21" ht="16.5" thickBot="1" x14ac:dyDescent="0.3">
      <c r="B198" s="12"/>
      <c r="C198" s="19">
        <v>333.92</v>
      </c>
      <c r="D198" s="20">
        <v>37.771999999999998</v>
      </c>
      <c r="E198" s="20">
        <v>42.143999999999998</v>
      </c>
      <c r="F198" s="20">
        <v>43.281999999999996</v>
      </c>
      <c r="G198" s="20">
        <v>75.86</v>
      </c>
      <c r="H198" s="20">
        <f t="shared" si="9"/>
        <v>39.007249999999999</v>
      </c>
      <c r="I198" s="5"/>
      <c r="J198" s="19">
        <v>273.72399999999999</v>
      </c>
      <c r="K198" s="20">
        <v>39.905900000000003</v>
      </c>
      <c r="L198" s="20">
        <v>45.452199999999998</v>
      </c>
      <c r="M198" s="20">
        <v>46.002699999999997</v>
      </c>
      <c r="N198" s="20">
        <v>132.15860000000001</v>
      </c>
      <c r="O198" s="20">
        <f t="shared" si="10"/>
        <v>41.361287500000003</v>
      </c>
      <c r="P198" s="7"/>
      <c r="Q198" s="13"/>
      <c r="R198" s="14"/>
      <c r="S198" s="14"/>
      <c r="T198" s="27"/>
      <c r="U198" s="28">
        <f t="shared" si="12"/>
        <v>0.74213814922225163</v>
      </c>
    </row>
    <row r="199" spans="1:21" x14ac:dyDescent="0.25">
      <c r="B199" s="6" t="s">
        <v>63</v>
      </c>
      <c r="C199" s="15">
        <v>2052.06</v>
      </c>
      <c r="D199" s="16">
        <v>42.545000000000002</v>
      </c>
      <c r="E199" s="16">
        <v>46.331000000000003</v>
      </c>
      <c r="F199" s="16">
        <v>46.933999999999997</v>
      </c>
      <c r="G199" s="16">
        <v>67.72</v>
      </c>
      <c r="H199" s="16">
        <f t="shared" si="9"/>
        <v>43.566874999999996</v>
      </c>
      <c r="I199" s="5"/>
      <c r="J199" s="15">
        <v>1538.732</v>
      </c>
      <c r="K199" s="16">
        <v>42.850999999999999</v>
      </c>
      <c r="L199" s="16">
        <v>47.551400000000001</v>
      </c>
      <c r="M199" s="16">
        <v>48.466799999999999</v>
      </c>
      <c r="N199" s="16">
        <v>61.734699999999997</v>
      </c>
      <c r="O199" s="16">
        <f t="shared" si="10"/>
        <v>44.140524999999997</v>
      </c>
      <c r="P199" s="7"/>
      <c r="Q199" s="8">
        <f>bdrate(C199:C202,D199:D202,J199:J202,K199:K202)</f>
        <v>-0.40831811509054328</v>
      </c>
      <c r="R199" s="8">
        <f>bdrate(C199:C202,E199:E202,J199:J202,L199:L202)</f>
        <v>-0.64958755277807767</v>
      </c>
      <c r="S199" s="8">
        <f>bdrate(C199:C202,F199:F202,J199:J202,M199:M202)</f>
        <v>-0.67237126899189437</v>
      </c>
      <c r="T199" s="25">
        <f>bdrate(C199:C202,H199:H202,J199:J202,O199:O202)</f>
        <v>-0.48099958855311875</v>
      </c>
      <c r="U199" s="28">
        <f t="shared" si="12"/>
        <v>-8.8383047844063825E-2</v>
      </c>
    </row>
    <row r="200" spans="1:21" x14ac:dyDescent="0.25">
      <c r="B200" s="9"/>
      <c r="C200" s="17">
        <v>1353.78</v>
      </c>
      <c r="D200" s="18">
        <v>41.692</v>
      </c>
      <c r="E200" s="18">
        <v>45.226999999999997</v>
      </c>
      <c r="F200" s="18">
        <v>45.95</v>
      </c>
      <c r="G200" s="18">
        <v>69.8</v>
      </c>
      <c r="H200" s="18">
        <f t="shared" si="9"/>
        <v>42.666124999999994</v>
      </c>
      <c r="I200" s="5"/>
      <c r="J200" s="17">
        <v>1024.7264</v>
      </c>
      <c r="K200" s="18">
        <v>42.132399999999997</v>
      </c>
      <c r="L200" s="18">
        <v>46.900399999999998</v>
      </c>
      <c r="M200" s="18">
        <v>47.8001</v>
      </c>
      <c r="N200" s="18">
        <v>75.263400000000004</v>
      </c>
      <c r="O200" s="18">
        <f t="shared" si="10"/>
        <v>43.436862499999997</v>
      </c>
      <c r="P200" s="7"/>
      <c r="Q200" s="10"/>
      <c r="R200" s="11"/>
      <c r="S200" s="11"/>
      <c r="T200" s="26"/>
      <c r="U200" s="28">
        <f t="shared" si="12"/>
        <v>7.8272206303725028E-2</v>
      </c>
    </row>
    <row r="201" spans="1:21" x14ac:dyDescent="0.25">
      <c r="B201" s="9"/>
      <c r="C201" s="17">
        <v>805.58</v>
      </c>
      <c r="D201" s="18">
        <v>40.133000000000003</v>
      </c>
      <c r="E201" s="18">
        <v>43.53</v>
      </c>
      <c r="F201" s="18">
        <v>44.326999999999998</v>
      </c>
      <c r="G201" s="18">
        <v>72.3</v>
      </c>
      <c r="H201" s="18">
        <f t="shared" si="9"/>
        <v>41.081874999999997</v>
      </c>
      <c r="I201" s="5"/>
      <c r="J201" s="17">
        <v>602.65840000000003</v>
      </c>
      <c r="K201" s="18">
        <v>40.8523</v>
      </c>
      <c r="L201" s="18">
        <v>45.750900000000001</v>
      </c>
      <c r="M201" s="18">
        <v>46.638100000000001</v>
      </c>
      <c r="N201" s="18">
        <v>97.863299999999995</v>
      </c>
      <c r="O201" s="18">
        <f t="shared" si="10"/>
        <v>42.187849999999997</v>
      </c>
      <c r="P201" s="7"/>
      <c r="Q201" s="10"/>
      <c r="R201" s="11"/>
      <c r="S201" s="11"/>
      <c r="T201" s="26"/>
      <c r="U201" s="28">
        <f t="shared" si="12"/>
        <v>0.35357261410788382</v>
      </c>
    </row>
    <row r="202" spans="1:21" ht="16.5" thickBot="1" x14ac:dyDescent="0.3">
      <c r="B202" s="12"/>
      <c r="C202" s="19">
        <v>365.94</v>
      </c>
      <c r="D202" s="20">
        <v>36.488</v>
      </c>
      <c r="E202" s="20">
        <v>41.045000000000002</v>
      </c>
      <c r="F202" s="20">
        <v>41.7</v>
      </c>
      <c r="G202" s="20">
        <v>73.819999999999993</v>
      </c>
      <c r="H202" s="20">
        <f t="shared" si="9"/>
        <v>37.709125</v>
      </c>
      <c r="I202" s="5"/>
      <c r="J202" s="19">
        <v>292.92959999999999</v>
      </c>
      <c r="K202" s="20">
        <v>38.421799999999998</v>
      </c>
      <c r="L202" s="20">
        <v>43.996000000000002</v>
      </c>
      <c r="M202" s="20">
        <v>44.868899999999996</v>
      </c>
      <c r="N202" s="20">
        <v>129.06</v>
      </c>
      <c r="O202" s="20">
        <f t="shared" si="10"/>
        <v>39.924462499999997</v>
      </c>
      <c r="P202" s="7"/>
      <c r="Q202" s="13"/>
      <c r="R202" s="14"/>
      <c r="S202" s="14"/>
      <c r="T202" s="27"/>
      <c r="U202" s="28">
        <f t="shared" si="12"/>
        <v>0.74830669195340038</v>
      </c>
    </row>
    <row r="203" spans="1:21" x14ac:dyDescent="0.25">
      <c r="A203" s="6" t="s">
        <v>99</v>
      </c>
      <c r="B203" s="6" t="s">
        <v>100</v>
      </c>
      <c r="C203" s="15">
        <v>1615.79</v>
      </c>
      <c r="D203" s="16">
        <v>43.624000000000002</v>
      </c>
      <c r="E203" s="16">
        <v>47.610999999999997</v>
      </c>
      <c r="F203" s="16">
        <v>49.646000000000001</v>
      </c>
      <c r="G203" s="16">
        <v>47.99</v>
      </c>
      <c r="H203" s="16">
        <f t="shared" ref="H203:H213" si="13">(6*D203+E203+F203)/8</f>
        <v>44.875125000000004</v>
      </c>
      <c r="I203" s="5"/>
      <c r="J203" s="15">
        <v>1232.9708000000001</v>
      </c>
      <c r="K203" s="16">
        <v>45.338799999999999</v>
      </c>
      <c r="L203" s="16">
        <v>51.409199999999998</v>
      </c>
      <c r="M203" s="16">
        <v>51.988199999999999</v>
      </c>
      <c r="N203" s="16">
        <v>41.805999999999997</v>
      </c>
      <c r="O203" s="16">
        <f t="shared" ref="O203:O213" si="14">(6*K203+L203+M203)/8</f>
        <v>46.928775000000002</v>
      </c>
      <c r="P203" s="7"/>
      <c r="Q203" s="8">
        <f>bdrate(C203:C206,D203:D206,J203:J206,K203:K206)</f>
        <v>-0.49744330430889361</v>
      </c>
      <c r="R203" s="8">
        <f>bdrate(C203:C206,E203:E206,J203:J206,L203:L206)</f>
        <v>-0.7300058139899952</v>
      </c>
      <c r="S203" s="8">
        <f>bdrate(C203:C206,F203:F206,J203:J206,M203:M206)</f>
        <v>-0.65855062519676033</v>
      </c>
      <c r="T203" s="25">
        <f>bdrate(C203:C206,H203:H206,J203:J206,O203:O206)</f>
        <v>-0.54423071011769897</v>
      </c>
      <c r="U203" s="28">
        <f t="shared" si="12"/>
        <v>-0.12886017920400092</v>
      </c>
    </row>
    <row r="204" spans="1:21" x14ac:dyDescent="0.25">
      <c r="A204" s="9" t="s">
        <v>77</v>
      </c>
      <c r="B204" s="9"/>
      <c r="C204" s="17">
        <v>1079.49</v>
      </c>
      <c r="D204" s="18">
        <v>41.354999999999997</v>
      </c>
      <c r="E204" s="18">
        <v>45.817</v>
      </c>
      <c r="F204" s="18">
        <v>48.06</v>
      </c>
      <c r="G204" s="18">
        <v>52.68</v>
      </c>
      <c r="H204" s="18">
        <f t="shared" si="13"/>
        <v>42.750875000000001</v>
      </c>
      <c r="I204" s="5"/>
      <c r="J204" s="17">
        <v>830.73159999999996</v>
      </c>
      <c r="K204" s="18">
        <v>43.415799999999997</v>
      </c>
      <c r="L204" s="18">
        <v>50.057000000000002</v>
      </c>
      <c r="M204" s="18">
        <v>50.710299999999997</v>
      </c>
      <c r="N204" s="18">
        <v>47.732700000000001</v>
      </c>
      <c r="O204" s="18">
        <f t="shared" si="14"/>
        <v>45.157762500000004</v>
      </c>
      <c r="P204" s="7"/>
      <c r="Q204" s="10"/>
      <c r="R204" s="11"/>
      <c r="S204" s="11"/>
      <c r="T204" s="26"/>
      <c r="U204" s="28">
        <f t="shared" si="12"/>
        <v>-9.3912300683371266E-2</v>
      </c>
    </row>
    <row r="205" spans="1:21" x14ac:dyDescent="0.25">
      <c r="B205" s="9"/>
      <c r="C205" s="17">
        <v>657.08</v>
      </c>
      <c r="D205" s="18">
        <v>38.271000000000001</v>
      </c>
      <c r="E205" s="18">
        <v>43.723999999999997</v>
      </c>
      <c r="F205" s="18">
        <v>45.773000000000003</v>
      </c>
      <c r="G205" s="18">
        <v>59.42</v>
      </c>
      <c r="H205" s="18">
        <f t="shared" si="13"/>
        <v>39.890375000000006</v>
      </c>
      <c r="I205" s="5"/>
      <c r="J205" s="17">
        <v>506.86689999999999</v>
      </c>
      <c r="K205" s="18">
        <v>40.787799999999997</v>
      </c>
      <c r="L205" s="18">
        <v>48.139400000000002</v>
      </c>
      <c r="M205" s="18">
        <v>49.173699999999997</v>
      </c>
      <c r="N205" s="18">
        <v>56.1342</v>
      </c>
      <c r="O205" s="18">
        <f t="shared" si="14"/>
        <v>42.754987499999999</v>
      </c>
      <c r="P205" s="7"/>
      <c r="Q205" s="10"/>
      <c r="R205" s="11"/>
      <c r="S205" s="11"/>
      <c r="T205" s="26"/>
      <c r="U205" s="28">
        <f t="shared" si="12"/>
        <v>-5.5297879501851256E-2</v>
      </c>
    </row>
    <row r="206" spans="1:21" ht="16.5" thickBot="1" x14ac:dyDescent="0.3">
      <c r="B206" s="12"/>
      <c r="C206" s="19">
        <v>310.81</v>
      </c>
      <c r="D206" s="20">
        <v>33.408000000000001</v>
      </c>
      <c r="E206" s="20">
        <v>40.578000000000003</v>
      </c>
      <c r="F206" s="20">
        <v>43.143999999999998</v>
      </c>
      <c r="G206" s="20">
        <v>70.27</v>
      </c>
      <c r="H206" s="20">
        <f t="shared" si="13"/>
        <v>35.521250000000002</v>
      </c>
      <c r="I206" s="5"/>
      <c r="J206" s="19">
        <v>257.73110000000003</v>
      </c>
      <c r="K206" s="20">
        <v>37.492600000000003</v>
      </c>
      <c r="L206" s="20">
        <v>45.318899999999999</v>
      </c>
      <c r="M206" s="20">
        <v>46.686900000000001</v>
      </c>
      <c r="N206" s="20">
        <v>72.839100000000002</v>
      </c>
      <c r="O206" s="20">
        <f t="shared" si="14"/>
        <v>39.620174999999996</v>
      </c>
      <c r="P206" s="7"/>
      <c r="Q206" s="13"/>
      <c r="R206" s="14"/>
      <c r="S206" s="14"/>
      <c r="T206" s="27"/>
      <c r="U206" s="28">
        <f t="shared" si="12"/>
        <v>3.656040984773027E-2</v>
      </c>
    </row>
    <row r="207" spans="1:21" x14ac:dyDescent="0.25">
      <c r="B207" s="6" t="s">
        <v>101</v>
      </c>
      <c r="C207" s="15">
        <v>1991.58</v>
      </c>
      <c r="D207" s="16">
        <v>55.21</v>
      </c>
      <c r="E207" s="16">
        <v>55.4</v>
      </c>
      <c r="F207" s="16">
        <v>55.731000000000002</v>
      </c>
      <c r="G207" s="16">
        <v>140.54</v>
      </c>
      <c r="H207" s="16">
        <f t="shared" si="13"/>
        <v>55.298874999999995</v>
      </c>
      <c r="I207" s="5"/>
      <c r="J207" s="15">
        <v>1430.3054999999999</v>
      </c>
      <c r="K207" s="16">
        <v>53.281700000000001</v>
      </c>
      <c r="L207" s="16">
        <v>54.0852</v>
      </c>
      <c r="M207" s="16">
        <v>54.6601</v>
      </c>
      <c r="N207" s="16">
        <v>73.918899999999994</v>
      </c>
      <c r="O207" s="16">
        <f t="shared" si="14"/>
        <v>53.554437499999999</v>
      </c>
      <c r="P207" s="7"/>
      <c r="Q207" s="8">
        <f>bdrate(C207:C210,D207:D210,J207:J210,K207:K210)</f>
        <v>-0.10492284307151489</v>
      </c>
      <c r="R207" s="8">
        <f>bdrate(C207:C210,E207:E210,J207:J210,L207:L210)</f>
        <v>-0.26126007953010655</v>
      </c>
      <c r="S207" s="8">
        <f>bdrate(C207:C210,F207:F210,J207:J210,M207:M210)</f>
        <v>-0.26547983068158032</v>
      </c>
      <c r="T207" s="25">
        <f>bdrate(C207:C210,H207:H210,J207:J210,O207:O210)</f>
        <v>-0.14451973295977583</v>
      </c>
      <c r="U207" s="28">
        <f t="shared" si="12"/>
        <v>-0.4740365732175893</v>
      </c>
    </row>
    <row r="208" spans="1:21" x14ac:dyDescent="0.25">
      <c r="B208" s="9"/>
      <c r="C208" s="17">
        <v>1329.24</v>
      </c>
      <c r="D208" s="18">
        <v>52.530999999999999</v>
      </c>
      <c r="E208" s="18">
        <v>52.851999999999997</v>
      </c>
      <c r="F208" s="18">
        <v>53.281999999999996</v>
      </c>
      <c r="G208" s="18">
        <v>150.41</v>
      </c>
      <c r="H208" s="18">
        <f t="shared" si="13"/>
        <v>52.664999999999992</v>
      </c>
      <c r="I208" s="5"/>
      <c r="J208" s="17">
        <v>975.37630000000001</v>
      </c>
      <c r="K208" s="18">
        <v>51.295400000000001</v>
      </c>
      <c r="L208" s="18">
        <v>52.493600000000001</v>
      </c>
      <c r="M208" s="18">
        <v>53.041800000000002</v>
      </c>
      <c r="N208" s="18">
        <v>91.789900000000003</v>
      </c>
      <c r="O208" s="18">
        <f t="shared" si="14"/>
        <v>51.663475000000005</v>
      </c>
      <c r="P208" s="7"/>
      <c r="Q208" s="10"/>
      <c r="R208" s="11"/>
      <c r="S208" s="11"/>
      <c r="T208" s="26"/>
      <c r="U208" s="28">
        <f t="shared" si="12"/>
        <v>-0.38973538993417989</v>
      </c>
    </row>
    <row r="209" spans="2:21" x14ac:dyDescent="0.25">
      <c r="B209" s="9"/>
      <c r="C209" s="17">
        <v>810.33</v>
      </c>
      <c r="D209" s="18">
        <v>49.460999999999999</v>
      </c>
      <c r="E209" s="18">
        <v>49.896999999999998</v>
      </c>
      <c r="F209" s="18">
        <v>50.436999999999998</v>
      </c>
      <c r="G209" s="18">
        <v>159.15</v>
      </c>
      <c r="H209" s="18">
        <f t="shared" si="13"/>
        <v>49.637499999999996</v>
      </c>
      <c r="I209" s="5"/>
      <c r="J209" s="17">
        <v>604.50720000000001</v>
      </c>
      <c r="K209" s="18">
        <v>48.4542</v>
      </c>
      <c r="L209" s="18">
        <v>50.103000000000002</v>
      </c>
      <c r="M209" s="18">
        <v>50.6432</v>
      </c>
      <c r="N209" s="18">
        <v>117.50109999999999</v>
      </c>
      <c r="O209" s="18">
        <f t="shared" si="14"/>
        <v>48.933924999999995</v>
      </c>
      <c r="P209" s="7"/>
      <c r="Q209" s="10"/>
      <c r="R209" s="11"/>
      <c r="S209" s="11"/>
      <c r="T209" s="26"/>
      <c r="U209" s="28">
        <f t="shared" si="12"/>
        <v>-0.2616958843857996</v>
      </c>
    </row>
    <row r="210" spans="2:21" ht="16.5" thickBot="1" x14ac:dyDescent="0.3">
      <c r="B210" s="12"/>
      <c r="C210" s="19">
        <v>383.32</v>
      </c>
      <c r="D210" s="20">
        <v>44.905999999999999</v>
      </c>
      <c r="E210" s="20">
        <v>45.512999999999998</v>
      </c>
      <c r="F210" s="20">
        <v>46.091000000000001</v>
      </c>
      <c r="G210" s="20">
        <v>169.92</v>
      </c>
      <c r="H210" s="20">
        <f t="shared" si="13"/>
        <v>45.129999999999995</v>
      </c>
      <c r="I210" s="5"/>
      <c r="J210" s="19">
        <v>307.97309999999999</v>
      </c>
      <c r="K210" s="20">
        <v>44.004600000000003</v>
      </c>
      <c r="L210" s="20">
        <v>46.345799999999997</v>
      </c>
      <c r="M210" s="20">
        <v>46.911499999999997</v>
      </c>
      <c r="N210" s="20">
        <v>148.31909999999999</v>
      </c>
      <c r="O210" s="20">
        <f t="shared" si="14"/>
        <v>44.660612499999999</v>
      </c>
      <c r="P210" s="7"/>
      <c r="Q210" s="13"/>
      <c r="R210" s="14"/>
      <c r="S210" s="14"/>
      <c r="T210" s="27"/>
      <c r="U210" s="28">
        <f t="shared" si="12"/>
        <v>-0.12712394067796609</v>
      </c>
    </row>
    <row r="211" spans="2:21" x14ac:dyDescent="0.25">
      <c r="B211" s="6" t="s">
        <v>102</v>
      </c>
      <c r="C211" s="15">
        <v>2167.06</v>
      </c>
      <c r="D211" s="16">
        <v>44.674999999999997</v>
      </c>
      <c r="E211" s="16">
        <v>46.131</v>
      </c>
      <c r="F211" s="16">
        <v>46.588999999999999</v>
      </c>
      <c r="G211" s="16">
        <v>56.2</v>
      </c>
      <c r="H211" s="16">
        <f t="shared" si="13"/>
        <v>45.096249999999991</v>
      </c>
      <c r="I211" s="5"/>
      <c r="J211" s="15">
        <v>1487.7192</v>
      </c>
      <c r="K211" s="16">
        <v>44.114100000000001</v>
      </c>
      <c r="L211" s="16">
        <v>46.5884</v>
      </c>
      <c r="M211" s="16">
        <v>47.0045</v>
      </c>
      <c r="N211" s="16">
        <v>45.642400000000002</v>
      </c>
      <c r="O211" s="16">
        <f t="shared" si="14"/>
        <v>44.784687499999997</v>
      </c>
      <c r="P211" s="7"/>
      <c r="Q211" s="8">
        <f>bdrate(C211:C214,D211:D214,J211:J214,K211:K214)</f>
        <v>-0.31798087255754426</v>
      </c>
      <c r="R211" s="8">
        <f>bdrate(C211:C214,E211:E214,J211:J214,L211:L214)</f>
        <v>-0.45864374187904067</v>
      </c>
      <c r="S211" s="8">
        <f>bdrate(C211:C214,F211:F214,J211:J214,M211:M214)</f>
        <v>-0.44586212704679373</v>
      </c>
      <c r="T211" s="25">
        <f>bdrate(C211:C214,H211:H214,J211:J214,O211:O214)</f>
        <v>-0.34441340363964412</v>
      </c>
      <c r="U211" s="28">
        <f t="shared" si="12"/>
        <v>-0.18785765124555159</v>
      </c>
    </row>
    <row r="212" spans="2:21" x14ac:dyDescent="0.25">
      <c r="B212" s="9"/>
      <c r="C212" s="17">
        <v>1445.54</v>
      </c>
      <c r="D212" s="18">
        <v>42.420999999999999</v>
      </c>
      <c r="E212" s="18">
        <v>44.356999999999999</v>
      </c>
      <c r="F212" s="18">
        <v>44.84</v>
      </c>
      <c r="G212" s="18">
        <v>62.03</v>
      </c>
      <c r="H212" s="18">
        <f t="shared" si="13"/>
        <v>42.965375000000009</v>
      </c>
      <c r="I212" s="5"/>
      <c r="J212" s="17">
        <v>996.91589999999997</v>
      </c>
      <c r="K212" s="18">
        <v>42.2121</v>
      </c>
      <c r="L212" s="18">
        <v>45.174999999999997</v>
      </c>
      <c r="M212" s="18">
        <v>45.560600000000001</v>
      </c>
      <c r="N212" s="18">
        <v>54.375700000000002</v>
      </c>
      <c r="O212" s="18">
        <f t="shared" si="14"/>
        <v>43.001025000000006</v>
      </c>
      <c r="P212" s="7"/>
      <c r="Q212" s="10"/>
      <c r="R212" s="11"/>
      <c r="S212" s="11"/>
      <c r="T212" s="26"/>
      <c r="U212" s="28">
        <f t="shared" si="12"/>
        <v>-0.12339674351120423</v>
      </c>
    </row>
    <row r="213" spans="2:21" x14ac:dyDescent="0.25">
      <c r="B213" s="9"/>
      <c r="C213" s="17">
        <v>881.32</v>
      </c>
      <c r="D213" s="18">
        <v>39.506999999999998</v>
      </c>
      <c r="E213" s="18">
        <v>42.307000000000002</v>
      </c>
      <c r="F213" s="18">
        <v>42.798999999999999</v>
      </c>
      <c r="G213" s="18">
        <v>68.56</v>
      </c>
      <c r="H213" s="18">
        <f t="shared" si="13"/>
        <v>40.268499999999996</v>
      </c>
      <c r="I213" s="5"/>
      <c r="J213" s="17">
        <v>597.82159999999999</v>
      </c>
      <c r="K213" s="18">
        <v>39.532499999999999</v>
      </c>
      <c r="L213" s="18">
        <v>43.249299999999998</v>
      </c>
      <c r="M213" s="18">
        <v>43.6509</v>
      </c>
      <c r="N213" s="18">
        <v>66.420699999999997</v>
      </c>
      <c r="O213" s="18">
        <f t="shared" si="14"/>
        <v>40.511899999999997</v>
      </c>
      <c r="P213" s="7"/>
      <c r="Q213" s="10"/>
      <c r="R213" s="11"/>
      <c r="S213" s="11"/>
      <c r="T213" s="26"/>
      <c r="U213" s="28">
        <f t="shared" si="12"/>
        <v>-3.1203325554259125E-2</v>
      </c>
    </row>
    <row r="214" spans="2:21" ht="16.5" thickBot="1" x14ac:dyDescent="0.3">
      <c r="B214" s="12"/>
      <c r="C214" s="19">
        <v>419.87</v>
      </c>
      <c r="D214" s="20">
        <v>34.887</v>
      </c>
      <c r="E214" s="20">
        <v>39.420999999999999</v>
      </c>
      <c r="F214" s="20">
        <v>40.015999999999998</v>
      </c>
      <c r="G214" s="20">
        <v>76.92</v>
      </c>
      <c r="H214" s="20">
        <f t="shared" ref="H214:H246" si="15">(6*D214+E214+F214)/8</f>
        <v>36.094875000000002</v>
      </c>
      <c r="I214" s="5"/>
      <c r="J214" s="19">
        <v>300.7833</v>
      </c>
      <c r="K214" s="20">
        <v>35.816400000000002</v>
      </c>
      <c r="L214" s="20">
        <v>40.856099999999998</v>
      </c>
      <c r="M214" s="20">
        <v>41.260599999999997</v>
      </c>
      <c r="N214" s="20">
        <v>84.6541</v>
      </c>
      <c r="O214" s="20">
        <f t="shared" ref="O214:O246" si="16">(6*K214+L214+M214)/8</f>
        <v>37.126887500000002</v>
      </c>
      <c r="P214" s="7"/>
      <c r="Q214" s="13"/>
      <c r="R214" s="14"/>
      <c r="S214" s="14"/>
      <c r="T214" s="27"/>
      <c r="U214" s="28">
        <f t="shared" ref="U214:U246" si="17">(N214-G214)/G214</f>
        <v>0.10054732189287569</v>
      </c>
    </row>
    <row r="215" spans="2:21" x14ac:dyDescent="0.25">
      <c r="B215" s="6" t="s">
        <v>103</v>
      </c>
      <c r="C215" s="29">
        <v>2059.64</v>
      </c>
      <c r="D215" s="30">
        <v>40.668999999999997</v>
      </c>
      <c r="E215" s="30">
        <v>44.439</v>
      </c>
      <c r="F215" s="30">
        <v>44.460999999999999</v>
      </c>
      <c r="G215" s="16">
        <v>46.2</v>
      </c>
      <c r="H215" s="16">
        <f t="shared" si="15"/>
        <v>41.614249999999998</v>
      </c>
      <c r="I215" s="5"/>
      <c r="J215" s="29">
        <v>1497.9206999999999</v>
      </c>
      <c r="K215" s="30">
        <v>40.033099999999997</v>
      </c>
      <c r="L215" s="30">
        <v>44.755400000000002</v>
      </c>
      <c r="M215" s="30">
        <v>44.745800000000003</v>
      </c>
      <c r="N215" s="16">
        <v>44.636200000000002</v>
      </c>
      <c r="O215" s="16">
        <f t="shared" si="16"/>
        <v>41.212474999999998</v>
      </c>
      <c r="P215" s="7"/>
      <c r="Q215" s="8">
        <f>bdrate(C215:C218,D215:D218,J215:J218,K215:K218)</f>
        <v>-0.26943096606114314</v>
      </c>
      <c r="R215" s="8">
        <f>bdrate(C215:C218,E215:E218,J215:J218,L215:L218)</f>
        <v>-0.42869843513628025</v>
      </c>
      <c r="S215" s="8">
        <f>bdrate(C215:C218,F215:F218,J215:J218,M215:M218)</f>
        <v>-0.41927427046898214</v>
      </c>
      <c r="T215" s="25">
        <f>bdrate(C215:C218,H215:H218,J215:J218,O215:O218)</f>
        <v>-0.29842609866926306</v>
      </c>
      <c r="U215" s="28">
        <f t="shared" si="17"/>
        <v>-3.3848484848484857E-2</v>
      </c>
    </row>
    <row r="216" spans="2:21" x14ac:dyDescent="0.25">
      <c r="B216" s="9"/>
      <c r="C216" s="31">
        <v>1379.53</v>
      </c>
      <c r="D216" s="32">
        <v>38.518999999999998</v>
      </c>
      <c r="E216" s="32">
        <v>42.902999999999999</v>
      </c>
      <c r="F216" s="32">
        <v>42.904000000000003</v>
      </c>
      <c r="G216" s="18">
        <v>52.18</v>
      </c>
      <c r="H216" s="18">
        <f t="shared" si="15"/>
        <v>39.615124999999999</v>
      </c>
      <c r="I216" s="5"/>
      <c r="J216" s="31">
        <v>998.31870000000004</v>
      </c>
      <c r="K216" s="32">
        <v>38.154000000000003</v>
      </c>
      <c r="L216" s="32">
        <v>43.510800000000003</v>
      </c>
      <c r="M216" s="32">
        <v>43.465299999999999</v>
      </c>
      <c r="N216" s="18">
        <v>51.565600000000003</v>
      </c>
      <c r="O216" s="18">
        <f t="shared" si="16"/>
        <v>39.487512500000008</v>
      </c>
      <c r="P216" s="7"/>
      <c r="Q216" s="10"/>
      <c r="R216" s="11"/>
      <c r="S216" s="11"/>
      <c r="T216" s="26"/>
      <c r="U216" s="28">
        <f t="shared" si="17"/>
        <v>-1.177462629359901E-2</v>
      </c>
    </row>
    <row r="217" spans="2:21" x14ac:dyDescent="0.25">
      <c r="B217" s="9"/>
      <c r="C217" s="31">
        <v>843.61</v>
      </c>
      <c r="D217" s="32">
        <v>35.921999999999997</v>
      </c>
      <c r="E217" s="32">
        <v>41.201999999999998</v>
      </c>
      <c r="F217" s="32">
        <v>41.168999999999997</v>
      </c>
      <c r="G217" s="18">
        <v>57.26</v>
      </c>
      <c r="H217" s="18">
        <f t="shared" si="15"/>
        <v>37.237874999999995</v>
      </c>
      <c r="I217" s="5"/>
      <c r="J217" s="31">
        <v>598.6703</v>
      </c>
      <c r="K217" s="32">
        <v>35.779400000000003</v>
      </c>
      <c r="L217" s="32">
        <v>41.9771</v>
      </c>
      <c r="M217" s="32">
        <v>41.904299999999999</v>
      </c>
      <c r="N217" s="18">
        <v>61.504800000000003</v>
      </c>
      <c r="O217" s="18">
        <f t="shared" si="16"/>
        <v>37.319724999999998</v>
      </c>
      <c r="P217" s="7"/>
      <c r="Q217" s="10"/>
      <c r="R217" s="11"/>
      <c r="S217" s="11"/>
      <c r="T217" s="26"/>
      <c r="U217" s="28">
        <f t="shared" si="17"/>
        <v>7.4132029339853397E-2</v>
      </c>
    </row>
    <row r="218" spans="2:21" ht="16.5" thickBot="1" x14ac:dyDescent="0.3">
      <c r="B218" s="12"/>
      <c r="C218" s="33">
        <v>403.79</v>
      </c>
      <c r="D218" s="34">
        <v>31.684999999999999</v>
      </c>
      <c r="E218" s="34">
        <v>38.914000000000001</v>
      </c>
      <c r="F218" s="34">
        <v>38.774000000000001</v>
      </c>
      <c r="G218" s="20">
        <v>65.67</v>
      </c>
      <c r="H218" s="20">
        <f t="shared" si="15"/>
        <v>33.47475</v>
      </c>
      <c r="I218" s="5"/>
      <c r="J218" s="33">
        <v>299.8689</v>
      </c>
      <c r="K218" s="34">
        <v>32.8065</v>
      </c>
      <c r="L218" s="34">
        <v>40.165999999999997</v>
      </c>
      <c r="M218" s="34">
        <v>40.0548</v>
      </c>
      <c r="N218" s="20">
        <v>78.465599999999995</v>
      </c>
      <c r="O218" s="20">
        <f t="shared" si="16"/>
        <v>34.632474999999999</v>
      </c>
      <c r="P218" s="7"/>
      <c r="Q218" s="13"/>
      <c r="R218" s="14"/>
      <c r="S218" s="14"/>
      <c r="T218" s="27"/>
      <c r="U218" s="28">
        <f t="shared" si="17"/>
        <v>0.19484696208314287</v>
      </c>
    </row>
    <row r="219" spans="2:21" x14ac:dyDescent="0.25">
      <c r="B219" s="6" t="s">
        <v>104</v>
      </c>
      <c r="C219" s="15">
        <v>2119.83</v>
      </c>
      <c r="D219" s="16">
        <v>39.121000000000002</v>
      </c>
      <c r="E219" s="16">
        <v>42.069000000000003</v>
      </c>
      <c r="F219" s="16">
        <v>42.610999999999997</v>
      </c>
      <c r="G219" s="16">
        <v>56.86</v>
      </c>
      <c r="H219" s="16">
        <f t="shared" si="15"/>
        <v>39.925750000000001</v>
      </c>
      <c r="I219" s="5"/>
      <c r="J219" s="15">
        <v>1509.9743000000001</v>
      </c>
      <c r="K219" s="16">
        <v>38.124400000000001</v>
      </c>
      <c r="L219" s="16">
        <v>43.071800000000003</v>
      </c>
      <c r="M219" s="16">
        <v>43.5685</v>
      </c>
      <c r="N219" s="16">
        <v>47.322299999999998</v>
      </c>
      <c r="O219" s="16">
        <f t="shared" si="16"/>
        <v>39.423337500000002</v>
      </c>
      <c r="P219" s="7"/>
      <c r="Q219" s="8">
        <f>bdrate(C219:C222,D219:D222,J219:J222,K219:K222)</f>
        <v>-0.21385307002193965</v>
      </c>
      <c r="R219" s="8">
        <f>bdrate(C219:C222,E219:E222,J219:J222,L219:L222)</f>
        <v>-0.50901858983559467</v>
      </c>
      <c r="S219" s="8">
        <f>bdrate(C219:C222,F219:F222,J219:J222,M219:M222)</f>
        <v>-0.50237720669502384</v>
      </c>
      <c r="T219" s="25">
        <f>bdrate(C219:C222,H219:H222,J219:J222,O219:O222)</f>
        <v>-0.2745793387463028</v>
      </c>
      <c r="U219" s="28">
        <f t="shared" si="17"/>
        <v>-0.16774006331340136</v>
      </c>
    </row>
    <row r="220" spans="2:21" x14ac:dyDescent="0.25">
      <c r="B220" s="9"/>
      <c r="C220" s="17">
        <v>1415.04</v>
      </c>
      <c r="D220" s="18">
        <v>36.985999999999997</v>
      </c>
      <c r="E220" s="18">
        <v>40.456000000000003</v>
      </c>
      <c r="F220" s="18">
        <v>41.091000000000001</v>
      </c>
      <c r="G220" s="18">
        <v>63.6</v>
      </c>
      <c r="H220" s="18">
        <f t="shared" si="15"/>
        <v>37.932875000000003</v>
      </c>
      <c r="I220" s="5"/>
      <c r="J220" s="17">
        <v>1008.422</v>
      </c>
      <c r="K220" s="18">
        <v>36.247799999999998</v>
      </c>
      <c r="L220" s="18">
        <v>41.746000000000002</v>
      </c>
      <c r="M220" s="18">
        <v>42.314300000000003</v>
      </c>
      <c r="N220" s="18">
        <v>54.761200000000002</v>
      </c>
      <c r="O220" s="18">
        <f t="shared" si="16"/>
        <v>37.6933875</v>
      </c>
      <c r="P220" s="7"/>
      <c r="Q220" s="10"/>
      <c r="R220" s="11"/>
      <c r="S220" s="11"/>
      <c r="T220" s="26"/>
      <c r="U220" s="28">
        <f t="shared" si="17"/>
        <v>-0.13897484276729558</v>
      </c>
    </row>
    <row r="221" spans="2:21" x14ac:dyDescent="0.25">
      <c r="B221" s="9"/>
      <c r="C221" s="17">
        <v>859.67</v>
      </c>
      <c r="D221" s="18">
        <v>34.423999999999999</v>
      </c>
      <c r="E221" s="18">
        <v>38.725999999999999</v>
      </c>
      <c r="F221" s="18">
        <v>39.478999999999999</v>
      </c>
      <c r="G221" s="18">
        <v>70.48</v>
      </c>
      <c r="H221" s="18">
        <f t="shared" si="15"/>
        <v>35.593624999999996</v>
      </c>
      <c r="I221" s="5"/>
      <c r="J221" s="17">
        <v>604.47889999999995</v>
      </c>
      <c r="K221" s="18">
        <v>33.851799999999997</v>
      </c>
      <c r="L221" s="18">
        <v>39.962000000000003</v>
      </c>
      <c r="M221" s="18">
        <v>40.576300000000003</v>
      </c>
      <c r="N221" s="18">
        <v>63.051699999999997</v>
      </c>
      <c r="O221" s="18">
        <f t="shared" si="16"/>
        <v>35.456137499999997</v>
      </c>
      <c r="P221" s="7"/>
      <c r="Q221" s="10"/>
      <c r="R221" s="11"/>
      <c r="S221" s="11"/>
      <c r="T221" s="26"/>
      <c r="U221" s="28">
        <f t="shared" si="17"/>
        <v>-0.10539585698070385</v>
      </c>
    </row>
    <row r="222" spans="2:21" ht="16.5" thickBot="1" x14ac:dyDescent="0.3">
      <c r="B222" s="12"/>
      <c r="C222" s="19">
        <v>404.65</v>
      </c>
      <c r="D222" s="20">
        <v>30.288</v>
      </c>
      <c r="E222" s="20">
        <v>36.317</v>
      </c>
      <c r="F222" s="20">
        <v>37.226999999999997</v>
      </c>
      <c r="G222" s="20">
        <v>78.599999999999994</v>
      </c>
      <c r="H222" s="20">
        <f t="shared" si="15"/>
        <v>31.909000000000002</v>
      </c>
      <c r="I222" s="5"/>
      <c r="J222" s="19">
        <v>304.13549999999998</v>
      </c>
      <c r="K222" s="20">
        <v>30.7044</v>
      </c>
      <c r="L222" s="20">
        <v>37.7821</v>
      </c>
      <c r="M222" s="20">
        <v>38.528100000000002</v>
      </c>
      <c r="N222" s="20">
        <v>80.782700000000006</v>
      </c>
      <c r="O222" s="20">
        <f t="shared" si="16"/>
        <v>32.567075000000003</v>
      </c>
      <c r="P222" s="7"/>
      <c r="Q222" s="13"/>
      <c r="R222" s="14"/>
      <c r="S222" s="14"/>
      <c r="T222" s="27"/>
      <c r="U222" s="28">
        <f t="shared" si="17"/>
        <v>2.7769720101781314E-2</v>
      </c>
    </row>
    <row r="223" spans="2:21" x14ac:dyDescent="0.25">
      <c r="B223" s="6" t="s">
        <v>105</v>
      </c>
      <c r="C223" s="15">
        <v>2112.44</v>
      </c>
      <c r="D223" s="16">
        <v>38.883000000000003</v>
      </c>
      <c r="E223" s="16">
        <v>43.802</v>
      </c>
      <c r="F223" s="16">
        <v>45.482999999999997</v>
      </c>
      <c r="G223" s="16">
        <v>41.92</v>
      </c>
      <c r="H223" s="16">
        <f t="shared" si="15"/>
        <v>40.322875000000003</v>
      </c>
      <c r="I223" s="5"/>
      <c r="J223" s="15">
        <v>1509.7601</v>
      </c>
      <c r="K223" s="16">
        <v>37.982999999999997</v>
      </c>
      <c r="L223" s="16">
        <v>44.1083</v>
      </c>
      <c r="M223" s="16">
        <v>45.626100000000001</v>
      </c>
      <c r="N223" s="16">
        <v>43.623699999999999</v>
      </c>
      <c r="O223" s="16">
        <f t="shared" si="16"/>
        <v>39.704049999999995</v>
      </c>
      <c r="P223" s="7"/>
      <c r="Q223" s="8">
        <f>bdrate(C223:C226,D223:D226,J223:J226,K223:K226)</f>
        <v>-0.23887255710191468</v>
      </c>
      <c r="R223" s="8">
        <f>bdrate(C223:C226,E223:E226,J223:J226,L223:L226)</f>
        <v>-0.50193309248800722</v>
      </c>
      <c r="S223" s="8">
        <f>bdrate(C223:C226,F223:F226,J223:J226,M223:M226)</f>
        <v>-0.44296540376097726</v>
      </c>
      <c r="T223" s="25">
        <f>bdrate(C223:C226,H223:H226,J223:J226,O223:O226)</f>
        <v>-0.29030525786081907</v>
      </c>
      <c r="U223" s="28">
        <f t="shared" si="17"/>
        <v>4.0641698473282389E-2</v>
      </c>
    </row>
    <row r="224" spans="2:21" x14ac:dyDescent="0.25">
      <c r="B224" s="9"/>
      <c r="C224" s="17">
        <v>1409.76</v>
      </c>
      <c r="D224" s="18">
        <v>37.155000000000001</v>
      </c>
      <c r="E224" s="18">
        <v>42.518999999999998</v>
      </c>
      <c r="F224" s="18">
        <v>44.232999999999997</v>
      </c>
      <c r="G224" s="18">
        <v>48.2</v>
      </c>
      <c r="H224" s="18">
        <f t="shared" si="15"/>
        <v>38.710250000000002</v>
      </c>
      <c r="I224" s="5"/>
      <c r="J224" s="17">
        <v>1006.8415</v>
      </c>
      <c r="K224" s="18">
        <v>36.545299999999997</v>
      </c>
      <c r="L224" s="18">
        <v>43.2014</v>
      </c>
      <c r="M224" s="18">
        <v>44.656999999999996</v>
      </c>
      <c r="N224" s="18">
        <v>51.1233</v>
      </c>
      <c r="O224" s="18">
        <f t="shared" si="16"/>
        <v>38.391274999999993</v>
      </c>
      <c r="P224" s="7"/>
      <c r="Q224" s="10"/>
      <c r="R224" s="11"/>
      <c r="S224" s="11"/>
      <c r="T224" s="26"/>
      <c r="U224" s="28">
        <f t="shared" si="17"/>
        <v>6.0649377593360941E-2</v>
      </c>
    </row>
    <row r="225" spans="2:21" x14ac:dyDescent="0.25">
      <c r="B225" s="9"/>
      <c r="C225" s="17">
        <v>858.33</v>
      </c>
      <c r="D225" s="18">
        <v>35.063000000000002</v>
      </c>
      <c r="E225" s="18">
        <v>41.052</v>
      </c>
      <c r="F225" s="18">
        <v>42.661999999999999</v>
      </c>
      <c r="G225" s="18">
        <v>52.42</v>
      </c>
      <c r="H225" s="18">
        <f t="shared" si="15"/>
        <v>36.761499999999998</v>
      </c>
      <c r="I225" s="5"/>
      <c r="J225" s="17">
        <v>601.75469999999996</v>
      </c>
      <c r="K225" s="18">
        <v>34.836300000000001</v>
      </c>
      <c r="L225" s="18">
        <v>42.109699999999997</v>
      </c>
      <c r="M225" s="18">
        <v>43.453000000000003</v>
      </c>
      <c r="N225" s="18">
        <v>61.471200000000003</v>
      </c>
      <c r="O225" s="18">
        <f t="shared" si="16"/>
        <v>36.822562500000004</v>
      </c>
      <c r="P225" s="7"/>
      <c r="Q225" s="10"/>
      <c r="R225" s="11"/>
      <c r="S225" s="11"/>
      <c r="T225" s="26"/>
      <c r="U225" s="28">
        <f t="shared" si="17"/>
        <v>0.17266692102251052</v>
      </c>
    </row>
    <row r="226" spans="2:21" ht="16.5" thickBot="1" x14ac:dyDescent="0.3">
      <c r="B226" s="12"/>
      <c r="C226" s="19">
        <v>404.8</v>
      </c>
      <c r="D226" s="20">
        <v>32.143000000000001</v>
      </c>
      <c r="E226" s="20">
        <v>39.106000000000002</v>
      </c>
      <c r="F226" s="20">
        <v>40.192</v>
      </c>
      <c r="G226" s="20">
        <v>65.67</v>
      </c>
      <c r="H226" s="20">
        <f t="shared" si="15"/>
        <v>34.019500000000001</v>
      </c>
      <c r="I226" s="5"/>
      <c r="J226" s="19">
        <v>300.4316</v>
      </c>
      <c r="K226" s="20">
        <v>32.728000000000002</v>
      </c>
      <c r="L226" s="20">
        <v>40.759399999999999</v>
      </c>
      <c r="M226" s="20">
        <v>41.877200000000002</v>
      </c>
      <c r="N226" s="20">
        <v>79.027100000000004</v>
      </c>
      <c r="O226" s="20">
        <f t="shared" si="16"/>
        <v>34.875574999999998</v>
      </c>
      <c r="P226" s="7"/>
      <c r="Q226" s="13"/>
      <c r="R226" s="14"/>
      <c r="S226" s="14"/>
      <c r="T226" s="27"/>
      <c r="U226" s="28">
        <f t="shared" si="17"/>
        <v>0.20339728947769153</v>
      </c>
    </row>
    <row r="227" spans="2:21" x14ac:dyDescent="0.25">
      <c r="B227" s="6" t="s">
        <v>106</v>
      </c>
      <c r="C227" s="15">
        <v>2220.81</v>
      </c>
      <c r="D227" s="16">
        <v>49.82</v>
      </c>
      <c r="E227" s="16">
        <v>53.857999999999997</v>
      </c>
      <c r="F227" s="16">
        <v>55.15</v>
      </c>
      <c r="G227" s="16">
        <v>54.81</v>
      </c>
      <c r="H227" s="16">
        <f t="shared" si="15"/>
        <v>50.991</v>
      </c>
      <c r="I227" s="5"/>
      <c r="J227" s="15">
        <v>1499.2367999999999</v>
      </c>
      <c r="K227" s="16">
        <v>49.3748</v>
      </c>
      <c r="L227" s="16">
        <v>54.2971</v>
      </c>
      <c r="M227" s="16">
        <v>55.735300000000002</v>
      </c>
      <c r="N227" s="16">
        <v>55.954700000000003</v>
      </c>
      <c r="O227" s="16">
        <f t="shared" si="16"/>
        <v>50.785150000000002</v>
      </c>
      <c r="P227" s="7"/>
      <c r="Q227" s="8">
        <f>bdrate(C227:C230,D227:D230,J227:J230,K227:K230)</f>
        <v>-0.41380996993038943</v>
      </c>
      <c r="R227" s="8">
        <f>bdrate(C227:C230,E227:E230,J227:J230,L227:L230)</f>
        <v>-0.55286547827634025</v>
      </c>
      <c r="S227" s="8">
        <f>bdrate(C227:C230,F227:F230,J227:J230,M227:M230)</f>
        <v>-0.5608972016034135</v>
      </c>
      <c r="T227" s="25">
        <f>bdrate(C227:C230,H227:H230,J227:J230,O227:O230)</f>
        <v>-0.44854505058493266</v>
      </c>
      <c r="U227" s="28">
        <f t="shared" si="17"/>
        <v>2.088487502280606E-2</v>
      </c>
    </row>
    <row r="228" spans="2:21" x14ac:dyDescent="0.25">
      <c r="B228" s="9"/>
      <c r="C228" s="17">
        <v>1473.01</v>
      </c>
      <c r="D228" s="18">
        <v>47.576000000000001</v>
      </c>
      <c r="E228" s="18">
        <v>51.625</v>
      </c>
      <c r="F228" s="18">
        <v>53.072000000000003</v>
      </c>
      <c r="G228" s="18">
        <v>61.96</v>
      </c>
      <c r="H228" s="18">
        <f t="shared" si="15"/>
        <v>48.769125000000003</v>
      </c>
      <c r="I228" s="5"/>
      <c r="J228" s="17">
        <v>998.62249999999995</v>
      </c>
      <c r="K228" s="18">
        <v>47.782699999999998</v>
      </c>
      <c r="L228" s="18">
        <v>52.941699999999997</v>
      </c>
      <c r="M228" s="18">
        <v>54.447499999999998</v>
      </c>
      <c r="N228" s="18">
        <v>64.602999999999994</v>
      </c>
      <c r="O228" s="18">
        <f t="shared" si="16"/>
        <v>49.260674999999992</v>
      </c>
      <c r="P228" s="7"/>
      <c r="Q228" s="10"/>
      <c r="R228" s="11"/>
      <c r="S228" s="11"/>
      <c r="T228" s="26"/>
      <c r="U228" s="28">
        <f t="shared" si="17"/>
        <v>4.2656552614589956E-2</v>
      </c>
    </row>
    <row r="229" spans="2:21" x14ac:dyDescent="0.25">
      <c r="B229" s="9"/>
      <c r="C229" s="17">
        <v>885.61</v>
      </c>
      <c r="D229" s="18">
        <v>44.707999999999998</v>
      </c>
      <c r="E229" s="18">
        <v>49.021999999999998</v>
      </c>
      <c r="F229" s="18">
        <v>50.585000000000001</v>
      </c>
      <c r="G229" s="18">
        <v>71.09</v>
      </c>
      <c r="H229" s="18">
        <f t="shared" si="15"/>
        <v>45.981874999999995</v>
      </c>
      <c r="I229" s="5"/>
      <c r="J229" s="17">
        <v>601.11450000000002</v>
      </c>
      <c r="K229" s="18">
        <v>45.7746</v>
      </c>
      <c r="L229" s="18">
        <v>51.265000000000001</v>
      </c>
      <c r="M229" s="18">
        <v>52.768900000000002</v>
      </c>
      <c r="N229" s="18">
        <v>76.608599999999996</v>
      </c>
      <c r="O229" s="18">
        <f t="shared" si="16"/>
        <v>47.335187500000004</v>
      </c>
      <c r="P229" s="7"/>
      <c r="Q229" s="10"/>
      <c r="R229" s="11"/>
      <c r="S229" s="11"/>
      <c r="T229" s="26"/>
      <c r="U229" s="28">
        <f t="shared" si="17"/>
        <v>7.7628358418905502E-2</v>
      </c>
    </row>
    <row r="230" spans="2:21" ht="16.5" thickBot="1" x14ac:dyDescent="0.3">
      <c r="B230" s="12"/>
      <c r="C230" s="19">
        <v>419.88</v>
      </c>
      <c r="D230" s="20">
        <v>41.664000000000001</v>
      </c>
      <c r="E230" s="20">
        <v>45.957000000000001</v>
      </c>
      <c r="F230" s="20">
        <v>47.497</v>
      </c>
      <c r="G230" s="20">
        <v>77.5</v>
      </c>
      <c r="H230" s="20">
        <f t="shared" si="15"/>
        <v>42.929750000000006</v>
      </c>
      <c r="I230" s="5"/>
      <c r="J230" s="19">
        <v>302.19029999999998</v>
      </c>
      <c r="K230" s="20">
        <v>42.869599999999998</v>
      </c>
      <c r="L230" s="20">
        <v>48.6631</v>
      </c>
      <c r="M230" s="20">
        <v>50.118899999999996</v>
      </c>
      <c r="N230" s="20">
        <v>98.478200000000001</v>
      </c>
      <c r="O230" s="20">
        <f t="shared" si="16"/>
        <v>44.499949999999998</v>
      </c>
      <c r="P230" s="7"/>
      <c r="Q230" s="13"/>
      <c r="R230" s="14"/>
      <c r="S230" s="14"/>
      <c r="T230" s="27"/>
      <c r="U230" s="28">
        <f t="shared" si="17"/>
        <v>0.27068645161290322</v>
      </c>
    </row>
    <row r="231" spans="2:21" x14ac:dyDescent="0.25">
      <c r="B231" s="6" t="s">
        <v>107</v>
      </c>
      <c r="C231" s="15">
        <v>2047.95</v>
      </c>
      <c r="D231" s="16">
        <v>33.484000000000002</v>
      </c>
      <c r="E231" s="16">
        <v>41.206000000000003</v>
      </c>
      <c r="F231" s="16">
        <v>40.517000000000003</v>
      </c>
      <c r="G231" s="16">
        <v>36.47</v>
      </c>
      <c r="H231" s="16">
        <f t="shared" si="15"/>
        <v>35.328375000000001</v>
      </c>
      <c r="I231" s="5"/>
      <c r="J231" s="15">
        <v>1493.0359000000001</v>
      </c>
      <c r="K231" s="16">
        <v>33.0167</v>
      </c>
      <c r="L231" s="16">
        <v>41.509900000000002</v>
      </c>
      <c r="M231" s="16">
        <v>40.8887</v>
      </c>
      <c r="N231" s="16">
        <v>31.3627</v>
      </c>
      <c r="O231" s="16">
        <f t="shared" si="16"/>
        <v>35.062349999999995</v>
      </c>
      <c r="P231" s="7"/>
      <c r="Q231" s="8">
        <f>bdrate(C231:C234,D231:D234,J231:J234,K231:K234)</f>
        <v>-0.31929949178571326</v>
      </c>
      <c r="R231" s="8">
        <f>bdrate(C231:C234,E231:E234,J231:J234,L231:L234)</f>
        <v>-0.44916695091536452</v>
      </c>
      <c r="S231" s="8">
        <f>bdrate(C231:C234,F231:F234,J231:J234,M231:M234)</f>
        <v>-0.46847592210942635</v>
      </c>
      <c r="T231" s="25">
        <f>bdrate(C231:C234,H231:H234,J231:J234,O231:O234)</f>
        <v>-0.34293345401776076</v>
      </c>
      <c r="U231" s="28">
        <f t="shared" si="17"/>
        <v>-0.14004112969564023</v>
      </c>
    </row>
    <row r="232" spans="2:21" x14ac:dyDescent="0.25">
      <c r="B232" s="9"/>
      <c r="C232" s="17">
        <v>1366.86</v>
      </c>
      <c r="D232" s="18">
        <v>31.495999999999999</v>
      </c>
      <c r="E232" s="18">
        <v>40.012999999999998</v>
      </c>
      <c r="F232" s="18">
        <v>39.247</v>
      </c>
      <c r="G232" s="18">
        <v>41.76</v>
      </c>
      <c r="H232" s="18">
        <f t="shared" si="15"/>
        <v>33.529499999999999</v>
      </c>
      <c r="I232" s="5"/>
      <c r="J232" s="17">
        <v>994.33799999999997</v>
      </c>
      <c r="K232" s="18">
        <v>31.3431</v>
      </c>
      <c r="L232" s="18">
        <v>40.6203</v>
      </c>
      <c r="M232" s="18">
        <v>39.996000000000002</v>
      </c>
      <c r="N232" s="18">
        <v>36.340899999999998</v>
      </c>
      <c r="O232" s="18">
        <f t="shared" si="16"/>
        <v>33.584362499999997</v>
      </c>
      <c r="P232" s="7"/>
      <c r="Q232" s="10"/>
      <c r="R232" s="11"/>
      <c r="S232" s="11"/>
      <c r="T232" s="26"/>
      <c r="U232" s="28">
        <f t="shared" si="17"/>
        <v>-0.12976772030651343</v>
      </c>
    </row>
    <row r="233" spans="2:21" x14ac:dyDescent="0.25">
      <c r="B233" s="9"/>
      <c r="C233" s="17">
        <v>829.17</v>
      </c>
      <c r="D233" s="18">
        <v>28.768999999999998</v>
      </c>
      <c r="E233" s="18">
        <v>38.526000000000003</v>
      </c>
      <c r="F233" s="18">
        <v>37.75</v>
      </c>
      <c r="G233" s="18">
        <v>47.4</v>
      </c>
      <c r="H233" s="18">
        <f t="shared" si="15"/>
        <v>31.111249999999998</v>
      </c>
      <c r="I233" s="5"/>
      <c r="J233" s="17">
        <v>596.67309999999998</v>
      </c>
      <c r="K233" s="18">
        <v>29.181000000000001</v>
      </c>
      <c r="L233" s="18">
        <v>39.3718</v>
      </c>
      <c r="M233" s="18">
        <v>38.702300000000001</v>
      </c>
      <c r="N233" s="18">
        <v>43.739199999999997</v>
      </c>
      <c r="O233" s="18">
        <f t="shared" si="16"/>
        <v>31.645012500000004</v>
      </c>
      <c r="P233" s="7"/>
      <c r="Q233" s="10"/>
      <c r="R233" s="11"/>
      <c r="S233" s="11"/>
      <c r="T233" s="26"/>
      <c r="U233" s="28">
        <f t="shared" si="17"/>
        <v>-7.7232067510548563E-2</v>
      </c>
    </row>
    <row r="234" spans="2:21" ht="16.5" thickBot="1" x14ac:dyDescent="0.3">
      <c r="B234" s="12"/>
      <c r="C234" s="19">
        <v>391.77</v>
      </c>
      <c r="D234" s="20">
        <v>24.53</v>
      </c>
      <c r="E234" s="20">
        <v>36.052999999999997</v>
      </c>
      <c r="F234" s="20">
        <v>35.360999999999997</v>
      </c>
      <c r="G234" s="20">
        <v>57.23</v>
      </c>
      <c r="H234" s="20">
        <f t="shared" si="15"/>
        <v>27.324249999999999</v>
      </c>
      <c r="I234" s="5"/>
      <c r="J234" s="19">
        <v>298.75040000000001</v>
      </c>
      <c r="K234" s="20">
        <v>26.405899999999999</v>
      </c>
      <c r="L234" s="20">
        <v>37.377800000000001</v>
      </c>
      <c r="M234" s="20">
        <v>36.719000000000001</v>
      </c>
      <c r="N234" s="20">
        <v>55.420400000000001</v>
      </c>
      <c r="O234" s="20">
        <f t="shared" si="16"/>
        <v>29.066524999999999</v>
      </c>
      <c r="P234" s="7"/>
      <c r="Q234" s="13"/>
      <c r="R234" s="14"/>
      <c r="S234" s="14"/>
      <c r="T234" s="27"/>
      <c r="U234" s="28">
        <f t="shared" si="17"/>
        <v>-3.1619779835750414E-2</v>
      </c>
    </row>
    <row r="235" spans="2:21" x14ac:dyDescent="0.25">
      <c r="B235" s="6" t="s">
        <v>108</v>
      </c>
      <c r="C235" s="15">
        <v>2340.1999999999998</v>
      </c>
      <c r="D235" s="16">
        <v>48.357999999999997</v>
      </c>
      <c r="E235" s="16">
        <v>48.604999999999997</v>
      </c>
      <c r="F235" s="16">
        <v>48.338000000000001</v>
      </c>
      <c r="G235" s="16">
        <v>65.7</v>
      </c>
      <c r="H235" s="16">
        <f t="shared" si="15"/>
        <v>48.386375000000001</v>
      </c>
      <c r="I235" s="5"/>
      <c r="J235" s="15">
        <v>1415.9531999999999</v>
      </c>
      <c r="K235" s="16">
        <v>46.731200000000001</v>
      </c>
      <c r="L235" s="16">
        <v>48.141300000000001</v>
      </c>
      <c r="M235" s="16">
        <v>48.033999999999999</v>
      </c>
      <c r="N235" s="16">
        <v>38.282400000000003</v>
      </c>
      <c r="O235" s="16">
        <f t="shared" si="16"/>
        <v>47.0703125</v>
      </c>
      <c r="P235" s="7"/>
      <c r="Q235" s="8">
        <f>bdrate(C235:C238,D235:D238,J235:J238,K235:K238)</f>
        <v>-0.22738677545244801</v>
      </c>
      <c r="R235" s="8">
        <f>bdrate(C235:C238,E235:E238,J235:J238,L235:L238)</f>
        <v>-0.38791440157382717</v>
      </c>
      <c r="S235" s="8">
        <f>bdrate(C235:C238,F235:F238,J235:J238,M235:M238)</f>
        <v>-0.40695888337955977</v>
      </c>
      <c r="T235" s="25">
        <f>bdrate(C235:C238,H235:H238,J235:J238,O235:O238)</f>
        <v>-0.26816554428959472</v>
      </c>
      <c r="U235" s="28">
        <f t="shared" si="17"/>
        <v>-0.41731506849315064</v>
      </c>
    </row>
    <row r="236" spans="2:21" x14ac:dyDescent="0.25">
      <c r="B236" s="9"/>
      <c r="C236" s="17">
        <v>1551.74</v>
      </c>
      <c r="D236" s="18">
        <v>46.351999999999997</v>
      </c>
      <c r="E236" s="18">
        <v>46.755000000000003</v>
      </c>
      <c r="F236" s="18">
        <v>46.503</v>
      </c>
      <c r="G236" s="18">
        <v>73.67</v>
      </c>
      <c r="H236" s="18">
        <f t="shared" si="15"/>
        <v>46.421249999999993</v>
      </c>
      <c r="I236" s="5"/>
      <c r="J236" s="17">
        <v>958.48590000000002</v>
      </c>
      <c r="K236" s="18">
        <v>45.1188</v>
      </c>
      <c r="L236" s="18">
        <v>46.747300000000003</v>
      </c>
      <c r="M236" s="18">
        <v>46.641199999999998</v>
      </c>
      <c r="N236" s="18">
        <v>52.880499999999998</v>
      </c>
      <c r="O236" s="18">
        <f t="shared" si="16"/>
        <v>45.512662500000005</v>
      </c>
      <c r="P236" s="7"/>
      <c r="Q236" s="10"/>
      <c r="R236" s="11"/>
      <c r="S236" s="11"/>
      <c r="T236" s="26"/>
      <c r="U236" s="28">
        <f t="shared" si="17"/>
        <v>-0.28219763811592241</v>
      </c>
    </row>
    <row r="237" spans="2:21" x14ac:dyDescent="0.25">
      <c r="B237" s="9"/>
      <c r="C237" s="17">
        <v>933.26</v>
      </c>
      <c r="D237" s="18">
        <v>43.531999999999996</v>
      </c>
      <c r="E237" s="18">
        <v>44.284999999999997</v>
      </c>
      <c r="F237" s="18">
        <v>43.948999999999998</v>
      </c>
      <c r="G237" s="18">
        <v>82.89</v>
      </c>
      <c r="H237" s="18">
        <f t="shared" si="15"/>
        <v>43.678249999999998</v>
      </c>
      <c r="I237" s="5"/>
      <c r="J237" s="17">
        <v>593.13509999999997</v>
      </c>
      <c r="K237" s="18">
        <v>42.273000000000003</v>
      </c>
      <c r="L237" s="18">
        <v>44.517699999999998</v>
      </c>
      <c r="M237" s="18">
        <v>44.3414</v>
      </c>
      <c r="N237" s="18">
        <v>68.796800000000005</v>
      </c>
      <c r="O237" s="18">
        <f t="shared" si="16"/>
        <v>42.812137500000006</v>
      </c>
      <c r="P237" s="7"/>
      <c r="Q237" s="10"/>
      <c r="R237" s="11"/>
      <c r="S237" s="11"/>
      <c r="T237" s="26"/>
      <c r="U237" s="28">
        <f t="shared" si="17"/>
        <v>-0.170022921944746</v>
      </c>
    </row>
    <row r="238" spans="2:21" ht="16.5" thickBot="1" x14ac:dyDescent="0.3">
      <c r="B238" s="12"/>
      <c r="C238" s="19">
        <v>432.99</v>
      </c>
      <c r="D238" s="20">
        <v>38.152999999999999</v>
      </c>
      <c r="E238" s="20">
        <v>40.173000000000002</v>
      </c>
      <c r="F238" s="20">
        <v>39.768999999999998</v>
      </c>
      <c r="G238" s="20">
        <v>94.8</v>
      </c>
      <c r="H238" s="20">
        <f t="shared" si="15"/>
        <v>38.607500000000002</v>
      </c>
      <c r="I238" s="5"/>
      <c r="J238" s="19">
        <v>302.90039999999999</v>
      </c>
      <c r="K238" s="20">
        <v>37.852699999999999</v>
      </c>
      <c r="L238" s="20">
        <v>41.038600000000002</v>
      </c>
      <c r="M238" s="20">
        <v>40.845500000000001</v>
      </c>
      <c r="N238" s="20">
        <v>86.496899999999997</v>
      </c>
      <c r="O238" s="20">
        <f t="shared" si="16"/>
        <v>38.625037500000005</v>
      </c>
      <c r="P238" s="7"/>
      <c r="Q238" s="13"/>
      <c r="R238" s="14"/>
      <c r="S238" s="14"/>
      <c r="T238" s="27"/>
      <c r="U238" s="28">
        <f t="shared" si="17"/>
        <v>-8.7585443037974692E-2</v>
      </c>
    </row>
    <row r="239" spans="2:21" x14ac:dyDescent="0.25">
      <c r="B239" s="6" t="s">
        <v>109</v>
      </c>
      <c r="C239" s="15">
        <v>2747.68</v>
      </c>
      <c r="D239" s="16">
        <v>50.146000000000001</v>
      </c>
      <c r="E239" s="16">
        <v>51.232999999999997</v>
      </c>
      <c r="F239" s="16">
        <v>51.466000000000001</v>
      </c>
      <c r="G239" s="16">
        <v>70.53</v>
      </c>
      <c r="H239" s="16">
        <f t="shared" si="15"/>
        <v>50.446874999999999</v>
      </c>
      <c r="I239" s="5"/>
      <c r="J239" s="15">
        <v>1420.1026999999999</v>
      </c>
      <c r="K239" s="16">
        <v>47.036099999999998</v>
      </c>
      <c r="L239" s="16">
        <v>49.913600000000002</v>
      </c>
      <c r="M239" s="16">
        <v>50.032499999999999</v>
      </c>
      <c r="N239" s="16">
        <v>39.166200000000003</v>
      </c>
      <c r="O239" s="16">
        <f t="shared" si="16"/>
        <v>47.770337499999997</v>
      </c>
      <c r="P239" s="7"/>
      <c r="Q239" s="8">
        <f>bdrate(C239:C242,D239:D242,J239:J242,K239:K242)</f>
        <v>-0.2981466327939073</v>
      </c>
      <c r="R239" s="8">
        <f>bdrate(C239:C242,E239:E242,J239:J242,L239:L242)</f>
        <v>-0.44805153402377329</v>
      </c>
      <c r="S239" s="8">
        <f>bdrate(C239:C242,F239:F242,J239:J242,M239:M242)</f>
        <v>-0.44914143238205617</v>
      </c>
      <c r="T239" s="25">
        <f>bdrate(C239:C242,H239:H242,J239:J242,O239:O242)</f>
        <v>-0.3342806900979659</v>
      </c>
      <c r="U239" s="28">
        <f t="shared" si="17"/>
        <v>-0.44468736707783918</v>
      </c>
    </row>
    <row r="240" spans="2:21" x14ac:dyDescent="0.25">
      <c r="B240" s="9"/>
      <c r="C240" s="17">
        <v>1820.76</v>
      </c>
      <c r="D240" s="18">
        <v>46.973999999999997</v>
      </c>
      <c r="E240" s="18">
        <v>48.406999999999996</v>
      </c>
      <c r="F240" s="18">
        <v>48.655999999999999</v>
      </c>
      <c r="G240" s="18">
        <v>77.739999999999995</v>
      </c>
      <c r="H240" s="18">
        <f t="shared" si="15"/>
        <v>47.363374999999998</v>
      </c>
      <c r="I240" s="5"/>
      <c r="J240" s="17">
        <v>981.89149999999995</v>
      </c>
      <c r="K240" s="18">
        <v>45.721899999999998</v>
      </c>
      <c r="L240" s="18">
        <v>48.828600000000002</v>
      </c>
      <c r="M240" s="18">
        <v>48.994100000000003</v>
      </c>
      <c r="N240" s="18">
        <v>46.4696</v>
      </c>
      <c r="O240" s="18">
        <f t="shared" si="16"/>
        <v>46.519262499999996</v>
      </c>
      <c r="P240" s="7"/>
      <c r="Q240" s="10"/>
      <c r="R240" s="11"/>
      <c r="S240" s="11"/>
      <c r="T240" s="26"/>
      <c r="U240" s="28">
        <f t="shared" si="17"/>
        <v>-0.40224337535374322</v>
      </c>
    </row>
    <row r="241" spans="2:21" x14ac:dyDescent="0.25">
      <c r="B241" s="9"/>
      <c r="C241" s="17">
        <v>1087.9000000000001</v>
      </c>
      <c r="D241" s="18">
        <v>43.737000000000002</v>
      </c>
      <c r="E241" s="18">
        <v>45.598999999999997</v>
      </c>
      <c r="F241" s="18">
        <v>45.823</v>
      </c>
      <c r="G241" s="18">
        <v>86.76</v>
      </c>
      <c r="H241" s="18">
        <f t="shared" si="15"/>
        <v>44.230499999999999</v>
      </c>
      <c r="I241" s="5"/>
      <c r="J241" s="17">
        <v>638.73609999999996</v>
      </c>
      <c r="K241" s="18">
        <v>42.558100000000003</v>
      </c>
      <c r="L241" s="18">
        <v>45.877400000000002</v>
      </c>
      <c r="M241" s="18">
        <v>46.155999999999999</v>
      </c>
      <c r="N241" s="18">
        <v>47.013300000000001</v>
      </c>
      <c r="O241" s="18">
        <f t="shared" si="16"/>
        <v>43.422750000000008</v>
      </c>
      <c r="P241" s="7"/>
      <c r="Q241" s="10"/>
      <c r="R241" s="11"/>
      <c r="S241" s="11"/>
      <c r="T241" s="26"/>
      <c r="U241" s="28">
        <f t="shared" si="17"/>
        <v>-0.45812240663900416</v>
      </c>
    </row>
    <row r="242" spans="2:21" ht="16.5" thickBot="1" x14ac:dyDescent="0.3">
      <c r="B242" s="12"/>
      <c r="C242" s="19">
        <v>503.91</v>
      </c>
      <c r="D242" s="20">
        <v>38.951999999999998</v>
      </c>
      <c r="E242" s="20">
        <v>41.558999999999997</v>
      </c>
      <c r="F242" s="20">
        <v>41.82</v>
      </c>
      <c r="G242" s="20">
        <v>100.86</v>
      </c>
      <c r="H242" s="20">
        <f t="shared" si="15"/>
        <v>39.636374999999994</v>
      </c>
      <c r="I242" s="5"/>
      <c r="J242" s="19">
        <v>352.17610000000002</v>
      </c>
      <c r="K242" s="20">
        <v>38.510399999999997</v>
      </c>
      <c r="L242" s="20">
        <v>42.306800000000003</v>
      </c>
      <c r="M242" s="20">
        <v>42.601999999999997</v>
      </c>
      <c r="N242" s="20">
        <v>79.463200000000001</v>
      </c>
      <c r="O242" s="20">
        <f t="shared" si="16"/>
        <v>39.496399999999994</v>
      </c>
      <c r="P242" s="7"/>
      <c r="Q242" s="13"/>
      <c r="R242" s="14"/>
      <c r="S242" s="14"/>
      <c r="T242" s="27"/>
      <c r="U242" s="28">
        <f t="shared" si="17"/>
        <v>-0.21214356533809239</v>
      </c>
    </row>
    <row r="243" spans="2:21" x14ac:dyDescent="0.25">
      <c r="B243" s="6" t="s">
        <v>110</v>
      </c>
      <c r="C243" s="29">
        <v>2140.59</v>
      </c>
      <c r="D243" s="30">
        <v>34.529000000000003</v>
      </c>
      <c r="E243" s="30">
        <v>37.640999999999998</v>
      </c>
      <c r="F243" s="30">
        <v>36.581000000000003</v>
      </c>
      <c r="G243" s="16">
        <v>47.11</v>
      </c>
      <c r="H243" s="16">
        <f t="shared" si="15"/>
        <v>35.174500000000002</v>
      </c>
      <c r="I243" s="5"/>
      <c r="J243" s="29">
        <v>1514.3492000000001</v>
      </c>
      <c r="K243" s="30">
        <v>33.299199999999999</v>
      </c>
      <c r="L243" s="30">
        <v>37.790999999999997</v>
      </c>
      <c r="M243" s="30">
        <v>36.624400000000001</v>
      </c>
      <c r="N243" s="16">
        <v>36.722000000000001</v>
      </c>
      <c r="O243" s="16">
        <f t="shared" si="16"/>
        <v>34.276325</v>
      </c>
      <c r="P243" s="7"/>
      <c r="Q243" s="8">
        <f>bdrate(C243:C246,D243:D246,J243:J246,K243:K246)</f>
        <v>-0.22296355230807441</v>
      </c>
      <c r="R243" s="8">
        <f>bdrate(C243:C246,E243:E246,J243:J246,L243:L246)</f>
        <v>-0.41027806090248087</v>
      </c>
      <c r="S243" s="8">
        <f>bdrate(C243:C246,F243:F246,J243:J246,M243:M246)</f>
        <v>-0.38779530575497934</v>
      </c>
      <c r="T243" s="25">
        <f>bdrate(C243:C246,H243:H246,J243:J246,O243:O246)</f>
        <v>-0.25340748265729074</v>
      </c>
      <c r="U243" s="28">
        <f t="shared" si="17"/>
        <v>-0.22050520059435361</v>
      </c>
    </row>
    <row r="244" spans="2:21" x14ac:dyDescent="0.25">
      <c r="B244" s="9"/>
      <c r="C244" s="31">
        <v>1419.35</v>
      </c>
      <c r="D244" s="32">
        <v>32.334000000000003</v>
      </c>
      <c r="E244" s="32">
        <v>36.341000000000001</v>
      </c>
      <c r="F244" s="32">
        <v>35.204999999999998</v>
      </c>
      <c r="G244" s="18">
        <v>51.99</v>
      </c>
      <c r="H244" s="18">
        <f t="shared" si="15"/>
        <v>33.193750000000001</v>
      </c>
      <c r="I244" s="5"/>
      <c r="J244" s="31">
        <v>1008.8559</v>
      </c>
      <c r="K244" s="32">
        <v>31.3797</v>
      </c>
      <c r="L244" s="32">
        <v>36.713900000000002</v>
      </c>
      <c r="M244" s="32">
        <v>35.506100000000004</v>
      </c>
      <c r="N244" s="18">
        <v>41.622300000000003</v>
      </c>
      <c r="O244" s="18">
        <f t="shared" si="16"/>
        <v>32.562275</v>
      </c>
      <c r="P244" s="7"/>
      <c r="Q244" s="10"/>
      <c r="R244" s="11"/>
      <c r="S244" s="11"/>
      <c r="T244" s="26"/>
      <c r="U244" s="28">
        <f t="shared" si="17"/>
        <v>-0.19941719561454124</v>
      </c>
    </row>
    <row r="245" spans="2:21" x14ac:dyDescent="0.25">
      <c r="B245" s="9"/>
      <c r="C245" s="31">
        <v>856.1</v>
      </c>
      <c r="D245" s="32">
        <v>29.61</v>
      </c>
      <c r="E245" s="32">
        <v>34.93</v>
      </c>
      <c r="F245" s="32">
        <v>33.698999999999998</v>
      </c>
      <c r="G245" s="18">
        <v>58.04</v>
      </c>
      <c r="H245" s="18">
        <f t="shared" si="15"/>
        <v>30.786124999999998</v>
      </c>
      <c r="I245" s="5"/>
      <c r="J245" s="31">
        <v>606.38030000000003</v>
      </c>
      <c r="K245" s="32">
        <v>29.233899999999998</v>
      </c>
      <c r="L245" s="32">
        <v>35.499699999999997</v>
      </c>
      <c r="M245" s="32">
        <v>34.1965</v>
      </c>
      <c r="N245" s="18">
        <v>50.517800000000001</v>
      </c>
      <c r="O245" s="18">
        <f t="shared" si="16"/>
        <v>30.637449999999994</v>
      </c>
      <c r="P245" s="7"/>
      <c r="Q245" s="10"/>
      <c r="R245" s="11"/>
      <c r="S245" s="11"/>
      <c r="T245" s="26"/>
      <c r="U245" s="28">
        <f t="shared" si="17"/>
        <v>-0.12960372157133007</v>
      </c>
    </row>
    <row r="246" spans="2:21" ht="16.5" thickBot="1" x14ac:dyDescent="0.3">
      <c r="B246" s="12"/>
      <c r="C246" s="33">
        <v>398.34</v>
      </c>
      <c r="D246" s="34">
        <v>25.57</v>
      </c>
      <c r="E246" s="34">
        <v>32.936</v>
      </c>
      <c r="F246" s="34">
        <v>31.547000000000001</v>
      </c>
      <c r="G246" s="20">
        <v>69.34</v>
      </c>
      <c r="H246" s="20">
        <f t="shared" si="15"/>
        <v>27.237875000000003</v>
      </c>
      <c r="I246" s="5"/>
      <c r="J246" s="33">
        <v>304.79109999999997</v>
      </c>
      <c r="K246" s="34">
        <v>26.745799999999999</v>
      </c>
      <c r="L246" s="34">
        <v>33.863</v>
      </c>
      <c r="M246" s="34">
        <v>32.451000000000001</v>
      </c>
      <c r="N246" s="20">
        <v>62.871099999999998</v>
      </c>
      <c r="O246" s="20">
        <f t="shared" si="16"/>
        <v>28.348599999999998</v>
      </c>
      <c r="P246" s="7"/>
      <c r="Q246" s="13"/>
      <c r="R246" s="14"/>
      <c r="S246" s="14"/>
      <c r="T246" s="27"/>
      <c r="U246" s="28">
        <f t="shared" si="17"/>
        <v>-9.3292471877704133E-2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-0.332126511256225</v>
      </c>
      <c r="R247" s="21">
        <f>AVERAGE(R131:R246)</f>
        <v>-0.55930157424611981</v>
      </c>
      <c r="S247" s="21">
        <f>AVERAGE(S131:S246)</f>
        <v>-0.55818553068371357</v>
      </c>
      <c r="T247" s="21">
        <f>AVERAGE(T131:T246)</f>
        <v>-0.37875451672736499</v>
      </c>
      <c r="U247" s="21">
        <f>AVERAGE(U131:U246)</f>
        <v>-4.9592686171011452E-2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839" priority="453" operator="greaterThan">
      <formula>0.03</formula>
    </cfRule>
    <cfRule type="cellIs" dxfId="838" priority="454" stopIfTrue="1" operator="lessThan">
      <formula>-0.03</formula>
    </cfRule>
  </conditionalFormatting>
  <conditionalFormatting sqref="Q33:T36">
    <cfRule type="cellIs" dxfId="837" priority="451" operator="greaterThan">
      <formula>0.03</formula>
    </cfRule>
    <cfRule type="cellIs" dxfId="836" priority="452" stopIfTrue="1" operator="lessThan">
      <formula>-0.03</formula>
    </cfRule>
  </conditionalFormatting>
  <conditionalFormatting sqref="Q46:T48 Q62:T64">
    <cfRule type="cellIs" dxfId="835" priority="449" operator="greaterThan">
      <formula>0.03</formula>
    </cfRule>
    <cfRule type="cellIs" dxfId="834" priority="450" stopIfTrue="1" operator="lessThan">
      <formula>-0.03</formula>
    </cfRule>
  </conditionalFormatting>
  <conditionalFormatting sqref="Q50:T52 Q54:T56 Q58:T60">
    <cfRule type="cellIs" dxfId="833" priority="447" operator="greaterThan">
      <formula>0.03</formula>
    </cfRule>
    <cfRule type="cellIs" dxfId="832" priority="448" stopIfTrue="1" operator="lessThan">
      <formula>-0.03</formula>
    </cfRule>
  </conditionalFormatting>
  <conditionalFormatting sqref="Q70:T72 Q74:T76">
    <cfRule type="cellIs" dxfId="831" priority="445" operator="greaterThan">
      <formula>0.03</formula>
    </cfRule>
    <cfRule type="cellIs" dxfId="830" priority="446" stopIfTrue="1" operator="lessThan">
      <formula>-0.03</formula>
    </cfRule>
  </conditionalFormatting>
  <conditionalFormatting sqref="Q66:T68">
    <cfRule type="cellIs" dxfId="829" priority="443" operator="greaterThan">
      <formula>0.03</formula>
    </cfRule>
    <cfRule type="cellIs" dxfId="828" priority="444" stopIfTrue="1" operator="lessThan">
      <formula>-0.03</formula>
    </cfRule>
  </conditionalFormatting>
  <conditionalFormatting sqref="Q78:T80">
    <cfRule type="cellIs" dxfId="827" priority="441" operator="greaterThan">
      <formula>0.03</formula>
    </cfRule>
    <cfRule type="cellIs" dxfId="826" priority="442" stopIfTrue="1" operator="lessThan">
      <formula>-0.03</formula>
    </cfRule>
  </conditionalFormatting>
  <conditionalFormatting sqref="Q21:T28">
    <cfRule type="cellIs" dxfId="825" priority="423" operator="greaterThan">
      <formula>0.03</formula>
    </cfRule>
    <cfRule type="cellIs" dxfId="824" priority="424" stopIfTrue="1" operator="lessThan">
      <formula>-0.03</formula>
    </cfRule>
  </conditionalFormatting>
  <conditionalFormatting sqref="Q151:T154 Q159:T166 Q131:T142">
    <cfRule type="cellIs" dxfId="823" priority="419" operator="greaterThan">
      <formula>0.03</formula>
    </cfRule>
    <cfRule type="cellIs" dxfId="822" priority="420" stopIfTrue="1" operator="lessThan">
      <formula>-0.03</formula>
    </cfRule>
  </conditionalFormatting>
  <conditionalFormatting sqref="Q155:T158">
    <cfRule type="cellIs" dxfId="821" priority="417" operator="greaterThan">
      <formula>0.03</formula>
    </cfRule>
    <cfRule type="cellIs" dxfId="820" priority="418" stopIfTrue="1" operator="lessThan">
      <formula>-0.03</formula>
    </cfRule>
  </conditionalFormatting>
  <conditionalFormatting sqref="Q167:T170 Q183:T186">
    <cfRule type="cellIs" dxfId="819" priority="415" operator="greaterThan">
      <formula>0.03</formula>
    </cfRule>
    <cfRule type="cellIs" dxfId="818" priority="416" stopIfTrue="1" operator="lessThan">
      <formula>-0.03</formula>
    </cfRule>
  </conditionalFormatting>
  <conditionalFormatting sqref="Q171:T182">
    <cfRule type="cellIs" dxfId="817" priority="413" operator="greaterThan">
      <formula>0.03</formula>
    </cfRule>
    <cfRule type="cellIs" dxfId="816" priority="414" stopIfTrue="1" operator="lessThan">
      <formula>-0.03</formula>
    </cfRule>
  </conditionalFormatting>
  <conditionalFormatting sqref="Q191:T198">
    <cfRule type="cellIs" dxfId="815" priority="411" operator="greaterThan">
      <formula>0.03</formula>
    </cfRule>
    <cfRule type="cellIs" dxfId="814" priority="412" stopIfTrue="1" operator="lessThan">
      <formula>-0.03</formula>
    </cfRule>
  </conditionalFormatting>
  <conditionalFormatting sqref="Q187:T190">
    <cfRule type="cellIs" dxfId="813" priority="409" operator="greaterThan">
      <formula>0.03</formula>
    </cfRule>
    <cfRule type="cellIs" dxfId="812" priority="410" stopIfTrue="1" operator="lessThan">
      <formula>-0.03</formula>
    </cfRule>
  </conditionalFormatting>
  <conditionalFormatting sqref="Q199:T202">
    <cfRule type="cellIs" dxfId="811" priority="407" operator="greaterThan">
      <formula>0.03</formula>
    </cfRule>
    <cfRule type="cellIs" dxfId="810" priority="408" stopIfTrue="1" operator="lessThan">
      <formula>-0.03</formula>
    </cfRule>
  </conditionalFormatting>
  <conditionalFormatting sqref="Q143:T150">
    <cfRule type="cellIs" dxfId="809" priority="405" operator="greaterThan">
      <formula>0.03</formula>
    </cfRule>
    <cfRule type="cellIs" dxfId="808" priority="406" stopIfTrue="1" operator="lessThan">
      <formula>-0.03</formula>
    </cfRule>
  </conditionalFormatting>
  <conditionalFormatting sqref="Q45:T45">
    <cfRule type="cellIs" dxfId="807" priority="403" operator="greaterThan">
      <formula>0.03</formula>
    </cfRule>
    <cfRule type="cellIs" dxfId="806" priority="404" stopIfTrue="1" operator="lessThan">
      <formula>-0.03</formula>
    </cfRule>
  </conditionalFormatting>
  <conditionalFormatting sqref="Q49:T49">
    <cfRule type="cellIs" dxfId="805" priority="401" operator="greaterThan">
      <formula>0.03</formula>
    </cfRule>
    <cfRule type="cellIs" dxfId="804" priority="402" stopIfTrue="1" operator="lessThan">
      <formula>-0.03</formula>
    </cfRule>
  </conditionalFormatting>
  <conditionalFormatting sqref="Q53:T53">
    <cfRule type="cellIs" dxfId="803" priority="399" operator="greaterThan">
      <formula>0.03</formula>
    </cfRule>
    <cfRule type="cellIs" dxfId="802" priority="400" stopIfTrue="1" operator="lessThan">
      <formula>-0.03</formula>
    </cfRule>
  </conditionalFormatting>
  <conditionalFormatting sqref="Q57:T57">
    <cfRule type="cellIs" dxfId="801" priority="397" operator="greaterThan">
      <formula>0.03</formula>
    </cfRule>
    <cfRule type="cellIs" dxfId="800" priority="398" stopIfTrue="1" operator="lessThan">
      <formula>-0.03</formula>
    </cfRule>
  </conditionalFormatting>
  <conditionalFormatting sqref="Q61:T61">
    <cfRule type="cellIs" dxfId="799" priority="395" operator="greaterThan">
      <formula>0.03</formula>
    </cfRule>
    <cfRule type="cellIs" dxfId="798" priority="396" stopIfTrue="1" operator="lessThan">
      <formula>-0.03</formula>
    </cfRule>
  </conditionalFormatting>
  <conditionalFormatting sqref="Q65:T65">
    <cfRule type="cellIs" dxfId="797" priority="393" operator="greaterThan">
      <formula>0.03</formula>
    </cfRule>
    <cfRule type="cellIs" dxfId="796" priority="394" stopIfTrue="1" operator="lessThan">
      <formula>-0.03</formula>
    </cfRule>
  </conditionalFormatting>
  <conditionalFormatting sqref="Q69:T69">
    <cfRule type="cellIs" dxfId="795" priority="391" operator="greaterThan">
      <formula>0.03</formula>
    </cfRule>
    <cfRule type="cellIs" dxfId="794" priority="392" stopIfTrue="1" operator="lessThan">
      <formula>-0.03</formula>
    </cfRule>
  </conditionalFormatting>
  <conditionalFormatting sqref="Q73:T73">
    <cfRule type="cellIs" dxfId="793" priority="389" operator="greaterThan">
      <formula>0.03</formula>
    </cfRule>
    <cfRule type="cellIs" dxfId="792" priority="390" stopIfTrue="1" operator="lessThan">
      <formula>-0.03</formula>
    </cfRule>
  </conditionalFormatting>
  <conditionalFormatting sqref="Q77:T77">
    <cfRule type="cellIs" dxfId="791" priority="387" operator="greaterThan">
      <formula>0.03</formula>
    </cfRule>
    <cfRule type="cellIs" dxfId="790" priority="388" stopIfTrue="1" operator="lessThan">
      <formula>-0.03</formula>
    </cfRule>
  </conditionalFormatting>
  <conditionalFormatting sqref="Q117:T117">
    <cfRule type="cellIs" dxfId="789" priority="99" operator="greaterThan">
      <formula>0.03</formula>
    </cfRule>
    <cfRule type="cellIs" dxfId="788" priority="100" stopIfTrue="1" operator="lessThan">
      <formula>-0.03</formula>
    </cfRule>
  </conditionalFormatting>
  <conditionalFormatting sqref="Q93:T96 Q101:T108 Q81:T84">
    <cfRule type="cellIs" dxfId="787" priority="113" operator="greaterThan">
      <formula>0.03</formula>
    </cfRule>
    <cfRule type="cellIs" dxfId="786" priority="114" stopIfTrue="1" operator="lessThan">
      <formula>-0.03</formula>
    </cfRule>
  </conditionalFormatting>
  <conditionalFormatting sqref="Q97:T100">
    <cfRule type="cellIs" dxfId="785" priority="111" operator="greaterThan">
      <formula>0.03</formula>
    </cfRule>
    <cfRule type="cellIs" dxfId="784" priority="112" stopIfTrue="1" operator="lessThan">
      <formula>-0.03</formula>
    </cfRule>
  </conditionalFormatting>
  <conditionalFormatting sqref="Q110:T112 Q122:T124">
    <cfRule type="cellIs" dxfId="783" priority="109" operator="greaterThan">
      <formula>0.03</formula>
    </cfRule>
    <cfRule type="cellIs" dxfId="782" priority="110" stopIfTrue="1" operator="lessThan">
      <formula>-0.03</formula>
    </cfRule>
  </conditionalFormatting>
  <conditionalFormatting sqref="Q114:T116 Q118:T120">
    <cfRule type="cellIs" dxfId="781" priority="107" operator="greaterThan">
      <formula>0.03</formula>
    </cfRule>
    <cfRule type="cellIs" dxfId="780" priority="108" stopIfTrue="1" operator="lessThan">
      <formula>-0.03</formula>
    </cfRule>
  </conditionalFormatting>
  <conditionalFormatting sqref="Q85:T92">
    <cfRule type="cellIs" dxfId="779" priority="105" operator="greaterThan">
      <formula>0.03</formula>
    </cfRule>
    <cfRule type="cellIs" dxfId="778" priority="106" stopIfTrue="1" operator="lessThan">
      <formula>-0.03</formula>
    </cfRule>
  </conditionalFormatting>
  <conditionalFormatting sqref="Q109:T109">
    <cfRule type="cellIs" dxfId="777" priority="103" operator="greaterThan">
      <formula>0.03</formula>
    </cfRule>
    <cfRule type="cellIs" dxfId="776" priority="104" stopIfTrue="1" operator="lessThan">
      <formula>-0.03</formula>
    </cfRule>
  </conditionalFormatting>
  <conditionalFormatting sqref="Q113:T113">
    <cfRule type="cellIs" dxfId="775" priority="101" operator="greaterThan">
      <formula>0.03</formula>
    </cfRule>
    <cfRule type="cellIs" dxfId="774" priority="102" stopIfTrue="1" operator="lessThan">
      <formula>-0.03</formula>
    </cfRule>
  </conditionalFormatting>
  <conditionalFormatting sqref="Q121:T121">
    <cfRule type="cellIs" dxfId="773" priority="97" operator="greaterThan">
      <formula>0.03</formula>
    </cfRule>
    <cfRule type="cellIs" dxfId="772" priority="98" stopIfTrue="1" operator="lessThan">
      <formula>-0.03</formula>
    </cfRule>
  </conditionalFormatting>
  <conditionalFormatting sqref="Q239:T239">
    <cfRule type="cellIs" dxfId="771" priority="33" operator="greaterThan">
      <formula>0.03</formula>
    </cfRule>
    <cfRule type="cellIs" dxfId="770" priority="34" stopIfTrue="1" operator="lessThan">
      <formula>-0.03</formula>
    </cfRule>
  </conditionalFormatting>
  <conditionalFormatting sqref="Q215:T218 Q223:T230 Q203:T206">
    <cfRule type="cellIs" dxfId="769" priority="47" operator="greaterThan">
      <formula>0.03</formula>
    </cfRule>
    <cfRule type="cellIs" dxfId="768" priority="48" stopIfTrue="1" operator="lessThan">
      <formula>-0.03</formula>
    </cfRule>
  </conditionalFormatting>
  <conditionalFormatting sqref="Q219:T222">
    <cfRule type="cellIs" dxfId="767" priority="45" operator="greaterThan">
      <formula>0.03</formula>
    </cfRule>
    <cfRule type="cellIs" dxfId="766" priority="46" stopIfTrue="1" operator="lessThan">
      <formula>-0.03</formula>
    </cfRule>
  </conditionalFormatting>
  <conditionalFormatting sqref="Q232:T234 Q244:T246">
    <cfRule type="cellIs" dxfId="765" priority="43" operator="greaterThan">
      <formula>0.03</formula>
    </cfRule>
    <cfRule type="cellIs" dxfId="764" priority="44" stopIfTrue="1" operator="lessThan">
      <formula>-0.03</formula>
    </cfRule>
  </conditionalFormatting>
  <conditionalFormatting sqref="Q236:T238 Q240:T242">
    <cfRule type="cellIs" dxfId="763" priority="41" operator="greaterThan">
      <formula>0.03</formula>
    </cfRule>
    <cfRule type="cellIs" dxfId="762" priority="42" stopIfTrue="1" operator="lessThan">
      <formula>-0.03</formula>
    </cfRule>
  </conditionalFormatting>
  <conditionalFormatting sqref="Q207:T214">
    <cfRule type="cellIs" dxfId="761" priority="39" operator="greaterThan">
      <formula>0.03</formula>
    </cfRule>
    <cfRule type="cellIs" dxfId="760" priority="40" stopIfTrue="1" operator="lessThan">
      <formula>-0.03</formula>
    </cfRule>
  </conditionalFormatting>
  <conditionalFormatting sqref="Q231:T231">
    <cfRule type="cellIs" dxfId="759" priority="37" operator="greaterThan">
      <formula>0.03</formula>
    </cfRule>
    <cfRule type="cellIs" dxfId="758" priority="38" stopIfTrue="1" operator="lessThan">
      <formula>-0.03</formula>
    </cfRule>
  </conditionalFormatting>
  <conditionalFormatting sqref="Q235:T235">
    <cfRule type="cellIs" dxfId="757" priority="35" operator="greaterThan">
      <formula>0.03</formula>
    </cfRule>
    <cfRule type="cellIs" dxfId="756" priority="36" stopIfTrue="1" operator="lessThan">
      <formula>-0.03</formula>
    </cfRule>
  </conditionalFormatting>
  <conditionalFormatting sqref="Q243:T243">
    <cfRule type="cellIs" dxfId="755" priority="31" operator="greaterThan">
      <formula>0.03</formula>
    </cfRule>
    <cfRule type="cellIs" dxfId="754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206</v>
      </c>
    </row>
    <row r="2" spans="1:21" x14ac:dyDescent="0.25">
      <c r="A2" t="s">
        <v>207</v>
      </c>
    </row>
    <row r="3" spans="1:21" x14ac:dyDescent="0.25">
      <c r="A3" t="s">
        <v>89</v>
      </c>
    </row>
    <row r="4" spans="1:21" x14ac:dyDescent="0.25">
      <c r="A4" t="s">
        <v>208</v>
      </c>
    </row>
    <row r="5" spans="1:21" s="35" customFormat="1" ht="15.75" customHeight="1" x14ac:dyDescent="0.25">
      <c r="B5" s="61" t="s">
        <v>209</v>
      </c>
      <c r="C5" s="63" t="s">
        <v>215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210</v>
      </c>
      <c r="D7" s="70"/>
      <c r="E7" s="70"/>
      <c r="F7" s="70"/>
      <c r="G7" s="70"/>
      <c r="H7" s="70"/>
      <c r="I7" s="5"/>
      <c r="J7" s="69" t="s">
        <v>194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211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212</v>
      </c>
      <c r="U8" s="72"/>
    </row>
    <row r="9" spans="1:21" x14ac:dyDescent="0.25">
      <c r="A9" s="6" t="s">
        <v>35</v>
      </c>
      <c r="B9" s="6" t="s">
        <v>46</v>
      </c>
      <c r="C9" s="15">
        <v>5622.82</v>
      </c>
      <c r="D9" s="16">
        <v>38.622999999999998</v>
      </c>
      <c r="E9" s="16">
        <v>39.718000000000004</v>
      </c>
      <c r="F9" s="16">
        <v>42.183</v>
      </c>
      <c r="G9" s="16">
        <v>0.96</v>
      </c>
      <c r="H9" s="16">
        <f t="shared" ref="H9:H80" si="0">(6*D9+E9+F9)/8</f>
        <v>39.204875000000001</v>
      </c>
      <c r="I9" s="5"/>
      <c r="J9" s="15">
        <v>4112.0703999999996</v>
      </c>
      <c r="K9" s="16">
        <v>38.765500000000003</v>
      </c>
      <c r="L9" s="16">
        <v>40.285800000000002</v>
      </c>
      <c r="M9" s="16">
        <v>43.0807</v>
      </c>
      <c r="N9" s="16">
        <v>1.7483</v>
      </c>
      <c r="O9" s="16">
        <f t="shared" ref="O9:O80" si="1">(6*K9+L9+M9)/8</f>
        <v>39.494937499999999</v>
      </c>
      <c r="P9" s="7"/>
      <c r="Q9" s="8">
        <f>bdrate(C9:C12,D9:D12,J9:J12,K9:K12)</f>
        <v>-0.36313836865519666</v>
      </c>
      <c r="R9" s="8">
        <f>bdrate(C9:C12,E9:E12,J9:J12,L9:L12)</f>
        <v>-0.52550578622062405</v>
      </c>
      <c r="S9" s="8">
        <f>bdrate(C9:C12,F9:F12,J9:J12,M9:M12)</f>
        <v>-0.53052698682254629</v>
      </c>
      <c r="T9" s="25">
        <f>bdrate(C9:C12,H9:H12,J9:J12,O9:O12)</f>
        <v>-0.39047032258893499</v>
      </c>
      <c r="U9" s="28">
        <f t="shared" ref="U9:U72" si="2">(N9-G9)/G9</f>
        <v>0.82114583333333335</v>
      </c>
    </row>
    <row r="10" spans="1:21" x14ac:dyDescent="0.25">
      <c r="A10" s="9" t="s">
        <v>36</v>
      </c>
      <c r="B10" s="9"/>
      <c r="C10" s="17">
        <v>4145.47</v>
      </c>
      <c r="D10" s="18">
        <v>37.618000000000002</v>
      </c>
      <c r="E10" s="18">
        <v>39.162999999999997</v>
      </c>
      <c r="F10" s="18">
        <v>41.582999999999998</v>
      </c>
      <c r="G10" s="18">
        <v>1.02</v>
      </c>
      <c r="H10" s="18">
        <f t="shared" si="0"/>
        <v>38.306750000000008</v>
      </c>
      <c r="I10" s="5"/>
      <c r="J10" s="17">
        <v>3004.3488000000002</v>
      </c>
      <c r="K10" s="18">
        <v>37.802799999999998</v>
      </c>
      <c r="L10" s="18">
        <v>39.821800000000003</v>
      </c>
      <c r="M10" s="18">
        <v>42.440100000000001</v>
      </c>
      <c r="N10" s="18">
        <v>2.1076000000000001</v>
      </c>
      <c r="O10" s="18">
        <f t="shared" si="1"/>
        <v>38.634837500000003</v>
      </c>
      <c r="P10" s="7"/>
      <c r="Q10" s="10"/>
      <c r="R10" s="11"/>
      <c r="S10" s="11"/>
      <c r="T10" s="26"/>
      <c r="U10" s="28">
        <f t="shared" si="2"/>
        <v>1.0662745098039217</v>
      </c>
    </row>
    <row r="11" spans="1:21" x14ac:dyDescent="0.25">
      <c r="B11" s="9"/>
      <c r="C11" s="17">
        <v>2710.45</v>
      </c>
      <c r="D11" s="18">
        <v>36.003999999999998</v>
      </c>
      <c r="E11" s="18">
        <v>38.366</v>
      </c>
      <c r="F11" s="18">
        <v>40.707999999999998</v>
      </c>
      <c r="G11" s="18">
        <v>1.1399999999999999</v>
      </c>
      <c r="H11" s="18">
        <f t="shared" si="0"/>
        <v>36.887249999999995</v>
      </c>
      <c r="I11" s="5"/>
      <c r="J11" s="17">
        <v>1972.5984000000001</v>
      </c>
      <c r="K11" s="18">
        <v>36.455199999999998</v>
      </c>
      <c r="L11" s="18">
        <v>39.148200000000003</v>
      </c>
      <c r="M11" s="18">
        <v>41.605400000000003</v>
      </c>
      <c r="N11" s="18">
        <v>2.6745000000000001</v>
      </c>
      <c r="O11" s="18">
        <f t="shared" si="1"/>
        <v>37.435600000000008</v>
      </c>
      <c r="P11" s="7"/>
      <c r="Q11" s="10"/>
      <c r="R11" s="11"/>
      <c r="S11" s="11"/>
      <c r="T11" s="26"/>
      <c r="U11" s="28">
        <f t="shared" si="2"/>
        <v>1.3460526315789476</v>
      </c>
    </row>
    <row r="12" spans="1:21" ht="16.5" thickBot="1" x14ac:dyDescent="0.3">
      <c r="B12" s="12"/>
      <c r="C12" s="19">
        <v>1343.83</v>
      </c>
      <c r="D12" s="20">
        <v>32.639000000000003</v>
      </c>
      <c r="E12" s="20">
        <v>37.106000000000002</v>
      </c>
      <c r="F12" s="20">
        <v>39.368000000000002</v>
      </c>
      <c r="G12" s="20">
        <v>1.42</v>
      </c>
      <c r="H12" s="20">
        <f t="shared" si="0"/>
        <v>34.038499999999999</v>
      </c>
      <c r="I12" s="5"/>
      <c r="J12" s="19">
        <v>905.6576</v>
      </c>
      <c r="K12" s="20">
        <v>33.601399999999998</v>
      </c>
      <c r="L12" s="20">
        <v>37.742800000000003</v>
      </c>
      <c r="M12" s="20">
        <v>40.0214</v>
      </c>
      <c r="N12" s="20">
        <v>4.1459000000000001</v>
      </c>
      <c r="O12" s="20">
        <f t="shared" si="1"/>
        <v>34.921575000000004</v>
      </c>
      <c r="P12" s="7"/>
      <c r="Q12" s="13"/>
      <c r="R12" s="14"/>
      <c r="S12" s="14"/>
      <c r="T12" s="27"/>
      <c r="U12" s="28">
        <f t="shared" si="2"/>
        <v>1.919647887323944</v>
      </c>
    </row>
    <row r="13" spans="1:21" x14ac:dyDescent="0.25">
      <c r="B13" s="6" t="s">
        <v>47</v>
      </c>
      <c r="C13" s="15">
        <v>6793.03</v>
      </c>
      <c r="D13" s="16">
        <v>30.728999999999999</v>
      </c>
      <c r="E13" s="16">
        <v>40.478999999999999</v>
      </c>
      <c r="F13" s="16">
        <v>41.115000000000002</v>
      </c>
      <c r="G13" s="16">
        <v>0.88</v>
      </c>
      <c r="H13" s="16">
        <f t="shared" si="0"/>
        <v>33.246000000000002</v>
      </c>
      <c r="I13" s="5"/>
      <c r="J13" s="15">
        <v>4142.5312000000004</v>
      </c>
      <c r="K13" s="16">
        <v>30.220600000000001</v>
      </c>
      <c r="L13" s="16">
        <v>41.100299999999997</v>
      </c>
      <c r="M13" s="16">
        <v>41.910899999999998</v>
      </c>
      <c r="N13" s="16">
        <v>1.2592000000000001</v>
      </c>
      <c r="O13" s="16">
        <f t="shared" si="1"/>
        <v>33.041849999999997</v>
      </c>
      <c r="P13" s="7"/>
      <c r="Q13" s="8">
        <f>bdrate(C13:C16,D13:D16,J13:J16,K13:K16)</f>
        <v>-0.38126577792465866</v>
      </c>
      <c r="R13" s="8">
        <f>bdrate(C13:C16,E13:E16,J13:J16,L13:L16)</f>
        <v>-0.5367358947725398</v>
      </c>
      <c r="S13" s="8">
        <f>bdrate(C13:C16,F13:F16,J13:J16,M13:M16)</f>
        <v>-0.61494588166818376</v>
      </c>
      <c r="T13" s="25">
        <f>bdrate(C13:C16,H13:H16,J13:J16,O13:O16)</f>
        <v>-0.40952851216594388</v>
      </c>
      <c r="U13" s="28">
        <f t="shared" si="2"/>
        <v>0.43090909090909102</v>
      </c>
    </row>
    <row r="14" spans="1:21" x14ac:dyDescent="0.25">
      <c r="B14" s="9"/>
      <c r="C14" s="17">
        <v>5113.3</v>
      </c>
      <c r="D14" s="18">
        <v>29.216999999999999</v>
      </c>
      <c r="E14" s="18">
        <v>39.908999999999999</v>
      </c>
      <c r="F14" s="18">
        <v>40.615000000000002</v>
      </c>
      <c r="G14" s="18">
        <v>0.97</v>
      </c>
      <c r="H14" s="18">
        <f t="shared" si="0"/>
        <v>31.978249999999999</v>
      </c>
      <c r="I14" s="5"/>
      <c r="J14" s="17">
        <v>3066.7824000000001</v>
      </c>
      <c r="K14" s="18">
        <v>28.855</v>
      </c>
      <c r="L14" s="18">
        <v>40.561799999999998</v>
      </c>
      <c r="M14" s="18">
        <v>41.472099999999998</v>
      </c>
      <c r="N14" s="18">
        <v>1.4931000000000001</v>
      </c>
      <c r="O14" s="18">
        <f t="shared" si="1"/>
        <v>31.895487500000002</v>
      </c>
      <c r="P14" s="7"/>
      <c r="Q14" s="10"/>
      <c r="R14" s="11"/>
      <c r="S14" s="11"/>
      <c r="T14" s="26"/>
      <c r="U14" s="28">
        <f t="shared" si="2"/>
        <v>0.53927835051546402</v>
      </c>
    </row>
    <row r="15" spans="1:21" x14ac:dyDescent="0.25">
      <c r="B15" s="9"/>
      <c r="C15" s="17">
        <v>3411.17</v>
      </c>
      <c r="D15" s="18">
        <v>27.119</v>
      </c>
      <c r="E15" s="18">
        <v>39.146000000000001</v>
      </c>
      <c r="F15" s="18">
        <v>39.886000000000003</v>
      </c>
      <c r="G15" s="18">
        <v>1.1200000000000001</v>
      </c>
      <c r="H15" s="18">
        <f t="shared" si="0"/>
        <v>30.218250000000001</v>
      </c>
      <c r="I15" s="5"/>
      <c r="J15" s="17">
        <v>2069.4448000000002</v>
      </c>
      <c r="K15" s="18">
        <v>27.111899999999999</v>
      </c>
      <c r="L15" s="18">
        <v>39.749600000000001</v>
      </c>
      <c r="M15" s="18">
        <v>40.8035</v>
      </c>
      <c r="N15" s="18">
        <v>1.8740000000000001</v>
      </c>
      <c r="O15" s="18">
        <f t="shared" si="1"/>
        <v>30.403062499999997</v>
      </c>
      <c r="P15" s="7"/>
      <c r="Q15" s="10"/>
      <c r="R15" s="11"/>
      <c r="S15" s="11"/>
      <c r="T15" s="26"/>
      <c r="U15" s="28">
        <f t="shared" si="2"/>
        <v>0.67321428571428565</v>
      </c>
    </row>
    <row r="16" spans="1:21" ht="16.5" thickBot="1" x14ac:dyDescent="0.3">
      <c r="B16" s="12"/>
      <c r="C16" s="19">
        <v>1705.07</v>
      </c>
      <c r="D16" s="20">
        <v>23.632000000000001</v>
      </c>
      <c r="E16" s="20">
        <v>37.802</v>
      </c>
      <c r="F16" s="20">
        <v>38.508000000000003</v>
      </c>
      <c r="G16" s="20">
        <v>1.34</v>
      </c>
      <c r="H16" s="20">
        <f t="shared" si="0"/>
        <v>27.26275</v>
      </c>
      <c r="I16" s="5"/>
      <c r="J16" s="19">
        <v>1386.2239999999999</v>
      </c>
      <c r="K16" s="20">
        <v>25.840399999999999</v>
      </c>
      <c r="L16" s="20">
        <v>38.579599999999999</v>
      </c>
      <c r="M16" s="20">
        <v>39.751100000000001</v>
      </c>
      <c r="N16" s="20">
        <v>2.2042999999999999</v>
      </c>
      <c r="O16" s="20">
        <f t="shared" si="1"/>
        <v>29.171637499999999</v>
      </c>
      <c r="P16" s="7"/>
      <c r="Q16" s="13"/>
      <c r="R16" s="14"/>
      <c r="S16" s="14"/>
      <c r="T16" s="27"/>
      <c r="U16" s="28">
        <f t="shared" si="2"/>
        <v>0.6449999999999998</v>
      </c>
    </row>
    <row r="17" spans="1:21" x14ac:dyDescent="0.25">
      <c r="A17" s="6" t="s">
        <v>37</v>
      </c>
      <c r="B17" s="6" t="s">
        <v>48</v>
      </c>
      <c r="C17" s="15">
        <v>3004.57</v>
      </c>
      <c r="D17" s="16">
        <v>39.319000000000003</v>
      </c>
      <c r="E17" s="16">
        <v>42</v>
      </c>
      <c r="F17" s="16">
        <v>43.152000000000001</v>
      </c>
      <c r="G17" s="16">
        <v>1.29</v>
      </c>
      <c r="H17" s="16">
        <f t="shared" si="0"/>
        <v>40.133249999999997</v>
      </c>
      <c r="I17" s="5"/>
      <c r="J17" s="15">
        <v>2369.4944</v>
      </c>
      <c r="K17" s="16">
        <v>39.598100000000002</v>
      </c>
      <c r="L17" s="16">
        <v>42.526699999999998</v>
      </c>
      <c r="M17" s="16">
        <v>44.289200000000001</v>
      </c>
      <c r="N17" s="16">
        <v>2.2370999999999999</v>
      </c>
      <c r="O17" s="16">
        <f t="shared" si="1"/>
        <v>40.550562499999998</v>
      </c>
      <c r="P17" s="7"/>
      <c r="Q17" s="8">
        <f>bdrate(C17:C20,D17:D20,J17:J20,K17:K20)</f>
        <v>-0.35772083917991293</v>
      </c>
      <c r="R17" s="8">
        <f>bdrate(C17:C20,E17:E20,J17:J20,L17:L20)</f>
        <v>-0.50076071694695912</v>
      </c>
      <c r="S17" s="8">
        <f>bdrate(C17:C20,F17:F20,J17:J20,M17:M20)</f>
        <v>-0.58061905195032926</v>
      </c>
      <c r="T17" s="25">
        <f>bdrate(C17:C20,H17:H20,J17:J20,O17:O20)</f>
        <v>-0.38884386804989979</v>
      </c>
      <c r="U17" s="28">
        <f t="shared" si="2"/>
        <v>0.73418604651162778</v>
      </c>
    </row>
    <row r="18" spans="1:21" x14ac:dyDescent="0.25">
      <c r="A18" s="9" t="s">
        <v>38</v>
      </c>
      <c r="B18" s="9"/>
      <c r="C18" s="17">
        <v>1973.12</v>
      </c>
      <c r="D18" s="18">
        <v>37.905000000000001</v>
      </c>
      <c r="E18" s="18">
        <v>41.256</v>
      </c>
      <c r="F18" s="18">
        <v>42.262</v>
      </c>
      <c r="G18" s="18">
        <v>1.5</v>
      </c>
      <c r="H18" s="18">
        <f t="shared" si="0"/>
        <v>38.868500000000004</v>
      </c>
      <c r="I18" s="5"/>
      <c r="J18" s="17">
        <v>1560.8832</v>
      </c>
      <c r="K18" s="18">
        <v>38.4452</v>
      </c>
      <c r="L18" s="18">
        <v>41.947600000000001</v>
      </c>
      <c r="M18" s="18">
        <v>43.463000000000001</v>
      </c>
      <c r="N18" s="18">
        <v>2.8380000000000001</v>
      </c>
      <c r="O18" s="18">
        <f t="shared" si="1"/>
        <v>39.510225000000005</v>
      </c>
      <c r="P18" s="7"/>
      <c r="Q18" s="10"/>
      <c r="R18" s="11"/>
      <c r="S18" s="11"/>
      <c r="T18" s="26"/>
      <c r="U18" s="28">
        <f t="shared" si="2"/>
        <v>0.89200000000000002</v>
      </c>
    </row>
    <row r="19" spans="1:21" x14ac:dyDescent="0.25">
      <c r="B19" s="9"/>
      <c r="C19" s="17">
        <v>1222.5</v>
      </c>
      <c r="D19" s="18">
        <v>36.020000000000003</v>
      </c>
      <c r="E19" s="18">
        <v>40.414999999999999</v>
      </c>
      <c r="F19" s="18">
        <v>41.338999999999999</v>
      </c>
      <c r="G19" s="18">
        <v>1.7</v>
      </c>
      <c r="H19" s="18">
        <f t="shared" si="0"/>
        <v>37.234250000000003</v>
      </c>
      <c r="I19" s="5"/>
      <c r="J19" s="17">
        <v>969.65279999999996</v>
      </c>
      <c r="K19" s="18">
        <v>36.913400000000003</v>
      </c>
      <c r="L19" s="18">
        <v>41.21</v>
      </c>
      <c r="M19" s="18">
        <v>42.530799999999999</v>
      </c>
      <c r="N19" s="18">
        <v>3.7071000000000001</v>
      </c>
      <c r="O19" s="18">
        <f t="shared" si="1"/>
        <v>38.152650000000001</v>
      </c>
      <c r="P19" s="7"/>
      <c r="Q19" s="10"/>
      <c r="R19" s="11"/>
      <c r="S19" s="11"/>
      <c r="T19" s="26"/>
      <c r="U19" s="28">
        <f t="shared" si="2"/>
        <v>1.1806470588235296</v>
      </c>
    </row>
    <row r="20" spans="1:21" ht="16.5" thickBot="1" x14ac:dyDescent="0.3">
      <c r="B20" s="12"/>
      <c r="C20" s="19">
        <v>727.36</v>
      </c>
      <c r="D20" s="20">
        <v>33.637</v>
      </c>
      <c r="E20" s="20">
        <v>39.509</v>
      </c>
      <c r="F20" s="20">
        <v>40.515999999999998</v>
      </c>
      <c r="G20" s="20">
        <v>2.11</v>
      </c>
      <c r="H20" s="20">
        <f t="shared" si="0"/>
        <v>35.230875000000005</v>
      </c>
      <c r="I20" s="5"/>
      <c r="J20" s="19">
        <v>568.88959999999997</v>
      </c>
      <c r="K20" s="20">
        <v>35.109200000000001</v>
      </c>
      <c r="L20" s="20">
        <v>40.494100000000003</v>
      </c>
      <c r="M20" s="20">
        <v>41.766399999999997</v>
      </c>
      <c r="N20" s="20">
        <v>5.1351000000000004</v>
      </c>
      <c r="O20" s="20">
        <f t="shared" si="1"/>
        <v>36.614462500000002</v>
      </c>
      <c r="P20" s="7"/>
      <c r="Q20" s="13"/>
      <c r="R20" s="14"/>
      <c r="S20" s="14"/>
      <c r="T20" s="27"/>
      <c r="U20" s="28">
        <f t="shared" si="2"/>
        <v>1.4336966824644553</v>
      </c>
    </row>
    <row r="21" spans="1:21" x14ac:dyDescent="0.25">
      <c r="B21" s="6" t="s">
        <v>49</v>
      </c>
      <c r="C21" s="15">
        <v>3378.89</v>
      </c>
      <c r="D21" s="16">
        <v>36.969000000000001</v>
      </c>
      <c r="E21" s="16">
        <v>39.76</v>
      </c>
      <c r="F21" s="16">
        <v>40.902999999999999</v>
      </c>
      <c r="G21" s="16">
        <v>1.25</v>
      </c>
      <c r="H21" s="16">
        <f t="shared" si="0"/>
        <v>37.809625000000004</v>
      </c>
      <c r="I21" s="5"/>
      <c r="J21" s="15">
        <v>2557.7687999999998</v>
      </c>
      <c r="K21" s="16">
        <v>36.871899999999997</v>
      </c>
      <c r="L21" s="16">
        <v>41.012</v>
      </c>
      <c r="M21" s="16">
        <v>42.402799999999999</v>
      </c>
      <c r="N21" s="16">
        <v>2.5308000000000002</v>
      </c>
      <c r="O21" s="16">
        <f t="shared" si="1"/>
        <v>38.080774999999996</v>
      </c>
      <c r="P21" s="7"/>
      <c r="Q21" s="8">
        <f>bdrate(C21:C24,D21:D24,J21:J24,K21:K24)</f>
        <v>-0.28334854936584397</v>
      </c>
      <c r="R21" s="8">
        <f>bdrate(C21:C24,E21:E24,J21:J24,L21:L24)</f>
        <v>-0.60028125461215964</v>
      </c>
      <c r="S21" s="8">
        <f>bdrate(C21:C24,F21:F24,J21:J24,M21:M24)</f>
        <v>-0.60349639852203163</v>
      </c>
      <c r="T21" s="25">
        <f>bdrate(C21:C24,H21:H24,J21:J24,O21:O24)</f>
        <v>-0.34516862067380549</v>
      </c>
      <c r="U21" s="28">
        <f t="shared" si="2"/>
        <v>1.0246400000000002</v>
      </c>
    </row>
    <row r="22" spans="1:21" x14ac:dyDescent="0.25">
      <c r="B22" s="9"/>
      <c r="C22" s="17">
        <v>2231.5</v>
      </c>
      <c r="D22" s="18">
        <v>35.576000000000001</v>
      </c>
      <c r="E22" s="18">
        <v>38.917000000000002</v>
      </c>
      <c r="F22" s="18">
        <v>40.170999999999999</v>
      </c>
      <c r="G22" s="18">
        <v>1.38</v>
      </c>
      <c r="H22" s="18">
        <f t="shared" si="0"/>
        <v>36.568000000000005</v>
      </c>
      <c r="I22" s="5"/>
      <c r="J22" s="17">
        <v>1670.9512</v>
      </c>
      <c r="K22" s="18">
        <v>35.594200000000001</v>
      </c>
      <c r="L22" s="18">
        <v>40.14</v>
      </c>
      <c r="M22" s="18">
        <v>41.395600000000002</v>
      </c>
      <c r="N22" s="18">
        <v>3.1898</v>
      </c>
      <c r="O22" s="18">
        <f t="shared" si="1"/>
        <v>36.887599999999999</v>
      </c>
      <c r="P22" s="7"/>
      <c r="Q22" s="10"/>
      <c r="R22" s="11"/>
      <c r="S22" s="11"/>
      <c r="T22" s="26"/>
      <c r="U22" s="28">
        <f t="shared" si="2"/>
        <v>1.311449275362319</v>
      </c>
    </row>
    <row r="23" spans="1:21" x14ac:dyDescent="0.25">
      <c r="B23" s="9"/>
      <c r="C23" s="17">
        <v>1390.47</v>
      </c>
      <c r="D23" s="18">
        <v>33.869</v>
      </c>
      <c r="E23" s="18">
        <v>38.054000000000002</v>
      </c>
      <c r="F23" s="18">
        <v>39.435000000000002</v>
      </c>
      <c r="G23" s="18">
        <v>1.5</v>
      </c>
      <c r="H23" s="18">
        <f t="shared" si="0"/>
        <v>35.087874999999997</v>
      </c>
      <c r="I23" s="5"/>
      <c r="J23" s="17">
        <v>1031.4104</v>
      </c>
      <c r="K23" s="18">
        <v>34.066200000000002</v>
      </c>
      <c r="L23" s="18">
        <v>39.209200000000003</v>
      </c>
      <c r="M23" s="18">
        <v>40.447099999999999</v>
      </c>
      <c r="N23" s="18">
        <v>4.1700999999999997</v>
      </c>
      <c r="O23" s="18">
        <f t="shared" si="1"/>
        <v>35.506687499999998</v>
      </c>
      <c r="P23" s="7"/>
      <c r="Q23" s="10"/>
      <c r="R23" s="11"/>
      <c r="S23" s="11"/>
      <c r="T23" s="26"/>
      <c r="U23" s="28">
        <f t="shared" si="2"/>
        <v>1.7800666666666665</v>
      </c>
    </row>
    <row r="24" spans="1:21" ht="16.5" thickBot="1" x14ac:dyDescent="0.3">
      <c r="B24" s="12"/>
      <c r="C24" s="19">
        <v>827.22</v>
      </c>
      <c r="D24" s="20">
        <v>31.937999999999999</v>
      </c>
      <c r="E24" s="20">
        <v>37.253999999999998</v>
      </c>
      <c r="F24" s="20">
        <v>38.802</v>
      </c>
      <c r="G24" s="20">
        <v>1.77</v>
      </c>
      <c r="H24" s="20">
        <f t="shared" si="0"/>
        <v>33.460499999999996</v>
      </c>
      <c r="I24" s="5"/>
      <c r="J24" s="19">
        <v>611.79039999999998</v>
      </c>
      <c r="K24" s="20">
        <v>32.433999999999997</v>
      </c>
      <c r="L24" s="20">
        <v>38.202800000000003</v>
      </c>
      <c r="M24" s="20">
        <v>39.5398</v>
      </c>
      <c r="N24" s="20">
        <v>5.6189</v>
      </c>
      <c r="O24" s="20">
        <f t="shared" si="1"/>
        <v>34.043324999999996</v>
      </c>
      <c r="P24" s="7"/>
      <c r="Q24" s="13"/>
      <c r="R24" s="14"/>
      <c r="S24" s="14"/>
      <c r="T24" s="27"/>
      <c r="U24" s="28">
        <f t="shared" si="2"/>
        <v>2.1745197740112996</v>
      </c>
    </row>
    <row r="25" spans="1:21" x14ac:dyDescent="0.25">
      <c r="B25" s="6" t="s">
        <v>50</v>
      </c>
      <c r="C25" s="15">
        <v>3514.85</v>
      </c>
      <c r="D25" s="16">
        <v>35.061</v>
      </c>
      <c r="E25" s="16">
        <v>38.317</v>
      </c>
      <c r="F25" s="16">
        <v>40.133000000000003</v>
      </c>
      <c r="G25" s="16">
        <v>1.59</v>
      </c>
      <c r="H25" s="16">
        <f t="shared" si="0"/>
        <v>36.101999999999997</v>
      </c>
      <c r="I25" s="5"/>
      <c r="J25" s="15">
        <v>2406.6992</v>
      </c>
      <c r="K25" s="16">
        <v>35.137900000000002</v>
      </c>
      <c r="L25" s="16">
        <v>38.706099999999999</v>
      </c>
      <c r="M25" s="16">
        <v>41.366300000000003</v>
      </c>
      <c r="N25" s="16">
        <v>3.4803000000000002</v>
      </c>
      <c r="O25" s="16">
        <f t="shared" si="1"/>
        <v>36.362475000000003</v>
      </c>
      <c r="P25" s="7"/>
      <c r="Q25" s="8">
        <f>bdrate(C25:C28,D25:D28,J25:J28,K25:K28)</f>
        <v>-0.41614022601455314</v>
      </c>
      <c r="R25" s="8">
        <f>bdrate(C25:C28,E25:E28,J25:J28,L25:L28)</f>
        <v>-0.61515431536534337</v>
      </c>
      <c r="S25" s="8">
        <f>bdrate(C25:C28,F25:F28,J25:J28,M25:M28)</f>
        <v>-0.6519003562519794</v>
      </c>
      <c r="T25" s="25">
        <f>bdrate(C25:C28,H25:H28,J25:J28,O25:O28)</f>
        <v>-0.45421893627407905</v>
      </c>
      <c r="U25" s="28">
        <f t="shared" si="2"/>
        <v>1.1888679245283018</v>
      </c>
    </row>
    <row r="26" spans="1:21" x14ac:dyDescent="0.25">
      <c r="B26" s="9"/>
      <c r="C26" s="17">
        <v>2336.27</v>
      </c>
      <c r="D26" s="18">
        <v>33.634999999999998</v>
      </c>
      <c r="E26" s="18">
        <v>37.726999999999997</v>
      </c>
      <c r="F26" s="18">
        <v>39.143000000000001</v>
      </c>
      <c r="G26" s="18">
        <v>1.82</v>
      </c>
      <c r="H26" s="18">
        <f t="shared" si="0"/>
        <v>34.835000000000001</v>
      </c>
      <c r="I26" s="5"/>
      <c r="J26" s="17">
        <v>1602.296</v>
      </c>
      <c r="K26" s="18">
        <v>34.0152</v>
      </c>
      <c r="L26" s="18">
        <v>38.3371</v>
      </c>
      <c r="M26" s="18">
        <v>40.548099999999998</v>
      </c>
      <c r="N26" s="18">
        <v>4.4184000000000001</v>
      </c>
      <c r="O26" s="18">
        <f t="shared" si="1"/>
        <v>35.372050000000002</v>
      </c>
      <c r="P26" s="7"/>
      <c r="Q26" s="10"/>
      <c r="R26" s="11"/>
      <c r="S26" s="11"/>
      <c r="T26" s="26"/>
      <c r="U26" s="28">
        <f t="shared" si="2"/>
        <v>1.4276923076923076</v>
      </c>
    </row>
    <row r="27" spans="1:21" x14ac:dyDescent="0.25">
      <c r="B27" s="9"/>
      <c r="C27" s="17">
        <v>1466.47</v>
      </c>
      <c r="D27" s="18">
        <v>31.771999999999998</v>
      </c>
      <c r="E27" s="18">
        <v>37.054000000000002</v>
      </c>
      <c r="F27" s="18">
        <v>38.017000000000003</v>
      </c>
      <c r="G27" s="18">
        <v>2.2200000000000002</v>
      </c>
      <c r="H27" s="18">
        <f t="shared" si="0"/>
        <v>33.212875000000004</v>
      </c>
      <c r="I27" s="5"/>
      <c r="J27" s="17">
        <v>1000.2551999999999</v>
      </c>
      <c r="K27" s="18">
        <v>32.493400000000001</v>
      </c>
      <c r="L27" s="18">
        <v>37.877699999999997</v>
      </c>
      <c r="M27" s="18">
        <v>39.597099999999998</v>
      </c>
      <c r="N27" s="18">
        <v>5.7624000000000004</v>
      </c>
      <c r="O27" s="18">
        <f t="shared" si="1"/>
        <v>34.054400000000001</v>
      </c>
      <c r="P27" s="7"/>
      <c r="Q27" s="10"/>
      <c r="R27" s="11"/>
      <c r="S27" s="11"/>
      <c r="T27" s="26"/>
      <c r="U27" s="28">
        <f t="shared" si="2"/>
        <v>1.5956756756756756</v>
      </c>
    </row>
    <row r="28" spans="1:21" ht="16.5" thickBot="1" x14ac:dyDescent="0.3">
      <c r="B28" s="12"/>
      <c r="C28" s="19">
        <v>873.55</v>
      </c>
      <c r="D28" s="20">
        <v>29.507000000000001</v>
      </c>
      <c r="E28" s="20">
        <v>36.35</v>
      </c>
      <c r="F28" s="20">
        <v>36.948999999999998</v>
      </c>
      <c r="G28" s="20">
        <v>2.87</v>
      </c>
      <c r="H28" s="20">
        <f t="shared" si="0"/>
        <v>31.292625000000001</v>
      </c>
      <c r="I28" s="5"/>
      <c r="J28" s="19">
        <v>590.76559999999995</v>
      </c>
      <c r="K28" s="20">
        <v>30.699200000000001</v>
      </c>
      <c r="L28" s="20">
        <v>37.213299999999997</v>
      </c>
      <c r="M28" s="20">
        <v>38.499099999999999</v>
      </c>
      <c r="N28" s="20">
        <v>8.1081000000000003</v>
      </c>
      <c r="O28" s="20">
        <f t="shared" si="1"/>
        <v>32.48845</v>
      </c>
      <c r="P28" s="7"/>
      <c r="Q28" s="13"/>
      <c r="R28" s="14"/>
      <c r="S28" s="14"/>
      <c r="T28" s="27"/>
      <c r="U28" s="28">
        <f t="shared" si="2"/>
        <v>1.8251219512195123</v>
      </c>
    </row>
    <row r="29" spans="1:21" x14ac:dyDescent="0.25">
      <c r="B29" s="6" t="s">
        <v>51</v>
      </c>
      <c r="C29" s="29">
        <v>3574.93</v>
      </c>
      <c r="D29" s="30">
        <v>34.622999999999998</v>
      </c>
      <c r="E29" s="30">
        <v>40.091999999999999</v>
      </c>
      <c r="F29" s="30">
        <v>39.825000000000003</v>
      </c>
      <c r="G29" s="16">
        <v>1.29</v>
      </c>
      <c r="H29" s="16">
        <f t="shared" si="0"/>
        <v>35.956874999999997</v>
      </c>
      <c r="I29" s="5"/>
      <c r="J29" s="29">
        <v>2437.4488000000001</v>
      </c>
      <c r="K29" s="30">
        <v>34.909399999999998</v>
      </c>
      <c r="L29" s="30">
        <v>41.366599999999998</v>
      </c>
      <c r="M29" s="30">
        <v>41.151899999999998</v>
      </c>
      <c r="N29" s="16">
        <v>2.9718</v>
      </c>
      <c r="O29" s="16">
        <f t="shared" si="1"/>
        <v>36.496862499999999</v>
      </c>
      <c r="P29" s="7"/>
      <c r="Q29" s="8">
        <f>bdrate(C29:C32,D29:D32,J29:J32,K29:K32)</f>
        <v>-0.46224417148456454</v>
      </c>
      <c r="R29" s="8">
        <f>bdrate(C29:C32,E29:E32,J29:J32,L29:L32)</f>
        <v>-0.71014545171068866</v>
      </c>
      <c r="S29" s="8">
        <f>bdrate(C29:C32,F29:F32,J29:J32,M29:M32)</f>
        <v>-0.63683474847682908</v>
      </c>
      <c r="T29" s="25">
        <f>bdrate(C29:C32,H29:H32,J29:J32,O29:O32)</f>
        <v>-0.5025171357639604</v>
      </c>
      <c r="U29" s="28">
        <f t="shared" si="2"/>
        <v>1.3037209302325581</v>
      </c>
    </row>
    <row r="30" spans="1:21" x14ac:dyDescent="0.25">
      <c r="B30" s="9"/>
      <c r="C30" s="31">
        <v>2379.0100000000002</v>
      </c>
      <c r="D30" s="32">
        <v>32.954000000000001</v>
      </c>
      <c r="E30" s="32">
        <v>39.212000000000003</v>
      </c>
      <c r="F30" s="32">
        <v>38.728000000000002</v>
      </c>
      <c r="G30" s="18">
        <v>1.65</v>
      </c>
      <c r="H30" s="18">
        <f t="shared" si="0"/>
        <v>34.457999999999998</v>
      </c>
      <c r="I30" s="5"/>
      <c r="J30" s="31">
        <v>1631.2744</v>
      </c>
      <c r="K30" s="32">
        <v>33.613900000000001</v>
      </c>
      <c r="L30" s="32">
        <v>40.724600000000002</v>
      </c>
      <c r="M30" s="32">
        <v>40.259500000000003</v>
      </c>
      <c r="N30" s="18">
        <v>3.6735000000000002</v>
      </c>
      <c r="O30" s="18">
        <f t="shared" si="1"/>
        <v>35.333437500000002</v>
      </c>
      <c r="P30" s="7"/>
      <c r="Q30" s="10"/>
      <c r="R30" s="11"/>
      <c r="S30" s="11"/>
      <c r="T30" s="26"/>
      <c r="U30" s="28">
        <f t="shared" si="2"/>
        <v>1.2263636363636365</v>
      </c>
    </row>
    <row r="31" spans="1:21" x14ac:dyDescent="0.25">
      <c r="B31" s="9"/>
      <c r="C31" s="31">
        <v>1472.17</v>
      </c>
      <c r="D31" s="32">
        <v>30.582000000000001</v>
      </c>
      <c r="E31" s="32">
        <v>38.143999999999998</v>
      </c>
      <c r="F31" s="32">
        <v>37.326999999999998</v>
      </c>
      <c r="G31" s="18">
        <v>2.2599999999999998</v>
      </c>
      <c r="H31" s="18">
        <f t="shared" si="0"/>
        <v>32.370375000000003</v>
      </c>
      <c r="I31" s="5"/>
      <c r="J31" s="31">
        <v>1013.7824000000001</v>
      </c>
      <c r="K31" s="32">
        <v>31.960699999999999</v>
      </c>
      <c r="L31" s="32">
        <v>39.972299999999997</v>
      </c>
      <c r="M31" s="32">
        <v>39.169499999999999</v>
      </c>
      <c r="N31" s="18">
        <v>5.008</v>
      </c>
      <c r="O31" s="18">
        <f t="shared" si="1"/>
        <v>33.863249999999994</v>
      </c>
      <c r="P31" s="7"/>
      <c r="Q31" s="10"/>
      <c r="R31" s="11"/>
      <c r="S31" s="11"/>
      <c r="T31" s="26"/>
      <c r="U31" s="28">
        <f t="shared" si="2"/>
        <v>1.2159292035398233</v>
      </c>
    </row>
    <row r="32" spans="1:21" ht="16.5" thickBot="1" x14ac:dyDescent="0.3">
      <c r="B32" s="12"/>
      <c r="C32" s="33">
        <v>877.26</v>
      </c>
      <c r="D32" s="34">
        <v>27.506</v>
      </c>
      <c r="E32" s="34">
        <v>37.002000000000002</v>
      </c>
      <c r="F32" s="34">
        <v>35.36</v>
      </c>
      <c r="G32" s="20">
        <v>3.19</v>
      </c>
      <c r="H32" s="20">
        <f t="shared" si="0"/>
        <v>29.674750000000003</v>
      </c>
      <c r="I32" s="5"/>
      <c r="J32" s="33">
        <v>607.07600000000002</v>
      </c>
      <c r="K32" s="34">
        <v>30.13</v>
      </c>
      <c r="L32" s="34">
        <v>38.9938</v>
      </c>
      <c r="M32" s="34">
        <v>37.720399999999998</v>
      </c>
      <c r="N32" s="20">
        <v>6.8573000000000004</v>
      </c>
      <c r="O32" s="20">
        <f t="shared" si="1"/>
        <v>32.186774999999997</v>
      </c>
      <c r="P32" s="7"/>
      <c r="Q32" s="13"/>
      <c r="R32" s="14"/>
      <c r="S32" s="14"/>
      <c r="T32" s="27"/>
      <c r="U32" s="28">
        <f t="shared" si="2"/>
        <v>1.1496238244514108</v>
      </c>
    </row>
    <row r="33" spans="1:21" x14ac:dyDescent="0.25">
      <c r="B33" s="6" t="s">
        <v>52</v>
      </c>
      <c r="C33" s="15">
        <v>3536.44</v>
      </c>
      <c r="D33" s="16">
        <v>33.85</v>
      </c>
      <c r="E33" s="16">
        <v>39.384</v>
      </c>
      <c r="F33" s="16">
        <v>42.061</v>
      </c>
      <c r="G33" s="16">
        <v>1.34</v>
      </c>
      <c r="H33" s="16">
        <f t="shared" si="0"/>
        <v>35.568125000000002</v>
      </c>
      <c r="I33" s="5"/>
      <c r="J33" s="15">
        <v>2391.6055999999999</v>
      </c>
      <c r="K33" s="16">
        <v>34.134099999999997</v>
      </c>
      <c r="L33" s="16">
        <v>40.4544</v>
      </c>
      <c r="M33" s="16">
        <v>42.8752</v>
      </c>
      <c r="N33" s="16">
        <v>4.2138999999999998</v>
      </c>
      <c r="O33" s="16">
        <f t="shared" si="1"/>
        <v>36.016774999999996</v>
      </c>
      <c r="P33" s="7"/>
      <c r="Q33" s="8">
        <f>bdrate(C33:C36,D33:D36,J33:J36,K33:K36)</f>
        <v>-0.47261907216509436</v>
      </c>
      <c r="R33" s="8">
        <f>bdrate(C33:C36,E33:E36,J33:J36,L33:L36)</f>
        <v>-0.68960609229357317</v>
      </c>
      <c r="S33" s="8">
        <f>bdrate(C33:C36,F33:F36,J33:J36,M33:M36)</f>
        <v>-0.66839406890571018</v>
      </c>
      <c r="T33" s="25">
        <f>bdrate(C33:C36,H33:H36,J33:J36,O33:O36)</f>
        <v>-0.50791827486900742</v>
      </c>
      <c r="U33" s="28">
        <f t="shared" si="2"/>
        <v>2.1447014925373131</v>
      </c>
    </row>
    <row r="34" spans="1:21" x14ac:dyDescent="0.25">
      <c r="B34" s="9"/>
      <c r="C34" s="17">
        <v>2320.04</v>
      </c>
      <c r="D34" s="18">
        <v>33.058</v>
      </c>
      <c r="E34" s="18">
        <v>38.942999999999998</v>
      </c>
      <c r="F34" s="18">
        <v>41.609000000000002</v>
      </c>
      <c r="G34" s="18">
        <v>1.52</v>
      </c>
      <c r="H34" s="18">
        <f t="shared" si="0"/>
        <v>34.862499999999997</v>
      </c>
      <c r="I34" s="5"/>
      <c r="J34" s="17">
        <v>1590.9232</v>
      </c>
      <c r="K34" s="18">
        <v>33.493099999999998</v>
      </c>
      <c r="L34" s="18">
        <v>40.005400000000002</v>
      </c>
      <c r="M34" s="18">
        <v>42.496899999999997</v>
      </c>
      <c r="N34" s="18">
        <v>5.4997999999999996</v>
      </c>
      <c r="O34" s="18">
        <f t="shared" si="1"/>
        <v>35.432612499999998</v>
      </c>
      <c r="P34" s="7"/>
      <c r="Q34" s="10"/>
      <c r="R34" s="11"/>
      <c r="S34" s="11"/>
      <c r="T34" s="26"/>
      <c r="U34" s="28">
        <f t="shared" si="2"/>
        <v>2.6182894736842104</v>
      </c>
    </row>
    <row r="35" spans="1:21" x14ac:dyDescent="0.25">
      <c r="B35" s="9"/>
      <c r="C35" s="17">
        <v>1423.44</v>
      </c>
      <c r="D35" s="18">
        <v>31.736999999999998</v>
      </c>
      <c r="E35" s="18">
        <v>38.427999999999997</v>
      </c>
      <c r="F35" s="18">
        <v>41.097000000000001</v>
      </c>
      <c r="G35" s="18">
        <v>1.83</v>
      </c>
      <c r="H35" s="18">
        <f t="shared" si="0"/>
        <v>33.743375</v>
      </c>
      <c r="I35" s="5"/>
      <c r="J35" s="17">
        <v>983.86</v>
      </c>
      <c r="K35" s="18">
        <v>32.507399999999997</v>
      </c>
      <c r="L35" s="18">
        <v>39.289200000000001</v>
      </c>
      <c r="M35" s="18">
        <v>41.853099999999998</v>
      </c>
      <c r="N35" s="18">
        <v>7.5400999999999998</v>
      </c>
      <c r="O35" s="18">
        <f t="shared" si="1"/>
        <v>34.523337499999997</v>
      </c>
      <c r="P35" s="7"/>
      <c r="Q35" s="10"/>
      <c r="R35" s="11"/>
      <c r="S35" s="11"/>
      <c r="T35" s="26"/>
      <c r="U35" s="28">
        <f t="shared" si="2"/>
        <v>3.1202732240437157</v>
      </c>
    </row>
    <row r="36" spans="1:21" ht="16.5" thickBot="1" x14ac:dyDescent="0.3">
      <c r="B36" s="12"/>
      <c r="C36" s="19">
        <v>834.23</v>
      </c>
      <c r="D36" s="20">
        <v>29.638999999999999</v>
      </c>
      <c r="E36" s="20">
        <v>37.734000000000002</v>
      </c>
      <c r="F36" s="20">
        <v>40.295999999999999</v>
      </c>
      <c r="G36" s="20">
        <v>2.2799999999999998</v>
      </c>
      <c r="H36" s="20">
        <f t="shared" si="0"/>
        <v>31.983000000000001</v>
      </c>
      <c r="I36" s="5"/>
      <c r="J36" s="19">
        <v>580.01760000000002</v>
      </c>
      <c r="K36" s="20">
        <v>31.099</v>
      </c>
      <c r="L36" s="20">
        <v>38.713700000000003</v>
      </c>
      <c r="M36" s="20">
        <v>41.365200000000002</v>
      </c>
      <c r="N36" s="20">
        <v>10.513999999999999</v>
      </c>
      <c r="O36" s="20">
        <f t="shared" si="1"/>
        <v>33.334112500000003</v>
      </c>
      <c r="P36" s="7"/>
      <c r="Q36" s="13"/>
      <c r="R36" s="14"/>
      <c r="S36" s="14"/>
      <c r="T36" s="27"/>
      <c r="U36" s="28">
        <f t="shared" si="2"/>
        <v>3.6114035087719301</v>
      </c>
    </row>
    <row r="37" spans="1:21" x14ac:dyDescent="0.25">
      <c r="A37" s="6" t="s">
        <v>39</v>
      </c>
      <c r="B37" s="6" t="s">
        <v>53</v>
      </c>
      <c r="C37" s="15">
        <v>1544.87</v>
      </c>
      <c r="D37" s="16">
        <v>35.991999999999997</v>
      </c>
      <c r="E37" s="16">
        <v>39.396000000000001</v>
      </c>
      <c r="F37" s="16">
        <v>39.319000000000003</v>
      </c>
      <c r="G37" s="16">
        <v>6.89</v>
      </c>
      <c r="H37" s="16">
        <f t="shared" si="0"/>
        <v>36.833375000000004</v>
      </c>
      <c r="I37" s="5"/>
      <c r="J37" s="15">
        <v>1199.4695999999999</v>
      </c>
      <c r="K37" s="16">
        <v>37.052199999999999</v>
      </c>
      <c r="L37" s="16">
        <v>41.237499999999997</v>
      </c>
      <c r="M37" s="16">
        <v>41.255699999999997</v>
      </c>
      <c r="N37" s="16">
        <v>8.6552000000000007</v>
      </c>
      <c r="O37" s="16">
        <f t="shared" si="1"/>
        <v>38.1008</v>
      </c>
      <c r="P37" s="7"/>
      <c r="Q37" s="8">
        <f>bdrate(C37:C40,D37:D40,J37:J40,K37:K40)</f>
        <v>-0.37060159075065202</v>
      </c>
      <c r="R37" s="8">
        <f>bdrate(C37:C40,E37:E40,J37:J40,L37:L40)</f>
        <v>-0.59845450057544247</v>
      </c>
      <c r="S37" s="8">
        <f>bdrate(C37:C40,F37:F40,J37:J40,M37:M40)</f>
        <v>-0.57419414904825805</v>
      </c>
      <c r="T37" s="25">
        <f>bdrate(C37:C40,H37:H40,J37:J40,O37:O40)</f>
        <v>-0.42058818324880642</v>
      </c>
      <c r="U37" s="28">
        <f t="shared" si="2"/>
        <v>0.25619738751814242</v>
      </c>
    </row>
    <row r="38" spans="1:21" x14ac:dyDescent="0.25">
      <c r="A38" s="9" t="s">
        <v>40</v>
      </c>
      <c r="B38" s="9"/>
      <c r="C38" s="17">
        <v>1047.28</v>
      </c>
      <c r="D38" s="18">
        <v>34.429000000000002</v>
      </c>
      <c r="E38" s="18">
        <v>38.017000000000003</v>
      </c>
      <c r="F38" s="18">
        <v>37.841000000000001</v>
      </c>
      <c r="G38" s="18">
        <v>7.85</v>
      </c>
      <c r="H38" s="18">
        <f t="shared" si="0"/>
        <v>35.304000000000002</v>
      </c>
      <c r="I38" s="5"/>
      <c r="J38" s="17">
        <v>796.57360000000006</v>
      </c>
      <c r="K38" s="18">
        <v>35.196599999999997</v>
      </c>
      <c r="L38" s="18">
        <v>39.8797</v>
      </c>
      <c r="M38" s="18">
        <v>39.7057</v>
      </c>
      <c r="N38" s="18">
        <v>10.5702</v>
      </c>
      <c r="O38" s="18">
        <f t="shared" si="1"/>
        <v>36.345624999999998</v>
      </c>
      <c r="P38" s="7"/>
      <c r="Q38" s="10"/>
      <c r="R38" s="11"/>
      <c r="S38" s="11"/>
      <c r="T38" s="26"/>
      <c r="U38" s="28">
        <f t="shared" si="2"/>
        <v>0.34652229299363063</v>
      </c>
    </row>
    <row r="39" spans="1:21" x14ac:dyDescent="0.25">
      <c r="B39" s="9"/>
      <c r="C39" s="17">
        <v>644.08000000000004</v>
      </c>
      <c r="D39" s="18">
        <v>32.392000000000003</v>
      </c>
      <c r="E39" s="18">
        <v>36.527000000000001</v>
      </c>
      <c r="F39" s="18">
        <v>36.218000000000004</v>
      </c>
      <c r="G39" s="18">
        <v>9.33</v>
      </c>
      <c r="H39" s="18">
        <f t="shared" si="0"/>
        <v>33.387125000000005</v>
      </c>
      <c r="I39" s="5"/>
      <c r="J39" s="17">
        <v>503.63119999999998</v>
      </c>
      <c r="K39" s="18">
        <v>33.270499999999998</v>
      </c>
      <c r="L39" s="18">
        <v>38.574399999999997</v>
      </c>
      <c r="M39" s="18">
        <v>38.267699999999998</v>
      </c>
      <c r="N39" s="18">
        <v>13.466900000000001</v>
      </c>
      <c r="O39" s="18">
        <f t="shared" si="1"/>
        <v>34.558137500000001</v>
      </c>
      <c r="P39" s="7"/>
      <c r="Q39" s="10"/>
      <c r="R39" s="11"/>
      <c r="S39" s="11"/>
      <c r="T39" s="26"/>
      <c r="U39" s="28">
        <f t="shared" si="2"/>
        <v>0.44339764201500542</v>
      </c>
    </row>
    <row r="40" spans="1:21" ht="16.5" thickBot="1" x14ac:dyDescent="0.3">
      <c r="B40" s="12"/>
      <c r="C40" s="19">
        <v>394.93</v>
      </c>
      <c r="D40" s="20">
        <v>30.12</v>
      </c>
      <c r="E40" s="20">
        <v>35.286000000000001</v>
      </c>
      <c r="F40" s="20">
        <v>34.82</v>
      </c>
      <c r="G40" s="20">
        <v>12.35</v>
      </c>
      <c r="H40" s="20">
        <f t="shared" si="0"/>
        <v>31.353249999999999</v>
      </c>
      <c r="I40" s="5"/>
      <c r="J40" s="19">
        <v>299.84559999999999</v>
      </c>
      <c r="K40" s="20">
        <v>31.185600000000001</v>
      </c>
      <c r="L40" s="20">
        <v>37.157699999999998</v>
      </c>
      <c r="M40" s="20">
        <v>36.628900000000002</v>
      </c>
      <c r="N40" s="20">
        <v>18.159400000000002</v>
      </c>
      <c r="O40" s="20">
        <f t="shared" si="1"/>
        <v>32.612525000000005</v>
      </c>
      <c r="P40" s="7"/>
      <c r="Q40" s="13"/>
      <c r="R40" s="14"/>
      <c r="S40" s="14"/>
      <c r="T40" s="27"/>
      <c r="U40" s="28">
        <f t="shared" si="2"/>
        <v>0.4703967611336034</v>
      </c>
    </row>
    <row r="41" spans="1:21" x14ac:dyDescent="0.25">
      <c r="B41" s="6" t="s">
        <v>54</v>
      </c>
      <c r="C41" s="15">
        <v>1575.73</v>
      </c>
      <c r="D41" s="16">
        <v>36.189</v>
      </c>
      <c r="E41" s="16">
        <v>40.359000000000002</v>
      </c>
      <c r="F41" s="16">
        <v>41.207000000000001</v>
      </c>
      <c r="G41" s="16">
        <v>7.59</v>
      </c>
      <c r="H41" s="16">
        <f t="shared" si="0"/>
        <v>37.337499999999999</v>
      </c>
      <c r="I41" s="5"/>
      <c r="J41" s="15">
        <v>1212.0791999999999</v>
      </c>
      <c r="K41" s="16">
        <v>36.407899999999998</v>
      </c>
      <c r="L41" s="16">
        <v>41.864699999999999</v>
      </c>
      <c r="M41" s="16">
        <v>42.9238</v>
      </c>
      <c r="N41" s="16">
        <v>10.743399999999999</v>
      </c>
      <c r="O41" s="16">
        <f t="shared" si="1"/>
        <v>37.904487500000002</v>
      </c>
      <c r="P41" s="7"/>
      <c r="Q41" s="8">
        <f>bdrate(C41:C44,D41:D44,J41:J44,K41:K44)</f>
        <v>-0.33189665021595405</v>
      </c>
      <c r="R41" s="8">
        <f>bdrate(C41:C44,E41:E44,J41:J44,L41:L44)</f>
        <v>-0.59689776576083475</v>
      </c>
      <c r="S41" s="8">
        <f>bdrate(C41:C44,F41:F44,J41:J44,M41:M44)</f>
        <v>-0.59531576532387342</v>
      </c>
      <c r="T41" s="25">
        <f>bdrate(C41:C44,H41:H44,J41:J44,O41:O44)</f>
        <v>-0.3832653154340947</v>
      </c>
      <c r="U41" s="28">
        <f t="shared" si="2"/>
        <v>0.41546772068511195</v>
      </c>
    </row>
    <row r="42" spans="1:21" x14ac:dyDescent="0.25">
      <c r="B42" s="9"/>
      <c r="C42" s="17">
        <v>1068.0899999999999</v>
      </c>
      <c r="D42" s="18">
        <v>34.51</v>
      </c>
      <c r="E42" s="18">
        <v>39.432000000000002</v>
      </c>
      <c r="F42" s="18">
        <v>40.192999999999998</v>
      </c>
      <c r="G42" s="18">
        <v>8.2799999999999994</v>
      </c>
      <c r="H42" s="18">
        <f t="shared" si="0"/>
        <v>35.835625</v>
      </c>
      <c r="I42" s="5"/>
      <c r="J42" s="17">
        <v>806.86559999999997</v>
      </c>
      <c r="K42" s="18">
        <v>34.862699999999997</v>
      </c>
      <c r="L42" s="18">
        <v>40.899000000000001</v>
      </c>
      <c r="M42" s="18">
        <v>41.813600000000001</v>
      </c>
      <c r="N42" s="18">
        <v>13.437799999999999</v>
      </c>
      <c r="O42" s="18">
        <f t="shared" si="1"/>
        <v>36.4861</v>
      </c>
      <c r="P42" s="7"/>
      <c r="Q42" s="10"/>
      <c r="R42" s="11"/>
      <c r="S42" s="11"/>
      <c r="T42" s="26"/>
      <c r="U42" s="28">
        <f t="shared" si="2"/>
        <v>0.62292270531400973</v>
      </c>
    </row>
    <row r="43" spans="1:21" x14ac:dyDescent="0.25">
      <c r="B43" s="9"/>
      <c r="C43" s="17">
        <v>660</v>
      </c>
      <c r="D43" s="18">
        <v>32.274999999999999</v>
      </c>
      <c r="E43" s="18">
        <v>38.350999999999999</v>
      </c>
      <c r="F43" s="18">
        <v>39.006</v>
      </c>
      <c r="G43" s="18">
        <v>9.3699999999999992</v>
      </c>
      <c r="H43" s="18">
        <f t="shared" si="0"/>
        <v>33.875874999999994</v>
      </c>
      <c r="I43" s="5"/>
      <c r="J43" s="17">
        <v>503.404</v>
      </c>
      <c r="K43" s="18">
        <v>32.979900000000001</v>
      </c>
      <c r="L43" s="18">
        <v>39.8108</v>
      </c>
      <c r="M43" s="18">
        <v>40.575400000000002</v>
      </c>
      <c r="N43" s="18">
        <v>17.348600000000001</v>
      </c>
      <c r="O43" s="18">
        <f t="shared" si="1"/>
        <v>34.783200000000001</v>
      </c>
      <c r="P43" s="7"/>
      <c r="Q43" s="10"/>
      <c r="R43" s="11"/>
      <c r="S43" s="11"/>
      <c r="T43" s="26"/>
      <c r="U43" s="28">
        <f t="shared" si="2"/>
        <v>0.85150480256136629</v>
      </c>
    </row>
    <row r="44" spans="1:21" ht="16.5" thickBot="1" x14ac:dyDescent="0.3">
      <c r="B44" s="12"/>
      <c r="C44" s="19">
        <v>405.9</v>
      </c>
      <c r="D44" s="20">
        <v>29.831</v>
      </c>
      <c r="E44" s="20">
        <v>37.381999999999998</v>
      </c>
      <c r="F44" s="20">
        <v>37.957999999999998</v>
      </c>
      <c r="G44" s="20">
        <v>10.82</v>
      </c>
      <c r="H44" s="20">
        <f t="shared" si="0"/>
        <v>31.790749999999999</v>
      </c>
      <c r="I44" s="5"/>
      <c r="J44" s="19">
        <v>303.74</v>
      </c>
      <c r="K44" s="20">
        <v>30.8917</v>
      </c>
      <c r="L44" s="20">
        <v>38.603499999999997</v>
      </c>
      <c r="M44" s="20">
        <v>39.333399999999997</v>
      </c>
      <c r="N44" s="20">
        <v>22.934899999999999</v>
      </c>
      <c r="O44" s="20">
        <f t="shared" si="1"/>
        <v>32.910887500000001</v>
      </c>
      <c r="P44" s="7"/>
      <c r="Q44" s="13"/>
      <c r="R44" s="14"/>
      <c r="S44" s="14"/>
      <c r="T44" s="27"/>
      <c r="U44" s="28">
        <f t="shared" si="2"/>
        <v>1.1196765249537892</v>
      </c>
    </row>
    <row r="45" spans="1:21" x14ac:dyDescent="0.25">
      <c r="B45" s="6" t="s">
        <v>55</v>
      </c>
      <c r="C45" s="15">
        <v>1414.66</v>
      </c>
      <c r="D45" s="16">
        <v>30.631</v>
      </c>
      <c r="E45" s="16">
        <v>36.012999999999998</v>
      </c>
      <c r="F45" s="16">
        <v>36.722000000000001</v>
      </c>
      <c r="G45" s="16">
        <v>6.08</v>
      </c>
      <c r="H45" s="16">
        <f t="shared" si="0"/>
        <v>32.065125000000002</v>
      </c>
      <c r="I45" s="5"/>
      <c r="J45" s="15">
        <v>1189.0319999999999</v>
      </c>
      <c r="K45" s="16">
        <v>31.301100000000002</v>
      </c>
      <c r="L45" s="16">
        <v>37.773400000000002</v>
      </c>
      <c r="M45" s="16">
        <v>38.624600000000001</v>
      </c>
      <c r="N45" s="16">
        <v>11.0624</v>
      </c>
      <c r="O45" s="16">
        <f t="shared" si="1"/>
        <v>33.025575000000003</v>
      </c>
      <c r="P45" s="7"/>
      <c r="Q45" s="8">
        <f>bdrate(C45:C48,D45:D48,J45:J48,K45:K48)</f>
        <v>-0.33810254946039664</v>
      </c>
      <c r="R45" s="8">
        <f>bdrate(C45:C48,E45:E48,J45:J48,L45:L48)</f>
        <v>-0.63760173534060205</v>
      </c>
      <c r="S45" s="8">
        <f>bdrate(C45:C48,F45:F48,J45:J48,M45:M48)</f>
        <v>-0.64255700492695256</v>
      </c>
      <c r="T45" s="25">
        <f>bdrate(C45:C48,H45:H48,J45:J48,O45:O48)</f>
        <v>-0.39301034508395771</v>
      </c>
      <c r="U45" s="28">
        <f t="shared" si="2"/>
        <v>0.81947368421052635</v>
      </c>
    </row>
    <row r="46" spans="1:21" x14ac:dyDescent="0.25">
      <c r="B46" s="9"/>
      <c r="C46" s="17">
        <v>961.17</v>
      </c>
      <c r="D46" s="18">
        <v>29.16</v>
      </c>
      <c r="E46" s="18">
        <v>35.340000000000003</v>
      </c>
      <c r="F46" s="18">
        <v>36.076000000000001</v>
      </c>
      <c r="G46" s="18">
        <v>6.57</v>
      </c>
      <c r="H46" s="18">
        <f t="shared" si="0"/>
        <v>30.797000000000001</v>
      </c>
      <c r="I46" s="5"/>
      <c r="J46" s="17">
        <v>794.91039999999998</v>
      </c>
      <c r="K46" s="18">
        <v>29.897600000000001</v>
      </c>
      <c r="L46" s="18">
        <v>36.890099999999997</v>
      </c>
      <c r="M46" s="18">
        <v>37.707599999999999</v>
      </c>
      <c r="N46" s="18">
        <v>14.0021</v>
      </c>
      <c r="O46" s="18">
        <f t="shared" si="1"/>
        <v>31.747912499999998</v>
      </c>
      <c r="P46" s="7"/>
      <c r="Q46" s="10"/>
      <c r="R46" s="11"/>
      <c r="S46" s="11"/>
      <c r="T46" s="26"/>
      <c r="U46" s="28">
        <f t="shared" si="2"/>
        <v>1.1312176560121765</v>
      </c>
    </row>
    <row r="47" spans="1:21" x14ac:dyDescent="0.25">
      <c r="B47" s="9"/>
      <c r="C47" s="17">
        <v>597.21</v>
      </c>
      <c r="D47" s="18">
        <v>27.486000000000001</v>
      </c>
      <c r="E47" s="18">
        <v>34.679000000000002</v>
      </c>
      <c r="F47" s="18">
        <v>35.415999999999997</v>
      </c>
      <c r="G47" s="18">
        <v>7.2</v>
      </c>
      <c r="H47" s="18">
        <f t="shared" si="0"/>
        <v>29.376374999999999</v>
      </c>
      <c r="I47" s="5"/>
      <c r="J47" s="17">
        <v>501.12</v>
      </c>
      <c r="K47" s="18">
        <v>28.3233</v>
      </c>
      <c r="L47" s="18">
        <v>35.955599999999997</v>
      </c>
      <c r="M47" s="18">
        <v>36.724200000000003</v>
      </c>
      <c r="N47" s="18">
        <v>17.826599999999999</v>
      </c>
      <c r="O47" s="18">
        <f t="shared" si="1"/>
        <v>30.327449999999999</v>
      </c>
      <c r="P47" s="7"/>
      <c r="Q47" s="10"/>
      <c r="R47" s="11"/>
      <c r="S47" s="11"/>
      <c r="T47" s="26"/>
      <c r="U47" s="28">
        <f t="shared" si="2"/>
        <v>1.4759166666666665</v>
      </c>
    </row>
    <row r="48" spans="1:21" ht="16.5" thickBot="1" x14ac:dyDescent="0.3">
      <c r="B48" s="12"/>
      <c r="C48" s="19">
        <v>368.91</v>
      </c>
      <c r="D48" s="20">
        <v>25.834</v>
      </c>
      <c r="E48" s="20">
        <v>34.118000000000002</v>
      </c>
      <c r="F48" s="20">
        <v>34.854999999999997</v>
      </c>
      <c r="G48" s="20">
        <v>7.91</v>
      </c>
      <c r="H48" s="20">
        <f t="shared" si="0"/>
        <v>27.997124999999997</v>
      </c>
      <c r="I48" s="5"/>
      <c r="J48" s="19">
        <v>305.84640000000002</v>
      </c>
      <c r="K48" s="20">
        <v>26.8</v>
      </c>
      <c r="L48" s="20">
        <v>35.145200000000003</v>
      </c>
      <c r="M48" s="20">
        <v>35.881100000000004</v>
      </c>
      <c r="N48" s="20">
        <v>23.6877</v>
      </c>
      <c r="O48" s="20">
        <f t="shared" si="1"/>
        <v>28.9782875</v>
      </c>
      <c r="P48" s="7"/>
      <c r="Q48" s="13"/>
      <c r="R48" s="14"/>
      <c r="S48" s="14"/>
      <c r="T48" s="27"/>
      <c r="U48" s="28">
        <f t="shared" si="2"/>
        <v>1.9946523388116308</v>
      </c>
    </row>
    <row r="49" spans="1:21" x14ac:dyDescent="0.25">
      <c r="B49" s="6" t="s">
        <v>56</v>
      </c>
      <c r="C49" s="15">
        <v>1417.43</v>
      </c>
      <c r="D49" s="16">
        <v>33.695999999999998</v>
      </c>
      <c r="E49" s="16">
        <v>37.109000000000002</v>
      </c>
      <c r="F49" s="16">
        <v>38.881</v>
      </c>
      <c r="G49" s="16">
        <v>4.91</v>
      </c>
      <c r="H49" s="16">
        <f t="shared" si="0"/>
        <v>34.77075</v>
      </c>
      <c r="I49" s="5"/>
      <c r="J49" s="15">
        <v>1191.8599999999999</v>
      </c>
      <c r="K49" s="16">
        <v>33.575299999999999</v>
      </c>
      <c r="L49" s="16">
        <v>38.180799999999998</v>
      </c>
      <c r="M49" s="16">
        <v>39.794199999999996</v>
      </c>
      <c r="N49" s="16">
        <v>6.4554999999999998</v>
      </c>
      <c r="O49" s="16">
        <f t="shared" si="1"/>
        <v>34.928350000000002</v>
      </c>
      <c r="P49" s="7"/>
      <c r="Q49" s="8">
        <f>bdrate(C49:C52,D49:D52,J49:J52,K49:K52)</f>
        <v>-0.17088335794446297</v>
      </c>
      <c r="R49" s="8">
        <f>bdrate(C49:C52,E49:E52,J49:J52,L49:L52)</f>
        <v>-0.47236801200670508</v>
      </c>
      <c r="S49" s="8">
        <f>bdrate(C49:C52,F49:F52,J49:J52,M49:M52)</f>
        <v>-0.46736333108339689</v>
      </c>
      <c r="T49" s="25">
        <f>bdrate(C49:C52,H49:H52,J49:J52,O49:O52)</f>
        <v>-0.22263121007314013</v>
      </c>
      <c r="U49" s="28">
        <f t="shared" si="2"/>
        <v>0.31476578411405287</v>
      </c>
    </row>
    <row r="50" spans="1:21" x14ac:dyDescent="0.25">
      <c r="B50" s="9"/>
      <c r="C50" s="17">
        <v>971.44</v>
      </c>
      <c r="D50" s="18">
        <v>32.177999999999997</v>
      </c>
      <c r="E50" s="18">
        <v>36.316000000000003</v>
      </c>
      <c r="F50" s="18">
        <v>38.064999999999998</v>
      </c>
      <c r="G50" s="18">
        <v>5.5</v>
      </c>
      <c r="H50" s="18">
        <f t="shared" si="0"/>
        <v>33.431124999999994</v>
      </c>
      <c r="I50" s="5"/>
      <c r="J50" s="17">
        <v>794.54639999999995</v>
      </c>
      <c r="K50" s="18">
        <v>31.994199999999999</v>
      </c>
      <c r="L50" s="18">
        <v>37.227699999999999</v>
      </c>
      <c r="M50" s="18">
        <v>38.901499999999999</v>
      </c>
      <c r="N50" s="18">
        <v>7.8975999999999997</v>
      </c>
      <c r="O50" s="18">
        <f t="shared" si="1"/>
        <v>33.511799999999994</v>
      </c>
      <c r="P50" s="7"/>
      <c r="Q50" s="10"/>
      <c r="R50" s="11"/>
      <c r="S50" s="11"/>
      <c r="T50" s="26"/>
      <c r="U50" s="28">
        <f t="shared" si="2"/>
        <v>0.43592727272727266</v>
      </c>
    </row>
    <row r="51" spans="1:21" x14ac:dyDescent="0.25">
      <c r="B51" s="9"/>
      <c r="C51" s="17">
        <v>609.12</v>
      </c>
      <c r="D51" s="18">
        <v>30.292999999999999</v>
      </c>
      <c r="E51" s="18">
        <v>35.451999999999998</v>
      </c>
      <c r="F51" s="18">
        <v>37.152999999999999</v>
      </c>
      <c r="G51" s="18">
        <v>6.15</v>
      </c>
      <c r="H51" s="18">
        <f t="shared" si="0"/>
        <v>31.795374999999996</v>
      </c>
      <c r="I51" s="5"/>
      <c r="J51" s="17">
        <v>495.35199999999998</v>
      </c>
      <c r="K51" s="18">
        <v>30.253399999999999</v>
      </c>
      <c r="L51" s="18">
        <v>36.255200000000002</v>
      </c>
      <c r="M51" s="18">
        <v>37.988700000000001</v>
      </c>
      <c r="N51" s="18">
        <v>9.9953000000000003</v>
      </c>
      <c r="O51" s="18">
        <f t="shared" si="1"/>
        <v>31.970537499999999</v>
      </c>
      <c r="P51" s="7"/>
      <c r="Q51" s="10"/>
      <c r="R51" s="11"/>
      <c r="S51" s="11"/>
      <c r="T51" s="26"/>
      <c r="U51" s="28">
        <f t="shared" si="2"/>
        <v>0.62525203252032513</v>
      </c>
    </row>
    <row r="52" spans="1:21" ht="16.5" thickBot="1" x14ac:dyDescent="0.3">
      <c r="B52" s="12"/>
      <c r="C52" s="19">
        <v>380.4</v>
      </c>
      <c r="D52" s="20">
        <v>28.36</v>
      </c>
      <c r="E52" s="20">
        <v>34.587000000000003</v>
      </c>
      <c r="F52" s="20">
        <v>36.134</v>
      </c>
      <c r="G52" s="20">
        <v>7.34</v>
      </c>
      <c r="H52" s="20">
        <f t="shared" si="0"/>
        <v>30.110125000000004</v>
      </c>
      <c r="I52" s="5"/>
      <c r="J52" s="19">
        <v>296.69439999999997</v>
      </c>
      <c r="K52" s="20">
        <v>28.5289</v>
      </c>
      <c r="L52" s="20">
        <v>35.311599999999999</v>
      </c>
      <c r="M52" s="20">
        <v>37.036900000000003</v>
      </c>
      <c r="N52" s="20">
        <v>13.2896</v>
      </c>
      <c r="O52" s="20">
        <f t="shared" si="1"/>
        <v>30.440237500000002</v>
      </c>
      <c r="P52" s="7"/>
      <c r="Q52" s="13"/>
      <c r="R52" s="14"/>
      <c r="S52" s="14"/>
      <c r="T52" s="27"/>
      <c r="U52" s="28">
        <f t="shared" si="2"/>
        <v>0.81057220708446875</v>
      </c>
    </row>
    <row r="53" spans="1:21" x14ac:dyDescent="0.25">
      <c r="A53" s="6" t="s">
        <v>41</v>
      </c>
      <c r="B53" s="6" t="s">
        <v>57</v>
      </c>
      <c r="C53" s="15">
        <v>845.97</v>
      </c>
      <c r="D53" s="16">
        <v>36.514000000000003</v>
      </c>
      <c r="E53" s="16">
        <v>40.103999999999999</v>
      </c>
      <c r="F53" s="16">
        <v>38.972999999999999</v>
      </c>
      <c r="G53" s="16">
        <v>23.71</v>
      </c>
      <c r="H53" s="16">
        <f t="shared" si="0"/>
        <v>37.270125</v>
      </c>
      <c r="I53" s="5"/>
      <c r="J53" s="15">
        <v>608.91999999999996</v>
      </c>
      <c r="K53" s="16">
        <v>35.866199999999999</v>
      </c>
      <c r="L53" s="16">
        <v>41.376899999999999</v>
      </c>
      <c r="M53" s="16">
        <v>39.795499999999997</v>
      </c>
      <c r="N53" s="16">
        <v>22.923200000000001</v>
      </c>
      <c r="O53" s="16">
        <f t="shared" si="1"/>
        <v>37.046199999999999</v>
      </c>
      <c r="P53" s="7"/>
      <c r="Q53" s="8">
        <f>bdrate(C53:C56,D53:D56,J53:J56,K53:K56)</f>
        <v>-0.19985902241536158</v>
      </c>
      <c r="R53" s="8">
        <f>bdrate(C53:C56,E53:E56,J53:J56,L53:L56)</f>
        <v>-0.5584167457768674</v>
      </c>
      <c r="S53" s="8">
        <f>bdrate(C53:C56,F53:F56,J53:J56,M53:M56)</f>
        <v>-0.46267164908300051</v>
      </c>
      <c r="T53" s="25">
        <f>bdrate(C53:C56,H53:H56,J53:J56,O53:O56)</f>
        <v>-0.2604624784708246</v>
      </c>
      <c r="U53" s="28">
        <f t="shared" si="2"/>
        <v>-3.3184310417545319E-2</v>
      </c>
    </row>
    <row r="54" spans="1:21" x14ac:dyDescent="0.25">
      <c r="A54" s="9" t="s">
        <v>42</v>
      </c>
      <c r="B54" s="9"/>
      <c r="C54" s="17">
        <v>531.1</v>
      </c>
      <c r="D54" s="18">
        <v>34.186</v>
      </c>
      <c r="E54" s="18">
        <v>38.706000000000003</v>
      </c>
      <c r="F54" s="18">
        <v>37.377000000000002</v>
      </c>
      <c r="G54" s="18">
        <v>25.38</v>
      </c>
      <c r="H54" s="18">
        <f t="shared" si="0"/>
        <v>35.149875000000002</v>
      </c>
      <c r="I54" s="5"/>
      <c r="J54" s="17">
        <v>402.9248</v>
      </c>
      <c r="K54" s="18">
        <v>33.844999999999999</v>
      </c>
      <c r="L54" s="18">
        <v>40.164299999999997</v>
      </c>
      <c r="M54" s="18">
        <v>38.421399999999998</v>
      </c>
      <c r="N54" s="18">
        <v>27.702400000000001</v>
      </c>
      <c r="O54" s="18">
        <f t="shared" si="1"/>
        <v>35.206962499999996</v>
      </c>
      <c r="P54" s="7"/>
      <c r="Q54" s="10"/>
      <c r="R54" s="11"/>
      <c r="S54" s="11"/>
      <c r="T54" s="26"/>
      <c r="U54" s="28">
        <f t="shared" si="2"/>
        <v>9.150512214342009E-2</v>
      </c>
    </row>
    <row r="55" spans="1:21" x14ac:dyDescent="0.25">
      <c r="B55" s="9"/>
      <c r="C55" s="17">
        <v>320.13</v>
      </c>
      <c r="D55" s="18">
        <v>31.803999999999998</v>
      </c>
      <c r="E55" s="18">
        <v>37.476999999999997</v>
      </c>
      <c r="F55" s="18">
        <v>35.921999999999997</v>
      </c>
      <c r="G55" s="18">
        <v>28.75</v>
      </c>
      <c r="H55" s="18">
        <f t="shared" si="0"/>
        <v>33.027874999999995</v>
      </c>
      <c r="I55" s="5"/>
      <c r="J55" s="17">
        <v>250.44319999999999</v>
      </c>
      <c r="K55" s="18">
        <v>31.684100000000001</v>
      </c>
      <c r="L55" s="18">
        <v>38.880699999999997</v>
      </c>
      <c r="M55" s="18">
        <v>37.0291</v>
      </c>
      <c r="N55" s="18">
        <v>34.097099999999998</v>
      </c>
      <c r="O55" s="18">
        <f t="shared" si="1"/>
        <v>33.251800000000003</v>
      </c>
      <c r="P55" s="7"/>
      <c r="Q55" s="10"/>
      <c r="R55" s="11"/>
      <c r="S55" s="11"/>
      <c r="T55" s="26"/>
      <c r="U55" s="28">
        <f t="shared" si="2"/>
        <v>0.18598608695652166</v>
      </c>
    </row>
    <row r="56" spans="1:21" ht="16.5" thickBot="1" x14ac:dyDescent="0.3">
      <c r="B56" s="12"/>
      <c r="C56" s="19">
        <v>160.91999999999999</v>
      </c>
      <c r="D56" s="20">
        <v>28.69</v>
      </c>
      <c r="E56" s="20">
        <v>36.125</v>
      </c>
      <c r="F56" s="20">
        <v>34.186</v>
      </c>
      <c r="G56" s="20">
        <v>38.520000000000003</v>
      </c>
      <c r="H56" s="20">
        <f t="shared" si="0"/>
        <v>30.306375000000003</v>
      </c>
      <c r="I56" s="5"/>
      <c r="J56" s="19">
        <v>120.2672</v>
      </c>
      <c r="K56" s="20">
        <v>28.6371</v>
      </c>
      <c r="L56" s="20">
        <v>37.182899999999997</v>
      </c>
      <c r="M56" s="20">
        <v>34.982100000000003</v>
      </c>
      <c r="N56" s="20">
        <v>50.632899999999999</v>
      </c>
      <c r="O56" s="20">
        <f t="shared" si="1"/>
        <v>30.498449999999998</v>
      </c>
      <c r="P56" s="7"/>
      <c r="Q56" s="13"/>
      <c r="R56" s="14"/>
      <c r="S56" s="14"/>
      <c r="T56" s="27"/>
      <c r="U56" s="28">
        <f t="shared" si="2"/>
        <v>0.31445742471443394</v>
      </c>
    </row>
    <row r="57" spans="1:21" x14ac:dyDescent="0.25">
      <c r="B57" s="6" t="s">
        <v>58</v>
      </c>
      <c r="C57" s="15">
        <v>742.15</v>
      </c>
      <c r="D57" s="16">
        <v>33.451999999999998</v>
      </c>
      <c r="E57" s="16">
        <v>39.929000000000002</v>
      </c>
      <c r="F57" s="16">
        <v>40.741999999999997</v>
      </c>
      <c r="G57" s="16">
        <v>23.82</v>
      </c>
      <c r="H57" s="16">
        <f t="shared" si="0"/>
        <v>35.172874999999998</v>
      </c>
      <c r="I57" s="5"/>
      <c r="J57" s="15">
        <v>596.75840000000005</v>
      </c>
      <c r="K57" s="16">
        <v>34.645000000000003</v>
      </c>
      <c r="L57" s="16">
        <v>42.242699999999999</v>
      </c>
      <c r="M57" s="16">
        <v>43.258600000000001</v>
      </c>
      <c r="N57" s="16">
        <v>32.594499999999996</v>
      </c>
      <c r="O57" s="16">
        <f t="shared" si="1"/>
        <v>36.671412500000002</v>
      </c>
      <c r="P57" s="7"/>
      <c r="Q57" s="8">
        <f>bdrate(C57:C60,D57:D60,J57:J60,K57:K60)</f>
        <v>-0.44281426503267185</v>
      </c>
      <c r="R57" s="8">
        <f>bdrate(C57:C60,E57:E60,J57:J60,L57:L60)</f>
        <v>-0.69385565504132396</v>
      </c>
      <c r="S57" s="8">
        <f>bdrate(C57:C60,F57:F60,J57:J60,M57:M60)</f>
        <v>-0.73121604080077784</v>
      </c>
      <c r="T57" s="25">
        <f>bdrate(C57:C60,H57:H60,J57:J60,O57:O60)</f>
        <v>-0.4921427480769649</v>
      </c>
      <c r="U57" s="28">
        <f t="shared" si="2"/>
        <v>0.36836691855583525</v>
      </c>
    </row>
    <row r="58" spans="1:21" x14ac:dyDescent="0.25">
      <c r="B58" s="9"/>
      <c r="C58" s="17">
        <v>456.71</v>
      </c>
      <c r="D58" s="18">
        <v>31.706</v>
      </c>
      <c r="E58" s="18">
        <v>39.268000000000001</v>
      </c>
      <c r="F58" s="18">
        <v>39.863</v>
      </c>
      <c r="G58" s="18">
        <v>26.33</v>
      </c>
      <c r="H58" s="18">
        <f t="shared" si="0"/>
        <v>33.670874999999995</v>
      </c>
      <c r="I58" s="5"/>
      <c r="J58" s="17">
        <v>397.66879999999998</v>
      </c>
      <c r="K58" s="18">
        <v>33.246899999999997</v>
      </c>
      <c r="L58" s="18">
        <v>41.281199999999998</v>
      </c>
      <c r="M58" s="18">
        <v>42.194600000000001</v>
      </c>
      <c r="N58" s="18">
        <v>42.405799999999999</v>
      </c>
      <c r="O58" s="18">
        <f t="shared" si="1"/>
        <v>35.369649999999993</v>
      </c>
      <c r="P58" s="7"/>
      <c r="Q58" s="10"/>
      <c r="R58" s="11"/>
      <c r="S58" s="11"/>
      <c r="T58" s="26"/>
      <c r="U58" s="28">
        <f t="shared" si="2"/>
        <v>0.61055070262058497</v>
      </c>
    </row>
    <row r="59" spans="1:21" x14ac:dyDescent="0.25">
      <c r="B59" s="9"/>
      <c r="C59" s="17">
        <v>270.95</v>
      </c>
      <c r="D59" s="18">
        <v>29.797000000000001</v>
      </c>
      <c r="E59" s="18">
        <v>38.715000000000003</v>
      </c>
      <c r="F59" s="18">
        <v>38.966000000000001</v>
      </c>
      <c r="G59" s="18">
        <v>31.76</v>
      </c>
      <c r="H59" s="18">
        <f t="shared" si="0"/>
        <v>32.057875000000003</v>
      </c>
      <c r="I59" s="5"/>
      <c r="J59" s="17">
        <v>248.39439999999999</v>
      </c>
      <c r="K59" s="18">
        <v>31.616099999999999</v>
      </c>
      <c r="L59" s="18">
        <v>40.302199999999999</v>
      </c>
      <c r="M59" s="18">
        <v>41.2104</v>
      </c>
      <c r="N59" s="18">
        <v>57.405299999999997</v>
      </c>
      <c r="O59" s="18">
        <f t="shared" si="1"/>
        <v>33.901150000000001</v>
      </c>
      <c r="P59" s="7"/>
      <c r="Q59" s="10"/>
      <c r="R59" s="11"/>
      <c r="S59" s="11"/>
      <c r="T59" s="26"/>
      <c r="U59" s="28">
        <f t="shared" si="2"/>
        <v>0.80747166246851365</v>
      </c>
    </row>
    <row r="60" spans="1:21" ht="16.5" thickBot="1" x14ac:dyDescent="0.3">
      <c r="B60" s="12"/>
      <c r="C60" s="19">
        <v>134</v>
      </c>
      <c r="D60" s="20">
        <v>27.085999999999999</v>
      </c>
      <c r="E60" s="20">
        <v>38.061</v>
      </c>
      <c r="F60" s="20">
        <v>38.066000000000003</v>
      </c>
      <c r="G60" s="20">
        <v>39.25</v>
      </c>
      <c r="H60" s="20">
        <f t="shared" si="0"/>
        <v>29.830375</v>
      </c>
      <c r="I60" s="5"/>
      <c r="J60" s="19">
        <v>118.7336</v>
      </c>
      <c r="K60" s="20">
        <v>28.9499</v>
      </c>
      <c r="L60" s="20">
        <v>38.921500000000002</v>
      </c>
      <c r="M60" s="20">
        <v>39.776600000000002</v>
      </c>
      <c r="N60" s="20">
        <v>93.356200000000001</v>
      </c>
      <c r="O60" s="20">
        <f t="shared" si="1"/>
        <v>31.549687500000001</v>
      </c>
      <c r="P60" s="7"/>
      <c r="Q60" s="13"/>
      <c r="R60" s="14"/>
      <c r="S60" s="14"/>
      <c r="T60" s="27"/>
      <c r="U60" s="28">
        <f t="shared" si="2"/>
        <v>1.3785019108280254</v>
      </c>
    </row>
    <row r="61" spans="1:21" x14ac:dyDescent="0.25">
      <c r="B61" s="6" t="s">
        <v>59</v>
      </c>
      <c r="C61" s="29">
        <v>826.78</v>
      </c>
      <c r="D61" s="30">
        <v>34.514000000000003</v>
      </c>
      <c r="E61" s="30">
        <v>38.015999999999998</v>
      </c>
      <c r="F61" s="30">
        <v>38.503999999999998</v>
      </c>
      <c r="G61" s="16">
        <v>25.06</v>
      </c>
      <c r="H61" s="16">
        <f t="shared" si="0"/>
        <v>35.450499999999998</v>
      </c>
      <c r="I61" s="5"/>
      <c r="J61" s="29">
        <v>593.42240000000004</v>
      </c>
      <c r="K61" s="30">
        <v>34.002200000000002</v>
      </c>
      <c r="L61" s="30">
        <v>39.140999999999998</v>
      </c>
      <c r="M61" s="30">
        <v>40.066299999999998</v>
      </c>
      <c r="N61" s="16">
        <v>26.642499999999998</v>
      </c>
      <c r="O61" s="16">
        <f t="shared" si="1"/>
        <v>35.402562500000002</v>
      </c>
      <c r="P61" s="7"/>
      <c r="Q61" s="8">
        <f>bdrate(C61:C64,D61:D64,J61:J64,K61:K64)</f>
        <v>-0.22375084635272013</v>
      </c>
      <c r="R61" s="8">
        <f>bdrate(C61:C64,E61:E64,J61:J64,L61:L64)</f>
        <v>-0.55526575334006933</v>
      </c>
      <c r="S61" s="8">
        <f>bdrate(C61:C64,F61:F64,J61:J64,M61:M64)</f>
        <v>-0.61240619995966905</v>
      </c>
      <c r="T61" s="25">
        <f>bdrate(C61:C64,H61:H64,J61:J64,O61:O64)</f>
        <v>-0.29974331411614619</v>
      </c>
      <c r="U61" s="28">
        <f t="shared" si="2"/>
        <v>6.3148443735035906E-2</v>
      </c>
    </row>
    <row r="62" spans="1:21" x14ac:dyDescent="0.25">
      <c r="B62" s="9"/>
      <c r="C62" s="31">
        <v>516.29999999999995</v>
      </c>
      <c r="D62" s="32">
        <v>32.564999999999998</v>
      </c>
      <c r="E62" s="32">
        <v>36.643000000000001</v>
      </c>
      <c r="F62" s="32">
        <v>37.115000000000002</v>
      </c>
      <c r="G62" s="18">
        <v>26.25</v>
      </c>
      <c r="H62" s="18">
        <f t="shared" si="0"/>
        <v>33.643499999999996</v>
      </c>
      <c r="I62" s="5"/>
      <c r="J62" s="31">
        <v>394.62479999999999</v>
      </c>
      <c r="K62" s="32">
        <v>32.404299999999999</v>
      </c>
      <c r="L62" s="32">
        <v>37.972299999999997</v>
      </c>
      <c r="M62" s="32">
        <v>38.799900000000001</v>
      </c>
      <c r="N62" s="18">
        <v>32.737499999999997</v>
      </c>
      <c r="O62" s="18">
        <f t="shared" si="1"/>
        <v>33.899749999999997</v>
      </c>
      <c r="P62" s="7"/>
      <c r="Q62" s="10"/>
      <c r="R62" s="11"/>
      <c r="S62" s="11"/>
      <c r="T62" s="26"/>
      <c r="U62" s="28">
        <f t="shared" si="2"/>
        <v>0.24714285714285703</v>
      </c>
    </row>
    <row r="63" spans="1:21" x14ac:dyDescent="0.25">
      <c r="B63" s="9"/>
      <c r="C63" s="31">
        <v>308.33</v>
      </c>
      <c r="D63" s="32">
        <v>30.518999999999998</v>
      </c>
      <c r="E63" s="32">
        <v>35.512999999999998</v>
      </c>
      <c r="F63" s="32">
        <v>35.988</v>
      </c>
      <c r="G63" s="18">
        <v>27.72</v>
      </c>
      <c r="H63" s="18">
        <f t="shared" si="0"/>
        <v>31.826874999999998</v>
      </c>
      <c r="I63" s="5"/>
      <c r="J63" s="31">
        <v>247.76320000000001</v>
      </c>
      <c r="K63" s="32">
        <v>30.686599999999999</v>
      </c>
      <c r="L63" s="32">
        <v>36.8371</v>
      </c>
      <c r="M63" s="32">
        <v>37.638399999999997</v>
      </c>
      <c r="N63" s="18">
        <v>41.037399999999998</v>
      </c>
      <c r="O63" s="18">
        <f t="shared" si="1"/>
        <v>32.3243875</v>
      </c>
      <c r="P63" s="7"/>
      <c r="Q63" s="10"/>
      <c r="R63" s="11"/>
      <c r="S63" s="11"/>
      <c r="T63" s="26"/>
      <c r="U63" s="28">
        <f t="shared" si="2"/>
        <v>0.48042568542568542</v>
      </c>
    </row>
    <row r="64" spans="1:21" ht="16.5" thickBot="1" x14ac:dyDescent="0.3">
      <c r="B64" s="12"/>
      <c r="C64" s="33">
        <v>151.91999999999999</v>
      </c>
      <c r="D64" s="34">
        <v>27.96</v>
      </c>
      <c r="E64" s="34">
        <v>34.265999999999998</v>
      </c>
      <c r="F64" s="34">
        <v>34.805</v>
      </c>
      <c r="G64" s="20">
        <v>31.18</v>
      </c>
      <c r="H64" s="20">
        <f t="shared" si="0"/>
        <v>29.603874999999999</v>
      </c>
      <c r="I64" s="5"/>
      <c r="J64" s="33">
        <v>119.69119999999999</v>
      </c>
      <c r="K64" s="34">
        <v>28.154800000000002</v>
      </c>
      <c r="L64" s="34">
        <v>35.348999999999997</v>
      </c>
      <c r="M64" s="34">
        <v>36.114800000000002</v>
      </c>
      <c r="N64" s="20">
        <v>61.758899999999997</v>
      </c>
      <c r="O64" s="20">
        <f t="shared" si="1"/>
        <v>30.049075000000002</v>
      </c>
      <c r="P64" s="7"/>
      <c r="Q64" s="13"/>
      <c r="R64" s="14"/>
      <c r="S64" s="14"/>
      <c r="T64" s="27"/>
      <c r="U64" s="28">
        <f t="shared" si="2"/>
        <v>0.98072161642078248</v>
      </c>
    </row>
    <row r="65" spans="1:21" x14ac:dyDescent="0.25">
      <c r="B65" s="6" t="s">
        <v>60</v>
      </c>
      <c r="C65" s="15">
        <v>756.32</v>
      </c>
      <c r="D65" s="16">
        <v>36.183</v>
      </c>
      <c r="E65" s="16">
        <v>38.198</v>
      </c>
      <c r="F65" s="16">
        <v>39.402999999999999</v>
      </c>
      <c r="G65" s="16">
        <v>20.07</v>
      </c>
      <c r="H65" s="16">
        <f t="shared" si="0"/>
        <v>36.837375000000002</v>
      </c>
      <c r="I65" s="5"/>
      <c r="J65" s="15">
        <v>589.06719999999996</v>
      </c>
      <c r="K65" s="16">
        <v>35.321800000000003</v>
      </c>
      <c r="L65" s="16">
        <v>39.195700000000002</v>
      </c>
      <c r="M65" s="16">
        <v>40.394300000000001</v>
      </c>
      <c r="N65" s="16">
        <v>14.394</v>
      </c>
      <c r="O65" s="16">
        <f t="shared" si="1"/>
        <v>36.440100000000001</v>
      </c>
      <c r="P65" s="7"/>
      <c r="Q65" s="8">
        <f>bdrate(C65:C68,D65:D68,J65:J68,K65:K68)</f>
        <v>-8.519545836822906E-2</v>
      </c>
      <c r="R65" s="8">
        <f>bdrate(C65:C68,E65:E68,J65:J68,L65:L68)</f>
        <v>-0.46686424932977377</v>
      </c>
      <c r="S65" s="8">
        <f>bdrate(C65:C68,F65:F68,J65:J68,M65:M68)</f>
        <v>-0.46465670363936507</v>
      </c>
      <c r="T65" s="25">
        <f>bdrate(C65:C68,H65:H68,J65:J68,O65:O68)</f>
        <v>-0.16111126636609752</v>
      </c>
      <c r="U65" s="28">
        <f t="shared" si="2"/>
        <v>-0.28281016442451418</v>
      </c>
    </row>
    <row r="66" spans="1:21" x14ac:dyDescent="0.25">
      <c r="B66" s="9"/>
      <c r="C66" s="17">
        <v>477.54</v>
      </c>
      <c r="D66" s="18">
        <v>33.884</v>
      </c>
      <c r="E66" s="18">
        <v>36.795999999999999</v>
      </c>
      <c r="F66" s="18">
        <v>38.024999999999999</v>
      </c>
      <c r="G66" s="18">
        <v>21.78</v>
      </c>
      <c r="H66" s="18">
        <f t="shared" si="0"/>
        <v>34.765625</v>
      </c>
      <c r="I66" s="5"/>
      <c r="J66" s="17">
        <v>393.14</v>
      </c>
      <c r="K66" s="18">
        <v>33.322200000000002</v>
      </c>
      <c r="L66" s="18">
        <v>37.979100000000003</v>
      </c>
      <c r="M66" s="18">
        <v>39.149099999999997</v>
      </c>
      <c r="N66" s="18">
        <v>17.773599999999998</v>
      </c>
      <c r="O66" s="18">
        <f t="shared" si="1"/>
        <v>34.632674999999999</v>
      </c>
      <c r="P66" s="7"/>
      <c r="Q66" s="10"/>
      <c r="R66" s="11"/>
      <c r="S66" s="11"/>
      <c r="T66" s="26"/>
      <c r="U66" s="28">
        <f t="shared" si="2"/>
        <v>-0.18394857667584952</v>
      </c>
    </row>
    <row r="67" spans="1:21" x14ac:dyDescent="0.25">
      <c r="B67" s="9"/>
      <c r="C67" s="17">
        <v>287.33</v>
      </c>
      <c r="D67" s="18">
        <v>31.568000000000001</v>
      </c>
      <c r="E67" s="18">
        <v>35.572000000000003</v>
      </c>
      <c r="F67" s="18">
        <v>36.72</v>
      </c>
      <c r="G67" s="18">
        <v>23.03</v>
      </c>
      <c r="H67" s="18">
        <f t="shared" si="0"/>
        <v>32.712500000000006</v>
      </c>
      <c r="I67" s="5"/>
      <c r="J67" s="17">
        <v>244.00559999999999</v>
      </c>
      <c r="K67" s="18">
        <v>31.221</v>
      </c>
      <c r="L67" s="18">
        <v>36.663200000000003</v>
      </c>
      <c r="M67" s="18">
        <v>37.872799999999998</v>
      </c>
      <c r="N67" s="18">
        <v>22.258500000000002</v>
      </c>
      <c r="O67" s="18">
        <f t="shared" si="1"/>
        <v>32.732749999999996</v>
      </c>
      <c r="P67" s="7"/>
      <c r="Q67" s="10"/>
      <c r="R67" s="11"/>
      <c r="S67" s="11"/>
      <c r="T67" s="26"/>
      <c r="U67" s="28">
        <f t="shared" si="2"/>
        <v>-3.3499782891880138E-2</v>
      </c>
    </row>
    <row r="68" spans="1:21" ht="16.5" thickBot="1" x14ac:dyDescent="0.3">
      <c r="B68" s="12"/>
      <c r="C68" s="19">
        <v>143.91</v>
      </c>
      <c r="D68" s="20">
        <v>28.667000000000002</v>
      </c>
      <c r="E68" s="20">
        <v>34.151000000000003</v>
      </c>
      <c r="F68" s="20">
        <v>35.201000000000001</v>
      </c>
      <c r="G68" s="20">
        <v>27.39</v>
      </c>
      <c r="H68" s="20">
        <f t="shared" si="0"/>
        <v>30.169250000000002</v>
      </c>
      <c r="I68" s="5"/>
      <c r="J68" s="19">
        <v>118.0616</v>
      </c>
      <c r="K68" s="20">
        <v>28.456700000000001</v>
      </c>
      <c r="L68" s="20">
        <v>35.156399999999998</v>
      </c>
      <c r="M68" s="20">
        <v>36.293799999999997</v>
      </c>
      <c r="N68" s="20">
        <v>32.873100000000001</v>
      </c>
      <c r="O68" s="20">
        <f t="shared" si="1"/>
        <v>30.273800000000001</v>
      </c>
      <c r="P68" s="7"/>
      <c r="Q68" s="13"/>
      <c r="R68" s="14"/>
      <c r="S68" s="14"/>
      <c r="T68" s="27"/>
      <c r="U68" s="28">
        <f t="shared" si="2"/>
        <v>0.20018619934282586</v>
      </c>
    </row>
    <row r="69" spans="1:21" x14ac:dyDescent="0.25">
      <c r="A69" s="6" t="s">
        <v>43</v>
      </c>
      <c r="B69" s="6" t="s">
        <v>61</v>
      </c>
      <c r="C69" s="15">
        <v>1887.59</v>
      </c>
      <c r="D69" s="16">
        <v>41.951999999999998</v>
      </c>
      <c r="E69" s="16">
        <v>45.7</v>
      </c>
      <c r="F69" s="16">
        <v>46.78</v>
      </c>
      <c r="G69" s="16">
        <v>4.6900000000000004</v>
      </c>
      <c r="H69" s="16">
        <f t="shared" si="0"/>
        <v>43.024000000000001</v>
      </c>
      <c r="I69" s="5"/>
      <c r="J69" s="15">
        <v>1504.7752</v>
      </c>
      <c r="K69" s="16">
        <v>42.103099999999998</v>
      </c>
      <c r="L69" s="16">
        <v>46.6541</v>
      </c>
      <c r="M69" s="16">
        <v>47.92</v>
      </c>
      <c r="N69" s="16">
        <v>7.7215999999999996</v>
      </c>
      <c r="O69" s="16">
        <f t="shared" si="1"/>
        <v>43.3990875</v>
      </c>
      <c r="P69" s="7"/>
      <c r="Q69" s="8">
        <f>bdrate(C69:C72,D69:D72,J69:J72,K69:K72)</f>
        <v>-0.29954599355761091</v>
      </c>
      <c r="R69" s="8">
        <f>bdrate(C69:C72,E69:E72,J69:J72,L69:L72)</f>
        <v>-0.52685079041887617</v>
      </c>
      <c r="S69" s="8">
        <f>bdrate(C69:C72,F69:F72,J69:J72,M69:M72)</f>
        <v>-0.52671201742148388</v>
      </c>
      <c r="T69" s="25">
        <f>bdrate(C69:C72,H69:H72,J69:J72,O69:O72)</f>
        <v>-0.353449582761176</v>
      </c>
      <c r="U69" s="28">
        <f t="shared" si="2"/>
        <v>0.64639658848614046</v>
      </c>
    </row>
    <row r="70" spans="1:21" x14ac:dyDescent="0.25">
      <c r="A70" s="9" t="s">
        <v>44</v>
      </c>
      <c r="B70" s="9"/>
      <c r="C70" s="17">
        <v>1224.32</v>
      </c>
      <c r="D70" s="18">
        <v>40.816000000000003</v>
      </c>
      <c r="E70" s="18">
        <v>44.472000000000001</v>
      </c>
      <c r="F70" s="18">
        <v>45.689</v>
      </c>
      <c r="G70" s="18">
        <v>5.37</v>
      </c>
      <c r="H70" s="18">
        <f t="shared" si="0"/>
        <v>41.882125000000002</v>
      </c>
      <c r="I70" s="5"/>
      <c r="J70" s="17">
        <v>993.3528</v>
      </c>
      <c r="K70" s="18">
        <v>41.1374</v>
      </c>
      <c r="L70" s="18">
        <v>45.840499999999999</v>
      </c>
      <c r="M70" s="18">
        <v>47.064</v>
      </c>
      <c r="N70" s="18">
        <v>9.9245999999999999</v>
      </c>
      <c r="O70" s="18">
        <f t="shared" si="1"/>
        <v>42.466112500000001</v>
      </c>
      <c r="P70" s="7"/>
      <c r="Q70" s="10"/>
      <c r="R70" s="11"/>
      <c r="S70" s="11"/>
      <c r="T70" s="26"/>
      <c r="U70" s="28">
        <f t="shared" si="2"/>
        <v>0.84815642458100549</v>
      </c>
    </row>
    <row r="71" spans="1:21" x14ac:dyDescent="0.25">
      <c r="B71" s="9"/>
      <c r="C71" s="17">
        <v>722.73</v>
      </c>
      <c r="D71" s="18">
        <v>38.771000000000001</v>
      </c>
      <c r="E71" s="18">
        <v>42.78</v>
      </c>
      <c r="F71" s="18">
        <v>43.933</v>
      </c>
      <c r="G71" s="18">
        <v>6.17</v>
      </c>
      <c r="H71" s="18">
        <f t="shared" si="0"/>
        <v>39.917375</v>
      </c>
      <c r="I71" s="5"/>
      <c r="J71" s="17">
        <v>593.26400000000001</v>
      </c>
      <c r="K71" s="18">
        <v>39.393300000000004</v>
      </c>
      <c r="L71" s="18">
        <v>44.432299999999998</v>
      </c>
      <c r="M71" s="18">
        <v>45.6203</v>
      </c>
      <c r="N71" s="18">
        <v>13.4291</v>
      </c>
      <c r="O71" s="18">
        <f t="shared" si="1"/>
        <v>40.801549999999999</v>
      </c>
      <c r="P71" s="7"/>
      <c r="Q71" s="10"/>
      <c r="R71" s="11"/>
      <c r="S71" s="11"/>
      <c r="T71" s="26"/>
      <c r="U71" s="28">
        <f t="shared" si="2"/>
        <v>1.1765153970826581</v>
      </c>
    </row>
    <row r="72" spans="1:21" ht="16.5" thickBot="1" x14ac:dyDescent="0.3">
      <c r="B72" s="12"/>
      <c r="C72" s="19">
        <v>333.16</v>
      </c>
      <c r="D72" s="20">
        <v>34.585000000000001</v>
      </c>
      <c r="E72" s="20">
        <v>40.518000000000001</v>
      </c>
      <c r="F72" s="20">
        <v>41.816000000000003</v>
      </c>
      <c r="G72" s="20">
        <v>8.0500000000000007</v>
      </c>
      <c r="H72" s="20">
        <f t="shared" si="0"/>
        <v>36.230499999999999</v>
      </c>
      <c r="I72" s="5"/>
      <c r="J72" s="19">
        <v>288.89440000000002</v>
      </c>
      <c r="K72" s="20">
        <v>36.332999999999998</v>
      </c>
      <c r="L72" s="20">
        <v>42.573399999999999</v>
      </c>
      <c r="M72" s="20">
        <v>43.660299999999999</v>
      </c>
      <c r="N72" s="20">
        <v>21.017199999999999</v>
      </c>
      <c r="O72" s="20">
        <f t="shared" si="1"/>
        <v>38.028962499999999</v>
      </c>
      <c r="P72" s="7"/>
      <c r="Q72" s="13"/>
      <c r="R72" s="14"/>
      <c r="S72" s="14"/>
      <c r="T72" s="27"/>
      <c r="U72" s="28">
        <f t="shared" si="2"/>
        <v>1.6108322981366456</v>
      </c>
    </row>
    <row r="73" spans="1:21" x14ac:dyDescent="0.25">
      <c r="B73" s="6" t="s">
        <v>62</v>
      </c>
      <c r="C73" s="15">
        <v>1951.7</v>
      </c>
      <c r="D73" s="16">
        <v>42.759</v>
      </c>
      <c r="E73" s="16">
        <v>47.667000000000002</v>
      </c>
      <c r="F73" s="16">
        <v>48.173000000000002</v>
      </c>
      <c r="G73" s="16">
        <v>3.78</v>
      </c>
      <c r="H73" s="16">
        <f t="shared" si="0"/>
        <v>44.049250000000001</v>
      </c>
      <c r="I73" s="5"/>
      <c r="J73" s="15">
        <v>1506.4760000000001</v>
      </c>
      <c r="K73" s="16">
        <v>43.048999999999999</v>
      </c>
      <c r="L73" s="16">
        <v>48.4908</v>
      </c>
      <c r="M73" s="16">
        <v>49.213700000000003</v>
      </c>
      <c r="N73" s="16">
        <v>8.8513000000000002</v>
      </c>
      <c r="O73" s="16">
        <f t="shared" si="1"/>
        <v>44.499812499999997</v>
      </c>
      <c r="P73" s="7"/>
      <c r="Q73" s="8">
        <f>bdrate(C73:C76,D73:D76,J73:J76,K73:K76)</f>
        <v>-0.47091370206561889</v>
      </c>
      <c r="R73" s="8">
        <f>bdrate(C73:C76,E73:E76,J73:J76,L73:L76)</f>
        <v>-0.65899561269664342</v>
      </c>
      <c r="S73" s="8">
        <f>bdrate(C73:C76,F73:F76,J73:J76,M73:M76)</f>
        <v>-0.68353420742382465</v>
      </c>
      <c r="T73" s="25">
        <f>bdrate(C73:C76,H73:H76,J73:J76,O73:O76)</f>
        <v>-0.53360273017050996</v>
      </c>
      <c r="U73" s="28">
        <f t="shared" ref="U73:U124" si="3">(N73-G73)/G73</f>
        <v>1.3416137566137569</v>
      </c>
    </row>
    <row r="74" spans="1:21" x14ac:dyDescent="0.25">
      <c r="B74" s="9"/>
      <c r="C74" s="17">
        <v>1277</v>
      </c>
      <c r="D74" s="18">
        <v>42.146999999999998</v>
      </c>
      <c r="E74" s="18">
        <v>46.826999999999998</v>
      </c>
      <c r="F74" s="18">
        <v>47.212000000000003</v>
      </c>
      <c r="G74" s="18">
        <v>4.28</v>
      </c>
      <c r="H74" s="18">
        <f t="shared" si="0"/>
        <v>43.365124999999999</v>
      </c>
      <c r="I74" s="5"/>
      <c r="J74" s="17">
        <v>996.43600000000004</v>
      </c>
      <c r="K74" s="18">
        <v>42.637099999999997</v>
      </c>
      <c r="L74" s="18">
        <v>48.128599999999999</v>
      </c>
      <c r="M74" s="18">
        <v>48.823399999999999</v>
      </c>
      <c r="N74" s="18">
        <v>11.1807</v>
      </c>
      <c r="O74" s="18">
        <f t="shared" si="1"/>
        <v>44.096824999999995</v>
      </c>
      <c r="P74" s="7"/>
      <c r="Q74" s="10"/>
      <c r="R74" s="11"/>
      <c r="S74" s="11"/>
      <c r="T74" s="26"/>
      <c r="U74" s="28">
        <f t="shared" si="3"/>
        <v>1.6123130841121494</v>
      </c>
    </row>
    <row r="75" spans="1:21" x14ac:dyDescent="0.25">
      <c r="B75" s="9"/>
      <c r="C75" s="17">
        <v>748.88</v>
      </c>
      <c r="D75" s="18">
        <v>41.098999999999997</v>
      </c>
      <c r="E75" s="18">
        <v>45.554000000000002</v>
      </c>
      <c r="F75" s="18">
        <v>46.17</v>
      </c>
      <c r="G75" s="18">
        <v>4.84</v>
      </c>
      <c r="H75" s="18">
        <f t="shared" si="0"/>
        <v>42.289750000000005</v>
      </c>
      <c r="I75" s="5"/>
      <c r="J75" s="17">
        <v>573.34</v>
      </c>
      <c r="K75" s="18">
        <v>41.862499999999997</v>
      </c>
      <c r="L75" s="18">
        <v>47.382100000000001</v>
      </c>
      <c r="M75" s="18">
        <v>48.037999999999997</v>
      </c>
      <c r="N75" s="18">
        <v>15.2742</v>
      </c>
      <c r="O75" s="18">
        <f t="shared" si="1"/>
        <v>43.3243875</v>
      </c>
      <c r="P75" s="7"/>
      <c r="Q75" s="10"/>
      <c r="R75" s="11"/>
      <c r="S75" s="11"/>
      <c r="T75" s="26"/>
      <c r="U75" s="28">
        <f t="shared" si="3"/>
        <v>2.155826446280992</v>
      </c>
    </row>
    <row r="76" spans="1:21" ht="16.5" thickBot="1" x14ac:dyDescent="0.3">
      <c r="B76" s="12"/>
      <c r="C76" s="19">
        <v>327.55</v>
      </c>
      <c r="D76" s="20">
        <v>38.435000000000002</v>
      </c>
      <c r="E76" s="20">
        <v>42.954999999999998</v>
      </c>
      <c r="F76" s="20">
        <v>43.749000000000002</v>
      </c>
      <c r="G76" s="20">
        <v>6.47</v>
      </c>
      <c r="H76" s="20">
        <f t="shared" si="0"/>
        <v>39.664250000000003</v>
      </c>
      <c r="I76" s="5"/>
      <c r="J76" s="19">
        <v>275.01839999999999</v>
      </c>
      <c r="K76" s="20">
        <v>40.107700000000001</v>
      </c>
      <c r="L76" s="20">
        <v>45.5794</v>
      </c>
      <c r="M76" s="20">
        <v>46.1449</v>
      </c>
      <c r="N76" s="20">
        <v>23.884399999999999</v>
      </c>
      <c r="O76" s="20">
        <f t="shared" si="1"/>
        <v>41.546312500000006</v>
      </c>
      <c r="P76" s="7"/>
      <c r="Q76" s="13"/>
      <c r="R76" s="14"/>
      <c r="S76" s="14"/>
      <c r="T76" s="27"/>
      <c r="U76" s="28">
        <f t="shared" si="3"/>
        <v>2.6915610510046371</v>
      </c>
    </row>
    <row r="77" spans="1:21" x14ac:dyDescent="0.25">
      <c r="B77" s="6" t="s">
        <v>63</v>
      </c>
      <c r="C77" s="15">
        <v>2031.3</v>
      </c>
      <c r="D77" s="16">
        <v>42.835000000000001</v>
      </c>
      <c r="E77" s="16">
        <v>46.857999999999997</v>
      </c>
      <c r="F77" s="16">
        <v>47.567999999999998</v>
      </c>
      <c r="G77" s="16">
        <v>3.96</v>
      </c>
      <c r="H77" s="16">
        <f t="shared" si="0"/>
        <v>43.929499999999997</v>
      </c>
      <c r="I77" s="5"/>
      <c r="J77" s="15">
        <v>1541.1695999999999</v>
      </c>
      <c r="K77" s="16">
        <v>43.019399999999997</v>
      </c>
      <c r="L77" s="16">
        <v>47.73</v>
      </c>
      <c r="M77" s="16">
        <v>48.648499999999999</v>
      </c>
      <c r="N77" s="16">
        <v>7.9009</v>
      </c>
      <c r="O77" s="16">
        <f t="shared" si="1"/>
        <v>44.311862500000004</v>
      </c>
      <c r="P77" s="7"/>
      <c r="Q77" s="8">
        <f>bdrate(C77:C80,D77:D80,J77:J80,K77:K80)</f>
        <v>-0.38805538535057893</v>
      </c>
      <c r="R77" s="8">
        <f>bdrate(C77:C80,E77:E80,J77:J80,L77:L80)</f>
        <v>-0.572036050614389</v>
      </c>
      <c r="S77" s="8">
        <f>bdrate(C77:C80,F77:F80,J77:J80,M77:M80)</f>
        <v>-0.62161200287118745</v>
      </c>
      <c r="T77" s="25">
        <f>bdrate(C77:C80,H77:H80,J77:J80,O77:O80)</f>
        <v>-0.44646794597866579</v>
      </c>
      <c r="U77" s="28">
        <f t="shared" si="3"/>
        <v>0.99517676767676766</v>
      </c>
    </row>
    <row r="78" spans="1:21" x14ac:dyDescent="0.25">
      <c r="B78" s="9"/>
      <c r="C78" s="17">
        <v>1335.94</v>
      </c>
      <c r="D78" s="18">
        <v>41.963999999999999</v>
      </c>
      <c r="E78" s="18">
        <v>45.905000000000001</v>
      </c>
      <c r="F78" s="18">
        <v>46.459000000000003</v>
      </c>
      <c r="G78" s="18">
        <v>4.51</v>
      </c>
      <c r="H78" s="18">
        <f t="shared" si="0"/>
        <v>43.018499999999996</v>
      </c>
      <c r="I78" s="5"/>
      <c r="J78" s="17">
        <v>1024.0119999999999</v>
      </c>
      <c r="K78" s="18">
        <v>42.3048</v>
      </c>
      <c r="L78" s="18">
        <v>47.069299999999998</v>
      </c>
      <c r="M78" s="18">
        <v>47.9694</v>
      </c>
      <c r="N78" s="18">
        <v>9.9251000000000005</v>
      </c>
      <c r="O78" s="18">
        <f t="shared" si="1"/>
        <v>43.608437500000001</v>
      </c>
      <c r="P78" s="7"/>
      <c r="Q78" s="10"/>
      <c r="R78" s="11"/>
      <c r="S78" s="11"/>
      <c r="T78" s="26"/>
      <c r="U78" s="28">
        <f t="shared" si="3"/>
        <v>1.200687361419069</v>
      </c>
    </row>
    <row r="79" spans="1:21" x14ac:dyDescent="0.25">
      <c r="B79" s="9"/>
      <c r="C79" s="17">
        <v>793.89</v>
      </c>
      <c r="D79" s="18">
        <v>40.365000000000002</v>
      </c>
      <c r="E79" s="18">
        <v>44.247</v>
      </c>
      <c r="F79" s="18">
        <v>44.668999999999997</v>
      </c>
      <c r="G79" s="18">
        <v>5.26</v>
      </c>
      <c r="H79" s="18">
        <f t="shared" si="0"/>
        <v>41.388249999999999</v>
      </c>
      <c r="I79" s="5"/>
      <c r="J79" s="17">
        <v>600.76559999999995</v>
      </c>
      <c r="K79" s="18">
        <v>41.046500000000002</v>
      </c>
      <c r="L79" s="18">
        <v>45.902799999999999</v>
      </c>
      <c r="M79" s="18">
        <v>46.798900000000003</v>
      </c>
      <c r="N79" s="18">
        <v>13.4892</v>
      </c>
      <c r="O79" s="18">
        <f t="shared" si="1"/>
        <v>42.372587500000002</v>
      </c>
      <c r="P79" s="7"/>
      <c r="Q79" s="10"/>
      <c r="R79" s="11"/>
      <c r="S79" s="11"/>
      <c r="T79" s="26"/>
      <c r="U79" s="28">
        <f t="shared" si="3"/>
        <v>1.5644866920152092</v>
      </c>
    </row>
    <row r="80" spans="1:21" ht="16.5" thickBot="1" x14ac:dyDescent="0.3">
      <c r="B80" s="12"/>
      <c r="C80" s="19">
        <v>361.34</v>
      </c>
      <c r="D80" s="20">
        <v>36.673999999999999</v>
      </c>
      <c r="E80" s="20">
        <v>41.587000000000003</v>
      </c>
      <c r="F80" s="20">
        <v>42.232999999999997</v>
      </c>
      <c r="G80" s="20">
        <v>7.48</v>
      </c>
      <c r="H80" s="20">
        <f t="shared" si="0"/>
        <v>37.982999999999997</v>
      </c>
      <c r="I80" s="5"/>
      <c r="J80" s="19">
        <v>292.63920000000002</v>
      </c>
      <c r="K80" s="20">
        <v>38.617699999999999</v>
      </c>
      <c r="L80" s="20">
        <v>44.127800000000001</v>
      </c>
      <c r="M80" s="20">
        <v>44.999099999999999</v>
      </c>
      <c r="N80" s="20">
        <v>21.940200000000001</v>
      </c>
      <c r="O80" s="20">
        <f t="shared" si="1"/>
        <v>40.1041375</v>
      </c>
      <c r="P80" s="7"/>
      <c r="Q80" s="13"/>
      <c r="R80" s="14"/>
      <c r="S80" s="14"/>
      <c r="T80" s="27"/>
      <c r="U80" s="28">
        <f t="shared" si="3"/>
        <v>1.9331818181818181</v>
      </c>
    </row>
    <row r="81" spans="1:21" x14ac:dyDescent="0.25">
      <c r="A81" s="6" t="s">
        <v>213</v>
      </c>
      <c r="B81" s="6" t="s">
        <v>100</v>
      </c>
      <c r="C81" s="15">
        <v>1620.32</v>
      </c>
      <c r="D81" s="16">
        <v>44.247</v>
      </c>
      <c r="E81" s="16">
        <v>48.183</v>
      </c>
      <c r="F81" s="16">
        <v>50.152999999999999</v>
      </c>
      <c r="G81" s="16">
        <v>3.67</v>
      </c>
      <c r="H81" s="16">
        <f t="shared" ref="H81:H124" si="4">(6*D81+E81+F81)/8</f>
        <v>45.477249999999998</v>
      </c>
      <c r="I81" s="5"/>
      <c r="J81" s="15">
        <v>1228.472</v>
      </c>
      <c r="K81" s="16">
        <v>45.7866</v>
      </c>
      <c r="L81" s="16">
        <v>51.832900000000002</v>
      </c>
      <c r="M81" s="16">
        <v>52.392000000000003</v>
      </c>
      <c r="N81" s="16">
        <v>4.4546999999999999</v>
      </c>
      <c r="O81" s="16">
        <f t="shared" ref="O81:O124" si="5">(6*K81+L81+M81)/8</f>
        <v>47.368062500000001</v>
      </c>
      <c r="P81" s="7"/>
      <c r="Q81" s="8">
        <f>bdrate(C81:C84,D81:D84,J81:J84,K81:K84)</f>
        <v>-0.49410387918791743</v>
      </c>
      <c r="R81" s="8">
        <f>bdrate(C81:C84,E81:E84,J81:J84,L81:L84)</f>
        <v>-0.7156991268294699</v>
      </c>
      <c r="S81" s="8">
        <f>bdrate(C81:C84,F81:F84,J81:J84,M81:M84)</f>
        <v>-0.65097692481459557</v>
      </c>
      <c r="T81" s="25">
        <f>bdrate(C81:C84,H81:H84,J81:J84,O81:O84)</f>
        <v>-0.54354771650642253</v>
      </c>
      <c r="U81" s="28">
        <f t="shared" si="3"/>
        <v>0.21381471389645776</v>
      </c>
    </row>
    <row r="82" spans="1:21" x14ac:dyDescent="0.25">
      <c r="A82" s="9" t="s">
        <v>77</v>
      </c>
      <c r="B82" s="9"/>
      <c r="C82" s="17">
        <v>1082.06</v>
      </c>
      <c r="D82" s="18">
        <v>42.042999999999999</v>
      </c>
      <c r="E82" s="18">
        <v>46.414000000000001</v>
      </c>
      <c r="F82" s="18">
        <v>48.561</v>
      </c>
      <c r="G82" s="18">
        <v>4.07</v>
      </c>
      <c r="H82" s="18">
        <f t="shared" si="4"/>
        <v>43.404124999999993</v>
      </c>
      <c r="I82" s="5"/>
      <c r="J82" s="17">
        <v>828.41830000000004</v>
      </c>
      <c r="K82" s="18">
        <v>44.010899999999999</v>
      </c>
      <c r="L82" s="18">
        <v>50.610900000000001</v>
      </c>
      <c r="M82" s="18">
        <v>51.181899999999999</v>
      </c>
      <c r="N82" s="18">
        <v>5.3707000000000003</v>
      </c>
      <c r="O82" s="18">
        <f t="shared" si="5"/>
        <v>45.732275000000001</v>
      </c>
      <c r="P82" s="7"/>
      <c r="Q82" s="10"/>
      <c r="R82" s="11"/>
      <c r="S82" s="11"/>
      <c r="T82" s="26"/>
      <c r="U82" s="28">
        <f t="shared" si="3"/>
        <v>0.31958230958230954</v>
      </c>
    </row>
    <row r="83" spans="1:21" x14ac:dyDescent="0.25">
      <c r="B83" s="9"/>
      <c r="C83" s="17">
        <v>658.89</v>
      </c>
      <c r="D83" s="18">
        <v>39.149000000000001</v>
      </c>
      <c r="E83" s="18">
        <v>43.7</v>
      </c>
      <c r="F83" s="18">
        <v>45.872</v>
      </c>
      <c r="G83" s="18">
        <v>4.74</v>
      </c>
      <c r="H83" s="18">
        <f t="shared" si="4"/>
        <v>40.558250000000001</v>
      </c>
      <c r="I83" s="5"/>
      <c r="J83" s="17">
        <v>504.5933</v>
      </c>
      <c r="K83" s="18">
        <v>41.514099999999999</v>
      </c>
      <c r="L83" s="18">
        <v>48.540700000000001</v>
      </c>
      <c r="M83" s="18">
        <v>49.550800000000002</v>
      </c>
      <c r="N83" s="18">
        <v>6.9943999999999997</v>
      </c>
      <c r="O83" s="18">
        <f t="shared" si="5"/>
        <v>43.397012499999995</v>
      </c>
      <c r="P83" s="7"/>
      <c r="Q83" s="10"/>
      <c r="R83" s="11"/>
      <c r="S83" s="11"/>
      <c r="T83" s="26"/>
      <c r="U83" s="28">
        <f t="shared" si="3"/>
        <v>0.47561181434599142</v>
      </c>
    </row>
    <row r="84" spans="1:21" ht="16.5" thickBot="1" x14ac:dyDescent="0.3">
      <c r="B84" s="12"/>
      <c r="C84" s="19">
        <v>311.18</v>
      </c>
      <c r="D84" s="20">
        <v>34.170999999999999</v>
      </c>
      <c r="E84" s="20">
        <v>41</v>
      </c>
      <c r="F84" s="20">
        <v>42.695</v>
      </c>
      <c r="G84" s="20">
        <v>6.94</v>
      </c>
      <c r="H84" s="20">
        <f t="shared" si="4"/>
        <v>36.090125</v>
      </c>
      <c r="I84" s="5"/>
      <c r="J84" s="19">
        <v>257.44310000000002</v>
      </c>
      <c r="K84" s="20">
        <v>37.993899999999996</v>
      </c>
      <c r="L84" s="20">
        <v>45.651899999999998</v>
      </c>
      <c r="M84" s="20">
        <v>47.066299999999998</v>
      </c>
      <c r="N84" s="20">
        <v>10.5709</v>
      </c>
      <c r="O84" s="20">
        <f t="shared" si="5"/>
        <v>40.0852</v>
      </c>
      <c r="P84" s="7"/>
      <c r="Q84" s="13"/>
      <c r="R84" s="14"/>
      <c r="S84" s="14"/>
      <c r="T84" s="27"/>
      <c r="U84" s="28">
        <f t="shared" si="3"/>
        <v>0.52318443804034576</v>
      </c>
    </row>
    <row r="85" spans="1:21" x14ac:dyDescent="0.25">
      <c r="B85" s="6" t="s">
        <v>101</v>
      </c>
      <c r="C85" s="15">
        <v>1996.65</v>
      </c>
      <c r="D85" s="16">
        <v>56.838999999999999</v>
      </c>
      <c r="E85" s="16">
        <v>57.008000000000003</v>
      </c>
      <c r="F85" s="16">
        <v>57.325000000000003</v>
      </c>
      <c r="G85" s="16">
        <v>13.46</v>
      </c>
      <c r="H85" s="16">
        <f t="shared" si="4"/>
        <v>56.920874999999995</v>
      </c>
      <c r="I85" s="5"/>
      <c r="J85" s="15">
        <v>1402.3276000000001</v>
      </c>
      <c r="K85" s="16">
        <v>53.808100000000003</v>
      </c>
      <c r="L85" s="16">
        <v>54.6158</v>
      </c>
      <c r="M85" s="16">
        <v>55.234400000000001</v>
      </c>
      <c r="N85" s="16">
        <v>12.066700000000001</v>
      </c>
      <c r="O85" s="16">
        <f t="shared" si="5"/>
        <v>54.087350000000001</v>
      </c>
      <c r="P85" s="7"/>
      <c r="Q85" s="8">
        <f>bdrate(C85:C88,D85:D88,J85:J88,K85:K88)</f>
        <v>-1.5223912591518562E-2</v>
      </c>
      <c r="R85" s="8">
        <f>bdrate(C85:C88,E85:E88,J85:J88,L85:L88)</f>
        <v>-0.13440351842901743</v>
      </c>
      <c r="S85" s="8">
        <f>bdrate(C85:C88,F85:F88,J85:J88,M85:M88)</f>
        <v>-0.15052106177220315</v>
      </c>
      <c r="T85" s="25">
        <f>bdrate(C85:C88,H85:H88,J85:J88,O85:O88)</f>
        <v>-4.636157034030941E-2</v>
      </c>
      <c r="U85" s="28">
        <f t="shared" si="3"/>
        <v>-0.10351411589895987</v>
      </c>
    </row>
    <row r="86" spans="1:21" x14ac:dyDescent="0.25">
      <c r="B86" s="9"/>
      <c r="C86" s="17">
        <v>1332.49</v>
      </c>
      <c r="D86" s="18">
        <v>54.116</v>
      </c>
      <c r="E86" s="18">
        <v>54.459000000000003</v>
      </c>
      <c r="F86" s="18">
        <v>54.853000000000002</v>
      </c>
      <c r="G86" s="18">
        <v>14.26</v>
      </c>
      <c r="H86" s="18">
        <f t="shared" si="4"/>
        <v>54.251000000000005</v>
      </c>
      <c r="I86" s="5"/>
      <c r="J86" s="17">
        <v>968.66650000000004</v>
      </c>
      <c r="K86" s="18">
        <v>52.003300000000003</v>
      </c>
      <c r="L86" s="18">
        <v>53.010399999999997</v>
      </c>
      <c r="M86" s="18">
        <v>53.5762</v>
      </c>
      <c r="N86" s="18">
        <v>13.631399999999999</v>
      </c>
      <c r="O86" s="18">
        <f t="shared" si="5"/>
        <v>52.325800000000001</v>
      </c>
      <c r="P86" s="7"/>
      <c r="Q86" s="10"/>
      <c r="R86" s="11"/>
      <c r="S86" s="11"/>
      <c r="T86" s="26"/>
      <c r="U86" s="28">
        <f t="shared" si="3"/>
        <v>-4.4081346423562449E-2</v>
      </c>
    </row>
    <row r="87" spans="1:21" x14ac:dyDescent="0.25">
      <c r="B87" s="9"/>
      <c r="C87" s="17">
        <v>811.97</v>
      </c>
      <c r="D87" s="18">
        <v>50.962000000000003</v>
      </c>
      <c r="E87" s="18">
        <v>51.476999999999997</v>
      </c>
      <c r="F87" s="18">
        <v>51.923999999999999</v>
      </c>
      <c r="G87" s="18">
        <v>14.99</v>
      </c>
      <c r="H87" s="18">
        <f t="shared" si="4"/>
        <v>51.146625</v>
      </c>
      <c r="I87" s="5"/>
      <c r="J87" s="17">
        <v>601.95640000000003</v>
      </c>
      <c r="K87" s="18">
        <v>49.404699999999998</v>
      </c>
      <c r="L87" s="18">
        <v>50.751800000000003</v>
      </c>
      <c r="M87" s="18">
        <v>51.308100000000003</v>
      </c>
      <c r="N87" s="18">
        <v>16.468699999999998</v>
      </c>
      <c r="O87" s="18">
        <f t="shared" si="5"/>
        <v>49.811012500000004</v>
      </c>
      <c r="P87" s="7"/>
      <c r="Q87" s="10"/>
      <c r="R87" s="11"/>
      <c r="S87" s="11"/>
      <c r="T87" s="26"/>
      <c r="U87" s="28">
        <f t="shared" si="3"/>
        <v>9.8645763842561587E-2</v>
      </c>
    </row>
    <row r="88" spans="1:21" ht="16.5" thickBot="1" x14ac:dyDescent="0.3">
      <c r="B88" s="12"/>
      <c r="C88" s="19">
        <v>384.04</v>
      </c>
      <c r="D88" s="20">
        <v>46.277000000000001</v>
      </c>
      <c r="E88" s="20">
        <v>46.938000000000002</v>
      </c>
      <c r="F88" s="20">
        <v>47.405000000000001</v>
      </c>
      <c r="G88" s="20">
        <v>16.78</v>
      </c>
      <c r="H88" s="20">
        <f t="shared" si="4"/>
        <v>46.500624999999999</v>
      </c>
      <c r="I88" s="5"/>
      <c r="J88" s="19">
        <v>308.47469999999998</v>
      </c>
      <c r="K88" s="20">
        <v>44.6997</v>
      </c>
      <c r="L88" s="20">
        <v>46.707099999999997</v>
      </c>
      <c r="M88" s="20">
        <v>47.251800000000003</v>
      </c>
      <c r="N88" s="20">
        <v>22.892900000000001</v>
      </c>
      <c r="O88" s="20">
        <f t="shared" si="5"/>
        <v>45.269637500000002</v>
      </c>
      <c r="P88" s="7"/>
      <c r="Q88" s="13"/>
      <c r="R88" s="14"/>
      <c r="S88" s="14"/>
      <c r="T88" s="27"/>
      <c r="U88" s="28">
        <f t="shared" si="3"/>
        <v>0.36429678188319425</v>
      </c>
    </row>
    <row r="89" spans="1:21" x14ac:dyDescent="0.25">
      <c r="B89" s="6" t="s">
        <v>102</v>
      </c>
      <c r="C89" s="15">
        <v>2177.31</v>
      </c>
      <c r="D89" s="16">
        <v>45.502000000000002</v>
      </c>
      <c r="E89" s="16">
        <v>46.862000000000002</v>
      </c>
      <c r="F89" s="16">
        <v>47.338000000000001</v>
      </c>
      <c r="G89" s="16">
        <v>3.97</v>
      </c>
      <c r="H89" s="16">
        <f t="shared" si="4"/>
        <v>45.901500000000006</v>
      </c>
      <c r="I89" s="5"/>
      <c r="J89" s="15">
        <v>1484.4824000000001</v>
      </c>
      <c r="K89" s="16">
        <v>44.848300000000002</v>
      </c>
      <c r="L89" s="16">
        <v>47.095300000000002</v>
      </c>
      <c r="M89" s="16">
        <v>47.528300000000002</v>
      </c>
      <c r="N89" s="16">
        <v>5.3757000000000001</v>
      </c>
      <c r="O89" s="16">
        <f t="shared" si="5"/>
        <v>45.464175000000004</v>
      </c>
      <c r="P89" s="7"/>
      <c r="Q89" s="8">
        <f>bdrate(C89:C92,D89:D92,J89:J92,K89:K92)</f>
        <v>-0.30779578600976942</v>
      </c>
      <c r="R89" s="8">
        <f>bdrate(C89:C92,E89:E92,J89:J92,L89:L92)</f>
        <v>-0.42457834652093029</v>
      </c>
      <c r="S89" s="8">
        <f>bdrate(C89:C92,F89:F92,J89:J92,M89:M92)</f>
        <v>-0.41389250088302409</v>
      </c>
      <c r="T89" s="25">
        <f>bdrate(C89:C92,H89:H92,J89:J92,O89:O92)</f>
        <v>-0.33009804949118204</v>
      </c>
      <c r="U89" s="28">
        <f t="shared" si="3"/>
        <v>0.35408060453400503</v>
      </c>
    </row>
    <row r="90" spans="1:21" x14ac:dyDescent="0.25">
      <c r="B90" s="9"/>
      <c r="C90" s="17">
        <v>1454.14</v>
      </c>
      <c r="D90" s="18">
        <v>43.277999999999999</v>
      </c>
      <c r="E90" s="18">
        <v>45.067</v>
      </c>
      <c r="F90" s="18">
        <v>45.561</v>
      </c>
      <c r="G90" s="18">
        <v>4.3899999999999997</v>
      </c>
      <c r="H90" s="18">
        <f t="shared" si="4"/>
        <v>43.786999999999999</v>
      </c>
      <c r="I90" s="5"/>
      <c r="J90" s="17">
        <v>997.45190000000002</v>
      </c>
      <c r="K90" s="18">
        <v>42.935600000000001</v>
      </c>
      <c r="L90" s="18">
        <v>45.635899999999999</v>
      </c>
      <c r="M90" s="18">
        <v>46.061500000000002</v>
      </c>
      <c r="N90" s="18">
        <v>6.4720000000000004</v>
      </c>
      <c r="O90" s="18">
        <f t="shared" si="5"/>
        <v>43.663875000000004</v>
      </c>
      <c r="P90" s="7"/>
      <c r="Q90" s="10"/>
      <c r="R90" s="11"/>
      <c r="S90" s="11"/>
      <c r="T90" s="26"/>
      <c r="U90" s="28">
        <f t="shared" si="3"/>
        <v>0.47425968109339428</v>
      </c>
    </row>
    <row r="91" spans="1:21" x14ac:dyDescent="0.25">
      <c r="B91" s="9"/>
      <c r="C91" s="17">
        <v>885.01</v>
      </c>
      <c r="D91" s="18">
        <v>40.332999999999998</v>
      </c>
      <c r="E91" s="18">
        <v>42.901000000000003</v>
      </c>
      <c r="F91" s="18">
        <v>43.384999999999998</v>
      </c>
      <c r="G91" s="18">
        <v>5.0599999999999996</v>
      </c>
      <c r="H91" s="18">
        <f t="shared" si="4"/>
        <v>41.035499999999999</v>
      </c>
      <c r="I91" s="5"/>
      <c r="J91" s="17">
        <v>597.33240000000001</v>
      </c>
      <c r="K91" s="18">
        <v>40.2438</v>
      </c>
      <c r="L91" s="18">
        <v>43.634599999999999</v>
      </c>
      <c r="M91" s="18">
        <v>44.038600000000002</v>
      </c>
      <c r="N91" s="18">
        <v>8.3255999999999997</v>
      </c>
      <c r="O91" s="18">
        <f t="shared" si="5"/>
        <v>41.141999999999996</v>
      </c>
      <c r="P91" s="7"/>
      <c r="Q91" s="10"/>
      <c r="R91" s="11"/>
      <c r="S91" s="11"/>
      <c r="T91" s="26"/>
      <c r="U91" s="28">
        <f t="shared" si="3"/>
        <v>0.64537549407114636</v>
      </c>
    </row>
    <row r="92" spans="1:21" ht="16.5" thickBot="1" x14ac:dyDescent="0.3">
      <c r="B92" s="12"/>
      <c r="C92" s="19">
        <v>421.55</v>
      </c>
      <c r="D92" s="20">
        <v>35.576999999999998</v>
      </c>
      <c r="E92" s="20">
        <v>39.954000000000001</v>
      </c>
      <c r="F92" s="20">
        <v>40.468000000000004</v>
      </c>
      <c r="G92" s="20">
        <v>6.84</v>
      </c>
      <c r="H92" s="20">
        <f t="shared" si="4"/>
        <v>36.735500000000002</v>
      </c>
      <c r="I92" s="5"/>
      <c r="J92" s="19">
        <v>300.20960000000002</v>
      </c>
      <c r="K92" s="20">
        <v>36.373399999999997</v>
      </c>
      <c r="L92" s="20">
        <v>41.092700000000001</v>
      </c>
      <c r="M92" s="20">
        <v>41.512300000000003</v>
      </c>
      <c r="N92" s="20">
        <v>11.8757</v>
      </c>
      <c r="O92" s="20">
        <f t="shared" si="5"/>
        <v>37.605674999999991</v>
      </c>
      <c r="P92" s="7"/>
      <c r="Q92" s="13"/>
      <c r="R92" s="14"/>
      <c r="S92" s="14"/>
      <c r="T92" s="27"/>
      <c r="U92" s="28">
        <f t="shared" si="3"/>
        <v>0.73621345029239771</v>
      </c>
    </row>
    <row r="93" spans="1:21" x14ac:dyDescent="0.25">
      <c r="B93" s="6" t="s">
        <v>103</v>
      </c>
      <c r="C93" s="29">
        <v>2059.5500000000002</v>
      </c>
      <c r="D93" s="30">
        <v>41.055</v>
      </c>
      <c r="E93" s="30">
        <v>44.685000000000002</v>
      </c>
      <c r="F93" s="30">
        <v>44.716000000000001</v>
      </c>
      <c r="G93" s="16">
        <v>3.28</v>
      </c>
      <c r="H93" s="16">
        <f t="shared" si="4"/>
        <v>41.966374999999999</v>
      </c>
      <c r="I93" s="5"/>
      <c r="J93" s="29">
        <v>1496.6868999999999</v>
      </c>
      <c r="K93" s="30">
        <v>40.616900000000001</v>
      </c>
      <c r="L93" s="30">
        <v>45.157899999999998</v>
      </c>
      <c r="M93" s="30">
        <v>45.1462</v>
      </c>
      <c r="N93" s="16">
        <v>4.7088999999999999</v>
      </c>
      <c r="O93" s="16">
        <f t="shared" si="5"/>
        <v>41.750687500000005</v>
      </c>
      <c r="P93" s="7"/>
      <c r="Q93" s="8">
        <f>bdrate(C93:C96,D93:D96,J93:J96,K93:K96)</f>
        <v>-0.29287813808453644</v>
      </c>
      <c r="R93" s="8">
        <f>bdrate(C93:C96,E93:E96,J93:J96,L93:L96)</f>
        <v>-0.44862544077743149</v>
      </c>
      <c r="S93" s="8">
        <f>bdrate(C93:C96,F93:F96,J93:J96,M93:M96)</f>
        <v>-0.43826392379530288</v>
      </c>
      <c r="T93" s="25">
        <f>bdrate(C93:C96,H93:H96,J93:J96,O93:O96)</f>
        <v>-0.32099354257683155</v>
      </c>
      <c r="U93" s="28">
        <f t="shared" si="3"/>
        <v>0.43564024390243905</v>
      </c>
    </row>
    <row r="94" spans="1:21" x14ac:dyDescent="0.25">
      <c r="B94" s="9"/>
      <c r="C94" s="31">
        <v>1379.48</v>
      </c>
      <c r="D94" s="32">
        <v>38.908999999999999</v>
      </c>
      <c r="E94" s="32">
        <v>43.125</v>
      </c>
      <c r="F94" s="32">
        <v>43.161999999999999</v>
      </c>
      <c r="G94" s="18">
        <v>3.61</v>
      </c>
      <c r="H94" s="18">
        <f t="shared" si="4"/>
        <v>39.967624999999998</v>
      </c>
      <c r="I94" s="5"/>
      <c r="J94" s="31">
        <v>998.1585</v>
      </c>
      <c r="K94" s="32">
        <v>38.707599999999999</v>
      </c>
      <c r="L94" s="32">
        <v>43.8566</v>
      </c>
      <c r="M94" s="32">
        <v>43.804000000000002</v>
      </c>
      <c r="N94" s="18">
        <v>5.7470999999999997</v>
      </c>
      <c r="O94" s="18">
        <f t="shared" si="5"/>
        <v>39.988275000000002</v>
      </c>
      <c r="P94" s="7"/>
      <c r="Q94" s="10"/>
      <c r="R94" s="11"/>
      <c r="S94" s="11"/>
      <c r="T94" s="26"/>
      <c r="U94" s="28">
        <f t="shared" si="3"/>
        <v>0.59199445983379495</v>
      </c>
    </row>
    <row r="95" spans="1:21" x14ac:dyDescent="0.25">
      <c r="B95" s="9"/>
      <c r="C95" s="31">
        <v>843.75</v>
      </c>
      <c r="D95" s="32">
        <v>36.277999999999999</v>
      </c>
      <c r="E95" s="32">
        <v>41.384</v>
      </c>
      <c r="F95" s="32">
        <v>41.34</v>
      </c>
      <c r="G95" s="18">
        <v>4.1900000000000004</v>
      </c>
      <c r="H95" s="18">
        <f t="shared" si="4"/>
        <v>37.549000000000007</v>
      </c>
      <c r="I95" s="5"/>
      <c r="J95" s="31">
        <v>598.12149999999997</v>
      </c>
      <c r="K95" s="32">
        <v>36.316899999999997</v>
      </c>
      <c r="L95" s="32">
        <v>42.3018</v>
      </c>
      <c r="M95" s="32">
        <v>42.234299999999998</v>
      </c>
      <c r="N95" s="18">
        <v>7.4836</v>
      </c>
      <c r="O95" s="18">
        <f t="shared" si="5"/>
        <v>37.8046875</v>
      </c>
      <c r="P95" s="7"/>
      <c r="Q95" s="10"/>
      <c r="R95" s="11"/>
      <c r="S95" s="11"/>
      <c r="T95" s="26"/>
      <c r="U95" s="28">
        <f t="shared" si="3"/>
        <v>0.78606205250596639</v>
      </c>
    </row>
    <row r="96" spans="1:21" ht="16.5" thickBot="1" x14ac:dyDescent="0.3">
      <c r="B96" s="12"/>
      <c r="C96" s="33">
        <v>404</v>
      </c>
      <c r="D96" s="34">
        <v>31.927</v>
      </c>
      <c r="E96" s="34">
        <v>39.094999999999999</v>
      </c>
      <c r="F96" s="34">
        <v>38.917999999999999</v>
      </c>
      <c r="G96" s="20">
        <v>5.72</v>
      </c>
      <c r="H96" s="20">
        <f t="shared" si="4"/>
        <v>33.696874999999999</v>
      </c>
      <c r="I96" s="5"/>
      <c r="J96" s="33">
        <v>299.6003</v>
      </c>
      <c r="K96" s="34">
        <v>33.198900000000002</v>
      </c>
      <c r="L96" s="34">
        <v>40.362499999999997</v>
      </c>
      <c r="M96" s="34">
        <v>40.2821</v>
      </c>
      <c r="N96" s="20">
        <v>10.958</v>
      </c>
      <c r="O96" s="20">
        <f t="shared" si="5"/>
        <v>34.979750000000003</v>
      </c>
      <c r="P96" s="7"/>
      <c r="Q96" s="13"/>
      <c r="R96" s="14"/>
      <c r="S96" s="14"/>
      <c r="T96" s="27"/>
      <c r="U96" s="28">
        <f t="shared" si="3"/>
        <v>0.91573426573426586</v>
      </c>
    </row>
    <row r="97" spans="2:21" x14ac:dyDescent="0.25">
      <c r="B97" s="6" t="s">
        <v>104</v>
      </c>
      <c r="C97" s="15">
        <v>2120.34</v>
      </c>
      <c r="D97" s="16">
        <v>39.633000000000003</v>
      </c>
      <c r="E97" s="16">
        <v>42.581000000000003</v>
      </c>
      <c r="F97" s="16">
        <v>43.098999999999997</v>
      </c>
      <c r="G97" s="16">
        <v>4.6399999999999997</v>
      </c>
      <c r="H97" s="16">
        <f t="shared" si="4"/>
        <v>40.434750000000001</v>
      </c>
      <c r="I97" s="5"/>
      <c r="J97" s="15">
        <v>1506.9043999999999</v>
      </c>
      <c r="K97" s="16">
        <v>38.907200000000003</v>
      </c>
      <c r="L97" s="16">
        <v>43.635800000000003</v>
      </c>
      <c r="M97" s="16">
        <v>44.130200000000002</v>
      </c>
      <c r="N97" s="16">
        <v>5.9432999999999998</v>
      </c>
      <c r="O97" s="16">
        <f t="shared" si="5"/>
        <v>40.151150000000001</v>
      </c>
      <c r="P97" s="7"/>
      <c r="Q97" s="8">
        <f>bdrate(C97:C100,D97:D100,J97:J100,K97:K100)</f>
        <v>-0.22985800060712491</v>
      </c>
      <c r="R97" s="8">
        <f>bdrate(C97:C100,E97:E100,J97:J100,L97:L100)</f>
        <v>-0.50717804945390099</v>
      </c>
      <c r="S97" s="8">
        <f>bdrate(C97:C100,F97:F100,J97:J100,M97:M100)</f>
        <v>-0.50549863329352829</v>
      </c>
      <c r="T97" s="25">
        <f>bdrate(C97:C100,H97:H100,J97:J100,O97:O100)</f>
        <v>-0.28891022902571606</v>
      </c>
      <c r="U97" s="28">
        <f t="shared" si="3"/>
        <v>0.28088362068965522</v>
      </c>
    </row>
    <row r="98" spans="2:21" x14ac:dyDescent="0.25">
      <c r="B98" s="9"/>
      <c r="C98" s="17">
        <v>1415.07</v>
      </c>
      <c r="D98" s="18">
        <v>37.509</v>
      </c>
      <c r="E98" s="18">
        <v>40.909999999999997</v>
      </c>
      <c r="F98" s="18">
        <v>41.505000000000003</v>
      </c>
      <c r="G98" s="18">
        <v>5.08</v>
      </c>
      <c r="H98" s="18">
        <f t="shared" si="4"/>
        <v>38.433624999999999</v>
      </c>
      <c r="I98" s="5"/>
      <c r="J98" s="17">
        <v>1011.2877</v>
      </c>
      <c r="K98" s="18">
        <v>36.9651</v>
      </c>
      <c r="L98" s="18">
        <v>42.233400000000003</v>
      </c>
      <c r="M98" s="18">
        <v>42.781799999999997</v>
      </c>
      <c r="N98" s="18">
        <v>7.2507000000000001</v>
      </c>
      <c r="O98" s="18">
        <f t="shared" si="5"/>
        <v>38.350724999999997</v>
      </c>
      <c r="P98" s="7"/>
      <c r="Q98" s="10"/>
      <c r="R98" s="11"/>
      <c r="S98" s="11"/>
      <c r="T98" s="26"/>
      <c r="U98" s="28">
        <f t="shared" si="3"/>
        <v>0.42730314960629923</v>
      </c>
    </row>
    <row r="99" spans="2:21" x14ac:dyDescent="0.25">
      <c r="B99" s="9"/>
      <c r="C99" s="17">
        <v>859.8</v>
      </c>
      <c r="D99" s="18">
        <v>34.945</v>
      </c>
      <c r="E99" s="18">
        <v>39.087000000000003</v>
      </c>
      <c r="F99" s="18">
        <v>39.777000000000001</v>
      </c>
      <c r="G99" s="18">
        <v>5.74</v>
      </c>
      <c r="H99" s="18">
        <f t="shared" si="4"/>
        <v>36.066749999999999</v>
      </c>
      <c r="I99" s="5"/>
      <c r="J99" s="17">
        <v>604.37189999999998</v>
      </c>
      <c r="K99" s="18">
        <v>34.458599999999997</v>
      </c>
      <c r="L99" s="18">
        <v>40.378799999999998</v>
      </c>
      <c r="M99" s="18">
        <v>40.983800000000002</v>
      </c>
      <c r="N99" s="18">
        <v>9.2957999999999998</v>
      </c>
      <c r="O99" s="18">
        <f t="shared" si="5"/>
        <v>36.014274999999998</v>
      </c>
      <c r="P99" s="7"/>
      <c r="Q99" s="10"/>
      <c r="R99" s="11"/>
      <c r="S99" s="11"/>
      <c r="T99" s="26"/>
      <c r="U99" s="28">
        <f t="shared" si="3"/>
        <v>0.61947735191637621</v>
      </c>
    </row>
    <row r="100" spans="2:21" ht="16.5" thickBot="1" x14ac:dyDescent="0.3">
      <c r="B100" s="12"/>
      <c r="C100" s="19">
        <v>404.35</v>
      </c>
      <c r="D100" s="20">
        <v>30.773</v>
      </c>
      <c r="E100" s="20">
        <v>36.533000000000001</v>
      </c>
      <c r="F100" s="20">
        <v>37.462000000000003</v>
      </c>
      <c r="G100" s="20">
        <v>7.01</v>
      </c>
      <c r="H100" s="20">
        <f t="shared" si="4"/>
        <v>32.329124999999998</v>
      </c>
      <c r="I100" s="5"/>
      <c r="J100" s="19">
        <v>305.00130000000001</v>
      </c>
      <c r="K100" s="20">
        <v>31.138500000000001</v>
      </c>
      <c r="L100" s="20">
        <v>38.093400000000003</v>
      </c>
      <c r="M100" s="20">
        <v>38.8215</v>
      </c>
      <c r="N100" s="20">
        <v>13.1218</v>
      </c>
      <c r="O100" s="20">
        <f t="shared" si="5"/>
        <v>32.968237500000001</v>
      </c>
      <c r="P100" s="7"/>
      <c r="Q100" s="13"/>
      <c r="R100" s="14"/>
      <c r="S100" s="14"/>
      <c r="T100" s="27"/>
      <c r="U100" s="28">
        <f t="shared" si="3"/>
        <v>0.8718687589158346</v>
      </c>
    </row>
    <row r="101" spans="2:21" x14ac:dyDescent="0.25">
      <c r="B101" s="6" t="s">
        <v>105</v>
      </c>
      <c r="C101" s="15">
        <v>2110.44</v>
      </c>
      <c r="D101" s="16">
        <v>39.244999999999997</v>
      </c>
      <c r="E101" s="16">
        <v>44.183999999999997</v>
      </c>
      <c r="F101" s="16">
        <v>45.889000000000003</v>
      </c>
      <c r="G101" s="16">
        <v>2.56</v>
      </c>
      <c r="H101" s="16">
        <f t="shared" si="4"/>
        <v>40.692875000000001</v>
      </c>
      <c r="I101" s="5"/>
      <c r="J101" s="15">
        <v>1510.3141000000001</v>
      </c>
      <c r="K101" s="16">
        <v>38.606299999999997</v>
      </c>
      <c r="L101" s="16">
        <v>44.560699999999997</v>
      </c>
      <c r="M101" s="16">
        <v>46.122300000000003</v>
      </c>
      <c r="N101" s="16">
        <v>4.2630999999999997</v>
      </c>
      <c r="O101" s="16">
        <f t="shared" si="5"/>
        <v>40.290099999999995</v>
      </c>
      <c r="P101" s="7"/>
      <c r="Q101" s="8">
        <f>bdrate(C101:C104,D101:D104,J101:J104,K101:K104)</f>
        <v>-0.26524666535052921</v>
      </c>
      <c r="R101" s="8">
        <f>bdrate(C101:C104,E101:E104,J101:J104,L101:L104)</f>
        <v>-0.49786836705146265</v>
      </c>
      <c r="S101" s="8">
        <f>bdrate(C101:C104,F101:F104,J101:J104,M101:M104)</f>
        <v>-0.44057275917976457</v>
      </c>
      <c r="T101" s="25">
        <f>bdrate(C101:C104,H101:H104,J101:J104,O101:O104)</f>
        <v>-0.30814294956501187</v>
      </c>
      <c r="U101" s="28">
        <f t="shared" si="3"/>
        <v>0.66527343749999979</v>
      </c>
    </row>
    <row r="102" spans="2:21" x14ac:dyDescent="0.25">
      <c r="B102" s="9"/>
      <c r="C102" s="17">
        <v>1407.27</v>
      </c>
      <c r="D102" s="18">
        <v>37.517000000000003</v>
      </c>
      <c r="E102" s="18">
        <v>42.936</v>
      </c>
      <c r="F102" s="18">
        <v>44.677</v>
      </c>
      <c r="G102" s="18">
        <v>2.82</v>
      </c>
      <c r="H102" s="18">
        <f t="shared" si="4"/>
        <v>39.089375000000004</v>
      </c>
      <c r="I102" s="5"/>
      <c r="J102" s="17">
        <v>1007.2403</v>
      </c>
      <c r="K102" s="18">
        <v>37.101900000000001</v>
      </c>
      <c r="L102" s="18">
        <v>43.621299999999998</v>
      </c>
      <c r="M102" s="18">
        <v>45.121000000000002</v>
      </c>
      <c r="N102" s="18">
        <v>5.2859999999999996</v>
      </c>
      <c r="O102" s="18">
        <f t="shared" si="5"/>
        <v>38.9192125</v>
      </c>
      <c r="P102" s="7"/>
      <c r="Q102" s="10"/>
      <c r="R102" s="11"/>
      <c r="S102" s="11"/>
      <c r="T102" s="26"/>
      <c r="U102" s="28">
        <f t="shared" si="3"/>
        <v>0.87446808510638296</v>
      </c>
    </row>
    <row r="103" spans="2:21" x14ac:dyDescent="0.25">
      <c r="B103" s="9"/>
      <c r="C103" s="17">
        <v>856.99</v>
      </c>
      <c r="D103" s="18">
        <v>35.414000000000001</v>
      </c>
      <c r="E103" s="18">
        <v>41.484000000000002</v>
      </c>
      <c r="F103" s="18">
        <v>43.143000000000001</v>
      </c>
      <c r="G103" s="18">
        <v>3.31</v>
      </c>
      <c r="H103" s="18">
        <f t="shared" si="4"/>
        <v>37.138874999999999</v>
      </c>
      <c r="I103" s="5"/>
      <c r="J103" s="17">
        <v>604.00890000000004</v>
      </c>
      <c r="K103" s="18">
        <v>35.337299999999999</v>
      </c>
      <c r="L103" s="18">
        <v>42.506900000000002</v>
      </c>
      <c r="M103" s="18">
        <v>43.894300000000001</v>
      </c>
      <c r="N103" s="18">
        <v>6.9965999999999999</v>
      </c>
      <c r="O103" s="18">
        <f t="shared" si="5"/>
        <v>37.303125000000001</v>
      </c>
      <c r="P103" s="7"/>
      <c r="Q103" s="10"/>
      <c r="R103" s="11"/>
      <c r="S103" s="11"/>
      <c r="T103" s="26"/>
      <c r="U103" s="28">
        <f t="shared" si="3"/>
        <v>1.1137764350453172</v>
      </c>
    </row>
    <row r="104" spans="2:21" ht="16.5" thickBot="1" x14ac:dyDescent="0.3">
      <c r="B104" s="12"/>
      <c r="C104" s="19">
        <v>405.34</v>
      </c>
      <c r="D104" s="20">
        <v>32.451000000000001</v>
      </c>
      <c r="E104" s="20">
        <v>39.512999999999998</v>
      </c>
      <c r="F104" s="20">
        <v>40.703000000000003</v>
      </c>
      <c r="G104" s="20">
        <v>4.8499999999999996</v>
      </c>
      <c r="H104" s="20">
        <f t="shared" si="4"/>
        <v>34.365250000000003</v>
      </c>
      <c r="I104" s="5"/>
      <c r="J104" s="19">
        <v>300.2176</v>
      </c>
      <c r="K104" s="20">
        <v>33.0488</v>
      </c>
      <c r="L104" s="20">
        <v>41.019799999999996</v>
      </c>
      <c r="M104" s="20">
        <v>42.2224</v>
      </c>
      <c r="N104" s="20">
        <v>10.491199999999999</v>
      </c>
      <c r="O104" s="20">
        <f t="shared" si="5"/>
        <v>35.191875000000003</v>
      </c>
      <c r="P104" s="7"/>
      <c r="Q104" s="13"/>
      <c r="R104" s="14"/>
      <c r="S104" s="14"/>
      <c r="T104" s="27"/>
      <c r="U104" s="28">
        <f t="shared" si="3"/>
        <v>1.1631340206185568</v>
      </c>
    </row>
    <row r="105" spans="2:21" x14ac:dyDescent="0.25">
      <c r="B105" s="6" t="s">
        <v>106</v>
      </c>
      <c r="C105" s="15">
        <v>2229.42</v>
      </c>
      <c r="D105" s="16">
        <v>51.084000000000003</v>
      </c>
      <c r="E105" s="16">
        <v>54.875999999999998</v>
      </c>
      <c r="F105" s="16">
        <v>56.128999999999998</v>
      </c>
      <c r="G105" s="16">
        <v>4.29</v>
      </c>
      <c r="H105" s="16">
        <f t="shared" si="4"/>
        <v>52.188625000000002</v>
      </c>
      <c r="I105" s="5"/>
      <c r="J105" s="15">
        <v>1492.2949000000001</v>
      </c>
      <c r="K105" s="16">
        <v>50.646599999999999</v>
      </c>
      <c r="L105" s="16">
        <v>55.359499999999997</v>
      </c>
      <c r="M105" s="16">
        <v>56.711399999999998</v>
      </c>
      <c r="N105" s="16">
        <v>5.3716999999999997</v>
      </c>
      <c r="O105" s="16">
        <f t="shared" si="5"/>
        <v>51.993812500000004</v>
      </c>
      <c r="P105" s="7"/>
      <c r="Q105" s="8">
        <f>bdrate(C105:C108,D105:D108,J105:J108,K105:K108)</f>
        <v>-0.41064967993364399</v>
      </c>
      <c r="R105" s="8">
        <f>bdrate(C105:C108,E105:E108,J105:J108,L105:L108)</f>
        <v>-0.55018626250524627</v>
      </c>
      <c r="S105" s="8">
        <f>bdrate(C105:C108,F105:F108,J105:J108,M105:M108)</f>
        <v>-0.55986390085063409</v>
      </c>
      <c r="T105" s="25">
        <f>bdrate(C105:C108,H105:H108,J105:J108,O105:O108)</f>
        <v>-0.44510717120560417</v>
      </c>
      <c r="U105" s="28">
        <f t="shared" si="3"/>
        <v>0.25214452214452204</v>
      </c>
    </row>
    <row r="106" spans="2:21" x14ac:dyDescent="0.25">
      <c r="B106" s="9"/>
      <c r="C106" s="17">
        <v>1480.16</v>
      </c>
      <c r="D106" s="18">
        <v>48.956000000000003</v>
      </c>
      <c r="E106" s="18">
        <v>52.713999999999999</v>
      </c>
      <c r="F106" s="18">
        <v>54.143999999999998</v>
      </c>
      <c r="G106" s="18">
        <v>4.6900000000000004</v>
      </c>
      <c r="H106" s="18">
        <f t="shared" si="4"/>
        <v>50.074249999999999</v>
      </c>
      <c r="I106" s="5"/>
      <c r="J106" s="17">
        <v>997.98350000000005</v>
      </c>
      <c r="K106" s="18">
        <v>49.016500000000001</v>
      </c>
      <c r="L106" s="18">
        <v>53.9482</v>
      </c>
      <c r="M106" s="18">
        <v>55.415799999999997</v>
      </c>
      <c r="N106" s="18">
        <v>6.6673999999999998</v>
      </c>
      <c r="O106" s="18">
        <f t="shared" si="5"/>
        <v>50.432874999999996</v>
      </c>
      <c r="P106" s="7"/>
      <c r="Q106" s="10"/>
      <c r="R106" s="11"/>
      <c r="S106" s="11"/>
      <c r="T106" s="26"/>
      <c r="U106" s="28">
        <f t="shared" si="3"/>
        <v>0.42162046908315548</v>
      </c>
    </row>
    <row r="107" spans="2:21" x14ac:dyDescent="0.25">
      <c r="B107" s="9"/>
      <c r="C107" s="17">
        <v>889.1</v>
      </c>
      <c r="D107" s="18">
        <v>45.826000000000001</v>
      </c>
      <c r="E107" s="18">
        <v>49.845999999999997</v>
      </c>
      <c r="F107" s="18">
        <v>51.372</v>
      </c>
      <c r="G107" s="18">
        <v>5.5</v>
      </c>
      <c r="H107" s="18">
        <f t="shared" si="4"/>
        <v>47.021750000000004</v>
      </c>
      <c r="I107" s="5"/>
      <c r="J107" s="17">
        <v>601.26030000000003</v>
      </c>
      <c r="K107" s="18">
        <v>46.893900000000002</v>
      </c>
      <c r="L107" s="18">
        <v>52.205399999999997</v>
      </c>
      <c r="M107" s="18">
        <v>53.709699999999998</v>
      </c>
      <c r="N107" s="18">
        <v>8.9498999999999995</v>
      </c>
      <c r="O107" s="18">
        <f t="shared" si="5"/>
        <v>48.409812500000001</v>
      </c>
      <c r="P107" s="7"/>
      <c r="Q107" s="10"/>
      <c r="R107" s="11"/>
      <c r="S107" s="11"/>
      <c r="T107" s="26"/>
      <c r="U107" s="28">
        <f t="shared" si="3"/>
        <v>0.6272545454545454</v>
      </c>
    </row>
    <row r="108" spans="2:21" ht="16.5" thickBot="1" x14ac:dyDescent="0.3">
      <c r="B108" s="12"/>
      <c r="C108" s="19">
        <v>416.78</v>
      </c>
      <c r="D108" s="20">
        <v>41.904000000000003</v>
      </c>
      <c r="E108" s="20">
        <v>46.194000000000003</v>
      </c>
      <c r="F108" s="20">
        <v>47.773000000000003</v>
      </c>
      <c r="G108" s="20">
        <v>7.89</v>
      </c>
      <c r="H108" s="20">
        <f t="shared" si="4"/>
        <v>43.17387500000001</v>
      </c>
      <c r="I108" s="5"/>
      <c r="J108" s="19">
        <v>300.84809999999999</v>
      </c>
      <c r="K108" s="20">
        <v>43.714199999999998</v>
      </c>
      <c r="L108" s="20">
        <v>49.453600000000002</v>
      </c>
      <c r="M108" s="20">
        <v>50.946100000000001</v>
      </c>
      <c r="N108" s="20">
        <v>13.9307</v>
      </c>
      <c r="O108" s="20">
        <f t="shared" si="5"/>
        <v>45.335612499999996</v>
      </c>
      <c r="P108" s="7"/>
      <c r="Q108" s="13"/>
      <c r="R108" s="14"/>
      <c r="S108" s="14"/>
      <c r="T108" s="27"/>
      <c r="U108" s="28">
        <f t="shared" si="3"/>
        <v>0.76561470215462613</v>
      </c>
    </row>
    <row r="109" spans="2:21" x14ac:dyDescent="0.25">
      <c r="B109" s="6" t="s">
        <v>107</v>
      </c>
      <c r="C109" s="15">
        <v>2049.9499999999998</v>
      </c>
      <c r="D109" s="16">
        <v>34.015000000000001</v>
      </c>
      <c r="E109" s="16">
        <v>41.473999999999997</v>
      </c>
      <c r="F109" s="16">
        <v>40.817</v>
      </c>
      <c r="G109" s="16">
        <v>3.11</v>
      </c>
      <c r="H109" s="16">
        <f t="shared" si="4"/>
        <v>35.797624999999996</v>
      </c>
      <c r="I109" s="5"/>
      <c r="J109" s="15">
        <v>1495.8583000000001</v>
      </c>
      <c r="K109" s="16">
        <v>33.629300000000001</v>
      </c>
      <c r="L109" s="16">
        <v>41.906399999999998</v>
      </c>
      <c r="M109" s="16">
        <v>41.3491</v>
      </c>
      <c r="N109" s="16">
        <v>3.7237</v>
      </c>
      <c r="O109" s="16">
        <f t="shared" si="5"/>
        <v>35.628912499999998</v>
      </c>
      <c r="P109" s="7"/>
      <c r="Q109" s="8">
        <f>bdrate(C109:C112,D109:D112,J109:J112,K109:K112)</f>
        <v>-0.30419823935718138</v>
      </c>
      <c r="R109" s="8">
        <f>bdrate(C109:C112,E109:E112,J109:J112,L109:L112)</f>
        <v>-0.45262915002293069</v>
      </c>
      <c r="S109" s="8">
        <f>bdrate(C109:C112,F109:F112,J109:J112,M109:M112)</f>
        <v>-0.48103347926475704</v>
      </c>
      <c r="T109" s="25">
        <f>bdrate(C109:C112,H109:H112,J109:J112,O109:O112)</f>
        <v>-0.3317762340885414</v>
      </c>
      <c r="U109" s="28">
        <f t="shared" si="3"/>
        <v>0.19733118971061098</v>
      </c>
    </row>
    <row r="110" spans="2:21" x14ac:dyDescent="0.25">
      <c r="B110" s="9"/>
      <c r="C110" s="17">
        <v>1367.27</v>
      </c>
      <c r="D110" s="18">
        <v>32.131</v>
      </c>
      <c r="E110" s="18">
        <v>40.332000000000001</v>
      </c>
      <c r="F110" s="18">
        <v>39.621000000000002</v>
      </c>
      <c r="G110" s="18">
        <v>3.5</v>
      </c>
      <c r="H110" s="18">
        <f t="shared" si="4"/>
        <v>34.092374999999997</v>
      </c>
      <c r="I110" s="5"/>
      <c r="J110" s="17">
        <v>996.33010000000002</v>
      </c>
      <c r="K110" s="18">
        <v>31.947800000000001</v>
      </c>
      <c r="L110" s="18">
        <v>40.982500000000002</v>
      </c>
      <c r="M110" s="18">
        <v>40.425699999999999</v>
      </c>
      <c r="N110" s="18">
        <v>4.5434000000000001</v>
      </c>
      <c r="O110" s="18">
        <f t="shared" si="5"/>
        <v>34.136875000000003</v>
      </c>
      <c r="P110" s="7"/>
      <c r="Q110" s="10"/>
      <c r="R110" s="11"/>
      <c r="S110" s="11"/>
      <c r="T110" s="26"/>
      <c r="U110" s="28">
        <f t="shared" si="3"/>
        <v>0.29811428571428572</v>
      </c>
    </row>
    <row r="111" spans="2:21" x14ac:dyDescent="0.25">
      <c r="B111" s="9"/>
      <c r="C111" s="17">
        <v>829.69</v>
      </c>
      <c r="D111" s="18">
        <v>29.518999999999998</v>
      </c>
      <c r="E111" s="18">
        <v>38.927999999999997</v>
      </c>
      <c r="F111" s="18">
        <v>38.149000000000001</v>
      </c>
      <c r="G111" s="18">
        <v>4.3</v>
      </c>
      <c r="H111" s="18">
        <f t="shared" si="4"/>
        <v>31.773874999999997</v>
      </c>
      <c r="I111" s="5"/>
      <c r="J111" s="17">
        <v>597.29679999999996</v>
      </c>
      <c r="K111" s="18">
        <v>29.745799999999999</v>
      </c>
      <c r="L111" s="18">
        <v>39.7575</v>
      </c>
      <c r="M111" s="18">
        <v>39.168100000000003</v>
      </c>
      <c r="N111" s="18">
        <v>6.0084999999999997</v>
      </c>
      <c r="O111" s="18">
        <f t="shared" si="5"/>
        <v>32.175049999999999</v>
      </c>
      <c r="P111" s="7"/>
      <c r="Q111" s="10"/>
      <c r="R111" s="11"/>
      <c r="S111" s="11"/>
      <c r="T111" s="26"/>
      <c r="U111" s="28">
        <f t="shared" si="3"/>
        <v>0.39732558139534885</v>
      </c>
    </row>
    <row r="112" spans="2:21" ht="16.5" thickBot="1" x14ac:dyDescent="0.3">
      <c r="B112" s="12"/>
      <c r="C112" s="19">
        <v>391.47</v>
      </c>
      <c r="D112" s="20">
        <v>25.073</v>
      </c>
      <c r="E112" s="20">
        <v>36.648000000000003</v>
      </c>
      <c r="F112" s="20">
        <v>35.99</v>
      </c>
      <c r="G112" s="20">
        <v>5.99</v>
      </c>
      <c r="H112" s="20">
        <f t="shared" si="4"/>
        <v>27.884499999999999</v>
      </c>
      <c r="I112" s="5"/>
      <c r="J112" s="19">
        <v>298.58150000000001</v>
      </c>
      <c r="K112" s="20">
        <v>26.8492</v>
      </c>
      <c r="L112" s="20">
        <v>37.719700000000003</v>
      </c>
      <c r="M112" s="20">
        <v>37.101599999999998</v>
      </c>
      <c r="N112" s="20">
        <v>9.0953999999999997</v>
      </c>
      <c r="O112" s="20">
        <f t="shared" si="5"/>
        <v>29.489562500000002</v>
      </c>
      <c r="P112" s="7"/>
      <c r="Q112" s="13"/>
      <c r="R112" s="14"/>
      <c r="S112" s="14"/>
      <c r="T112" s="27"/>
      <c r="U112" s="28">
        <f t="shared" si="3"/>
        <v>0.51843071786310502</v>
      </c>
    </row>
    <row r="113" spans="2:21" x14ac:dyDescent="0.25">
      <c r="B113" s="6" t="s">
        <v>108</v>
      </c>
      <c r="C113" s="15">
        <v>2340.2399999999998</v>
      </c>
      <c r="D113" s="16">
        <v>49.494</v>
      </c>
      <c r="E113" s="16">
        <v>49.683</v>
      </c>
      <c r="F113" s="16">
        <v>49.488999999999997</v>
      </c>
      <c r="G113" s="16">
        <v>5.44</v>
      </c>
      <c r="H113" s="16">
        <f t="shared" si="4"/>
        <v>49.516999999999996</v>
      </c>
      <c r="I113" s="5"/>
      <c r="J113" s="15">
        <v>1405.7864</v>
      </c>
      <c r="K113" s="16">
        <v>47.430100000000003</v>
      </c>
      <c r="L113" s="16">
        <v>48.664000000000001</v>
      </c>
      <c r="M113" s="16">
        <v>48.5608</v>
      </c>
      <c r="N113" s="16">
        <v>5.7636000000000003</v>
      </c>
      <c r="O113" s="16">
        <f t="shared" si="5"/>
        <v>47.725674999999995</v>
      </c>
      <c r="P113" s="7"/>
      <c r="Q113" s="8">
        <f>bdrate(C113:C116,D113:D116,J113:J116,K113:K116)</f>
        <v>-0.209263385103996</v>
      </c>
      <c r="R113" s="8">
        <f>bdrate(C113:C116,E113:E116,J113:J116,L113:L116)</f>
        <v>-0.35116941739253882</v>
      </c>
      <c r="S113" s="8">
        <f>bdrate(C113:C116,F113:F116,J113:J116,M113:M116)</f>
        <v>-0.36757490783803115</v>
      </c>
      <c r="T113" s="25">
        <f>bdrate(C113:C116,H113:H116,J113:J116,O113:O116)</f>
        <v>-0.24556933083725851</v>
      </c>
      <c r="U113" s="28">
        <f t="shared" si="3"/>
        <v>5.9485294117647032E-2</v>
      </c>
    </row>
    <row r="114" spans="2:21" x14ac:dyDescent="0.25">
      <c r="B114" s="9"/>
      <c r="C114" s="17">
        <v>1545.03</v>
      </c>
      <c r="D114" s="18">
        <v>47.451000000000001</v>
      </c>
      <c r="E114" s="18">
        <v>47.780999999999999</v>
      </c>
      <c r="F114" s="18">
        <v>47.555</v>
      </c>
      <c r="G114" s="18">
        <v>5.87</v>
      </c>
      <c r="H114" s="18">
        <f t="shared" si="4"/>
        <v>47.505250000000004</v>
      </c>
      <c r="I114" s="5"/>
      <c r="J114" s="17">
        <v>950.60350000000005</v>
      </c>
      <c r="K114" s="18">
        <v>45.933700000000002</v>
      </c>
      <c r="L114" s="18">
        <v>47.2943</v>
      </c>
      <c r="M114" s="18">
        <v>47.175199999999997</v>
      </c>
      <c r="N114" s="18">
        <v>6.9287999999999998</v>
      </c>
      <c r="O114" s="18">
        <f t="shared" si="5"/>
        <v>46.25896250000001</v>
      </c>
      <c r="P114" s="7"/>
      <c r="Q114" s="10"/>
      <c r="R114" s="11"/>
      <c r="S114" s="11"/>
      <c r="T114" s="26"/>
      <c r="U114" s="28">
        <f t="shared" si="3"/>
        <v>0.18037478705281085</v>
      </c>
    </row>
    <row r="115" spans="2:21" x14ac:dyDescent="0.25">
      <c r="B115" s="9"/>
      <c r="C115" s="17">
        <v>925.48</v>
      </c>
      <c r="D115" s="18">
        <v>44.607999999999997</v>
      </c>
      <c r="E115" s="18">
        <v>45.192</v>
      </c>
      <c r="F115" s="18">
        <v>44.9</v>
      </c>
      <c r="G115" s="18">
        <v>6.68</v>
      </c>
      <c r="H115" s="18">
        <f t="shared" si="4"/>
        <v>44.717499999999994</v>
      </c>
      <c r="I115" s="5"/>
      <c r="J115" s="17">
        <v>591.34490000000005</v>
      </c>
      <c r="K115" s="18">
        <v>43.344299999999997</v>
      </c>
      <c r="L115" s="18">
        <v>45.234200000000001</v>
      </c>
      <c r="M115" s="18">
        <v>45.090200000000003</v>
      </c>
      <c r="N115" s="18">
        <v>8.9342000000000006</v>
      </c>
      <c r="O115" s="18">
        <f t="shared" si="5"/>
        <v>43.798774999999992</v>
      </c>
      <c r="P115" s="7"/>
      <c r="Q115" s="10"/>
      <c r="R115" s="11"/>
      <c r="S115" s="11"/>
      <c r="T115" s="26"/>
      <c r="U115" s="28">
        <f t="shared" si="3"/>
        <v>0.33745508982035943</v>
      </c>
    </row>
    <row r="116" spans="2:21" ht="16.5" thickBot="1" x14ac:dyDescent="0.3">
      <c r="B116" s="12"/>
      <c r="C116" s="19">
        <v>427.84</v>
      </c>
      <c r="D116" s="20">
        <v>39.24</v>
      </c>
      <c r="E116" s="20">
        <v>40.947000000000003</v>
      </c>
      <c r="F116" s="20">
        <v>40.58</v>
      </c>
      <c r="G116" s="20">
        <v>8.6999999999999993</v>
      </c>
      <c r="H116" s="20">
        <f t="shared" si="4"/>
        <v>39.620874999999998</v>
      </c>
      <c r="I116" s="5"/>
      <c r="J116" s="19">
        <v>301.36689999999999</v>
      </c>
      <c r="K116" s="20">
        <v>38.729999999999997</v>
      </c>
      <c r="L116" s="20">
        <v>41.613399999999999</v>
      </c>
      <c r="M116" s="20">
        <v>41.381799999999998</v>
      </c>
      <c r="N116" s="20">
        <v>12.929600000000001</v>
      </c>
      <c r="O116" s="20">
        <f t="shared" si="5"/>
        <v>39.421900000000001</v>
      </c>
      <c r="P116" s="7"/>
      <c r="Q116" s="13"/>
      <c r="R116" s="14"/>
      <c r="S116" s="14"/>
      <c r="T116" s="27"/>
      <c r="U116" s="28">
        <f t="shared" si="3"/>
        <v>0.48616091954023011</v>
      </c>
    </row>
    <row r="117" spans="2:21" x14ac:dyDescent="0.25">
      <c r="B117" s="6" t="s">
        <v>109</v>
      </c>
      <c r="C117" s="15">
        <v>2764.84</v>
      </c>
      <c r="D117" s="16">
        <v>51.796999999999997</v>
      </c>
      <c r="E117" s="16">
        <v>52.8</v>
      </c>
      <c r="F117" s="16">
        <v>53.061</v>
      </c>
      <c r="G117" s="16">
        <v>5.53</v>
      </c>
      <c r="H117" s="16">
        <f t="shared" si="4"/>
        <v>52.080374999999997</v>
      </c>
      <c r="I117" s="5"/>
      <c r="J117" s="15">
        <v>1417.2143000000001</v>
      </c>
      <c r="K117" s="16">
        <v>47.6267</v>
      </c>
      <c r="L117" s="16">
        <v>50.258600000000001</v>
      </c>
      <c r="M117" s="16">
        <v>50.329900000000002</v>
      </c>
      <c r="N117" s="16">
        <v>7.4913999999999996</v>
      </c>
      <c r="O117" s="16">
        <f t="shared" si="5"/>
        <v>48.293587500000001</v>
      </c>
      <c r="P117" s="7"/>
      <c r="Q117" s="8">
        <f>bdrate(C117:C120,D117:D120,J117:J120,K117:K120)</f>
        <v>-0.27761671538258004</v>
      </c>
      <c r="R117" s="8">
        <f>bdrate(C117:C120,E117:E120,J117:J120,L117:L120)</f>
        <v>-0.39040811788411556</v>
      </c>
      <c r="S117" s="8">
        <f>bdrate(C117:C120,F117:F120,J117:J120,M117:M120)</f>
        <v>-0.38813760642256279</v>
      </c>
      <c r="T117" s="25">
        <f>bdrate(C117:C120,H117:H120,J117:J120,O117:O120)</f>
        <v>-0.30401973594574716</v>
      </c>
      <c r="U117" s="28">
        <f t="shared" si="3"/>
        <v>0.35468354430379734</v>
      </c>
    </row>
    <row r="118" spans="2:21" x14ac:dyDescent="0.25">
      <c r="B118" s="9"/>
      <c r="C118" s="17">
        <v>1827.95</v>
      </c>
      <c r="D118" s="18">
        <v>48.256999999999998</v>
      </c>
      <c r="E118" s="18">
        <v>49.637999999999998</v>
      </c>
      <c r="F118" s="18">
        <v>49.902000000000001</v>
      </c>
      <c r="G118" s="18">
        <v>5.73</v>
      </c>
      <c r="H118" s="18">
        <f t="shared" si="4"/>
        <v>48.635249999999992</v>
      </c>
      <c r="I118" s="5"/>
      <c r="J118" s="17">
        <v>978.71849999999995</v>
      </c>
      <c r="K118" s="18">
        <v>46.364699999999999</v>
      </c>
      <c r="L118" s="18">
        <v>49.246600000000001</v>
      </c>
      <c r="M118" s="18">
        <v>49.346899999999998</v>
      </c>
      <c r="N118" s="18">
        <v>9.0831</v>
      </c>
      <c r="O118" s="18">
        <f t="shared" si="5"/>
        <v>47.0977125</v>
      </c>
      <c r="P118" s="7"/>
      <c r="Q118" s="10"/>
      <c r="R118" s="11"/>
      <c r="S118" s="11"/>
      <c r="T118" s="26"/>
      <c r="U118" s="28">
        <f t="shared" si="3"/>
        <v>0.5851832460732983</v>
      </c>
    </row>
    <row r="119" spans="2:21" x14ac:dyDescent="0.25">
      <c r="B119" s="9"/>
      <c r="C119" s="17">
        <v>1086.1300000000001</v>
      </c>
      <c r="D119" s="18">
        <v>44.64</v>
      </c>
      <c r="E119" s="18">
        <v>46.613</v>
      </c>
      <c r="F119" s="18">
        <v>46.85</v>
      </c>
      <c r="G119" s="18">
        <v>6.3</v>
      </c>
      <c r="H119" s="18">
        <f t="shared" si="4"/>
        <v>45.162875000000007</v>
      </c>
      <c r="I119" s="5"/>
      <c r="J119" s="17">
        <v>640.01430000000005</v>
      </c>
      <c r="K119" s="18">
        <v>43.269399999999997</v>
      </c>
      <c r="L119" s="18">
        <v>46.322099999999999</v>
      </c>
      <c r="M119" s="18">
        <v>46.589599999999997</v>
      </c>
      <c r="N119" s="18">
        <v>11.083299999999999</v>
      </c>
      <c r="O119" s="18">
        <f t="shared" si="5"/>
        <v>44.066012499999999</v>
      </c>
      <c r="P119" s="7"/>
      <c r="Q119" s="10"/>
      <c r="R119" s="11"/>
      <c r="S119" s="11"/>
      <c r="T119" s="26"/>
      <c r="U119" s="28">
        <f t="shared" si="3"/>
        <v>0.75925396825396818</v>
      </c>
    </row>
    <row r="120" spans="2:21" ht="16.5" thickBot="1" x14ac:dyDescent="0.3">
      <c r="B120" s="12"/>
      <c r="C120" s="19">
        <v>499.74</v>
      </c>
      <c r="D120" s="20">
        <v>39.415999999999997</v>
      </c>
      <c r="E120" s="20">
        <v>41.968000000000004</v>
      </c>
      <c r="F120" s="20">
        <v>42.232999999999997</v>
      </c>
      <c r="G120" s="20">
        <v>7.82</v>
      </c>
      <c r="H120" s="20">
        <f t="shared" si="4"/>
        <v>40.087125</v>
      </c>
      <c r="I120" s="5"/>
      <c r="J120" s="19">
        <v>355.70839999999998</v>
      </c>
      <c r="K120" s="20">
        <v>39.135300000000001</v>
      </c>
      <c r="L120" s="20">
        <v>42.719700000000003</v>
      </c>
      <c r="M120" s="20">
        <v>43.0227</v>
      </c>
      <c r="N120" s="20">
        <v>16.738700000000001</v>
      </c>
      <c r="O120" s="20">
        <f t="shared" si="5"/>
        <v>40.069274999999998</v>
      </c>
      <c r="P120" s="7"/>
      <c r="Q120" s="13"/>
      <c r="R120" s="14"/>
      <c r="S120" s="14"/>
      <c r="T120" s="27"/>
      <c r="U120" s="28">
        <f t="shared" si="3"/>
        <v>1.1404987212276216</v>
      </c>
    </row>
    <row r="121" spans="2:21" x14ac:dyDescent="0.25">
      <c r="B121" s="6" t="s">
        <v>110</v>
      </c>
      <c r="C121" s="29">
        <v>2128.41</v>
      </c>
      <c r="D121" s="30">
        <v>35.081000000000003</v>
      </c>
      <c r="E121" s="30">
        <v>37.988</v>
      </c>
      <c r="F121" s="30">
        <v>36.933999999999997</v>
      </c>
      <c r="G121" s="16">
        <v>3.58</v>
      </c>
      <c r="H121" s="16">
        <f t="shared" si="4"/>
        <v>35.676000000000002</v>
      </c>
      <c r="I121" s="5"/>
      <c r="J121" s="29">
        <v>1511.9802999999999</v>
      </c>
      <c r="K121" s="30">
        <v>33.836500000000001</v>
      </c>
      <c r="L121" s="30">
        <v>38.058300000000003</v>
      </c>
      <c r="M121" s="30">
        <v>36.892200000000003</v>
      </c>
      <c r="N121" s="16">
        <v>4.5822000000000003</v>
      </c>
      <c r="O121" s="16">
        <f t="shared" si="5"/>
        <v>34.746187500000005</v>
      </c>
      <c r="P121" s="7"/>
      <c r="Q121" s="8">
        <f>bdrate(C121:C124,D121:D124,J121:J124,K121:K124)</f>
        <v>-0.20929950890969151</v>
      </c>
      <c r="R121" s="8">
        <f>bdrate(C121:C124,E121:E124,J121:J124,L121:L124)</f>
        <v>-0.39247583058516056</v>
      </c>
      <c r="S121" s="8">
        <f>bdrate(C121:C124,F121:F124,J121:J124,M121:M124)</f>
        <v>-0.36677065773831163</v>
      </c>
      <c r="T121" s="25">
        <f>bdrate(C121:C124,H121:H124,J121:J124,O121:O124)</f>
        <v>-0.23855473929328741</v>
      </c>
      <c r="U121" s="28">
        <f t="shared" si="3"/>
        <v>0.27994413407821234</v>
      </c>
    </row>
    <row r="122" spans="2:21" x14ac:dyDescent="0.25">
      <c r="B122" s="9"/>
      <c r="C122" s="31">
        <v>1414.09</v>
      </c>
      <c r="D122" s="32">
        <v>32.915999999999997</v>
      </c>
      <c r="E122" s="32">
        <v>36.658000000000001</v>
      </c>
      <c r="F122" s="32">
        <v>35.533999999999999</v>
      </c>
      <c r="G122" s="18">
        <v>4.0199999999999996</v>
      </c>
      <c r="H122" s="18">
        <f t="shared" si="4"/>
        <v>33.710999999999999</v>
      </c>
      <c r="I122" s="5"/>
      <c r="J122" s="31">
        <v>1008.6315</v>
      </c>
      <c r="K122" s="32">
        <v>31.923100000000002</v>
      </c>
      <c r="L122" s="32">
        <v>36.9816</v>
      </c>
      <c r="M122" s="32">
        <v>35.764699999999998</v>
      </c>
      <c r="N122" s="18">
        <v>5.5807000000000002</v>
      </c>
      <c r="O122" s="18">
        <f t="shared" si="5"/>
        <v>33.035612499999999</v>
      </c>
      <c r="P122" s="7"/>
      <c r="Q122" s="10"/>
      <c r="R122" s="11"/>
      <c r="S122" s="11"/>
      <c r="T122" s="26"/>
      <c r="U122" s="28">
        <f t="shared" si="3"/>
        <v>0.38823383084577134</v>
      </c>
    </row>
    <row r="123" spans="2:21" x14ac:dyDescent="0.25">
      <c r="B123" s="9"/>
      <c r="C123" s="31">
        <v>850.96</v>
      </c>
      <c r="D123" s="32">
        <v>30.146999999999998</v>
      </c>
      <c r="E123" s="32">
        <v>35.182000000000002</v>
      </c>
      <c r="F123" s="32">
        <v>33.988</v>
      </c>
      <c r="G123" s="18">
        <v>4.76</v>
      </c>
      <c r="H123" s="18">
        <f t="shared" si="4"/>
        <v>31.256500000000003</v>
      </c>
      <c r="I123" s="5"/>
      <c r="J123" s="31">
        <v>605.14530000000002</v>
      </c>
      <c r="K123" s="32">
        <v>29.6553</v>
      </c>
      <c r="L123" s="32">
        <v>35.713799999999999</v>
      </c>
      <c r="M123" s="32">
        <v>34.4178</v>
      </c>
      <c r="N123" s="18">
        <v>7.1864999999999997</v>
      </c>
      <c r="O123" s="18">
        <f t="shared" si="5"/>
        <v>31.007925</v>
      </c>
      <c r="P123" s="7"/>
      <c r="Q123" s="10"/>
      <c r="R123" s="11"/>
      <c r="S123" s="11"/>
      <c r="T123" s="26"/>
      <c r="U123" s="28">
        <f t="shared" si="3"/>
        <v>0.50976890756302518</v>
      </c>
    </row>
    <row r="124" spans="2:21" ht="16.5" thickBot="1" x14ac:dyDescent="0.3">
      <c r="B124" s="12"/>
      <c r="C124" s="33">
        <v>395.29</v>
      </c>
      <c r="D124" s="34">
        <v>25.971</v>
      </c>
      <c r="E124" s="34">
        <v>33.334000000000003</v>
      </c>
      <c r="F124" s="34">
        <v>31.94</v>
      </c>
      <c r="G124" s="20">
        <v>6.64</v>
      </c>
      <c r="H124" s="20">
        <f t="shared" si="4"/>
        <v>27.637499999999999</v>
      </c>
      <c r="I124" s="5"/>
      <c r="J124" s="33">
        <v>304.23399999999998</v>
      </c>
      <c r="K124" s="34">
        <v>27.029800000000002</v>
      </c>
      <c r="L124" s="34">
        <v>34.041400000000003</v>
      </c>
      <c r="M124" s="34">
        <v>32.631700000000002</v>
      </c>
      <c r="N124" s="20">
        <v>10.4475</v>
      </c>
      <c r="O124" s="20">
        <f t="shared" si="5"/>
        <v>28.606487500000004</v>
      </c>
      <c r="P124" s="7"/>
      <c r="Q124" s="13"/>
      <c r="R124" s="14"/>
      <c r="S124" s="14"/>
      <c r="T124" s="27"/>
      <c r="U124" s="28">
        <f t="shared" si="3"/>
        <v>0.57341867469879526</v>
      </c>
    </row>
    <row r="125" spans="2:21" ht="16.5" thickBot="1" x14ac:dyDescent="0.3">
      <c r="B125" s="22" t="s">
        <v>214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-0.31290447368353691</v>
      </c>
      <c r="R125" s="21">
        <f>AVERAGE(R9:R124)</f>
        <v>-0.53037993138881456</v>
      </c>
      <c r="S125" s="21">
        <f>AVERAGE(S9:S124)</f>
        <v>-0.53214010069076256</v>
      </c>
      <c r="T125" s="21">
        <f>AVERAGE(T9:T124)</f>
        <v>-0.35752489858765257</v>
      </c>
      <c r="U125" s="21">
        <f>AVERAGE(U9:U124)</f>
        <v>0.84001212765816025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753" priority="33" operator="greaterThan">
      <formula>0.03</formula>
    </cfRule>
    <cfRule type="cellIs" dxfId="752" priority="34" stopIfTrue="1" operator="lessThan">
      <formula>-0.03</formula>
    </cfRule>
  </conditionalFormatting>
  <conditionalFormatting sqref="Q33:T36">
    <cfRule type="cellIs" dxfId="751" priority="31" operator="greaterThan">
      <formula>0.03</formula>
    </cfRule>
    <cfRule type="cellIs" dxfId="750" priority="32" stopIfTrue="1" operator="lessThan">
      <formula>-0.03</formula>
    </cfRule>
  </conditionalFormatting>
  <conditionalFormatting sqref="Q45:T48 Q61:T64">
    <cfRule type="cellIs" dxfId="749" priority="29" operator="greaterThan">
      <formula>0.03</formula>
    </cfRule>
    <cfRule type="cellIs" dxfId="748" priority="30" stopIfTrue="1" operator="lessThan">
      <formula>-0.03</formula>
    </cfRule>
  </conditionalFormatting>
  <conditionalFormatting sqref="Q49:T60">
    <cfRule type="cellIs" dxfId="747" priority="27" operator="greaterThan">
      <formula>0.03</formula>
    </cfRule>
    <cfRule type="cellIs" dxfId="746" priority="28" stopIfTrue="1" operator="lessThan">
      <formula>-0.03</formula>
    </cfRule>
  </conditionalFormatting>
  <conditionalFormatting sqref="Q69:T76">
    <cfRule type="cellIs" dxfId="745" priority="25" operator="greaterThan">
      <formula>0.03</formula>
    </cfRule>
    <cfRule type="cellIs" dxfId="744" priority="26" stopIfTrue="1" operator="lessThan">
      <formula>-0.03</formula>
    </cfRule>
  </conditionalFormatting>
  <conditionalFormatting sqref="Q65:T68">
    <cfRule type="cellIs" dxfId="743" priority="23" operator="greaterThan">
      <formula>0.03</formula>
    </cfRule>
    <cfRule type="cellIs" dxfId="742" priority="24" stopIfTrue="1" operator="lessThan">
      <formula>-0.03</formula>
    </cfRule>
  </conditionalFormatting>
  <conditionalFormatting sqref="Q77:T80">
    <cfRule type="cellIs" dxfId="741" priority="21" operator="greaterThan">
      <formula>0.03</formula>
    </cfRule>
    <cfRule type="cellIs" dxfId="740" priority="22" stopIfTrue="1" operator="lessThan">
      <formula>-0.03</formula>
    </cfRule>
  </conditionalFormatting>
  <conditionalFormatting sqref="Q21:T28">
    <cfRule type="cellIs" dxfId="739" priority="19" operator="greaterThan">
      <formula>0.03</formula>
    </cfRule>
    <cfRule type="cellIs" dxfId="738" priority="20" stopIfTrue="1" operator="lessThan">
      <formula>-0.03</formula>
    </cfRule>
  </conditionalFormatting>
  <conditionalFormatting sqref="Q117:T117">
    <cfRule type="cellIs" dxfId="737" priority="3" operator="greaterThan">
      <formula>0.03</formula>
    </cfRule>
    <cfRule type="cellIs" dxfId="736" priority="4" stopIfTrue="1" operator="lessThan">
      <formula>-0.03</formula>
    </cfRule>
  </conditionalFormatting>
  <conditionalFormatting sqref="Q93:T96 Q101:T108 Q81:T84">
    <cfRule type="cellIs" dxfId="735" priority="17" operator="greaterThan">
      <formula>0.03</formula>
    </cfRule>
    <cfRule type="cellIs" dxfId="734" priority="18" stopIfTrue="1" operator="lessThan">
      <formula>-0.03</formula>
    </cfRule>
  </conditionalFormatting>
  <conditionalFormatting sqref="Q97:T100">
    <cfRule type="cellIs" dxfId="733" priority="15" operator="greaterThan">
      <formula>0.03</formula>
    </cfRule>
    <cfRule type="cellIs" dxfId="732" priority="16" stopIfTrue="1" operator="lessThan">
      <formula>-0.03</formula>
    </cfRule>
  </conditionalFormatting>
  <conditionalFormatting sqref="Q110:T112 Q122:T124">
    <cfRule type="cellIs" dxfId="731" priority="13" operator="greaterThan">
      <formula>0.03</formula>
    </cfRule>
    <cfRule type="cellIs" dxfId="730" priority="14" stopIfTrue="1" operator="lessThan">
      <formula>-0.03</formula>
    </cfRule>
  </conditionalFormatting>
  <conditionalFormatting sqref="Q114:T116 Q118:T120">
    <cfRule type="cellIs" dxfId="729" priority="11" operator="greaterThan">
      <formula>0.03</formula>
    </cfRule>
    <cfRule type="cellIs" dxfId="728" priority="12" stopIfTrue="1" operator="lessThan">
      <formula>-0.03</formula>
    </cfRule>
  </conditionalFormatting>
  <conditionalFormatting sqref="Q85:T92">
    <cfRule type="cellIs" dxfId="727" priority="9" operator="greaterThan">
      <formula>0.03</formula>
    </cfRule>
    <cfRule type="cellIs" dxfId="726" priority="10" stopIfTrue="1" operator="lessThan">
      <formula>-0.03</formula>
    </cfRule>
  </conditionalFormatting>
  <conditionalFormatting sqref="Q109:T109">
    <cfRule type="cellIs" dxfId="725" priority="7" operator="greaterThan">
      <formula>0.03</formula>
    </cfRule>
    <cfRule type="cellIs" dxfId="724" priority="8" stopIfTrue="1" operator="lessThan">
      <formula>-0.03</formula>
    </cfRule>
  </conditionalFormatting>
  <conditionalFormatting sqref="Q113:T113">
    <cfRule type="cellIs" dxfId="723" priority="5" operator="greaterThan">
      <formula>0.03</formula>
    </cfRule>
    <cfRule type="cellIs" dxfId="722" priority="6" stopIfTrue="1" operator="lessThan">
      <formula>-0.03</formula>
    </cfRule>
  </conditionalFormatting>
  <conditionalFormatting sqref="Q121:T121">
    <cfRule type="cellIs" dxfId="721" priority="1" operator="greaterThan">
      <formula>0.03</formula>
    </cfRule>
    <cfRule type="cellIs" dxfId="720" priority="2" stopIfTrue="1" operator="lessThan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activeCell="J18" sqref="J1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218</v>
      </c>
    </row>
    <row r="2" spans="1:21" x14ac:dyDescent="0.25">
      <c r="A2" t="s">
        <v>84</v>
      </c>
    </row>
    <row r="3" spans="1:21" x14ac:dyDescent="0.25">
      <c r="A3" t="s">
        <v>131</v>
      </c>
    </row>
    <row r="4" spans="1:21" x14ac:dyDescent="0.25">
      <c r="A4" t="s">
        <v>83</v>
      </c>
    </row>
    <row r="5" spans="1:21" s="35" customFormat="1" ht="15.75" customHeight="1" x14ac:dyDescent="0.25">
      <c r="B5" s="61" t="s">
        <v>29</v>
      </c>
      <c r="C5" s="63" t="s">
        <v>187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219</v>
      </c>
      <c r="D7" s="70"/>
      <c r="E7" s="70"/>
      <c r="F7" s="70"/>
      <c r="G7" s="70"/>
      <c r="H7" s="70"/>
      <c r="I7" s="5"/>
      <c r="J7" s="69" t="s">
        <v>176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3857.66</v>
      </c>
      <c r="D9" s="16">
        <v>36.154000000000003</v>
      </c>
      <c r="E9" s="16">
        <v>38.130000000000003</v>
      </c>
      <c r="F9" s="16">
        <v>40.404000000000003</v>
      </c>
      <c r="G9" s="16">
        <v>8.99</v>
      </c>
      <c r="H9" s="16">
        <f t="shared" ref="H9:H80" si="0">(6*D9+E9+F9)/8</f>
        <v>36.932250000000003</v>
      </c>
      <c r="I9" s="5"/>
      <c r="J9" s="15">
        <v>4021.6336000000001</v>
      </c>
      <c r="K9" s="16">
        <v>37.587800000000001</v>
      </c>
      <c r="L9" s="16">
        <v>39.352699999999999</v>
      </c>
      <c r="M9" s="16">
        <v>41.827800000000003</v>
      </c>
      <c r="N9" s="16">
        <v>22.730699999999999</v>
      </c>
      <c r="O9" s="16">
        <f t="shared" ref="O9:O80" si="1">(6*K9+L9+M9)/8</f>
        <v>38.338412500000004</v>
      </c>
      <c r="P9" s="7"/>
      <c r="Q9" s="8">
        <f>bdrate(C9:C12,D9:D12,J9:J12,K9:K12)</f>
        <v>-0.21468692480291929</v>
      </c>
      <c r="R9" s="8">
        <f>bdrate(C9:C12,E9:E12,J9:J12,L9:L12)</f>
        <v>-0.46776530757743218</v>
      </c>
      <c r="S9" s="8">
        <f>bdrate(C9:C12,F9:F12,J9:J12,M9:M12)</f>
        <v>-0.44237149693505029</v>
      </c>
      <c r="T9" s="25">
        <f>bdrate(C9:C12,H9:H12,J9:J12,O9:O12)</f>
        <v>-0.24749622749663502</v>
      </c>
      <c r="U9" s="28">
        <f t="shared" ref="U9:U72" si="2">(N9-G9)/G9</f>
        <v>1.5284427141268073</v>
      </c>
    </row>
    <row r="10" spans="1:21" x14ac:dyDescent="0.25">
      <c r="A10" s="9" t="s">
        <v>36</v>
      </c>
      <c r="B10" s="9"/>
      <c r="C10" s="17">
        <v>2859.39</v>
      </c>
      <c r="D10" s="18">
        <v>35.261000000000003</v>
      </c>
      <c r="E10" s="18">
        <v>37.652999999999999</v>
      </c>
      <c r="F10" s="18">
        <v>39.957999999999998</v>
      </c>
      <c r="G10" s="18">
        <v>11.41</v>
      </c>
      <c r="H10" s="18">
        <f t="shared" si="0"/>
        <v>36.147125000000003</v>
      </c>
      <c r="I10" s="5"/>
      <c r="J10" s="17">
        <v>2915.1568000000002</v>
      </c>
      <c r="K10" s="18">
        <v>36.592100000000002</v>
      </c>
      <c r="L10" s="18">
        <v>38.794600000000003</v>
      </c>
      <c r="M10" s="18">
        <v>41.144300000000001</v>
      </c>
      <c r="N10" s="18">
        <v>20.6327</v>
      </c>
      <c r="O10" s="18">
        <f t="shared" si="1"/>
        <v>37.436437500000004</v>
      </c>
      <c r="P10" s="7"/>
      <c r="Q10" s="10"/>
      <c r="R10" s="11"/>
      <c r="S10" s="11"/>
      <c r="T10" s="26"/>
      <c r="U10" s="28">
        <f t="shared" si="2"/>
        <v>0.80829973707274316</v>
      </c>
    </row>
    <row r="11" spans="1:21" x14ac:dyDescent="0.25">
      <c r="B11" s="9"/>
      <c r="C11" s="17">
        <v>1882.88</v>
      </c>
      <c r="D11" s="18">
        <v>34.024000000000001</v>
      </c>
      <c r="E11" s="18">
        <v>37.143000000000001</v>
      </c>
      <c r="F11" s="18">
        <v>39.444000000000003</v>
      </c>
      <c r="G11" s="18">
        <v>13.68</v>
      </c>
      <c r="H11" s="18">
        <f t="shared" si="0"/>
        <v>35.091374999999999</v>
      </c>
      <c r="I11" s="5"/>
      <c r="J11" s="17">
        <v>1950.0239999999999</v>
      </c>
      <c r="K11" s="18">
        <v>35.0351</v>
      </c>
      <c r="L11" s="18">
        <v>38.154499999999999</v>
      </c>
      <c r="M11" s="18">
        <v>40.431800000000003</v>
      </c>
      <c r="N11" s="18">
        <v>30.235800000000001</v>
      </c>
      <c r="O11" s="18">
        <f t="shared" si="1"/>
        <v>36.099612499999999</v>
      </c>
      <c r="P11" s="7"/>
      <c r="Q11" s="10"/>
      <c r="R11" s="11"/>
      <c r="S11" s="11"/>
      <c r="T11" s="26"/>
      <c r="U11" s="28">
        <f t="shared" si="2"/>
        <v>1.2102192982456141</v>
      </c>
    </row>
    <row r="12" spans="1:21" ht="16.5" thickBot="1" x14ac:dyDescent="0.3">
      <c r="B12" s="12"/>
      <c r="C12" s="19">
        <v>886.87</v>
      </c>
      <c r="D12" s="20">
        <v>31.638000000000002</v>
      </c>
      <c r="E12" s="20">
        <v>36.494</v>
      </c>
      <c r="F12" s="20">
        <v>38.743000000000002</v>
      </c>
      <c r="G12" s="20">
        <v>15.24</v>
      </c>
      <c r="H12" s="20">
        <f t="shared" si="0"/>
        <v>33.133125</v>
      </c>
      <c r="I12" s="5"/>
      <c r="J12" s="19">
        <v>920.58240000000001</v>
      </c>
      <c r="K12" s="20">
        <v>32.114699999999999</v>
      </c>
      <c r="L12" s="20">
        <v>36.8733</v>
      </c>
      <c r="M12" s="20">
        <v>39.096699999999998</v>
      </c>
      <c r="N12" s="20">
        <v>39.4011</v>
      </c>
      <c r="O12" s="20">
        <f t="shared" si="1"/>
        <v>33.582274999999996</v>
      </c>
      <c r="P12" s="7"/>
      <c r="Q12" s="13"/>
      <c r="R12" s="14"/>
      <c r="S12" s="14"/>
      <c r="T12" s="27"/>
      <c r="U12" s="28">
        <f t="shared" si="2"/>
        <v>1.5853740157480314</v>
      </c>
    </row>
    <row r="13" spans="1:21" x14ac:dyDescent="0.25">
      <c r="B13" s="6" t="s">
        <v>47</v>
      </c>
      <c r="C13" s="15">
        <v>4091.06</v>
      </c>
      <c r="D13" s="16">
        <v>28.952000000000002</v>
      </c>
      <c r="E13" s="16">
        <v>38.279000000000003</v>
      </c>
      <c r="F13" s="16">
        <v>39.305</v>
      </c>
      <c r="G13" s="16">
        <v>7.35</v>
      </c>
      <c r="H13" s="16">
        <f t="shared" si="0"/>
        <v>31.412000000000003</v>
      </c>
      <c r="I13" s="5"/>
      <c r="J13" s="15">
        <v>4070.1887999999999</v>
      </c>
      <c r="K13" s="16">
        <v>29.102599999999999</v>
      </c>
      <c r="L13" s="16">
        <v>39.2254</v>
      </c>
      <c r="M13" s="16">
        <v>40.195399999999999</v>
      </c>
      <c r="N13" s="16">
        <v>14.1403</v>
      </c>
      <c r="O13" s="16">
        <f t="shared" si="1"/>
        <v>31.754550000000002</v>
      </c>
      <c r="P13" s="7"/>
      <c r="Q13" s="8">
        <f>bdrate(C13:C16,D13:D16,J13:J16,K13:K16)</f>
        <v>5.8085957494384832E-3</v>
      </c>
      <c r="R13" s="8">
        <f>bdrate(C13:C16,E13:E16,J13:J16,L13:L16)</f>
        <v>-0.41552269748222237</v>
      </c>
      <c r="S13" s="8">
        <f>bdrate(C13:C16,F13:F16,J13:J16,M13:M16)</f>
        <v>-0.43749987811056001</v>
      </c>
      <c r="T13" s="25">
        <f>bdrate(C13:C16,H13:H16,J13:J16,O13:O16)</f>
        <v>-6.931392687984772E-2</v>
      </c>
      <c r="U13" s="28">
        <f t="shared" si="2"/>
        <v>0.92385034013605449</v>
      </c>
    </row>
    <row r="14" spans="1:21" x14ac:dyDescent="0.25">
      <c r="B14" s="9"/>
      <c r="C14" s="17">
        <v>3041.3</v>
      </c>
      <c r="D14" s="18">
        <v>27.774000000000001</v>
      </c>
      <c r="E14" s="18">
        <v>37.781999999999996</v>
      </c>
      <c r="F14" s="18">
        <v>38.831000000000003</v>
      </c>
      <c r="G14" s="18">
        <v>8.58</v>
      </c>
      <c r="H14" s="18">
        <f t="shared" si="0"/>
        <v>30.407125000000001</v>
      </c>
      <c r="I14" s="5"/>
      <c r="J14" s="17">
        <v>3032.2703999999999</v>
      </c>
      <c r="K14" s="18">
        <v>27.757000000000001</v>
      </c>
      <c r="L14" s="18">
        <v>38.751100000000001</v>
      </c>
      <c r="M14" s="18">
        <v>39.752200000000002</v>
      </c>
      <c r="N14" s="18">
        <v>20.0749</v>
      </c>
      <c r="O14" s="18">
        <f t="shared" si="1"/>
        <v>30.6306625</v>
      </c>
      <c r="P14" s="7"/>
      <c r="Q14" s="10"/>
      <c r="R14" s="11"/>
      <c r="S14" s="11"/>
      <c r="T14" s="26"/>
      <c r="U14" s="28">
        <f t="shared" si="2"/>
        <v>1.3397319347319347</v>
      </c>
    </row>
    <row r="15" spans="1:21" x14ac:dyDescent="0.25">
      <c r="B15" s="9"/>
      <c r="C15" s="17">
        <v>2013.28</v>
      </c>
      <c r="D15" s="18">
        <v>26.129000000000001</v>
      </c>
      <c r="E15" s="18">
        <v>36.71</v>
      </c>
      <c r="F15" s="18">
        <v>37.887999999999998</v>
      </c>
      <c r="G15" s="18">
        <v>9.91</v>
      </c>
      <c r="H15" s="18">
        <f t="shared" si="0"/>
        <v>28.921500000000002</v>
      </c>
      <c r="I15" s="5"/>
      <c r="J15" s="17">
        <v>2017.5616</v>
      </c>
      <c r="K15" s="18">
        <v>25.970199999999998</v>
      </c>
      <c r="L15" s="18">
        <v>38.021000000000001</v>
      </c>
      <c r="M15" s="18">
        <v>39.132800000000003</v>
      </c>
      <c r="N15" s="18">
        <v>25.640999999999998</v>
      </c>
      <c r="O15" s="18">
        <f t="shared" si="1"/>
        <v>29.121874999999999</v>
      </c>
      <c r="P15" s="7"/>
      <c r="Q15" s="10"/>
      <c r="R15" s="11"/>
      <c r="S15" s="11"/>
      <c r="T15" s="26"/>
      <c r="U15" s="28">
        <f t="shared" si="2"/>
        <v>1.5873864783047424</v>
      </c>
    </row>
    <row r="16" spans="1:21" ht="16.5" thickBot="1" x14ac:dyDescent="0.3">
      <c r="B16" s="12"/>
      <c r="C16" s="19">
        <v>1023.1</v>
      </c>
      <c r="D16" s="20">
        <v>23.209</v>
      </c>
      <c r="E16" s="20">
        <v>35.368000000000002</v>
      </c>
      <c r="F16" s="20">
        <v>36.598999999999997</v>
      </c>
      <c r="G16" s="20">
        <v>12.87</v>
      </c>
      <c r="H16" s="20">
        <f t="shared" si="0"/>
        <v>26.402624999999997</v>
      </c>
      <c r="I16" s="5"/>
      <c r="J16" s="19">
        <v>1118.8271999999999</v>
      </c>
      <c r="K16" s="20">
        <v>23.9071</v>
      </c>
      <c r="L16" s="20">
        <v>36.535699999999999</v>
      </c>
      <c r="M16" s="20">
        <v>37.784100000000002</v>
      </c>
      <c r="N16" s="20">
        <v>32.265000000000001</v>
      </c>
      <c r="O16" s="20">
        <f t="shared" si="1"/>
        <v>27.220299999999998</v>
      </c>
      <c r="P16" s="7"/>
      <c r="Q16" s="13"/>
      <c r="R16" s="14"/>
      <c r="S16" s="14"/>
      <c r="T16" s="27"/>
      <c r="U16" s="28">
        <f t="shared" si="2"/>
        <v>1.5069930069930073</v>
      </c>
    </row>
    <row r="17" spans="1:21" x14ac:dyDescent="0.25">
      <c r="A17" s="6" t="s">
        <v>37</v>
      </c>
      <c r="B17" s="6" t="s">
        <v>48</v>
      </c>
      <c r="C17" s="15">
        <v>2020.19</v>
      </c>
      <c r="D17" s="16">
        <v>38.427</v>
      </c>
      <c r="E17" s="16">
        <v>41.067</v>
      </c>
      <c r="F17" s="16">
        <v>42.21</v>
      </c>
      <c r="G17" s="16">
        <v>15.32</v>
      </c>
      <c r="H17" s="16">
        <f t="shared" si="0"/>
        <v>39.229875</v>
      </c>
      <c r="I17" s="5"/>
      <c r="J17" s="15">
        <v>2384.3751999999999</v>
      </c>
      <c r="K17" s="16">
        <v>38.934699999999999</v>
      </c>
      <c r="L17" s="16">
        <v>41.839399999999998</v>
      </c>
      <c r="M17" s="16">
        <v>43.183300000000003</v>
      </c>
      <c r="N17" s="16">
        <v>44.717700000000001</v>
      </c>
      <c r="O17" s="16">
        <f t="shared" si="1"/>
        <v>39.8288625</v>
      </c>
      <c r="P17" s="7"/>
      <c r="Q17" s="8">
        <f>bdrate(C17:C20,D17:D20,J17:J20,K17:K20)</f>
        <v>-1.1290598754119197E-2</v>
      </c>
      <c r="R17" s="8">
        <f>bdrate(C17:C20,E17:E20,J17:J20,L17:L20)</f>
        <v>-0.34162111426089237</v>
      </c>
      <c r="S17" s="8">
        <f>bdrate(C17:C20,F17:F20,J17:J20,M17:M20)</f>
        <v>-0.35882754306267273</v>
      </c>
      <c r="T17" s="25">
        <f>bdrate(C17:C20,H17:H20,J17:J20,O17:O20)</f>
        <v>-6.7379411539443157E-2</v>
      </c>
      <c r="U17" s="28">
        <f t="shared" si="2"/>
        <v>1.9189099216710184</v>
      </c>
    </row>
    <row r="18" spans="1:21" x14ac:dyDescent="0.25">
      <c r="A18" s="9" t="s">
        <v>38</v>
      </c>
      <c r="B18" s="9"/>
      <c r="C18" s="17">
        <v>1320.52</v>
      </c>
      <c r="D18" s="18">
        <v>37.113</v>
      </c>
      <c r="E18" s="18">
        <v>40.229999999999997</v>
      </c>
      <c r="F18" s="18">
        <v>41.363999999999997</v>
      </c>
      <c r="G18" s="18">
        <v>17.809999999999999</v>
      </c>
      <c r="H18" s="18">
        <f t="shared" si="0"/>
        <v>38.033999999999999</v>
      </c>
      <c r="I18" s="5"/>
      <c r="J18" s="17">
        <v>1572.2072000000001</v>
      </c>
      <c r="K18" s="18">
        <v>37.688699999999997</v>
      </c>
      <c r="L18" s="18">
        <v>41.1691</v>
      </c>
      <c r="M18" s="18">
        <v>42.4039</v>
      </c>
      <c r="N18" s="18">
        <v>50.611600000000003</v>
      </c>
      <c r="O18" s="18">
        <f t="shared" si="1"/>
        <v>38.713149999999999</v>
      </c>
      <c r="P18" s="7"/>
      <c r="Q18" s="10"/>
      <c r="R18" s="11"/>
      <c r="S18" s="11"/>
      <c r="T18" s="26"/>
      <c r="U18" s="28">
        <f t="shared" si="2"/>
        <v>1.8417518248175189</v>
      </c>
    </row>
    <row r="19" spans="1:21" x14ac:dyDescent="0.25">
      <c r="B19" s="9"/>
      <c r="C19" s="17">
        <v>807.94</v>
      </c>
      <c r="D19" s="18">
        <v>35.459000000000003</v>
      </c>
      <c r="E19" s="18">
        <v>39.409999999999997</v>
      </c>
      <c r="F19" s="18">
        <v>40.652999999999999</v>
      </c>
      <c r="G19" s="18">
        <v>18.97</v>
      </c>
      <c r="H19" s="18">
        <f t="shared" si="0"/>
        <v>36.602125000000001</v>
      </c>
      <c r="I19" s="5"/>
      <c r="J19" s="17">
        <v>957.84479999999996</v>
      </c>
      <c r="K19" s="18">
        <v>36.078499999999998</v>
      </c>
      <c r="L19" s="18">
        <v>40.400500000000001</v>
      </c>
      <c r="M19" s="18">
        <v>41.571899999999999</v>
      </c>
      <c r="N19" s="18">
        <v>58.939100000000003</v>
      </c>
      <c r="O19" s="18">
        <f t="shared" si="1"/>
        <v>37.305425</v>
      </c>
      <c r="P19" s="7"/>
      <c r="Q19" s="10"/>
      <c r="R19" s="11"/>
      <c r="S19" s="11"/>
      <c r="T19" s="26"/>
      <c r="U19" s="28">
        <f t="shared" si="2"/>
        <v>2.1069636267791254</v>
      </c>
    </row>
    <row r="20" spans="1:21" ht="16.5" thickBot="1" x14ac:dyDescent="0.3">
      <c r="B20" s="12"/>
      <c r="C20" s="19">
        <v>480.24</v>
      </c>
      <c r="D20" s="20">
        <v>33.645000000000003</v>
      </c>
      <c r="E20" s="20">
        <v>38.622999999999998</v>
      </c>
      <c r="F20" s="20">
        <v>40.037999999999997</v>
      </c>
      <c r="G20" s="20">
        <v>24.34</v>
      </c>
      <c r="H20" s="20">
        <f t="shared" si="0"/>
        <v>35.066375000000001</v>
      </c>
      <c r="I20" s="5"/>
      <c r="J20" s="19">
        <v>553.07280000000003</v>
      </c>
      <c r="K20" s="20">
        <v>34.211599999999997</v>
      </c>
      <c r="L20" s="20">
        <v>39.609200000000001</v>
      </c>
      <c r="M20" s="20">
        <v>40.835099999999997</v>
      </c>
      <c r="N20" s="20">
        <v>69.930099999999996</v>
      </c>
      <c r="O20" s="20">
        <f t="shared" si="1"/>
        <v>35.714237499999996</v>
      </c>
      <c r="P20" s="7"/>
      <c r="Q20" s="13"/>
      <c r="R20" s="14"/>
      <c r="S20" s="14"/>
      <c r="T20" s="27"/>
      <c r="U20" s="28">
        <f t="shared" si="2"/>
        <v>1.8730525883319635</v>
      </c>
    </row>
    <row r="21" spans="1:21" x14ac:dyDescent="0.25">
      <c r="B21" s="6" t="s">
        <v>49</v>
      </c>
      <c r="C21" s="15">
        <v>2295.88</v>
      </c>
      <c r="D21" s="16">
        <v>34.701999999999998</v>
      </c>
      <c r="E21" s="16">
        <v>38.478999999999999</v>
      </c>
      <c r="F21" s="16">
        <v>39.643999999999998</v>
      </c>
      <c r="G21" s="16">
        <v>17.95</v>
      </c>
      <c r="H21" s="16">
        <f t="shared" si="0"/>
        <v>35.791874999999997</v>
      </c>
      <c r="I21" s="5"/>
      <c r="J21" s="15">
        <v>2442.2055999999998</v>
      </c>
      <c r="K21" s="16">
        <v>35.755499999999998</v>
      </c>
      <c r="L21" s="16">
        <v>39.794400000000003</v>
      </c>
      <c r="M21" s="16">
        <v>41.020600000000002</v>
      </c>
      <c r="N21" s="16">
        <v>39.754800000000003</v>
      </c>
      <c r="O21" s="16">
        <f t="shared" si="1"/>
        <v>36.918499999999995</v>
      </c>
      <c r="P21" s="7"/>
      <c r="Q21" s="8">
        <f>bdrate(C21:C24,D21:D24,J21:J24,K21:K24)</f>
        <v>-0.20994492139015886</v>
      </c>
      <c r="R21" s="8">
        <f>bdrate(C21:C24,E21:E24,J21:J24,L21:L24)</f>
        <v>-0.49193422718256252</v>
      </c>
      <c r="S21" s="8">
        <f>bdrate(C21:C24,F21:F24,J21:J24,M21:M24)</f>
        <v>-0.50848330739290803</v>
      </c>
      <c r="T21" s="25">
        <f>bdrate(C21:C24,H21:H24,J21:J24,O21:O24)</f>
        <v>-0.26180736017473216</v>
      </c>
      <c r="U21" s="28">
        <f t="shared" si="2"/>
        <v>1.2147520891364905</v>
      </c>
    </row>
    <row r="22" spans="1:21" x14ac:dyDescent="0.25">
      <c r="B22" s="9"/>
      <c r="C22" s="17">
        <v>1522.38</v>
      </c>
      <c r="D22" s="18">
        <v>33.531999999999996</v>
      </c>
      <c r="E22" s="18">
        <v>37.683</v>
      </c>
      <c r="F22" s="18">
        <v>39.064999999999998</v>
      </c>
      <c r="G22" s="18">
        <v>20.46</v>
      </c>
      <c r="H22" s="18">
        <f t="shared" si="0"/>
        <v>34.742499999999993</v>
      </c>
      <c r="I22" s="5"/>
      <c r="J22" s="17">
        <v>1627.0663999999999</v>
      </c>
      <c r="K22" s="18">
        <v>34.506</v>
      </c>
      <c r="L22" s="18">
        <v>39.053699999999999</v>
      </c>
      <c r="M22" s="18">
        <v>40.289499999999997</v>
      </c>
      <c r="N22" s="18">
        <v>47.188400000000001</v>
      </c>
      <c r="O22" s="18">
        <f t="shared" si="1"/>
        <v>35.797399999999996</v>
      </c>
      <c r="P22" s="7"/>
      <c r="Q22" s="10"/>
      <c r="R22" s="11"/>
      <c r="S22" s="11"/>
      <c r="T22" s="26"/>
      <c r="U22" s="28">
        <f t="shared" si="2"/>
        <v>1.3063734115347019</v>
      </c>
    </row>
    <row r="23" spans="1:21" x14ac:dyDescent="0.25">
      <c r="B23" s="9"/>
      <c r="C23" s="17">
        <v>950.08</v>
      </c>
      <c r="D23" s="18">
        <v>32.231000000000002</v>
      </c>
      <c r="E23" s="18">
        <v>36.929000000000002</v>
      </c>
      <c r="F23" s="18">
        <v>38.554000000000002</v>
      </c>
      <c r="G23" s="18">
        <v>24.42</v>
      </c>
      <c r="H23" s="18">
        <f t="shared" si="0"/>
        <v>33.608625000000004</v>
      </c>
      <c r="I23" s="5"/>
      <c r="J23" s="17">
        <v>1004.6496</v>
      </c>
      <c r="K23" s="18">
        <v>33.026400000000002</v>
      </c>
      <c r="L23" s="18">
        <v>38.153399999999998</v>
      </c>
      <c r="M23" s="18">
        <v>39.466999999999999</v>
      </c>
      <c r="N23" s="18">
        <v>56.3645</v>
      </c>
      <c r="O23" s="18">
        <f t="shared" si="1"/>
        <v>34.472350000000006</v>
      </c>
      <c r="P23" s="7"/>
      <c r="Q23" s="10"/>
      <c r="R23" s="11"/>
      <c r="S23" s="11"/>
      <c r="T23" s="26"/>
      <c r="U23" s="28">
        <f t="shared" si="2"/>
        <v>1.3081285831285829</v>
      </c>
    </row>
    <row r="24" spans="1:21" ht="16.5" thickBot="1" x14ac:dyDescent="0.3">
      <c r="B24" s="12"/>
      <c r="C24" s="19">
        <v>564.26</v>
      </c>
      <c r="D24" s="20">
        <v>30.81</v>
      </c>
      <c r="E24" s="20">
        <v>36.201999999999998</v>
      </c>
      <c r="F24" s="20">
        <v>38.063000000000002</v>
      </c>
      <c r="G24" s="20">
        <v>26.9</v>
      </c>
      <c r="H24" s="20">
        <f t="shared" si="0"/>
        <v>32.390625</v>
      </c>
      <c r="I24" s="5"/>
      <c r="J24" s="19">
        <v>589.84879999999998</v>
      </c>
      <c r="K24" s="20">
        <v>31.448899999999998</v>
      </c>
      <c r="L24" s="20">
        <v>37.250700000000002</v>
      </c>
      <c r="M24" s="20">
        <v>38.777999999999999</v>
      </c>
      <c r="N24" s="20">
        <v>67.170400000000001</v>
      </c>
      <c r="O24" s="20">
        <f t="shared" si="1"/>
        <v>33.090262500000001</v>
      </c>
      <c r="P24" s="7"/>
      <c r="Q24" s="13"/>
      <c r="R24" s="14"/>
      <c r="S24" s="14"/>
      <c r="T24" s="27"/>
      <c r="U24" s="28">
        <f t="shared" si="2"/>
        <v>1.4970408921933087</v>
      </c>
    </row>
    <row r="25" spans="1:21" x14ac:dyDescent="0.25">
      <c r="B25" s="6" t="s">
        <v>50</v>
      </c>
      <c r="C25" s="15">
        <v>2390.2800000000002</v>
      </c>
      <c r="D25" s="16">
        <v>32.920999999999999</v>
      </c>
      <c r="E25" s="16">
        <v>37.292000000000002</v>
      </c>
      <c r="F25" s="16">
        <v>38.625999999999998</v>
      </c>
      <c r="G25" s="16">
        <v>20.73</v>
      </c>
      <c r="H25" s="16">
        <f t="shared" si="0"/>
        <v>34.180500000000002</v>
      </c>
      <c r="I25" s="5"/>
      <c r="J25" s="15">
        <v>2413.8663999999999</v>
      </c>
      <c r="K25" s="16">
        <v>33.851500000000001</v>
      </c>
      <c r="L25" s="16">
        <v>38.039200000000001</v>
      </c>
      <c r="M25" s="16">
        <v>40.011600000000001</v>
      </c>
      <c r="N25" s="16">
        <v>44.1462</v>
      </c>
      <c r="O25" s="16">
        <f t="shared" si="1"/>
        <v>35.144975000000002</v>
      </c>
      <c r="P25" s="7"/>
      <c r="Q25" s="8">
        <f>bdrate(C25:C28,D25:D28,J25:J28,K25:K28)</f>
        <v>-0.12192359196452129</v>
      </c>
      <c r="R25" s="8">
        <f>bdrate(C25:C28,E25:E28,J25:J28,L25:L28)</f>
        <v>-0.43065476826569671</v>
      </c>
      <c r="S25" s="8">
        <f>bdrate(C25:C28,F25:F28,J25:J28,M25:M28)</f>
        <v>-0.41917239930485473</v>
      </c>
      <c r="T25" s="25">
        <f>bdrate(C25:C28,H25:H28,J25:J28,O25:O28)</f>
        <v>-0.17566868825361193</v>
      </c>
      <c r="U25" s="28">
        <f t="shared" si="2"/>
        <v>1.1295803183791606</v>
      </c>
    </row>
    <row r="26" spans="1:21" x14ac:dyDescent="0.25">
      <c r="B26" s="9"/>
      <c r="C26" s="17">
        <v>1583.21</v>
      </c>
      <c r="D26" s="18">
        <v>31.888000000000002</v>
      </c>
      <c r="E26" s="18">
        <v>36.875999999999998</v>
      </c>
      <c r="F26" s="18">
        <v>37.972000000000001</v>
      </c>
      <c r="G26" s="18">
        <v>25.16</v>
      </c>
      <c r="H26" s="18">
        <f t="shared" si="0"/>
        <v>33.271999999999998</v>
      </c>
      <c r="I26" s="5"/>
      <c r="J26" s="17">
        <v>1605.452</v>
      </c>
      <c r="K26" s="18">
        <v>32.619300000000003</v>
      </c>
      <c r="L26" s="18">
        <v>37.616</v>
      </c>
      <c r="M26" s="18">
        <v>39.184800000000003</v>
      </c>
      <c r="N26" s="18">
        <v>52.203000000000003</v>
      </c>
      <c r="O26" s="18">
        <f t="shared" si="1"/>
        <v>34.064574999999998</v>
      </c>
      <c r="P26" s="7"/>
      <c r="Q26" s="10"/>
      <c r="R26" s="11"/>
      <c r="S26" s="11"/>
      <c r="T26" s="26"/>
      <c r="U26" s="28">
        <f t="shared" si="2"/>
        <v>1.0748410174880765</v>
      </c>
    </row>
    <row r="27" spans="1:21" x14ac:dyDescent="0.25">
      <c r="B27" s="9"/>
      <c r="C27" s="17">
        <v>978.4</v>
      </c>
      <c r="D27" s="18">
        <v>30.614000000000001</v>
      </c>
      <c r="E27" s="18">
        <v>36.335000000000001</v>
      </c>
      <c r="F27" s="18">
        <v>37.1</v>
      </c>
      <c r="G27" s="18">
        <v>24.71</v>
      </c>
      <c r="H27" s="18">
        <f t="shared" si="0"/>
        <v>32.139875000000004</v>
      </c>
      <c r="I27" s="5"/>
      <c r="J27" s="17">
        <v>1002.1888</v>
      </c>
      <c r="K27" s="18">
        <v>30.943300000000001</v>
      </c>
      <c r="L27" s="18">
        <v>37.008899999999997</v>
      </c>
      <c r="M27" s="18">
        <v>38.153700000000001</v>
      </c>
      <c r="N27" s="18">
        <v>77.041600000000003</v>
      </c>
      <c r="O27" s="18">
        <f t="shared" si="1"/>
        <v>32.602800000000002</v>
      </c>
      <c r="P27" s="7"/>
      <c r="Q27" s="10"/>
      <c r="R27" s="11"/>
      <c r="S27" s="11"/>
      <c r="T27" s="26"/>
      <c r="U27" s="28">
        <f t="shared" si="2"/>
        <v>2.1178308377175235</v>
      </c>
    </row>
    <row r="28" spans="1:21" ht="16.5" thickBot="1" x14ac:dyDescent="0.3">
      <c r="B28" s="12"/>
      <c r="C28" s="19">
        <v>575.30999999999995</v>
      </c>
      <c r="D28" s="20">
        <v>29.02</v>
      </c>
      <c r="E28" s="20">
        <v>35.506999999999998</v>
      </c>
      <c r="F28" s="20">
        <v>35.840000000000003</v>
      </c>
      <c r="G28" s="20">
        <v>27.42</v>
      </c>
      <c r="H28" s="20">
        <f t="shared" si="0"/>
        <v>30.683375000000002</v>
      </c>
      <c r="I28" s="5"/>
      <c r="J28" s="19">
        <v>594.74159999999995</v>
      </c>
      <c r="K28" s="20">
        <v>29.209499999999998</v>
      </c>
      <c r="L28" s="20">
        <v>36.359000000000002</v>
      </c>
      <c r="M28" s="20">
        <v>37.085299999999997</v>
      </c>
      <c r="N28" s="20">
        <v>90.285300000000007</v>
      </c>
      <c r="O28" s="20">
        <f t="shared" si="1"/>
        <v>31.0876625</v>
      </c>
      <c r="P28" s="7"/>
      <c r="Q28" s="13"/>
      <c r="R28" s="14"/>
      <c r="S28" s="14"/>
      <c r="T28" s="27"/>
      <c r="U28" s="28">
        <f t="shared" si="2"/>
        <v>2.2926805251641138</v>
      </c>
    </row>
    <row r="29" spans="1:21" x14ac:dyDescent="0.25">
      <c r="B29" s="6" t="s">
        <v>51</v>
      </c>
      <c r="C29" s="29">
        <v>2401</v>
      </c>
      <c r="D29" s="30">
        <v>33.546999999999997</v>
      </c>
      <c r="E29" s="30">
        <v>39.5</v>
      </c>
      <c r="F29" s="30">
        <v>38.985999999999997</v>
      </c>
      <c r="G29" s="16">
        <v>18.850000000000001</v>
      </c>
      <c r="H29" s="16">
        <f t="shared" si="0"/>
        <v>34.970999999999997</v>
      </c>
      <c r="I29" s="5"/>
      <c r="J29" s="29">
        <v>2417.9704000000002</v>
      </c>
      <c r="K29" s="30">
        <v>33.807200000000002</v>
      </c>
      <c r="L29" s="30">
        <v>40.178199999999997</v>
      </c>
      <c r="M29" s="30">
        <v>39.767200000000003</v>
      </c>
      <c r="N29" s="16">
        <v>45.917900000000003</v>
      </c>
      <c r="O29" s="16">
        <f t="shared" si="1"/>
        <v>35.348575000000004</v>
      </c>
      <c r="P29" s="7"/>
      <c r="Q29" s="8">
        <f>bdrate(C29:C32,D29:D32,J29:J32,K29:K32)</f>
        <v>-2.5283140976092078E-2</v>
      </c>
      <c r="R29" s="8">
        <f>bdrate(C29:C32,E29:E32,J29:J32,L29:L32)</f>
        <v>-0.24556605222853245</v>
      </c>
      <c r="S29" s="8">
        <f>bdrate(C29:C32,F29:F32,J29:J32,M29:M32)</f>
        <v>-0.2681427656423897</v>
      </c>
      <c r="T29" s="25">
        <f>bdrate(C29:C32,H29:H32,J29:J32,O29:O32)</f>
        <v>-7.574580418562249E-2</v>
      </c>
      <c r="U29" s="28">
        <f t="shared" si="2"/>
        <v>1.4359628647214855</v>
      </c>
    </row>
    <row r="30" spans="1:21" x14ac:dyDescent="0.25">
      <c r="B30" s="9"/>
      <c r="C30" s="31">
        <v>1592.54</v>
      </c>
      <c r="D30" s="32">
        <v>32.220999999999997</v>
      </c>
      <c r="E30" s="32">
        <v>38.695999999999998</v>
      </c>
      <c r="F30" s="32">
        <v>37.953000000000003</v>
      </c>
      <c r="G30" s="18">
        <v>21.3</v>
      </c>
      <c r="H30" s="18">
        <f t="shared" si="0"/>
        <v>33.746874999999996</v>
      </c>
      <c r="I30" s="5"/>
      <c r="J30" s="31">
        <v>1606.1704</v>
      </c>
      <c r="K30" s="32">
        <v>32.407600000000002</v>
      </c>
      <c r="L30" s="32">
        <v>39.404200000000003</v>
      </c>
      <c r="M30" s="32">
        <v>38.795499999999997</v>
      </c>
      <c r="N30" s="18">
        <v>56.427</v>
      </c>
      <c r="O30" s="18">
        <f t="shared" si="1"/>
        <v>34.080662500000003</v>
      </c>
      <c r="P30" s="7"/>
      <c r="Q30" s="10"/>
      <c r="R30" s="11"/>
      <c r="S30" s="11"/>
      <c r="T30" s="26"/>
      <c r="U30" s="28">
        <f t="shared" si="2"/>
        <v>1.6491549295774646</v>
      </c>
    </row>
    <row r="31" spans="1:21" x14ac:dyDescent="0.25">
      <c r="B31" s="9"/>
      <c r="C31" s="31">
        <v>986.69</v>
      </c>
      <c r="D31" s="32">
        <v>30.59</v>
      </c>
      <c r="E31" s="32">
        <v>37.795999999999999</v>
      </c>
      <c r="F31" s="32">
        <v>36.676000000000002</v>
      </c>
      <c r="G31" s="18">
        <v>24.04</v>
      </c>
      <c r="H31" s="18">
        <f t="shared" si="0"/>
        <v>32.2515</v>
      </c>
      <c r="I31" s="5"/>
      <c r="J31" s="31">
        <v>1003.948</v>
      </c>
      <c r="K31" s="32">
        <v>30.6783</v>
      </c>
      <c r="L31" s="32">
        <v>38.436700000000002</v>
      </c>
      <c r="M31" s="32">
        <v>37.601500000000001</v>
      </c>
      <c r="N31" s="18">
        <v>67.476399999999998</v>
      </c>
      <c r="O31" s="18">
        <f t="shared" si="1"/>
        <v>32.513500000000001</v>
      </c>
      <c r="P31" s="7"/>
      <c r="Q31" s="10"/>
      <c r="R31" s="11"/>
      <c r="S31" s="11"/>
      <c r="T31" s="26"/>
      <c r="U31" s="28">
        <f t="shared" si="2"/>
        <v>1.8068386023294509</v>
      </c>
    </row>
    <row r="32" spans="1:21" ht="16.5" thickBot="1" x14ac:dyDescent="0.3">
      <c r="B32" s="12"/>
      <c r="C32" s="33">
        <v>588.29999999999995</v>
      </c>
      <c r="D32" s="34">
        <v>28.725000000000001</v>
      </c>
      <c r="E32" s="34">
        <v>36.012999999999998</v>
      </c>
      <c r="F32" s="34">
        <v>34.893999999999998</v>
      </c>
      <c r="G32" s="20">
        <v>26.91</v>
      </c>
      <c r="H32" s="20">
        <f t="shared" si="0"/>
        <v>30.407125000000004</v>
      </c>
      <c r="I32" s="5"/>
      <c r="J32" s="33">
        <v>587.44159999999999</v>
      </c>
      <c r="K32" s="34">
        <v>28.7532</v>
      </c>
      <c r="L32" s="34">
        <v>36.878999999999998</v>
      </c>
      <c r="M32" s="34">
        <v>35.924999999999997</v>
      </c>
      <c r="N32" s="20">
        <v>80.528300000000002</v>
      </c>
      <c r="O32" s="20">
        <f t="shared" si="1"/>
        <v>30.665399999999998</v>
      </c>
      <c r="P32" s="7"/>
      <c r="Q32" s="13"/>
      <c r="R32" s="14"/>
      <c r="S32" s="14"/>
      <c r="T32" s="27"/>
      <c r="U32" s="28">
        <f t="shared" si="2"/>
        <v>1.992504645113341</v>
      </c>
    </row>
    <row r="33" spans="1:21" x14ac:dyDescent="0.25">
      <c r="B33" s="6" t="s">
        <v>52</v>
      </c>
      <c r="C33" s="15">
        <v>2393.4499999999998</v>
      </c>
      <c r="D33" s="16">
        <v>31.86</v>
      </c>
      <c r="E33" s="16">
        <v>38.426000000000002</v>
      </c>
      <c r="F33" s="16">
        <v>41.128</v>
      </c>
      <c r="G33" s="16">
        <v>25.37</v>
      </c>
      <c r="H33" s="16">
        <f t="shared" si="0"/>
        <v>33.83925</v>
      </c>
      <c r="I33" s="5"/>
      <c r="J33" s="15">
        <v>2425.8512000000001</v>
      </c>
      <c r="K33" s="16">
        <v>33.371499999999997</v>
      </c>
      <c r="L33" s="16">
        <v>39.704900000000002</v>
      </c>
      <c r="M33" s="16">
        <v>42.198099999999997</v>
      </c>
      <c r="N33" s="16">
        <v>60.096200000000003</v>
      </c>
      <c r="O33" s="16">
        <f t="shared" si="1"/>
        <v>35.266500000000001</v>
      </c>
      <c r="P33" s="7"/>
      <c r="Q33" s="8">
        <f>bdrate(C33:C36,D33:D36,J33:J36,K33:K36)</f>
        <v>-0.47896625855101749</v>
      </c>
      <c r="R33" s="8">
        <f>bdrate(C33:C36,E33:E36,J33:J36,L33:L36)</f>
        <v>-0.61979358914379623</v>
      </c>
      <c r="S33" s="8">
        <f>bdrate(C33:C36,F33:F36,J33:J36,M33:M36)</f>
        <v>-0.5288395645182391</v>
      </c>
      <c r="T33" s="25">
        <f>bdrate(C33:C36,H33:H36,J33:J36,O33:O36)</f>
        <v>-0.4902816809807633</v>
      </c>
      <c r="U33" s="28">
        <f t="shared" si="2"/>
        <v>1.3687899093417424</v>
      </c>
    </row>
    <row r="34" spans="1:21" x14ac:dyDescent="0.25">
      <c r="B34" s="9"/>
      <c r="C34" s="17">
        <v>1572.72</v>
      </c>
      <c r="D34" s="18">
        <v>30.983000000000001</v>
      </c>
      <c r="E34" s="18">
        <v>38.063000000000002</v>
      </c>
      <c r="F34" s="18">
        <v>40.795999999999999</v>
      </c>
      <c r="G34" s="18">
        <v>28.72</v>
      </c>
      <c r="H34" s="18">
        <f t="shared" si="0"/>
        <v>33.094625000000001</v>
      </c>
      <c r="I34" s="5"/>
      <c r="J34" s="17">
        <v>1633.704</v>
      </c>
      <c r="K34" s="18">
        <v>32.6935</v>
      </c>
      <c r="L34" s="18">
        <v>39.261400000000002</v>
      </c>
      <c r="M34" s="18">
        <v>41.798400000000001</v>
      </c>
      <c r="N34" s="18">
        <v>68.197299999999998</v>
      </c>
      <c r="O34" s="18">
        <f t="shared" si="1"/>
        <v>34.6526</v>
      </c>
      <c r="P34" s="7"/>
      <c r="Q34" s="10"/>
      <c r="R34" s="11"/>
      <c r="S34" s="11"/>
      <c r="T34" s="26"/>
      <c r="U34" s="28">
        <f t="shared" si="2"/>
        <v>1.374557799442897</v>
      </c>
    </row>
    <row r="35" spans="1:21" x14ac:dyDescent="0.25">
      <c r="B35" s="9"/>
      <c r="C35" s="17">
        <v>942.97</v>
      </c>
      <c r="D35" s="18">
        <v>29.69</v>
      </c>
      <c r="E35" s="18">
        <v>37.567999999999998</v>
      </c>
      <c r="F35" s="18">
        <v>40.378999999999998</v>
      </c>
      <c r="G35" s="18">
        <v>31.63</v>
      </c>
      <c r="H35" s="18">
        <f t="shared" si="0"/>
        <v>32.010875000000006</v>
      </c>
      <c r="I35" s="5"/>
      <c r="J35" s="17">
        <v>1027.8696</v>
      </c>
      <c r="K35" s="18">
        <v>31.575900000000001</v>
      </c>
      <c r="L35" s="18">
        <v>38.597700000000003</v>
      </c>
      <c r="M35" s="18">
        <v>41.100700000000003</v>
      </c>
      <c r="N35" s="18">
        <v>78.175899999999999</v>
      </c>
      <c r="O35" s="18">
        <f t="shared" si="1"/>
        <v>33.644224999999999</v>
      </c>
      <c r="P35" s="7"/>
      <c r="Q35" s="10"/>
      <c r="R35" s="11"/>
      <c r="S35" s="11"/>
      <c r="T35" s="26"/>
      <c r="U35" s="28">
        <f t="shared" si="2"/>
        <v>1.4715744546316789</v>
      </c>
    </row>
    <row r="36" spans="1:21" ht="16.5" thickBot="1" x14ac:dyDescent="0.3">
      <c r="B36" s="12"/>
      <c r="C36" s="19">
        <v>497.87</v>
      </c>
      <c r="D36" s="20">
        <v>27.187999999999999</v>
      </c>
      <c r="E36" s="20">
        <v>36.585999999999999</v>
      </c>
      <c r="F36" s="20">
        <v>39.475000000000001</v>
      </c>
      <c r="G36" s="20">
        <v>32.590000000000003</v>
      </c>
      <c r="H36" s="20">
        <f t="shared" si="0"/>
        <v>29.898624999999999</v>
      </c>
      <c r="I36" s="5"/>
      <c r="J36" s="19">
        <v>600.87519999999995</v>
      </c>
      <c r="K36" s="20">
        <v>30.0822</v>
      </c>
      <c r="L36" s="20">
        <v>38.056600000000003</v>
      </c>
      <c r="M36" s="20">
        <v>40.609400000000001</v>
      </c>
      <c r="N36" s="20">
        <v>88.417299999999997</v>
      </c>
      <c r="O36" s="20">
        <f t="shared" si="1"/>
        <v>32.3949</v>
      </c>
      <c r="P36" s="7"/>
      <c r="Q36" s="13"/>
      <c r="R36" s="14"/>
      <c r="S36" s="14"/>
      <c r="T36" s="27"/>
      <c r="U36" s="28">
        <f t="shared" si="2"/>
        <v>1.7130193310831541</v>
      </c>
    </row>
    <row r="37" spans="1:21" x14ac:dyDescent="0.25">
      <c r="A37" s="6" t="s">
        <v>39</v>
      </c>
      <c r="B37" s="6" t="s">
        <v>53</v>
      </c>
      <c r="C37" s="15">
        <v>1223.3900000000001</v>
      </c>
      <c r="D37" s="16">
        <v>33.704000000000001</v>
      </c>
      <c r="E37" s="16">
        <v>37.445999999999998</v>
      </c>
      <c r="F37" s="16">
        <v>37.22</v>
      </c>
      <c r="G37" s="16">
        <v>65.55</v>
      </c>
      <c r="H37" s="16">
        <f t="shared" si="0"/>
        <v>34.611249999999998</v>
      </c>
      <c r="I37" s="5"/>
      <c r="J37" s="15">
        <v>1215.3232</v>
      </c>
      <c r="K37" s="16">
        <v>34.709000000000003</v>
      </c>
      <c r="L37" s="16">
        <v>38.818199999999997</v>
      </c>
      <c r="M37" s="16">
        <v>38.591700000000003</v>
      </c>
      <c r="N37" s="16">
        <v>180.0504</v>
      </c>
      <c r="O37" s="16">
        <f t="shared" si="1"/>
        <v>35.707987500000002</v>
      </c>
      <c r="P37" s="7"/>
      <c r="Q37" s="8">
        <f>bdrate(C37:C40,D37:D40,J37:J40,K37:K40)</f>
        <v>-0.18186330147713103</v>
      </c>
      <c r="R37" s="8">
        <f>bdrate(C37:C40,E37:E40,J37:J40,L37:L40)</f>
        <v>-0.35467150176024498</v>
      </c>
      <c r="S37" s="8">
        <f>bdrate(C37:C40,F37:F40,J37:J40,M37:M40)</f>
        <v>-0.32565493478152652</v>
      </c>
      <c r="T37" s="25">
        <f>bdrate(C37:C40,H37:H40,J37:J40,O37:O40)</f>
        <v>-0.21474536099038311</v>
      </c>
      <c r="U37" s="28">
        <f t="shared" si="2"/>
        <v>1.7467643020594967</v>
      </c>
    </row>
    <row r="38" spans="1:21" x14ac:dyDescent="0.25">
      <c r="A38" s="9" t="s">
        <v>40</v>
      </c>
      <c r="B38" s="9"/>
      <c r="C38" s="17">
        <v>814.55</v>
      </c>
      <c r="D38" s="18">
        <v>32.316000000000003</v>
      </c>
      <c r="E38" s="18">
        <v>36.503</v>
      </c>
      <c r="F38" s="18">
        <v>36.128999999999998</v>
      </c>
      <c r="G38" s="18">
        <v>73.86</v>
      </c>
      <c r="H38" s="18">
        <f t="shared" si="0"/>
        <v>33.316000000000003</v>
      </c>
      <c r="I38" s="5"/>
      <c r="J38" s="17">
        <v>811.05039999999997</v>
      </c>
      <c r="K38" s="18">
        <v>33.194000000000003</v>
      </c>
      <c r="L38" s="18">
        <v>37.692599999999999</v>
      </c>
      <c r="M38" s="18">
        <v>37.335299999999997</v>
      </c>
      <c r="N38" s="18">
        <v>212.22409999999999</v>
      </c>
      <c r="O38" s="18">
        <f t="shared" si="1"/>
        <v>34.273987500000004</v>
      </c>
      <c r="P38" s="7"/>
      <c r="Q38" s="10"/>
      <c r="R38" s="11"/>
      <c r="S38" s="11"/>
      <c r="T38" s="26"/>
      <c r="U38" s="28">
        <f t="shared" si="2"/>
        <v>1.8733292715949095</v>
      </c>
    </row>
    <row r="39" spans="1:21" x14ac:dyDescent="0.25">
      <c r="B39" s="9"/>
      <c r="C39" s="17">
        <v>505.79</v>
      </c>
      <c r="D39" s="18">
        <v>30.802</v>
      </c>
      <c r="E39" s="18">
        <v>35.579000000000001</v>
      </c>
      <c r="F39" s="18">
        <v>35.045000000000002</v>
      </c>
      <c r="G39" s="18">
        <v>84.12</v>
      </c>
      <c r="H39" s="18">
        <f t="shared" si="0"/>
        <v>31.929500000000004</v>
      </c>
      <c r="I39" s="5"/>
      <c r="J39" s="17">
        <v>506.72399999999999</v>
      </c>
      <c r="K39" s="18">
        <v>31.4512</v>
      </c>
      <c r="L39" s="18">
        <v>36.4923</v>
      </c>
      <c r="M39" s="18">
        <v>35.986800000000002</v>
      </c>
      <c r="N39" s="18">
        <v>258.39789999999999</v>
      </c>
      <c r="O39" s="18">
        <f t="shared" si="1"/>
        <v>32.648287500000002</v>
      </c>
      <c r="P39" s="7"/>
      <c r="Q39" s="10"/>
      <c r="R39" s="11"/>
      <c r="S39" s="11"/>
      <c r="T39" s="26"/>
      <c r="U39" s="28">
        <f t="shared" si="2"/>
        <v>2.0717772230147404</v>
      </c>
    </row>
    <row r="40" spans="1:21" ht="16.5" thickBot="1" x14ac:dyDescent="0.3">
      <c r="B40" s="12"/>
      <c r="C40" s="19">
        <v>300.69</v>
      </c>
      <c r="D40" s="20">
        <v>29.253</v>
      </c>
      <c r="E40" s="20">
        <v>34.545000000000002</v>
      </c>
      <c r="F40" s="20">
        <v>33.808999999999997</v>
      </c>
      <c r="G40" s="20">
        <v>96.82</v>
      </c>
      <c r="H40" s="20">
        <f t="shared" si="0"/>
        <v>30.483999999999998</v>
      </c>
      <c r="I40" s="5"/>
      <c r="J40" s="19">
        <v>303.536</v>
      </c>
      <c r="K40" s="20">
        <v>29.506599999999999</v>
      </c>
      <c r="L40" s="20">
        <v>35.212600000000002</v>
      </c>
      <c r="M40" s="20">
        <v>34.555</v>
      </c>
      <c r="N40" s="20">
        <v>323.62459999999999</v>
      </c>
      <c r="O40" s="20">
        <f t="shared" si="1"/>
        <v>30.850900000000003</v>
      </c>
      <c r="P40" s="7"/>
      <c r="Q40" s="13"/>
      <c r="R40" s="14"/>
      <c r="S40" s="14"/>
      <c r="T40" s="27"/>
      <c r="U40" s="28">
        <f t="shared" si="2"/>
        <v>2.3425387316670112</v>
      </c>
    </row>
    <row r="41" spans="1:21" x14ac:dyDescent="0.25">
      <c r="B41" s="6" t="s">
        <v>54</v>
      </c>
      <c r="C41" s="15">
        <v>1230.0999999999999</v>
      </c>
      <c r="D41" s="16">
        <v>33.517000000000003</v>
      </c>
      <c r="E41" s="16">
        <v>38.883000000000003</v>
      </c>
      <c r="F41" s="16">
        <v>39.709000000000003</v>
      </c>
      <c r="G41" s="16">
        <v>77.39</v>
      </c>
      <c r="H41" s="16">
        <f t="shared" si="0"/>
        <v>34.961750000000009</v>
      </c>
      <c r="I41" s="5"/>
      <c r="J41" s="15">
        <v>1248.9472000000001</v>
      </c>
      <c r="K41" s="16">
        <v>34.917700000000004</v>
      </c>
      <c r="L41" s="16">
        <v>40.3431</v>
      </c>
      <c r="M41" s="16">
        <v>41.1646</v>
      </c>
      <c r="N41" s="16">
        <v>185.816</v>
      </c>
      <c r="O41" s="16">
        <f t="shared" si="1"/>
        <v>36.376737500000004</v>
      </c>
      <c r="P41" s="7"/>
      <c r="Q41" s="8">
        <f>bdrate(C41:C44,D41:D44,J41:J44,K41:K44)</f>
        <v>-0.25253100950437535</v>
      </c>
      <c r="R41" s="8">
        <f>bdrate(C41:C44,E41:E44,J41:J44,L41:L44)</f>
        <v>-0.47792155956178406</v>
      </c>
      <c r="S41" s="8">
        <f>bdrate(C41:C44,F41:F44,J41:J44,M41:M44)</f>
        <v>-0.43865788009403217</v>
      </c>
      <c r="T41" s="25">
        <f>bdrate(C41:C44,H41:H44,J41:J44,O41:O44)</f>
        <v>-0.29232889394789408</v>
      </c>
      <c r="U41" s="28">
        <f t="shared" si="2"/>
        <v>1.4010337252875049</v>
      </c>
    </row>
    <row r="42" spans="1:21" x14ac:dyDescent="0.25">
      <c r="B42" s="9"/>
      <c r="C42" s="17">
        <v>817.97</v>
      </c>
      <c r="D42" s="18">
        <v>32.079000000000001</v>
      </c>
      <c r="E42" s="18">
        <v>37.996000000000002</v>
      </c>
      <c r="F42" s="18">
        <v>38.713999999999999</v>
      </c>
      <c r="G42" s="18">
        <v>86.43</v>
      </c>
      <c r="H42" s="18">
        <f t="shared" si="0"/>
        <v>33.647999999999996</v>
      </c>
      <c r="I42" s="5"/>
      <c r="J42" s="17">
        <v>830.40719999999999</v>
      </c>
      <c r="K42" s="18">
        <v>33.356099999999998</v>
      </c>
      <c r="L42" s="18">
        <v>39.417200000000001</v>
      </c>
      <c r="M42" s="18">
        <v>40.1434</v>
      </c>
      <c r="N42" s="18">
        <v>217.3126</v>
      </c>
      <c r="O42" s="18">
        <f t="shared" si="1"/>
        <v>34.962150000000001</v>
      </c>
      <c r="P42" s="7"/>
      <c r="Q42" s="10"/>
      <c r="R42" s="11"/>
      <c r="S42" s="11"/>
      <c r="T42" s="26"/>
      <c r="U42" s="28">
        <f t="shared" si="2"/>
        <v>1.5143191021636004</v>
      </c>
    </row>
    <row r="43" spans="1:21" x14ac:dyDescent="0.25">
      <c r="B43" s="9"/>
      <c r="C43" s="17">
        <v>509.54</v>
      </c>
      <c r="D43" s="18">
        <v>30.443999999999999</v>
      </c>
      <c r="E43" s="18">
        <v>37.031999999999996</v>
      </c>
      <c r="F43" s="18">
        <v>37.581000000000003</v>
      </c>
      <c r="G43" s="18">
        <v>97.37</v>
      </c>
      <c r="H43" s="18">
        <f t="shared" si="0"/>
        <v>32.159624999999998</v>
      </c>
      <c r="I43" s="5"/>
      <c r="J43" s="17">
        <v>519.33600000000001</v>
      </c>
      <c r="K43" s="18">
        <v>31.5336</v>
      </c>
      <c r="L43" s="18">
        <v>38.413800000000002</v>
      </c>
      <c r="M43" s="18">
        <v>39.006500000000003</v>
      </c>
      <c r="N43" s="18">
        <v>265.25200000000001</v>
      </c>
      <c r="O43" s="18">
        <f t="shared" si="1"/>
        <v>33.327737499999998</v>
      </c>
      <c r="P43" s="7"/>
      <c r="Q43" s="10"/>
      <c r="R43" s="11"/>
      <c r="S43" s="11"/>
      <c r="T43" s="26"/>
      <c r="U43" s="28">
        <f t="shared" si="2"/>
        <v>1.7241655540720962</v>
      </c>
    </row>
    <row r="44" spans="1:21" ht="16.5" thickBot="1" x14ac:dyDescent="0.3">
      <c r="B44" s="12"/>
      <c r="C44" s="19">
        <v>301.95</v>
      </c>
      <c r="D44" s="20">
        <v>28.59</v>
      </c>
      <c r="E44" s="20">
        <v>35.853000000000002</v>
      </c>
      <c r="F44" s="20">
        <v>36.268000000000001</v>
      </c>
      <c r="G44" s="20">
        <v>109.89</v>
      </c>
      <c r="H44" s="20">
        <f t="shared" si="0"/>
        <v>30.457625</v>
      </c>
      <c r="I44" s="5"/>
      <c r="J44" s="19">
        <v>311.46080000000001</v>
      </c>
      <c r="K44" s="20">
        <v>29.477</v>
      </c>
      <c r="L44" s="20">
        <v>37.354500000000002</v>
      </c>
      <c r="M44" s="20">
        <v>37.810899999999997</v>
      </c>
      <c r="N44" s="20">
        <v>331.49169999999998</v>
      </c>
      <c r="O44" s="20">
        <f t="shared" si="1"/>
        <v>31.503425</v>
      </c>
      <c r="P44" s="7"/>
      <c r="Q44" s="13"/>
      <c r="R44" s="14"/>
      <c r="S44" s="14"/>
      <c r="T44" s="27"/>
      <c r="U44" s="28">
        <f t="shared" si="2"/>
        <v>2.0165774865774866</v>
      </c>
    </row>
    <row r="45" spans="1:21" x14ac:dyDescent="0.25">
      <c r="B45" s="6" t="s">
        <v>55</v>
      </c>
      <c r="C45" s="15">
        <v>1096.5999999999999</v>
      </c>
      <c r="D45" s="16">
        <v>28.033000000000001</v>
      </c>
      <c r="E45" s="16">
        <v>34.576000000000001</v>
      </c>
      <c r="F45" s="16">
        <v>35.366999999999997</v>
      </c>
      <c r="G45" s="16">
        <v>75.78</v>
      </c>
      <c r="H45" s="16">
        <f t="shared" si="0"/>
        <v>29.767624999999999</v>
      </c>
      <c r="I45" s="5"/>
      <c r="J45" s="15">
        <v>1231.6576</v>
      </c>
      <c r="K45" s="16">
        <v>30.023099999999999</v>
      </c>
      <c r="L45" s="16">
        <v>36.589799999999997</v>
      </c>
      <c r="M45" s="16">
        <v>37.373800000000003</v>
      </c>
      <c r="N45" s="16">
        <v>166.05779999999999</v>
      </c>
      <c r="O45" s="16">
        <f t="shared" si="1"/>
        <v>31.762774999999998</v>
      </c>
      <c r="P45" s="7"/>
      <c r="Q45" s="8">
        <f>bdrate(C45:C48,D45:D48,J45:J48,K45:K48)</f>
        <v>-0.39436036319249324</v>
      </c>
      <c r="R45" s="8">
        <f>bdrate(C45:C48,E45:E48,J45:J48,L45:L48)</f>
        <v>-0.62549413410923504</v>
      </c>
      <c r="S45" s="8">
        <f>bdrate(C45:C48,F45:F48,J45:J48,M45:M48)</f>
        <v>-0.60873945115376449</v>
      </c>
      <c r="T45" s="25">
        <f>bdrate(C45:C48,H45:H48,J45:J48,O45:O48)</f>
        <v>-0.43388541663556968</v>
      </c>
      <c r="U45" s="28">
        <f t="shared" si="2"/>
        <v>1.1913143309580363</v>
      </c>
    </row>
    <row r="46" spans="1:21" x14ac:dyDescent="0.25">
      <c r="B46" s="9"/>
      <c r="C46" s="17">
        <v>729.95</v>
      </c>
      <c r="D46" s="18">
        <v>26.817</v>
      </c>
      <c r="E46" s="18">
        <v>34.018000000000001</v>
      </c>
      <c r="F46" s="18">
        <v>34.814999999999998</v>
      </c>
      <c r="G46" s="18">
        <v>85.47</v>
      </c>
      <c r="H46" s="18">
        <f t="shared" si="0"/>
        <v>28.716874999999998</v>
      </c>
      <c r="I46" s="5"/>
      <c r="J46" s="17">
        <v>815.37440000000004</v>
      </c>
      <c r="K46" s="18">
        <v>28.686499999999999</v>
      </c>
      <c r="L46" s="18">
        <v>35.79</v>
      </c>
      <c r="M46" s="18">
        <v>36.559399999999997</v>
      </c>
      <c r="N46" s="18">
        <v>201.5316</v>
      </c>
      <c r="O46" s="18">
        <f t="shared" si="1"/>
        <v>30.558549999999997</v>
      </c>
      <c r="P46" s="7"/>
      <c r="Q46" s="10"/>
      <c r="R46" s="11"/>
      <c r="S46" s="11"/>
      <c r="T46" s="26"/>
      <c r="U46" s="28">
        <f t="shared" si="2"/>
        <v>1.357922077922078</v>
      </c>
    </row>
    <row r="47" spans="1:21" x14ac:dyDescent="0.25">
      <c r="B47" s="9"/>
      <c r="C47" s="17">
        <v>452.39</v>
      </c>
      <c r="D47" s="18">
        <v>25.504999999999999</v>
      </c>
      <c r="E47" s="18">
        <v>33.320999999999998</v>
      </c>
      <c r="F47" s="18">
        <v>34.189</v>
      </c>
      <c r="G47" s="18">
        <v>96.82</v>
      </c>
      <c r="H47" s="18">
        <f t="shared" si="0"/>
        <v>27.567499999999999</v>
      </c>
      <c r="I47" s="5"/>
      <c r="J47" s="17">
        <v>516.62</v>
      </c>
      <c r="K47" s="18">
        <v>27.2925</v>
      </c>
      <c r="L47" s="18">
        <v>35.000500000000002</v>
      </c>
      <c r="M47" s="18">
        <v>35.7104</v>
      </c>
      <c r="N47" s="18">
        <v>250.37559999999999</v>
      </c>
      <c r="O47" s="18">
        <f t="shared" si="1"/>
        <v>29.308237499999997</v>
      </c>
      <c r="P47" s="7"/>
      <c r="Q47" s="10"/>
      <c r="R47" s="11"/>
      <c r="S47" s="11"/>
      <c r="T47" s="26"/>
      <c r="U47" s="28">
        <f t="shared" si="2"/>
        <v>1.5859904978310266</v>
      </c>
    </row>
    <row r="48" spans="1:21" ht="16.5" thickBot="1" x14ac:dyDescent="0.3">
      <c r="B48" s="12"/>
      <c r="C48" s="19">
        <v>263.56</v>
      </c>
      <c r="D48" s="20">
        <v>23.991</v>
      </c>
      <c r="E48" s="20">
        <v>32.43</v>
      </c>
      <c r="F48" s="20">
        <v>33.298999999999999</v>
      </c>
      <c r="G48" s="20">
        <v>110.13</v>
      </c>
      <c r="H48" s="20">
        <f t="shared" si="0"/>
        <v>26.209375000000001</v>
      </c>
      <c r="I48" s="5"/>
      <c r="J48" s="19">
        <v>308.13920000000002</v>
      </c>
      <c r="K48" s="20">
        <v>25.768999999999998</v>
      </c>
      <c r="L48" s="20">
        <v>34.153799999999997</v>
      </c>
      <c r="M48" s="20">
        <v>34.891300000000001</v>
      </c>
      <c r="N48" s="20">
        <v>308.26139999999998</v>
      </c>
      <c r="O48" s="20">
        <f t="shared" si="1"/>
        <v>27.957387499999996</v>
      </c>
      <c r="P48" s="7"/>
      <c r="Q48" s="13"/>
      <c r="R48" s="14"/>
      <c r="S48" s="14"/>
      <c r="T48" s="27"/>
      <c r="U48" s="28">
        <f t="shared" si="2"/>
        <v>1.7990683737401252</v>
      </c>
    </row>
    <row r="49" spans="1:21" x14ac:dyDescent="0.25">
      <c r="B49" s="6" t="s">
        <v>56</v>
      </c>
      <c r="C49" s="15">
        <v>1116.45</v>
      </c>
      <c r="D49" s="16">
        <v>31.451000000000001</v>
      </c>
      <c r="E49" s="16">
        <v>36.024000000000001</v>
      </c>
      <c r="F49" s="16">
        <v>37.664000000000001</v>
      </c>
      <c r="G49" s="16">
        <v>50.61</v>
      </c>
      <c r="H49" s="16">
        <f t="shared" si="0"/>
        <v>32.799250000000001</v>
      </c>
      <c r="I49" s="5"/>
      <c r="J49" s="15">
        <v>1215.4495999999999</v>
      </c>
      <c r="K49" s="16">
        <v>32.012700000000002</v>
      </c>
      <c r="L49" s="16">
        <v>36.660800000000002</v>
      </c>
      <c r="M49" s="16">
        <v>38.218699999999998</v>
      </c>
      <c r="N49" s="16">
        <v>120.1923</v>
      </c>
      <c r="O49" s="16">
        <f t="shared" si="1"/>
        <v>33.369462500000004</v>
      </c>
      <c r="P49" s="7"/>
      <c r="Q49" s="8">
        <f>bdrate(C49:C52,D49:D52,J49:J52,K49:K52)</f>
        <v>1.3181945743023782E-4</v>
      </c>
      <c r="R49" s="8">
        <f>bdrate(C49:C52,E49:E52,J49:J52,L49:L52)</f>
        <v>-0.197220873459233</v>
      </c>
      <c r="S49" s="8">
        <f>bdrate(C49:C52,F49:F52,J49:J52,M49:M52)</f>
        <v>-0.17994774338168473</v>
      </c>
      <c r="T49" s="25">
        <f>bdrate(C49:C52,H49:H52,J49:J52,O49:O52)</f>
        <v>-3.3622501502357904E-2</v>
      </c>
      <c r="U49" s="28">
        <f t="shared" si="2"/>
        <v>1.3748725548310612</v>
      </c>
    </row>
    <row r="50" spans="1:21" x14ac:dyDescent="0.25">
      <c r="B50" s="9"/>
      <c r="C50" s="17">
        <v>754.26</v>
      </c>
      <c r="D50" s="18">
        <v>30.184999999999999</v>
      </c>
      <c r="E50" s="18">
        <v>35.295000000000002</v>
      </c>
      <c r="F50" s="18">
        <v>36.901000000000003</v>
      </c>
      <c r="G50" s="18">
        <v>56.56</v>
      </c>
      <c r="H50" s="18">
        <f t="shared" si="0"/>
        <v>31.663249999999998</v>
      </c>
      <c r="I50" s="5"/>
      <c r="J50" s="17">
        <v>809.31759999999997</v>
      </c>
      <c r="K50" s="18">
        <v>30.519500000000001</v>
      </c>
      <c r="L50" s="18">
        <v>35.813899999999997</v>
      </c>
      <c r="M50" s="18">
        <v>37.362900000000003</v>
      </c>
      <c r="N50" s="18">
        <v>144.57830000000001</v>
      </c>
      <c r="O50" s="18">
        <f t="shared" si="1"/>
        <v>32.036725000000004</v>
      </c>
      <c r="P50" s="7"/>
      <c r="Q50" s="10"/>
      <c r="R50" s="11"/>
      <c r="S50" s="11"/>
      <c r="T50" s="26"/>
      <c r="U50" s="28">
        <f t="shared" si="2"/>
        <v>1.55619342291372</v>
      </c>
    </row>
    <row r="51" spans="1:21" x14ac:dyDescent="0.25">
      <c r="B51" s="9"/>
      <c r="C51" s="17">
        <v>480.03</v>
      </c>
      <c r="D51" s="18">
        <v>28.843</v>
      </c>
      <c r="E51" s="18">
        <v>34.456000000000003</v>
      </c>
      <c r="F51" s="18">
        <v>35.933</v>
      </c>
      <c r="G51" s="18">
        <v>64.099999999999994</v>
      </c>
      <c r="H51" s="18">
        <f t="shared" si="0"/>
        <v>30.430875</v>
      </c>
      <c r="I51" s="5"/>
      <c r="J51" s="17">
        <v>505.34640000000002</v>
      </c>
      <c r="K51" s="18">
        <v>28.957699999999999</v>
      </c>
      <c r="L51" s="18">
        <v>34.968600000000002</v>
      </c>
      <c r="M51" s="18">
        <v>36.4878</v>
      </c>
      <c r="N51" s="18">
        <v>179.7484</v>
      </c>
      <c r="O51" s="18">
        <f t="shared" si="1"/>
        <v>30.650324999999999</v>
      </c>
      <c r="P51" s="7"/>
      <c r="Q51" s="10"/>
      <c r="R51" s="11"/>
      <c r="S51" s="11"/>
      <c r="T51" s="26"/>
      <c r="U51" s="28">
        <f t="shared" si="2"/>
        <v>1.8041872074882999</v>
      </c>
    </row>
    <row r="52" spans="1:21" ht="16.5" thickBot="1" x14ac:dyDescent="0.3">
      <c r="B52" s="12"/>
      <c r="C52" s="19">
        <v>290.83999999999997</v>
      </c>
      <c r="D52" s="20">
        <v>27.518000000000001</v>
      </c>
      <c r="E52" s="20">
        <v>33.552999999999997</v>
      </c>
      <c r="F52" s="20">
        <v>34.889000000000003</v>
      </c>
      <c r="G52" s="20">
        <v>73.959999999999994</v>
      </c>
      <c r="H52" s="20">
        <f t="shared" si="0"/>
        <v>29.193750000000001</v>
      </c>
      <c r="I52" s="5"/>
      <c r="J52" s="19">
        <v>303.24560000000002</v>
      </c>
      <c r="K52" s="20">
        <v>27.366099999999999</v>
      </c>
      <c r="L52" s="20">
        <v>34.022399999999998</v>
      </c>
      <c r="M52" s="20">
        <v>35.454099999999997</v>
      </c>
      <c r="N52" s="20">
        <v>231.6602</v>
      </c>
      <c r="O52" s="20">
        <f t="shared" si="1"/>
        <v>29.209137499999997</v>
      </c>
      <c r="P52" s="7"/>
      <c r="Q52" s="13"/>
      <c r="R52" s="14"/>
      <c r="S52" s="14"/>
      <c r="T52" s="27"/>
      <c r="U52" s="28">
        <f t="shared" si="2"/>
        <v>2.1322363439697134</v>
      </c>
    </row>
    <row r="53" spans="1:21" x14ac:dyDescent="0.25">
      <c r="A53" s="6" t="s">
        <v>41</v>
      </c>
      <c r="B53" s="6" t="s">
        <v>57</v>
      </c>
      <c r="C53" s="15">
        <v>639.05999999999995</v>
      </c>
      <c r="D53" s="16">
        <v>33.51</v>
      </c>
      <c r="E53" s="16">
        <v>38.473999999999997</v>
      </c>
      <c r="F53" s="16">
        <v>37.188000000000002</v>
      </c>
      <c r="G53" s="16">
        <v>201.53</v>
      </c>
      <c r="H53" s="16">
        <f t="shared" si="0"/>
        <v>34.590249999999997</v>
      </c>
      <c r="I53" s="5"/>
      <c r="J53" s="15">
        <v>605.57600000000002</v>
      </c>
      <c r="K53" s="16">
        <v>34.0107</v>
      </c>
      <c r="L53" s="16">
        <v>39.375999999999998</v>
      </c>
      <c r="M53" s="16">
        <v>37.838500000000003</v>
      </c>
      <c r="N53" s="16">
        <v>485.43689999999998</v>
      </c>
      <c r="O53" s="16">
        <f t="shared" si="1"/>
        <v>35.159837500000002</v>
      </c>
      <c r="P53" s="7"/>
      <c r="Q53" s="8">
        <f>bdrate(C53:C56,D53:D56,J53:J56,K53:K56)</f>
        <v>-6.6780629592290142E-2</v>
      </c>
      <c r="R53" s="8">
        <f>bdrate(C53:C56,E53:E56,J53:J56,L53:L56)</f>
        <v>-0.3312397960427832</v>
      </c>
      <c r="S53" s="8">
        <f>bdrate(C53:C56,F53:F56,J53:J56,M53:M56)</f>
        <v>-0.24663351355180319</v>
      </c>
      <c r="T53" s="25">
        <f>bdrate(C53:C56,H53:H56,J53:J56,O53:O56)</f>
        <v>-0.10737436457216443</v>
      </c>
      <c r="U53" s="28">
        <f t="shared" si="2"/>
        <v>1.4087575050860912</v>
      </c>
    </row>
    <row r="54" spans="1:21" x14ac:dyDescent="0.25">
      <c r="A54" s="9" t="s">
        <v>42</v>
      </c>
      <c r="B54" s="9"/>
      <c r="C54" s="17">
        <v>429.22</v>
      </c>
      <c r="D54" s="18">
        <v>31.97</v>
      </c>
      <c r="E54" s="18">
        <v>37.472999999999999</v>
      </c>
      <c r="F54" s="18">
        <v>36.043999999999997</v>
      </c>
      <c r="G54" s="18">
        <v>224.11</v>
      </c>
      <c r="H54" s="18">
        <f t="shared" si="0"/>
        <v>33.167124999999999</v>
      </c>
      <c r="I54" s="5"/>
      <c r="J54" s="17">
        <v>404.15519999999998</v>
      </c>
      <c r="K54" s="18">
        <v>32.230899999999998</v>
      </c>
      <c r="L54" s="18">
        <v>38.271099999999997</v>
      </c>
      <c r="M54" s="18">
        <v>36.617100000000001</v>
      </c>
      <c r="N54" s="18">
        <v>562.42970000000003</v>
      </c>
      <c r="O54" s="18">
        <f t="shared" si="1"/>
        <v>33.534199999999998</v>
      </c>
      <c r="P54" s="7"/>
      <c r="Q54" s="10"/>
      <c r="R54" s="11"/>
      <c r="S54" s="11"/>
      <c r="T54" s="26"/>
      <c r="U54" s="28">
        <f t="shared" si="2"/>
        <v>1.5096144750345812</v>
      </c>
    </row>
    <row r="55" spans="1:21" x14ac:dyDescent="0.25">
      <c r="B55" s="9"/>
      <c r="C55" s="17">
        <v>268.95999999999998</v>
      </c>
      <c r="D55" s="18">
        <v>30.349</v>
      </c>
      <c r="E55" s="18">
        <v>36.515000000000001</v>
      </c>
      <c r="F55" s="18">
        <v>34.854999999999997</v>
      </c>
      <c r="G55" s="18">
        <v>256.41000000000003</v>
      </c>
      <c r="H55" s="18">
        <f t="shared" si="0"/>
        <v>31.682999999999996</v>
      </c>
      <c r="I55" s="5"/>
      <c r="J55" s="17">
        <v>253.82640000000001</v>
      </c>
      <c r="K55" s="18">
        <v>30.3508</v>
      </c>
      <c r="L55" s="18">
        <v>37.241599999999998</v>
      </c>
      <c r="M55" s="18">
        <v>35.439500000000002</v>
      </c>
      <c r="N55" s="18">
        <v>682.12819999999999</v>
      </c>
      <c r="O55" s="18">
        <f t="shared" si="1"/>
        <v>31.848237500000003</v>
      </c>
      <c r="P55" s="7"/>
      <c r="Q55" s="10"/>
      <c r="R55" s="11"/>
      <c r="S55" s="11"/>
      <c r="T55" s="26"/>
      <c r="U55" s="28">
        <f t="shared" si="2"/>
        <v>1.66030264030264</v>
      </c>
    </row>
    <row r="56" spans="1:21" ht="16.5" thickBot="1" x14ac:dyDescent="0.3">
      <c r="B56" s="12"/>
      <c r="C56" s="19">
        <v>128.41999999999999</v>
      </c>
      <c r="D56" s="20">
        <v>28</v>
      </c>
      <c r="E56" s="20">
        <v>35.084000000000003</v>
      </c>
      <c r="F56" s="20">
        <v>32.978999999999999</v>
      </c>
      <c r="G56" s="20">
        <v>311.33</v>
      </c>
      <c r="H56" s="20">
        <f t="shared" si="0"/>
        <v>29.507874999999999</v>
      </c>
      <c r="I56" s="5"/>
      <c r="J56" s="19">
        <v>122.81359999999999</v>
      </c>
      <c r="K56" s="20">
        <v>27.644400000000001</v>
      </c>
      <c r="L56" s="20">
        <v>35.7395</v>
      </c>
      <c r="M56" s="20">
        <v>33.6128</v>
      </c>
      <c r="N56" s="20">
        <v>970.87379999999996</v>
      </c>
      <c r="O56" s="20">
        <f t="shared" si="1"/>
        <v>29.402337499999998</v>
      </c>
      <c r="P56" s="7"/>
      <c r="Q56" s="13"/>
      <c r="R56" s="14"/>
      <c r="S56" s="14"/>
      <c r="T56" s="27"/>
      <c r="U56" s="28">
        <f t="shared" si="2"/>
        <v>2.1184717181126134</v>
      </c>
    </row>
    <row r="57" spans="1:21" x14ac:dyDescent="0.25">
      <c r="B57" s="6" t="s">
        <v>58</v>
      </c>
      <c r="C57" s="15">
        <v>556.13</v>
      </c>
      <c r="D57" s="16">
        <v>30.18</v>
      </c>
      <c r="E57" s="16">
        <v>38.613</v>
      </c>
      <c r="F57" s="16">
        <v>39.31</v>
      </c>
      <c r="G57" s="16">
        <v>312.83</v>
      </c>
      <c r="H57" s="16">
        <f t="shared" si="0"/>
        <v>32.375374999999998</v>
      </c>
      <c r="I57" s="5"/>
      <c r="J57" s="15">
        <v>604.95839999999998</v>
      </c>
      <c r="K57" s="16">
        <v>33.276899999999998</v>
      </c>
      <c r="L57" s="16">
        <v>41.119399999999999</v>
      </c>
      <c r="M57" s="16">
        <v>41.898499999999999</v>
      </c>
      <c r="N57" s="16">
        <v>549.45050000000003</v>
      </c>
      <c r="O57" s="16">
        <f t="shared" si="1"/>
        <v>35.334912500000002</v>
      </c>
      <c r="P57" s="7"/>
      <c r="Q57" s="8">
        <f>bdrate(C57:C60,D57:D60,J57:J60,K57:K60)</f>
        <v>-0.57663050163647234</v>
      </c>
      <c r="R57" s="8">
        <f>bdrate(C57:C60,E57:E60,J57:J60,L57:L60)</f>
        <v>-0.66831715574620743</v>
      </c>
      <c r="S57" s="8">
        <f>bdrate(C57:C60,F57:F60,J57:J60,M57:M60)</f>
        <v>-0.67108905280458286</v>
      </c>
      <c r="T57" s="25">
        <f>bdrate(C57:C60,H57:H60,J57:J60,O57:O60)</f>
        <v>-0.59044664672963731</v>
      </c>
      <c r="U57" s="28">
        <f t="shared" si="2"/>
        <v>0.75638685548061269</v>
      </c>
    </row>
    <row r="58" spans="1:21" x14ac:dyDescent="0.25">
      <c r="B58" s="9"/>
      <c r="C58" s="17">
        <v>367.45</v>
      </c>
      <c r="D58" s="18">
        <v>28.838999999999999</v>
      </c>
      <c r="E58" s="18">
        <v>38.183</v>
      </c>
      <c r="F58" s="18">
        <v>38.762999999999998</v>
      </c>
      <c r="G58" s="18">
        <v>359.5</v>
      </c>
      <c r="H58" s="18">
        <f t="shared" si="0"/>
        <v>31.247499999999999</v>
      </c>
      <c r="I58" s="5"/>
      <c r="J58" s="17">
        <v>402.7688</v>
      </c>
      <c r="K58" s="18">
        <v>31.993400000000001</v>
      </c>
      <c r="L58" s="18">
        <v>40.283299999999997</v>
      </c>
      <c r="M58" s="18">
        <v>41.061</v>
      </c>
      <c r="N58" s="18">
        <v>674.15729999999996</v>
      </c>
      <c r="O58" s="18">
        <f t="shared" si="1"/>
        <v>34.163087499999996</v>
      </c>
      <c r="P58" s="7"/>
      <c r="Q58" s="10"/>
      <c r="R58" s="11"/>
      <c r="S58" s="11"/>
      <c r="T58" s="26"/>
      <c r="U58" s="28">
        <f t="shared" si="2"/>
        <v>0.87526369958275374</v>
      </c>
    </row>
    <row r="59" spans="1:21" x14ac:dyDescent="0.25">
      <c r="B59" s="9"/>
      <c r="C59" s="17">
        <v>229.47</v>
      </c>
      <c r="D59" s="18">
        <v>27.422999999999998</v>
      </c>
      <c r="E59" s="18">
        <v>37.771000000000001</v>
      </c>
      <c r="F59" s="18">
        <v>38.325000000000003</v>
      </c>
      <c r="G59" s="18">
        <v>392.41</v>
      </c>
      <c r="H59" s="18">
        <f t="shared" si="0"/>
        <v>30.079249999999995</v>
      </c>
      <c r="I59" s="5"/>
      <c r="J59" s="17">
        <v>252.66560000000001</v>
      </c>
      <c r="K59" s="18">
        <v>30.467199999999998</v>
      </c>
      <c r="L59" s="18">
        <v>39.377899999999997</v>
      </c>
      <c r="M59" s="18">
        <v>40.0854</v>
      </c>
      <c r="N59" s="18">
        <v>854.70090000000005</v>
      </c>
      <c r="O59" s="18">
        <f t="shared" si="1"/>
        <v>32.783312500000001</v>
      </c>
      <c r="P59" s="7"/>
      <c r="Q59" s="10"/>
      <c r="R59" s="11"/>
      <c r="S59" s="11"/>
      <c r="T59" s="26"/>
      <c r="U59" s="28">
        <f t="shared" si="2"/>
        <v>1.1780813434927755</v>
      </c>
    </row>
    <row r="60" spans="1:21" ht="16.5" thickBot="1" x14ac:dyDescent="0.3">
      <c r="B60" s="12"/>
      <c r="C60" s="19">
        <v>106.01</v>
      </c>
      <c r="D60" s="20">
        <v>25.094999999999999</v>
      </c>
      <c r="E60" s="20">
        <v>37.063000000000002</v>
      </c>
      <c r="F60" s="20">
        <v>37.323</v>
      </c>
      <c r="G60" s="20">
        <v>447.09</v>
      </c>
      <c r="H60" s="20">
        <f t="shared" si="0"/>
        <v>28.119499999999999</v>
      </c>
      <c r="I60" s="5"/>
      <c r="J60" s="19">
        <v>121.04</v>
      </c>
      <c r="K60" s="20">
        <v>27.974399999999999</v>
      </c>
      <c r="L60" s="20">
        <v>38.062199999999997</v>
      </c>
      <c r="M60" s="20">
        <v>38.652200000000001</v>
      </c>
      <c r="N60" s="20">
        <v>1129.9435000000001</v>
      </c>
      <c r="O60" s="20">
        <f t="shared" si="1"/>
        <v>30.570099999999996</v>
      </c>
      <c r="P60" s="7"/>
      <c r="Q60" s="13"/>
      <c r="R60" s="14"/>
      <c r="S60" s="14"/>
      <c r="T60" s="27"/>
      <c r="U60" s="28">
        <f t="shared" si="2"/>
        <v>1.5273289494285271</v>
      </c>
    </row>
    <row r="61" spans="1:21" x14ac:dyDescent="0.25">
      <c r="B61" s="6" t="s">
        <v>59</v>
      </c>
      <c r="C61" s="29">
        <v>641.41</v>
      </c>
      <c r="D61" s="30">
        <v>31.187000000000001</v>
      </c>
      <c r="E61" s="30">
        <v>35.997999999999998</v>
      </c>
      <c r="F61" s="30">
        <v>36.554000000000002</v>
      </c>
      <c r="G61" s="16">
        <v>248.39</v>
      </c>
      <c r="H61" s="16">
        <f t="shared" si="0"/>
        <v>32.459249999999997</v>
      </c>
      <c r="I61" s="5"/>
      <c r="J61" s="29">
        <v>643.49120000000005</v>
      </c>
      <c r="K61" s="30">
        <v>32.8643</v>
      </c>
      <c r="L61" s="30">
        <v>37.951099999999997</v>
      </c>
      <c r="M61" s="30">
        <v>38.706499999999998</v>
      </c>
      <c r="N61" s="16">
        <v>501.00200000000001</v>
      </c>
      <c r="O61" s="16">
        <f t="shared" si="1"/>
        <v>34.230424999999997</v>
      </c>
      <c r="P61" s="7"/>
      <c r="Q61" s="8">
        <f>bdrate(C61:C64,D61:D64,J61:J64,K61:K64)</f>
        <v>-0.34985944599311958</v>
      </c>
      <c r="R61" s="8">
        <f>bdrate(C61:C64,E61:E64,J61:J64,L61:L64)</f>
        <v>-0.55791811098206612</v>
      </c>
      <c r="S61" s="8">
        <f>bdrate(C61:C64,F61:F64,J61:J64,M61:M64)</f>
        <v>-0.60057686969696134</v>
      </c>
      <c r="T61" s="25">
        <f>bdrate(C61:C64,H61:H64,J61:J64,O61:O64)</f>
        <v>-0.3977394177161202</v>
      </c>
      <c r="U61" s="28">
        <f t="shared" si="2"/>
        <v>1.0169974636660093</v>
      </c>
    </row>
    <row r="62" spans="1:21" x14ac:dyDescent="0.25">
      <c r="B62" s="9"/>
      <c r="C62" s="31">
        <v>425.85</v>
      </c>
      <c r="D62" s="32">
        <v>29.783999999999999</v>
      </c>
      <c r="E62" s="32">
        <v>35.03</v>
      </c>
      <c r="F62" s="32">
        <v>35.570999999999998</v>
      </c>
      <c r="G62" s="18">
        <v>278.70999999999998</v>
      </c>
      <c r="H62" s="18">
        <f t="shared" si="0"/>
        <v>31.163125000000001</v>
      </c>
      <c r="I62" s="5"/>
      <c r="J62" s="31">
        <v>426.46960000000001</v>
      </c>
      <c r="K62" s="32">
        <v>31.340900000000001</v>
      </c>
      <c r="L62" s="32">
        <v>36.934399999999997</v>
      </c>
      <c r="M62" s="32">
        <v>37.648499999999999</v>
      </c>
      <c r="N62" s="18">
        <v>604.59490000000005</v>
      </c>
      <c r="O62" s="18">
        <f t="shared" si="1"/>
        <v>32.828537500000003</v>
      </c>
      <c r="P62" s="7"/>
      <c r="Q62" s="10"/>
      <c r="R62" s="11"/>
      <c r="S62" s="11"/>
      <c r="T62" s="26"/>
      <c r="U62" s="28">
        <f t="shared" si="2"/>
        <v>1.1692615980768544</v>
      </c>
    </row>
    <row r="63" spans="1:21" x14ac:dyDescent="0.25">
      <c r="B63" s="9"/>
      <c r="C63" s="31">
        <v>264.64999999999998</v>
      </c>
      <c r="D63" s="32">
        <v>28.318000000000001</v>
      </c>
      <c r="E63" s="32">
        <v>34.161000000000001</v>
      </c>
      <c r="F63" s="32">
        <v>34.718000000000004</v>
      </c>
      <c r="G63" s="18">
        <v>311.14</v>
      </c>
      <c r="H63" s="18">
        <f t="shared" si="0"/>
        <v>29.848375000000004</v>
      </c>
      <c r="I63" s="5"/>
      <c r="J63" s="31">
        <v>266.61759999999998</v>
      </c>
      <c r="K63" s="32">
        <v>29.705300000000001</v>
      </c>
      <c r="L63" s="32">
        <v>35.805599999999998</v>
      </c>
      <c r="M63" s="32">
        <v>36.561599999999999</v>
      </c>
      <c r="N63" s="18">
        <v>782.47260000000006</v>
      </c>
      <c r="O63" s="18">
        <f t="shared" si="1"/>
        <v>31.324875000000002</v>
      </c>
      <c r="P63" s="7"/>
      <c r="Q63" s="10"/>
      <c r="R63" s="11"/>
      <c r="S63" s="11"/>
      <c r="T63" s="26"/>
      <c r="U63" s="28">
        <f t="shared" si="2"/>
        <v>1.5148569775663692</v>
      </c>
    </row>
    <row r="64" spans="1:21" ht="16.5" thickBot="1" x14ac:dyDescent="0.3">
      <c r="B64" s="12"/>
      <c r="C64" s="33">
        <v>124.87</v>
      </c>
      <c r="D64" s="34">
        <v>26.242999999999999</v>
      </c>
      <c r="E64" s="34">
        <v>32.799999999999997</v>
      </c>
      <c r="F64" s="34">
        <v>33.417999999999999</v>
      </c>
      <c r="G64" s="20">
        <v>372.58</v>
      </c>
      <c r="H64" s="20">
        <f t="shared" si="0"/>
        <v>27.959499999999998</v>
      </c>
      <c r="I64" s="5"/>
      <c r="J64" s="33">
        <v>129.63200000000001</v>
      </c>
      <c r="K64" s="34">
        <v>27.375</v>
      </c>
      <c r="L64" s="34">
        <v>34.310099999999998</v>
      </c>
      <c r="M64" s="34">
        <v>35.049100000000003</v>
      </c>
      <c r="N64" s="20">
        <v>1068.3761</v>
      </c>
      <c r="O64" s="20">
        <f t="shared" si="1"/>
        <v>29.201150000000002</v>
      </c>
      <c r="P64" s="7"/>
      <c r="Q64" s="13"/>
      <c r="R64" s="14"/>
      <c r="S64" s="14"/>
      <c r="T64" s="27"/>
      <c r="U64" s="28">
        <f t="shared" si="2"/>
        <v>1.8675079177626284</v>
      </c>
    </row>
    <row r="65" spans="1:21" x14ac:dyDescent="0.25">
      <c r="B65" s="6" t="s">
        <v>60</v>
      </c>
      <c r="C65" s="15">
        <v>582.86</v>
      </c>
      <c r="D65" s="16">
        <v>32.643999999999998</v>
      </c>
      <c r="E65" s="16">
        <v>36.655000000000001</v>
      </c>
      <c r="F65" s="16">
        <v>37.756999999999998</v>
      </c>
      <c r="G65" s="16">
        <v>165.75</v>
      </c>
      <c r="H65" s="16">
        <f t="shared" si="0"/>
        <v>33.784499999999994</v>
      </c>
      <c r="I65" s="5"/>
      <c r="J65" s="15">
        <v>609.94719999999995</v>
      </c>
      <c r="K65" s="16">
        <v>33.410499999999999</v>
      </c>
      <c r="L65" s="16">
        <v>37.404499999999999</v>
      </c>
      <c r="M65" s="16">
        <v>38.465000000000003</v>
      </c>
      <c r="N65" s="16">
        <v>349.65030000000002</v>
      </c>
      <c r="O65" s="16">
        <f t="shared" si="1"/>
        <v>34.541562499999998</v>
      </c>
      <c r="P65" s="7"/>
      <c r="Q65" s="8">
        <f>bdrate(C65:C68,D65:D68,J65:J68,K65:K68)</f>
        <v>-5.1503458217107889E-2</v>
      </c>
      <c r="R65" s="8">
        <f>bdrate(C65:C68,E65:E68,J65:J68,L65:L68)</f>
        <v>-0.22711445459262802</v>
      </c>
      <c r="S65" s="8">
        <f>bdrate(C65:C68,F65:F68,J65:J68,M65:M68)</f>
        <v>-0.22704045088407354</v>
      </c>
      <c r="T65" s="25">
        <f>bdrate(C65:C68,H65:H68,J65:J68,O65:O68)</f>
        <v>-8.7907288944740536E-2</v>
      </c>
      <c r="U65" s="28">
        <f t="shared" si="2"/>
        <v>1.1095040723981902</v>
      </c>
    </row>
    <row r="66" spans="1:21" x14ac:dyDescent="0.25">
      <c r="B66" s="9"/>
      <c r="C66" s="17">
        <v>390.46</v>
      </c>
      <c r="D66" s="18">
        <v>31.132000000000001</v>
      </c>
      <c r="E66" s="18">
        <v>35.609000000000002</v>
      </c>
      <c r="F66" s="18">
        <v>36.652000000000001</v>
      </c>
      <c r="G66" s="18">
        <v>179.75</v>
      </c>
      <c r="H66" s="18">
        <f t="shared" si="0"/>
        <v>32.381625</v>
      </c>
      <c r="I66" s="5"/>
      <c r="J66" s="17">
        <v>404.512</v>
      </c>
      <c r="K66" s="18">
        <v>31.653500000000001</v>
      </c>
      <c r="L66" s="18">
        <v>36.366</v>
      </c>
      <c r="M66" s="18">
        <v>37.4026</v>
      </c>
      <c r="N66" s="18">
        <v>436.68119999999999</v>
      </c>
      <c r="O66" s="18">
        <f t="shared" si="1"/>
        <v>32.961199999999998</v>
      </c>
      <c r="P66" s="7"/>
      <c r="Q66" s="10"/>
      <c r="R66" s="11"/>
      <c r="S66" s="11"/>
      <c r="T66" s="26"/>
      <c r="U66" s="28">
        <f t="shared" si="2"/>
        <v>1.4293808066759388</v>
      </c>
    </row>
    <row r="67" spans="1:21" x14ac:dyDescent="0.25">
      <c r="B67" s="9"/>
      <c r="C67" s="17">
        <v>245.46</v>
      </c>
      <c r="D67" s="18">
        <v>29.599</v>
      </c>
      <c r="E67" s="18">
        <v>34.603999999999999</v>
      </c>
      <c r="F67" s="18">
        <v>35.564</v>
      </c>
      <c r="G67" s="18">
        <v>206.9</v>
      </c>
      <c r="H67" s="18">
        <f t="shared" si="0"/>
        <v>30.970249999999997</v>
      </c>
      <c r="I67" s="5"/>
      <c r="J67" s="17">
        <v>253.00800000000001</v>
      </c>
      <c r="K67" s="18">
        <v>29.850999999999999</v>
      </c>
      <c r="L67" s="18">
        <v>35.191899999999997</v>
      </c>
      <c r="M67" s="18">
        <v>36.217199999999998</v>
      </c>
      <c r="N67" s="18">
        <v>533.80780000000004</v>
      </c>
      <c r="O67" s="18">
        <f t="shared" si="1"/>
        <v>31.314387499999999</v>
      </c>
      <c r="P67" s="7"/>
      <c r="Q67" s="10"/>
      <c r="R67" s="11"/>
      <c r="S67" s="11"/>
      <c r="T67" s="26"/>
      <c r="U67" s="28">
        <f t="shared" si="2"/>
        <v>1.5800280328661191</v>
      </c>
    </row>
    <row r="68" spans="1:21" ht="16.5" thickBot="1" x14ac:dyDescent="0.3">
      <c r="B68" s="12"/>
      <c r="C68" s="19">
        <v>117.94</v>
      </c>
      <c r="D68" s="20">
        <v>27.460999999999999</v>
      </c>
      <c r="E68" s="20">
        <v>32.972000000000001</v>
      </c>
      <c r="F68" s="20">
        <v>33.832999999999998</v>
      </c>
      <c r="G68" s="20">
        <v>256.41000000000003</v>
      </c>
      <c r="H68" s="20">
        <f t="shared" si="0"/>
        <v>28.946375</v>
      </c>
      <c r="I68" s="5"/>
      <c r="J68" s="19">
        <v>121.71599999999999</v>
      </c>
      <c r="K68" s="20">
        <v>27.4209</v>
      </c>
      <c r="L68" s="20">
        <v>33.712400000000002</v>
      </c>
      <c r="M68" s="20">
        <v>34.616399999999999</v>
      </c>
      <c r="N68" s="20">
        <v>769.23080000000004</v>
      </c>
      <c r="O68" s="20">
        <f t="shared" si="1"/>
        <v>29.106774999999999</v>
      </c>
      <c r="P68" s="7"/>
      <c r="Q68" s="13"/>
      <c r="R68" s="14"/>
      <c r="S68" s="14"/>
      <c r="T68" s="27"/>
      <c r="U68" s="28">
        <f t="shared" si="2"/>
        <v>2.0000031200031199</v>
      </c>
    </row>
    <row r="69" spans="1:21" x14ac:dyDescent="0.25">
      <c r="A69" s="6" t="s">
        <v>43</v>
      </c>
      <c r="B69" s="6" t="s">
        <v>61</v>
      </c>
      <c r="C69" s="15">
        <v>1389.93</v>
      </c>
      <c r="D69" s="16">
        <v>39.808999999999997</v>
      </c>
      <c r="E69" s="16">
        <v>44.103000000000002</v>
      </c>
      <c r="F69" s="16">
        <v>45.277000000000001</v>
      </c>
      <c r="G69" s="16">
        <v>53.42</v>
      </c>
      <c r="H69" s="16">
        <f t="shared" si="0"/>
        <v>41.029249999999998</v>
      </c>
      <c r="I69" s="5"/>
      <c r="J69" s="15">
        <v>1495.0888</v>
      </c>
      <c r="K69" s="16">
        <v>41.1492</v>
      </c>
      <c r="L69" s="16">
        <v>45.513500000000001</v>
      </c>
      <c r="M69" s="16">
        <v>46.694699999999997</v>
      </c>
      <c r="N69" s="16">
        <v>144.05760000000001</v>
      </c>
      <c r="O69" s="16">
        <f t="shared" si="1"/>
        <v>42.387925000000003</v>
      </c>
      <c r="P69" s="7"/>
      <c r="Q69" s="8">
        <f>bdrate(C69:C72,D69:D72,J69:J72,K69:K72)</f>
        <v>-0.27401084013064569</v>
      </c>
      <c r="R69" s="8">
        <f>bdrate(C69:C72,E69:E72,J69:J72,L69:L72)</f>
        <v>-0.38731748225674001</v>
      </c>
      <c r="S69" s="8">
        <f>bdrate(C69:C72,F69:F72,J69:J72,M69:M72)</f>
        <v>-0.36432889480293029</v>
      </c>
      <c r="T69" s="25">
        <f>bdrate(C69:C72,H69:H72,J69:J72,O69:O72)</f>
        <v>-0.2918955784008731</v>
      </c>
      <c r="U69" s="28">
        <f t="shared" si="2"/>
        <v>1.6966978659678025</v>
      </c>
    </row>
    <row r="70" spans="1:21" x14ac:dyDescent="0.25">
      <c r="A70" s="9" t="s">
        <v>44</v>
      </c>
      <c r="B70" s="9"/>
      <c r="C70" s="17">
        <v>917.35</v>
      </c>
      <c r="D70" s="18">
        <v>38.454000000000001</v>
      </c>
      <c r="E70" s="18">
        <v>43.052999999999997</v>
      </c>
      <c r="F70" s="18">
        <v>44.213999999999999</v>
      </c>
      <c r="G70" s="18">
        <v>56.64</v>
      </c>
      <c r="H70" s="18">
        <f t="shared" si="0"/>
        <v>39.748874999999998</v>
      </c>
      <c r="I70" s="5"/>
      <c r="J70" s="17">
        <v>986.42079999999999</v>
      </c>
      <c r="K70" s="18">
        <v>40.0242</v>
      </c>
      <c r="L70" s="18">
        <v>44.6479</v>
      </c>
      <c r="M70" s="18">
        <v>45.768099999999997</v>
      </c>
      <c r="N70" s="18">
        <v>161.59440000000001</v>
      </c>
      <c r="O70" s="18">
        <f t="shared" si="1"/>
        <v>41.320149999999998</v>
      </c>
      <c r="P70" s="7"/>
      <c r="Q70" s="10"/>
      <c r="R70" s="11"/>
      <c r="S70" s="11"/>
      <c r="T70" s="26"/>
      <c r="U70" s="28">
        <f t="shared" si="2"/>
        <v>1.8530084745762714</v>
      </c>
    </row>
    <row r="71" spans="1:21" x14ac:dyDescent="0.25">
      <c r="B71" s="9"/>
      <c r="C71" s="17">
        <v>544.66</v>
      </c>
      <c r="D71" s="18">
        <v>36.58</v>
      </c>
      <c r="E71" s="18">
        <v>42.073</v>
      </c>
      <c r="F71" s="18">
        <v>43.143000000000001</v>
      </c>
      <c r="G71" s="18">
        <v>64.53</v>
      </c>
      <c r="H71" s="18">
        <f t="shared" si="0"/>
        <v>38.087000000000003</v>
      </c>
      <c r="I71" s="5"/>
      <c r="J71" s="17">
        <v>573.16399999999999</v>
      </c>
      <c r="K71" s="18">
        <v>38.069299999999998</v>
      </c>
      <c r="L71" s="18">
        <v>43.231900000000003</v>
      </c>
      <c r="M71" s="18">
        <v>44.290999999999997</v>
      </c>
      <c r="N71" s="18">
        <v>186.6833</v>
      </c>
      <c r="O71" s="18">
        <f t="shared" si="1"/>
        <v>39.492337499999998</v>
      </c>
      <c r="P71" s="7"/>
      <c r="Q71" s="10"/>
      <c r="R71" s="11"/>
      <c r="S71" s="11"/>
      <c r="T71" s="26"/>
      <c r="U71" s="28">
        <f t="shared" si="2"/>
        <v>1.8929691616302495</v>
      </c>
    </row>
    <row r="72" spans="1:21" ht="16.5" thickBot="1" x14ac:dyDescent="0.3">
      <c r="B72" s="12"/>
      <c r="C72" s="19">
        <v>259.68</v>
      </c>
      <c r="D72" s="20">
        <v>34.432000000000002</v>
      </c>
      <c r="E72" s="20">
        <v>41.05</v>
      </c>
      <c r="F72" s="20">
        <v>41.984000000000002</v>
      </c>
      <c r="G72" s="20">
        <v>85.85</v>
      </c>
      <c r="H72" s="20">
        <f t="shared" si="0"/>
        <v>36.203249999999997</v>
      </c>
      <c r="I72" s="5"/>
      <c r="J72" s="19">
        <v>281.01760000000002</v>
      </c>
      <c r="K72" s="20">
        <v>34.960299999999997</v>
      </c>
      <c r="L72" s="20">
        <v>41.508299999999998</v>
      </c>
      <c r="M72" s="20">
        <v>42.487499999999997</v>
      </c>
      <c r="N72" s="20">
        <v>224.88759999999999</v>
      </c>
      <c r="O72" s="20">
        <f t="shared" si="1"/>
        <v>36.719699999999996</v>
      </c>
      <c r="P72" s="7"/>
      <c r="Q72" s="13"/>
      <c r="R72" s="14"/>
      <c r="S72" s="14"/>
      <c r="T72" s="27"/>
      <c r="U72" s="28">
        <f t="shared" si="2"/>
        <v>1.619541059988352</v>
      </c>
    </row>
    <row r="73" spans="1:21" x14ac:dyDescent="0.25">
      <c r="B73" s="6" t="s">
        <v>62</v>
      </c>
      <c r="C73" s="15">
        <v>1436.16</v>
      </c>
      <c r="D73" s="16">
        <v>41.62</v>
      </c>
      <c r="E73" s="16">
        <v>46.527000000000001</v>
      </c>
      <c r="F73" s="16">
        <v>47.133000000000003</v>
      </c>
      <c r="G73" s="16">
        <v>55.03</v>
      </c>
      <c r="H73" s="16">
        <f t="shared" si="0"/>
        <v>42.922499999999992</v>
      </c>
      <c r="I73" s="5"/>
      <c r="J73" s="15">
        <v>1489.2632000000001</v>
      </c>
      <c r="K73" s="16">
        <v>42.495600000000003</v>
      </c>
      <c r="L73" s="16">
        <v>47.5899</v>
      </c>
      <c r="M73" s="16">
        <v>48.215800000000002</v>
      </c>
      <c r="N73" s="16">
        <v>158.2696</v>
      </c>
      <c r="O73" s="16">
        <f t="shared" si="1"/>
        <v>43.847412500000004</v>
      </c>
      <c r="P73" s="7"/>
      <c r="Q73" s="8">
        <f>bdrate(C73:C76,D73:D76,J73:J76,K73:K76)</f>
        <v>-0.39084131050191717</v>
      </c>
      <c r="R73" s="8">
        <f>bdrate(C73:C76,E73:E76,J73:J76,L73:L76)</f>
        <v>-0.49805219086645058</v>
      </c>
      <c r="S73" s="8">
        <f>bdrate(C73:C76,F73:F76,J73:J76,M73:M76)</f>
        <v>-0.48852393478737233</v>
      </c>
      <c r="T73" s="25">
        <f>bdrate(C73:C76,H73:H76,J73:J76,O73:O76)</f>
        <v>-0.41709718337692026</v>
      </c>
      <c r="U73" s="28">
        <f t="shared" ref="U73:U124" si="3">(N73-G73)/G73</f>
        <v>1.8760603307286934</v>
      </c>
    </row>
    <row r="74" spans="1:21" x14ac:dyDescent="0.25">
      <c r="B74" s="9"/>
      <c r="C74" s="17">
        <v>950.67</v>
      </c>
      <c r="D74" s="18">
        <v>40.945999999999998</v>
      </c>
      <c r="E74" s="18">
        <v>45.841999999999999</v>
      </c>
      <c r="F74" s="18">
        <v>46.405999999999999</v>
      </c>
      <c r="G74" s="18">
        <v>61.14</v>
      </c>
      <c r="H74" s="18">
        <f t="shared" si="0"/>
        <v>42.240499999999997</v>
      </c>
      <c r="I74" s="5"/>
      <c r="J74" s="17">
        <v>978.17200000000003</v>
      </c>
      <c r="K74" s="18">
        <v>41.926699999999997</v>
      </c>
      <c r="L74" s="18">
        <v>47.110900000000001</v>
      </c>
      <c r="M74" s="18">
        <v>47.775500000000001</v>
      </c>
      <c r="N74" s="18">
        <v>183.15020000000001</v>
      </c>
      <c r="O74" s="18">
        <f t="shared" si="1"/>
        <v>43.305824999999999</v>
      </c>
      <c r="P74" s="7"/>
      <c r="Q74" s="10"/>
      <c r="R74" s="11"/>
      <c r="S74" s="11"/>
      <c r="T74" s="26"/>
      <c r="U74" s="28">
        <f t="shared" si="3"/>
        <v>1.9955871769708866</v>
      </c>
    </row>
    <row r="75" spans="1:21" x14ac:dyDescent="0.25">
      <c r="B75" s="9"/>
      <c r="C75" s="17">
        <v>562.48</v>
      </c>
      <c r="D75" s="18">
        <v>39.950000000000003</v>
      </c>
      <c r="E75" s="18">
        <v>44.927999999999997</v>
      </c>
      <c r="F75" s="18">
        <v>45.381999999999998</v>
      </c>
      <c r="G75" s="18">
        <v>77.540000000000006</v>
      </c>
      <c r="H75" s="18">
        <f t="shared" si="0"/>
        <v>41.251250000000006</v>
      </c>
      <c r="I75" s="5"/>
      <c r="J75" s="17">
        <v>581.53599999999994</v>
      </c>
      <c r="K75" s="18">
        <v>41.0428</v>
      </c>
      <c r="L75" s="18">
        <v>46.288499999999999</v>
      </c>
      <c r="M75" s="18">
        <v>46.861499999999999</v>
      </c>
      <c r="N75" s="18">
        <v>205.6908</v>
      </c>
      <c r="O75" s="18">
        <f t="shared" si="1"/>
        <v>42.425849999999997</v>
      </c>
      <c r="P75" s="7"/>
      <c r="Q75" s="10"/>
      <c r="R75" s="11"/>
      <c r="S75" s="11"/>
      <c r="T75" s="26"/>
      <c r="U75" s="28">
        <f t="shared" si="3"/>
        <v>1.6527057002837244</v>
      </c>
    </row>
    <row r="76" spans="1:21" ht="16.5" thickBot="1" x14ac:dyDescent="0.3">
      <c r="B76" s="12"/>
      <c r="C76" s="19">
        <v>269.95999999999998</v>
      </c>
      <c r="D76" s="20">
        <v>38.088000000000001</v>
      </c>
      <c r="E76" s="20">
        <v>43.744999999999997</v>
      </c>
      <c r="F76" s="20">
        <v>44.005000000000003</v>
      </c>
      <c r="G76" s="20">
        <v>87.81</v>
      </c>
      <c r="H76" s="20">
        <f t="shared" si="0"/>
        <v>39.534750000000003</v>
      </c>
      <c r="I76" s="5"/>
      <c r="J76" s="19">
        <v>282.23039999999997</v>
      </c>
      <c r="K76" s="20">
        <v>39.269500000000001</v>
      </c>
      <c r="L76" s="20">
        <v>44.686799999999998</v>
      </c>
      <c r="M76" s="20">
        <v>45.073399999999999</v>
      </c>
      <c r="N76" s="20">
        <v>235.9418</v>
      </c>
      <c r="O76" s="20">
        <f t="shared" si="1"/>
        <v>40.672150000000002</v>
      </c>
      <c r="P76" s="7"/>
      <c r="Q76" s="13"/>
      <c r="R76" s="14"/>
      <c r="S76" s="14"/>
      <c r="T76" s="27"/>
      <c r="U76" s="28">
        <f t="shared" si="3"/>
        <v>1.6869582052158067</v>
      </c>
    </row>
    <row r="77" spans="1:21" x14ac:dyDescent="0.25">
      <c r="B77" s="6" t="s">
        <v>63</v>
      </c>
      <c r="C77" s="15">
        <v>1506.51</v>
      </c>
      <c r="D77" s="16">
        <v>41.381999999999998</v>
      </c>
      <c r="E77" s="16">
        <v>45.531999999999996</v>
      </c>
      <c r="F77" s="16">
        <v>46.335000000000001</v>
      </c>
      <c r="G77" s="16">
        <v>50.74</v>
      </c>
      <c r="H77" s="16">
        <f t="shared" si="0"/>
        <v>42.519874999999992</v>
      </c>
      <c r="I77" s="5"/>
      <c r="J77" s="15">
        <v>1533.5840000000001</v>
      </c>
      <c r="K77" s="16">
        <v>42.365499999999997</v>
      </c>
      <c r="L77" s="16">
        <v>46.6676</v>
      </c>
      <c r="M77" s="16">
        <v>47.529800000000002</v>
      </c>
      <c r="N77" s="16">
        <v>139.37280000000001</v>
      </c>
      <c r="O77" s="16">
        <f t="shared" si="1"/>
        <v>43.5488</v>
      </c>
      <c r="P77" s="7"/>
      <c r="Q77" s="8">
        <f>bdrate(C77:C80,D77:D80,J77:J80,K77:K80)</f>
        <v>-0.33422091262075171</v>
      </c>
      <c r="R77" s="8">
        <f>bdrate(C77:C80,E77:E80,J77:J80,L77:L80)</f>
        <v>-0.40348563786771374</v>
      </c>
      <c r="S77" s="8">
        <f>bdrate(C77:C80,F77:F80,J77:J80,M77:M80)</f>
        <v>-0.38236394687912822</v>
      </c>
      <c r="T77" s="25">
        <f>bdrate(C77:C80,H77:H80,J77:J80,O77:O80)</f>
        <v>-0.34706979730633236</v>
      </c>
      <c r="U77" s="28">
        <f t="shared" si="3"/>
        <v>1.7468033109972407</v>
      </c>
    </row>
    <row r="78" spans="1:21" x14ac:dyDescent="0.25">
      <c r="B78" s="9"/>
      <c r="C78" s="17">
        <v>997.43</v>
      </c>
      <c r="D78" s="18">
        <v>40.338000000000001</v>
      </c>
      <c r="E78" s="18">
        <v>44.648000000000003</v>
      </c>
      <c r="F78" s="18">
        <v>45.463000000000001</v>
      </c>
      <c r="G78" s="18">
        <v>56.56</v>
      </c>
      <c r="H78" s="18">
        <f t="shared" si="0"/>
        <v>41.517375000000008</v>
      </c>
      <c r="I78" s="5"/>
      <c r="J78" s="17">
        <v>1015.1448</v>
      </c>
      <c r="K78" s="18">
        <v>41.539499999999997</v>
      </c>
      <c r="L78" s="18">
        <v>45.952300000000001</v>
      </c>
      <c r="M78" s="18">
        <v>46.790599999999998</v>
      </c>
      <c r="N78" s="18">
        <v>160.25640000000001</v>
      </c>
      <c r="O78" s="18">
        <f t="shared" si="1"/>
        <v>42.747487499999991</v>
      </c>
      <c r="P78" s="7"/>
      <c r="Q78" s="10"/>
      <c r="R78" s="11"/>
      <c r="S78" s="11"/>
      <c r="T78" s="26"/>
      <c r="U78" s="28">
        <f t="shared" si="3"/>
        <v>1.8333875530410184</v>
      </c>
    </row>
    <row r="79" spans="1:21" x14ac:dyDescent="0.25">
      <c r="B79" s="9"/>
      <c r="C79" s="17">
        <v>592.64</v>
      </c>
      <c r="D79" s="18">
        <v>38.78</v>
      </c>
      <c r="E79" s="18">
        <v>43.375999999999998</v>
      </c>
      <c r="F79" s="18">
        <v>44.317999999999998</v>
      </c>
      <c r="G79" s="18">
        <v>71.349999999999994</v>
      </c>
      <c r="H79" s="18">
        <f t="shared" si="0"/>
        <v>40.046749999999996</v>
      </c>
      <c r="I79" s="5"/>
      <c r="J79" s="17">
        <v>607.14480000000003</v>
      </c>
      <c r="K79" s="18">
        <v>40.185600000000001</v>
      </c>
      <c r="L79" s="18">
        <v>44.791699999999999</v>
      </c>
      <c r="M79" s="18">
        <v>45.599200000000003</v>
      </c>
      <c r="N79" s="18">
        <v>182.31540000000001</v>
      </c>
      <c r="O79" s="18">
        <f t="shared" si="1"/>
        <v>41.438062500000001</v>
      </c>
      <c r="P79" s="7"/>
      <c r="Q79" s="10"/>
      <c r="R79" s="11"/>
      <c r="S79" s="11"/>
      <c r="T79" s="26"/>
      <c r="U79" s="28">
        <f t="shared" si="3"/>
        <v>1.5552263489838827</v>
      </c>
    </row>
    <row r="80" spans="1:21" ht="16.5" thickBot="1" x14ac:dyDescent="0.3">
      <c r="B80" s="12"/>
      <c r="C80" s="19">
        <v>286.72000000000003</v>
      </c>
      <c r="D80" s="20">
        <v>36.561999999999998</v>
      </c>
      <c r="E80" s="20">
        <v>42.082999999999998</v>
      </c>
      <c r="F80" s="20">
        <v>43.018999999999998</v>
      </c>
      <c r="G80" s="20">
        <v>82.71</v>
      </c>
      <c r="H80" s="20">
        <f t="shared" si="0"/>
        <v>38.059249999999999</v>
      </c>
      <c r="I80" s="5"/>
      <c r="J80" s="19">
        <v>295.36</v>
      </c>
      <c r="K80" s="20">
        <v>37.505000000000003</v>
      </c>
      <c r="L80" s="20">
        <v>42.6785</v>
      </c>
      <c r="M80" s="20">
        <v>43.482599999999998</v>
      </c>
      <c r="N80" s="20">
        <v>217.3126</v>
      </c>
      <c r="O80" s="20">
        <f t="shared" si="1"/>
        <v>38.898887500000001</v>
      </c>
      <c r="P80" s="7"/>
      <c r="Q80" s="13"/>
      <c r="R80" s="14"/>
      <c r="S80" s="14"/>
      <c r="T80" s="27"/>
      <c r="U80" s="28">
        <f t="shared" si="3"/>
        <v>1.6274041832910169</v>
      </c>
    </row>
    <row r="81" spans="1:21" x14ac:dyDescent="0.25">
      <c r="A81" s="6" t="s">
        <v>99</v>
      </c>
      <c r="B81" s="6" t="s">
        <v>100</v>
      </c>
      <c r="C81" s="29">
        <v>1209.01</v>
      </c>
      <c r="D81" s="30">
        <v>41.692</v>
      </c>
      <c r="E81" s="30">
        <v>47.286000000000001</v>
      </c>
      <c r="F81" s="30">
        <v>48.220999999999997</v>
      </c>
      <c r="G81" s="16">
        <v>34.630000000000003</v>
      </c>
      <c r="H81" s="16">
        <f t="shared" ref="H81:H124" si="4">(6*D81+E81+F81)/8</f>
        <v>43.207374999999999</v>
      </c>
      <c r="I81" s="5"/>
      <c r="J81" s="15">
        <v>1297.1221</v>
      </c>
      <c r="K81" s="16">
        <v>42.944200000000002</v>
      </c>
      <c r="L81" s="16">
        <v>48.268700000000003</v>
      </c>
      <c r="M81" s="16">
        <v>49.5762</v>
      </c>
      <c r="N81" s="16">
        <v>87.809200000000004</v>
      </c>
      <c r="O81" s="16">
        <f t="shared" ref="O81:O124" si="5">(6*K81+L81+M81)/8</f>
        <v>44.43876250000001</v>
      </c>
      <c r="P81" s="7"/>
      <c r="Q81" s="8">
        <f>bdrate(C81:C84,D81:D84,J81:J84,K81:K84)</f>
        <v>-0.26008846493533899</v>
      </c>
      <c r="R81" s="8">
        <f>bdrate(C81:C84,E81:E84,J81:J84,L81:L84)</f>
        <v>-0.27007678918500844</v>
      </c>
      <c r="S81" s="8">
        <f>bdrate(C81:C84,F81:F84,J81:J84,M81:M84)</f>
        <v>-0.36003227736641497</v>
      </c>
      <c r="T81" s="25">
        <f>bdrate(C81:C84,H81:H84,J81:J84,O81:O84)</f>
        <v>-0.27160687278089979</v>
      </c>
      <c r="U81" s="28">
        <f t="shared" si="3"/>
        <v>1.535639618827606</v>
      </c>
    </row>
    <row r="82" spans="1:21" x14ac:dyDescent="0.25">
      <c r="A82" s="9" t="s">
        <v>77</v>
      </c>
      <c r="B82" s="9"/>
      <c r="C82" s="31">
        <v>808.92</v>
      </c>
      <c r="D82" s="32">
        <v>39.585999999999999</v>
      </c>
      <c r="E82" s="32">
        <v>45.71</v>
      </c>
      <c r="F82" s="32">
        <v>46.779000000000003</v>
      </c>
      <c r="G82" s="18">
        <v>37.93</v>
      </c>
      <c r="H82" s="18">
        <f t="shared" si="4"/>
        <v>41.250624999999999</v>
      </c>
      <c r="I82" s="5"/>
      <c r="J82" s="17">
        <v>894.16160000000002</v>
      </c>
      <c r="K82" s="18">
        <v>41.520099999999999</v>
      </c>
      <c r="L82" s="18">
        <v>47.692399999999999</v>
      </c>
      <c r="M82" s="18">
        <v>48.504600000000003</v>
      </c>
      <c r="N82" s="18">
        <v>103.02200000000001</v>
      </c>
      <c r="O82" s="18">
        <f t="shared" si="5"/>
        <v>43.164699999999996</v>
      </c>
      <c r="P82" s="7"/>
      <c r="Q82" s="10"/>
      <c r="R82" s="11"/>
      <c r="S82" s="11"/>
      <c r="T82" s="26"/>
      <c r="U82" s="28">
        <f t="shared" si="3"/>
        <v>1.7161086211442134</v>
      </c>
    </row>
    <row r="83" spans="1:21" x14ac:dyDescent="0.25">
      <c r="B83" s="9"/>
      <c r="C83" s="31">
        <v>490.42</v>
      </c>
      <c r="D83" s="32">
        <v>37.491</v>
      </c>
      <c r="E83" s="32">
        <v>43.927999999999997</v>
      </c>
      <c r="F83" s="32">
        <v>45.097999999999999</v>
      </c>
      <c r="G83" s="18">
        <v>43.36</v>
      </c>
      <c r="H83" s="18">
        <f t="shared" si="4"/>
        <v>39.246500000000005</v>
      </c>
      <c r="I83" s="5"/>
      <c r="J83" s="17">
        <v>554.78809999999999</v>
      </c>
      <c r="K83" s="18">
        <v>39.314</v>
      </c>
      <c r="L83" s="18">
        <v>45.173499999999997</v>
      </c>
      <c r="M83" s="18">
        <v>46.970999999999997</v>
      </c>
      <c r="N83" s="18">
        <v>124.602</v>
      </c>
      <c r="O83" s="18">
        <f t="shared" si="5"/>
        <v>41.003562500000001</v>
      </c>
      <c r="P83" s="7"/>
      <c r="Q83" s="10"/>
      <c r="R83" s="11"/>
      <c r="S83" s="11"/>
      <c r="T83" s="26"/>
      <c r="U83" s="28">
        <f t="shared" si="3"/>
        <v>1.8736623616236163</v>
      </c>
    </row>
    <row r="84" spans="1:21" ht="16.5" thickBot="1" x14ac:dyDescent="0.3">
      <c r="B84" s="12"/>
      <c r="C84" s="33">
        <v>249.38</v>
      </c>
      <c r="D84" s="34">
        <v>34.552</v>
      </c>
      <c r="E84" s="34">
        <v>41.731000000000002</v>
      </c>
      <c r="F84" s="34">
        <v>42.889000000000003</v>
      </c>
      <c r="G84" s="20">
        <v>51.72</v>
      </c>
      <c r="H84" s="20">
        <f t="shared" si="4"/>
        <v>36.491500000000002</v>
      </c>
      <c r="I84" s="5"/>
      <c r="J84" s="19">
        <v>287.1952</v>
      </c>
      <c r="K84" s="20">
        <v>36.445799999999998</v>
      </c>
      <c r="L84" s="20">
        <v>43.585299999999997</v>
      </c>
      <c r="M84" s="20">
        <v>44.997100000000003</v>
      </c>
      <c r="N84" s="20">
        <v>162.0454</v>
      </c>
      <c r="O84" s="20">
        <f t="shared" si="5"/>
        <v>38.407150000000001</v>
      </c>
      <c r="P84" s="7"/>
      <c r="Q84" s="13"/>
      <c r="R84" s="14"/>
      <c r="S84" s="14"/>
      <c r="T84" s="27"/>
      <c r="U84" s="28">
        <f t="shared" si="3"/>
        <v>2.1331283836040216</v>
      </c>
    </row>
    <row r="85" spans="1:21" x14ac:dyDescent="0.25">
      <c r="B85" s="6" t="s">
        <v>101</v>
      </c>
      <c r="C85" s="15">
        <v>1476</v>
      </c>
      <c r="D85" s="16">
        <v>48.845999999999997</v>
      </c>
      <c r="E85" s="16">
        <v>49.991</v>
      </c>
      <c r="F85" s="16">
        <v>50.442</v>
      </c>
      <c r="G85" s="16">
        <v>58.87</v>
      </c>
      <c r="H85" s="16">
        <f t="shared" si="4"/>
        <v>49.188624999999995</v>
      </c>
      <c r="I85" s="5"/>
      <c r="J85" s="15">
        <v>1444.1076</v>
      </c>
      <c r="K85" s="16">
        <v>51.512799999999999</v>
      </c>
      <c r="L85" s="16">
        <v>51.985500000000002</v>
      </c>
      <c r="M85" s="16">
        <v>52.438600000000001</v>
      </c>
      <c r="N85" s="16">
        <v>121.976</v>
      </c>
      <c r="O85" s="16">
        <f t="shared" si="5"/>
        <v>51.6876125</v>
      </c>
      <c r="P85" s="7"/>
      <c r="Q85" s="8">
        <f>bdrate(C85:C88,D85:D88,J85:J88,K85:K88)</f>
        <v>-0.4195731539672779</v>
      </c>
      <c r="R85" s="8">
        <f>bdrate(C85:C88,E85:E88,J85:J88,L85:L88)</f>
        <v>-0.39967961172665289</v>
      </c>
      <c r="S85" s="8">
        <f>bdrate(C85:C88,F85:F88,J85:J88,M85:M88)</f>
        <v>-0.39904619158532406</v>
      </c>
      <c r="T85" s="25">
        <f>bdrate(C85:C88,H85:H88,J85:J88,O85:O88)</f>
        <v>-0.41510147158804833</v>
      </c>
      <c r="U85" s="28">
        <f t="shared" si="3"/>
        <v>1.0719551554272126</v>
      </c>
    </row>
    <row r="86" spans="1:21" x14ac:dyDescent="0.25">
      <c r="B86" s="9"/>
      <c r="C86" s="17">
        <v>982.36</v>
      </c>
      <c r="D86" s="18">
        <v>46.203000000000003</v>
      </c>
      <c r="E86" s="18">
        <v>47.573</v>
      </c>
      <c r="F86" s="18">
        <v>48.113</v>
      </c>
      <c r="G86" s="18">
        <v>68.03</v>
      </c>
      <c r="H86" s="18">
        <f t="shared" si="4"/>
        <v>46.613</v>
      </c>
      <c r="I86" s="5"/>
      <c r="J86" s="17">
        <v>979.04359999999997</v>
      </c>
      <c r="K86" s="18">
        <v>49.460799999999999</v>
      </c>
      <c r="L86" s="18">
        <v>50.2089</v>
      </c>
      <c r="M86" s="18">
        <v>50.703400000000002</v>
      </c>
      <c r="N86" s="18">
        <v>174.5539</v>
      </c>
      <c r="O86" s="18">
        <f t="shared" si="5"/>
        <v>49.709637499999999</v>
      </c>
      <c r="P86" s="7"/>
      <c r="Q86" s="10"/>
      <c r="R86" s="11"/>
      <c r="S86" s="11"/>
      <c r="T86" s="26"/>
      <c r="U86" s="28">
        <f t="shared" si="3"/>
        <v>1.5658371306776422</v>
      </c>
    </row>
    <row r="87" spans="1:21" x14ac:dyDescent="0.25">
      <c r="B87" s="9"/>
      <c r="C87" s="17">
        <v>591.54999999999995</v>
      </c>
      <c r="D87" s="18">
        <v>43.290999999999997</v>
      </c>
      <c r="E87" s="18">
        <v>44.972999999999999</v>
      </c>
      <c r="F87" s="18">
        <v>45.5</v>
      </c>
      <c r="G87" s="18">
        <v>71.760000000000005</v>
      </c>
      <c r="H87" s="18">
        <f t="shared" si="4"/>
        <v>43.777374999999999</v>
      </c>
      <c r="I87" s="5"/>
      <c r="J87" s="17">
        <v>596.30399999999997</v>
      </c>
      <c r="K87" s="18">
        <v>46.563499999999998</v>
      </c>
      <c r="L87" s="18">
        <v>47.719700000000003</v>
      </c>
      <c r="M87" s="18">
        <v>48.228999999999999</v>
      </c>
      <c r="N87" s="18">
        <v>202.06559999999999</v>
      </c>
      <c r="O87" s="18">
        <f t="shared" si="5"/>
        <v>46.916212499999993</v>
      </c>
      <c r="P87" s="7"/>
      <c r="Q87" s="10"/>
      <c r="R87" s="11"/>
      <c r="S87" s="11"/>
      <c r="T87" s="26"/>
      <c r="U87" s="28">
        <f t="shared" si="3"/>
        <v>1.8158528428093641</v>
      </c>
    </row>
    <row r="88" spans="1:21" ht="16.5" thickBot="1" x14ac:dyDescent="0.3">
      <c r="B88" s="12"/>
      <c r="C88" s="19">
        <v>294.92</v>
      </c>
      <c r="D88" s="20">
        <v>39.771999999999998</v>
      </c>
      <c r="E88" s="20">
        <v>41.905000000000001</v>
      </c>
      <c r="F88" s="20">
        <v>42.493000000000002</v>
      </c>
      <c r="G88" s="20">
        <v>70.44</v>
      </c>
      <c r="H88" s="20">
        <f t="shared" si="4"/>
        <v>40.378750000000004</v>
      </c>
      <c r="I88" s="5"/>
      <c r="J88" s="19">
        <v>299.80880000000002</v>
      </c>
      <c r="K88" s="20">
        <v>42.355699999999999</v>
      </c>
      <c r="L88" s="20">
        <v>44.025799999999997</v>
      </c>
      <c r="M88" s="20">
        <v>44.560299999999998</v>
      </c>
      <c r="N88" s="20">
        <v>228.48439999999999</v>
      </c>
      <c r="O88" s="20">
        <f t="shared" si="5"/>
        <v>42.840037499999994</v>
      </c>
      <c r="P88" s="7"/>
      <c r="Q88" s="13"/>
      <c r="R88" s="14"/>
      <c r="S88" s="14"/>
      <c r="T88" s="27"/>
      <c r="U88" s="28">
        <f t="shared" si="3"/>
        <v>2.2436740488358886</v>
      </c>
    </row>
    <row r="89" spans="1:21" x14ac:dyDescent="0.25">
      <c r="B89" s="6" t="s">
        <v>102</v>
      </c>
      <c r="C89" s="15">
        <v>1552.4</v>
      </c>
      <c r="D89" s="16">
        <v>40.667000000000002</v>
      </c>
      <c r="E89" s="16">
        <v>43.362000000000002</v>
      </c>
      <c r="F89" s="16">
        <v>43.866999999999997</v>
      </c>
      <c r="G89" s="16">
        <v>43.71</v>
      </c>
      <c r="H89" s="16">
        <f t="shared" si="4"/>
        <v>41.403875000000006</v>
      </c>
      <c r="I89" s="5"/>
      <c r="J89" s="15">
        <v>1494.6523999999999</v>
      </c>
      <c r="K89" s="16">
        <v>42.216900000000003</v>
      </c>
      <c r="L89" s="16">
        <v>44.532499999999999</v>
      </c>
      <c r="M89" s="16">
        <v>44.949599999999997</v>
      </c>
      <c r="N89" s="16">
        <v>95.597200000000001</v>
      </c>
      <c r="O89" s="16">
        <f t="shared" si="5"/>
        <v>42.847937499999993</v>
      </c>
      <c r="P89" s="7"/>
      <c r="Q89" s="8">
        <f>bdrate(C89:C92,D89:D92,J89:J92,K89:K92)</f>
        <v>-0.30162419399712415</v>
      </c>
      <c r="R89" s="8">
        <f>bdrate(C89:C92,E89:E92,J89:J92,L89:L92)</f>
        <v>-0.32633129162578278</v>
      </c>
      <c r="S89" s="8">
        <f>bdrate(C89:C92,F89:F92,J89:J92,M89:M92)</f>
        <v>-0.31186663137581661</v>
      </c>
      <c r="T89" s="25">
        <f>bdrate(C89:C92,H89:H92,J89:J92,O89:O92)</f>
        <v>-0.30500045402424603</v>
      </c>
      <c r="U89" s="28">
        <f t="shared" si="3"/>
        <v>1.187078471745596</v>
      </c>
    </row>
    <row r="90" spans="1:21" x14ac:dyDescent="0.25">
      <c r="B90" s="9"/>
      <c r="C90" s="17">
        <v>1033.94</v>
      </c>
      <c r="D90" s="18">
        <v>38.677</v>
      </c>
      <c r="E90" s="18">
        <v>41.887999999999998</v>
      </c>
      <c r="F90" s="18">
        <v>42.401000000000003</v>
      </c>
      <c r="G90" s="18">
        <v>48.56</v>
      </c>
      <c r="H90" s="18">
        <f t="shared" si="4"/>
        <v>39.543875</v>
      </c>
      <c r="I90" s="5"/>
      <c r="J90" s="17">
        <v>996.88720000000001</v>
      </c>
      <c r="K90" s="18">
        <v>40.240099999999998</v>
      </c>
      <c r="L90" s="18">
        <v>43.122100000000003</v>
      </c>
      <c r="M90" s="18">
        <v>43.546599999999998</v>
      </c>
      <c r="N90" s="18">
        <v>127.36150000000001</v>
      </c>
      <c r="O90" s="18">
        <f t="shared" si="5"/>
        <v>41.013662500000002</v>
      </c>
      <c r="P90" s="7"/>
      <c r="Q90" s="10"/>
      <c r="R90" s="11"/>
      <c r="S90" s="11"/>
      <c r="T90" s="26"/>
      <c r="U90" s="28">
        <f t="shared" si="3"/>
        <v>1.6227656507413508</v>
      </c>
    </row>
    <row r="91" spans="1:21" x14ac:dyDescent="0.25">
      <c r="B91" s="9"/>
      <c r="C91" s="17">
        <v>623.16</v>
      </c>
      <c r="D91" s="18">
        <v>36.075000000000003</v>
      </c>
      <c r="E91" s="18">
        <v>40.198999999999998</v>
      </c>
      <c r="F91" s="18">
        <v>40.722000000000001</v>
      </c>
      <c r="G91" s="18">
        <v>54.43</v>
      </c>
      <c r="H91" s="18">
        <f t="shared" si="4"/>
        <v>37.171374999999998</v>
      </c>
      <c r="I91" s="5"/>
      <c r="J91" s="17">
        <v>600.81989999999996</v>
      </c>
      <c r="K91" s="18">
        <v>37.759</v>
      </c>
      <c r="L91" s="18">
        <v>41.401200000000003</v>
      </c>
      <c r="M91" s="18">
        <v>41.845399999999998</v>
      </c>
      <c r="N91" s="18">
        <v>149.452</v>
      </c>
      <c r="O91" s="18">
        <f t="shared" si="5"/>
        <v>38.725074999999997</v>
      </c>
      <c r="P91" s="7"/>
      <c r="Q91" s="10"/>
      <c r="R91" s="11"/>
      <c r="S91" s="11"/>
      <c r="T91" s="26"/>
      <c r="U91" s="28">
        <f t="shared" si="3"/>
        <v>1.7457652030130442</v>
      </c>
    </row>
    <row r="92" spans="1:21" ht="16.5" thickBot="1" x14ac:dyDescent="0.3">
      <c r="B92" s="12"/>
      <c r="C92" s="19">
        <v>313.12</v>
      </c>
      <c r="D92" s="20">
        <v>32.835000000000001</v>
      </c>
      <c r="E92" s="20">
        <v>37.765000000000001</v>
      </c>
      <c r="F92" s="20">
        <v>38.286999999999999</v>
      </c>
      <c r="G92" s="20">
        <v>63.64</v>
      </c>
      <c r="H92" s="20">
        <f t="shared" si="4"/>
        <v>34.132749999999994</v>
      </c>
      <c r="I92" s="5"/>
      <c r="J92" s="19">
        <v>304.15249999999997</v>
      </c>
      <c r="K92" s="20">
        <v>34.2423</v>
      </c>
      <c r="L92" s="20">
        <v>39.131700000000002</v>
      </c>
      <c r="M92" s="20">
        <v>39.596699999999998</v>
      </c>
      <c r="N92" s="20">
        <v>181.4333</v>
      </c>
      <c r="O92" s="20">
        <f t="shared" si="5"/>
        <v>35.522774999999996</v>
      </c>
      <c r="P92" s="7"/>
      <c r="Q92" s="13"/>
      <c r="R92" s="14"/>
      <c r="S92" s="14"/>
      <c r="T92" s="27"/>
      <c r="U92" s="28">
        <f t="shared" si="3"/>
        <v>1.8509318038969202</v>
      </c>
    </row>
    <row r="93" spans="1:21" x14ac:dyDescent="0.25">
      <c r="B93" s="6" t="s">
        <v>103</v>
      </c>
      <c r="C93" s="15">
        <v>1376.1</v>
      </c>
      <c r="D93" s="16">
        <v>37.389000000000003</v>
      </c>
      <c r="E93" s="16">
        <v>42.19</v>
      </c>
      <c r="F93" s="16">
        <v>42.204999999999998</v>
      </c>
      <c r="G93" s="16">
        <v>37.090000000000003</v>
      </c>
      <c r="H93" s="16">
        <f t="shared" si="4"/>
        <v>38.591124999999998</v>
      </c>
      <c r="I93" s="5"/>
      <c r="J93" s="29">
        <v>1507.0818999999999</v>
      </c>
      <c r="K93" s="30">
        <v>38.645899999999997</v>
      </c>
      <c r="L93" s="30">
        <v>43.205100000000002</v>
      </c>
      <c r="M93" s="30">
        <v>43.157200000000003</v>
      </c>
      <c r="N93" s="16">
        <v>90.216499999999996</v>
      </c>
      <c r="O93" s="16">
        <f t="shared" si="5"/>
        <v>39.779712499999995</v>
      </c>
      <c r="P93" s="7"/>
      <c r="Q93" s="8">
        <f>bdrate(C93:C96,D93:D96,J93:J96,K93:K96)</f>
        <v>-0.11392232730469098</v>
      </c>
      <c r="R93" s="8">
        <f>bdrate(C93:C96,E93:E96,J93:J96,L93:L96)</f>
        <v>-0.24399912697142045</v>
      </c>
      <c r="S93" s="8">
        <f>bdrate(C93:C96,F93:F96,J93:J96,M93:M96)</f>
        <v>-0.23896444610073631</v>
      </c>
      <c r="T93" s="25">
        <f>bdrate(C93:C96,H93:H96,J93:J96,O93:O96)</f>
        <v>-0.14040887658557444</v>
      </c>
      <c r="U93" s="28">
        <f t="shared" si="3"/>
        <v>1.4323672148827173</v>
      </c>
    </row>
    <row r="94" spans="1:21" x14ac:dyDescent="0.25">
      <c r="B94" s="9"/>
      <c r="C94" s="17">
        <v>912.69</v>
      </c>
      <c r="D94" s="18">
        <v>35.709000000000003</v>
      </c>
      <c r="E94" s="18">
        <v>40.94</v>
      </c>
      <c r="F94" s="18">
        <v>40.929000000000002</v>
      </c>
      <c r="G94" s="18">
        <v>41.66</v>
      </c>
      <c r="H94" s="18">
        <f t="shared" si="4"/>
        <v>37.015375000000006</v>
      </c>
      <c r="I94" s="5"/>
      <c r="J94" s="31">
        <v>1001.9956</v>
      </c>
      <c r="K94" s="32">
        <v>36.785699999999999</v>
      </c>
      <c r="L94" s="32">
        <v>42.007599999999996</v>
      </c>
      <c r="M94" s="32">
        <v>41.985399999999998</v>
      </c>
      <c r="N94" s="18">
        <v>101.0385</v>
      </c>
      <c r="O94" s="18">
        <f t="shared" si="5"/>
        <v>38.088400000000007</v>
      </c>
      <c r="P94" s="7"/>
      <c r="Q94" s="10"/>
      <c r="R94" s="11"/>
      <c r="S94" s="11"/>
      <c r="T94" s="26"/>
      <c r="U94" s="28">
        <f t="shared" si="3"/>
        <v>1.4253120499279885</v>
      </c>
    </row>
    <row r="95" spans="1:21" x14ac:dyDescent="0.25">
      <c r="B95" s="9"/>
      <c r="C95" s="17">
        <v>546.53</v>
      </c>
      <c r="D95" s="18">
        <v>33.695999999999998</v>
      </c>
      <c r="E95" s="18">
        <v>39.444000000000003</v>
      </c>
      <c r="F95" s="18">
        <v>39.439</v>
      </c>
      <c r="G95" s="18">
        <v>47.35</v>
      </c>
      <c r="H95" s="18">
        <f t="shared" si="4"/>
        <v>35.132375000000003</v>
      </c>
      <c r="I95" s="5"/>
      <c r="J95" s="31">
        <v>600.79930000000002</v>
      </c>
      <c r="K95" s="32">
        <v>34.5501</v>
      </c>
      <c r="L95" s="32">
        <v>40.518000000000001</v>
      </c>
      <c r="M95" s="32">
        <v>40.517899999999997</v>
      </c>
      <c r="N95" s="18">
        <v>128.77379999999999</v>
      </c>
      <c r="O95" s="18">
        <f t="shared" si="5"/>
        <v>36.0420625</v>
      </c>
      <c r="P95" s="7"/>
      <c r="Q95" s="10"/>
      <c r="R95" s="11"/>
      <c r="S95" s="11"/>
      <c r="T95" s="26"/>
      <c r="U95" s="28">
        <f t="shared" si="3"/>
        <v>1.7196156282998944</v>
      </c>
    </row>
    <row r="96" spans="1:21" ht="16.5" thickBot="1" x14ac:dyDescent="0.3">
      <c r="B96" s="12"/>
      <c r="C96" s="19">
        <v>272.52</v>
      </c>
      <c r="D96" s="20">
        <v>30.957000000000001</v>
      </c>
      <c r="E96" s="20">
        <v>37.386000000000003</v>
      </c>
      <c r="F96" s="20">
        <v>37.381999999999998</v>
      </c>
      <c r="G96" s="20">
        <v>56.15</v>
      </c>
      <c r="H96" s="20">
        <f t="shared" si="4"/>
        <v>32.563749999999999</v>
      </c>
      <c r="I96" s="5"/>
      <c r="J96" s="33">
        <v>300.90199999999999</v>
      </c>
      <c r="K96" s="34">
        <v>31.565799999999999</v>
      </c>
      <c r="L96" s="34">
        <v>38.622900000000001</v>
      </c>
      <c r="M96" s="34">
        <v>38.521099999999997</v>
      </c>
      <c r="N96" s="20">
        <v>163.90459999999999</v>
      </c>
      <c r="O96" s="20">
        <f t="shared" si="5"/>
        <v>33.317349999999998</v>
      </c>
      <c r="P96" s="7"/>
      <c r="Q96" s="13"/>
      <c r="R96" s="14"/>
      <c r="S96" s="14"/>
      <c r="T96" s="27"/>
      <c r="U96" s="28">
        <f t="shared" si="3"/>
        <v>1.9190489759572571</v>
      </c>
    </row>
    <row r="97" spans="2:21" x14ac:dyDescent="0.25">
      <c r="B97" s="6" t="s">
        <v>104</v>
      </c>
      <c r="C97" s="29">
        <v>1533.02</v>
      </c>
      <c r="D97" s="30">
        <v>34.432000000000002</v>
      </c>
      <c r="E97" s="30">
        <v>39.052</v>
      </c>
      <c r="F97" s="30">
        <v>39.604999999999997</v>
      </c>
      <c r="G97" s="16">
        <v>42.3</v>
      </c>
      <c r="H97" s="16">
        <f t="shared" si="4"/>
        <v>35.656125000000003</v>
      </c>
      <c r="I97" s="5"/>
      <c r="J97" s="15">
        <v>1501.2375999999999</v>
      </c>
      <c r="K97" s="16">
        <v>36.503900000000002</v>
      </c>
      <c r="L97" s="16">
        <v>41.102800000000002</v>
      </c>
      <c r="M97" s="16">
        <v>41.687899999999999</v>
      </c>
      <c r="N97" s="16">
        <v>94.577600000000004</v>
      </c>
      <c r="O97" s="16">
        <f t="shared" si="5"/>
        <v>37.726762500000007</v>
      </c>
      <c r="P97" s="7"/>
      <c r="Q97" s="8">
        <f>bdrate(C97:C100,D97:D100,J97:J100,K97:K100)</f>
        <v>-0.31913457895408004</v>
      </c>
      <c r="R97" s="8">
        <f>bdrate(C97:C100,E97:E100,J97:J100,L97:L100)</f>
        <v>-0.46786256116843927</v>
      </c>
      <c r="S97" s="8">
        <f>bdrate(C97:C100,F97:F100,J97:J100,M97:M100)</f>
        <v>-0.48542861754884037</v>
      </c>
      <c r="T97" s="25">
        <f>bdrate(C97:C100,H97:H100,J97:J100,O97:O100)</f>
        <v>-0.35122173935110945</v>
      </c>
      <c r="U97" s="28">
        <f t="shared" si="3"/>
        <v>1.2358770685579199</v>
      </c>
    </row>
    <row r="98" spans="2:21" x14ac:dyDescent="0.25">
      <c r="B98" s="9"/>
      <c r="C98" s="31">
        <v>1020.5</v>
      </c>
      <c r="D98" s="32">
        <v>32.759</v>
      </c>
      <c r="E98" s="32">
        <v>37.75</v>
      </c>
      <c r="F98" s="32">
        <v>38.344999999999999</v>
      </c>
      <c r="G98" s="18">
        <v>45.32</v>
      </c>
      <c r="H98" s="18">
        <f t="shared" si="4"/>
        <v>34.081125</v>
      </c>
      <c r="I98" s="5"/>
      <c r="J98" s="17">
        <v>1004.2205</v>
      </c>
      <c r="K98" s="18">
        <v>34.567799999999998</v>
      </c>
      <c r="L98" s="18">
        <v>39.725000000000001</v>
      </c>
      <c r="M98" s="18">
        <v>40.366599999999998</v>
      </c>
      <c r="N98" s="18">
        <v>109.8901</v>
      </c>
      <c r="O98" s="18">
        <f t="shared" si="5"/>
        <v>35.937299999999993</v>
      </c>
      <c r="P98" s="7"/>
      <c r="Q98" s="10"/>
      <c r="R98" s="11"/>
      <c r="S98" s="11"/>
      <c r="T98" s="26"/>
      <c r="U98" s="28">
        <f t="shared" si="3"/>
        <v>1.4247594880847307</v>
      </c>
    </row>
    <row r="99" spans="2:21" x14ac:dyDescent="0.25">
      <c r="B99" s="9"/>
      <c r="C99" s="31">
        <v>614.19000000000005</v>
      </c>
      <c r="D99" s="32">
        <v>30.745999999999999</v>
      </c>
      <c r="E99" s="32">
        <v>36.380000000000003</v>
      </c>
      <c r="F99" s="32">
        <v>37.027000000000001</v>
      </c>
      <c r="G99" s="18">
        <v>56.28</v>
      </c>
      <c r="H99" s="18">
        <f t="shared" si="4"/>
        <v>32.235374999999998</v>
      </c>
      <c r="I99" s="5"/>
      <c r="J99" s="17">
        <v>596.04759999999999</v>
      </c>
      <c r="K99" s="18">
        <v>32.229300000000002</v>
      </c>
      <c r="L99" s="18">
        <v>38.085900000000002</v>
      </c>
      <c r="M99" s="18">
        <v>38.750900000000001</v>
      </c>
      <c r="N99" s="18">
        <v>131.27189999999999</v>
      </c>
      <c r="O99" s="18">
        <f t="shared" si="5"/>
        <v>33.776575000000008</v>
      </c>
      <c r="P99" s="7"/>
      <c r="Q99" s="10"/>
      <c r="R99" s="11"/>
      <c r="S99" s="11"/>
      <c r="T99" s="26"/>
      <c r="U99" s="28">
        <f t="shared" si="3"/>
        <v>1.3324786780383793</v>
      </c>
    </row>
    <row r="100" spans="2:21" ht="16.5" thickBot="1" x14ac:dyDescent="0.3">
      <c r="B100" s="12"/>
      <c r="C100" s="33">
        <v>305.81</v>
      </c>
      <c r="D100" s="34">
        <v>28.033000000000001</v>
      </c>
      <c r="E100" s="34">
        <v>34.566000000000003</v>
      </c>
      <c r="F100" s="34">
        <v>35.390999999999998</v>
      </c>
      <c r="G100" s="20">
        <v>65.52</v>
      </c>
      <c r="H100" s="20">
        <f t="shared" si="4"/>
        <v>29.769375</v>
      </c>
      <c r="I100" s="5"/>
      <c r="J100" s="19">
        <v>298.94889999999998</v>
      </c>
      <c r="K100" s="20">
        <v>29.079799999999999</v>
      </c>
      <c r="L100" s="20">
        <v>36.030799999999999</v>
      </c>
      <c r="M100" s="20">
        <v>36.807000000000002</v>
      </c>
      <c r="N100" s="20">
        <v>165.7764</v>
      </c>
      <c r="O100" s="20">
        <f t="shared" si="5"/>
        <v>30.914574999999999</v>
      </c>
      <c r="P100" s="7"/>
      <c r="Q100" s="13"/>
      <c r="R100" s="14"/>
      <c r="S100" s="14"/>
      <c r="T100" s="27"/>
      <c r="U100" s="28">
        <f t="shared" si="3"/>
        <v>1.5301648351648351</v>
      </c>
    </row>
    <row r="101" spans="2:21" x14ac:dyDescent="0.25">
      <c r="B101" s="6" t="s">
        <v>105</v>
      </c>
      <c r="C101" s="15">
        <v>1491.58</v>
      </c>
      <c r="D101" s="16">
        <v>36.084000000000003</v>
      </c>
      <c r="E101" s="16">
        <v>41.704000000000001</v>
      </c>
      <c r="F101" s="16">
        <v>43.116</v>
      </c>
      <c r="G101" s="16">
        <v>32.83</v>
      </c>
      <c r="H101" s="16">
        <f t="shared" si="4"/>
        <v>37.665500000000002</v>
      </c>
      <c r="I101" s="5"/>
      <c r="J101" s="15">
        <v>1506.1333</v>
      </c>
      <c r="K101" s="16">
        <v>36.770000000000003</v>
      </c>
      <c r="L101" s="16">
        <v>42.726500000000001</v>
      </c>
      <c r="M101" s="16">
        <v>44.107700000000001</v>
      </c>
      <c r="N101" s="16">
        <v>90.785300000000007</v>
      </c>
      <c r="O101" s="16">
        <f t="shared" si="5"/>
        <v>38.431775000000002</v>
      </c>
      <c r="P101" s="7"/>
      <c r="Q101" s="8">
        <f>bdrate(C101:C104,D101:D104,J101:J104,K101:K104)</f>
        <v>-0.17074211472213818</v>
      </c>
      <c r="R101" s="8">
        <f>bdrate(C101:C104,E101:E104,J101:J104,L101:L104)</f>
        <v>-0.4214231638427014</v>
      </c>
      <c r="S101" s="8">
        <f>bdrate(C101:C104,F101:F104,J101:J104,M101:M104)</f>
        <v>-0.38257995296680536</v>
      </c>
      <c r="T101" s="25">
        <f>bdrate(C101:C104,H101:H104,J101:J104,O101:O104)</f>
        <v>-0.22378028969455266</v>
      </c>
      <c r="U101" s="28">
        <f t="shared" si="3"/>
        <v>1.7653152604325315</v>
      </c>
    </row>
    <row r="102" spans="2:21" x14ac:dyDescent="0.25">
      <c r="B102" s="9"/>
      <c r="C102" s="17">
        <v>999.28</v>
      </c>
      <c r="D102" s="18">
        <v>34.784999999999997</v>
      </c>
      <c r="E102" s="18">
        <v>40.701999999999998</v>
      </c>
      <c r="F102" s="18">
        <v>41.926000000000002</v>
      </c>
      <c r="G102" s="18">
        <v>37.69</v>
      </c>
      <c r="H102" s="18">
        <f t="shared" si="4"/>
        <v>36.417249999999996</v>
      </c>
      <c r="I102" s="5"/>
      <c r="J102" s="17">
        <v>1002.3924</v>
      </c>
      <c r="K102" s="18">
        <v>35.419199999999996</v>
      </c>
      <c r="L102" s="18">
        <v>41.8521</v>
      </c>
      <c r="M102" s="18">
        <v>43.092599999999997</v>
      </c>
      <c r="N102" s="18">
        <v>106.4396</v>
      </c>
      <c r="O102" s="18">
        <f t="shared" si="5"/>
        <v>37.182487500000001</v>
      </c>
      <c r="P102" s="7"/>
      <c r="Q102" s="10"/>
      <c r="R102" s="11"/>
      <c r="S102" s="11"/>
      <c r="T102" s="26"/>
      <c r="U102" s="28">
        <f t="shared" si="3"/>
        <v>1.8240806579994695</v>
      </c>
    </row>
    <row r="103" spans="2:21" x14ac:dyDescent="0.25">
      <c r="B103" s="9"/>
      <c r="C103" s="17">
        <v>601.41999999999996</v>
      </c>
      <c r="D103" s="18">
        <v>33.225999999999999</v>
      </c>
      <c r="E103" s="18">
        <v>39.548999999999999</v>
      </c>
      <c r="F103" s="18">
        <v>40.561999999999998</v>
      </c>
      <c r="G103" s="18">
        <v>42.75</v>
      </c>
      <c r="H103" s="18">
        <f t="shared" si="4"/>
        <v>34.933374999999998</v>
      </c>
      <c r="I103" s="5"/>
      <c r="J103" s="17">
        <v>601.94809999999995</v>
      </c>
      <c r="K103" s="18">
        <v>33.797699999999999</v>
      </c>
      <c r="L103" s="18">
        <v>40.790399999999998</v>
      </c>
      <c r="M103" s="18">
        <v>41.859400000000001</v>
      </c>
      <c r="N103" s="18">
        <v>125.9622</v>
      </c>
      <c r="O103" s="18">
        <f t="shared" si="5"/>
        <v>35.679500000000004</v>
      </c>
      <c r="P103" s="7"/>
      <c r="Q103" s="10"/>
      <c r="R103" s="11"/>
      <c r="S103" s="11"/>
      <c r="T103" s="26"/>
      <c r="U103" s="28">
        <f t="shared" si="3"/>
        <v>1.9464842105263156</v>
      </c>
    </row>
    <row r="104" spans="2:21" ht="16.5" thickBot="1" x14ac:dyDescent="0.3">
      <c r="B104" s="12"/>
      <c r="C104" s="19">
        <v>305.91000000000003</v>
      </c>
      <c r="D104" s="20">
        <v>31.289000000000001</v>
      </c>
      <c r="E104" s="20">
        <v>38.255000000000003</v>
      </c>
      <c r="F104" s="20">
        <v>38.984999999999999</v>
      </c>
      <c r="G104" s="20">
        <v>52.38</v>
      </c>
      <c r="H104" s="20">
        <f t="shared" si="4"/>
        <v>33.121749999999999</v>
      </c>
      <c r="I104" s="5"/>
      <c r="J104" s="19">
        <v>301.84160000000003</v>
      </c>
      <c r="K104" s="20">
        <v>31.7239</v>
      </c>
      <c r="L104" s="20">
        <v>39.313299999999998</v>
      </c>
      <c r="M104" s="20">
        <v>40.1569</v>
      </c>
      <c r="N104" s="20">
        <v>160.0427</v>
      </c>
      <c r="O104" s="20">
        <f t="shared" si="5"/>
        <v>33.726700000000001</v>
      </c>
      <c r="P104" s="7"/>
      <c r="Q104" s="13"/>
      <c r="R104" s="14"/>
      <c r="S104" s="14"/>
      <c r="T104" s="27"/>
      <c r="U104" s="28">
        <f t="shared" si="3"/>
        <v>2.0554161893852614</v>
      </c>
    </row>
    <row r="105" spans="2:21" x14ac:dyDescent="0.25">
      <c r="B105" s="6" t="s">
        <v>106</v>
      </c>
      <c r="C105" s="15">
        <v>1591.17</v>
      </c>
      <c r="D105" s="16">
        <v>45.276000000000003</v>
      </c>
      <c r="E105" s="16">
        <v>50.405000000000001</v>
      </c>
      <c r="F105" s="16">
        <v>51.802</v>
      </c>
      <c r="G105" s="16">
        <v>39.159999999999997</v>
      </c>
      <c r="H105" s="16">
        <f t="shared" si="4"/>
        <v>46.732875000000007</v>
      </c>
      <c r="I105" s="5"/>
      <c r="J105" s="15">
        <v>1498.8607</v>
      </c>
      <c r="K105" s="16">
        <v>46.7044</v>
      </c>
      <c r="L105" s="16">
        <v>51.436700000000002</v>
      </c>
      <c r="M105" s="16">
        <v>52.938400000000001</v>
      </c>
      <c r="N105" s="16">
        <v>111.2073</v>
      </c>
      <c r="O105" s="16">
        <f t="shared" si="5"/>
        <v>48.075187499999998</v>
      </c>
      <c r="P105" s="7"/>
      <c r="Q105" s="8">
        <f>bdrate(C105:C108,D105:D108,J105:J108,K105:K108)</f>
        <v>-0.31286980448316337</v>
      </c>
      <c r="R105" s="8">
        <f>bdrate(C105:C108,E105:E108,J105:J108,L105:L108)</f>
        <v>-0.32735237096214653</v>
      </c>
      <c r="S105" s="8">
        <f>bdrate(C105:C108,F105:F108,J105:J108,M105:M108)</f>
        <v>-0.32296796397979111</v>
      </c>
      <c r="T105" s="25">
        <f>bdrate(C105:C108,H105:H108,J105:J108,O105:O108)</f>
        <v>-0.31567180485269697</v>
      </c>
      <c r="U105" s="28">
        <f t="shared" si="3"/>
        <v>1.8398186925434119</v>
      </c>
    </row>
    <row r="106" spans="2:21" x14ac:dyDescent="0.25">
      <c r="B106" s="9"/>
      <c r="C106" s="17">
        <v>1059.03</v>
      </c>
      <c r="D106" s="18">
        <v>43.518999999999998</v>
      </c>
      <c r="E106" s="18">
        <v>48.866</v>
      </c>
      <c r="F106" s="18">
        <v>50.314</v>
      </c>
      <c r="G106" s="18">
        <v>47.19</v>
      </c>
      <c r="H106" s="18">
        <f t="shared" si="4"/>
        <v>45.036749999999998</v>
      </c>
      <c r="I106" s="5"/>
      <c r="J106" s="17">
        <v>1006.168</v>
      </c>
      <c r="K106" s="18">
        <v>44.961199999999998</v>
      </c>
      <c r="L106" s="18">
        <v>50.216999999999999</v>
      </c>
      <c r="M106" s="18">
        <v>51.638399999999997</v>
      </c>
      <c r="N106" s="18">
        <v>131.79490000000001</v>
      </c>
      <c r="O106" s="18">
        <f t="shared" si="5"/>
        <v>46.452824999999997</v>
      </c>
      <c r="P106" s="7"/>
      <c r="Q106" s="10"/>
      <c r="R106" s="11"/>
      <c r="S106" s="11"/>
      <c r="T106" s="26"/>
      <c r="U106" s="28">
        <f t="shared" si="3"/>
        <v>1.7928565374019922</v>
      </c>
    </row>
    <row r="107" spans="2:21" x14ac:dyDescent="0.25">
      <c r="B107" s="9"/>
      <c r="C107" s="17">
        <v>637.45000000000005</v>
      </c>
      <c r="D107" s="18">
        <v>41.338999999999999</v>
      </c>
      <c r="E107" s="18">
        <v>47.006999999999998</v>
      </c>
      <c r="F107" s="18">
        <v>48.460999999999999</v>
      </c>
      <c r="G107" s="18">
        <v>59.14</v>
      </c>
      <c r="H107" s="18">
        <f t="shared" si="4"/>
        <v>42.937750000000001</v>
      </c>
      <c r="I107" s="5"/>
      <c r="J107" s="17">
        <v>602.45839999999998</v>
      </c>
      <c r="K107" s="18">
        <v>42.74</v>
      </c>
      <c r="L107" s="18">
        <v>48.325099999999999</v>
      </c>
      <c r="M107" s="18">
        <v>49.756</v>
      </c>
      <c r="N107" s="18">
        <v>155.4212</v>
      </c>
      <c r="O107" s="18">
        <f t="shared" si="5"/>
        <v>44.315137500000006</v>
      </c>
      <c r="P107" s="7"/>
      <c r="Q107" s="10"/>
      <c r="R107" s="11"/>
      <c r="S107" s="11"/>
      <c r="T107" s="26"/>
      <c r="U107" s="28">
        <f t="shared" si="3"/>
        <v>1.6280216435576598</v>
      </c>
    </row>
    <row r="108" spans="2:21" ht="16.5" thickBot="1" x14ac:dyDescent="0.3">
      <c r="B108" s="12"/>
      <c r="C108" s="19">
        <v>320.86</v>
      </c>
      <c r="D108" s="20">
        <v>38.466999999999999</v>
      </c>
      <c r="E108" s="20">
        <v>44.551000000000002</v>
      </c>
      <c r="F108" s="20">
        <v>46.085999999999999</v>
      </c>
      <c r="G108" s="20">
        <v>75.28</v>
      </c>
      <c r="H108" s="20">
        <f t="shared" si="4"/>
        <v>40.179875000000003</v>
      </c>
      <c r="I108" s="5"/>
      <c r="J108" s="19">
        <v>302.3682</v>
      </c>
      <c r="K108" s="20">
        <v>39.637700000000002</v>
      </c>
      <c r="L108" s="20">
        <v>45.481999999999999</v>
      </c>
      <c r="M108" s="20">
        <v>46.912199999999999</v>
      </c>
      <c r="N108" s="20">
        <v>191.2406</v>
      </c>
      <c r="O108" s="20">
        <f t="shared" si="5"/>
        <v>41.277550000000005</v>
      </c>
      <c r="P108" s="7"/>
      <c r="Q108" s="13"/>
      <c r="R108" s="14"/>
      <c r="S108" s="14"/>
      <c r="T108" s="27"/>
      <c r="U108" s="28">
        <f t="shared" si="3"/>
        <v>1.5403905419766206</v>
      </c>
    </row>
    <row r="109" spans="2:21" x14ac:dyDescent="0.25">
      <c r="B109" s="6" t="s">
        <v>107</v>
      </c>
      <c r="C109" s="15">
        <v>1465.48</v>
      </c>
      <c r="D109" s="16">
        <v>31.027999999999999</v>
      </c>
      <c r="E109" s="16">
        <v>39.042999999999999</v>
      </c>
      <c r="F109" s="16">
        <v>38.432000000000002</v>
      </c>
      <c r="G109" s="16">
        <v>28.75</v>
      </c>
      <c r="H109" s="16">
        <f t="shared" si="4"/>
        <v>32.955375000000004</v>
      </c>
      <c r="I109" s="5"/>
      <c r="J109" s="15">
        <v>1494.1513</v>
      </c>
      <c r="K109" s="16">
        <v>31.4084</v>
      </c>
      <c r="L109" s="16">
        <v>39.875599999999999</v>
      </c>
      <c r="M109" s="16">
        <v>39.220799999999997</v>
      </c>
      <c r="N109" s="16">
        <v>71.890699999999995</v>
      </c>
      <c r="O109" s="16">
        <f t="shared" si="5"/>
        <v>33.443349999999995</v>
      </c>
      <c r="P109" s="7"/>
      <c r="Q109" s="8">
        <f>bdrate(C109:C112,D109:D112,J109:J112,K109:K112)</f>
        <v>-3.0232099585356664E-2</v>
      </c>
      <c r="R109" s="8">
        <f>bdrate(C109:C112,E109:E112,J109:J112,L109:L112)</f>
        <v>-0.3214307161830664</v>
      </c>
      <c r="S109" s="8">
        <f>bdrate(C109:C112,F109:F112,J109:J112,M109:M112)</f>
        <v>-0.30509438449700876</v>
      </c>
      <c r="T109" s="25">
        <f>bdrate(C109:C112,H109:H112,J109:J112,O109:O112)</f>
        <v>-9.4230848720967653E-2</v>
      </c>
      <c r="U109" s="28">
        <f t="shared" si="3"/>
        <v>1.5005460869565215</v>
      </c>
    </row>
    <row r="110" spans="2:21" x14ac:dyDescent="0.25">
      <c r="B110" s="9"/>
      <c r="C110" s="17">
        <v>978</v>
      </c>
      <c r="D110" s="18">
        <v>29.417999999999999</v>
      </c>
      <c r="E110" s="18">
        <v>37.881999999999998</v>
      </c>
      <c r="F110" s="18">
        <v>37.247</v>
      </c>
      <c r="G110" s="18">
        <v>33.99</v>
      </c>
      <c r="H110" s="18">
        <f t="shared" si="4"/>
        <v>31.454625</v>
      </c>
      <c r="I110" s="5"/>
      <c r="J110" s="17">
        <v>995.1336</v>
      </c>
      <c r="K110" s="18">
        <v>29.686900000000001</v>
      </c>
      <c r="L110" s="18">
        <v>38.934800000000003</v>
      </c>
      <c r="M110" s="18">
        <v>38.252200000000002</v>
      </c>
      <c r="N110" s="18">
        <v>87.146000000000001</v>
      </c>
      <c r="O110" s="18">
        <f t="shared" si="5"/>
        <v>31.913550000000001</v>
      </c>
      <c r="P110" s="7"/>
      <c r="Q110" s="10"/>
      <c r="R110" s="11"/>
      <c r="S110" s="11"/>
      <c r="T110" s="26"/>
      <c r="U110" s="28">
        <f t="shared" si="3"/>
        <v>1.5638717269785229</v>
      </c>
    </row>
    <row r="111" spans="2:21" x14ac:dyDescent="0.25">
      <c r="B111" s="9"/>
      <c r="C111" s="17">
        <v>586.13</v>
      </c>
      <c r="D111" s="18">
        <v>27.416</v>
      </c>
      <c r="E111" s="18">
        <v>36.378999999999998</v>
      </c>
      <c r="F111" s="18">
        <v>35.72</v>
      </c>
      <c r="G111" s="18">
        <v>35.880000000000003</v>
      </c>
      <c r="H111" s="18">
        <f t="shared" si="4"/>
        <v>29.574375</v>
      </c>
      <c r="I111" s="5"/>
      <c r="J111" s="17">
        <v>597.36689999999999</v>
      </c>
      <c r="K111" s="18">
        <v>27.569199999999999</v>
      </c>
      <c r="L111" s="18">
        <v>37.6404</v>
      </c>
      <c r="M111" s="18">
        <v>36.895400000000002</v>
      </c>
      <c r="N111" s="18">
        <v>109.3693</v>
      </c>
      <c r="O111" s="18">
        <f t="shared" si="5"/>
        <v>29.993874999999999</v>
      </c>
      <c r="P111" s="7"/>
      <c r="Q111" s="10"/>
      <c r="R111" s="11"/>
      <c r="S111" s="11"/>
      <c r="T111" s="26"/>
      <c r="U111" s="28">
        <f t="shared" si="3"/>
        <v>2.0481967670011141</v>
      </c>
    </row>
    <row r="112" spans="2:21" ht="16.5" thickBot="1" x14ac:dyDescent="0.3">
      <c r="B112" s="12"/>
      <c r="C112" s="19">
        <v>292.58</v>
      </c>
      <c r="D112" s="20">
        <v>24.788</v>
      </c>
      <c r="E112" s="20">
        <v>33.906999999999996</v>
      </c>
      <c r="F112" s="20">
        <v>33.374000000000002</v>
      </c>
      <c r="G112" s="20">
        <v>46.98</v>
      </c>
      <c r="H112" s="20">
        <f t="shared" si="4"/>
        <v>27.001124999999998</v>
      </c>
      <c r="I112" s="5"/>
      <c r="J112" s="19">
        <v>299.26159999999999</v>
      </c>
      <c r="K112" s="20">
        <v>24.906199999999998</v>
      </c>
      <c r="L112" s="20">
        <v>35.342399999999998</v>
      </c>
      <c r="M112" s="20">
        <v>34.736800000000002</v>
      </c>
      <c r="N112" s="20">
        <v>143.3349</v>
      </c>
      <c r="O112" s="20">
        <f t="shared" si="5"/>
        <v>27.439549999999997</v>
      </c>
      <c r="P112" s="7"/>
      <c r="Q112" s="13"/>
      <c r="R112" s="14"/>
      <c r="S112" s="14"/>
      <c r="T112" s="27"/>
      <c r="U112" s="28">
        <f t="shared" si="3"/>
        <v>2.0509770114942532</v>
      </c>
    </row>
    <row r="113" spans="2:21" x14ac:dyDescent="0.25">
      <c r="B113" s="6" t="s">
        <v>108</v>
      </c>
      <c r="C113" s="15">
        <v>1508.73</v>
      </c>
      <c r="D113" s="16">
        <v>42.213999999999999</v>
      </c>
      <c r="E113" s="16">
        <v>43.609000000000002</v>
      </c>
      <c r="F113" s="16">
        <v>43.478000000000002</v>
      </c>
      <c r="G113" s="16">
        <v>46.92</v>
      </c>
      <c r="H113" s="16">
        <f t="shared" si="4"/>
        <v>42.546374999999998</v>
      </c>
      <c r="I113" s="5"/>
      <c r="J113" s="15">
        <v>1416.7467999999999</v>
      </c>
      <c r="K113" s="16">
        <v>44.356400000000001</v>
      </c>
      <c r="L113" s="16">
        <v>45.328499999999998</v>
      </c>
      <c r="M113" s="16">
        <v>45.240499999999997</v>
      </c>
      <c r="N113" s="16">
        <v>96.883600000000001</v>
      </c>
      <c r="O113" s="16">
        <f t="shared" si="5"/>
        <v>44.588425000000001</v>
      </c>
      <c r="P113" s="7"/>
      <c r="Q113" s="8">
        <f>bdrate(C113:C116,D113:D116,J113:J116,K113:K116)</f>
        <v>-0.34476177969522115</v>
      </c>
      <c r="R113" s="8">
        <f>bdrate(C113:C116,E113:E116,J113:J116,L113:L116)</f>
        <v>-0.37592668447907773</v>
      </c>
      <c r="S113" s="8">
        <f>bdrate(C113:C116,F113:F116,J113:J116,M113:M116)</f>
        <v>-0.37026002371162192</v>
      </c>
      <c r="T113" s="25">
        <f>bdrate(C113:C116,H113:H116,J113:J116,O113:O116)</f>
        <v>-0.35098337852938266</v>
      </c>
      <c r="U113" s="28">
        <f t="shared" si="3"/>
        <v>1.0648678601875532</v>
      </c>
    </row>
    <row r="114" spans="2:21" x14ac:dyDescent="0.25">
      <c r="B114" s="9"/>
      <c r="C114" s="17">
        <v>1003.96</v>
      </c>
      <c r="D114" s="18">
        <v>39.954999999999998</v>
      </c>
      <c r="E114" s="18">
        <v>41.686999999999998</v>
      </c>
      <c r="F114" s="18">
        <v>41.524999999999999</v>
      </c>
      <c r="G114" s="18">
        <v>54.07</v>
      </c>
      <c r="H114" s="18">
        <f t="shared" si="4"/>
        <v>40.367749999999994</v>
      </c>
      <c r="I114" s="5"/>
      <c r="J114" s="17">
        <v>960.29150000000004</v>
      </c>
      <c r="K114" s="18">
        <v>42.450800000000001</v>
      </c>
      <c r="L114" s="18">
        <v>43.751899999999999</v>
      </c>
      <c r="M114" s="18">
        <v>43.624099999999999</v>
      </c>
      <c r="N114" s="18">
        <v>125.55800000000001</v>
      </c>
      <c r="O114" s="18">
        <f t="shared" si="5"/>
        <v>42.760100000000001</v>
      </c>
      <c r="P114" s="7"/>
      <c r="Q114" s="10"/>
      <c r="R114" s="11"/>
      <c r="S114" s="11"/>
      <c r="T114" s="26"/>
      <c r="U114" s="28">
        <f t="shared" si="3"/>
        <v>1.3221379692990567</v>
      </c>
    </row>
    <row r="115" spans="2:21" x14ac:dyDescent="0.25">
      <c r="B115" s="9"/>
      <c r="C115" s="17">
        <v>604.13</v>
      </c>
      <c r="D115" s="18">
        <v>37.219000000000001</v>
      </c>
      <c r="E115" s="18">
        <v>39.433</v>
      </c>
      <c r="F115" s="18">
        <v>39.302</v>
      </c>
      <c r="G115" s="18">
        <v>53.22</v>
      </c>
      <c r="H115" s="18">
        <f t="shared" si="4"/>
        <v>37.756125000000004</v>
      </c>
      <c r="I115" s="5"/>
      <c r="J115" s="17">
        <v>586.65909999999997</v>
      </c>
      <c r="K115" s="18">
        <v>39.429400000000001</v>
      </c>
      <c r="L115" s="18">
        <v>41.421999999999997</v>
      </c>
      <c r="M115" s="18">
        <v>41.225099999999998</v>
      </c>
      <c r="N115" s="18">
        <v>151.8219</v>
      </c>
      <c r="O115" s="18">
        <f t="shared" si="5"/>
        <v>39.9029375</v>
      </c>
      <c r="P115" s="7"/>
      <c r="Q115" s="10"/>
      <c r="R115" s="11"/>
      <c r="S115" s="11"/>
      <c r="T115" s="26"/>
      <c r="U115" s="28">
        <f t="shared" si="3"/>
        <v>1.8527226606538896</v>
      </c>
    </row>
    <row r="116" spans="2:21" ht="16.5" thickBot="1" x14ac:dyDescent="0.3">
      <c r="B116" s="12"/>
      <c r="C116" s="19">
        <v>301.82</v>
      </c>
      <c r="D116" s="20">
        <v>33.393999999999998</v>
      </c>
      <c r="E116" s="20">
        <v>36.44</v>
      </c>
      <c r="F116" s="20">
        <v>36.281999999999996</v>
      </c>
      <c r="G116" s="20">
        <v>66.16</v>
      </c>
      <c r="H116" s="20">
        <f t="shared" si="4"/>
        <v>34.135749999999994</v>
      </c>
      <c r="I116" s="5"/>
      <c r="J116" s="19">
        <v>294.50439999999998</v>
      </c>
      <c r="K116" s="20">
        <v>35.163400000000003</v>
      </c>
      <c r="L116" s="20">
        <v>38.227600000000002</v>
      </c>
      <c r="M116" s="20">
        <v>38.0443</v>
      </c>
      <c r="N116" s="20">
        <v>185.4905</v>
      </c>
      <c r="O116" s="20">
        <f t="shared" si="5"/>
        <v>35.906537500000006</v>
      </c>
      <c r="P116" s="7"/>
      <c r="Q116" s="13"/>
      <c r="R116" s="14"/>
      <c r="S116" s="14"/>
      <c r="T116" s="27"/>
      <c r="U116" s="28">
        <f t="shared" si="3"/>
        <v>1.8036653567110037</v>
      </c>
    </row>
    <row r="117" spans="2:21" x14ac:dyDescent="0.25">
      <c r="B117" s="6" t="s">
        <v>109</v>
      </c>
      <c r="C117" s="15">
        <v>1991.04</v>
      </c>
      <c r="D117" s="16">
        <v>42.204999999999998</v>
      </c>
      <c r="E117" s="16">
        <v>44.415999999999997</v>
      </c>
      <c r="F117" s="16">
        <v>44.619</v>
      </c>
      <c r="G117" s="16">
        <v>44.76</v>
      </c>
      <c r="H117" s="16">
        <f t="shared" si="4"/>
        <v>42.783124999999998</v>
      </c>
      <c r="I117" s="5"/>
      <c r="J117" s="15">
        <v>1403.9253000000001</v>
      </c>
      <c r="K117" s="16">
        <v>45.344700000000003</v>
      </c>
      <c r="L117" s="16">
        <v>47.569200000000002</v>
      </c>
      <c r="M117" s="16">
        <v>47.822800000000001</v>
      </c>
      <c r="N117" s="16">
        <v>91.213099999999997</v>
      </c>
      <c r="O117" s="16">
        <f t="shared" si="5"/>
        <v>45.932525000000012</v>
      </c>
      <c r="P117" s="7"/>
      <c r="Q117" s="8">
        <f>bdrate(C117:C120,D117:D120,J117:J120,K117:K120)</f>
        <v>-0.5566572606520781</v>
      </c>
      <c r="R117" s="8">
        <f>bdrate(C117:C120,E117:E120,J117:J120,L117:L120)</f>
        <v>-0.60455175885137402</v>
      </c>
      <c r="S117" s="8">
        <f>bdrate(C117:C120,F117:F120,J117:J120,M117:M120)</f>
        <v>-0.60822561059900315</v>
      </c>
      <c r="T117" s="25">
        <f>bdrate(C117:C120,H117:H120,J117:J120,O117:O120)</f>
        <v>-0.56837721422211263</v>
      </c>
      <c r="U117" s="28">
        <f t="shared" si="3"/>
        <v>1.0378261840929401</v>
      </c>
    </row>
    <row r="118" spans="2:21" x14ac:dyDescent="0.25">
      <c r="B118" s="9"/>
      <c r="C118" s="17">
        <v>1299.76</v>
      </c>
      <c r="D118" s="18">
        <v>40.21</v>
      </c>
      <c r="E118" s="18">
        <v>42.610999999999997</v>
      </c>
      <c r="F118" s="18">
        <v>42.820999999999998</v>
      </c>
      <c r="G118" s="18">
        <v>49.54</v>
      </c>
      <c r="H118" s="18">
        <f t="shared" si="4"/>
        <v>40.836500000000001</v>
      </c>
      <c r="I118" s="5"/>
      <c r="J118" s="17">
        <v>973.79409999999996</v>
      </c>
      <c r="K118" s="18">
        <v>43.975999999999999</v>
      </c>
      <c r="L118" s="18">
        <v>46.487099999999998</v>
      </c>
      <c r="M118" s="18">
        <v>46.749499999999998</v>
      </c>
      <c r="N118" s="18">
        <v>101.3913</v>
      </c>
      <c r="O118" s="18">
        <f t="shared" si="5"/>
        <v>44.636575000000001</v>
      </c>
      <c r="P118" s="7"/>
      <c r="Q118" s="10"/>
      <c r="R118" s="11"/>
      <c r="S118" s="11"/>
      <c r="T118" s="26"/>
      <c r="U118" s="28">
        <f t="shared" si="3"/>
        <v>1.0466552280985064</v>
      </c>
    </row>
    <row r="119" spans="2:21" x14ac:dyDescent="0.25">
      <c r="B119" s="9"/>
      <c r="C119" s="17">
        <v>759.32</v>
      </c>
      <c r="D119" s="18">
        <v>37.908000000000001</v>
      </c>
      <c r="E119" s="18">
        <v>40.588000000000001</v>
      </c>
      <c r="F119" s="18">
        <v>40.843000000000004</v>
      </c>
      <c r="G119" s="18">
        <v>59.17</v>
      </c>
      <c r="H119" s="18">
        <f t="shared" si="4"/>
        <v>38.609875000000002</v>
      </c>
      <c r="I119" s="5"/>
      <c r="J119" s="17">
        <v>633.69889999999998</v>
      </c>
      <c r="K119" s="18">
        <v>41.221400000000003</v>
      </c>
      <c r="L119" s="18">
        <v>44.033200000000001</v>
      </c>
      <c r="M119" s="18">
        <v>44.305599999999998</v>
      </c>
      <c r="N119" s="18">
        <v>113.343</v>
      </c>
      <c r="O119" s="18">
        <f t="shared" si="5"/>
        <v>41.958399999999997</v>
      </c>
      <c r="P119" s="7"/>
      <c r="Q119" s="10"/>
      <c r="R119" s="11"/>
      <c r="S119" s="11"/>
      <c r="T119" s="26"/>
      <c r="U119" s="28">
        <f t="shared" si="3"/>
        <v>0.91554841980733481</v>
      </c>
    </row>
    <row r="120" spans="2:21" ht="16.5" thickBot="1" x14ac:dyDescent="0.3">
      <c r="B120" s="12"/>
      <c r="C120" s="19">
        <v>365.11</v>
      </c>
      <c r="D120" s="20">
        <v>34.862000000000002</v>
      </c>
      <c r="E120" s="20">
        <v>38.177</v>
      </c>
      <c r="F120" s="20">
        <v>38.475000000000001</v>
      </c>
      <c r="G120" s="20">
        <v>67.75</v>
      </c>
      <c r="H120" s="20">
        <f t="shared" si="4"/>
        <v>35.728000000000002</v>
      </c>
      <c r="I120" s="5"/>
      <c r="J120" s="19">
        <v>343.2457</v>
      </c>
      <c r="K120" s="20">
        <v>37.042400000000001</v>
      </c>
      <c r="L120" s="20">
        <v>40.348799999999997</v>
      </c>
      <c r="M120" s="20">
        <v>40.610900000000001</v>
      </c>
      <c r="N120" s="20">
        <v>177.23509999999999</v>
      </c>
      <c r="O120" s="20">
        <f t="shared" si="5"/>
        <v>37.901762500000004</v>
      </c>
      <c r="P120" s="7"/>
      <c r="Q120" s="13"/>
      <c r="R120" s="14"/>
      <c r="S120" s="14"/>
      <c r="T120" s="27"/>
      <c r="U120" s="28">
        <f t="shared" si="3"/>
        <v>1.6160162361623616</v>
      </c>
    </row>
    <row r="121" spans="2:21" x14ac:dyDescent="0.25">
      <c r="B121" s="6" t="s">
        <v>110</v>
      </c>
      <c r="C121" s="15">
        <v>1534.03</v>
      </c>
      <c r="D121" s="16">
        <v>31.283000000000001</v>
      </c>
      <c r="E121" s="16">
        <v>35.308</v>
      </c>
      <c r="F121" s="16">
        <v>34.235999999999997</v>
      </c>
      <c r="G121" s="16">
        <v>36.299999999999997</v>
      </c>
      <c r="H121" s="16">
        <f t="shared" si="4"/>
        <v>32.155250000000002</v>
      </c>
      <c r="I121" s="5"/>
      <c r="J121" s="29">
        <v>1507.5804000000001</v>
      </c>
      <c r="K121" s="30">
        <v>31.965499999999999</v>
      </c>
      <c r="L121" s="30">
        <v>36.3125</v>
      </c>
      <c r="M121" s="30">
        <v>35.209000000000003</v>
      </c>
      <c r="N121" s="16">
        <v>81.714200000000005</v>
      </c>
      <c r="O121" s="16">
        <f t="shared" si="5"/>
        <v>32.914312500000001</v>
      </c>
      <c r="P121" s="7"/>
      <c r="Q121" s="8">
        <f>bdrate(C121:C124,D121:D124,J121:J124,K121:K124)</f>
        <v>-9.3631549215394294E-2</v>
      </c>
      <c r="R121" s="8">
        <f>bdrate(C121:C124,E121:E124,J121:J124,L121:L124)</f>
        <v>-0.35886766764331013</v>
      </c>
      <c r="S121" s="8">
        <f>bdrate(C121:C124,F121:F124,J121:J124,M121:M124)</f>
        <v>-0.32379883254330599</v>
      </c>
      <c r="T121" s="25">
        <f>bdrate(C121:C124,H121:H124,J121:J124,O121:O124)</f>
        <v>-0.14543464576411047</v>
      </c>
      <c r="U121" s="28">
        <f t="shared" si="3"/>
        <v>1.2510798898071629</v>
      </c>
    </row>
    <row r="122" spans="2:21" x14ac:dyDescent="0.25">
      <c r="B122" s="9"/>
      <c r="C122" s="17">
        <v>1020.31</v>
      </c>
      <c r="D122" s="18">
        <v>29.670999999999999</v>
      </c>
      <c r="E122" s="18">
        <v>34.271000000000001</v>
      </c>
      <c r="F122" s="18">
        <v>33.145000000000003</v>
      </c>
      <c r="G122" s="18">
        <v>39.76</v>
      </c>
      <c r="H122" s="18">
        <f t="shared" si="4"/>
        <v>30.680250000000004</v>
      </c>
      <c r="I122" s="5"/>
      <c r="J122" s="31">
        <v>1007.8599</v>
      </c>
      <c r="K122" s="32">
        <v>30.164899999999999</v>
      </c>
      <c r="L122" s="32">
        <v>35.342199999999998</v>
      </c>
      <c r="M122" s="32">
        <v>34.169600000000003</v>
      </c>
      <c r="N122" s="18">
        <v>97.703999999999994</v>
      </c>
      <c r="O122" s="18">
        <f t="shared" si="5"/>
        <v>31.312649999999998</v>
      </c>
      <c r="P122" s="7"/>
      <c r="Q122" s="10"/>
      <c r="R122" s="11"/>
      <c r="S122" s="11"/>
      <c r="T122" s="26"/>
      <c r="U122" s="28">
        <f t="shared" si="3"/>
        <v>1.4573440643863178</v>
      </c>
    </row>
    <row r="123" spans="2:21" x14ac:dyDescent="0.25">
      <c r="B123" s="9"/>
      <c r="C123" s="17">
        <v>608.66</v>
      </c>
      <c r="D123" s="18">
        <v>27.763999999999999</v>
      </c>
      <c r="E123" s="18">
        <v>33.009</v>
      </c>
      <c r="F123" s="18">
        <v>31.797000000000001</v>
      </c>
      <c r="G123" s="18">
        <v>45.68</v>
      </c>
      <c r="H123" s="18">
        <f t="shared" si="4"/>
        <v>28.923750000000002</v>
      </c>
      <c r="I123" s="5"/>
      <c r="J123" s="31">
        <v>606.33889999999997</v>
      </c>
      <c r="K123" s="32">
        <v>28.045999999999999</v>
      </c>
      <c r="L123" s="32">
        <v>34.108800000000002</v>
      </c>
      <c r="M123" s="32">
        <v>32.830100000000002</v>
      </c>
      <c r="N123" s="18">
        <v>121.58880000000001</v>
      </c>
      <c r="O123" s="18">
        <f t="shared" si="5"/>
        <v>29.4018625</v>
      </c>
      <c r="P123" s="7"/>
      <c r="Q123" s="10"/>
      <c r="R123" s="11"/>
      <c r="S123" s="11"/>
      <c r="T123" s="26"/>
      <c r="U123" s="28">
        <f t="shared" si="3"/>
        <v>1.6617513134851141</v>
      </c>
    </row>
    <row r="124" spans="2:21" ht="16.5" thickBot="1" x14ac:dyDescent="0.3">
      <c r="B124" s="12"/>
      <c r="C124" s="19">
        <v>300.41000000000003</v>
      </c>
      <c r="D124" s="20">
        <v>25.385000000000002</v>
      </c>
      <c r="E124" s="20">
        <v>31.166</v>
      </c>
      <c r="F124" s="20">
        <v>29.895</v>
      </c>
      <c r="G124" s="20">
        <v>54.27</v>
      </c>
      <c r="H124" s="20">
        <f t="shared" si="4"/>
        <v>26.671375000000001</v>
      </c>
      <c r="I124" s="5"/>
      <c r="J124" s="33">
        <v>303.25959999999998</v>
      </c>
      <c r="K124" s="34">
        <v>25.571300000000001</v>
      </c>
      <c r="L124" s="34">
        <v>32.334099999999999</v>
      </c>
      <c r="M124" s="34">
        <v>30.920200000000001</v>
      </c>
      <c r="N124" s="20">
        <v>160.69990000000001</v>
      </c>
      <c r="O124" s="20">
        <f t="shared" si="5"/>
        <v>27.085262499999999</v>
      </c>
      <c r="P124" s="7"/>
      <c r="Q124" s="13"/>
      <c r="R124" s="14"/>
      <c r="S124" s="14"/>
      <c r="T124" s="27"/>
      <c r="U124" s="28">
        <f t="shared" si="3"/>
        <v>1.9611184816657452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-0.23627565936586647</v>
      </c>
      <c r="R125" s="21">
        <f>AVERAGE(R9:R124)</f>
        <v>-0.40893491020776546</v>
      </c>
      <c r="S125" s="21">
        <f>AVERAGE(S9:S124)</f>
        <v>-0.40017788138135174</v>
      </c>
      <c r="T125" s="21">
        <f>AVERAGE(T9:T124)</f>
        <v>-0.26840079812921902</v>
      </c>
      <c r="U125" s="21">
        <f>AVERAGE(U9:U124)</f>
        <v>1.5962390058027089</v>
      </c>
    </row>
    <row r="127" spans="2:21" s="35" customFormat="1" ht="15.75" customHeight="1" x14ac:dyDescent="0.25">
      <c r="B127" s="61" t="s">
        <v>29</v>
      </c>
      <c r="C127" s="63" t="s">
        <v>188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79</v>
      </c>
      <c r="D129" s="70"/>
      <c r="E129" s="70"/>
      <c r="F129" s="70"/>
      <c r="G129" s="70"/>
      <c r="H129" s="70"/>
      <c r="I129" s="5"/>
      <c r="J129" s="69" t="s">
        <v>178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3796.74</v>
      </c>
      <c r="D131" s="16">
        <v>35.981000000000002</v>
      </c>
      <c r="E131" s="16">
        <v>38.018000000000001</v>
      </c>
      <c r="F131" s="16">
        <v>40.314999999999998</v>
      </c>
      <c r="G131" s="16">
        <v>29.22</v>
      </c>
      <c r="H131" s="16">
        <f t="shared" ref="H131:H202" si="6">(6*D131+E131+F131)/8</f>
        <v>36.777375000000006</v>
      </c>
      <c r="I131" s="5"/>
      <c r="J131" s="15">
        <v>3994.2464</v>
      </c>
      <c r="K131" s="16">
        <v>37.534399999999998</v>
      </c>
      <c r="L131" s="16">
        <v>39.344999999999999</v>
      </c>
      <c r="M131" s="16">
        <v>41.805</v>
      </c>
      <c r="N131" s="16">
        <v>61.224499999999999</v>
      </c>
      <c r="O131" s="16">
        <f t="shared" ref="O131:O202" si="7">(6*K131+L131+M131)/8</f>
        <v>38.294549999999994</v>
      </c>
      <c r="P131" s="7"/>
      <c r="Q131" s="8">
        <f>bdrate(C131:C134,D131:D134,J131:J134,K131:K134)</f>
        <v>-0.22829068904825778</v>
      </c>
      <c r="R131" s="8">
        <f>bdrate(C131:C134,E131:E134,J131:J134,L131:L134)</f>
        <v>-0.47301497019552241</v>
      </c>
      <c r="S131" s="8">
        <f>bdrate(C131:C134,F131:F134,J131:J134,M131:M134)</f>
        <v>-0.44207245387316418</v>
      </c>
      <c r="T131" s="25">
        <f>bdrate(C131:C134,H131:H134,J131:J134,O131:O134)</f>
        <v>-0.25906239746415638</v>
      </c>
      <c r="U131" s="28">
        <f t="shared" ref="U131:U194" si="8">(N131-G131)/G131</f>
        <v>1.0952943189596167</v>
      </c>
    </row>
    <row r="132" spans="1:21" x14ac:dyDescent="0.25">
      <c r="A132" s="9" t="s">
        <v>36</v>
      </c>
      <c r="B132" s="9"/>
      <c r="C132" s="17">
        <v>2829.02</v>
      </c>
      <c r="D132" s="18">
        <v>35.122</v>
      </c>
      <c r="E132" s="18">
        <v>37.582999999999998</v>
      </c>
      <c r="F132" s="18">
        <v>39.884</v>
      </c>
      <c r="G132" s="18">
        <v>32.82</v>
      </c>
      <c r="H132" s="18">
        <f t="shared" si="6"/>
        <v>36.024875000000002</v>
      </c>
      <c r="I132" s="5"/>
      <c r="J132" s="17">
        <v>2958.4112</v>
      </c>
      <c r="K132" s="18">
        <v>36.5807</v>
      </c>
      <c r="L132" s="18">
        <v>38.803100000000001</v>
      </c>
      <c r="M132" s="18">
        <v>41.154699999999998</v>
      </c>
      <c r="N132" s="18">
        <v>66.785399999999996</v>
      </c>
      <c r="O132" s="18">
        <f t="shared" si="7"/>
        <v>37.430249999999994</v>
      </c>
      <c r="P132" s="7"/>
      <c r="Q132" s="10"/>
      <c r="R132" s="11"/>
      <c r="S132" s="11"/>
      <c r="T132" s="26"/>
      <c r="U132" s="28">
        <f t="shared" si="8"/>
        <v>1.0348994515539305</v>
      </c>
    </row>
    <row r="133" spans="1:21" x14ac:dyDescent="0.25">
      <c r="B133" s="9"/>
      <c r="C133" s="17">
        <v>1850.36</v>
      </c>
      <c r="D133" s="18">
        <v>33.85</v>
      </c>
      <c r="E133" s="18">
        <v>37.091000000000001</v>
      </c>
      <c r="F133" s="18">
        <v>39.384</v>
      </c>
      <c r="G133" s="18">
        <v>35.1</v>
      </c>
      <c r="H133" s="18">
        <f t="shared" si="6"/>
        <v>34.946875000000006</v>
      </c>
      <c r="I133" s="5"/>
      <c r="J133" s="17">
        <v>1924.2272</v>
      </c>
      <c r="K133" s="18">
        <v>34.932400000000001</v>
      </c>
      <c r="L133" s="18">
        <v>38.105899999999998</v>
      </c>
      <c r="M133" s="18">
        <v>40.400599999999997</v>
      </c>
      <c r="N133" s="18">
        <v>76.296999999999997</v>
      </c>
      <c r="O133" s="18">
        <f t="shared" si="7"/>
        <v>36.012612500000003</v>
      </c>
      <c r="P133" s="7"/>
      <c r="Q133" s="10"/>
      <c r="R133" s="11"/>
      <c r="S133" s="11"/>
      <c r="T133" s="26"/>
      <c r="U133" s="28">
        <f t="shared" si="8"/>
        <v>1.1737037037037035</v>
      </c>
    </row>
    <row r="134" spans="1:21" ht="16.5" thickBot="1" x14ac:dyDescent="0.3">
      <c r="B134" s="12"/>
      <c r="C134" s="19">
        <v>869.54</v>
      </c>
      <c r="D134" s="20">
        <v>31.26</v>
      </c>
      <c r="E134" s="20">
        <v>36.460999999999999</v>
      </c>
      <c r="F134" s="20">
        <v>38.677999999999997</v>
      </c>
      <c r="G134" s="20">
        <v>38.93</v>
      </c>
      <c r="H134" s="20">
        <f t="shared" si="6"/>
        <v>32.837375000000002</v>
      </c>
      <c r="I134" s="5"/>
      <c r="J134" s="19">
        <v>919.71199999999999</v>
      </c>
      <c r="K134" s="20">
        <v>32.001399999999997</v>
      </c>
      <c r="L134" s="20">
        <v>36.8461</v>
      </c>
      <c r="M134" s="20">
        <v>39.017499999999998</v>
      </c>
      <c r="N134" s="20">
        <v>87.412599999999998</v>
      </c>
      <c r="O134" s="20">
        <f t="shared" si="7"/>
        <v>33.484000000000002</v>
      </c>
      <c r="P134" s="7"/>
      <c r="Q134" s="13"/>
      <c r="R134" s="14"/>
      <c r="S134" s="14"/>
      <c r="T134" s="27"/>
      <c r="U134" s="28">
        <f t="shared" si="8"/>
        <v>1.2453788851785255</v>
      </c>
    </row>
    <row r="135" spans="1:21" x14ac:dyDescent="0.25">
      <c r="B135" s="6" t="s">
        <v>47</v>
      </c>
      <c r="C135" s="15">
        <v>4018.41</v>
      </c>
      <c r="D135" s="16">
        <v>28.745999999999999</v>
      </c>
      <c r="E135" s="16">
        <v>38.197000000000003</v>
      </c>
      <c r="F135" s="16">
        <v>39.201000000000001</v>
      </c>
      <c r="G135" s="16">
        <v>22.57</v>
      </c>
      <c r="H135" s="16">
        <f t="shared" si="6"/>
        <v>31.234249999999999</v>
      </c>
      <c r="I135" s="5"/>
      <c r="J135" s="15">
        <v>4057.3696</v>
      </c>
      <c r="K135" s="16">
        <v>28.990300000000001</v>
      </c>
      <c r="L135" s="16">
        <v>39.206099999999999</v>
      </c>
      <c r="M135" s="16">
        <v>40.174999999999997</v>
      </c>
      <c r="N135" s="16">
        <v>50.864699999999999</v>
      </c>
      <c r="O135" s="16">
        <f t="shared" si="7"/>
        <v>31.665362500000001</v>
      </c>
      <c r="P135" s="7"/>
      <c r="Q135" s="8">
        <f>bdrate(C135:C138,D135:D138,J135:J138,K135:K138)</f>
        <v>-1.9314573231152932E-2</v>
      </c>
      <c r="R135" s="8">
        <f>bdrate(C135:C138,E135:E138,J135:J138,L135:L138)</f>
        <v>-0.43348993931424395</v>
      </c>
      <c r="S135" s="8">
        <f>bdrate(C135:C138,F135:F138,J135:J138,M135:M138)</f>
        <v>-0.45294881011253518</v>
      </c>
      <c r="T135" s="25">
        <f>bdrate(C135:C138,H135:H138,J135:J138,O135:O138)</f>
        <v>-9.4038936511741889E-2</v>
      </c>
      <c r="U135" s="28">
        <f t="shared" si="8"/>
        <v>1.2536420026583961</v>
      </c>
    </row>
    <row r="136" spans="1:21" x14ac:dyDescent="0.25">
      <c r="B136" s="9"/>
      <c r="C136" s="17">
        <v>2988.52</v>
      </c>
      <c r="D136" s="18">
        <v>27.524000000000001</v>
      </c>
      <c r="E136" s="18">
        <v>37.619999999999997</v>
      </c>
      <c r="F136" s="18">
        <v>38.722999999999999</v>
      </c>
      <c r="G136" s="18">
        <v>25.24</v>
      </c>
      <c r="H136" s="18">
        <f t="shared" si="6"/>
        <v>30.185875000000003</v>
      </c>
      <c r="I136" s="5"/>
      <c r="J136" s="17">
        <v>3041.7936</v>
      </c>
      <c r="K136" s="18">
        <v>27.6675</v>
      </c>
      <c r="L136" s="18">
        <v>38.747900000000001</v>
      </c>
      <c r="M136" s="18">
        <v>39.772599999999997</v>
      </c>
      <c r="N136" s="18">
        <v>58.616599999999998</v>
      </c>
      <c r="O136" s="18">
        <f t="shared" si="7"/>
        <v>30.565687500000003</v>
      </c>
      <c r="P136" s="7"/>
      <c r="Q136" s="10"/>
      <c r="R136" s="11"/>
      <c r="S136" s="11"/>
      <c r="T136" s="26"/>
      <c r="U136" s="28">
        <f t="shared" si="8"/>
        <v>1.3223692551505546</v>
      </c>
    </row>
    <row r="137" spans="1:21" x14ac:dyDescent="0.25">
      <c r="B137" s="9"/>
      <c r="C137" s="17">
        <v>1981.94</v>
      </c>
      <c r="D137" s="18">
        <v>25.853999999999999</v>
      </c>
      <c r="E137" s="18">
        <v>36.542999999999999</v>
      </c>
      <c r="F137" s="18">
        <v>37.774000000000001</v>
      </c>
      <c r="G137" s="18">
        <v>28.03</v>
      </c>
      <c r="H137" s="18">
        <f t="shared" si="6"/>
        <v>28.680125</v>
      </c>
      <c r="I137" s="5"/>
      <c r="J137" s="17">
        <v>2020.9872</v>
      </c>
      <c r="K137" s="18">
        <v>25.8947</v>
      </c>
      <c r="L137" s="18">
        <v>38.012799999999999</v>
      </c>
      <c r="M137" s="18">
        <v>39.158099999999997</v>
      </c>
      <c r="N137" s="18">
        <v>68.181799999999996</v>
      </c>
      <c r="O137" s="18">
        <f t="shared" si="7"/>
        <v>29.067387499999999</v>
      </c>
      <c r="P137" s="7"/>
      <c r="Q137" s="10"/>
      <c r="R137" s="11"/>
      <c r="S137" s="11"/>
      <c r="T137" s="26"/>
      <c r="U137" s="28">
        <f t="shared" si="8"/>
        <v>1.4324580806278984</v>
      </c>
    </row>
    <row r="138" spans="1:21" ht="16.5" thickBot="1" x14ac:dyDescent="0.3">
      <c r="B138" s="12"/>
      <c r="C138" s="19">
        <v>1014.78</v>
      </c>
      <c r="D138" s="20">
        <v>22.782</v>
      </c>
      <c r="E138" s="20">
        <v>35.311</v>
      </c>
      <c r="F138" s="20">
        <v>36.475999999999999</v>
      </c>
      <c r="G138" s="20">
        <v>33.619999999999997</v>
      </c>
      <c r="H138" s="20">
        <f t="shared" si="6"/>
        <v>26.059875000000002</v>
      </c>
      <c r="I138" s="5"/>
      <c r="J138" s="19">
        <v>1156.4975999999999</v>
      </c>
      <c r="K138" s="20">
        <v>23.8948</v>
      </c>
      <c r="L138" s="20">
        <v>36.513399999999997</v>
      </c>
      <c r="M138" s="20">
        <v>37.7759</v>
      </c>
      <c r="N138" s="20">
        <v>78.822900000000004</v>
      </c>
      <c r="O138" s="20">
        <f t="shared" si="7"/>
        <v>27.207262499999999</v>
      </c>
      <c r="P138" s="7"/>
      <c r="Q138" s="13"/>
      <c r="R138" s="14"/>
      <c r="S138" s="14"/>
      <c r="T138" s="27"/>
      <c r="U138" s="28">
        <f t="shared" si="8"/>
        <v>1.344524092801904</v>
      </c>
    </row>
    <row r="139" spans="1:21" x14ac:dyDescent="0.25">
      <c r="A139" s="6" t="s">
        <v>37</v>
      </c>
      <c r="B139" s="6" t="s">
        <v>48</v>
      </c>
      <c r="C139" s="15">
        <v>2006.45</v>
      </c>
      <c r="D139" s="16">
        <v>38.311</v>
      </c>
      <c r="E139" s="16">
        <v>41.008000000000003</v>
      </c>
      <c r="F139" s="16">
        <v>42.143000000000001</v>
      </c>
      <c r="G139" s="16">
        <v>45.25</v>
      </c>
      <c r="H139" s="16">
        <f t="shared" si="6"/>
        <v>39.127124999999992</v>
      </c>
      <c r="I139" s="5"/>
      <c r="J139" s="15">
        <v>2370.2975999999999</v>
      </c>
      <c r="K139" s="16">
        <v>38.901699999999998</v>
      </c>
      <c r="L139" s="16">
        <v>41.822000000000003</v>
      </c>
      <c r="M139" s="16">
        <v>43.1646</v>
      </c>
      <c r="N139" s="16">
        <v>125.0651</v>
      </c>
      <c r="O139" s="16">
        <f t="shared" si="7"/>
        <v>39.799599999999998</v>
      </c>
      <c r="P139" s="7"/>
      <c r="Q139" s="8">
        <f>bdrate(C139:C142,D139:D142,J139:J142,K139:K142)</f>
        <v>-3.8281990402365462E-2</v>
      </c>
      <c r="R139" s="8">
        <f>bdrate(C139:C142,E139:E142,J139:J142,L139:L142)</f>
        <v>-0.35412361610888854</v>
      </c>
      <c r="S139" s="8">
        <f>bdrate(C139:C142,F139:F142,J139:J142,M139:M142)</f>
        <v>-0.36604764683704427</v>
      </c>
      <c r="T139" s="25">
        <f>bdrate(C139:C142,H139:H142,J139:J142,O139:O142)</f>
        <v>-9.1115896001281116E-2</v>
      </c>
      <c r="U139" s="28">
        <f t="shared" si="8"/>
        <v>1.7638696132596685</v>
      </c>
    </row>
    <row r="140" spans="1:21" x14ac:dyDescent="0.25">
      <c r="A140" s="9" t="s">
        <v>38</v>
      </c>
      <c r="B140" s="9"/>
      <c r="C140" s="17">
        <v>1311.39</v>
      </c>
      <c r="D140" s="18">
        <v>36.954000000000001</v>
      </c>
      <c r="E140" s="18">
        <v>40.158000000000001</v>
      </c>
      <c r="F140" s="18">
        <v>41.325000000000003</v>
      </c>
      <c r="G140" s="18">
        <v>51.28</v>
      </c>
      <c r="H140" s="18">
        <f t="shared" si="6"/>
        <v>37.900874999999999</v>
      </c>
      <c r="I140" s="5"/>
      <c r="J140" s="17">
        <v>1569.1744000000001</v>
      </c>
      <c r="K140" s="18">
        <v>37.649799999999999</v>
      </c>
      <c r="L140" s="18">
        <v>41.158799999999999</v>
      </c>
      <c r="M140" s="18">
        <v>42.3932</v>
      </c>
      <c r="N140" s="18">
        <v>139.86009999999999</v>
      </c>
      <c r="O140" s="18">
        <f t="shared" si="7"/>
        <v>38.681349999999995</v>
      </c>
      <c r="P140" s="7"/>
      <c r="Q140" s="10"/>
      <c r="R140" s="11"/>
      <c r="S140" s="11"/>
      <c r="T140" s="26"/>
      <c r="U140" s="28">
        <f t="shared" si="8"/>
        <v>1.7273810452418095</v>
      </c>
    </row>
    <row r="141" spans="1:21" x14ac:dyDescent="0.25">
      <c r="B141" s="9"/>
      <c r="C141" s="17">
        <v>804.87</v>
      </c>
      <c r="D141" s="18">
        <v>35.305999999999997</v>
      </c>
      <c r="E141" s="18">
        <v>39.347999999999999</v>
      </c>
      <c r="F141" s="18">
        <v>40.607999999999997</v>
      </c>
      <c r="G141" s="18">
        <v>56.76</v>
      </c>
      <c r="H141" s="18">
        <f t="shared" si="6"/>
        <v>36.473999999999997</v>
      </c>
      <c r="I141" s="5"/>
      <c r="J141" s="17">
        <v>957.04240000000004</v>
      </c>
      <c r="K141" s="18">
        <v>36.0321</v>
      </c>
      <c r="L141" s="18">
        <v>40.371899999999997</v>
      </c>
      <c r="M141" s="18">
        <v>41.556199999999997</v>
      </c>
      <c r="N141" s="18">
        <v>152.381</v>
      </c>
      <c r="O141" s="18">
        <f t="shared" si="7"/>
        <v>37.2650875</v>
      </c>
      <c r="P141" s="7"/>
      <c r="Q141" s="10"/>
      <c r="R141" s="11"/>
      <c r="S141" s="11"/>
      <c r="T141" s="26"/>
      <c r="U141" s="28">
        <f t="shared" si="8"/>
        <v>1.6846546863988727</v>
      </c>
    </row>
    <row r="142" spans="1:21" ht="16.5" thickBot="1" x14ac:dyDescent="0.3">
      <c r="B142" s="12"/>
      <c r="C142" s="19">
        <v>479.08</v>
      </c>
      <c r="D142" s="20">
        <v>33.421999999999997</v>
      </c>
      <c r="E142" s="20">
        <v>38.536000000000001</v>
      </c>
      <c r="F142" s="20">
        <v>39.944000000000003</v>
      </c>
      <c r="G142" s="20">
        <v>62.79</v>
      </c>
      <c r="H142" s="20">
        <f t="shared" si="6"/>
        <v>34.8765</v>
      </c>
      <c r="I142" s="5"/>
      <c r="J142" s="19">
        <v>557.88639999999998</v>
      </c>
      <c r="K142" s="20">
        <v>34.169199999999996</v>
      </c>
      <c r="L142" s="20">
        <v>39.599899999999998</v>
      </c>
      <c r="M142" s="20">
        <v>40.817900000000002</v>
      </c>
      <c r="N142" s="20">
        <v>167.2474</v>
      </c>
      <c r="O142" s="20">
        <f t="shared" si="7"/>
        <v>35.679124999999999</v>
      </c>
      <c r="P142" s="7"/>
      <c r="Q142" s="13"/>
      <c r="R142" s="14"/>
      <c r="S142" s="14"/>
      <c r="T142" s="27"/>
      <c r="U142" s="28">
        <f t="shared" si="8"/>
        <v>1.6635992992514732</v>
      </c>
    </row>
    <row r="143" spans="1:21" x14ac:dyDescent="0.25">
      <c r="B143" s="6" t="s">
        <v>49</v>
      </c>
      <c r="C143" s="15">
        <v>2282.4699999999998</v>
      </c>
      <c r="D143" s="16">
        <v>34.588000000000001</v>
      </c>
      <c r="E143" s="16">
        <v>38.436</v>
      </c>
      <c r="F143" s="16">
        <v>39.613999999999997</v>
      </c>
      <c r="G143" s="16">
        <v>53.24</v>
      </c>
      <c r="H143" s="16">
        <f t="shared" si="6"/>
        <v>35.697250000000004</v>
      </c>
      <c r="I143" s="5"/>
      <c r="J143" s="15">
        <v>2446.2568000000001</v>
      </c>
      <c r="K143" s="16">
        <v>35.718800000000002</v>
      </c>
      <c r="L143" s="16">
        <v>39.777500000000003</v>
      </c>
      <c r="M143" s="16">
        <v>41.002600000000001</v>
      </c>
      <c r="N143" s="16">
        <v>113.9601</v>
      </c>
      <c r="O143" s="16">
        <f t="shared" si="7"/>
        <v>36.886612499999998</v>
      </c>
      <c r="P143" s="7"/>
      <c r="Q143" s="8">
        <f>bdrate(C143:C146,D143:D146,J143:J146,K143:K146)</f>
        <v>-0.21470321155890093</v>
      </c>
      <c r="R143" s="8">
        <f>bdrate(C143:C146,E143:E146,J143:J146,L143:L146)</f>
        <v>-0.48951899702209123</v>
      </c>
      <c r="S143" s="8">
        <f>bdrate(C143:C146,F143:F146,J143:J146,M143:M146)</f>
        <v>-0.50958794198612622</v>
      </c>
      <c r="T143" s="25">
        <f>bdrate(C143:C146,H143:H146,J143:J146,O143:O146)</f>
        <v>-0.26475572479631537</v>
      </c>
      <c r="U143" s="28">
        <f t="shared" si="8"/>
        <v>1.1404977460555972</v>
      </c>
    </row>
    <row r="144" spans="1:21" x14ac:dyDescent="0.25">
      <c r="B144" s="9"/>
      <c r="C144" s="17">
        <v>1516.63</v>
      </c>
      <c r="D144" s="18">
        <v>33.436</v>
      </c>
      <c r="E144" s="18">
        <v>37.643999999999998</v>
      </c>
      <c r="F144" s="18">
        <v>39.033999999999999</v>
      </c>
      <c r="G144" s="18">
        <v>59.39</v>
      </c>
      <c r="H144" s="18">
        <f t="shared" si="6"/>
        <v>34.661749999999998</v>
      </c>
      <c r="I144" s="5"/>
      <c r="J144" s="17">
        <v>1663.6872000000001</v>
      </c>
      <c r="K144" s="18">
        <v>34.495699999999999</v>
      </c>
      <c r="L144" s="18">
        <v>39.053600000000003</v>
      </c>
      <c r="M144" s="18">
        <v>40.290700000000001</v>
      </c>
      <c r="N144" s="18">
        <v>130.4348</v>
      </c>
      <c r="O144" s="18">
        <f t="shared" si="7"/>
        <v>35.789812500000004</v>
      </c>
      <c r="P144" s="7"/>
      <c r="Q144" s="10"/>
      <c r="R144" s="11"/>
      <c r="S144" s="11"/>
      <c r="T144" s="26"/>
      <c r="U144" s="28">
        <f t="shared" si="8"/>
        <v>1.1962417915473984</v>
      </c>
    </row>
    <row r="145" spans="1:21" x14ac:dyDescent="0.25">
      <c r="B145" s="9"/>
      <c r="C145" s="17">
        <v>943.75</v>
      </c>
      <c r="D145" s="18">
        <v>32.095999999999997</v>
      </c>
      <c r="E145" s="18">
        <v>36.869999999999997</v>
      </c>
      <c r="F145" s="18">
        <v>38.517000000000003</v>
      </c>
      <c r="G145" s="18">
        <v>63.58</v>
      </c>
      <c r="H145" s="18">
        <f t="shared" si="6"/>
        <v>33.495374999999996</v>
      </c>
      <c r="I145" s="5"/>
      <c r="J145" s="17">
        <v>1022.9912</v>
      </c>
      <c r="K145" s="18">
        <v>32.993299999999998</v>
      </c>
      <c r="L145" s="18">
        <v>38.140500000000003</v>
      </c>
      <c r="M145" s="18">
        <v>39.464399999999998</v>
      </c>
      <c r="N145" s="18">
        <v>145.19059999999999</v>
      </c>
      <c r="O145" s="18">
        <f t="shared" si="7"/>
        <v>34.445587499999995</v>
      </c>
      <c r="P145" s="7"/>
      <c r="Q145" s="10"/>
      <c r="R145" s="11"/>
      <c r="S145" s="11"/>
      <c r="T145" s="26"/>
      <c r="U145" s="28">
        <f t="shared" si="8"/>
        <v>1.2835891789871028</v>
      </c>
    </row>
    <row r="146" spans="1:21" ht="16.5" thickBot="1" x14ac:dyDescent="0.3">
      <c r="B146" s="12"/>
      <c r="C146" s="19">
        <v>559.39</v>
      </c>
      <c r="D146" s="20">
        <v>30.602</v>
      </c>
      <c r="E146" s="20">
        <v>36.125</v>
      </c>
      <c r="F146" s="20">
        <v>38.021999999999998</v>
      </c>
      <c r="G146" s="20">
        <v>69.010000000000005</v>
      </c>
      <c r="H146" s="20">
        <f t="shared" si="6"/>
        <v>32.219875000000002</v>
      </c>
      <c r="I146" s="5"/>
      <c r="J146" s="19">
        <v>581.18880000000001</v>
      </c>
      <c r="K146" s="20">
        <v>31.335799999999999</v>
      </c>
      <c r="L146" s="20">
        <v>37.1935</v>
      </c>
      <c r="M146" s="20">
        <v>38.749099999999999</v>
      </c>
      <c r="N146" s="20">
        <v>165.4032</v>
      </c>
      <c r="O146" s="20">
        <f t="shared" si="7"/>
        <v>32.994675000000001</v>
      </c>
      <c r="P146" s="7"/>
      <c r="Q146" s="13"/>
      <c r="R146" s="14"/>
      <c r="S146" s="14"/>
      <c r="T146" s="27"/>
      <c r="U146" s="28">
        <f t="shared" si="8"/>
        <v>1.3968004637009126</v>
      </c>
    </row>
    <row r="147" spans="1:21" x14ac:dyDescent="0.25">
      <c r="B147" s="6" t="s">
        <v>50</v>
      </c>
      <c r="C147" s="15">
        <v>2374.02</v>
      </c>
      <c r="D147" s="16">
        <v>32.795000000000002</v>
      </c>
      <c r="E147" s="16">
        <v>37.246000000000002</v>
      </c>
      <c r="F147" s="16">
        <v>38.512</v>
      </c>
      <c r="G147" s="16">
        <v>57.86</v>
      </c>
      <c r="H147" s="16">
        <f t="shared" si="6"/>
        <v>34.066000000000003</v>
      </c>
      <c r="I147" s="5"/>
      <c r="J147" s="15">
        <v>2409.2800000000002</v>
      </c>
      <c r="K147" s="16">
        <v>33.780799999999999</v>
      </c>
      <c r="L147" s="16">
        <v>38.031799999999997</v>
      </c>
      <c r="M147" s="16">
        <v>39.981299999999997</v>
      </c>
      <c r="N147" s="16">
        <v>78.939099999999996</v>
      </c>
      <c r="O147" s="16">
        <f t="shared" si="7"/>
        <v>35.087237500000001</v>
      </c>
      <c r="P147" s="7"/>
      <c r="Q147" s="8">
        <f>bdrate(C147:C150,D147:D150,J147:J150,K147:K150)</f>
        <v>-0.17309675840081384</v>
      </c>
      <c r="R147" s="8">
        <f>bdrate(C147:C150,E147:E150,J147:J150,L147:L150)</f>
        <v>-0.44815573652158092</v>
      </c>
      <c r="S147" s="8">
        <f>bdrate(C147:C150,F147:F150,J147:J150,M147:M150)</f>
        <v>-0.44739912519631442</v>
      </c>
      <c r="T147" s="25">
        <f>bdrate(C147:C150,H147:H150,J147:J150,O147:O150)</f>
        <v>-0.22137144760856087</v>
      </c>
      <c r="U147" s="28">
        <f t="shared" si="8"/>
        <v>0.36431213273418589</v>
      </c>
    </row>
    <row r="148" spans="1:21" x14ac:dyDescent="0.25">
      <c r="B148" s="9"/>
      <c r="C148" s="17">
        <v>1581.23</v>
      </c>
      <c r="D148" s="18">
        <v>31.72</v>
      </c>
      <c r="E148" s="18">
        <v>36.807000000000002</v>
      </c>
      <c r="F148" s="18">
        <v>37.814</v>
      </c>
      <c r="G148" s="18">
        <v>65.150000000000006</v>
      </c>
      <c r="H148" s="18">
        <f t="shared" si="6"/>
        <v>33.117625000000004</v>
      </c>
      <c r="I148" s="5"/>
      <c r="J148" s="17">
        <v>1605.5504000000001</v>
      </c>
      <c r="K148" s="18">
        <v>32.539700000000003</v>
      </c>
      <c r="L148" s="18">
        <v>37.603099999999998</v>
      </c>
      <c r="M148" s="18">
        <v>39.167299999999997</v>
      </c>
      <c r="N148" s="18">
        <v>164.3655</v>
      </c>
      <c r="O148" s="18">
        <f t="shared" si="7"/>
        <v>34.001075</v>
      </c>
      <c r="P148" s="7"/>
      <c r="Q148" s="10"/>
      <c r="R148" s="11"/>
      <c r="S148" s="11"/>
      <c r="T148" s="26"/>
      <c r="U148" s="28">
        <f t="shared" si="8"/>
        <v>1.5228779739063696</v>
      </c>
    </row>
    <row r="149" spans="1:21" x14ac:dyDescent="0.25">
      <c r="B149" s="9"/>
      <c r="C149" s="17">
        <v>975.79</v>
      </c>
      <c r="D149" s="18">
        <v>30.309000000000001</v>
      </c>
      <c r="E149" s="18">
        <v>36.234000000000002</v>
      </c>
      <c r="F149" s="18">
        <v>36.908000000000001</v>
      </c>
      <c r="G149" s="18">
        <v>67.05</v>
      </c>
      <c r="H149" s="18">
        <f t="shared" si="6"/>
        <v>31.874500000000005</v>
      </c>
      <c r="I149" s="5"/>
      <c r="J149" s="17">
        <v>1000.6584</v>
      </c>
      <c r="K149" s="18">
        <v>30.920100000000001</v>
      </c>
      <c r="L149" s="18">
        <v>36.996299999999998</v>
      </c>
      <c r="M149" s="18">
        <v>38.122300000000003</v>
      </c>
      <c r="N149" s="18">
        <v>179.0831</v>
      </c>
      <c r="O149" s="18">
        <f t="shared" si="7"/>
        <v>32.579900000000002</v>
      </c>
      <c r="P149" s="7"/>
      <c r="Q149" s="10"/>
      <c r="R149" s="11"/>
      <c r="S149" s="11"/>
      <c r="T149" s="26"/>
      <c r="U149" s="28">
        <f t="shared" si="8"/>
        <v>1.6708888888888891</v>
      </c>
    </row>
    <row r="150" spans="1:21" ht="16.5" thickBot="1" x14ac:dyDescent="0.3">
      <c r="B150" s="12"/>
      <c r="C150" s="19">
        <v>570.09</v>
      </c>
      <c r="D150" s="20">
        <v>28.535</v>
      </c>
      <c r="E150" s="20">
        <v>35.271999999999998</v>
      </c>
      <c r="F150" s="20">
        <v>35.456000000000003</v>
      </c>
      <c r="G150" s="20">
        <v>72.52</v>
      </c>
      <c r="H150" s="20">
        <f t="shared" si="6"/>
        <v>30.242249999999999</v>
      </c>
      <c r="I150" s="5"/>
      <c r="J150" s="19">
        <v>597.8288</v>
      </c>
      <c r="K150" s="20">
        <v>29.078099999999999</v>
      </c>
      <c r="L150" s="20">
        <v>36.290599999999998</v>
      </c>
      <c r="M150" s="20">
        <v>36.981099999999998</v>
      </c>
      <c r="N150" s="20">
        <v>190.76689999999999</v>
      </c>
      <c r="O150" s="20">
        <f t="shared" si="7"/>
        <v>30.967537499999995</v>
      </c>
      <c r="P150" s="7"/>
      <c r="Q150" s="13"/>
      <c r="R150" s="14"/>
      <c r="S150" s="14"/>
      <c r="T150" s="27"/>
      <c r="U150" s="28">
        <f t="shared" si="8"/>
        <v>1.6305419194704909</v>
      </c>
    </row>
    <row r="151" spans="1:21" x14ac:dyDescent="0.25">
      <c r="B151" s="6" t="s">
        <v>51</v>
      </c>
      <c r="C151" s="29">
        <v>2397.6</v>
      </c>
      <c r="D151" s="30">
        <v>33.392000000000003</v>
      </c>
      <c r="E151" s="30">
        <v>39.447000000000003</v>
      </c>
      <c r="F151" s="30">
        <v>38.893999999999998</v>
      </c>
      <c r="G151" s="16">
        <v>53.95</v>
      </c>
      <c r="H151" s="16">
        <f t="shared" si="6"/>
        <v>34.836625000000005</v>
      </c>
      <c r="I151" s="5"/>
      <c r="J151" s="29">
        <v>2414.9911999999999</v>
      </c>
      <c r="K151" s="30">
        <v>33.735199999999999</v>
      </c>
      <c r="L151" s="30">
        <v>40.145600000000002</v>
      </c>
      <c r="M151" s="30">
        <v>39.7149</v>
      </c>
      <c r="N151" s="16">
        <v>126.7106</v>
      </c>
      <c r="O151" s="16">
        <f t="shared" si="7"/>
        <v>35.283962500000001</v>
      </c>
      <c r="P151" s="7"/>
      <c r="Q151" s="8">
        <f>bdrate(C151:C154,D151:D154,J151:J154,K151:K154)</f>
        <v>-6.8888593577692614E-2</v>
      </c>
      <c r="R151" s="8">
        <f>bdrate(C151:C154,E151:E154,J151:J154,L151:L154)</f>
        <v>-0.27503995348497257</v>
      </c>
      <c r="S151" s="8">
        <f>bdrate(C151:C154,F151:F154,J151:J154,M151:M154)</f>
        <v>-0.28318036008842395</v>
      </c>
      <c r="T151" s="25">
        <f>bdrate(C151:C154,H151:H154,J151:J154,O151:O154)</f>
        <v>-0.11413017322997598</v>
      </c>
      <c r="U151" s="28">
        <f t="shared" si="8"/>
        <v>1.3486672845227061</v>
      </c>
    </row>
    <row r="152" spans="1:21" x14ac:dyDescent="0.25">
      <c r="B152" s="9"/>
      <c r="C152" s="31">
        <v>1586.47</v>
      </c>
      <c r="D152" s="32">
        <v>31.988</v>
      </c>
      <c r="E152" s="32">
        <v>38.610999999999997</v>
      </c>
      <c r="F152" s="32">
        <v>37.786999999999999</v>
      </c>
      <c r="G152" s="18">
        <v>60.92</v>
      </c>
      <c r="H152" s="18">
        <f t="shared" si="6"/>
        <v>33.540749999999996</v>
      </c>
      <c r="I152" s="5"/>
      <c r="J152" s="31">
        <v>1609.4344000000001</v>
      </c>
      <c r="K152" s="32">
        <v>32.315899999999999</v>
      </c>
      <c r="L152" s="32">
        <v>39.371600000000001</v>
      </c>
      <c r="M152" s="32">
        <v>38.7288</v>
      </c>
      <c r="N152" s="18">
        <v>148.41200000000001</v>
      </c>
      <c r="O152" s="18">
        <f t="shared" si="7"/>
        <v>33.999474999999997</v>
      </c>
      <c r="P152" s="7"/>
      <c r="Q152" s="10"/>
      <c r="R152" s="11"/>
      <c r="S152" s="11"/>
      <c r="T152" s="26"/>
      <c r="U152" s="28">
        <f t="shared" si="8"/>
        <v>1.4361785948785293</v>
      </c>
    </row>
    <row r="153" spans="1:21" x14ac:dyDescent="0.25">
      <c r="B153" s="9"/>
      <c r="C153" s="31">
        <v>989.57</v>
      </c>
      <c r="D153" s="32">
        <v>30.251000000000001</v>
      </c>
      <c r="E153" s="32">
        <v>37.542000000000002</v>
      </c>
      <c r="F153" s="32">
        <v>36.441000000000003</v>
      </c>
      <c r="G153" s="18">
        <v>64.48</v>
      </c>
      <c r="H153" s="18">
        <f t="shared" si="6"/>
        <v>31.936125000000001</v>
      </c>
      <c r="I153" s="5"/>
      <c r="J153" s="31">
        <v>1001.4832</v>
      </c>
      <c r="K153" s="32">
        <v>30.530200000000001</v>
      </c>
      <c r="L153" s="32">
        <v>38.3384</v>
      </c>
      <c r="M153" s="32">
        <v>37.468299999999999</v>
      </c>
      <c r="N153" s="18">
        <v>163.559</v>
      </c>
      <c r="O153" s="18">
        <f t="shared" si="7"/>
        <v>32.373487499999996</v>
      </c>
      <c r="P153" s="7"/>
      <c r="Q153" s="10"/>
      <c r="R153" s="11"/>
      <c r="S153" s="11"/>
      <c r="T153" s="26"/>
      <c r="U153" s="28">
        <f t="shared" si="8"/>
        <v>1.536584987593052</v>
      </c>
    </row>
    <row r="154" spans="1:21" ht="16.5" thickBot="1" x14ac:dyDescent="0.3">
      <c r="B154" s="12"/>
      <c r="C154" s="33">
        <v>585.49</v>
      </c>
      <c r="D154" s="34">
        <v>28.207999999999998</v>
      </c>
      <c r="E154" s="34">
        <v>35.715000000000003</v>
      </c>
      <c r="F154" s="34">
        <v>34.274999999999999</v>
      </c>
      <c r="G154" s="20">
        <v>69.22</v>
      </c>
      <c r="H154" s="20">
        <f t="shared" si="6"/>
        <v>29.90475</v>
      </c>
      <c r="I154" s="5"/>
      <c r="J154" s="33">
        <v>601.13199999999995</v>
      </c>
      <c r="K154" s="34">
        <v>28.6052</v>
      </c>
      <c r="L154" s="34">
        <v>36.915599999999998</v>
      </c>
      <c r="M154" s="34">
        <v>35.8127</v>
      </c>
      <c r="N154" s="20">
        <v>179.01900000000001</v>
      </c>
      <c r="O154" s="20">
        <f t="shared" si="7"/>
        <v>30.544937500000003</v>
      </c>
      <c r="P154" s="7"/>
      <c r="Q154" s="13"/>
      <c r="R154" s="14"/>
      <c r="S154" s="14"/>
      <c r="T154" s="27"/>
      <c r="U154" s="28">
        <f t="shared" si="8"/>
        <v>1.5862323028026584</v>
      </c>
    </row>
    <row r="155" spans="1:21" x14ac:dyDescent="0.25">
      <c r="B155" s="6" t="s">
        <v>52</v>
      </c>
      <c r="C155" s="15">
        <v>2387.5300000000002</v>
      </c>
      <c r="D155" s="16">
        <v>31.777000000000001</v>
      </c>
      <c r="E155" s="16">
        <v>38.433</v>
      </c>
      <c r="F155" s="16">
        <v>41.101999999999997</v>
      </c>
      <c r="G155" s="16">
        <v>66.2</v>
      </c>
      <c r="H155" s="16">
        <f t="shared" si="6"/>
        <v>33.774625</v>
      </c>
      <c r="I155" s="5"/>
      <c r="J155" s="15">
        <v>2416.0111999999999</v>
      </c>
      <c r="K155" s="16">
        <v>33.341999999999999</v>
      </c>
      <c r="L155" s="16">
        <v>39.682600000000001</v>
      </c>
      <c r="M155" s="16">
        <v>42.180100000000003</v>
      </c>
      <c r="N155" s="16">
        <v>130.80439999999999</v>
      </c>
      <c r="O155" s="16">
        <f t="shared" si="7"/>
        <v>35.239337499999998</v>
      </c>
      <c r="P155" s="7"/>
      <c r="Q155" s="8">
        <f>bdrate(C155:C158,D155:D158,J155:J158,K155:K158)</f>
        <v>-0.48962755859527118</v>
      </c>
      <c r="R155" s="8">
        <f>bdrate(C155:C158,E155:E158,J155:J158,L155:L158)</f>
        <v>-0.61079597995279089</v>
      </c>
      <c r="S155" s="8">
        <f>bdrate(C155:C158,F155:F158,J155:J158,M155:M158)</f>
        <v>-0.53658268327875658</v>
      </c>
      <c r="T155" s="25">
        <f>bdrate(C155:C158,H155:H158,J155:J158,O155:O158)</f>
        <v>-0.50006484139505436</v>
      </c>
      <c r="U155" s="28">
        <f t="shared" si="8"/>
        <v>0.97589728096676709</v>
      </c>
    </row>
    <row r="156" spans="1:21" x14ac:dyDescent="0.25">
      <c r="B156" s="9"/>
      <c r="C156" s="17">
        <v>1561.94</v>
      </c>
      <c r="D156" s="18">
        <v>30.827999999999999</v>
      </c>
      <c r="E156" s="18">
        <v>38.042999999999999</v>
      </c>
      <c r="F156" s="18">
        <v>40.774000000000001</v>
      </c>
      <c r="G156" s="18">
        <v>72.3</v>
      </c>
      <c r="H156" s="18">
        <f t="shared" si="6"/>
        <v>32.973124999999996</v>
      </c>
      <c r="I156" s="5"/>
      <c r="J156" s="17">
        <v>1617.7031999999999</v>
      </c>
      <c r="K156" s="18">
        <v>32.625500000000002</v>
      </c>
      <c r="L156" s="18">
        <v>39.209699999999998</v>
      </c>
      <c r="M156" s="18">
        <v>41.770499999999998</v>
      </c>
      <c r="N156" s="18">
        <v>167.97309999999999</v>
      </c>
      <c r="O156" s="18">
        <f t="shared" si="7"/>
        <v>34.591650000000001</v>
      </c>
      <c r="P156" s="7"/>
      <c r="Q156" s="10"/>
      <c r="R156" s="11"/>
      <c r="S156" s="11"/>
      <c r="T156" s="26"/>
      <c r="U156" s="28">
        <f t="shared" si="8"/>
        <v>1.3232793914246195</v>
      </c>
    </row>
    <row r="157" spans="1:21" x14ac:dyDescent="0.25">
      <c r="B157" s="9"/>
      <c r="C157" s="17">
        <v>928.43</v>
      </c>
      <c r="D157" s="18">
        <v>29.388999999999999</v>
      </c>
      <c r="E157" s="18">
        <v>37.521999999999998</v>
      </c>
      <c r="F157" s="18">
        <v>40.268000000000001</v>
      </c>
      <c r="G157" s="18">
        <v>76.31</v>
      </c>
      <c r="H157" s="18">
        <f t="shared" si="6"/>
        <v>31.765499999999999</v>
      </c>
      <c r="I157" s="5"/>
      <c r="J157" s="17">
        <v>1027.4287999999999</v>
      </c>
      <c r="K157" s="18">
        <v>31.508199999999999</v>
      </c>
      <c r="L157" s="18">
        <v>38.612299999999998</v>
      </c>
      <c r="M157" s="18">
        <v>41.145899999999997</v>
      </c>
      <c r="N157" s="18">
        <v>178.09440000000001</v>
      </c>
      <c r="O157" s="18">
        <f t="shared" si="7"/>
        <v>33.600924999999997</v>
      </c>
      <c r="P157" s="7"/>
      <c r="Q157" s="10"/>
      <c r="R157" s="11"/>
      <c r="S157" s="11"/>
      <c r="T157" s="26"/>
      <c r="U157" s="28">
        <f t="shared" si="8"/>
        <v>1.3338278076267855</v>
      </c>
    </row>
    <row r="158" spans="1:21" ht="16.5" thickBot="1" x14ac:dyDescent="0.3">
      <c r="B158" s="12"/>
      <c r="C158" s="19">
        <v>480.9</v>
      </c>
      <c r="D158" s="20">
        <v>26.317</v>
      </c>
      <c r="E158" s="20">
        <v>36.234000000000002</v>
      </c>
      <c r="F158" s="20">
        <v>39.18</v>
      </c>
      <c r="G158" s="20">
        <v>80.459999999999994</v>
      </c>
      <c r="H158" s="20">
        <f t="shared" si="6"/>
        <v>29.1645</v>
      </c>
      <c r="I158" s="5"/>
      <c r="J158" s="19">
        <v>598.86800000000005</v>
      </c>
      <c r="K158" s="20">
        <v>29.952300000000001</v>
      </c>
      <c r="L158" s="20">
        <v>37.994399999999999</v>
      </c>
      <c r="M158" s="20">
        <v>40.549999999999997</v>
      </c>
      <c r="N158" s="20">
        <v>187.6173</v>
      </c>
      <c r="O158" s="20">
        <f t="shared" si="7"/>
        <v>32.282274999999998</v>
      </c>
      <c r="P158" s="7"/>
      <c r="Q158" s="13"/>
      <c r="R158" s="14"/>
      <c r="S158" s="14"/>
      <c r="T158" s="27"/>
      <c r="U158" s="28">
        <f t="shared" si="8"/>
        <v>1.3318083519761375</v>
      </c>
    </row>
    <row r="159" spans="1:21" x14ac:dyDescent="0.25">
      <c r="A159" s="6" t="s">
        <v>39</v>
      </c>
      <c r="B159" s="6" t="s">
        <v>53</v>
      </c>
      <c r="C159" s="15">
        <v>1222.9000000000001</v>
      </c>
      <c r="D159" s="16">
        <v>33.567999999999998</v>
      </c>
      <c r="E159" s="16">
        <v>37.313000000000002</v>
      </c>
      <c r="F159" s="16">
        <v>37.046999999999997</v>
      </c>
      <c r="G159" s="16">
        <v>222.62</v>
      </c>
      <c r="H159" s="16">
        <f t="shared" si="6"/>
        <v>34.471000000000004</v>
      </c>
      <c r="I159" s="5"/>
      <c r="J159" s="15">
        <v>1218.4983999999999</v>
      </c>
      <c r="K159" s="16">
        <v>34.626199999999997</v>
      </c>
      <c r="L159" s="16">
        <v>38.858800000000002</v>
      </c>
      <c r="M159" s="16">
        <v>38.609400000000001</v>
      </c>
      <c r="N159" s="16">
        <v>457.87549999999999</v>
      </c>
      <c r="O159" s="16">
        <f t="shared" si="7"/>
        <v>35.653174999999997</v>
      </c>
      <c r="P159" s="7"/>
      <c r="Q159" s="8">
        <f>bdrate(C159:C162,D159:D162,J159:J162,K159:K162)</f>
        <v>-0.19899243441130865</v>
      </c>
      <c r="R159" s="8">
        <f>bdrate(C159:C162,E159:E162,J159:J162,L159:L162)</f>
        <v>-0.36422349785207997</v>
      </c>
      <c r="S159" s="8">
        <f>bdrate(C159:C162,F159:F162,J159:J162,M159:M162)</f>
        <v>-0.34075869834359118</v>
      </c>
      <c r="T159" s="25">
        <f>bdrate(C159:C162,H159:H162,J159:J162,O159:O162)</f>
        <v>-0.23132125784615065</v>
      </c>
      <c r="U159" s="28">
        <f t="shared" si="8"/>
        <v>1.0567581529062977</v>
      </c>
    </row>
    <row r="160" spans="1:21" x14ac:dyDescent="0.25">
      <c r="A160" s="9" t="s">
        <v>40</v>
      </c>
      <c r="B160" s="9"/>
      <c r="C160" s="17">
        <v>811.34</v>
      </c>
      <c r="D160" s="18">
        <v>32.134</v>
      </c>
      <c r="E160" s="18">
        <v>36.415999999999997</v>
      </c>
      <c r="F160" s="18">
        <v>36.014000000000003</v>
      </c>
      <c r="G160" s="18">
        <v>250.38</v>
      </c>
      <c r="H160" s="18">
        <f t="shared" si="6"/>
        <v>33.154249999999998</v>
      </c>
      <c r="I160" s="5"/>
      <c r="J160" s="17">
        <v>805.01679999999999</v>
      </c>
      <c r="K160" s="18">
        <v>33.069699999999997</v>
      </c>
      <c r="L160" s="18">
        <v>37.640099999999997</v>
      </c>
      <c r="M160" s="18">
        <v>37.2791</v>
      </c>
      <c r="N160" s="18">
        <v>593.11980000000005</v>
      </c>
      <c r="O160" s="18">
        <f t="shared" si="7"/>
        <v>34.167175</v>
      </c>
      <c r="P160" s="7"/>
      <c r="Q160" s="10"/>
      <c r="R160" s="11"/>
      <c r="S160" s="11"/>
      <c r="T160" s="26"/>
      <c r="U160" s="28">
        <f t="shared" si="8"/>
        <v>1.3688785046728975</v>
      </c>
    </row>
    <row r="161" spans="1:21" x14ac:dyDescent="0.25">
      <c r="B161" s="9"/>
      <c r="C161" s="17">
        <v>506</v>
      </c>
      <c r="D161" s="18">
        <v>30.568999999999999</v>
      </c>
      <c r="E161" s="18">
        <v>35.412999999999997</v>
      </c>
      <c r="F161" s="18">
        <v>34.853000000000002</v>
      </c>
      <c r="G161" s="18">
        <v>278.70999999999998</v>
      </c>
      <c r="H161" s="18">
        <f t="shared" si="6"/>
        <v>31.71</v>
      </c>
      <c r="I161" s="5"/>
      <c r="J161" s="17">
        <v>503.10079999999999</v>
      </c>
      <c r="K161" s="18">
        <v>31.291499999999999</v>
      </c>
      <c r="L161" s="18">
        <v>36.405500000000004</v>
      </c>
      <c r="M161" s="18">
        <v>35.884099999999997</v>
      </c>
      <c r="N161" s="18">
        <v>682.12819999999999</v>
      </c>
      <c r="O161" s="18">
        <f t="shared" si="7"/>
        <v>32.504824999999997</v>
      </c>
      <c r="P161" s="7"/>
      <c r="Q161" s="10"/>
      <c r="R161" s="11"/>
      <c r="S161" s="11"/>
      <c r="T161" s="26"/>
      <c r="U161" s="28">
        <f t="shared" si="8"/>
        <v>1.4474478848982815</v>
      </c>
    </row>
    <row r="162" spans="1:21" ht="16.5" thickBot="1" x14ac:dyDescent="0.3">
      <c r="B162" s="12"/>
      <c r="C162" s="19">
        <v>300.07</v>
      </c>
      <c r="D162" s="20">
        <v>28.902999999999999</v>
      </c>
      <c r="E162" s="20">
        <v>34.223999999999997</v>
      </c>
      <c r="F162" s="20">
        <v>33.527000000000001</v>
      </c>
      <c r="G162" s="20">
        <v>320.51</v>
      </c>
      <c r="H162" s="20">
        <f t="shared" si="6"/>
        <v>30.146124999999998</v>
      </c>
      <c r="I162" s="5"/>
      <c r="J162" s="19">
        <v>301.9624</v>
      </c>
      <c r="K162" s="20">
        <v>29.297499999999999</v>
      </c>
      <c r="L162" s="20">
        <v>35.081699999999998</v>
      </c>
      <c r="M162" s="20">
        <v>34.425899999999999</v>
      </c>
      <c r="N162" s="20">
        <v>781.25</v>
      </c>
      <c r="O162" s="20">
        <f t="shared" si="7"/>
        <v>30.661574999999999</v>
      </c>
      <c r="P162" s="7"/>
      <c r="Q162" s="13"/>
      <c r="R162" s="14"/>
      <c r="S162" s="14"/>
      <c r="T162" s="27"/>
      <c r="U162" s="28">
        <f t="shared" si="8"/>
        <v>1.4375214501887617</v>
      </c>
    </row>
    <row r="163" spans="1:21" x14ac:dyDescent="0.25">
      <c r="B163" s="6" t="s">
        <v>54</v>
      </c>
      <c r="C163" s="15">
        <v>1224.2</v>
      </c>
      <c r="D163" s="16">
        <v>33.381999999999998</v>
      </c>
      <c r="E163" s="16">
        <v>38.817999999999998</v>
      </c>
      <c r="F163" s="16">
        <v>39.613999999999997</v>
      </c>
      <c r="G163" s="16">
        <v>258.18</v>
      </c>
      <c r="H163" s="16">
        <f t="shared" si="6"/>
        <v>34.840499999999992</v>
      </c>
      <c r="I163" s="5"/>
      <c r="J163" s="15">
        <v>1237.1016</v>
      </c>
      <c r="K163" s="16">
        <v>34.843499999999999</v>
      </c>
      <c r="L163" s="16">
        <v>40.342399999999998</v>
      </c>
      <c r="M163" s="16">
        <v>41.136000000000003</v>
      </c>
      <c r="N163" s="16">
        <v>512.82050000000004</v>
      </c>
      <c r="O163" s="16">
        <f t="shared" si="7"/>
        <v>36.317425</v>
      </c>
      <c r="P163" s="7"/>
      <c r="Q163" s="8">
        <f>bdrate(C163:C166,D163:D166,J163:J166,K163:K166)</f>
        <v>-0.26745388252561619</v>
      </c>
      <c r="R163" s="8">
        <f>bdrate(C163:C166,E163:E166,J163:J166,L163:L166)</f>
        <v>-0.49735056953030377</v>
      </c>
      <c r="S163" s="8">
        <f>bdrate(C163:C166,F163:F166,J163:J166,M163:M166)</f>
        <v>-0.44802915662580167</v>
      </c>
      <c r="T163" s="25">
        <f>bdrate(C163:C166,H163:H166,J163:J166,O163:O166)</f>
        <v>-0.30619430090871125</v>
      </c>
      <c r="U163" s="28">
        <f t="shared" si="8"/>
        <v>0.98629057246882035</v>
      </c>
    </row>
    <row r="164" spans="1:21" x14ac:dyDescent="0.25">
      <c r="B164" s="9"/>
      <c r="C164" s="17">
        <v>813.92</v>
      </c>
      <c r="D164" s="18">
        <v>31.914999999999999</v>
      </c>
      <c r="E164" s="18">
        <v>37.895000000000003</v>
      </c>
      <c r="F164" s="18">
        <v>38.593000000000004</v>
      </c>
      <c r="G164" s="18">
        <v>289.16000000000003</v>
      </c>
      <c r="H164" s="18">
        <f t="shared" si="6"/>
        <v>33.497250000000001</v>
      </c>
      <c r="I164" s="5"/>
      <c r="J164" s="17">
        <v>824.20719999999994</v>
      </c>
      <c r="K164" s="18">
        <v>33.250100000000003</v>
      </c>
      <c r="L164" s="18">
        <v>39.437199999999997</v>
      </c>
      <c r="M164" s="18">
        <v>40.110500000000002</v>
      </c>
      <c r="N164" s="18">
        <v>600.60059999999999</v>
      </c>
      <c r="O164" s="18">
        <f t="shared" si="7"/>
        <v>34.881037500000005</v>
      </c>
      <c r="P164" s="7"/>
      <c r="Q164" s="10"/>
      <c r="R164" s="11"/>
      <c r="S164" s="11"/>
      <c r="T164" s="26"/>
      <c r="U164" s="28">
        <f t="shared" si="8"/>
        <v>1.0770528427168347</v>
      </c>
    </row>
    <row r="165" spans="1:21" x14ac:dyDescent="0.25">
      <c r="B165" s="9"/>
      <c r="C165" s="17">
        <v>505.66</v>
      </c>
      <c r="D165" s="18">
        <v>30.186</v>
      </c>
      <c r="E165" s="18">
        <v>36.933999999999997</v>
      </c>
      <c r="F165" s="18">
        <v>37.499000000000002</v>
      </c>
      <c r="G165" s="18">
        <v>315.29000000000002</v>
      </c>
      <c r="H165" s="18">
        <f t="shared" si="6"/>
        <v>31.943624999999997</v>
      </c>
      <c r="I165" s="5"/>
      <c r="J165" s="17">
        <v>514.59280000000001</v>
      </c>
      <c r="K165" s="18">
        <v>31.3931</v>
      </c>
      <c r="L165" s="18">
        <v>38.393999999999998</v>
      </c>
      <c r="M165" s="18">
        <v>38.951000000000001</v>
      </c>
      <c r="N165" s="18">
        <v>674.91560000000004</v>
      </c>
      <c r="O165" s="18">
        <f t="shared" si="7"/>
        <v>33.212949999999999</v>
      </c>
      <c r="P165" s="7"/>
      <c r="Q165" s="10"/>
      <c r="R165" s="11"/>
      <c r="S165" s="11"/>
      <c r="T165" s="26"/>
      <c r="U165" s="28">
        <f t="shared" si="8"/>
        <v>1.1406184782263948</v>
      </c>
    </row>
    <row r="166" spans="1:21" ht="16.5" thickBot="1" x14ac:dyDescent="0.3">
      <c r="B166" s="12"/>
      <c r="C166" s="19">
        <v>299.04000000000002</v>
      </c>
      <c r="D166" s="20">
        <v>28.209</v>
      </c>
      <c r="E166" s="20">
        <v>35.683999999999997</v>
      </c>
      <c r="F166" s="20">
        <v>36.017000000000003</v>
      </c>
      <c r="G166" s="20">
        <v>340.52</v>
      </c>
      <c r="H166" s="20">
        <f t="shared" si="6"/>
        <v>30.119374999999998</v>
      </c>
      <c r="I166" s="5"/>
      <c r="J166" s="19">
        <v>308.67680000000001</v>
      </c>
      <c r="K166" s="20">
        <v>29.308800000000002</v>
      </c>
      <c r="L166" s="20">
        <v>37.330800000000004</v>
      </c>
      <c r="M166" s="20">
        <v>37.673200000000001</v>
      </c>
      <c r="N166" s="20">
        <v>784.31370000000004</v>
      </c>
      <c r="O166" s="20">
        <f t="shared" si="7"/>
        <v>31.357100000000003</v>
      </c>
      <c r="P166" s="7"/>
      <c r="Q166" s="13"/>
      <c r="R166" s="14"/>
      <c r="S166" s="14"/>
      <c r="T166" s="27"/>
      <c r="U166" s="28">
        <f t="shared" si="8"/>
        <v>1.3032823329026197</v>
      </c>
    </row>
    <row r="167" spans="1:21" x14ac:dyDescent="0.25">
      <c r="B167" s="6" t="s">
        <v>55</v>
      </c>
      <c r="C167" s="15">
        <v>1091.33</v>
      </c>
      <c r="D167" s="16">
        <v>27.916</v>
      </c>
      <c r="E167" s="16">
        <v>34.521999999999998</v>
      </c>
      <c r="F167" s="16">
        <v>35.317999999999998</v>
      </c>
      <c r="G167" s="16">
        <v>254.32</v>
      </c>
      <c r="H167" s="16">
        <f t="shared" si="6"/>
        <v>29.667000000000002</v>
      </c>
      <c r="I167" s="5"/>
      <c r="J167" s="15">
        <v>1216.9431999999999</v>
      </c>
      <c r="K167" s="16">
        <v>29.9392</v>
      </c>
      <c r="L167" s="16">
        <v>36.545299999999997</v>
      </c>
      <c r="M167" s="16">
        <v>37.316499999999998</v>
      </c>
      <c r="N167" s="16">
        <v>478.46890000000002</v>
      </c>
      <c r="O167" s="16">
        <f t="shared" si="7"/>
        <v>31.687124999999998</v>
      </c>
      <c r="P167" s="7"/>
      <c r="Q167" s="8">
        <f>bdrate(C167:C170,D167:D170,J167:J170,K167:K170)</f>
        <v>-0.40460766996737674</v>
      </c>
      <c r="R167" s="8">
        <f>bdrate(C167:C170,E167:E170,J167:J170,L167:L170)</f>
        <v>-0.63045360756301072</v>
      </c>
      <c r="S167" s="8">
        <f>bdrate(C167:C170,F167:F170,J167:J170,M167:M170)</f>
        <v>-0.60441520529301496</v>
      </c>
      <c r="T167" s="25">
        <f>bdrate(C167:C170,H167:H170,J167:J170,O167:O170)</f>
        <v>-0.44283898685582634</v>
      </c>
      <c r="U167" s="28">
        <f t="shared" si="8"/>
        <v>0.88136560239068906</v>
      </c>
    </row>
    <row r="168" spans="1:21" x14ac:dyDescent="0.25">
      <c r="B168" s="9"/>
      <c r="C168" s="17">
        <v>727.92</v>
      </c>
      <c r="D168" s="18">
        <v>26.68</v>
      </c>
      <c r="E168" s="18">
        <v>33.932000000000002</v>
      </c>
      <c r="F168" s="18">
        <v>34.765999999999998</v>
      </c>
      <c r="G168" s="18">
        <v>273.97000000000003</v>
      </c>
      <c r="H168" s="18">
        <f t="shared" si="6"/>
        <v>28.597249999999999</v>
      </c>
      <c r="I168" s="5"/>
      <c r="J168" s="17">
        <v>810.87519999999995</v>
      </c>
      <c r="K168" s="18">
        <v>28.613499999999998</v>
      </c>
      <c r="L168" s="18">
        <v>35.754100000000001</v>
      </c>
      <c r="M168" s="18">
        <v>36.492199999999997</v>
      </c>
      <c r="N168" s="18">
        <v>561.79780000000005</v>
      </c>
      <c r="O168" s="18">
        <f t="shared" si="7"/>
        <v>30.490912499999997</v>
      </c>
      <c r="P168" s="7"/>
      <c r="Q168" s="10"/>
      <c r="R168" s="11"/>
      <c r="S168" s="11"/>
      <c r="T168" s="26"/>
      <c r="U168" s="28">
        <f t="shared" si="8"/>
        <v>1.05058145052378</v>
      </c>
    </row>
    <row r="169" spans="1:21" x14ac:dyDescent="0.25">
      <c r="B169" s="9"/>
      <c r="C169" s="17">
        <v>450.55</v>
      </c>
      <c r="D169" s="18">
        <v>25.311</v>
      </c>
      <c r="E169" s="18">
        <v>33.262999999999998</v>
      </c>
      <c r="F169" s="18">
        <v>34.119999999999997</v>
      </c>
      <c r="G169" s="18">
        <v>317.26</v>
      </c>
      <c r="H169" s="18">
        <f t="shared" si="6"/>
        <v>27.406124999999999</v>
      </c>
      <c r="I169" s="5"/>
      <c r="J169" s="17">
        <v>508.8064</v>
      </c>
      <c r="K169" s="18">
        <v>27.1753</v>
      </c>
      <c r="L169" s="18">
        <v>34.966900000000003</v>
      </c>
      <c r="M169" s="18">
        <v>35.679200000000002</v>
      </c>
      <c r="N169" s="18">
        <v>666.66669999999999</v>
      </c>
      <c r="O169" s="18">
        <f t="shared" si="7"/>
        <v>29.212237500000004</v>
      </c>
      <c r="P169" s="7"/>
      <c r="Q169" s="10"/>
      <c r="R169" s="11"/>
      <c r="S169" s="11"/>
      <c r="T169" s="26"/>
      <c r="U169" s="28">
        <f t="shared" si="8"/>
        <v>1.1013260417323332</v>
      </c>
    </row>
    <row r="170" spans="1:21" ht="16.5" thickBot="1" x14ac:dyDescent="0.3">
      <c r="B170" s="12"/>
      <c r="C170" s="19">
        <v>259.01</v>
      </c>
      <c r="D170" s="20">
        <v>23.658999999999999</v>
      </c>
      <c r="E170" s="20">
        <v>32.264000000000003</v>
      </c>
      <c r="F170" s="20">
        <v>33.064</v>
      </c>
      <c r="G170" s="20">
        <v>348.43</v>
      </c>
      <c r="H170" s="20">
        <f t="shared" si="6"/>
        <v>25.910250000000001</v>
      </c>
      <c r="I170" s="5"/>
      <c r="J170" s="19">
        <v>305.66079999999999</v>
      </c>
      <c r="K170" s="20">
        <v>25.644600000000001</v>
      </c>
      <c r="L170" s="20">
        <v>34.076599999999999</v>
      </c>
      <c r="M170" s="20">
        <v>34.7883</v>
      </c>
      <c r="N170" s="20">
        <v>745.15650000000005</v>
      </c>
      <c r="O170" s="20">
        <f t="shared" si="7"/>
        <v>27.841562500000002</v>
      </c>
      <c r="P170" s="7"/>
      <c r="Q170" s="13"/>
      <c r="R170" s="14"/>
      <c r="S170" s="14"/>
      <c r="T170" s="27"/>
      <c r="U170" s="28">
        <f t="shared" si="8"/>
        <v>1.1386117728094596</v>
      </c>
    </row>
    <row r="171" spans="1:21" x14ac:dyDescent="0.25">
      <c r="B171" s="6" t="s">
        <v>56</v>
      </c>
      <c r="C171" s="15">
        <v>1110</v>
      </c>
      <c r="D171" s="16">
        <v>31.341000000000001</v>
      </c>
      <c r="E171" s="16">
        <v>35.962000000000003</v>
      </c>
      <c r="F171" s="16">
        <v>37.597999999999999</v>
      </c>
      <c r="G171" s="16">
        <v>170.16</v>
      </c>
      <c r="H171" s="16">
        <f t="shared" si="6"/>
        <v>32.700749999999999</v>
      </c>
      <c r="I171" s="5"/>
      <c r="J171" s="15">
        <v>1201.0232000000001</v>
      </c>
      <c r="K171" s="16">
        <v>31.892199999999999</v>
      </c>
      <c r="L171" s="16">
        <v>36.604700000000001</v>
      </c>
      <c r="M171" s="16">
        <v>38.168999999999997</v>
      </c>
      <c r="N171" s="16">
        <v>356.29450000000003</v>
      </c>
      <c r="O171" s="16">
        <f t="shared" si="7"/>
        <v>33.265862499999997</v>
      </c>
      <c r="P171" s="7"/>
      <c r="Q171" s="8">
        <f>bdrate(C171:C174,D171:D174,J171:J174,K171:K174)</f>
        <v>-9.8857776071704651E-3</v>
      </c>
      <c r="R171" s="8">
        <f>bdrate(C171:C174,E171:E174,J171:J174,L171:L174)</f>
        <v>-0.1975604385916413</v>
      </c>
      <c r="S171" s="8">
        <f>bdrate(C171:C174,F171:F174,J171:J174,M171:M174)</f>
        <v>-0.17562196901310645</v>
      </c>
      <c r="T171" s="25">
        <f>bdrate(C171:C174,H171:H174,J171:J174,O171:O174)</f>
        <v>-4.2006018680541546E-2</v>
      </c>
      <c r="U171" s="28">
        <f t="shared" si="8"/>
        <v>1.093879290079925</v>
      </c>
    </row>
    <row r="172" spans="1:21" x14ac:dyDescent="0.25">
      <c r="B172" s="9"/>
      <c r="C172" s="17">
        <v>753.59</v>
      </c>
      <c r="D172" s="18">
        <v>30.064</v>
      </c>
      <c r="E172" s="18">
        <v>35.231999999999999</v>
      </c>
      <c r="F172" s="18">
        <v>36.825000000000003</v>
      </c>
      <c r="G172" s="18">
        <v>194.3</v>
      </c>
      <c r="H172" s="18">
        <f t="shared" si="6"/>
        <v>31.555125000000004</v>
      </c>
      <c r="I172" s="5"/>
      <c r="J172" s="17">
        <v>795.93119999999999</v>
      </c>
      <c r="K172" s="18">
        <v>30.382100000000001</v>
      </c>
      <c r="L172" s="18">
        <v>35.747199999999999</v>
      </c>
      <c r="M172" s="18">
        <v>37.281399999999998</v>
      </c>
      <c r="N172" s="18">
        <v>418.41</v>
      </c>
      <c r="O172" s="18">
        <f t="shared" si="7"/>
        <v>31.915149999999997</v>
      </c>
      <c r="P172" s="7"/>
      <c r="Q172" s="10"/>
      <c r="R172" s="11"/>
      <c r="S172" s="11"/>
      <c r="T172" s="26"/>
      <c r="U172" s="28">
        <f t="shared" si="8"/>
        <v>1.1534225424601132</v>
      </c>
    </row>
    <row r="173" spans="1:21" x14ac:dyDescent="0.25">
      <c r="B173" s="9"/>
      <c r="C173" s="17">
        <v>478.65</v>
      </c>
      <c r="D173" s="18">
        <v>28.672000000000001</v>
      </c>
      <c r="E173" s="18">
        <v>34.378</v>
      </c>
      <c r="F173" s="18">
        <v>35.841999999999999</v>
      </c>
      <c r="G173" s="18">
        <v>218.66</v>
      </c>
      <c r="H173" s="18">
        <f t="shared" si="6"/>
        <v>30.281500000000001</v>
      </c>
      <c r="I173" s="5"/>
      <c r="J173" s="17">
        <v>497.56959999999998</v>
      </c>
      <c r="K173" s="18">
        <v>28.79</v>
      </c>
      <c r="L173" s="18">
        <v>34.877699999999997</v>
      </c>
      <c r="M173" s="18">
        <v>36.362200000000001</v>
      </c>
      <c r="N173" s="18">
        <v>533.80780000000004</v>
      </c>
      <c r="O173" s="18">
        <f t="shared" si="7"/>
        <v>30.497487500000002</v>
      </c>
      <c r="P173" s="7"/>
      <c r="Q173" s="10"/>
      <c r="R173" s="11"/>
      <c r="S173" s="11"/>
      <c r="T173" s="26"/>
      <c r="U173" s="28">
        <f t="shared" si="8"/>
        <v>1.44126863623891</v>
      </c>
    </row>
    <row r="174" spans="1:21" ht="16.5" thickBot="1" x14ac:dyDescent="0.3">
      <c r="B174" s="12"/>
      <c r="C174" s="19">
        <v>289.14999999999998</v>
      </c>
      <c r="D174" s="20">
        <v>27.303999999999998</v>
      </c>
      <c r="E174" s="20">
        <v>33.378999999999998</v>
      </c>
      <c r="F174" s="20">
        <v>34.694000000000003</v>
      </c>
      <c r="G174" s="20">
        <v>249.79</v>
      </c>
      <c r="H174" s="20">
        <f t="shared" si="6"/>
        <v>28.987124999999999</v>
      </c>
      <c r="I174" s="5"/>
      <c r="J174" s="19">
        <v>299.65519999999998</v>
      </c>
      <c r="K174" s="20">
        <v>27.1631</v>
      </c>
      <c r="L174" s="20">
        <v>33.8748</v>
      </c>
      <c r="M174" s="20">
        <v>35.2746</v>
      </c>
      <c r="N174" s="20">
        <v>619.8347</v>
      </c>
      <c r="O174" s="20">
        <f t="shared" si="7"/>
        <v>29.015999999999998</v>
      </c>
      <c r="P174" s="7"/>
      <c r="Q174" s="13"/>
      <c r="R174" s="14"/>
      <c r="S174" s="14"/>
      <c r="T174" s="27"/>
      <c r="U174" s="28">
        <f t="shared" si="8"/>
        <v>1.481423195484207</v>
      </c>
    </row>
    <row r="175" spans="1:21" x14ac:dyDescent="0.25">
      <c r="A175" s="6" t="s">
        <v>41</v>
      </c>
      <c r="B175" s="6" t="s">
        <v>57</v>
      </c>
      <c r="C175" s="15">
        <v>636.58000000000004</v>
      </c>
      <c r="D175" s="16">
        <v>33.348999999999997</v>
      </c>
      <c r="E175" s="16">
        <v>38.371000000000002</v>
      </c>
      <c r="F175" s="16">
        <v>37.048000000000002</v>
      </c>
      <c r="G175" s="16">
        <v>604.59</v>
      </c>
      <c r="H175" s="16">
        <f t="shared" si="6"/>
        <v>34.439125000000004</v>
      </c>
      <c r="I175" s="5"/>
      <c r="J175" s="15">
        <v>603.23760000000004</v>
      </c>
      <c r="K175" s="16">
        <v>33.941800000000001</v>
      </c>
      <c r="L175" s="16">
        <v>39.345999999999997</v>
      </c>
      <c r="M175" s="16">
        <v>37.813299999999998</v>
      </c>
      <c r="N175" s="16">
        <v>1187.6485</v>
      </c>
      <c r="O175" s="16">
        <f t="shared" si="7"/>
        <v>35.101262500000004</v>
      </c>
      <c r="P175" s="7"/>
      <c r="Q175" s="8">
        <f>bdrate(C175:C178,D175:D178,J175:J178,K175:K178)</f>
        <v>-9.2384030675530471E-2</v>
      </c>
      <c r="R175" s="8">
        <f>bdrate(C175:C178,E175:E178,J175:J178,L175:L178)</f>
        <v>-0.34693324347251919</v>
      </c>
      <c r="S175" s="8">
        <f>bdrate(C175:C178,F175:F178,J175:J178,M175:M178)</f>
        <v>-0.27545532034507492</v>
      </c>
      <c r="T175" s="25">
        <f>bdrate(C175:C178,H175:H178,J175:J178,O175:O178)</f>
        <v>-0.13333048843495288</v>
      </c>
      <c r="U175" s="28">
        <f t="shared" si="8"/>
        <v>0.96438660910699803</v>
      </c>
    </row>
    <row r="176" spans="1:21" x14ac:dyDescent="0.25">
      <c r="A176" s="9" t="s">
        <v>42</v>
      </c>
      <c r="B176" s="9"/>
      <c r="C176" s="17">
        <v>427.25</v>
      </c>
      <c r="D176" s="18">
        <v>31.794</v>
      </c>
      <c r="E176" s="18">
        <v>37.377000000000002</v>
      </c>
      <c r="F176" s="18">
        <v>35.883000000000003</v>
      </c>
      <c r="G176" s="18">
        <v>682.13</v>
      </c>
      <c r="H176" s="18">
        <f t="shared" si="6"/>
        <v>33.003</v>
      </c>
      <c r="I176" s="5"/>
      <c r="J176" s="17">
        <v>402.93759999999997</v>
      </c>
      <c r="K176" s="18">
        <v>32.166400000000003</v>
      </c>
      <c r="L176" s="18">
        <v>38.2363</v>
      </c>
      <c r="M176" s="18">
        <v>36.573900000000002</v>
      </c>
      <c r="N176" s="18">
        <v>1457.7258999999999</v>
      </c>
      <c r="O176" s="18">
        <f t="shared" si="7"/>
        <v>33.476075000000002</v>
      </c>
      <c r="P176" s="7"/>
      <c r="Q176" s="10"/>
      <c r="R176" s="11"/>
      <c r="S176" s="11"/>
      <c r="T176" s="26"/>
      <c r="U176" s="28">
        <f t="shared" si="8"/>
        <v>1.1370206558867078</v>
      </c>
    </row>
    <row r="177" spans="1:21" x14ac:dyDescent="0.25">
      <c r="B177" s="9"/>
      <c r="C177" s="17">
        <v>267.64999999999998</v>
      </c>
      <c r="D177" s="18">
        <v>30.14</v>
      </c>
      <c r="E177" s="18">
        <v>36.381</v>
      </c>
      <c r="F177" s="18">
        <v>34.667000000000002</v>
      </c>
      <c r="G177" s="18">
        <v>801.28</v>
      </c>
      <c r="H177" s="18">
        <f t="shared" si="6"/>
        <v>31.486000000000001</v>
      </c>
      <c r="I177" s="5"/>
      <c r="J177" s="17">
        <v>253.49039999999999</v>
      </c>
      <c r="K177" s="18">
        <v>30.259</v>
      </c>
      <c r="L177" s="18">
        <v>37.174599999999998</v>
      </c>
      <c r="M177" s="18">
        <v>35.367199999999997</v>
      </c>
      <c r="N177" s="18">
        <v>1779.3594000000001</v>
      </c>
      <c r="O177" s="18">
        <f t="shared" si="7"/>
        <v>31.761975</v>
      </c>
      <c r="P177" s="7"/>
      <c r="Q177" s="10"/>
      <c r="R177" s="11"/>
      <c r="S177" s="11"/>
      <c r="T177" s="26"/>
      <c r="U177" s="28">
        <f t="shared" si="8"/>
        <v>1.2206462160543132</v>
      </c>
    </row>
    <row r="178" spans="1:21" ht="16.5" thickBot="1" x14ac:dyDescent="0.3">
      <c r="B178" s="12"/>
      <c r="C178" s="19">
        <v>128.63999999999999</v>
      </c>
      <c r="D178" s="20">
        <v>27.709</v>
      </c>
      <c r="E178" s="20">
        <v>34.912999999999997</v>
      </c>
      <c r="F178" s="20">
        <v>32.71</v>
      </c>
      <c r="G178" s="20">
        <v>941.62</v>
      </c>
      <c r="H178" s="20">
        <f t="shared" si="6"/>
        <v>29.234624999999998</v>
      </c>
      <c r="I178" s="5"/>
      <c r="J178" s="19">
        <v>121.5176</v>
      </c>
      <c r="K178" s="20">
        <v>27.474699999999999</v>
      </c>
      <c r="L178" s="20">
        <v>35.662399999999998</v>
      </c>
      <c r="M178" s="20">
        <v>33.4955</v>
      </c>
      <c r="N178" s="20">
        <v>2000</v>
      </c>
      <c r="O178" s="20">
        <f t="shared" si="7"/>
        <v>29.250762499999997</v>
      </c>
      <c r="P178" s="7"/>
      <c r="Q178" s="13"/>
      <c r="R178" s="14"/>
      <c r="S178" s="14"/>
      <c r="T178" s="27"/>
      <c r="U178" s="28">
        <f t="shared" si="8"/>
        <v>1.1239990654404113</v>
      </c>
    </row>
    <row r="179" spans="1:21" x14ac:dyDescent="0.25">
      <c r="B179" s="6" t="s">
        <v>58</v>
      </c>
      <c r="C179" s="15">
        <v>553.52</v>
      </c>
      <c r="D179" s="16">
        <v>30.085000000000001</v>
      </c>
      <c r="E179" s="16">
        <v>38.537999999999997</v>
      </c>
      <c r="F179" s="16">
        <v>39.232999999999997</v>
      </c>
      <c r="G179" s="16">
        <v>961.54</v>
      </c>
      <c r="H179" s="16">
        <f t="shared" si="6"/>
        <v>32.285125000000001</v>
      </c>
      <c r="I179" s="5"/>
      <c r="J179" s="15">
        <v>600.02800000000002</v>
      </c>
      <c r="K179" s="16">
        <v>33.215699999999998</v>
      </c>
      <c r="L179" s="16">
        <v>41.142400000000002</v>
      </c>
      <c r="M179" s="16">
        <v>41.910200000000003</v>
      </c>
      <c r="N179" s="16">
        <v>1425.1781000000001</v>
      </c>
      <c r="O179" s="16">
        <f t="shared" si="7"/>
        <v>35.293350000000004</v>
      </c>
      <c r="P179" s="7"/>
      <c r="Q179" s="8">
        <f>bdrate(C179:C182,D179:D182,J179:J182,K179:K182)</f>
        <v>-0.57747851587879195</v>
      </c>
      <c r="R179" s="8">
        <f>bdrate(C179:C182,E179:E182,J179:J182,L179:L182)</f>
        <v>-0.66508045761277801</v>
      </c>
      <c r="S179" s="8">
        <f>bdrate(C179:C182,F179:F182,J179:J182,M179:M182)</f>
        <v>-0.67757219119198941</v>
      </c>
      <c r="T179" s="25">
        <f>bdrate(C179:C182,H179:H182,J179:J182,O179:O182)</f>
        <v>-0.59048992774300701</v>
      </c>
      <c r="U179" s="28">
        <f t="shared" si="8"/>
        <v>0.48218285250743614</v>
      </c>
    </row>
    <row r="180" spans="1:21" x14ac:dyDescent="0.25">
      <c r="B180" s="9"/>
      <c r="C180" s="17">
        <v>367.25</v>
      </c>
      <c r="D180" s="18">
        <v>28.736000000000001</v>
      </c>
      <c r="E180" s="18">
        <v>38.189</v>
      </c>
      <c r="F180" s="18">
        <v>38.729999999999997</v>
      </c>
      <c r="G180" s="18">
        <v>1098.9000000000001</v>
      </c>
      <c r="H180" s="18">
        <f t="shared" si="6"/>
        <v>31.166874999999997</v>
      </c>
      <c r="I180" s="5"/>
      <c r="J180" s="17">
        <v>399.29360000000003</v>
      </c>
      <c r="K180" s="18">
        <v>31.921500000000002</v>
      </c>
      <c r="L180" s="18">
        <v>40.258899999999997</v>
      </c>
      <c r="M180" s="18">
        <v>41.048400000000001</v>
      </c>
      <c r="N180" s="18">
        <v>1749.2710999999999</v>
      </c>
      <c r="O180" s="18">
        <f t="shared" si="7"/>
        <v>34.104537499999999</v>
      </c>
      <c r="P180" s="7"/>
      <c r="Q180" s="10"/>
      <c r="R180" s="11"/>
      <c r="S180" s="11"/>
      <c r="T180" s="26"/>
      <c r="U180" s="28">
        <f t="shared" si="8"/>
        <v>0.5918382928382927</v>
      </c>
    </row>
    <row r="181" spans="1:21" x14ac:dyDescent="0.25">
      <c r="B181" s="9"/>
      <c r="C181" s="17">
        <v>228.04</v>
      </c>
      <c r="D181" s="18">
        <v>27.259</v>
      </c>
      <c r="E181" s="18">
        <v>37.780999999999999</v>
      </c>
      <c r="F181" s="18">
        <v>38.341999999999999</v>
      </c>
      <c r="G181" s="18">
        <v>1239.67</v>
      </c>
      <c r="H181" s="18">
        <f t="shared" si="6"/>
        <v>29.959625000000003</v>
      </c>
      <c r="I181" s="5"/>
      <c r="J181" s="17">
        <v>249.4632</v>
      </c>
      <c r="K181" s="18">
        <v>30.3809</v>
      </c>
      <c r="L181" s="18">
        <v>39.340600000000002</v>
      </c>
      <c r="M181" s="18">
        <v>40.0182</v>
      </c>
      <c r="N181" s="18">
        <v>1834.8624</v>
      </c>
      <c r="O181" s="18">
        <f t="shared" si="7"/>
        <v>32.705525000000002</v>
      </c>
      <c r="P181" s="7"/>
      <c r="Q181" s="10"/>
      <c r="R181" s="11"/>
      <c r="S181" s="11"/>
      <c r="T181" s="26"/>
      <c r="U181" s="28">
        <f t="shared" si="8"/>
        <v>0.48012164527656542</v>
      </c>
    </row>
    <row r="182" spans="1:21" ht="16.5" thickBot="1" x14ac:dyDescent="0.3">
      <c r="B182" s="12"/>
      <c r="C182" s="19">
        <v>104.48</v>
      </c>
      <c r="D182" s="20">
        <v>24.67</v>
      </c>
      <c r="E182" s="20">
        <v>36.956000000000003</v>
      </c>
      <c r="F182" s="20">
        <v>37.183999999999997</v>
      </c>
      <c r="G182" s="20">
        <v>1425.18</v>
      </c>
      <c r="H182" s="20">
        <f t="shared" si="6"/>
        <v>27.77</v>
      </c>
      <c r="I182" s="5"/>
      <c r="J182" s="19">
        <v>120.04640000000001</v>
      </c>
      <c r="K182" s="20">
        <v>27.803899999999999</v>
      </c>
      <c r="L182" s="20">
        <v>38.045499999999997</v>
      </c>
      <c r="M182" s="20">
        <v>38.638399999999997</v>
      </c>
      <c r="N182" s="20">
        <v>2027.027</v>
      </c>
      <c r="O182" s="20">
        <f t="shared" si="7"/>
        <v>30.438412499999998</v>
      </c>
      <c r="P182" s="7"/>
      <c r="Q182" s="13"/>
      <c r="R182" s="14"/>
      <c r="S182" s="14"/>
      <c r="T182" s="27"/>
      <c r="U182" s="28">
        <f t="shared" si="8"/>
        <v>0.42229542934927516</v>
      </c>
    </row>
    <row r="183" spans="1:21" x14ac:dyDescent="0.25">
      <c r="B183" s="6" t="s">
        <v>59</v>
      </c>
      <c r="C183" s="29">
        <v>639.15</v>
      </c>
      <c r="D183" s="30">
        <v>31.071000000000002</v>
      </c>
      <c r="E183" s="30">
        <v>35.896000000000001</v>
      </c>
      <c r="F183" s="30">
        <v>36.439</v>
      </c>
      <c r="G183" s="16">
        <v>762.2</v>
      </c>
      <c r="H183" s="16">
        <f t="shared" si="6"/>
        <v>32.345125000000003</v>
      </c>
      <c r="I183" s="5"/>
      <c r="J183" s="29">
        <v>642.43039999999996</v>
      </c>
      <c r="K183" s="30">
        <v>32.762799999999999</v>
      </c>
      <c r="L183" s="30">
        <v>37.858899999999998</v>
      </c>
      <c r="M183" s="30">
        <v>38.6233</v>
      </c>
      <c r="N183" s="16">
        <v>1282.0513000000001</v>
      </c>
      <c r="O183" s="16">
        <f t="shared" si="7"/>
        <v>34.132374999999996</v>
      </c>
      <c r="P183" s="7"/>
      <c r="Q183" s="8">
        <f>bdrate(C183:C186,D183:D186,J183:J186,K183:K186)</f>
        <v>-0.36801888145671668</v>
      </c>
      <c r="R183" s="8">
        <f>bdrate(C183:C186,E183:E186,J183:J186,L183:L186)</f>
        <v>-0.57445702345639182</v>
      </c>
      <c r="S183" s="8">
        <f>bdrate(C183:C186,F183:F186,J183:J186,M183:M186)</f>
        <v>-0.61269186350678861</v>
      </c>
      <c r="T183" s="25">
        <f>bdrate(C183:C186,H183:H186,J183:J186,O183:O186)</f>
        <v>-0.41534912411319314</v>
      </c>
      <c r="U183" s="28">
        <f t="shared" si="8"/>
        <v>0.68204054054054053</v>
      </c>
    </row>
    <row r="184" spans="1:21" x14ac:dyDescent="0.25">
      <c r="B184" s="9"/>
      <c r="C184" s="31">
        <v>423.42</v>
      </c>
      <c r="D184" s="32">
        <v>29.646999999999998</v>
      </c>
      <c r="E184" s="32">
        <v>34.911999999999999</v>
      </c>
      <c r="F184" s="32">
        <v>35.484999999999999</v>
      </c>
      <c r="G184" s="18">
        <v>866.55</v>
      </c>
      <c r="H184" s="18">
        <f t="shared" si="6"/>
        <v>31.034875</v>
      </c>
      <c r="I184" s="5"/>
      <c r="J184" s="31">
        <v>426.18720000000002</v>
      </c>
      <c r="K184" s="32">
        <v>31.265499999999999</v>
      </c>
      <c r="L184" s="32">
        <v>36.893799999999999</v>
      </c>
      <c r="M184" s="32">
        <v>37.643900000000002</v>
      </c>
      <c r="N184" s="18">
        <v>1333.3333</v>
      </c>
      <c r="O184" s="18">
        <f t="shared" si="7"/>
        <v>32.766337499999999</v>
      </c>
      <c r="P184" s="7"/>
      <c r="Q184" s="10"/>
      <c r="R184" s="11"/>
      <c r="S184" s="11"/>
      <c r="T184" s="26"/>
      <c r="U184" s="28">
        <f t="shared" si="8"/>
        <v>0.53866862846921715</v>
      </c>
    </row>
    <row r="185" spans="1:21" x14ac:dyDescent="0.25">
      <c r="B185" s="9"/>
      <c r="C185" s="31">
        <v>263.58999999999997</v>
      </c>
      <c r="D185" s="32">
        <v>28.161999999999999</v>
      </c>
      <c r="E185" s="32">
        <v>34.03</v>
      </c>
      <c r="F185" s="32">
        <v>34.590000000000003</v>
      </c>
      <c r="G185" s="18">
        <v>889.68</v>
      </c>
      <c r="H185" s="18">
        <f t="shared" si="6"/>
        <v>29.698999999999998</v>
      </c>
      <c r="I185" s="5"/>
      <c r="J185" s="31">
        <v>263.74880000000002</v>
      </c>
      <c r="K185" s="32">
        <v>29.632400000000001</v>
      </c>
      <c r="L185" s="32">
        <v>35.720500000000001</v>
      </c>
      <c r="M185" s="32">
        <v>36.511099999999999</v>
      </c>
      <c r="N185" s="18">
        <v>1602.5641000000001</v>
      </c>
      <c r="O185" s="18">
        <f t="shared" si="7"/>
        <v>31.253250000000001</v>
      </c>
      <c r="P185" s="7"/>
      <c r="Q185" s="10"/>
      <c r="R185" s="11"/>
      <c r="S185" s="11"/>
      <c r="T185" s="26"/>
      <c r="U185" s="28">
        <f t="shared" si="8"/>
        <v>0.80128147198992916</v>
      </c>
    </row>
    <row r="186" spans="1:21" ht="16.5" thickBot="1" x14ac:dyDescent="0.3">
      <c r="B186" s="12"/>
      <c r="C186" s="33">
        <v>123.35</v>
      </c>
      <c r="D186" s="34">
        <v>25.963000000000001</v>
      </c>
      <c r="E186" s="34">
        <v>32.531999999999996</v>
      </c>
      <c r="F186" s="34">
        <v>33.186</v>
      </c>
      <c r="G186" s="20">
        <v>1187.6500000000001</v>
      </c>
      <c r="H186" s="20">
        <f t="shared" si="6"/>
        <v>27.687000000000001</v>
      </c>
      <c r="I186" s="5"/>
      <c r="J186" s="33">
        <v>126.6896</v>
      </c>
      <c r="K186" s="34">
        <v>27.270499999999998</v>
      </c>
      <c r="L186" s="34">
        <v>34.299300000000002</v>
      </c>
      <c r="M186" s="34">
        <v>35.000100000000003</v>
      </c>
      <c r="N186" s="20">
        <v>2136.7521000000002</v>
      </c>
      <c r="O186" s="20">
        <f t="shared" si="7"/>
        <v>29.115300000000001</v>
      </c>
      <c r="P186" s="7"/>
      <c r="Q186" s="13"/>
      <c r="R186" s="14"/>
      <c r="S186" s="14"/>
      <c r="T186" s="27"/>
      <c r="U186" s="28">
        <f t="shared" si="8"/>
        <v>0.79914292931419184</v>
      </c>
    </row>
    <row r="187" spans="1:21" x14ac:dyDescent="0.25">
      <c r="B187" s="6" t="s">
        <v>60</v>
      </c>
      <c r="C187" s="15">
        <v>579.54999999999995</v>
      </c>
      <c r="D187" s="16">
        <v>32.527000000000001</v>
      </c>
      <c r="E187" s="16">
        <v>36.576999999999998</v>
      </c>
      <c r="F187" s="16">
        <v>37.69</v>
      </c>
      <c r="G187" s="16">
        <v>480.77</v>
      </c>
      <c r="H187" s="16">
        <f t="shared" si="6"/>
        <v>33.678624999999997</v>
      </c>
      <c r="I187" s="5"/>
      <c r="J187" s="15">
        <v>602.5</v>
      </c>
      <c r="K187" s="16">
        <v>33.286900000000003</v>
      </c>
      <c r="L187" s="16">
        <v>37.315800000000003</v>
      </c>
      <c r="M187" s="16">
        <v>38.388100000000001</v>
      </c>
      <c r="N187" s="16">
        <v>914.63409999999999</v>
      </c>
      <c r="O187" s="16">
        <f t="shared" si="7"/>
        <v>34.428162499999999</v>
      </c>
      <c r="P187" s="7"/>
      <c r="Q187" s="8">
        <f>bdrate(C187:C190,D187:D190,J187:J190,K187:K190)</f>
        <v>-6.720508692833016E-2</v>
      </c>
      <c r="R187" s="8">
        <f>bdrate(C187:C190,E187:E190,J187:J190,L187:L190)</f>
        <v>-0.23888027460580197</v>
      </c>
      <c r="S187" s="8">
        <f>bdrate(C187:C190,F187:F190,J187:J190,M187:M190)</f>
        <v>-0.23482882718986031</v>
      </c>
      <c r="T187" s="25">
        <f>bdrate(C187:C190,H187:H190,J187:J190,O187:O190)</f>
        <v>-0.10281648374248531</v>
      </c>
      <c r="U187" s="28">
        <f t="shared" si="8"/>
        <v>0.90243588410258546</v>
      </c>
    </row>
    <row r="188" spans="1:21" x14ac:dyDescent="0.25">
      <c r="B188" s="9"/>
      <c r="C188" s="17">
        <v>389.35</v>
      </c>
      <c r="D188" s="18">
        <v>30.991</v>
      </c>
      <c r="E188" s="18">
        <v>35.518999999999998</v>
      </c>
      <c r="F188" s="18">
        <v>36.57</v>
      </c>
      <c r="G188" s="18">
        <v>534.76</v>
      </c>
      <c r="H188" s="18">
        <f t="shared" si="6"/>
        <v>32.254375000000003</v>
      </c>
      <c r="I188" s="5"/>
      <c r="J188" s="17">
        <v>401.81439999999998</v>
      </c>
      <c r="K188" s="18">
        <v>31.548200000000001</v>
      </c>
      <c r="L188" s="18">
        <v>36.279000000000003</v>
      </c>
      <c r="M188" s="18">
        <v>37.320900000000002</v>
      </c>
      <c r="N188" s="18">
        <v>961.5385</v>
      </c>
      <c r="O188" s="18">
        <f t="shared" si="7"/>
        <v>32.861137499999998</v>
      </c>
      <c r="P188" s="7"/>
      <c r="Q188" s="10"/>
      <c r="R188" s="11"/>
      <c r="S188" s="11"/>
      <c r="T188" s="26"/>
      <c r="U188" s="28">
        <f t="shared" si="8"/>
        <v>0.79807483731019524</v>
      </c>
    </row>
    <row r="189" spans="1:21" x14ac:dyDescent="0.25">
      <c r="B189" s="9"/>
      <c r="C189" s="17">
        <v>245.14</v>
      </c>
      <c r="D189" s="18">
        <v>29.443999999999999</v>
      </c>
      <c r="E189" s="18">
        <v>34.503</v>
      </c>
      <c r="F189" s="18">
        <v>35.476999999999997</v>
      </c>
      <c r="G189" s="18">
        <v>641.03</v>
      </c>
      <c r="H189" s="18">
        <f t="shared" si="6"/>
        <v>30.830499999999997</v>
      </c>
      <c r="I189" s="5"/>
      <c r="J189" s="17">
        <v>250.79040000000001</v>
      </c>
      <c r="K189" s="18">
        <v>29.7392</v>
      </c>
      <c r="L189" s="18">
        <v>35.126899999999999</v>
      </c>
      <c r="M189" s="18">
        <v>36.144799999999996</v>
      </c>
      <c r="N189" s="18">
        <v>1376.1468</v>
      </c>
      <c r="O189" s="18">
        <f t="shared" si="7"/>
        <v>31.213362500000002</v>
      </c>
      <c r="P189" s="7"/>
      <c r="Q189" s="10"/>
      <c r="R189" s="11"/>
      <c r="S189" s="11"/>
      <c r="T189" s="26"/>
      <c r="U189" s="28">
        <f t="shared" si="8"/>
        <v>1.1467744099340125</v>
      </c>
    </row>
    <row r="190" spans="1:21" ht="16.5" thickBot="1" x14ac:dyDescent="0.3">
      <c r="B190" s="12"/>
      <c r="C190" s="19">
        <v>117.49</v>
      </c>
      <c r="D190" s="20">
        <v>27.260999999999999</v>
      </c>
      <c r="E190" s="20">
        <v>32.802999999999997</v>
      </c>
      <c r="F190" s="20">
        <v>33.728999999999999</v>
      </c>
      <c r="G190" s="20">
        <v>800</v>
      </c>
      <c r="H190" s="20">
        <f t="shared" si="6"/>
        <v>28.762250000000002</v>
      </c>
      <c r="I190" s="5"/>
      <c r="J190" s="19">
        <v>120.5856</v>
      </c>
      <c r="K190" s="20">
        <v>27.279299999999999</v>
      </c>
      <c r="L190" s="20">
        <v>33.622799999999998</v>
      </c>
      <c r="M190" s="20">
        <v>34.553699999999999</v>
      </c>
      <c r="N190" s="20">
        <v>1604.2781</v>
      </c>
      <c r="O190" s="20">
        <f t="shared" si="7"/>
        <v>28.981537499999995</v>
      </c>
      <c r="P190" s="7"/>
      <c r="Q190" s="13"/>
      <c r="R190" s="14"/>
      <c r="S190" s="14"/>
      <c r="T190" s="27"/>
      <c r="U190" s="28">
        <f t="shared" si="8"/>
        <v>1.005347625</v>
      </c>
    </row>
    <row r="191" spans="1:21" x14ac:dyDescent="0.25">
      <c r="A191" s="6" t="s">
        <v>43</v>
      </c>
      <c r="B191" s="6" t="s">
        <v>61</v>
      </c>
      <c r="C191" s="15">
        <v>1380.84</v>
      </c>
      <c r="D191" s="16">
        <v>39.643000000000001</v>
      </c>
      <c r="E191" s="16">
        <v>43.965000000000003</v>
      </c>
      <c r="F191" s="16">
        <v>45.154000000000003</v>
      </c>
      <c r="G191" s="16">
        <v>147.93</v>
      </c>
      <c r="H191" s="16">
        <f t="shared" si="6"/>
        <v>40.872124999999997</v>
      </c>
      <c r="I191" s="5"/>
      <c r="J191" s="15">
        <v>1498.3743999999999</v>
      </c>
      <c r="K191" s="16">
        <v>41.109099999999998</v>
      </c>
      <c r="L191" s="16">
        <v>45.4711</v>
      </c>
      <c r="M191" s="16">
        <v>46.662599999999998</v>
      </c>
      <c r="N191" s="16">
        <v>300.45069999999998</v>
      </c>
      <c r="O191" s="16">
        <f t="shared" si="7"/>
        <v>42.348537499999999</v>
      </c>
      <c r="P191" s="7"/>
      <c r="Q191" s="8">
        <f>bdrate(C191:C194,D191:D194,J191:J194,K191:K194)</f>
        <v>-0.29086669174624025</v>
      </c>
      <c r="R191" s="8">
        <f>bdrate(C191:C194,E191:E194,J191:J194,L191:L194)</f>
        <v>-0.3770011198440274</v>
      </c>
      <c r="S191" s="8">
        <f>bdrate(C191:C194,F191:F194,J191:J194,M191:M194)</f>
        <v>-0.34534413370759676</v>
      </c>
      <c r="T191" s="25">
        <f>bdrate(C191:C194,H191:H194,J191:J194,O191:O194)</f>
        <v>-0.30263412090450725</v>
      </c>
      <c r="U191" s="28">
        <f t="shared" si="8"/>
        <v>1.0310329209761371</v>
      </c>
    </row>
    <row r="192" spans="1:21" x14ac:dyDescent="0.25">
      <c r="A192" s="9" t="s">
        <v>44</v>
      </c>
      <c r="B192" s="9"/>
      <c r="C192" s="17">
        <v>915.93</v>
      </c>
      <c r="D192" s="18">
        <v>38.26</v>
      </c>
      <c r="E192" s="18">
        <v>42.927</v>
      </c>
      <c r="F192" s="18">
        <v>44.13</v>
      </c>
      <c r="G192" s="18">
        <v>165.79</v>
      </c>
      <c r="H192" s="18">
        <f t="shared" si="6"/>
        <v>39.577125000000002</v>
      </c>
      <c r="I192" s="5"/>
      <c r="J192" s="17">
        <v>987.92160000000001</v>
      </c>
      <c r="K192" s="18">
        <v>39.964799999999997</v>
      </c>
      <c r="L192" s="18">
        <v>44.606900000000003</v>
      </c>
      <c r="M192" s="18">
        <v>45.734900000000003</v>
      </c>
      <c r="N192" s="18">
        <v>376.88440000000003</v>
      </c>
      <c r="O192" s="18">
        <f t="shared" si="7"/>
        <v>41.266324999999995</v>
      </c>
      <c r="P192" s="7"/>
      <c r="Q192" s="10"/>
      <c r="R192" s="11"/>
      <c r="S192" s="11"/>
      <c r="T192" s="26"/>
      <c r="U192" s="28">
        <f t="shared" si="8"/>
        <v>1.2732637674166116</v>
      </c>
    </row>
    <row r="193" spans="1:21" x14ac:dyDescent="0.25">
      <c r="B193" s="9"/>
      <c r="C193" s="17">
        <v>543.62</v>
      </c>
      <c r="D193" s="18">
        <v>36.271000000000001</v>
      </c>
      <c r="E193" s="18">
        <v>41.994999999999997</v>
      </c>
      <c r="F193" s="18">
        <v>43.075000000000003</v>
      </c>
      <c r="G193" s="18">
        <v>174.83</v>
      </c>
      <c r="H193" s="18">
        <f t="shared" si="6"/>
        <v>37.836999999999996</v>
      </c>
      <c r="I193" s="5"/>
      <c r="J193" s="17">
        <v>575.84640000000002</v>
      </c>
      <c r="K193" s="18">
        <v>37.9499</v>
      </c>
      <c r="L193" s="18">
        <v>43.138199999999998</v>
      </c>
      <c r="M193" s="18">
        <v>44.2029</v>
      </c>
      <c r="N193" s="18">
        <v>400.53399999999999</v>
      </c>
      <c r="O193" s="18">
        <f t="shared" si="7"/>
        <v>39.380062500000001</v>
      </c>
      <c r="P193" s="7"/>
      <c r="Q193" s="10"/>
      <c r="R193" s="11"/>
      <c r="S193" s="11"/>
      <c r="T193" s="26"/>
      <c r="U193" s="28">
        <f t="shared" si="8"/>
        <v>1.2909912486415374</v>
      </c>
    </row>
    <row r="194" spans="1:21" ht="16.5" thickBot="1" x14ac:dyDescent="0.3">
      <c r="B194" s="12"/>
      <c r="C194" s="19">
        <v>258.33</v>
      </c>
      <c r="D194" s="20">
        <v>33.881</v>
      </c>
      <c r="E194" s="20">
        <v>40.893999999999998</v>
      </c>
      <c r="F194" s="20">
        <v>41.746000000000002</v>
      </c>
      <c r="G194" s="20">
        <v>189.51</v>
      </c>
      <c r="H194" s="20">
        <f t="shared" si="6"/>
        <v>35.740749999999998</v>
      </c>
      <c r="I194" s="5"/>
      <c r="J194" s="19">
        <v>282.27199999999999</v>
      </c>
      <c r="K194" s="20">
        <v>34.663699999999999</v>
      </c>
      <c r="L194" s="20">
        <v>41.337499999999999</v>
      </c>
      <c r="M194" s="20">
        <v>42.270099999999999</v>
      </c>
      <c r="N194" s="20">
        <v>442.15179999999998</v>
      </c>
      <c r="O194" s="20">
        <f t="shared" si="7"/>
        <v>36.448724999999996</v>
      </c>
      <c r="P194" s="7"/>
      <c r="Q194" s="13"/>
      <c r="R194" s="14"/>
      <c r="S194" s="14"/>
      <c r="T194" s="27"/>
      <c r="U194" s="28">
        <f t="shared" si="8"/>
        <v>1.3331317608569468</v>
      </c>
    </row>
    <row r="195" spans="1:21" x14ac:dyDescent="0.25">
      <c r="B195" s="6" t="s">
        <v>62</v>
      </c>
      <c r="C195" s="15">
        <v>1427.49</v>
      </c>
      <c r="D195" s="16">
        <v>41.518999999999998</v>
      </c>
      <c r="E195" s="16">
        <v>46.395000000000003</v>
      </c>
      <c r="F195" s="16">
        <v>47.003</v>
      </c>
      <c r="G195" s="16">
        <v>141.41</v>
      </c>
      <c r="H195" s="16">
        <f t="shared" si="6"/>
        <v>42.813999999999993</v>
      </c>
      <c r="I195" s="5"/>
      <c r="J195" s="15">
        <v>1480.44</v>
      </c>
      <c r="K195" s="16">
        <v>42.4604</v>
      </c>
      <c r="L195" s="16">
        <v>47.547199999999997</v>
      </c>
      <c r="M195" s="16">
        <v>48.237299999999998</v>
      </c>
      <c r="N195" s="16">
        <v>307.53460000000001</v>
      </c>
      <c r="O195" s="16">
        <f t="shared" si="7"/>
        <v>43.818362499999999</v>
      </c>
      <c r="P195" s="7"/>
      <c r="Q195" s="8">
        <f>bdrate(C195:C198,D195:D198,J195:J198,K195:K198)</f>
        <v>-0.4176354213495328</v>
      </c>
      <c r="R195" s="8">
        <f>bdrate(C195:C198,E195:E198,J195:J198,L195:L198)</f>
        <v>-0.51051745726718334</v>
      </c>
      <c r="S195" s="8">
        <f>bdrate(C195:C198,F195:F198,J195:J198,M195:M198)</f>
        <v>-0.51495739782813077</v>
      </c>
      <c r="T195" s="25">
        <f>bdrate(C195:C198,H195:H198,J195:J198,O195:O198)</f>
        <v>-0.44121238797032181</v>
      </c>
      <c r="U195" s="28">
        <f t="shared" ref="U195:U246" si="9">(N195-G195)/G195</f>
        <v>1.1747726469132311</v>
      </c>
    </row>
    <row r="196" spans="1:21" x14ac:dyDescent="0.25">
      <c r="B196" s="9"/>
      <c r="C196" s="17">
        <v>947.21</v>
      </c>
      <c r="D196" s="18">
        <v>40.816000000000003</v>
      </c>
      <c r="E196" s="18">
        <v>45.709000000000003</v>
      </c>
      <c r="F196" s="18">
        <v>46.337000000000003</v>
      </c>
      <c r="G196" s="18">
        <v>166.48</v>
      </c>
      <c r="H196" s="18">
        <f t="shared" si="6"/>
        <v>42.117750000000001</v>
      </c>
      <c r="I196" s="5"/>
      <c r="J196" s="17">
        <v>976.25919999999996</v>
      </c>
      <c r="K196" s="18">
        <v>41.896000000000001</v>
      </c>
      <c r="L196" s="18">
        <v>47.044699999999999</v>
      </c>
      <c r="M196" s="18">
        <v>47.688000000000002</v>
      </c>
      <c r="N196" s="18">
        <v>373.1343</v>
      </c>
      <c r="O196" s="18">
        <f t="shared" si="7"/>
        <v>43.2635875</v>
      </c>
      <c r="P196" s="7"/>
      <c r="Q196" s="10"/>
      <c r="R196" s="11"/>
      <c r="S196" s="11"/>
      <c r="T196" s="26"/>
      <c r="U196" s="28">
        <f t="shared" si="9"/>
        <v>1.2413160740028832</v>
      </c>
    </row>
    <row r="197" spans="1:21" x14ac:dyDescent="0.25">
      <c r="B197" s="9"/>
      <c r="C197" s="17">
        <v>557.84</v>
      </c>
      <c r="D197" s="18">
        <v>39.713000000000001</v>
      </c>
      <c r="E197" s="18">
        <v>44.707000000000001</v>
      </c>
      <c r="F197" s="18">
        <v>45.22</v>
      </c>
      <c r="G197" s="18">
        <v>174.01</v>
      </c>
      <c r="H197" s="18">
        <f t="shared" si="6"/>
        <v>41.025625000000005</v>
      </c>
      <c r="I197" s="5"/>
      <c r="J197" s="17">
        <v>577.60080000000005</v>
      </c>
      <c r="K197" s="18">
        <v>40.985500000000002</v>
      </c>
      <c r="L197" s="18">
        <v>46.186700000000002</v>
      </c>
      <c r="M197" s="18">
        <v>46.8476</v>
      </c>
      <c r="N197" s="18">
        <v>417.82729999999998</v>
      </c>
      <c r="O197" s="18">
        <f t="shared" si="7"/>
        <v>42.368412499999998</v>
      </c>
      <c r="P197" s="7"/>
      <c r="Q197" s="10"/>
      <c r="R197" s="11"/>
      <c r="S197" s="11"/>
      <c r="T197" s="26"/>
      <c r="U197" s="28">
        <f t="shared" si="9"/>
        <v>1.4011683236595598</v>
      </c>
    </row>
    <row r="198" spans="1:21" ht="16.5" thickBot="1" x14ac:dyDescent="0.3">
      <c r="B198" s="12"/>
      <c r="C198" s="19">
        <v>265.36</v>
      </c>
      <c r="D198" s="20">
        <v>37.515000000000001</v>
      </c>
      <c r="E198" s="20">
        <v>43.505000000000003</v>
      </c>
      <c r="F198" s="20">
        <v>43.811999999999998</v>
      </c>
      <c r="G198" s="20">
        <v>189.45</v>
      </c>
      <c r="H198" s="20">
        <f t="shared" si="6"/>
        <v>39.050875000000005</v>
      </c>
      <c r="I198" s="5"/>
      <c r="J198" s="19">
        <v>280.512</v>
      </c>
      <c r="K198" s="20">
        <v>39.109299999999998</v>
      </c>
      <c r="L198" s="20">
        <v>44.549799999999998</v>
      </c>
      <c r="M198" s="20">
        <v>45.055399999999999</v>
      </c>
      <c r="N198" s="20">
        <v>452.48869999999999</v>
      </c>
      <c r="O198" s="20">
        <f t="shared" si="7"/>
        <v>40.532625000000003</v>
      </c>
      <c r="P198" s="7"/>
      <c r="Q198" s="13"/>
      <c r="R198" s="14"/>
      <c r="S198" s="14"/>
      <c r="T198" s="27"/>
      <c r="U198" s="28">
        <f t="shared" si="9"/>
        <v>1.3884333597255214</v>
      </c>
    </row>
    <row r="199" spans="1:21" x14ac:dyDescent="0.25">
      <c r="B199" s="6" t="s">
        <v>63</v>
      </c>
      <c r="C199" s="15">
        <v>1496.55</v>
      </c>
      <c r="D199" s="16">
        <v>41.255000000000003</v>
      </c>
      <c r="E199" s="16">
        <v>45.408000000000001</v>
      </c>
      <c r="F199" s="16">
        <v>46.223999999999997</v>
      </c>
      <c r="G199" s="16">
        <v>144.58000000000001</v>
      </c>
      <c r="H199" s="16">
        <f t="shared" si="6"/>
        <v>42.395250000000004</v>
      </c>
      <c r="I199" s="5"/>
      <c r="J199" s="15">
        <v>1542.2439999999999</v>
      </c>
      <c r="K199" s="16">
        <v>42.346800000000002</v>
      </c>
      <c r="L199" s="16">
        <v>46.675800000000002</v>
      </c>
      <c r="M199" s="16">
        <v>47.524999999999999</v>
      </c>
      <c r="N199" s="16">
        <v>295.858</v>
      </c>
      <c r="O199" s="16">
        <f t="shared" si="7"/>
        <v>43.535199999999996</v>
      </c>
      <c r="P199" s="7"/>
      <c r="Q199" s="8">
        <f>bdrate(C199:C202,D199:D202,J199:J202,K199:K202)</f>
        <v>-0.37236940096310367</v>
      </c>
      <c r="R199" s="8">
        <f>bdrate(C199:C202,E199:E202,J199:J202,L199:L202)</f>
        <v>-0.44239588631650162</v>
      </c>
      <c r="S199" s="8">
        <f>bdrate(C199:C202,F199:F202,J199:J202,M199:M202)</f>
        <v>-0.43213978861001323</v>
      </c>
      <c r="T199" s="25">
        <f>bdrate(C199:C202,H199:H202,J199:J202,O199:O202)</f>
        <v>-0.38591989030370666</v>
      </c>
      <c r="U199" s="28">
        <f t="shared" si="9"/>
        <v>1.0463272928482499</v>
      </c>
    </row>
    <row r="200" spans="1:21" x14ac:dyDescent="0.25">
      <c r="B200" s="9"/>
      <c r="C200" s="17">
        <v>993.05</v>
      </c>
      <c r="D200" s="18">
        <v>40.148000000000003</v>
      </c>
      <c r="E200" s="18">
        <v>44.441000000000003</v>
      </c>
      <c r="F200" s="18">
        <v>45.262</v>
      </c>
      <c r="G200" s="18">
        <v>158.31</v>
      </c>
      <c r="H200" s="18">
        <f t="shared" si="6"/>
        <v>41.323875000000008</v>
      </c>
      <c r="I200" s="5"/>
      <c r="J200" s="17">
        <v>1013.8536</v>
      </c>
      <c r="K200" s="18">
        <v>41.496099999999998</v>
      </c>
      <c r="L200" s="18">
        <v>45.9253</v>
      </c>
      <c r="M200" s="18">
        <v>46.744700000000002</v>
      </c>
      <c r="N200" s="18">
        <v>340.32900000000001</v>
      </c>
      <c r="O200" s="18">
        <f t="shared" si="7"/>
        <v>42.705825000000004</v>
      </c>
      <c r="P200" s="7"/>
      <c r="Q200" s="10"/>
      <c r="R200" s="11"/>
      <c r="S200" s="11"/>
      <c r="T200" s="26"/>
      <c r="U200" s="28">
        <f t="shared" si="9"/>
        <v>1.1497631229865455</v>
      </c>
    </row>
    <row r="201" spans="1:21" x14ac:dyDescent="0.25">
      <c r="B201" s="9"/>
      <c r="C201" s="17">
        <v>588.17999999999995</v>
      </c>
      <c r="D201" s="18">
        <v>38.427</v>
      </c>
      <c r="E201" s="18">
        <v>43.21</v>
      </c>
      <c r="F201" s="18">
        <v>44.085000000000001</v>
      </c>
      <c r="G201" s="18">
        <v>167.18</v>
      </c>
      <c r="H201" s="18">
        <f t="shared" si="6"/>
        <v>39.732124999999996</v>
      </c>
      <c r="I201" s="5"/>
      <c r="J201" s="17">
        <v>605.16719999999998</v>
      </c>
      <c r="K201" s="18">
        <v>40.1145</v>
      </c>
      <c r="L201" s="18">
        <v>44.753599999999999</v>
      </c>
      <c r="M201" s="18">
        <v>45.554099999999998</v>
      </c>
      <c r="N201" s="18">
        <v>396.56310000000002</v>
      </c>
      <c r="O201" s="18">
        <f t="shared" si="7"/>
        <v>41.374337500000003</v>
      </c>
      <c r="P201" s="7"/>
      <c r="Q201" s="10"/>
      <c r="R201" s="11"/>
      <c r="S201" s="11"/>
      <c r="T201" s="26"/>
      <c r="U201" s="28">
        <f t="shared" si="9"/>
        <v>1.3720726163416677</v>
      </c>
    </row>
    <row r="202" spans="1:21" ht="16.5" thickBot="1" x14ac:dyDescent="0.3">
      <c r="B202" s="12"/>
      <c r="C202" s="19">
        <v>281.20999999999998</v>
      </c>
      <c r="D202" s="20">
        <v>35.996000000000002</v>
      </c>
      <c r="E202" s="20">
        <v>41.795999999999999</v>
      </c>
      <c r="F202" s="20">
        <v>42.76</v>
      </c>
      <c r="G202" s="20">
        <v>183.15</v>
      </c>
      <c r="H202" s="20">
        <f t="shared" si="6"/>
        <v>37.566499999999998</v>
      </c>
      <c r="I202" s="5"/>
      <c r="J202" s="19">
        <v>297.53199999999998</v>
      </c>
      <c r="K202" s="20">
        <v>37.422499999999999</v>
      </c>
      <c r="L202" s="20">
        <v>42.725299999999997</v>
      </c>
      <c r="M202" s="20">
        <v>43.538200000000003</v>
      </c>
      <c r="N202" s="20">
        <v>436.99930000000001</v>
      </c>
      <c r="O202" s="20">
        <f t="shared" si="7"/>
        <v>38.849812499999999</v>
      </c>
      <c r="P202" s="7"/>
      <c r="Q202" s="13"/>
      <c r="R202" s="14"/>
      <c r="S202" s="14"/>
      <c r="T202" s="27"/>
      <c r="U202" s="28">
        <f t="shared" si="9"/>
        <v>1.386018564018564</v>
      </c>
    </row>
    <row r="203" spans="1:21" x14ac:dyDescent="0.25">
      <c r="A203" s="6" t="s">
        <v>99</v>
      </c>
      <c r="B203" s="6" t="s">
        <v>100</v>
      </c>
      <c r="C203" s="29">
        <v>1209.51</v>
      </c>
      <c r="D203" s="30">
        <v>41.524999999999999</v>
      </c>
      <c r="E203" s="30">
        <v>47.045000000000002</v>
      </c>
      <c r="F203" s="30">
        <v>48.156999999999996</v>
      </c>
      <c r="G203" s="16">
        <v>102.29</v>
      </c>
      <c r="H203" s="16">
        <f t="shared" ref="H203:H246" si="10">(6*D203+E203+F203)/8</f>
        <v>43.043999999999997</v>
      </c>
      <c r="I203" s="5"/>
      <c r="J203" s="15">
        <v>1296.0145</v>
      </c>
      <c r="K203" s="16">
        <v>42.8919</v>
      </c>
      <c r="L203" s="16">
        <v>47.994999999999997</v>
      </c>
      <c r="M203" s="16">
        <v>49.555900000000001</v>
      </c>
      <c r="N203" s="16">
        <v>243.40770000000001</v>
      </c>
      <c r="O203" s="16">
        <f t="shared" ref="O203:O246" si="11">(6*K203+L203+M203)/8</f>
        <v>44.362787500000003</v>
      </c>
      <c r="P203" s="7"/>
      <c r="Q203" s="8">
        <f>bdrate(C203:C206,D203:D206,J203:J206,K203:K206)</f>
        <v>-0.32796934218680696</v>
      </c>
      <c r="R203" s="8">
        <f>bdrate(C203:C206,E203:E206,J203:J206,L203:L206)</f>
        <v>-0.34233314228767997</v>
      </c>
      <c r="S203" s="8">
        <f>bdrate(C203:C206,F203:F206,J203:J206,M203:M206)</f>
        <v>-0.3868942410195475</v>
      </c>
      <c r="T203" s="25">
        <f>bdrate(C203:C206,H203:H206,J203:J206,O203:O206)</f>
        <v>-0.33525565325592999</v>
      </c>
      <c r="U203" s="28">
        <f t="shared" si="9"/>
        <v>1.3795845146153094</v>
      </c>
    </row>
    <row r="204" spans="1:21" x14ac:dyDescent="0.25">
      <c r="A204" s="9" t="s">
        <v>77</v>
      </c>
      <c r="B204" s="9"/>
      <c r="C204" s="31">
        <v>809.45</v>
      </c>
      <c r="D204" s="32">
        <v>39.354999999999997</v>
      </c>
      <c r="E204" s="32">
        <v>45.499000000000002</v>
      </c>
      <c r="F204" s="32">
        <v>46.645000000000003</v>
      </c>
      <c r="G204" s="18">
        <v>111.91</v>
      </c>
      <c r="H204" s="18">
        <f t="shared" si="10"/>
        <v>41.03425</v>
      </c>
      <c r="I204" s="5"/>
      <c r="J204" s="17">
        <v>893.22609999999997</v>
      </c>
      <c r="K204" s="18">
        <v>41.4313</v>
      </c>
      <c r="L204" s="18">
        <v>47.6327</v>
      </c>
      <c r="M204" s="18">
        <v>48.479599999999998</v>
      </c>
      <c r="N204" s="18">
        <v>289.94850000000002</v>
      </c>
      <c r="O204" s="18">
        <f t="shared" si="11"/>
        <v>43.087512500000003</v>
      </c>
      <c r="P204" s="7"/>
      <c r="Q204" s="10"/>
      <c r="R204" s="11"/>
      <c r="S204" s="11"/>
      <c r="T204" s="26"/>
      <c r="U204" s="28">
        <f t="shared" si="9"/>
        <v>1.5909078723974626</v>
      </c>
    </row>
    <row r="205" spans="1:21" x14ac:dyDescent="0.25">
      <c r="B205" s="9"/>
      <c r="C205" s="31">
        <v>490.4</v>
      </c>
      <c r="D205" s="32">
        <v>36.546999999999997</v>
      </c>
      <c r="E205" s="32">
        <v>43.71</v>
      </c>
      <c r="F205" s="32">
        <v>44.92</v>
      </c>
      <c r="G205" s="18">
        <v>123.67</v>
      </c>
      <c r="H205" s="18">
        <f t="shared" si="10"/>
        <v>38.488999999999997</v>
      </c>
      <c r="I205" s="5"/>
      <c r="J205" s="17">
        <v>558.76679999999999</v>
      </c>
      <c r="K205" s="18">
        <v>39.430900000000001</v>
      </c>
      <c r="L205" s="18">
        <v>45.648200000000003</v>
      </c>
      <c r="M205" s="18">
        <v>47.026499999999999</v>
      </c>
      <c r="N205" s="18">
        <v>331.6139</v>
      </c>
      <c r="O205" s="18">
        <f t="shared" si="11"/>
        <v>41.157512500000003</v>
      </c>
      <c r="P205" s="7"/>
      <c r="Q205" s="10"/>
      <c r="R205" s="11"/>
      <c r="S205" s="11"/>
      <c r="T205" s="26"/>
      <c r="U205" s="28">
        <f t="shared" si="9"/>
        <v>1.6814417401148216</v>
      </c>
    </row>
    <row r="206" spans="1:21" ht="16.5" thickBot="1" x14ac:dyDescent="0.3">
      <c r="B206" s="12"/>
      <c r="C206" s="33">
        <v>249.29</v>
      </c>
      <c r="D206" s="34">
        <v>34.134</v>
      </c>
      <c r="E206" s="34">
        <v>41.457999999999998</v>
      </c>
      <c r="F206" s="34">
        <v>42.524999999999999</v>
      </c>
      <c r="G206" s="20">
        <v>142.55000000000001</v>
      </c>
      <c r="H206" s="20">
        <f t="shared" si="10"/>
        <v>36.098374999999997</v>
      </c>
      <c r="I206" s="5"/>
      <c r="J206" s="19">
        <v>289.29910000000001</v>
      </c>
      <c r="K206" s="20">
        <v>36.139299999999999</v>
      </c>
      <c r="L206" s="20">
        <v>43.230899999999998</v>
      </c>
      <c r="M206" s="20">
        <v>44.978099999999998</v>
      </c>
      <c r="N206" s="20">
        <v>388.5172</v>
      </c>
      <c r="O206" s="20">
        <f t="shared" si="11"/>
        <v>38.130600000000001</v>
      </c>
      <c r="P206" s="7"/>
      <c r="Q206" s="13"/>
      <c r="R206" s="14"/>
      <c r="S206" s="14"/>
      <c r="T206" s="27"/>
      <c r="U206" s="28">
        <f t="shared" si="9"/>
        <v>1.7254801823921428</v>
      </c>
    </row>
    <row r="207" spans="1:21" x14ac:dyDescent="0.25">
      <c r="B207" s="6" t="s">
        <v>101</v>
      </c>
      <c r="C207" s="15">
        <v>1472.64</v>
      </c>
      <c r="D207" s="16">
        <v>48.671999999999997</v>
      </c>
      <c r="E207" s="16">
        <v>49.750999999999998</v>
      </c>
      <c r="F207" s="16">
        <v>50.223999999999997</v>
      </c>
      <c r="G207" s="16">
        <v>186.1</v>
      </c>
      <c r="H207" s="16">
        <f t="shared" si="10"/>
        <v>49.000874999999994</v>
      </c>
      <c r="I207" s="5"/>
      <c r="J207" s="15">
        <v>1440.4663</v>
      </c>
      <c r="K207" s="16">
        <v>51.320799999999998</v>
      </c>
      <c r="L207" s="16">
        <v>51.790700000000001</v>
      </c>
      <c r="M207" s="16">
        <v>52.244100000000003</v>
      </c>
      <c r="N207" s="16">
        <v>321.37119999999999</v>
      </c>
      <c r="O207" s="16">
        <f t="shared" si="11"/>
        <v>51.494950000000003</v>
      </c>
      <c r="P207" s="7"/>
      <c r="Q207" s="8">
        <f>bdrate(C207:C210,D207:D210,J207:J210,K207:K210)</f>
        <v>-0.41816953335638463</v>
      </c>
      <c r="R207" s="8">
        <f>bdrate(C207:C210,E207:E210,J207:J210,L207:L210)</f>
        <v>-0.40700534038841274</v>
      </c>
      <c r="S207" s="8">
        <f>bdrate(C207:C210,F207:F210,J207:J210,M207:M210)</f>
        <v>-0.40446777074109308</v>
      </c>
      <c r="T207" s="25">
        <f>bdrate(C207:C210,H207:H210,J207:J210,O207:O210)</f>
        <v>-0.41541620268957324</v>
      </c>
      <c r="U207" s="28">
        <f t="shared" si="9"/>
        <v>0.72687372380440618</v>
      </c>
    </row>
    <row r="208" spans="1:21" x14ac:dyDescent="0.25">
      <c r="B208" s="9"/>
      <c r="C208" s="17">
        <v>981.61</v>
      </c>
      <c r="D208" s="18">
        <v>46.033999999999999</v>
      </c>
      <c r="E208" s="18">
        <v>47.353999999999999</v>
      </c>
      <c r="F208" s="18">
        <v>47.902999999999999</v>
      </c>
      <c r="G208" s="18">
        <v>199.98</v>
      </c>
      <c r="H208" s="18">
        <f t="shared" si="10"/>
        <v>46.432625000000002</v>
      </c>
      <c r="I208" s="5"/>
      <c r="J208" s="17">
        <v>971.17190000000005</v>
      </c>
      <c r="K208" s="18">
        <v>49.328400000000002</v>
      </c>
      <c r="L208" s="18">
        <v>50.070900000000002</v>
      </c>
      <c r="M208" s="18">
        <v>50.566400000000002</v>
      </c>
      <c r="N208" s="18">
        <v>393.7869</v>
      </c>
      <c r="O208" s="18">
        <f t="shared" si="11"/>
        <v>49.575962500000003</v>
      </c>
      <c r="P208" s="7"/>
      <c r="Q208" s="10"/>
      <c r="R208" s="11"/>
      <c r="S208" s="11"/>
      <c r="T208" s="26"/>
      <c r="U208" s="28">
        <f t="shared" si="9"/>
        <v>0.96913141314131424</v>
      </c>
    </row>
    <row r="209" spans="2:21" x14ac:dyDescent="0.25">
      <c r="B209" s="9"/>
      <c r="C209" s="17">
        <v>590.30999999999995</v>
      </c>
      <c r="D209" s="18">
        <v>42.978999999999999</v>
      </c>
      <c r="E209" s="18">
        <v>44.613999999999997</v>
      </c>
      <c r="F209" s="18">
        <v>45.16</v>
      </c>
      <c r="G209" s="18">
        <v>208.65</v>
      </c>
      <c r="H209" s="18">
        <f t="shared" si="10"/>
        <v>43.456000000000003</v>
      </c>
      <c r="I209" s="5"/>
      <c r="J209" s="17">
        <v>596.95600000000002</v>
      </c>
      <c r="K209" s="18">
        <v>46.394399999999997</v>
      </c>
      <c r="L209" s="18">
        <v>47.563200000000002</v>
      </c>
      <c r="M209" s="18">
        <v>48.077300000000001</v>
      </c>
      <c r="N209" s="18">
        <v>421.15109999999999</v>
      </c>
      <c r="O209" s="18">
        <f t="shared" si="11"/>
        <v>46.750862499999997</v>
      </c>
      <c r="P209" s="7"/>
      <c r="Q209" s="10"/>
      <c r="R209" s="11"/>
      <c r="S209" s="11"/>
      <c r="T209" s="26"/>
      <c r="U209" s="28">
        <f t="shared" si="9"/>
        <v>1.0184572250179726</v>
      </c>
    </row>
    <row r="210" spans="2:21" ht="16.5" thickBot="1" x14ac:dyDescent="0.3">
      <c r="B210" s="12"/>
      <c r="C210" s="19">
        <v>294.37</v>
      </c>
      <c r="D210" s="20">
        <v>39.411000000000001</v>
      </c>
      <c r="E210" s="20">
        <v>41.576000000000001</v>
      </c>
      <c r="F210" s="20">
        <v>42.152999999999999</v>
      </c>
      <c r="G210" s="20">
        <v>217.29</v>
      </c>
      <c r="H210" s="20">
        <f t="shared" si="10"/>
        <v>40.024375000000006</v>
      </c>
      <c r="I210" s="5"/>
      <c r="J210" s="19">
        <v>299.94200000000001</v>
      </c>
      <c r="K210" s="20">
        <v>41.965800000000002</v>
      </c>
      <c r="L210" s="20">
        <v>43.671300000000002</v>
      </c>
      <c r="M210" s="20">
        <v>44.184800000000003</v>
      </c>
      <c r="N210" s="20">
        <v>442.04320000000001</v>
      </c>
      <c r="O210" s="20">
        <f t="shared" si="11"/>
        <v>42.456362499999997</v>
      </c>
      <c r="P210" s="7"/>
      <c r="Q210" s="13"/>
      <c r="R210" s="14"/>
      <c r="S210" s="14"/>
      <c r="T210" s="27"/>
      <c r="U210" s="28">
        <f t="shared" si="9"/>
        <v>1.0343467255741177</v>
      </c>
    </row>
    <row r="211" spans="2:21" x14ac:dyDescent="0.25">
      <c r="B211" s="6" t="s">
        <v>102</v>
      </c>
      <c r="C211" s="15">
        <v>1553</v>
      </c>
      <c r="D211" s="16">
        <v>40.56</v>
      </c>
      <c r="E211" s="16">
        <v>43.265999999999998</v>
      </c>
      <c r="F211" s="16">
        <v>43.777999999999999</v>
      </c>
      <c r="G211" s="16">
        <v>125.55</v>
      </c>
      <c r="H211" s="16">
        <f t="shared" si="10"/>
        <v>41.300500000000007</v>
      </c>
      <c r="I211" s="5"/>
      <c r="J211" s="15">
        <v>1492.9935</v>
      </c>
      <c r="K211" s="16">
        <v>42.173699999999997</v>
      </c>
      <c r="L211" s="16">
        <v>44.489100000000001</v>
      </c>
      <c r="M211" s="16">
        <v>44.905799999999999</v>
      </c>
      <c r="N211" s="16">
        <v>281.42590000000001</v>
      </c>
      <c r="O211" s="16">
        <f t="shared" si="11"/>
        <v>42.804637499999998</v>
      </c>
      <c r="P211" s="7"/>
      <c r="Q211" s="8">
        <f>bdrate(C211:C214,D211:D214,J211:J214,K211:K214)</f>
        <v>-0.31169455659305267</v>
      </c>
      <c r="R211" s="8">
        <f>bdrate(C211:C214,E211:E214,J211:J214,L211:L214)</f>
        <v>-0.33714330269011528</v>
      </c>
      <c r="S211" s="8">
        <f>bdrate(C211:C214,F211:F214,J211:J214,M211:M214)</f>
        <v>-0.32177498375854396</v>
      </c>
      <c r="T211" s="25">
        <f>bdrate(C211:C214,H211:H214,J211:J214,O211:O214)</f>
        <v>-0.31507261455920954</v>
      </c>
      <c r="U211" s="28">
        <f t="shared" si="9"/>
        <v>1.2415444046196735</v>
      </c>
    </row>
    <row r="212" spans="2:21" x14ac:dyDescent="0.25">
      <c r="B212" s="9"/>
      <c r="C212" s="17">
        <v>1034.6199999999999</v>
      </c>
      <c r="D212" s="18">
        <v>38.53</v>
      </c>
      <c r="E212" s="18">
        <v>41.776000000000003</v>
      </c>
      <c r="F212" s="18">
        <v>42.283999999999999</v>
      </c>
      <c r="G212" s="18">
        <v>134.01</v>
      </c>
      <c r="H212" s="18">
        <f t="shared" si="10"/>
        <v>39.405000000000001</v>
      </c>
      <c r="I212" s="5"/>
      <c r="J212" s="17">
        <v>996.43050000000005</v>
      </c>
      <c r="K212" s="18">
        <v>40.251800000000003</v>
      </c>
      <c r="L212" s="18">
        <v>43.133400000000002</v>
      </c>
      <c r="M212" s="18">
        <v>43.546599999999998</v>
      </c>
      <c r="N212" s="18">
        <v>324.14909999999998</v>
      </c>
      <c r="O212" s="18">
        <f t="shared" si="11"/>
        <v>41.023850000000003</v>
      </c>
      <c r="P212" s="7"/>
      <c r="Q212" s="10"/>
      <c r="R212" s="11"/>
      <c r="S212" s="11"/>
      <c r="T212" s="26"/>
      <c r="U212" s="28">
        <f t="shared" si="9"/>
        <v>1.4188426236847995</v>
      </c>
    </row>
    <row r="213" spans="2:21" x14ac:dyDescent="0.25">
      <c r="B213" s="9"/>
      <c r="C213" s="17">
        <v>623.02</v>
      </c>
      <c r="D213" s="18">
        <v>35.795000000000002</v>
      </c>
      <c r="E213" s="18">
        <v>39.985999999999997</v>
      </c>
      <c r="F213" s="18">
        <v>40.536000000000001</v>
      </c>
      <c r="G213" s="18">
        <v>149.07</v>
      </c>
      <c r="H213" s="18">
        <f t="shared" si="10"/>
        <v>36.911500000000004</v>
      </c>
      <c r="I213" s="5"/>
      <c r="J213" s="17">
        <v>599.39850000000001</v>
      </c>
      <c r="K213" s="18">
        <v>37.579000000000001</v>
      </c>
      <c r="L213" s="18">
        <v>41.275199999999998</v>
      </c>
      <c r="M213" s="18">
        <v>41.720199999999998</v>
      </c>
      <c r="N213" s="18">
        <v>358.35160000000002</v>
      </c>
      <c r="O213" s="18">
        <f t="shared" si="11"/>
        <v>38.558674999999994</v>
      </c>
      <c r="P213" s="7"/>
      <c r="Q213" s="10"/>
      <c r="R213" s="11"/>
      <c r="S213" s="11"/>
      <c r="T213" s="26"/>
      <c r="U213" s="28">
        <f t="shared" si="9"/>
        <v>1.4039149392902666</v>
      </c>
    </row>
    <row r="214" spans="2:21" ht="16.5" thickBot="1" x14ac:dyDescent="0.3">
      <c r="B214" s="12"/>
      <c r="C214" s="19">
        <v>313.95</v>
      </c>
      <c r="D214" s="20">
        <v>32.439</v>
      </c>
      <c r="E214" s="20">
        <v>37.537999999999997</v>
      </c>
      <c r="F214" s="20">
        <v>38.085999999999999</v>
      </c>
      <c r="G214" s="20">
        <v>163.66999999999999</v>
      </c>
      <c r="H214" s="20">
        <f t="shared" si="10"/>
        <v>33.782250000000005</v>
      </c>
      <c r="I214" s="5"/>
      <c r="J214" s="19">
        <v>303.84010000000001</v>
      </c>
      <c r="K214" s="20">
        <v>34.0242</v>
      </c>
      <c r="L214" s="20">
        <v>38.965699999999998</v>
      </c>
      <c r="M214" s="20">
        <v>39.448900000000002</v>
      </c>
      <c r="N214" s="20">
        <v>401.96519999999998</v>
      </c>
      <c r="O214" s="20">
        <f t="shared" si="11"/>
        <v>35.319974999999999</v>
      </c>
      <c r="P214" s="7"/>
      <c r="Q214" s="13"/>
      <c r="R214" s="14"/>
      <c r="S214" s="14"/>
      <c r="T214" s="27"/>
      <c r="U214" s="28">
        <f t="shared" si="9"/>
        <v>1.4559491660047659</v>
      </c>
    </row>
    <row r="215" spans="2:21" x14ac:dyDescent="0.25">
      <c r="B215" s="6" t="s">
        <v>103</v>
      </c>
      <c r="C215" s="15">
        <v>1374.85</v>
      </c>
      <c r="D215" s="16">
        <v>37.283999999999999</v>
      </c>
      <c r="E215" s="16">
        <v>42.143000000000001</v>
      </c>
      <c r="F215" s="16">
        <v>42.078000000000003</v>
      </c>
      <c r="G215" s="16">
        <v>107.23</v>
      </c>
      <c r="H215" s="16">
        <f t="shared" si="10"/>
        <v>38.490624999999994</v>
      </c>
      <c r="I215" s="5"/>
      <c r="J215" s="29">
        <v>1507.7456999999999</v>
      </c>
      <c r="K215" s="30">
        <v>38.577199999999998</v>
      </c>
      <c r="L215" s="30">
        <v>43.142299999999999</v>
      </c>
      <c r="M215" s="30">
        <v>43.0991</v>
      </c>
      <c r="N215" s="16">
        <v>258.69499999999999</v>
      </c>
      <c r="O215" s="16">
        <f t="shared" si="11"/>
        <v>39.713074999999996</v>
      </c>
      <c r="P215" s="7"/>
      <c r="Q215" s="8">
        <f>bdrate(C215:C218,D215:D218,J215:J218,K215:K218)</f>
        <v>-0.13828090260429404</v>
      </c>
      <c r="R215" s="8">
        <f>bdrate(C215:C218,E215:E218,J215:J218,L215:L218)</f>
        <v>-0.25839103103446937</v>
      </c>
      <c r="S215" s="8">
        <f>bdrate(C215:C218,F215:F218,J215:J218,M215:M218)</f>
        <v>-0.25718907312984329</v>
      </c>
      <c r="T215" s="25">
        <f>bdrate(C215:C218,H215:H218,J215:J218,O215:O218)</f>
        <v>-0.16279305626211549</v>
      </c>
      <c r="U215" s="28">
        <f t="shared" si="9"/>
        <v>1.4125244800895269</v>
      </c>
    </row>
    <row r="216" spans="2:21" x14ac:dyDescent="0.25">
      <c r="B216" s="9"/>
      <c r="C216" s="17">
        <v>912.5</v>
      </c>
      <c r="D216" s="18">
        <v>35.561999999999998</v>
      </c>
      <c r="E216" s="18">
        <v>40.831000000000003</v>
      </c>
      <c r="F216" s="18">
        <v>40.799999999999997</v>
      </c>
      <c r="G216" s="18">
        <v>118.58</v>
      </c>
      <c r="H216" s="18">
        <f t="shared" si="10"/>
        <v>36.875374999999998</v>
      </c>
      <c r="I216" s="5"/>
      <c r="J216" s="31">
        <v>1002.8847</v>
      </c>
      <c r="K216" s="32">
        <v>36.726300000000002</v>
      </c>
      <c r="L216" s="32">
        <v>41.946399999999997</v>
      </c>
      <c r="M216" s="32">
        <v>41.935600000000001</v>
      </c>
      <c r="N216" s="18">
        <v>295.858</v>
      </c>
      <c r="O216" s="18">
        <f t="shared" si="11"/>
        <v>38.029975</v>
      </c>
      <c r="P216" s="7"/>
      <c r="Q216" s="10"/>
      <c r="R216" s="11"/>
      <c r="S216" s="11"/>
      <c r="T216" s="26"/>
      <c r="U216" s="28">
        <f t="shared" si="9"/>
        <v>1.4950075898127848</v>
      </c>
    </row>
    <row r="217" spans="2:21" x14ac:dyDescent="0.25">
      <c r="B217" s="9"/>
      <c r="C217" s="17">
        <v>544.57000000000005</v>
      </c>
      <c r="D217" s="18">
        <v>33.435000000000002</v>
      </c>
      <c r="E217" s="18">
        <v>39.290999999999997</v>
      </c>
      <c r="F217" s="18">
        <v>39.274000000000001</v>
      </c>
      <c r="G217" s="18">
        <v>130.22999999999999</v>
      </c>
      <c r="H217" s="18">
        <f t="shared" si="10"/>
        <v>34.896875000000001</v>
      </c>
      <c r="I217" s="5"/>
      <c r="J217" s="31">
        <v>600.30399999999997</v>
      </c>
      <c r="K217" s="32">
        <v>34.457700000000003</v>
      </c>
      <c r="L217" s="32">
        <v>40.453699999999998</v>
      </c>
      <c r="M217" s="32">
        <v>40.453299999999999</v>
      </c>
      <c r="N217" s="18">
        <v>333.45679999999999</v>
      </c>
      <c r="O217" s="18">
        <f t="shared" si="11"/>
        <v>35.956650000000003</v>
      </c>
      <c r="P217" s="7"/>
      <c r="Q217" s="10"/>
      <c r="R217" s="11"/>
      <c r="S217" s="11"/>
      <c r="T217" s="26"/>
      <c r="U217" s="28">
        <f t="shared" si="9"/>
        <v>1.5605221531137219</v>
      </c>
    </row>
    <row r="218" spans="2:21" ht="16.5" thickBot="1" x14ac:dyDescent="0.3">
      <c r="B218" s="12"/>
      <c r="C218" s="19">
        <v>271.89</v>
      </c>
      <c r="D218" s="20">
        <v>30.524000000000001</v>
      </c>
      <c r="E218" s="20">
        <v>37.076000000000001</v>
      </c>
      <c r="F218" s="20">
        <v>37.091000000000001</v>
      </c>
      <c r="G218" s="20">
        <v>148.5</v>
      </c>
      <c r="H218" s="20">
        <f t="shared" si="10"/>
        <v>32.163874999999997</v>
      </c>
      <c r="I218" s="5"/>
      <c r="J218" s="33">
        <v>300.95310000000001</v>
      </c>
      <c r="K218" s="34">
        <v>31.4056</v>
      </c>
      <c r="L218" s="34">
        <v>38.5839</v>
      </c>
      <c r="M218" s="34">
        <v>38.407200000000003</v>
      </c>
      <c r="N218" s="20">
        <v>387.18</v>
      </c>
      <c r="O218" s="20">
        <f t="shared" si="11"/>
        <v>33.178087500000004</v>
      </c>
      <c r="P218" s="7"/>
      <c r="Q218" s="13"/>
      <c r="R218" s="14"/>
      <c r="S218" s="14"/>
      <c r="T218" s="27"/>
      <c r="U218" s="28">
        <f t="shared" si="9"/>
        <v>1.6072727272727274</v>
      </c>
    </row>
    <row r="219" spans="2:21" x14ac:dyDescent="0.25">
      <c r="B219" s="6" t="s">
        <v>104</v>
      </c>
      <c r="C219" s="29">
        <v>1531</v>
      </c>
      <c r="D219" s="30">
        <v>34.323</v>
      </c>
      <c r="E219" s="30">
        <v>38.927999999999997</v>
      </c>
      <c r="F219" s="30">
        <v>39.503999999999998</v>
      </c>
      <c r="G219" s="16">
        <v>126.52</v>
      </c>
      <c r="H219" s="16">
        <f t="shared" si="10"/>
        <v>35.546250000000001</v>
      </c>
      <c r="I219" s="5"/>
      <c r="J219" s="15">
        <v>1500.7913000000001</v>
      </c>
      <c r="K219" s="16">
        <v>36.436500000000002</v>
      </c>
      <c r="L219" s="16">
        <v>41.047499999999999</v>
      </c>
      <c r="M219" s="16">
        <v>41.6235</v>
      </c>
      <c r="N219" s="16">
        <v>267.1019</v>
      </c>
      <c r="O219" s="16">
        <f t="shared" si="11"/>
        <v>37.661250000000003</v>
      </c>
      <c r="P219" s="7"/>
      <c r="Q219" s="8">
        <f>bdrate(C219:C222,D219:D222,J219:J222,K219:K222)</f>
        <v>-0.33350165963638001</v>
      </c>
      <c r="R219" s="8">
        <f>bdrate(C219:C222,E219:E222,J219:J222,L219:L222)</f>
        <v>-0.48022208877207251</v>
      </c>
      <c r="S219" s="8">
        <f>bdrate(C219:C222,F219:F222,J219:J222,M219:M222)</f>
        <v>-0.50196635748925567</v>
      </c>
      <c r="T219" s="25">
        <f>bdrate(C219:C222,H219:H222,J219:J222,O219:O222)</f>
        <v>-0.36519359412513419</v>
      </c>
      <c r="U219" s="28">
        <f t="shared" si="9"/>
        <v>1.111143692696807</v>
      </c>
    </row>
    <row r="220" spans="2:21" x14ac:dyDescent="0.25">
      <c r="B220" s="9"/>
      <c r="C220" s="31">
        <v>1020.58</v>
      </c>
      <c r="D220" s="32">
        <v>32.619</v>
      </c>
      <c r="E220" s="32">
        <v>37.634</v>
      </c>
      <c r="F220" s="32">
        <v>38.235999999999997</v>
      </c>
      <c r="G220" s="18">
        <v>135.27000000000001</v>
      </c>
      <c r="H220" s="18">
        <f t="shared" si="10"/>
        <v>33.948</v>
      </c>
      <c r="I220" s="5"/>
      <c r="J220" s="17">
        <v>991.19929999999999</v>
      </c>
      <c r="K220" s="18">
        <v>34.501199999999997</v>
      </c>
      <c r="L220" s="18">
        <v>39.6997</v>
      </c>
      <c r="M220" s="18">
        <v>40.3401</v>
      </c>
      <c r="N220" s="18">
        <v>307.69229999999999</v>
      </c>
      <c r="O220" s="18">
        <f t="shared" si="11"/>
        <v>35.880874999999996</v>
      </c>
      <c r="P220" s="7"/>
      <c r="Q220" s="10"/>
      <c r="R220" s="11"/>
      <c r="S220" s="11"/>
      <c r="T220" s="26"/>
      <c r="U220" s="28">
        <f t="shared" si="9"/>
        <v>1.2746529163894431</v>
      </c>
    </row>
    <row r="221" spans="2:21" x14ac:dyDescent="0.25">
      <c r="B221" s="9"/>
      <c r="C221" s="31">
        <v>612.96</v>
      </c>
      <c r="D221" s="32">
        <v>30.524999999999999</v>
      </c>
      <c r="E221" s="32">
        <v>36.246000000000002</v>
      </c>
      <c r="F221" s="32">
        <v>36.902000000000001</v>
      </c>
      <c r="G221" s="18">
        <v>151.22</v>
      </c>
      <c r="H221" s="18">
        <f t="shared" si="10"/>
        <v>32.03725</v>
      </c>
      <c r="I221" s="5"/>
      <c r="J221" s="17">
        <v>595.19929999999999</v>
      </c>
      <c r="K221" s="18">
        <v>32.121499999999997</v>
      </c>
      <c r="L221" s="18">
        <v>38.036700000000003</v>
      </c>
      <c r="M221" s="18">
        <v>38.737200000000001</v>
      </c>
      <c r="N221" s="18">
        <v>341.4264</v>
      </c>
      <c r="O221" s="18">
        <f t="shared" si="11"/>
        <v>33.687862499999994</v>
      </c>
      <c r="P221" s="7"/>
      <c r="Q221" s="10"/>
      <c r="R221" s="11"/>
      <c r="S221" s="11"/>
      <c r="T221" s="26"/>
      <c r="U221" s="28">
        <f t="shared" si="9"/>
        <v>1.2578124586694881</v>
      </c>
    </row>
    <row r="222" spans="2:21" ht="16.5" thickBot="1" x14ac:dyDescent="0.3">
      <c r="B222" s="12"/>
      <c r="C222" s="33">
        <v>305.27999999999997</v>
      </c>
      <c r="D222" s="34">
        <v>27.622</v>
      </c>
      <c r="E222" s="34">
        <v>34.298999999999999</v>
      </c>
      <c r="F222" s="34">
        <v>35.203000000000003</v>
      </c>
      <c r="G222" s="20">
        <v>166.02</v>
      </c>
      <c r="H222" s="20">
        <f t="shared" si="10"/>
        <v>29.404250000000001</v>
      </c>
      <c r="I222" s="5"/>
      <c r="J222" s="19">
        <v>300.67079999999999</v>
      </c>
      <c r="K222" s="20">
        <v>28.9771</v>
      </c>
      <c r="L222" s="20">
        <v>35.978299999999997</v>
      </c>
      <c r="M222" s="20">
        <v>36.783299999999997</v>
      </c>
      <c r="N222" s="20">
        <v>391.1343</v>
      </c>
      <c r="O222" s="20">
        <f t="shared" si="11"/>
        <v>30.828024999999997</v>
      </c>
      <c r="P222" s="7"/>
      <c r="Q222" s="13"/>
      <c r="R222" s="14"/>
      <c r="S222" s="14"/>
      <c r="T222" s="27"/>
      <c r="U222" s="28">
        <f t="shared" si="9"/>
        <v>1.3559468738706177</v>
      </c>
    </row>
    <row r="223" spans="2:21" x14ac:dyDescent="0.25">
      <c r="B223" s="6" t="s">
        <v>105</v>
      </c>
      <c r="C223" s="15">
        <v>1491.96</v>
      </c>
      <c r="D223" s="16">
        <v>35.993000000000002</v>
      </c>
      <c r="E223" s="16">
        <v>41.628999999999998</v>
      </c>
      <c r="F223" s="16">
        <v>43.048000000000002</v>
      </c>
      <c r="G223" s="16">
        <v>98.68</v>
      </c>
      <c r="H223" s="16">
        <f t="shared" si="10"/>
        <v>37.579375000000006</v>
      </c>
      <c r="I223" s="5"/>
      <c r="J223" s="15">
        <v>1504.0335</v>
      </c>
      <c r="K223" s="16">
        <v>36.7136</v>
      </c>
      <c r="L223" s="16">
        <v>42.6706</v>
      </c>
      <c r="M223" s="16">
        <v>44.028199999999998</v>
      </c>
      <c r="N223" s="16">
        <v>253.05779999999999</v>
      </c>
      <c r="O223" s="16">
        <f t="shared" si="11"/>
        <v>38.372550000000004</v>
      </c>
      <c r="P223" s="7"/>
      <c r="Q223" s="8">
        <f>bdrate(C223:C226,D223:D226,J223:J226,K223:K226)</f>
        <v>-0.18768286977090098</v>
      </c>
      <c r="R223" s="8">
        <f>bdrate(C223:C226,E223:E226,J223:J226,L223:L226)</f>
        <v>-0.42591034381365733</v>
      </c>
      <c r="S223" s="8">
        <f>bdrate(C223:C226,F223:F226,J223:J226,M223:M226)</f>
        <v>-0.38454982455334086</v>
      </c>
      <c r="T223" s="25">
        <f>bdrate(C223:C226,H223:H226,J223:J226,O223:O226)</f>
        <v>-0.23687944594158861</v>
      </c>
      <c r="U223" s="28">
        <f t="shared" si="9"/>
        <v>1.5644284556141059</v>
      </c>
    </row>
    <row r="224" spans="2:21" x14ac:dyDescent="0.25">
      <c r="B224" s="9"/>
      <c r="C224" s="17">
        <v>998.1</v>
      </c>
      <c r="D224" s="18">
        <v>34.664000000000001</v>
      </c>
      <c r="E224" s="18">
        <v>40.597999999999999</v>
      </c>
      <c r="F224" s="18">
        <v>41.868000000000002</v>
      </c>
      <c r="G224" s="18">
        <v>109.98</v>
      </c>
      <c r="H224" s="18">
        <f t="shared" si="10"/>
        <v>36.306249999999999</v>
      </c>
      <c r="I224" s="5"/>
      <c r="J224" s="17">
        <v>1001.9175</v>
      </c>
      <c r="K224" s="18">
        <v>35.343200000000003</v>
      </c>
      <c r="L224" s="18">
        <v>41.793799999999997</v>
      </c>
      <c r="M224" s="18">
        <v>43.022500000000001</v>
      </c>
      <c r="N224" s="18">
        <v>298.904</v>
      </c>
      <c r="O224" s="18">
        <f t="shared" si="11"/>
        <v>37.109437500000006</v>
      </c>
      <c r="P224" s="7"/>
      <c r="Q224" s="10"/>
      <c r="R224" s="11"/>
      <c r="S224" s="11"/>
      <c r="T224" s="26"/>
      <c r="U224" s="28">
        <f t="shared" si="9"/>
        <v>1.717803236952173</v>
      </c>
    </row>
    <row r="225" spans="2:21" x14ac:dyDescent="0.25">
      <c r="B225" s="9"/>
      <c r="C225" s="17">
        <v>599.89</v>
      </c>
      <c r="D225" s="18">
        <v>33.054000000000002</v>
      </c>
      <c r="E225" s="18">
        <v>39.454999999999998</v>
      </c>
      <c r="F225" s="18">
        <v>40.454999999999998</v>
      </c>
      <c r="G225" s="18">
        <v>121.97</v>
      </c>
      <c r="H225" s="18">
        <f t="shared" si="10"/>
        <v>34.779249999999998</v>
      </c>
      <c r="I225" s="5"/>
      <c r="J225" s="17">
        <v>602.71730000000002</v>
      </c>
      <c r="K225" s="18">
        <v>33.701700000000002</v>
      </c>
      <c r="L225" s="18">
        <v>40.700000000000003</v>
      </c>
      <c r="M225" s="18">
        <v>41.787999999999997</v>
      </c>
      <c r="N225" s="18">
        <v>334.44819999999999</v>
      </c>
      <c r="O225" s="18">
        <f t="shared" si="11"/>
        <v>35.587275000000005</v>
      </c>
      <c r="P225" s="7"/>
      <c r="Q225" s="10"/>
      <c r="R225" s="11"/>
      <c r="S225" s="11"/>
      <c r="T225" s="26"/>
      <c r="U225" s="28">
        <f t="shared" si="9"/>
        <v>1.742052963843568</v>
      </c>
    </row>
    <row r="226" spans="2:21" ht="16.5" thickBot="1" x14ac:dyDescent="0.3">
      <c r="B226" s="12"/>
      <c r="C226" s="19">
        <v>306.2</v>
      </c>
      <c r="D226" s="20">
        <v>31.050999999999998</v>
      </c>
      <c r="E226" s="20">
        <v>38.130000000000003</v>
      </c>
      <c r="F226" s="20">
        <v>38.816000000000003</v>
      </c>
      <c r="G226" s="20">
        <v>142.79</v>
      </c>
      <c r="H226" s="20">
        <f t="shared" si="10"/>
        <v>32.906499999999994</v>
      </c>
      <c r="I226" s="5"/>
      <c r="J226" s="19">
        <v>301.16250000000002</v>
      </c>
      <c r="K226" s="20">
        <v>31.665900000000001</v>
      </c>
      <c r="L226" s="20">
        <v>39.286499999999997</v>
      </c>
      <c r="M226" s="20">
        <v>40.127800000000001</v>
      </c>
      <c r="N226" s="20">
        <v>385.9348</v>
      </c>
      <c r="O226" s="20">
        <f t="shared" si="11"/>
        <v>33.676212499999998</v>
      </c>
      <c r="P226" s="7"/>
      <c r="Q226" s="13"/>
      <c r="R226" s="14"/>
      <c r="S226" s="14"/>
      <c r="T226" s="27"/>
      <c r="U226" s="28">
        <f t="shared" si="9"/>
        <v>1.7028139225435956</v>
      </c>
    </row>
    <row r="227" spans="2:21" x14ac:dyDescent="0.25">
      <c r="B227" s="6" t="s">
        <v>106</v>
      </c>
      <c r="C227" s="15">
        <v>1589.28</v>
      </c>
      <c r="D227" s="16">
        <v>45.186</v>
      </c>
      <c r="E227" s="16">
        <v>50.283999999999999</v>
      </c>
      <c r="F227" s="16">
        <v>51.69</v>
      </c>
      <c r="G227" s="16">
        <v>122.68</v>
      </c>
      <c r="H227" s="16">
        <f t="shared" si="10"/>
        <v>46.636249999999997</v>
      </c>
      <c r="I227" s="5"/>
      <c r="J227" s="15">
        <v>1498.5435</v>
      </c>
      <c r="K227" s="16">
        <v>46.640799999999999</v>
      </c>
      <c r="L227" s="16">
        <v>51.409300000000002</v>
      </c>
      <c r="M227" s="16">
        <v>52.883200000000002</v>
      </c>
      <c r="N227" s="16">
        <v>218.0078</v>
      </c>
      <c r="O227" s="16">
        <f t="shared" si="11"/>
        <v>48.017162499999998</v>
      </c>
      <c r="P227" s="7"/>
      <c r="Q227" s="8">
        <f>bdrate(C227:C230,D227:D230,J227:J230,K227:K230)</f>
        <v>-0.30966376006078855</v>
      </c>
      <c r="R227" s="8">
        <f>bdrate(C227:C230,E227:E230,J227:J230,L227:L230)</f>
        <v>-0.31022856343525662</v>
      </c>
      <c r="S227" s="8">
        <f>bdrate(C227:C230,F227:F230,J227:J230,M227:M230)</f>
        <v>-0.30417362943640935</v>
      </c>
      <c r="T227" s="25">
        <f>bdrate(C227:C230,H227:H230,J227:J230,O227:O230)</f>
        <v>-0.3091649720626205</v>
      </c>
      <c r="U227" s="28">
        <f t="shared" si="9"/>
        <v>0.77704434300619496</v>
      </c>
    </row>
    <row r="228" spans="2:21" x14ac:dyDescent="0.25">
      <c r="B228" s="9"/>
      <c r="C228" s="17">
        <v>1059.45</v>
      </c>
      <c r="D228" s="18">
        <v>43.395000000000003</v>
      </c>
      <c r="E228" s="18">
        <v>48.691000000000003</v>
      </c>
      <c r="F228" s="18">
        <v>50.177</v>
      </c>
      <c r="G228" s="18">
        <v>139.61000000000001</v>
      </c>
      <c r="H228" s="18">
        <f t="shared" si="10"/>
        <v>44.904750000000007</v>
      </c>
      <c r="I228" s="5"/>
      <c r="J228" s="17">
        <v>1004.7956</v>
      </c>
      <c r="K228" s="18">
        <v>44.848100000000002</v>
      </c>
      <c r="L228" s="18">
        <v>49.996000000000002</v>
      </c>
      <c r="M228" s="18">
        <v>51.413699999999999</v>
      </c>
      <c r="N228" s="18">
        <v>285.4196</v>
      </c>
      <c r="O228" s="18">
        <f t="shared" si="11"/>
        <v>46.312287500000004</v>
      </c>
      <c r="P228" s="7"/>
      <c r="Q228" s="10"/>
      <c r="R228" s="11"/>
      <c r="S228" s="11"/>
      <c r="T228" s="26"/>
      <c r="U228" s="28">
        <f t="shared" si="9"/>
        <v>1.044406561134589</v>
      </c>
    </row>
    <row r="229" spans="2:21" x14ac:dyDescent="0.25">
      <c r="B229" s="9"/>
      <c r="C229" s="17">
        <v>636.83000000000004</v>
      </c>
      <c r="D229" s="18">
        <v>41.156999999999996</v>
      </c>
      <c r="E229" s="18">
        <v>46.805999999999997</v>
      </c>
      <c r="F229" s="18">
        <v>48.345999999999997</v>
      </c>
      <c r="G229" s="18">
        <v>157.75</v>
      </c>
      <c r="H229" s="18">
        <f t="shared" si="10"/>
        <v>42.761749999999999</v>
      </c>
      <c r="I229" s="5"/>
      <c r="J229" s="17">
        <v>604.25369999999998</v>
      </c>
      <c r="K229" s="18">
        <v>42.610999999999997</v>
      </c>
      <c r="L229" s="18">
        <v>48.088900000000002</v>
      </c>
      <c r="M229" s="18">
        <v>49.5411</v>
      </c>
      <c r="N229" s="18">
        <v>374.40170000000001</v>
      </c>
      <c r="O229" s="18">
        <f t="shared" si="11"/>
        <v>44.162000000000006</v>
      </c>
      <c r="P229" s="7"/>
      <c r="Q229" s="10"/>
      <c r="R229" s="11"/>
      <c r="S229" s="11"/>
      <c r="T229" s="26"/>
      <c r="U229" s="28">
        <f t="shared" si="9"/>
        <v>1.3733863708399365</v>
      </c>
    </row>
    <row r="230" spans="2:21" ht="16.5" thickBot="1" x14ac:dyDescent="0.3">
      <c r="B230" s="12"/>
      <c r="C230" s="19">
        <v>320.41000000000003</v>
      </c>
      <c r="D230" s="20">
        <v>38.165999999999997</v>
      </c>
      <c r="E230" s="20">
        <v>44.218000000000004</v>
      </c>
      <c r="F230" s="20">
        <v>45.777999999999999</v>
      </c>
      <c r="G230" s="20">
        <v>178.24</v>
      </c>
      <c r="H230" s="20">
        <f t="shared" si="10"/>
        <v>39.874000000000002</v>
      </c>
      <c r="I230" s="5"/>
      <c r="J230" s="19">
        <v>302.43720000000002</v>
      </c>
      <c r="K230" s="20">
        <v>39.326300000000003</v>
      </c>
      <c r="L230" s="20">
        <v>45.0839</v>
      </c>
      <c r="M230" s="20">
        <v>46.664299999999997</v>
      </c>
      <c r="N230" s="20">
        <v>411.7647</v>
      </c>
      <c r="O230" s="20">
        <f t="shared" si="11"/>
        <v>40.963250000000002</v>
      </c>
      <c r="P230" s="7"/>
      <c r="Q230" s="13"/>
      <c r="R230" s="14"/>
      <c r="S230" s="14"/>
      <c r="T230" s="27"/>
      <c r="U230" s="28">
        <f t="shared" si="9"/>
        <v>1.3101699955116695</v>
      </c>
    </row>
    <row r="231" spans="2:21" x14ac:dyDescent="0.25">
      <c r="B231" s="6" t="s">
        <v>107</v>
      </c>
      <c r="C231" s="15">
        <v>1464.32</v>
      </c>
      <c r="D231" s="16">
        <v>30.920999999999999</v>
      </c>
      <c r="E231" s="16">
        <v>38.965000000000003</v>
      </c>
      <c r="F231" s="16">
        <v>38.357999999999997</v>
      </c>
      <c r="G231" s="16">
        <v>89.52</v>
      </c>
      <c r="H231" s="16">
        <f t="shared" si="10"/>
        <v>32.856124999999999</v>
      </c>
      <c r="I231" s="5"/>
      <c r="J231" s="15">
        <v>1494.5518999999999</v>
      </c>
      <c r="K231" s="16">
        <v>31.360900000000001</v>
      </c>
      <c r="L231" s="16">
        <v>39.832799999999999</v>
      </c>
      <c r="M231" s="16">
        <v>39.191899999999997</v>
      </c>
      <c r="N231" s="16">
        <v>143.3349</v>
      </c>
      <c r="O231" s="16">
        <f t="shared" si="11"/>
        <v>33.398762499999997</v>
      </c>
      <c r="P231" s="7"/>
      <c r="Q231" s="8">
        <f>bdrate(C231:C234,D231:D234,J231:J234,K231:K234)</f>
        <v>-5.6673724204414633E-2</v>
      </c>
      <c r="R231" s="8">
        <f>bdrate(C231:C234,E231:E234,J231:J234,L231:L234)</f>
        <v>-0.32512365228310081</v>
      </c>
      <c r="S231" s="8">
        <f>bdrate(C231:C234,F231:F234,J231:J234,M231:M234)</f>
        <v>-0.31101433665313405</v>
      </c>
      <c r="T231" s="25">
        <f>bdrate(C231:C234,H231:H234,J231:J234,O231:O234)</f>
        <v>-0.11521127448526591</v>
      </c>
      <c r="U231" s="28">
        <f t="shared" si="9"/>
        <v>0.60114946380697065</v>
      </c>
    </row>
    <row r="232" spans="2:21" x14ac:dyDescent="0.25">
      <c r="B232" s="9"/>
      <c r="C232" s="17">
        <v>976.02</v>
      </c>
      <c r="D232" s="18">
        <v>29.26</v>
      </c>
      <c r="E232" s="18">
        <v>37.798000000000002</v>
      </c>
      <c r="F232" s="18">
        <v>37.137</v>
      </c>
      <c r="G232" s="18">
        <v>100.08</v>
      </c>
      <c r="H232" s="18">
        <f t="shared" si="10"/>
        <v>31.311875000000001</v>
      </c>
      <c r="I232" s="5"/>
      <c r="J232" s="17">
        <v>995.19449999999995</v>
      </c>
      <c r="K232" s="18">
        <v>29.6206</v>
      </c>
      <c r="L232" s="18">
        <v>38.917000000000002</v>
      </c>
      <c r="M232" s="18">
        <v>38.198399999999999</v>
      </c>
      <c r="N232" s="18">
        <v>225.36619999999999</v>
      </c>
      <c r="O232" s="18">
        <f t="shared" si="11"/>
        <v>31.854875</v>
      </c>
      <c r="P232" s="7"/>
      <c r="Q232" s="10"/>
      <c r="R232" s="11"/>
      <c r="S232" s="11"/>
      <c r="T232" s="26"/>
      <c r="U232" s="28">
        <f t="shared" si="9"/>
        <v>1.2518605115907273</v>
      </c>
    </row>
    <row r="233" spans="2:21" x14ac:dyDescent="0.25">
      <c r="B233" s="9"/>
      <c r="C233" s="17">
        <v>587.14</v>
      </c>
      <c r="D233" s="18">
        <v>27.202999999999999</v>
      </c>
      <c r="E233" s="18">
        <v>36.244</v>
      </c>
      <c r="F233" s="18">
        <v>35.590000000000003</v>
      </c>
      <c r="G233" s="18">
        <v>113.02</v>
      </c>
      <c r="H233" s="18">
        <f t="shared" si="10"/>
        <v>29.381499999999999</v>
      </c>
      <c r="I233" s="5"/>
      <c r="J233" s="17">
        <v>597.14589999999998</v>
      </c>
      <c r="K233" s="18">
        <v>27.468</v>
      </c>
      <c r="L233" s="18">
        <v>37.552900000000001</v>
      </c>
      <c r="M233" s="18">
        <v>36.820500000000003</v>
      </c>
      <c r="N233" s="18">
        <v>309.33150000000001</v>
      </c>
      <c r="O233" s="18">
        <f t="shared" si="11"/>
        <v>29.897675</v>
      </c>
      <c r="P233" s="7"/>
      <c r="Q233" s="10"/>
      <c r="R233" s="11"/>
      <c r="S233" s="11"/>
      <c r="T233" s="26"/>
      <c r="U233" s="28">
        <f t="shared" si="9"/>
        <v>1.7369624845160152</v>
      </c>
    </row>
    <row r="234" spans="2:21" ht="16.5" thickBot="1" x14ac:dyDescent="0.3">
      <c r="B234" s="12"/>
      <c r="C234" s="19">
        <v>292.18</v>
      </c>
      <c r="D234" s="20">
        <v>24.408999999999999</v>
      </c>
      <c r="E234" s="20">
        <v>33.613999999999997</v>
      </c>
      <c r="F234" s="20">
        <v>33.091000000000001</v>
      </c>
      <c r="G234" s="20">
        <v>133.38999999999999</v>
      </c>
      <c r="H234" s="20">
        <f t="shared" si="10"/>
        <v>26.644875000000003</v>
      </c>
      <c r="I234" s="5"/>
      <c r="J234" s="19">
        <v>299.7731</v>
      </c>
      <c r="K234" s="20">
        <v>24.745999999999999</v>
      </c>
      <c r="L234" s="20">
        <v>35.185899999999997</v>
      </c>
      <c r="M234" s="20">
        <v>34.566699999999997</v>
      </c>
      <c r="N234" s="20">
        <v>368.70139999999998</v>
      </c>
      <c r="O234" s="20">
        <f t="shared" si="11"/>
        <v>27.278575</v>
      </c>
      <c r="P234" s="7"/>
      <c r="Q234" s="13"/>
      <c r="R234" s="14"/>
      <c r="S234" s="14"/>
      <c r="T234" s="27"/>
      <c r="U234" s="28">
        <f t="shared" si="9"/>
        <v>1.7640857635504912</v>
      </c>
    </row>
    <row r="235" spans="2:21" x14ac:dyDescent="0.25">
      <c r="B235" s="6" t="s">
        <v>108</v>
      </c>
      <c r="C235" s="15">
        <v>1508.08</v>
      </c>
      <c r="D235" s="16">
        <v>42.093000000000004</v>
      </c>
      <c r="E235" s="16">
        <v>43.423000000000002</v>
      </c>
      <c r="F235" s="16">
        <v>43.304000000000002</v>
      </c>
      <c r="G235" s="16">
        <v>115.27</v>
      </c>
      <c r="H235" s="16">
        <f t="shared" si="10"/>
        <v>42.410624999999996</v>
      </c>
      <c r="I235" s="5"/>
      <c r="J235" s="15">
        <v>1420.7855</v>
      </c>
      <c r="K235" s="16">
        <v>44.299500000000002</v>
      </c>
      <c r="L235" s="16">
        <v>45.314900000000002</v>
      </c>
      <c r="M235" s="16">
        <v>45.215000000000003</v>
      </c>
      <c r="N235" s="16">
        <v>264.04579999999999</v>
      </c>
      <c r="O235" s="16">
        <f t="shared" si="11"/>
        <v>44.540862500000003</v>
      </c>
      <c r="P235" s="7"/>
      <c r="Q235" s="8">
        <f>bdrate(C235:C238,D235:D238,J235:J238,K235:K238)</f>
        <v>-0.35255346828185796</v>
      </c>
      <c r="R235" s="8">
        <f>bdrate(C235:C238,E235:E238,J235:J238,L235:L238)</f>
        <v>-0.38420955880238983</v>
      </c>
      <c r="S235" s="8">
        <f>bdrate(C235:C238,F235:F238,J235:J238,M235:M238)</f>
        <v>-0.37899903707585936</v>
      </c>
      <c r="T235" s="25">
        <f>bdrate(C235:C238,H235:H238,J235:J238,O235:O238)</f>
        <v>-0.35890473485145558</v>
      </c>
      <c r="U235" s="28">
        <f t="shared" si="9"/>
        <v>1.2906723345189555</v>
      </c>
    </row>
    <row r="236" spans="2:21" x14ac:dyDescent="0.25">
      <c r="B236" s="9"/>
      <c r="C236" s="17">
        <v>1004.7</v>
      </c>
      <c r="D236" s="18">
        <v>39.814999999999998</v>
      </c>
      <c r="E236" s="18">
        <v>41.566000000000003</v>
      </c>
      <c r="F236" s="18">
        <v>41.404000000000003</v>
      </c>
      <c r="G236" s="18">
        <v>139.18</v>
      </c>
      <c r="H236" s="18">
        <f t="shared" si="10"/>
        <v>40.232500000000002</v>
      </c>
      <c r="I236" s="5"/>
      <c r="J236" s="17">
        <v>960.65480000000002</v>
      </c>
      <c r="K236" s="18">
        <v>42.3703</v>
      </c>
      <c r="L236" s="18">
        <v>43.742400000000004</v>
      </c>
      <c r="M236" s="18">
        <v>43.610599999999998</v>
      </c>
      <c r="N236" s="18">
        <v>323.15980000000002</v>
      </c>
      <c r="O236" s="18">
        <f t="shared" si="11"/>
        <v>42.696849999999998</v>
      </c>
      <c r="P236" s="7"/>
      <c r="Q236" s="10"/>
      <c r="R236" s="11"/>
      <c r="S236" s="11"/>
      <c r="T236" s="26"/>
      <c r="U236" s="28">
        <f t="shared" si="9"/>
        <v>1.3218838913637017</v>
      </c>
    </row>
    <row r="237" spans="2:21" x14ac:dyDescent="0.25">
      <c r="B237" s="9"/>
      <c r="C237" s="17">
        <v>606.12</v>
      </c>
      <c r="D237" s="18">
        <v>36.97</v>
      </c>
      <c r="E237" s="18">
        <v>39.198999999999998</v>
      </c>
      <c r="F237" s="18">
        <v>39.098999999999997</v>
      </c>
      <c r="G237" s="18">
        <v>157.84</v>
      </c>
      <c r="H237" s="18">
        <f t="shared" si="10"/>
        <v>37.514749999999999</v>
      </c>
      <c r="I237" s="5"/>
      <c r="J237" s="17">
        <v>584.90959999999995</v>
      </c>
      <c r="K237" s="18">
        <v>39.278399999999998</v>
      </c>
      <c r="L237" s="18">
        <v>41.266599999999997</v>
      </c>
      <c r="M237" s="18">
        <v>41.088999999999999</v>
      </c>
      <c r="N237" s="18">
        <v>361.3732</v>
      </c>
      <c r="O237" s="18">
        <f t="shared" si="11"/>
        <v>39.753249999999994</v>
      </c>
      <c r="P237" s="7"/>
      <c r="Q237" s="10"/>
      <c r="R237" s="11"/>
      <c r="S237" s="11"/>
      <c r="T237" s="26"/>
      <c r="U237" s="28">
        <f t="shared" si="9"/>
        <v>1.2894906234161174</v>
      </c>
    </row>
    <row r="238" spans="2:21" ht="16.5" thickBot="1" x14ac:dyDescent="0.3">
      <c r="B238" s="12"/>
      <c r="C238" s="19">
        <v>301.60000000000002</v>
      </c>
      <c r="D238" s="20">
        <v>33.005000000000003</v>
      </c>
      <c r="E238" s="20">
        <v>36.249000000000002</v>
      </c>
      <c r="F238" s="20">
        <v>35.756999999999998</v>
      </c>
      <c r="G238" s="20">
        <v>165.3</v>
      </c>
      <c r="H238" s="20">
        <f t="shared" si="10"/>
        <v>33.7545</v>
      </c>
      <c r="I238" s="5"/>
      <c r="J238" s="19">
        <v>294.98050000000001</v>
      </c>
      <c r="K238" s="20">
        <v>34.9895</v>
      </c>
      <c r="L238" s="20">
        <v>38.106099999999998</v>
      </c>
      <c r="M238" s="20">
        <v>37.925400000000003</v>
      </c>
      <c r="N238" s="20">
        <v>402.05489999999998</v>
      </c>
      <c r="O238" s="20">
        <f t="shared" si="11"/>
        <v>35.746062500000001</v>
      </c>
      <c r="P238" s="7"/>
      <c r="Q238" s="13"/>
      <c r="R238" s="14"/>
      <c r="S238" s="14"/>
      <c r="T238" s="27"/>
      <c r="U238" s="28">
        <f t="shared" si="9"/>
        <v>1.4322740471869326</v>
      </c>
    </row>
    <row r="239" spans="2:21" x14ac:dyDescent="0.25">
      <c r="B239" s="6" t="s">
        <v>109</v>
      </c>
      <c r="C239" s="15">
        <v>1986.62</v>
      </c>
      <c r="D239" s="16">
        <v>42.1</v>
      </c>
      <c r="E239" s="16">
        <v>44.296999999999997</v>
      </c>
      <c r="F239" s="16">
        <v>44.512</v>
      </c>
      <c r="G239" s="16">
        <v>134.79</v>
      </c>
      <c r="H239" s="16">
        <f t="shared" si="10"/>
        <v>42.676125000000006</v>
      </c>
      <c r="I239" s="5"/>
      <c r="J239" s="15">
        <v>1405.8264999999999</v>
      </c>
      <c r="K239" s="16">
        <v>45.284599999999998</v>
      </c>
      <c r="L239" s="16">
        <v>47.535600000000002</v>
      </c>
      <c r="M239" s="16">
        <v>47.7883</v>
      </c>
      <c r="N239" s="16">
        <v>254.12960000000001</v>
      </c>
      <c r="O239" s="16">
        <f t="shared" si="11"/>
        <v>45.878937499999992</v>
      </c>
      <c r="P239" s="7"/>
      <c r="Q239" s="8">
        <f>bdrate(C239:C242,D239:D242,J239:J242,K239:K242)</f>
        <v>-0.5568363266134031</v>
      </c>
      <c r="R239" s="8">
        <f>bdrate(C239:C242,E239:E242,J239:J242,L239:L242)</f>
        <v>-0.60583687017197696</v>
      </c>
      <c r="S239" s="8">
        <f>bdrate(C239:C242,F239:F242,J239:J242,M239:M242)</f>
        <v>-0.60906504139813789</v>
      </c>
      <c r="T239" s="25">
        <f>bdrate(C239:C242,H239:H242,J239:J242,O239:O242)</f>
        <v>-0.56870677127339719</v>
      </c>
      <c r="U239" s="28">
        <f t="shared" si="9"/>
        <v>0.88537428592625589</v>
      </c>
    </row>
    <row r="240" spans="2:21" x14ac:dyDescent="0.25">
      <c r="B240" s="9"/>
      <c r="C240" s="17">
        <v>1298.25</v>
      </c>
      <c r="D240" s="18">
        <v>40.106000000000002</v>
      </c>
      <c r="E240" s="18">
        <v>42.497</v>
      </c>
      <c r="F240" s="18">
        <v>42.725000000000001</v>
      </c>
      <c r="G240" s="18">
        <v>151.22</v>
      </c>
      <c r="H240" s="18">
        <f t="shared" si="10"/>
        <v>40.732250000000008</v>
      </c>
      <c r="I240" s="5"/>
      <c r="J240" s="17">
        <v>976.26110000000006</v>
      </c>
      <c r="K240" s="18">
        <v>43.749200000000002</v>
      </c>
      <c r="L240" s="18">
        <v>46.259399999999999</v>
      </c>
      <c r="M240" s="18">
        <v>46.525599999999997</v>
      </c>
      <c r="N240" s="18">
        <v>285.62360000000001</v>
      </c>
      <c r="O240" s="18">
        <f t="shared" si="11"/>
        <v>44.410024999999997</v>
      </c>
      <c r="P240" s="7"/>
      <c r="Q240" s="10"/>
      <c r="R240" s="11"/>
      <c r="S240" s="11"/>
      <c r="T240" s="26"/>
      <c r="U240" s="28">
        <f t="shared" si="9"/>
        <v>0.8887951329189262</v>
      </c>
    </row>
    <row r="241" spans="2:21" x14ac:dyDescent="0.25">
      <c r="B241" s="9"/>
      <c r="C241" s="17">
        <v>755.41</v>
      </c>
      <c r="D241" s="18">
        <v>37.735999999999997</v>
      </c>
      <c r="E241" s="18">
        <v>40.427999999999997</v>
      </c>
      <c r="F241" s="18">
        <v>40.692</v>
      </c>
      <c r="G241" s="18">
        <v>165.78</v>
      </c>
      <c r="H241" s="18">
        <f t="shared" si="10"/>
        <v>38.442</v>
      </c>
      <c r="I241" s="5"/>
      <c r="J241" s="17">
        <v>638.12710000000004</v>
      </c>
      <c r="K241" s="18">
        <v>41.014200000000002</v>
      </c>
      <c r="L241" s="18">
        <v>43.8185</v>
      </c>
      <c r="M241" s="18">
        <v>44.085799999999999</v>
      </c>
      <c r="N241" s="18">
        <v>309.22519999999997</v>
      </c>
      <c r="O241" s="18">
        <f t="shared" si="11"/>
        <v>41.748687500000003</v>
      </c>
      <c r="P241" s="7"/>
      <c r="Q241" s="10"/>
      <c r="R241" s="11"/>
      <c r="S241" s="11"/>
      <c r="T241" s="26"/>
      <c r="U241" s="28">
        <f t="shared" si="9"/>
        <v>0.86527446012788012</v>
      </c>
    </row>
    <row r="242" spans="2:21" ht="16.5" thickBot="1" x14ac:dyDescent="0.3">
      <c r="B242" s="12"/>
      <c r="C242" s="19">
        <v>363.18</v>
      </c>
      <c r="D242" s="20">
        <v>34.506999999999998</v>
      </c>
      <c r="E242" s="20">
        <v>37.880000000000003</v>
      </c>
      <c r="F242" s="20">
        <v>38.207999999999998</v>
      </c>
      <c r="G242" s="20">
        <v>180.85</v>
      </c>
      <c r="H242" s="20">
        <f t="shared" si="10"/>
        <v>35.391249999999999</v>
      </c>
      <c r="I242" s="5"/>
      <c r="J242" s="19">
        <v>338.02409999999998</v>
      </c>
      <c r="K242" s="20">
        <v>37.0351</v>
      </c>
      <c r="L242" s="20">
        <v>40.360199999999999</v>
      </c>
      <c r="M242" s="20">
        <v>40.642400000000002</v>
      </c>
      <c r="N242" s="20">
        <v>395.08339999999998</v>
      </c>
      <c r="O242" s="20">
        <f t="shared" si="11"/>
        <v>37.901650000000004</v>
      </c>
      <c r="P242" s="7"/>
      <c r="Q242" s="13"/>
      <c r="R242" s="14"/>
      <c r="S242" s="14"/>
      <c r="T242" s="27"/>
      <c r="U242" s="28">
        <f t="shared" si="9"/>
        <v>1.1845916505391207</v>
      </c>
    </row>
    <row r="243" spans="2:21" x14ac:dyDescent="0.25">
      <c r="B243" s="6" t="s">
        <v>110</v>
      </c>
      <c r="C243" s="15">
        <v>1532.07</v>
      </c>
      <c r="D243" s="16">
        <v>31.146000000000001</v>
      </c>
      <c r="E243" s="16">
        <v>35.21</v>
      </c>
      <c r="F243" s="16">
        <v>34.131</v>
      </c>
      <c r="G243" s="16">
        <v>107.03</v>
      </c>
      <c r="H243" s="16">
        <f t="shared" si="10"/>
        <v>32.027124999999998</v>
      </c>
      <c r="I243" s="5"/>
      <c r="J243" s="29">
        <v>1506.8119999999999</v>
      </c>
      <c r="K243" s="30">
        <v>31.950900000000001</v>
      </c>
      <c r="L243" s="30">
        <v>36.303800000000003</v>
      </c>
      <c r="M243" s="30">
        <v>35.198900000000002</v>
      </c>
      <c r="N243" s="16">
        <v>234.03980000000001</v>
      </c>
      <c r="O243" s="16">
        <f t="shared" si="11"/>
        <v>32.9010125</v>
      </c>
      <c r="P243" s="7"/>
      <c r="Q243" s="8">
        <f>bdrate(C243:C246,D243:D246,J243:J246,K243:K246)</f>
        <v>-0.12473301201594122</v>
      </c>
      <c r="R243" s="8">
        <f>bdrate(C243:C246,E243:E246,J243:J246,L243:L246)</f>
        <v>-0.36897810302534007</v>
      </c>
      <c r="S243" s="8">
        <f>bdrate(C243:C246,F243:F246,J243:J246,M243:M246)</f>
        <v>-0.33815567714329287</v>
      </c>
      <c r="T243" s="25">
        <f>bdrate(C243:C246,H243:H246,J243:J246,O243:O246)</f>
        <v>-0.17201059702226218</v>
      </c>
      <c r="U243" s="28">
        <f t="shared" si="9"/>
        <v>1.1866747640848361</v>
      </c>
    </row>
    <row r="244" spans="2:21" x14ac:dyDescent="0.25">
      <c r="B244" s="9"/>
      <c r="C244" s="17">
        <v>1019.13</v>
      </c>
      <c r="D244" s="18">
        <v>29.492000000000001</v>
      </c>
      <c r="E244" s="18">
        <v>34.142000000000003</v>
      </c>
      <c r="F244" s="18">
        <v>33.011000000000003</v>
      </c>
      <c r="G244" s="18">
        <v>117.49</v>
      </c>
      <c r="H244" s="18">
        <f t="shared" si="10"/>
        <v>30.513124999999999</v>
      </c>
      <c r="I244" s="5"/>
      <c r="J244" s="31">
        <v>1007.0780999999999</v>
      </c>
      <c r="K244" s="32">
        <v>30.092300000000002</v>
      </c>
      <c r="L244" s="32">
        <v>35.2654</v>
      </c>
      <c r="M244" s="32">
        <v>34.101100000000002</v>
      </c>
      <c r="N244" s="18">
        <v>278.63780000000003</v>
      </c>
      <c r="O244" s="18">
        <f t="shared" si="11"/>
        <v>31.240037500000003</v>
      </c>
      <c r="P244" s="7"/>
      <c r="Q244" s="10"/>
      <c r="R244" s="11"/>
      <c r="S244" s="11"/>
      <c r="T244" s="26"/>
      <c r="U244" s="28">
        <f t="shared" si="9"/>
        <v>1.3715873691377991</v>
      </c>
    </row>
    <row r="245" spans="2:21" x14ac:dyDescent="0.25">
      <c r="B245" s="9"/>
      <c r="C245" s="17">
        <v>606.74</v>
      </c>
      <c r="D245" s="18">
        <v>27.518000000000001</v>
      </c>
      <c r="E245" s="18">
        <v>32.856999999999999</v>
      </c>
      <c r="F245" s="18">
        <v>31.619</v>
      </c>
      <c r="G245" s="18">
        <v>130.53</v>
      </c>
      <c r="H245" s="18">
        <f t="shared" si="10"/>
        <v>28.698</v>
      </c>
      <c r="I245" s="5"/>
      <c r="J245" s="31">
        <v>602.26930000000004</v>
      </c>
      <c r="K245" s="32">
        <v>27.936800000000002</v>
      </c>
      <c r="L245" s="32">
        <v>34.023600000000002</v>
      </c>
      <c r="M245" s="32">
        <v>32.739800000000002</v>
      </c>
      <c r="N245" s="18">
        <v>325.02710000000002</v>
      </c>
      <c r="O245" s="18">
        <f t="shared" si="11"/>
        <v>29.298025000000003</v>
      </c>
      <c r="P245" s="7"/>
      <c r="Q245" s="10"/>
      <c r="R245" s="11"/>
      <c r="S245" s="11"/>
      <c r="T245" s="26"/>
      <c r="U245" s="28">
        <f t="shared" si="9"/>
        <v>1.4900566919482112</v>
      </c>
    </row>
    <row r="246" spans="2:21" ht="16.5" thickBot="1" x14ac:dyDescent="0.3">
      <c r="B246" s="12"/>
      <c r="C246" s="19">
        <v>300.39999999999998</v>
      </c>
      <c r="D246" s="20">
        <v>24.998000000000001</v>
      </c>
      <c r="E246" s="20">
        <v>30.875</v>
      </c>
      <c r="F246" s="20">
        <v>29.581</v>
      </c>
      <c r="G246" s="20">
        <v>148.69</v>
      </c>
      <c r="H246" s="20">
        <f t="shared" si="10"/>
        <v>26.305499999999999</v>
      </c>
      <c r="I246" s="5"/>
      <c r="J246" s="33">
        <v>303.90910000000002</v>
      </c>
      <c r="K246" s="34">
        <v>25.415299999999998</v>
      </c>
      <c r="L246" s="34">
        <v>32.18</v>
      </c>
      <c r="M246" s="34">
        <v>30.771999999999998</v>
      </c>
      <c r="N246" s="20">
        <v>388.5172</v>
      </c>
      <c r="O246" s="20">
        <f t="shared" si="11"/>
        <v>26.930474999999998</v>
      </c>
      <c r="P246" s="7"/>
      <c r="Q246" s="13"/>
      <c r="R246" s="14"/>
      <c r="S246" s="14"/>
      <c r="T246" s="27"/>
      <c r="U246" s="28">
        <f t="shared" si="9"/>
        <v>1.6129342928239963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-0.25575380426373789</v>
      </c>
      <c r="R247" s="21">
        <f>AVERAGE(R131:R246)</f>
        <v>-0.41980602639368264</v>
      </c>
      <c r="S247" s="21">
        <f>AVERAGE(S131:S246)</f>
        <v>-0.41027184639399283</v>
      </c>
      <c r="T247" s="21">
        <f>AVERAGE(T131:T246)</f>
        <v>-0.28597452831169123</v>
      </c>
      <c r="U247" s="21">
        <f>AVERAGE(U131:U246)</f>
        <v>1.235270768220275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719" priority="85" operator="greaterThan">
      <formula>0.03</formula>
    </cfRule>
    <cfRule type="cellIs" dxfId="718" priority="86" stopIfTrue="1" operator="lessThan">
      <formula>-0.03</formula>
    </cfRule>
  </conditionalFormatting>
  <conditionalFormatting sqref="Q33:T36">
    <cfRule type="cellIs" dxfId="717" priority="83" operator="greaterThan">
      <formula>0.03</formula>
    </cfRule>
    <cfRule type="cellIs" dxfId="716" priority="84" stopIfTrue="1" operator="lessThan">
      <formula>-0.03</formula>
    </cfRule>
  </conditionalFormatting>
  <conditionalFormatting sqref="Q46:T48 Q62:T64">
    <cfRule type="cellIs" dxfId="715" priority="81" operator="greaterThan">
      <formula>0.03</formula>
    </cfRule>
    <cfRule type="cellIs" dxfId="714" priority="82" stopIfTrue="1" operator="lessThan">
      <formula>-0.03</formula>
    </cfRule>
  </conditionalFormatting>
  <conditionalFormatting sqref="Q50:T52 Q54:T56 Q58:T60">
    <cfRule type="cellIs" dxfId="713" priority="79" operator="greaterThan">
      <formula>0.03</formula>
    </cfRule>
    <cfRule type="cellIs" dxfId="712" priority="80" stopIfTrue="1" operator="lessThan">
      <formula>-0.03</formula>
    </cfRule>
  </conditionalFormatting>
  <conditionalFormatting sqref="Q70:T72 Q74:T76">
    <cfRule type="cellIs" dxfId="711" priority="77" operator="greaterThan">
      <formula>0.03</formula>
    </cfRule>
    <cfRule type="cellIs" dxfId="710" priority="78" stopIfTrue="1" operator="lessThan">
      <formula>-0.03</formula>
    </cfRule>
  </conditionalFormatting>
  <conditionalFormatting sqref="Q66:T68">
    <cfRule type="cellIs" dxfId="709" priority="75" operator="greaterThan">
      <formula>0.03</formula>
    </cfRule>
    <cfRule type="cellIs" dxfId="708" priority="76" stopIfTrue="1" operator="lessThan">
      <formula>-0.03</formula>
    </cfRule>
  </conditionalFormatting>
  <conditionalFormatting sqref="Q78:T80">
    <cfRule type="cellIs" dxfId="707" priority="73" operator="greaterThan">
      <formula>0.03</formula>
    </cfRule>
    <cfRule type="cellIs" dxfId="706" priority="74" stopIfTrue="1" operator="lessThan">
      <formula>-0.03</formula>
    </cfRule>
  </conditionalFormatting>
  <conditionalFormatting sqref="Q21:T28">
    <cfRule type="cellIs" dxfId="705" priority="71" operator="greaterThan">
      <formula>0.03</formula>
    </cfRule>
    <cfRule type="cellIs" dxfId="704" priority="72" stopIfTrue="1" operator="lessThan">
      <formula>-0.03</formula>
    </cfRule>
  </conditionalFormatting>
  <conditionalFormatting sqref="Q151:T154 Q159:T166 Q131:T142">
    <cfRule type="cellIs" dxfId="703" priority="69" operator="greaterThan">
      <formula>0.03</formula>
    </cfRule>
    <cfRule type="cellIs" dxfId="702" priority="70" stopIfTrue="1" operator="lessThan">
      <formula>-0.03</formula>
    </cfRule>
  </conditionalFormatting>
  <conditionalFormatting sqref="Q155:T158">
    <cfRule type="cellIs" dxfId="701" priority="67" operator="greaterThan">
      <formula>0.03</formula>
    </cfRule>
    <cfRule type="cellIs" dxfId="700" priority="68" stopIfTrue="1" operator="lessThan">
      <formula>-0.03</formula>
    </cfRule>
  </conditionalFormatting>
  <conditionalFormatting sqref="Q167:T170 Q183:T186">
    <cfRule type="cellIs" dxfId="699" priority="65" operator="greaterThan">
      <formula>0.03</formula>
    </cfRule>
    <cfRule type="cellIs" dxfId="698" priority="66" stopIfTrue="1" operator="lessThan">
      <formula>-0.03</formula>
    </cfRule>
  </conditionalFormatting>
  <conditionalFormatting sqref="Q171:T182">
    <cfRule type="cellIs" dxfId="697" priority="63" operator="greaterThan">
      <formula>0.03</formula>
    </cfRule>
    <cfRule type="cellIs" dxfId="696" priority="64" stopIfTrue="1" operator="lessThan">
      <formula>-0.03</formula>
    </cfRule>
  </conditionalFormatting>
  <conditionalFormatting sqref="Q191:T198">
    <cfRule type="cellIs" dxfId="695" priority="61" operator="greaterThan">
      <formula>0.03</formula>
    </cfRule>
    <cfRule type="cellIs" dxfId="694" priority="62" stopIfTrue="1" operator="lessThan">
      <formula>-0.03</formula>
    </cfRule>
  </conditionalFormatting>
  <conditionalFormatting sqref="Q187:T190">
    <cfRule type="cellIs" dxfId="693" priority="59" operator="greaterThan">
      <formula>0.03</formula>
    </cfRule>
    <cfRule type="cellIs" dxfId="692" priority="60" stopIfTrue="1" operator="lessThan">
      <formula>-0.03</formula>
    </cfRule>
  </conditionalFormatting>
  <conditionalFormatting sqref="Q199:T202">
    <cfRule type="cellIs" dxfId="691" priority="57" operator="greaterThan">
      <formula>0.03</formula>
    </cfRule>
    <cfRule type="cellIs" dxfId="690" priority="58" stopIfTrue="1" operator="lessThan">
      <formula>-0.03</formula>
    </cfRule>
  </conditionalFormatting>
  <conditionalFormatting sqref="Q143:T150">
    <cfRule type="cellIs" dxfId="689" priority="55" operator="greaterThan">
      <formula>0.03</formula>
    </cfRule>
    <cfRule type="cellIs" dxfId="688" priority="56" stopIfTrue="1" operator="lessThan">
      <formula>-0.03</formula>
    </cfRule>
  </conditionalFormatting>
  <conditionalFormatting sqref="Q45:T45">
    <cfRule type="cellIs" dxfId="687" priority="53" operator="greaterThan">
      <formula>0.03</formula>
    </cfRule>
    <cfRule type="cellIs" dxfId="686" priority="54" stopIfTrue="1" operator="lessThan">
      <formula>-0.03</formula>
    </cfRule>
  </conditionalFormatting>
  <conditionalFormatting sqref="Q49:T49">
    <cfRule type="cellIs" dxfId="685" priority="51" operator="greaterThan">
      <formula>0.03</formula>
    </cfRule>
    <cfRule type="cellIs" dxfId="684" priority="52" stopIfTrue="1" operator="lessThan">
      <formula>-0.03</formula>
    </cfRule>
  </conditionalFormatting>
  <conditionalFormatting sqref="Q53:T53">
    <cfRule type="cellIs" dxfId="683" priority="49" operator="greaterThan">
      <formula>0.03</formula>
    </cfRule>
    <cfRule type="cellIs" dxfId="682" priority="50" stopIfTrue="1" operator="lessThan">
      <formula>-0.03</formula>
    </cfRule>
  </conditionalFormatting>
  <conditionalFormatting sqref="Q57:T57">
    <cfRule type="cellIs" dxfId="681" priority="47" operator="greaterThan">
      <formula>0.03</formula>
    </cfRule>
    <cfRule type="cellIs" dxfId="680" priority="48" stopIfTrue="1" operator="lessThan">
      <formula>-0.03</formula>
    </cfRule>
  </conditionalFormatting>
  <conditionalFormatting sqref="Q61:T61">
    <cfRule type="cellIs" dxfId="679" priority="45" operator="greaterThan">
      <formula>0.03</formula>
    </cfRule>
    <cfRule type="cellIs" dxfId="678" priority="46" stopIfTrue="1" operator="lessThan">
      <formula>-0.03</formula>
    </cfRule>
  </conditionalFormatting>
  <conditionalFormatting sqref="Q65:T65">
    <cfRule type="cellIs" dxfId="677" priority="43" operator="greaterThan">
      <formula>0.03</formula>
    </cfRule>
    <cfRule type="cellIs" dxfId="676" priority="44" stopIfTrue="1" operator="lessThan">
      <formula>-0.03</formula>
    </cfRule>
  </conditionalFormatting>
  <conditionalFormatting sqref="Q69:T69">
    <cfRule type="cellIs" dxfId="675" priority="41" operator="greaterThan">
      <formula>0.03</formula>
    </cfRule>
    <cfRule type="cellIs" dxfId="674" priority="42" stopIfTrue="1" operator="lessThan">
      <formula>-0.03</formula>
    </cfRule>
  </conditionalFormatting>
  <conditionalFormatting sqref="Q73:T73">
    <cfRule type="cellIs" dxfId="673" priority="39" operator="greaterThan">
      <formula>0.03</formula>
    </cfRule>
    <cfRule type="cellIs" dxfId="672" priority="40" stopIfTrue="1" operator="lessThan">
      <formula>-0.03</formula>
    </cfRule>
  </conditionalFormatting>
  <conditionalFormatting sqref="Q77:T77">
    <cfRule type="cellIs" dxfId="671" priority="37" operator="greaterThan">
      <formula>0.03</formula>
    </cfRule>
    <cfRule type="cellIs" dxfId="670" priority="38" stopIfTrue="1" operator="lessThan">
      <formula>-0.03</formula>
    </cfRule>
  </conditionalFormatting>
  <conditionalFormatting sqref="Q117:T117">
    <cfRule type="cellIs" dxfId="669" priority="21" operator="greaterThan">
      <formula>0.03</formula>
    </cfRule>
    <cfRule type="cellIs" dxfId="668" priority="22" stopIfTrue="1" operator="lessThan">
      <formula>-0.03</formula>
    </cfRule>
  </conditionalFormatting>
  <conditionalFormatting sqref="Q93:T96 Q101:T108 Q81:T84">
    <cfRule type="cellIs" dxfId="667" priority="35" operator="greaterThan">
      <formula>0.03</formula>
    </cfRule>
    <cfRule type="cellIs" dxfId="666" priority="36" stopIfTrue="1" operator="lessThan">
      <formula>-0.03</formula>
    </cfRule>
  </conditionalFormatting>
  <conditionalFormatting sqref="Q97:T100">
    <cfRule type="cellIs" dxfId="665" priority="33" operator="greaterThan">
      <formula>0.03</formula>
    </cfRule>
    <cfRule type="cellIs" dxfId="664" priority="34" stopIfTrue="1" operator="lessThan">
      <formula>-0.03</formula>
    </cfRule>
  </conditionalFormatting>
  <conditionalFormatting sqref="Q110:T112 Q122:T124">
    <cfRule type="cellIs" dxfId="663" priority="31" operator="greaterThan">
      <formula>0.03</formula>
    </cfRule>
    <cfRule type="cellIs" dxfId="662" priority="32" stopIfTrue="1" operator="lessThan">
      <formula>-0.03</formula>
    </cfRule>
  </conditionalFormatting>
  <conditionalFormatting sqref="Q114:T116 Q118:T120">
    <cfRule type="cellIs" dxfId="661" priority="29" operator="greaterThan">
      <formula>0.03</formula>
    </cfRule>
    <cfRule type="cellIs" dxfId="660" priority="30" stopIfTrue="1" operator="lessThan">
      <formula>-0.03</formula>
    </cfRule>
  </conditionalFormatting>
  <conditionalFormatting sqref="Q85:T92">
    <cfRule type="cellIs" dxfId="659" priority="27" operator="greaterThan">
      <formula>0.03</formula>
    </cfRule>
    <cfRule type="cellIs" dxfId="658" priority="28" stopIfTrue="1" operator="lessThan">
      <formula>-0.03</formula>
    </cfRule>
  </conditionalFormatting>
  <conditionalFormatting sqref="Q109:T109">
    <cfRule type="cellIs" dxfId="657" priority="25" operator="greaterThan">
      <formula>0.03</formula>
    </cfRule>
    <cfRule type="cellIs" dxfId="656" priority="26" stopIfTrue="1" operator="lessThan">
      <formula>-0.03</formula>
    </cfRule>
  </conditionalFormatting>
  <conditionalFormatting sqref="Q113:T113">
    <cfRule type="cellIs" dxfId="655" priority="23" operator="greaterThan">
      <formula>0.03</formula>
    </cfRule>
    <cfRule type="cellIs" dxfId="654" priority="24" stopIfTrue="1" operator="lessThan">
      <formula>-0.03</formula>
    </cfRule>
  </conditionalFormatting>
  <conditionalFormatting sqref="Q121:T121">
    <cfRule type="cellIs" dxfId="653" priority="19" operator="greaterThan">
      <formula>0.03</formula>
    </cfRule>
    <cfRule type="cellIs" dxfId="652" priority="20" stopIfTrue="1" operator="lessThan">
      <formula>-0.03</formula>
    </cfRule>
  </conditionalFormatting>
  <conditionalFormatting sqref="Q239:T239">
    <cfRule type="cellIs" dxfId="651" priority="3" operator="greaterThan">
      <formula>0.03</formula>
    </cfRule>
    <cfRule type="cellIs" dxfId="650" priority="4" stopIfTrue="1" operator="lessThan">
      <formula>-0.03</formula>
    </cfRule>
  </conditionalFormatting>
  <conditionalFormatting sqref="Q215:T218 Q223:T230 Q203:T206">
    <cfRule type="cellIs" dxfId="649" priority="17" operator="greaterThan">
      <formula>0.03</formula>
    </cfRule>
    <cfRule type="cellIs" dxfId="648" priority="18" stopIfTrue="1" operator="lessThan">
      <formula>-0.03</formula>
    </cfRule>
  </conditionalFormatting>
  <conditionalFormatting sqref="Q219:T222">
    <cfRule type="cellIs" dxfId="647" priority="15" operator="greaterThan">
      <formula>0.03</formula>
    </cfRule>
    <cfRule type="cellIs" dxfId="646" priority="16" stopIfTrue="1" operator="lessThan">
      <formula>-0.03</formula>
    </cfRule>
  </conditionalFormatting>
  <conditionalFormatting sqref="Q232:T234 Q244:T246">
    <cfRule type="cellIs" dxfId="645" priority="13" operator="greaterThan">
      <formula>0.03</formula>
    </cfRule>
    <cfRule type="cellIs" dxfId="644" priority="14" stopIfTrue="1" operator="lessThan">
      <formula>-0.03</formula>
    </cfRule>
  </conditionalFormatting>
  <conditionalFormatting sqref="Q236:T238 Q240:T242">
    <cfRule type="cellIs" dxfId="643" priority="11" operator="greaterThan">
      <formula>0.03</formula>
    </cfRule>
    <cfRule type="cellIs" dxfId="642" priority="12" stopIfTrue="1" operator="lessThan">
      <formula>-0.03</formula>
    </cfRule>
  </conditionalFormatting>
  <conditionalFormatting sqref="Q207:T214">
    <cfRule type="cellIs" dxfId="641" priority="9" operator="greaterThan">
      <formula>0.03</formula>
    </cfRule>
    <cfRule type="cellIs" dxfId="640" priority="10" stopIfTrue="1" operator="lessThan">
      <formula>-0.03</formula>
    </cfRule>
  </conditionalFormatting>
  <conditionalFormatting sqref="Q231:T231">
    <cfRule type="cellIs" dxfId="639" priority="7" operator="greaterThan">
      <formula>0.03</formula>
    </cfRule>
    <cfRule type="cellIs" dxfId="638" priority="8" stopIfTrue="1" operator="lessThan">
      <formula>-0.03</formula>
    </cfRule>
  </conditionalFormatting>
  <conditionalFormatting sqref="Q235:T235">
    <cfRule type="cellIs" dxfId="637" priority="5" operator="greaterThan">
      <formula>0.03</formula>
    </cfRule>
    <cfRule type="cellIs" dxfId="636" priority="6" stopIfTrue="1" operator="lessThan">
      <formula>-0.03</formula>
    </cfRule>
  </conditionalFormatting>
  <conditionalFormatting sqref="Q243:T243">
    <cfRule type="cellIs" dxfId="635" priority="1" operator="greaterThan">
      <formula>0.03</formula>
    </cfRule>
    <cfRule type="cellIs" dxfId="634" priority="2" stopIfTrue="1" operator="lessThan">
      <formula>-0.03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activeCell="K17" sqref="K17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96</v>
      </c>
    </row>
    <row r="2" spans="1:21" x14ac:dyDescent="0.25">
      <c r="A2" t="s">
        <v>84</v>
      </c>
    </row>
    <row r="3" spans="1:21" x14ac:dyDescent="0.25">
      <c r="A3" t="s">
        <v>87</v>
      </c>
    </row>
    <row r="4" spans="1:21" x14ac:dyDescent="0.25">
      <c r="A4" t="s">
        <v>85</v>
      </c>
    </row>
    <row r="5" spans="1:21" s="35" customFormat="1" ht="15.75" customHeight="1" x14ac:dyDescent="0.25">
      <c r="B5" s="61" t="s">
        <v>29</v>
      </c>
      <c r="C5" s="63" t="s">
        <v>189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217</v>
      </c>
      <c r="D7" s="70"/>
      <c r="E7" s="70"/>
      <c r="F7" s="70"/>
      <c r="G7" s="70"/>
      <c r="H7" s="70"/>
      <c r="I7" s="5"/>
      <c r="J7" s="69" t="s">
        <v>180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3857.66</v>
      </c>
      <c r="D9" s="16">
        <v>36.154000000000003</v>
      </c>
      <c r="E9" s="16">
        <v>38.130000000000003</v>
      </c>
      <c r="F9" s="16">
        <v>40.404000000000003</v>
      </c>
      <c r="G9" s="16">
        <v>8.99</v>
      </c>
      <c r="H9" s="16">
        <f t="shared" ref="H9:H80" si="0">(6*D9+E9+F9)/8</f>
        <v>36.932250000000003</v>
      </c>
      <c r="I9" s="5"/>
      <c r="J9" s="15">
        <v>3996.5727999999999</v>
      </c>
      <c r="K9" s="16">
        <v>37.901400000000002</v>
      </c>
      <c r="L9" s="16">
        <v>39.451599999999999</v>
      </c>
      <c r="M9" s="16">
        <v>41.927100000000003</v>
      </c>
      <c r="N9" s="16">
        <v>14.2019</v>
      </c>
      <c r="O9" s="16">
        <f t="shared" ref="O9:O80" si="1">(6*K9+L9+M9)/8</f>
        <v>38.598387500000001</v>
      </c>
      <c r="P9" s="7"/>
      <c r="Q9" s="8">
        <f>bdrate(C9:C12,D9:D12,J9:J12,K9:K12)</f>
        <v>-0.29532605139450652</v>
      </c>
      <c r="R9" s="8">
        <f>bdrate(C9:C12,E9:E12,J9:J12,L9:L12)</f>
        <v>-0.4913232891620809</v>
      </c>
      <c r="S9" s="8">
        <f>bdrate(C9:C12,F9:F12,J9:J12,M9:M12)</f>
        <v>-0.46941910975173073</v>
      </c>
      <c r="T9" s="25">
        <f>bdrate(C9:C12,H9:H12,J9:J12,O9:O12)</f>
        <v>-0.32084371800874301</v>
      </c>
      <c r="U9" s="28">
        <f t="shared" ref="U9:U72" si="2">(N9-G9)/G9</f>
        <v>0.57974416017797548</v>
      </c>
    </row>
    <row r="10" spans="1:21" x14ac:dyDescent="0.25">
      <c r="A10" s="9" t="s">
        <v>36</v>
      </c>
      <c r="B10" s="9"/>
      <c r="C10" s="17">
        <v>2859.39</v>
      </c>
      <c r="D10" s="18">
        <v>35.261000000000003</v>
      </c>
      <c r="E10" s="18">
        <v>37.652999999999999</v>
      </c>
      <c r="F10" s="18">
        <v>39.957999999999998</v>
      </c>
      <c r="G10" s="18">
        <v>11.41</v>
      </c>
      <c r="H10" s="18">
        <f t="shared" si="0"/>
        <v>36.147125000000003</v>
      </c>
      <c r="I10" s="5"/>
      <c r="J10" s="17">
        <v>2901.0864000000001</v>
      </c>
      <c r="K10" s="18">
        <v>36.9054</v>
      </c>
      <c r="L10" s="18">
        <v>38.872300000000003</v>
      </c>
      <c r="M10" s="18">
        <v>41.210500000000003</v>
      </c>
      <c r="N10" s="18">
        <v>18.7453</v>
      </c>
      <c r="O10" s="18">
        <f t="shared" si="1"/>
        <v>37.689400000000006</v>
      </c>
      <c r="P10" s="7"/>
      <c r="Q10" s="10"/>
      <c r="R10" s="11"/>
      <c r="S10" s="11"/>
      <c r="T10" s="26"/>
      <c r="U10" s="28">
        <f t="shared" si="2"/>
        <v>0.64288343558282213</v>
      </c>
    </row>
    <row r="11" spans="1:21" x14ac:dyDescent="0.25">
      <c r="B11" s="9"/>
      <c r="C11" s="17">
        <v>1882.88</v>
      </c>
      <c r="D11" s="18">
        <v>34.024000000000001</v>
      </c>
      <c r="E11" s="18">
        <v>37.143000000000001</v>
      </c>
      <c r="F11" s="18">
        <v>39.444000000000003</v>
      </c>
      <c r="G11" s="18">
        <v>13.68</v>
      </c>
      <c r="H11" s="18">
        <f t="shared" si="0"/>
        <v>35.091374999999999</v>
      </c>
      <c r="I11" s="5"/>
      <c r="J11" s="17">
        <v>1939.912</v>
      </c>
      <c r="K11" s="18">
        <v>35.383899999999997</v>
      </c>
      <c r="L11" s="18">
        <v>38.226199999999999</v>
      </c>
      <c r="M11" s="18">
        <v>40.5227</v>
      </c>
      <c r="N11" s="18">
        <v>21.901</v>
      </c>
      <c r="O11" s="18">
        <f t="shared" si="1"/>
        <v>36.3815375</v>
      </c>
      <c r="P11" s="7"/>
      <c r="Q11" s="10"/>
      <c r="R11" s="11"/>
      <c r="S11" s="11"/>
      <c r="T11" s="26"/>
      <c r="U11" s="28">
        <f t="shared" si="2"/>
        <v>0.60095029239766085</v>
      </c>
    </row>
    <row r="12" spans="1:21" ht="16.5" thickBot="1" x14ac:dyDescent="0.3">
      <c r="B12" s="12"/>
      <c r="C12" s="19">
        <v>886.87</v>
      </c>
      <c r="D12" s="20">
        <v>31.638000000000002</v>
      </c>
      <c r="E12" s="20">
        <v>36.494</v>
      </c>
      <c r="F12" s="20">
        <v>38.743000000000002</v>
      </c>
      <c r="G12" s="20">
        <v>15.24</v>
      </c>
      <c r="H12" s="20">
        <f t="shared" si="0"/>
        <v>33.133125</v>
      </c>
      <c r="I12" s="5"/>
      <c r="J12" s="19">
        <v>923.71199999999999</v>
      </c>
      <c r="K12" s="20">
        <v>32.498100000000001</v>
      </c>
      <c r="L12" s="20">
        <v>36.923999999999999</v>
      </c>
      <c r="M12" s="20">
        <v>39.136800000000001</v>
      </c>
      <c r="N12" s="20">
        <v>28.785299999999999</v>
      </c>
      <c r="O12" s="20">
        <f t="shared" si="1"/>
        <v>33.881175000000006</v>
      </c>
      <c r="P12" s="7"/>
      <c r="Q12" s="13"/>
      <c r="R12" s="14"/>
      <c r="S12" s="14"/>
      <c r="T12" s="27"/>
      <c r="U12" s="28">
        <f t="shared" si="2"/>
        <v>0.88879921259842509</v>
      </c>
    </row>
    <row r="13" spans="1:21" x14ac:dyDescent="0.25">
      <c r="B13" s="6" t="s">
        <v>47</v>
      </c>
      <c r="C13" s="15">
        <v>4091.06</v>
      </c>
      <c r="D13" s="16">
        <v>28.952000000000002</v>
      </c>
      <c r="E13" s="16">
        <v>38.279000000000003</v>
      </c>
      <c r="F13" s="16">
        <v>39.305</v>
      </c>
      <c r="G13" s="16">
        <v>7.35</v>
      </c>
      <c r="H13" s="16">
        <f t="shared" si="0"/>
        <v>31.412000000000003</v>
      </c>
      <c r="I13" s="5"/>
      <c r="J13" s="15">
        <v>4038.4863999999998</v>
      </c>
      <c r="K13" s="16">
        <v>29.4847</v>
      </c>
      <c r="L13" s="16">
        <v>39.3401</v>
      </c>
      <c r="M13" s="16">
        <v>40.259700000000002</v>
      </c>
      <c r="N13" s="16">
        <v>12.0038</v>
      </c>
      <c r="O13" s="16">
        <f t="shared" si="1"/>
        <v>32.063499999999998</v>
      </c>
      <c r="P13" s="7"/>
      <c r="Q13" s="8">
        <f>bdrate(C13:C16,D13:D16,J13:J16,K13:K16)</f>
        <v>-8.6349295015332284E-2</v>
      </c>
      <c r="R13" s="8">
        <f>bdrate(C13:C16,E13:E16,J13:J16,L13:L16)</f>
        <v>-0.44873497969444898</v>
      </c>
      <c r="S13" s="8">
        <f>bdrate(C13:C16,F13:F16,J13:J16,M13:M16)</f>
        <v>-0.47998756192694836</v>
      </c>
      <c r="T13" s="25">
        <f>bdrate(C13:C16,H13:H16,J13:J16,O13:O16)</f>
        <v>-0.15148697190659677</v>
      </c>
      <c r="U13" s="28">
        <f t="shared" si="2"/>
        <v>0.63317006802721099</v>
      </c>
    </row>
    <row r="14" spans="1:21" x14ac:dyDescent="0.25">
      <c r="B14" s="9"/>
      <c r="C14" s="17">
        <v>3041.3</v>
      </c>
      <c r="D14" s="18">
        <v>27.774000000000001</v>
      </c>
      <c r="E14" s="18">
        <v>37.781999999999996</v>
      </c>
      <c r="F14" s="18">
        <v>38.831000000000003</v>
      </c>
      <c r="G14" s="18">
        <v>8.58</v>
      </c>
      <c r="H14" s="18">
        <f t="shared" si="0"/>
        <v>30.407125000000001</v>
      </c>
      <c r="I14" s="5"/>
      <c r="J14" s="17">
        <v>3049.6</v>
      </c>
      <c r="K14" s="18">
        <v>28.211600000000001</v>
      </c>
      <c r="L14" s="18">
        <v>38.883499999999998</v>
      </c>
      <c r="M14" s="18">
        <v>39.850499999999997</v>
      </c>
      <c r="N14" s="18">
        <v>13.9353</v>
      </c>
      <c r="O14" s="18">
        <f t="shared" si="1"/>
        <v>31.000450000000001</v>
      </c>
      <c r="P14" s="7"/>
      <c r="Q14" s="10"/>
      <c r="R14" s="11"/>
      <c r="S14" s="11"/>
      <c r="T14" s="26"/>
      <c r="U14" s="28">
        <f t="shared" si="2"/>
        <v>0.62416083916083909</v>
      </c>
    </row>
    <row r="15" spans="1:21" x14ac:dyDescent="0.25">
      <c r="B15" s="9"/>
      <c r="C15" s="17">
        <v>2013.28</v>
      </c>
      <c r="D15" s="18">
        <v>26.129000000000001</v>
      </c>
      <c r="E15" s="18">
        <v>36.71</v>
      </c>
      <c r="F15" s="18">
        <v>37.887999999999998</v>
      </c>
      <c r="G15" s="18">
        <v>9.91</v>
      </c>
      <c r="H15" s="18">
        <f t="shared" si="0"/>
        <v>28.921500000000002</v>
      </c>
      <c r="I15" s="5"/>
      <c r="J15" s="17">
        <v>2019.6464000000001</v>
      </c>
      <c r="K15" s="18">
        <v>26.395399999999999</v>
      </c>
      <c r="L15" s="18">
        <v>38.172899999999998</v>
      </c>
      <c r="M15" s="18">
        <v>39.279299999999999</v>
      </c>
      <c r="N15" s="18">
        <v>17.5459</v>
      </c>
      <c r="O15" s="18">
        <f t="shared" si="1"/>
        <v>29.478075</v>
      </c>
      <c r="P15" s="7"/>
      <c r="Q15" s="10"/>
      <c r="R15" s="11"/>
      <c r="S15" s="11"/>
      <c r="T15" s="26"/>
      <c r="U15" s="28">
        <f t="shared" si="2"/>
        <v>0.77052472250252269</v>
      </c>
    </row>
    <row r="16" spans="1:21" ht="16.5" thickBot="1" x14ac:dyDescent="0.3">
      <c r="B16" s="12"/>
      <c r="C16" s="19">
        <v>1023.1</v>
      </c>
      <c r="D16" s="20">
        <v>23.209</v>
      </c>
      <c r="E16" s="20">
        <v>35.368000000000002</v>
      </c>
      <c r="F16" s="20">
        <v>36.598999999999997</v>
      </c>
      <c r="G16" s="20">
        <v>12.87</v>
      </c>
      <c r="H16" s="20">
        <f t="shared" si="0"/>
        <v>26.402624999999997</v>
      </c>
      <c r="I16" s="5"/>
      <c r="J16" s="19">
        <v>1103.0527999999999</v>
      </c>
      <c r="K16" s="20">
        <v>24.1691</v>
      </c>
      <c r="L16" s="20">
        <v>36.587000000000003</v>
      </c>
      <c r="M16" s="20">
        <v>37.904800000000002</v>
      </c>
      <c r="N16" s="20">
        <v>22.893799999999999</v>
      </c>
      <c r="O16" s="20">
        <f t="shared" si="1"/>
        <v>27.438300000000002</v>
      </c>
      <c r="P16" s="7"/>
      <c r="Q16" s="13"/>
      <c r="R16" s="14"/>
      <c r="S16" s="14"/>
      <c r="T16" s="27"/>
      <c r="U16" s="28">
        <f t="shared" si="2"/>
        <v>0.77885003885003889</v>
      </c>
    </row>
    <row r="17" spans="1:21" x14ac:dyDescent="0.25">
      <c r="A17" s="6" t="s">
        <v>37</v>
      </c>
      <c r="B17" s="6" t="s">
        <v>48</v>
      </c>
      <c r="C17" s="15">
        <v>2020.19</v>
      </c>
      <c r="D17" s="16">
        <v>38.427</v>
      </c>
      <c r="E17" s="16">
        <v>41.067</v>
      </c>
      <c r="F17" s="16">
        <v>42.21</v>
      </c>
      <c r="G17" s="16">
        <v>15.32</v>
      </c>
      <c r="H17" s="16">
        <f t="shared" si="0"/>
        <v>39.229875</v>
      </c>
      <c r="I17" s="5"/>
      <c r="J17" s="15">
        <v>2398.7352000000001</v>
      </c>
      <c r="K17" s="16">
        <v>39.0854</v>
      </c>
      <c r="L17" s="16">
        <v>41.890799999999999</v>
      </c>
      <c r="M17" s="16">
        <v>43.240099999999998</v>
      </c>
      <c r="N17" s="16">
        <v>31.6539</v>
      </c>
      <c r="O17" s="16">
        <f t="shared" si="1"/>
        <v>39.955412500000001</v>
      </c>
      <c r="P17" s="7"/>
      <c r="Q17" s="8">
        <f>bdrate(C17:C20,D17:D20,J17:J20,K17:K20)</f>
        <v>-6.5829613565062561E-2</v>
      </c>
      <c r="R17" s="8">
        <f>bdrate(C17:C20,E17:E20,J17:J20,L17:L20)</f>
        <v>-0.34655162854984267</v>
      </c>
      <c r="S17" s="8">
        <f>bdrate(C17:C20,F17:F20,J17:J20,M17:M20)</f>
        <v>-0.36621150581963324</v>
      </c>
      <c r="T17" s="25">
        <f>bdrate(C17:C20,H17:H20,J17:J20,O17:O20)</f>
        <v>-0.11381578903643752</v>
      </c>
      <c r="U17" s="28">
        <f t="shared" si="2"/>
        <v>1.0661814621409922</v>
      </c>
    </row>
    <row r="18" spans="1:21" x14ac:dyDescent="0.25">
      <c r="A18" s="9" t="s">
        <v>38</v>
      </c>
      <c r="B18" s="9"/>
      <c r="C18" s="17">
        <v>1320.52</v>
      </c>
      <c r="D18" s="18">
        <v>37.113</v>
      </c>
      <c r="E18" s="18">
        <v>40.229999999999997</v>
      </c>
      <c r="F18" s="18">
        <v>41.363999999999997</v>
      </c>
      <c r="G18" s="18">
        <v>17.809999999999999</v>
      </c>
      <c r="H18" s="18">
        <f t="shared" si="0"/>
        <v>38.033999999999999</v>
      </c>
      <c r="I18" s="5"/>
      <c r="J18" s="17">
        <v>1570.4015999999999</v>
      </c>
      <c r="K18" s="18">
        <v>37.851999999999997</v>
      </c>
      <c r="L18" s="18">
        <v>41.205300000000001</v>
      </c>
      <c r="M18" s="18">
        <v>42.441699999999997</v>
      </c>
      <c r="N18" s="18">
        <v>35.529200000000003</v>
      </c>
      <c r="O18" s="18">
        <f t="shared" si="1"/>
        <v>38.844875000000002</v>
      </c>
      <c r="P18" s="7"/>
      <c r="Q18" s="10"/>
      <c r="R18" s="11"/>
      <c r="S18" s="11"/>
      <c r="T18" s="26"/>
      <c r="U18" s="28">
        <f t="shared" si="2"/>
        <v>0.99490174059517156</v>
      </c>
    </row>
    <row r="19" spans="1:21" x14ac:dyDescent="0.25">
      <c r="B19" s="9"/>
      <c r="C19" s="17">
        <v>807.94</v>
      </c>
      <c r="D19" s="18">
        <v>35.459000000000003</v>
      </c>
      <c r="E19" s="18">
        <v>39.409999999999997</v>
      </c>
      <c r="F19" s="18">
        <v>40.652999999999999</v>
      </c>
      <c r="G19" s="18">
        <v>18.97</v>
      </c>
      <c r="H19" s="18">
        <f t="shared" si="0"/>
        <v>36.602125000000001</v>
      </c>
      <c r="I19" s="5"/>
      <c r="J19" s="17">
        <v>962.68719999999996</v>
      </c>
      <c r="K19" s="18">
        <v>36.287700000000001</v>
      </c>
      <c r="L19" s="18">
        <v>40.410200000000003</v>
      </c>
      <c r="M19" s="18">
        <v>41.594700000000003</v>
      </c>
      <c r="N19" s="18">
        <v>41.695599999999999</v>
      </c>
      <c r="O19" s="18">
        <f t="shared" si="1"/>
        <v>37.466387499999996</v>
      </c>
      <c r="P19" s="7"/>
      <c r="Q19" s="10"/>
      <c r="R19" s="11"/>
      <c r="S19" s="11"/>
      <c r="T19" s="26"/>
      <c r="U19" s="28">
        <f t="shared" si="2"/>
        <v>1.1979757511860833</v>
      </c>
    </row>
    <row r="20" spans="1:21" ht="16.5" thickBot="1" x14ac:dyDescent="0.3">
      <c r="B20" s="12"/>
      <c r="C20" s="19">
        <v>480.24</v>
      </c>
      <c r="D20" s="20">
        <v>33.645000000000003</v>
      </c>
      <c r="E20" s="20">
        <v>38.622999999999998</v>
      </c>
      <c r="F20" s="20">
        <v>40.037999999999997</v>
      </c>
      <c r="G20" s="20">
        <v>24.34</v>
      </c>
      <c r="H20" s="20">
        <f t="shared" si="0"/>
        <v>35.066375000000001</v>
      </c>
      <c r="I20" s="5"/>
      <c r="J20" s="19">
        <v>554.31679999999994</v>
      </c>
      <c r="K20" s="20">
        <v>34.429200000000002</v>
      </c>
      <c r="L20" s="20">
        <v>39.6511</v>
      </c>
      <c r="M20" s="20">
        <v>40.857799999999997</v>
      </c>
      <c r="N20" s="20">
        <v>50.772199999999998</v>
      </c>
      <c r="O20" s="20">
        <f t="shared" si="1"/>
        <v>35.885512499999997</v>
      </c>
      <c r="P20" s="7"/>
      <c r="Q20" s="13"/>
      <c r="R20" s="14"/>
      <c r="S20" s="14"/>
      <c r="T20" s="27"/>
      <c r="U20" s="28">
        <f t="shared" si="2"/>
        <v>1.0859572719802792</v>
      </c>
    </row>
    <row r="21" spans="1:21" x14ac:dyDescent="0.25">
      <c r="B21" s="6" t="s">
        <v>49</v>
      </c>
      <c r="C21" s="15">
        <v>2295.88</v>
      </c>
      <c r="D21" s="16">
        <v>34.701999999999998</v>
      </c>
      <c r="E21" s="16">
        <v>38.478999999999999</v>
      </c>
      <c r="F21" s="16">
        <v>39.643999999999998</v>
      </c>
      <c r="G21" s="16">
        <v>17.95</v>
      </c>
      <c r="H21" s="16">
        <f t="shared" si="0"/>
        <v>35.791874999999997</v>
      </c>
      <c r="I21" s="5"/>
      <c r="J21" s="15">
        <v>2445.0632000000001</v>
      </c>
      <c r="K21" s="16">
        <v>36.016599999999997</v>
      </c>
      <c r="L21" s="16">
        <v>39.927999999999997</v>
      </c>
      <c r="M21" s="16">
        <v>41.136699999999998</v>
      </c>
      <c r="N21" s="16">
        <v>28.439399999999999</v>
      </c>
      <c r="O21" s="16">
        <f t="shared" si="1"/>
        <v>37.145537500000003</v>
      </c>
      <c r="P21" s="7"/>
      <c r="Q21" s="8">
        <f>bdrate(C21:C24,D21:D24,J21:J24,K21:K24)</f>
        <v>-0.26619214875220376</v>
      </c>
      <c r="R21" s="8">
        <f>bdrate(C21:C24,E21:E24,J21:J24,L21:L24)</f>
        <v>-0.50896955341980932</v>
      </c>
      <c r="S21" s="8">
        <f>bdrate(C21:C24,F21:F24,J21:J24,M21:M24)</f>
        <v>-0.52445722268160688</v>
      </c>
      <c r="T21" s="25">
        <f>bdrate(C21:C24,H21:H24,J21:J24,O21:O24)</f>
        <v>-0.31058561950143082</v>
      </c>
      <c r="U21" s="28">
        <f t="shared" si="2"/>
        <v>0.58436768802228412</v>
      </c>
    </row>
    <row r="22" spans="1:21" x14ac:dyDescent="0.25">
      <c r="B22" s="9"/>
      <c r="C22" s="17">
        <v>1522.38</v>
      </c>
      <c r="D22" s="18">
        <v>33.531999999999996</v>
      </c>
      <c r="E22" s="18">
        <v>37.683</v>
      </c>
      <c r="F22" s="18">
        <v>39.064999999999998</v>
      </c>
      <c r="G22" s="18">
        <v>20.46</v>
      </c>
      <c r="H22" s="18">
        <f t="shared" si="0"/>
        <v>34.742499999999993</v>
      </c>
      <c r="I22" s="5"/>
      <c r="J22" s="17">
        <v>1633.9007999999999</v>
      </c>
      <c r="K22" s="18">
        <v>34.7547</v>
      </c>
      <c r="L22" s="18">
        <v>39.174199999999999</v>
      </c>
      <c r="M22" s="18">
        <v>40.3752</v>
      </c>
      <c r="N22" s="18">
        <v>34.339700000000001</v>
      </c>
      <c r="O22" s="18">
        <f t="shared" si="1"/>
        <v>36.009700000000002</v>
      </c>
      <c r="P22" s="7"/>
      <c r="Q22" s="10"/>
      <c r="R22" s="11"/>
      <c r="S22" s="11"/>
      <c r="T22" s="26"/>
      <c r="U22" s="28">
        <f t="shared" si="2"/>
        <v>0.67838220918866077</v>
      </c>
    </row>
    <row r="23" spans="1:21" x14ac:dyDescent="0.25">
      <c r="B23" s="9"/>
      <c r="C23" s="17">
        <v>950.08</v>
      </c>
      <c r="D23" s="18">
        <v>32.231000000000002</v>
      </c>
      <c r="E23" s="18">
        <v>36.929000000000002</v>
      </c>
      <c r="F23" s="18">
        <v>38.554000000000002</v>
      </c>
      <c r="G23" s="18">
        <v>24.42</v>
      </c>
      <c r="H23" s="18">
        <f t="shared" si="0"/>
        <v>33.608625000000004</v>
      </c>
      <c r="I23" s="5"/>
      <c r="J23" s="17">
        <v>1002.3504</v>
      </c>
      <c r="K23" s="18">
        <v>33.235900000000001</v>
      </c>
      <c r="L23" s="18">
        <v>38.2121</v>
      </c>
      <c r="M23" s="18">
        <v>39.522199999999998</v>
      </c>
      <c r="N23" s="18">
        <v>41.357900000000001</v>
      </c>
      <c r="O23" s="18">
        <f t="shared" si="1"/>
        <v>34.643712499999999</v>
      </c>
      <c r="P23" s="7"/>
      <c r="Q23" s="10"/>
      <c r="R23" s="11"/>
      <c r="S23" s="11"/>
      <c r="T23" s="26"/>
      <c r="U23" s="28">
        <f t="shared" si="2"/>
        <v>0.69360769860769855</v>
      </c>
    </row>
    <row r="24" spans="1:21" ht="16.5" thickBot="1" x14ac:dyDescent="0.3">
      <c r="B24" s="12"/>
      <c r="C24" s="19">
        <v>564.26</v>
      </c>
      <c r="D24" s="20">
        <v>30.81</v>
      </c>
      <c r="E24" s="20">
        <v>36.201999999999998</v>
      </c>
      <c r="F24" s="20">
        <v>38.063000000000002</v>
      </c>
      <c r="G24" s="20">
        <v>26.9</v>
      </c>
      <c r="H24" s="20">
        <f t="shared" si="0"/>
        <v>32.390625</v>
      </c>
      <c r="I24" s="5"/>
      <c r="J24" s="19">
        <v>588.62480000000005</v>
      </c>
      <c r="K24" s="20">
        <v>31.6374</v>
      </c>
      <c r="L24" s="20">
        <v>37.3065</v>
      </c>
      <c r="M24" s="20">
        <v>38.7986</v>
      </c>
      <c r="N24" s="20">
        <v>49.792499999999997</v>
      </c>
      <c r="O24" s="20">
        <f t="shared" si="1"/>
        <v>33.241187500000002</v>
      </c>
      <c r="P24" s="7"/>
      <c r="Q24" s="13"/>
      <c r="R24" s="14"/>
      <c r="S24" s="14"/>
      <c r="T24" s="27"/>
      <c r="U24" s="28">
        <f t="shared" si="2"/>
        <v>0.85102230483271368</v>
      </c>
    </row>
    <row r="25" spans="1:21" x14ac:dyDescent="0.25">
      <c r="B25" s="6" t="s">
        <v>50</v>
      </c>
      <c r="C25" s="15">
        <v>2390.2800000000002</v>
      </c>
      <c r="D25" s="16">
        <v>32.920999999999999</v>
      </c>
      <c r="E25" s="16">
        <v>37.292000000000002</v>
      </c>
      <c r="F25" s="16">
        <v>38.625999999999998</v>
      </c>
      <c r="G25" s="16">
        <v>20.73</v>
      </c>
      <c r="H25" s="16">
        <f t="shared" si="0"/>
        <v>34.180500000000002</v>
      </c>
      <c r="I25" s="5"/>
      <c r="J25" s="15">
        <v>2409.2815999999998</v>
      </c>
      <c r="K25" s="16">
        <v>34.112499999999997</v>
      </c>
      <c r="L25" s="16">
        <v>38.1098</v>
      </c>
      <c r="M25" s="16">
        <v>40.109099999999998</v>
      </c>
      <c r="N25" s="16">
        <v>39.866100000000003</v>
      </c>
      <c r="O25" s="16">
        <f t="shared" si="1"/>
        <v>35.361737499999997</v>
      </c>
      <c r="P25" s="7"/>
      <c r="Q25" s="8">
        <f>bdrate(C25:C28,D25:D28,J25:J28,K25:K28)</f>
        <v>-0.22796746259309675</v>
      </c>
      <c r="R25" s="8">
        <f>bdrate(C25:C28,E25:E28,J25:J28,L25:L28)</f>
        <v>-0.47620843444217509</v>
      </c>
      <c r="S25" s="8">
        <f>bdrate(C25:C28,F25:F28,J25:J28,M25:M28)</f>
        <v>-0.46754399898366938</v>
      </c>
      <c r="T25" s="25">
        <f>bdrate(C25:C28,H25:H28,J25:J28,O25:O28)</f>
        <v>-0.27024225801805901</v>
      </c>
      <c r="U25" s="28">
        <f t="shared" si="2"/>
        <v>0.92311143270622298</v>
      </c>
    </row>
    <row r="26" spans="1:21" x14ac:dyDescent="0.25">
      <c r="B26" s="9"/>
      <c r="C26" s="17">
        <v>1583.21</v>
      </c>
      <c r="D26" s="18">
        <v>31.888000000000002</v>
      </c>
      <c r="E26" s="18">
        <v>36.875999999999998</v>
      </c>
      <c r="F26" s="18">
        <v>37.972000000000001</v>
      </c>
      <c r="G26" s="18">
        <v>25.16</v>
      </c>
      <c r="H26" s="18">
        <f t="shared" si="0"/>
        <v>33.271999999999998</v>
      </c>
      <c r="I26" s="5"/>
      <c r="J26" s="17">
        <v>1604.2439999999999</v>
      </c>
      <c r="K26" s="18">
        <v>32.917400000000001</v>
      </c>
      <c r="L26" s="18">
        <v>37.667900000000003</v>
      </c>
      <c r="M26" s="18">
        <v>39.304099999999998</v>
      </c>
      <c r="N26" s="18">
        <v>46.926299999999998</v>
      </c>
      <c r="O26" s="18">
        <f t="shared" si="1"/>
        <v>34.309550000000002</v>
      </c>
      <c r="P26" s="7"/>
      <c r="Q26" s="10"/>
      <c r="R26" s="11"/>
      <c r="S26" s="11"/>
      <c r="T26" s="26"/>
      <c r="U26" s="28">
        <f t="shared" si="2"/>
        <v>0.86511526232114455</v>
      </c>
    </row>
    <row r="27" spans="1:21" x14ac:dyDescent="0.25">
      <c r="B27" s="9"/>
      <c r="C27" s="17">
        <v>978.4</v>
      </c>
      <c r="D27" s="18">
        <v>30.614000000000001</v>
      </c>
      <c r="E27" s="18">
        <v>36.335000000000001</v>
      </c>
      <c r="F27" s="18">
        <v>37.1</v>
      </c>
      <c r="G27" s="18">
        <v>24.71</v>
      </c>
      <c r="H27" s="18">
        <f t="shared" si="0"/>
        <v>32.139875000000004</v>
      </c>
      <c r="I27" s="5"/>
      <c r="J27" s="17">
        <v>998.58320000000003</v>
      </c>
      <c r="K27" s="18">
        <v>31.3521</v>
      </c>
      <c r="L27" s="18">
        <v>37.094000000000001</v>
      </c>
      <c r="M27" s="18">
        <v>38.303899999999999</v>
      </c>
      <c r="N27" s="18">
        <v>55.934699999999999</v>
      </c>
      <c r="O27" s="18">
        <f t="shared" si="1"/>
        <v>32.938812499999997</v>
      </c>
      <c r="P27" s="7"/>
      <c r="Q27" s="10"/>
      <c r="R27" s="11"/>
      <c r="S27" s="11"/>
      <c r="T27" s="26"/>
      <c r="U27" s="28">
        <f t="shared" si="2"/>
        <v>1.2636462970457303</v>
      </c>
    </row>
    <row r="28" spans="1:21" ht="16.5" thickBot="1" x14ac:dyDescent="0.3">
      <c r="B28" s="12"/>
      <c r="C28" s="19">
        <v>575.30999999999995</v>
      </c>
      <c r="D28" s="20">
        <v>29.02</v>
      </c>
      <c r="E28" s="20">
        <v>35.506999999999998</v>
      </c>
      <c r="F28" s="20">
        <v>35.840000000000003</v>
      </c>
      <c r="G28" s="20">
        <v>27.42</v>
      </c>
      <c r="H28" s="20">
        <f t="shared" si="0"/>
        <v>30.683375000000002</v>
      </c>
      <c r="I28" s="5"/>
      <c r="J28" s="19">
        <v>583.20000000000005</v>
      </c>
      <c r="K28" s="20">
        <v>29.580400000000001</v>
      </c>
      <c r="L28" s="20">
        <v>36.449599999999997</v>
      </c>
      <c r="M28" s="20">
        <v>37.235300000000002</v>
      </c>
      <c r="N28" s="20">
        <v>67.476399999999998</v>
      </c>
      <c r="O28" s="20">
        <f t="shared" si="1"/>
        <v>31.395912500000001</v>
      </c>
      <c r="P28" s="7"/>
      <c r="Q28" s="13"/>
      <c r="R28" s="14"/>
      <c r="S28" s="14"/>
      <c r="T28" s="27"/>
      <c r="U28" s="28">
        <f t="shared" si="2"/>
        <v>1.4608460977388764</v>
      </c>
    </row>
    <row r="29" spans="1:21" x14ac:dyDescent="0.25">
      <c r="B29" s="6" t="s">
        <v>51</v>
      </c>
      <c r="C29" s="29">
        <v>2401</v>
      </c>
      <c r="D29" s="30">
        <v>33.546999999999997</v>
      </c>
      <c r="E29" s="30">
        <v>39.5</v>
      </c>
      <c r="F29" s="30">
        <v>38.985999999999997</v>
      </c>
      <c r="G29" s="16">
        <v>18.850000000000001</v>
      </c>
      <c r="H29" s="16">
        <f t="shared" si="0"/>
        <v>34.970999999999997</v>
      </c>
      <c r="I29" s="5"/>
      <c r="J29" s="29">
        <v>2415.4128000000001</v>
      </c>
      <c r="K29" s="30">
        <v>34.057600000000001</v>
      </c>
      <c r="L29" s="30">
        <v>40.283999999999999</v>
      </c>
      <c r="M29" s="30">
        <v>39.888100000000001</v>
      </c>
      <c r="N29" s="16">
        <v>35.3782</v>
      </c>
      <c r="O29" s="16">
        <f t="shared" si="1"/>
        <v>35.564712499999999</v>
      </c>
      <c r="P29" s="7"/>
      <c r="Q29" s="8">
        <f>bdrate(C29:C32,D29:D32,J29:J32,K29:K32)</f>
        <v>-0.10478654582676339</v>
      </c>
      <c r="R29" s="8">
        <f>bdrate(C29:C32,E29:E32,J29:J32,L29:L32)</f>
        <v>-0.28371297409602914</v>
      </c>
      <c r="S29" s="8">
        <f>bdrate(C29:C32,F29:F32,J29:J32,M29:M32)</f>
        <v>-0.30870062329819681</v>
      </c>
      <c r="T29" s="25">
        <f>bdrate(C29:C32,H29:H32,J29:J32,O29:O32)</f>
        <v>-0.14619242909979924</v>
      </c>
      <c r="U29" s="28">
        <f t="shared" si="2"/>
        <v>0.87682758620689638</v>
      </c>
    </row>
    <row r="30" spans="1:21" x14ac:dyDescent="0.25">
      <c r="B30" s="9"/>
      <c r="C30" s="31">
        <v>1592.54</v>
      </c>
      <c r="D30" s="32">
        <v>32.220999999999997</v>
      </c>
      <c r="E30" s="32">
        <v>38.695999999999998</v>
      </c>
      <c r="F30" s="32">
        <v>37.953000000000003</v>
      </c>
      <c r="G30" s="18">
        <v>21.3</v>
      </c>
      <c r="H30" s="18">
        <f t="shared" si="0"/>
        <v>33.746874999999996</v>
      </c>
      <c r="I30" s="5"/>
      <c r="J30" s="31">
        <v>1606.9232</v>
      </c>
      <c r="K30" s="32">
        <v>32.689599999999999</v>
      </c>
      <c r="L30" s="32">
        <v>39.553199999999997</v>
      </c>
      <c r="M30" s="32">
        <v>38.9621</v>
      </c>
      <c r="N30" s="18">
        <v>41.788499999999999</v>
      </c>
      <c r="O30" s="18">
        <f t="shared" si="1"/>
        <v>34.331612499999999</v>
      </c>
      <c r="P30" s="7"/>
      <c r="Q30" s="10"/>
      <c r="R30" s="11"/>
      <c r="S30" s="11"/>
      <c r="T30" s="26"/>
      <c r="U30" s="28">
        <f t="shared" si="2"/>
        <v>0.96190140845070415</v>
      </c>
    </row>
    <row r="31" spans="1:21" x14ac:dyDescent="0.25">
      <c r="B31" s="9"/>
      <c r="C31" s="31">
        <v>986.69</v>
      </c>
      <c r="D31" s="32">
        <v>30.59</v>
      </c>
      <c r="E31" s="32">
        <v>37.795999999999999</v>
      </c>
      <c r="F31" s="32">
        <v>36.676000000000002</v>
      </c>
      <c r="G31" s="18">
        <v>24.04</v>
      </c>
      <c r="H31" s="18">
        <f t="shared" si="0"/>
        <v>32.2515</v>
      </c>
      <c r="I31" s="5"/>
      <c r="J31" s="31">
        <v>1001.5096</v>
      </c>
      <c r="K31" s="32">
        <v>30.976299999999998</v>
      </c>
      <c r="L31" s="32">
        <v>38.557899999999997</v>
      </c>
      <c r="M31" s="32">
        <v>37.757399999999997</v>
      </c>
      <c r="N31" s="18">
        <v>49.845500000000001</v>
      </c>
      <c r="O31" s="18">
        <f t="shared" si="1"/>
        <v>32.771637499999997</v>
      </c>
      <c r="P31" s="7"/>
      <c r="Q31" s="10"/>
      <c r="R31" s="11"/>
      <c r="S31" s="11"/>
      <c r="T31" s="26"/>
      <c r="U31" s="28">
        <f t="shared" si="2"/>
        <v>1.0734400998336109</v>
      </c>
    </row>
    <row r="32" spans="1:21" ht="16.5" thickBot="1" x14ac:dyDescent="0.3">
      <c r="B32" s="12"/>
      <c r="C32" s="33">
        <v>588.29999999999995</v>
      </c>
      <c r="D32" s="34">
        <v>28.725000000000001</v>
      </c>
      <c r="E32" s="34">
        <v>36.012999999999998</v>
      </c>
      <c r="F32" s="34">
        <v>34.893999999999998</v>
      </c>
      <c r="G32" s="20">
        <v>26.91</v>
      </c>
      <c r="H32" s="20">
        <f t="shared" si="0"/>
        <v>30.407125000000004</v>
      </c>
      <c r="I32" s="5"/>
      <c r="J32" s="33">
        <v>589.35040000000004</v>
      </c>
      <c r="K32" s="34">
        <v>29.0975</v>
      </c>
      <c r="L32" s="34">
        <v>36.967700000000001</v>
      </c>
      <c r="M32" s="34">
        <v>36.061100000000003</v>
      </c>
      <c r="N32" s="20">
        <v>60.819899999999997</v>
      </c>
      <c r="O32" s="20">
        <f t="shared" si="1"/>
        <v>30.951725000000003</v>
      </c>
      <c r="P32" s="7"/>
      <c r="Q32" s="13"/>
      <c r="R32" s="14"/>
      <c r="S32" s="14"/>
      <c r="T32" s="27"/>
      <c r="U32" s="28">
        <f t="shared" si="2"/>
        <v>1.260122630992196</v>
      </c>
    </row>
    <row r="33" spans="1:21" x14ac:dyDescent="0.25">
      <c r="B33" s="6" t="s">
        <v>52</v>
      </c>
      <c r="C33" s="15">
        <v>2393.4499999999998</v>
      </c>
      <c r="D33" s="16">
        <v>31.86</v>
      </c>
      <c r="E33" s="16">
        <v>38.426000000000002</v>
      </c>
      <c r="F33" s="16">
        <v>41.128</v>
      </c>
      <c r="G33" s="16">
        <v>25.37</v>
      </c>
      <c r="H33" s="16">
        <f t="shared" si="0"/>
        <v>33.83925</v>
      </c>
      <c r="I33" s="5"/>
      <c r="J33" s="15">
        <v>2429.7280000000001</v>
      </c>
      <c r="K33" s="16">
        <v>33.611699999999999</v>
      </c>
      <c r="L33" s="16">
        <v>39.757100000000001</v>
      </c>
      <c r="M33" s="16">
        <v>42.173099999999998</v>
      </c>
      <c r="N33" s="16">
        <v>43.956000000000003</v>
      </c>
      <c r="O33" s="16">
        <f t="shared" si="1"/>
        <v>35.450049999999997</v>
      </c>
      <c r="P33" s="7"/>
      <c r="Q33" s="8">
        <f>bdrate(C33:C36,D33:D36,J33:J36,K33:K36)</f>
        <v>-0.54591543267941223</v>
      </c>
      <c r="R33" s="8">
        <f>bdrate(C33:C36,E33:E36,J33:J36,L33:L36)</f>
        <v>-0.62760351502185685</v>
      </c>
      <c r="S33" s="8">
        <f>bdrate(C33:C36,F33:F36,J33:J36,M33:M36)</f>
        <v>-0.53428289881449165</v>
      </c>
      <c r="T33" s="25">
        <f>bdrate(C33:C36,H33:H36,J33:J36,O33:O36)</f>
        <v>-0.54981509821757546</v>
      </c>
      <c r="U33" s="28">
        <f t="shared" si="2"/>
        <v>0.73259755616870326</v>
      </c>
    </row>
    <row r="34" spans="1:21" x14ac:dyDescent="0.25">
      <c r="B34" s="9"/>
      <c r="C34" s="17">
        <v>1572.72</v>
      </c>
      <c r="D34" s="18">
        <v>30.983000000000001</v>
      </c>
      <c r="E34" s="18">
        <v>38.063000000000002</v>
      </c>
      <c r="F34" s="18">
        <v>40.795999999999999</v>
      </c>
      <c r="G34" s="18">
        <v>28.72</v>
      </c>
      <c r="H34" s="18">
        <f t="shared" si="0"/>
        <v>33.094625000000001</v>
      </c>
      <c r="I34" s="5"/>
      <c r="J34" s="17">
        <v>1595.5047999999999</v>
      </c>
      <c r="K34" s="18">
        <v>32.892299999999999</v>
      </c>
      <c r="L34" s="18">
        <v>39.291800000000002</v>
      </c>
      <c r="M34" s="18">
        <v>41.758000000000003</v>
      </c>
      <c r="N34" s="18">
        <v>50.8733</v>
      </c>
      <c r="O34" s="18">
        <f t="shared" si="1"/>
        <v>34.800449999999998</v>
      </c>
      <c r="P34" s="7"/>
      <c r="Q34" s="10"/>
      <c r="R34" s="11"/>
      <c r="S34" s="11"/>
      <c r="T34" s="26"/>
      <c r="U34" s="28">
        <f t="shared" si="2"/>
        <v>0.77135445682451265</v>
      </c>
    </row>
    <row r="35" spans="1:21" x14ac:dyDescent="0.25">
      <c r="B35" s="9"/>
      <c r="C35" s="17">
        <v>942.97</v>
      </c>
      <c r="D35" s="18">
        <v>29.69</v>
      </c>
      <c r="E35" s="18">
        <v>37.567999999999998</v>
      </c>
      <c r="F35" s="18">
        <v>40.378999999999998</v>
      </c>
      <c r="G35" s="18">
        <v>31.63</v>
      </c>
      <c r="H35" s="18">
        <f t="shared" si="0"/>
        <v>32.010875000000006</v>
      </c>
      <c r="I35" s="5"/>
      <c r="J35" s="17">
        <v>1021.936</v>
      </c>
      <c r="K35" s="18">
        <v>31.87</v>
      </c>
      <c r="L35" s="18">
        <v>38.626899999999999</v>
      </c>
      <c r="M35" s="18">
        <v>41.106499999999997</v>
      </c>
      <c r="N35" s="18">
        <v>57.926200000000001</v>
      </c>
      <c r="O35" s="18">
        <f t="shared" si="1"/>
        <v>33.869174999999998</v>
      </c>
      <c r="P35" s="7"/>
      <c r="Q35" s="10"/>
      <c r="R35" s="11"/>
      <c r="S35" s="11"/>
      <c r="T35" s="26"/>
      <c r="U35" s="28">
        <f t="shared" si="2"/>
        <v>0.83136895352513451</v>
      </c>
    </row>
    <row r="36" spans="1:21" ht="16.5" thickBot="1" x14ac:dyDescent="0.3">
      <c r="B36" s="12"/>
      <c r="C36" s="19">
        <v>497.87</v>
      </c>
      <c r="D36" s="20">
        <v>27.187999999999999</v>
      </c>
      <c r="E36" s="20">
        <v>36.585999999999999</v>
      </c>
      <c r="F36" s="20">
        <v>39.475000000000001</v>
      </c>
      <c r="G36" s="20">
        <v>32.590000000000003</v>
      </c>
      <c r="H36" s="20">
        <f t="shared" si="0"/>
        <v>29.898624999999999</v>
      </c>
      <c r="I36" s="5"/>
      <c r="J36" s="19">
        <v>599.37840000000006</v>
      </c>
      <c r="K36" s="20">
        <v>30.441500000000001</v>
      </c>
      <c r="L36" s="20">
        <v>38.067</v>
      </c>
      <c r="M36" s="20">
        <v>40.615099999999998</v>
      </c>
      <c r="N36" s="20">
        <v>66.540999999999997</v>
      </c>
      <c r="O36" s="20">
        <f t="shared" si="1"/>
        <v>32.666387499999999</v>
      </c>
      <c r="P36" s="7"/>
      <c r="Q36" s="13"/>
      <c r="R36" s="14"/>
      <c r="S36" s="14"/>
      <c r="T36" s="27"/>
      <c r="U36" s="28">
        <f t="shared" si="2"/>
        <v>1.0417612764651731</v>
      </c>
    </row>
    <row r="37" spans="1:21" x14ac:dyDescent="0.25">
      <c r="A37" s="6" t="s">
        <v>39</v>
      </c>
      <c r="B37" s="6" t="s">
        <v>53</v>
      </c>
      <c r="C37" s="15">
        <v>1223.3900000000001</v>
      </c>
      <c r="D37" s="16">
        <v>33.704000000000001</v>
      </c>
      <c r="E37" s="16">
        <v>37.445999999999998</v>
      </c>
      <c r="F37" s="16">
        <v>37.22</v>
      </c>
      <c r="G37" s="16">
        <v>65.55</v>
      </c>
      <c r="H37" s="16">
        <f t="shared" si="0"/>
        <v>34.611249999999998</v>
      </c>
      <c r="I37" s="5"/>
      <c r="J37" s="15">
        <v>1214.752</v>
      </c>
      <c r="K37" s="16">
        <v>35.065100000000001</v>
      </c>
      <c r="L37" s="16">
        <v>39.060200000000002</v>
      </c>
      <c r="M37" s="16">
        <v>38.918500000000002</v>
      </c>
      <c r="N37" s="16">
        <v>128.20509999999999</v>
      </c>
      <c r="O37" s="16">
        <f t="shared" si="1"/>
        <v>36.046162500000001</v>
      </c>
      <c r="P37" s="7"/>
      <c r="Q37" s="8">
        <f>bdrate(C37:C40,D37:D40,J37:J40,K37:K40)</f>
        <v>-0.25434210505531507</v>
      </c>
      <c r="R37" s="8">
        <f>bdrate(C37:C40,E37:E40,J37:J40,L37:L40)</f>
        <v>-0.40177934115279301</v>
      </c>
      <c r="S37" s="8">
        <f>bdrate(C37:C40,F37:F40,J37:J40,M37:M40)</f>
        <v>-0.38064802649864493</v>
      </c>
      <c r="T37" s="25">
        <f>bdrate(C37:C40,H37:H40,J37:J40,O37:O40)</f>
        <v>-0.2825495121809577</v>
      </c>
      <c r="U37" s="28">
        <f t="shared" si="2"/>
        <v>0.95583676582761246</v>
      </c>
    </row>
    <row r="38" spans="1:21" x14ac:dyDescent="0.25">
      <c r="A38" s="9" t="s">
        <v>40</v>
      </c>
      <c r="B38" s="9"/>
      <c r="C38" s="17">
        <v>814.55</v>
      </c>
      <c r="D38" s="18">
        <v>32.316000000000003</v>
      </c>
      <c r="E38" s="18">
        <v>36.503</v>
      </c>
      <c r="F38" s="18">
        <v>36.128999999999998</v>
      </c>
      <c r="G38" s="18">
        <v>73.86</v>
      </c>
      <c r="H38" s="18">
        <f t="shared" si="0"/>
        <v>33.316000000000003</v>
      </c>
      <c r="I38" s="5"/>
      <c r="J38" s="17">
        <v>810.93359999999996</v>
      </c>
      <c r="K38" s="18">
        <v>33.5246</v>
      </c>
      <c r="L38" s="18">
        <v>37.897100000000002</v>
      </c>
      <c r="M38" s="18">
        <v>37.570799999999998</v>
      </c>
      <c r="N38" s="18">
        <v>153.3742</v>
      </c>
      <c r="O38" s="18">
        <f t="shared" si="1"/>
        <v>34.5769375</v>
      </c>
      <c r="P38" s="7"/>
      <c r="Q38" s="10"/>
      <c r="R38" s="11"/>
      <c r="S38" s="11"/>
      <c r="T38" s="26"/>
      <c r="U38" s="28">
        <f t="shared" si="2"/>
        <v>1.0765529379907934</v>
      </c>
    </row>
    <row r="39" spans="1:21" x14ac:dyDescent="0.25">
      <c r="B39" s="9"/>
      <c r="C39" s="17">
        <v>505.79</v>
      </c>
      <c r="D39" s="18">
        <v>30.802</v>
      </c>
      <c r="E39" s="18">
        <v>35.579000000000001</v>
      </c>
      <c r="F39" s="18">
        <v>35.045000000000002</v>
      </c>
      <c r="G39" s="18">
        <v>84.12</v>
      </c>
      <c r="H39" s="18">
        <f t="shared" si="0"/>
        <v>31.929500000000004</v>
      </c>
      <c r="I39" s="5"/>
      <c r="J39" s="17">
        <v>506.56799999999998</v>
      </c>
      <c r="K39" s="18">
        <v>31.761399999999998</v>
      </c>
      <c r="L39" s="18">
        <v>36.667499999999997</v>
      </c>
      <c r="M39" s="18">
        <v>36.194800000000001</v>
      </c>
      <c r="N39" s="18">
        <v>189.68129999999999</v>
      </c>
      <c r="O39" s="18">
        <f t="shared" si="1"/>
        <v>32.9288375</v>
      </c>
      <c r="P39" s="7"/>
      <c r="Q39" s="10"/>
      <c r="R39" s="11"/>
      <c r="S39" s="11"/>
      <c r="T39" s="26"/>
      <c r="U39" s="28">
        <f t="shared" si="2"/>
        <v>1.2548894436519256</v>
      </c>
    </row>
    <row r="40" spans="1:21" ht="16.5" thickBot="1" x14ac:dyDescent="0.3">
      <c r="B40" s="12"/>
      <c r="C40" s="19">
        <v>300.69</v>
      </c>
      <c r="D40" s="20">
        <v>29.253</v>
      </c>
      <c r="E40" s="20">
        <v>34.545000000000002</v>
      </c>
      <c r="F40" s="20">
        <v>33.808999999999997</v>
      </c>
      <c r="G40" s="20">
        <v>96.82</v>
      </c>
      <c r="H40" s="20">
        <f t="shared" si="0"/>
        <v>30.483999999999998</v>
      </c>
      <c r="I40" s="5"/>
      <c r="J40" s="19">
        <v>303.5496</v>
      </c>
      <c r="K40" s="20">
        <v>29.815100000000001</v>
      </c>
      <c r="L40" s="20">
        <v>35.364100000000001</v>
      </c>
      <c r="M40" s="20">
        <v>34.793100000000003</v>
      </c>
      <c r="N40" s="20">
        <v>240.9639</v>
      </c>
      <c r="O40" s="20">
        <f t="shared" si="1"/>
        <v>31.130975000000003</v>
      </c>
      <c r="P40" s="7"/>
      <c r="Q40" s="13"/>
      <c r="R40" s="14"/>
      <c r="S40" s="14"/>
      <c r="T40" s="27"/>
      <c r="U40" s="28">
        <f t="shared" si="2"/>
        <v>1.4887822763891758</v>
      </c>
    </row>
    <row r="41" spans="1:21" x14ac:dyDescent="0.25">
      <c r="B41" s="6" t="s">
        <v>54</v>
      </c>
      <c r="C41" s="15">
        <v>1230.0999999999999</v>
      </c>
      <c r="D41" s="16">
        <v>33.517000000000003</v>
      </c>
      <c r="E41" s="16">
        <v>38.883000000000003</v>
      </c>
      <c r="F41" s="16">
        <v>39.709000000000003</v>
      </c>
      <c r="G41" s="16">
        <v>77.39</v>
      </c>
      <c r="H41" s="16">
        <f t="shared" si="0"/>
        <v>34.961750000000009</v>
      </c>
      <c r="I41" s="5"/>
      <c r="J41" s="15">
        <v>1244.8664000000001</v>
      </c>
      <c r="K41" s="16">
        <v>35.249000000000002</v>
      </c>
      <c r="L41" s="16">
        <v>40.472799999999999</v>
      </c>
      <c r="M41" s="16">
        <v>41.294400000000003</v>
      </c>
      <c r="N41" s="16">
        <v>135.90029999999999</v>
      </c>
      <c r="O41" s="16">
        <f t="shared" si="1"/>
        <v>36.657650000000004</v>
      </c>
      <c r="P41" s="7"/>
      <c r="Q41" s="8">
        <f>bdrate(C41:C44,D41:D44,J41:J44,K41:K44)</f>
        <v>-0.31474615228172242</v>
      </c>
      <c r="R41" s="8">
        <f>bdrate(C41:C44,E41:E44,J41:J44,L41:L44)</f>
        <v>-0.49492426653817201</v>
      </c>
      <c r="S41" s="8">
        <f>bdrate(C41:C44,F41:F44,J41:J44,M41:M44)</f>
        <v>-0.45379673199366966</v>
      </c>
      <c r="T41" s="25">
        <f>bdrate(C41:C44,H41:H44,J41:J44,O41:O44)</f>
        <v>-0.34478867748941722</v>
      </c>
      <c r="U41" s="28">
        <f t="shared" si="2"/>
        <v>0.75604470861868445</v>
      </c>
    </row>
    <row r="42" spans="1:21" x14ac:dyDescent="0.25">
      <c r="B42" s="9"/>
      <c r="C42" s="17">
        <v>817.97</v>
      </c>
      <c r="D42" s="18">
        <v>32.079000000000001</v>
      </c>
      <c r="E42" s="18">
        <v>37.996000000000002</v>
      </c>
      <c r="F42" s="18">
        <v>38.713999999999999</v>
      </c>
      <c r="G42" s="18">
        <v>86.43</v>
      </c>
      <c r="H42" s="18">
        <f t="shared" si="0"/>
        <v>33.647999999999996</v>
      </c>
      <c r="I42" s="5"/>
      <c r="J42" s="17">
        <v>829.85839999999996</v>
      </c>
      <c r="K42" s="18">
        <v>33.7042</v>
      </c>
      <c r="L42" s="18">
        <v>39.476900000000001</v>
      </c>
      <c r="M42" s="18">
        <v>40.228099999999998</v>
      </c>
      <c r="N42" s="18">
        <v>159.5745</v>
      </c>
      <c r="O42" s="18">
        <f t="shared" si="1"/>
        <v>35.241275000000002</v>
      </c>
      <c r="P42" s="7"/>
      <c r="Q42" s="10"/>
      <c r="R42" s="11"/>
      <c r="S42" s="11"/>
      <c r="T42" s="26"/>
      <c r="U42" s="28">
        <f t="shared" si="2"/>
        <v>0.84628601180145768</v>
      </c>
    </row>
    <row r="43" spans="1:21" x14ac:dyDescent="0.25">
      <c r="B43" s="9"/>
      <c r="C43" s="17">
        <v>509.54</v>
      </c>
      <c r="D43" s="18">
        <v>30.443999999999999</v>
      </c>
      <c r="E43" s="18">
        <v>37.031999999999996</v>
      </c>
      <c r="F43" s="18">
        <v>37.581000000000003</v>
      </c>
      <c r="G43" s="18">
        <v>97.37</v>
      </c>
      <c r="H43" s="18">
        <f t="shared" si="0"/>
        <v>32.159624999999998</v>
      </c>
      <c r="I43" s="5"/>
      <c r="J43" s="17">
        <v>518.3184</v>
      </c>
      <c r="K43" s="18">
        <v>31.849399999999999</v>
      </c>
      <c r="L43" s="18">
        <v>38.478700000000003</v>
      </c>
      <c r="M43" s="18">
        <v>39.0657</v>
      </c>
      <c r="N43" s="18">
        <v>195.24889999999999</v>
      </c>
      <c r="O43" s="18">
        <f t="shared" si="1"/>
        <v>33.580100000000002</v>
      </c>
      <c r="P43" s="7"/>
      <c r="Q43" s="10"/>
      <c r="R43" s="11"/>
      <c r="S43" s="11"/>
      <c r="T43" s="26"/>
      <c r="U43" s="28">
        <f t="shared" si="2"/>
        <v>1.0052264557872033</v>
      </c>
    </row>
    <row r="44" spans="1:21" ht="16.5" thickBot="1" x14ac:dyDescent="0.3">
      <c r="B44" s="12"/>
      <c r="C44" s="19">
        <v>301.95</v>
      </c>
      <c r="D44" s="20">
        <v>28.59</v>
      </c>
      <c r="E44" s="20">
        <v>35.853000000000002</v>
      </c>
      <c r="F44" s="20">
        <v>36.268000000000001</v>
      </c>
      <c r="G44" s="20">
        <v>109.89</v>
      </c>
      <c r="H44" s="20">
        <f t="shared" si="0"/>
        <v>30.457625</v>
      </c>
      <c r="I44" s="5"/>
      <c r="J44" s="19">
        <v>310.64960000000002</v>
      </c>
      <c r="K44" s="20">
        <v>29.7653</v>
      </c>
      <c r="L44" s="20">
        <v>37.418599999999998</v>
      </c>
      <c r="M44" s="20">
        <v>37.874099999999999</v>
      </c>
      <c r="N44" s="20">
        <v>243.40770000000001</v>
      </c>
      <c r="O44" s="20">
        <f t="shared" si="1"/>
        <v>31.7355625</v>
      </c>
      <c r="P44" s="7"/>
      <c r="Q44" s="13"/>
      <c r="R44" s="14"/>
      <c r="S44" s="14"/>
      <c r="T44" s="27"/>
      <c r="U44" s="28">
        <f t="shared" si="2"/>
        <v>1.2150122850122849</v>
      </c>
    </row>
    <row r="45" spans="1:21" x14ac:dyDescent="0.25">
      <c r="B45" s="6" t="s">
        <v>55</v>
      </c>
      <c r="C45" s="15">
        <v>1096.5999999999999</v>
      </c>
      <c r="D45" s="16">
        <v>28.033000000000001</v>
      </c>
      <c r="E45" s="16">
        <v>34.576000000000001</v>
      </c>
      <c r="F45" s="16">
        <v>35.366999999999997</v>
      </c>
      <c r="G45" s="16">
        <v>75.78</v>
      </c>
      <c r="H45" s="16">
        <f t="shared" si="0"/>
        <v>29.767624999999999</v>
      </c>
      <c r="I45" s="5"/>
      <c r="J45" s="15">
        <v>1227.3535999999999</v>
      </c>
      <c r="K45" s="16">
        <v>30.374300000000002</v>
      </c>
      <c r="L45" s="16">
        <v>36.723100000000002</v>
      </c>
      <c r="M45" s="16">
        <v>37.487400000000001</v>
      </c>
      <c r="N45" s="16">
        <v>119.1611</v>
      </c>
      <c r="O45" s="16">
        <f t="shared" si="1"/>
        <v>32.0570375</v>
      </c>
      <c r="P45" s="7"/>
      <c r="Q45" s="8">
        <f>bdrate(C45:C48,D45:D48,J45:J48,K45:K48)</f>
        <v>-0.44492743307426774</v>
      </c>
      <c r="R45" s="8">
        <f>bdrate(C45:C48,E45:E48,J45:J48,L45:L48)</f>
        <v>-0.63990522877224953</v>
      </c>
      <c r="S45" s="8">
        <f>bdrate(C45:C48,F45:F48,J45:J48,M45:M48)</f>
        <v>-0.6140987086345141</v>
      </c>
      <c r="T45" s="25">
        <f>bdrate(C45:C48,H45:H48,J45:J48,O45:O48)</f>
        <v>-0.47707890726946622</v>
      </c>
      <c r="U45" s="28">
        <f t="shared" si="2"/>
        <v>0.57246107152282932</v>
      </c>
    </row>
    <row r="46" spans="1:21" x14ac:dyDescent="0.25">
      <c r="B46" s="9"/>
      <c r="C46" s="17">
        <v>729.95</v>
      </c>
      <c r="D46" s="18">
        <v>26.817</v>
      </c>
      <c r="E46" s="18">
        <v>34.018000000000001</v>
      </c>
      <c r="F46" s="18">
        <v>34.814999999999998</v>
      </c>
      <c r="G46" s="18">
        <v>85.47</v>
      </c>
      <c r="H46" s="18">
        <f t="shared" si="0"/>
        <v>28.716874999999998</v>
      </c>
      <c r="I46" s="5"/>
      <c r="J46" s="17">
        <v>814.67520000000002</v>
      </c>
      <c r="K46" s="18">
        <v>29.026800000000001</v>
      </c>
      <c r="L46" s="18">
        <v>35.895899999999997</v>
      </c>
      <c r="M46" s="18">
        <v>36.6404</v>
      </c>
      <c r="N46" s="18">
        <v>141.84399999999999</v>
      </c>
      <c r="O46" s="18">
        <f t="shared" si="1"/>
        <v>30.837137499999997</v>
      </c>
      <c r="P46" s="7"/>
      <c r="Q46" s="10"/>
      <c r="R46" s="11"/>
      <c r="S46" s="11"/>
      <c r="T46" s="26"/>
      <c r="U46" s="28">
        <f t="shared" si="2"/>
        <v>0.6595764595764595</v>
      </c>
    </row>
    <row r="47" spans="1:21" x14ac:dyDescent="0.25">
      <c r="B47" s="9"/>
      <c r="C47" s="17">
        <v>452.39</v>
      </c>
      <c r="D47" s="18">
        <v>25.504999999999999</v>
      </c>
      <c r="E47" s="18">
        <v>33.320999999999998</v>
      </c>
      <c r="F47" s="18">
        <v>34.189</v>
      </c>
      <c r="G47" s="18">
        <v>96.82</v>
      </c>
      <c r="H47" s="18">
        <f t="shared" si="0"/>
        <v>27.567499999999999</v>
      </c>
      <c r="I47" s="5"/>
      <c r="J47" s="17">
        <v>513.85760000000005</v>
      </c>
      <c r="K47" s="18">
        <v>27.546399999999998</v>
      </c>
      <c r="L47" s="18">
        <v>35.089199999999998</v>
      </c>
      <c r="M47" s="18">
        <v>35.792999999999999</v>
      </c>
      <c r="N47" s="18">
        <v>181.09379999999999</v>
      </c>
      <c r="O47" s="18">
        <f t="shared" si="1"/>
        <v>29.520074999999999</v>
      </c>
      <c r="P47" s="7"/>
      <c r="Q47" s="10"/>
      <c r="R47" s="11"/>
      <c r="S47" s="11"/>
      <c r="T47" s="26"/>
      <c r="U47" s="28">
        <f t="shared" si="2"/>
        <v>0.87041726915926465</v>
      </c>
    </row>
    <row r="48" spans="1:21" ht="16.5" thickBot="1" x14ac:dyDescent="0.3">
      <c r="B48" s="12"/>
      <c r="C48" s="19">
        <v>263.56</v>
      </c>
      <c r="D48" s="20">
        <v>23.991</v>
      </c>
      <c r="E48" s="20">
        <v>32.43</v>
      </c>
      <c r="F48" s="20">
        <v>33.298999999999999</v>
      </c>
      <c r="G48" s="20">
        <v>110.13</v>
      </c>
      <c r="H48" s="20">
        <f t="shared" si="0"/>
        <v>26.209375000000001</v>
      </c>
      <c r="I48" s="5"/>
      <c r="J48" s="19">
        <v>308.86079999999998</v>
      </c>
      <c r="K48" s="20">
        <v>25.999199999999998</v>
      </c>
      <c r="L48" s="20">
        <v>34.202500000000001</v>
      </c>
      <c r="M48" s="20">
        <v>34.880499999999998</v>
      </c>
      <c r="N48" s="20">
        <v>227.27269999999999</v>
      </c>
      <c r="O48" s="20">
        <f t="shared" si="1"/>
        <v>28.134774999999998</v>
      </c>
      <c r="P48" s="7"/>
      <c r="Q48" s="13"/>
      <c r="R48" s="14"/>
      <c r="S48" s="14"/>
      <c r="T48" s="27"/>
      <c r="U48" s="28">
        <f t="shared" si="2"/>
        <v>1.0636765640606556</v>
      </c>
    </row>
    <row r="49" spans="1:21" x14ac:dyDescent="0.25">
      <c r="B49" s="6" t="s">
        <v>56</v>
      </c>
      <c r="C49" s="15">
        <v>1116.45</v>
      </c>
      <c r="D49" s="16">
        <v>31.451000000000001</v>
      </c>
      <c r="E49" s="16">
        <v>36.024000000000001</v>
      </c>
      <c r="F49" s="16">
        <v>37.664000000000001</v>
      </c>
      <c r="G49" s="16">
        <v>50.61</v>
      </c>
      <c r="H49" s="16">
        <f t="shared" si="0"/>
        <v>32.799250000000001</v>
      </c>
      <c r="I49" s="5"/>
      <c r="J49" s="15">
        <v>1208.9367999999999</v>
      </c>
      <c r="K49" s="16">
        <v>32.453699999999998</v>
      </c>
      <c r="L49" s="16">
        <v>36.885199999999998</v>
      </c>
      <c r="M49" s="16">
        <v>38.4634</v>
      </c>
      <c r="N49" s="16">
        <v>86.231700000000004</v>
      </c>
      <c r="O49" s="16">
        <f t="shared" si="1"/>
        <v>33.758849999999995</v>
      </c>
      <c r="P49" s="7"/>
      <c r="Q49" s="8">
        <f>bdrate(C49:C52,D49:D52,J49:J52,K49:K52)</f>
        <v>-0.10148207409022625</v>
      </c>
      <c r="R49" s="8">
        <f>bdrate(C49:C52,E49:E52,J49:J52,L49:L52)</f>
        <v>-0.27056800877702547</v>
      </c>
      <c r="S49" s="8">
        <f>bdrate(C49:C52,F49:F52,J49:J52,M49:M52)</f>
        <v>-0.25322563160220435</v>
      </c>
      <c r="T49" s="25">
        <f>bdrate(C49:C52,H49:H52,J49:J52,O49:O52)</f>
        <v>-0.13207659285597073</v>
      </c>
      <c r="U49" s="28">
        <f t="shared" si="2"/>
        <v>0.70384706579727341</v>
      </c>
    </row>
    <row r="50" spans="1:21" x14ac:dyDescent="0.25">
      <c r="B50" s="9"/>
      <c r="C50" s="17">
        <v>754.26</v>
      </c>
      <c r="D50" s="18">
        <v>30.184999999999999</v>
      </c>
      <c r="E50" s="18">
        <v>35.295000000000002</v>
      </c>
      <c r="F50" s="18">
        <v>36.901000000000003</v>
      </c>
      <c r="G50" s="18">
        <v>56.56</v>
      </c>
      <c r="H50" s="18">
        <f t="shared" si="0"/>
        <v>31.663249999999998</v>
      </c>
      <c r="I50" s="5"/>
      <c r="J50" s="17">
        <v>805.56320000000005</v>
      </c>
      <c r="K50" s="18">
        <v>30.9053</v>
      </c>
      <c r="L50" s="18">
        <v>35.977899999999998</v>
      </c>
      <c r="M50" s="18">
        <v>37.525399999999998</v>
      </c>
      <c r="N50" s="18">
        <v>104.4932</v>
      </c>
      <c r="O50" s="18">
        <f t="shared" si="1"/>
        <v>32.366887500000004</v>
      </c>
      <c r="P50" s="7"/>
      <c r="Q50" s="10"/>
      <c r="R50" s="11"/>
      <c r="S50" s="11"/>
      <c r="T50" s="26"/>
      <c r="U50" s="28">
        <f t="shared" si="2"/>
        <v>0.84747524752475245</v>
      </c>
    </row>
    <row r="51" spans="1:21" x14ac:dyDescent="0.25">
      <c r="B51" s="9"/>
      <c r="C51" s="17">
        <v>480.03</v>
      </c>
      <c r="D51" s="18">
        <v>28.843</v>
      </c>
      <c r="E51" s="18">
        <v>34.456000000000003</v>
      </c>
      <c r="F51" s="18">
        <v>35.933</v>
      </c>
      <c r="G51" s="18">
        <v>64.099999999999994</v>
      </c>
      <c r="H51" s="18">
        <f t="shared" si="0"/>
        <v>30.430875</v>
      </c>
      <c r="I51" s="5"/>
      <c r="J51" s="17">
        <v>503.96159999999998</v>
      </c>
      <c r="K51" s="18">
        <v>29.267299999999999</v>
      </c>
      <c r="L51" s="18">
        <v>35.134900000000002</v>
      </c>
      <c r="M51" s="18">
        <v>36.670200000000001</v>
      </c>
      <c r="N51" s="18">
        <v>130.833</v>
      </c>
      <c r="O51" s="18">
        <f t="shared" si="1"/>
        <v>30.926112499999999</v>
      </c>
      <c r="P51" s="7"/>
      <c r="Q51" s="10"/>
      <c r="R51" s="11"/>
      <c r="S51" s="11"/>
      <c r="T51" s="26"/>
      <c r="U51" s="28">
        <f t="shared" si="2"/>
        <v>1.0410764430577224</v>
      </c>
    </row>
    <row r="52" spans="1:21" ht="16.5" thickBot="1" x14ac:dyDescent="0.3">
      <c r="B52" s="12"/>
      <c r="C52" s="19">
        <v>290.83999999999997</v>
      </c>
      <c r="D52" s="20">
        <v>27.518000000000001</v>
      </c>
      <c r="E52" s="20">
        <v>33.552999999999997</v>
      </c>
      <c r="F52" s="20">
        <v>34.889000000000003</v>
      </c>
      <c r="G52" s="20">
        <v>73.959999999999994</v>
      </c>
      <c r="H52" s="20">
        <f t="shared" si="0"/>
        <v>29.193750000000001</v>
      </c>
      <c r="I52" s="5"/>
      <c r="J52" s="19">
        <v>301.9624</v>
      </c>
      <c r="K52" s="20">
        <v>27.655999999999999</v>
      </c>
      <c r="L52" s="20">
        <v>34.215200000000003</v>
      </c>
      <c r="M52" s="20">
        <v>35.6678</v>
      </c>
      <c r="N52" s="20">
        <v>168.63409999999999</v>
      </c>
      <c r="O52" s="20">
        <f t="shared" si="1"/>
        <v>29.477374999999999</v>
      </c>
      <c r="P52" s="7"/>
      <c r="Q52" s="13"/>
      <c r="R52" s="14"/>
      <c r="S52" s="14"/>
      <c r="T52" s="27"/>
      <c r="U52" s="28">
        <f t="shared" si="2"/>
        <v>1.2800716603569497</v>
      </c>
    </row>
    <row r="53" spans="1:21" x14ac:dyDescent="0.25">
      <c r="A53" s="6" t="s">
        <v>41</v>
      </c>
      <c r="B53" s="6" t="s">
        <v>57</v>
      </c>
      <c r="C53" s="15">
        <v>639.05999999999995</v>
      </c>
      <c r="D53" s="16">
        <v>33.51</v>
      </c>
      <c r="E53" s="16">
        <v>38.473999999999997</v>
      </c>
      <c r="F53" s="16">
        <v>37.188000000000002</v>
      </c>
      <c r="G53" s="16">
        <v>201.53</v>
      </c>
      <c r="H53" s="16">
        <f t="shared" si="0"/>
        <v>34.590249999999997</v>
      </c>
      <c r="I53" s="5"/>
      <c r="J53" s="15">
        <v>604.78719999999998</v>
      </c>
      <c r="K53" s="16">
        <v>34.3994</v>
      </c>
      <c r="L53" s="16">
        <v>39.6569</v>
      </c>
      <c r="M53" s="16">
        <v>38.191299999999998</v>
      </c>
      <c r="N53" s="16">
        <v>340.83159999999998</v>
      </c>
      <c r="O53" s="16">
        <f t="shared" si="1"/>
        <v>35.530574999999999</v>
      </c>
      <c r="P53" s="7"/>
      <c r="Q53" s="8">
        <f>bdrate(C53:C56,D53:D56,J53:J56,K53:K56)</f>
        <v>-0.13693367661086453</v>
      </c>
      <c r="R53" s="8">
        <f>bdrate(C53:C56,E53:E56,J53:J56,L53:L56)</f>
        <v>-0.37798829444990545</v>
      </c>
      <c r="S53" s="8">
        <f>bdrate(C53:C56,F53:F56,J53:J56,M53:M56)</f>
        <v>-0.30471161113701051</v>
      </c>
      <c r="T53" s="25">
        <f>bdrate(C53:C56,H53:H56,J53:J56,O53:O56)</f>
        <v>-0.17628156292216857</v>
      </c>
      <c r="U53" s="28">
        <f t="shared" si="2"/>
        <v>0.69122016573214895</v>
      </c>
    </row>
    <row r="54" spans="1:21" x14ac:dyDescent="0.25">
      <c r="A54" s="9" t="s">
        <v>42</v>
      </c>
      <c r="B54" s="9"/>
      <c r="C54" s="17">
        <v>429.22</v>
      </c>
      <c r="D54" s="18">
        <v>31.97</v>
      </c>
      <c r="E54" s="18">
        <v>37.472999999999999</v>
      </c>
      <c r="F54" s="18">
        <v>36.043999999999997</v>
      </c>
      <c r="G54" s="18">
        <v>224.11</v>
      </c>
      <c r="H54" s="18">
        <f t="shared" si="0"/>
        <v>33.167124999999999</v>
      </c>
      <c r="I54" s="5"/>
      <c r="J54" s="17">
        <v>404.87119999999999</v>
      </c>
      <c r="K54" s="18">
        <v>32.598399999999998</v>
      </c>
      <c r="L54" s="18">
        <v>38.511699999999998</v>
      </c>
      <c r="M54" s="18">
        <v>36.869700000000002</v>
      </c>
      <c r="N54" s="18">
        <v>405.51499999999999</v>
      </c>
      <c r="O54" s="18">
        <f t="shared" si="1"/>
        <v>33.871474999999997</v>
      </c>
      <c r="P54" s="7"/>
      <c r="Q54" s="10"/>
      <c r="R54" s="11"/>
      <c r="S54" s="11"/>
      <c r="T54" s="26"/>
      <c r="U54" s="28">
        <f t="shared" si="2"/>
        <v>0.80944625407166104</v>
      </c>
    </row>
    <row r="55" spans="1:21" x14ac:dyDescent="0.25">
      <c r="B55" s="9"/>
      <c r="C55" s="17">
        <v>268.95999999999998</v>
      </c>
      <c r="D55" s="18">
        <v>30.349</v>
      </c>
      <c r="E55" s="18">
        <v>36.515000000000001</v>
      </c>
      <c r="F55" s="18">
        <v>34.854999999999997</v>
      </c>
      <c r="G55" s="18">
        <v>256.41000000000003</v>
      </c>
      <c r="H55" s="18">
        <f t="shared" si="0"/>
        <v>31.682999999999996</v>
      </c>
      <c r="I55" s="5"/>
      <c r="J55" s="17">
        <v>254.61439999999999</v>
      </c>
      <c r="K55" s="18">
        <v>30.668399999999998</v>
      </c>
      <c r="L55" s="18">
        <v>37.404600000000002</v>
      </c>
      <c r="M55" s="18">
        <v>35.655999999999999</v>
      </c>
      <c r="N55" s="18">
        <v>493.09660000000002</v>
      </c>
      <c r="O55" s="18">
        <f t="shared" si="1"/>
        <v>32.133875000000003</v>
      </c>
      <c r="P55" s="7"/>
      <c r="Q55" s="10"/>
      <c r="R55" s="11"/>
      <c r="S55" s="11"/>
      <c r="T55" s="26"/>
      <c r="U55" s="28">
        <f t="shared" si="2"/>
        <v>0.92307866307866293</v>
      </c>
    </row>
    <row r="56" spans="1:21" ht="16.5" thickBot="1" x14ac:dyDescent="0.3">
      <c r="B56" s="12"/>
      <c r="C56" s="19">
        <v>128.41999999999999</v>
      </c>
      <c r="D56" s="20">
        <v>28</v>
      </c>
      <c r="E56" s="20">
        <v>35.084000000000003</v>
      </c>
      <c r="F56" s="20">
        <v>32.978999999999999</v>
      </c>
      <c r="G56" s="20">
        <v>311.33</v>
      </c>
      <c r="H56" s="20">
        <f t="shared" si="0"/>
        <v>29.507874999999999</v>
      </c>
      <c r="I56" s="5"/>
      <c r="J56" s="19">
        <v>122.9768</v>
      </c>
      <c r="K56" s="20">
        <v>27.895199999999999</v>
      </c>
      <c r="L56" s="20">
        <v>35.856000000000002</v>
      </c>
      <c r="M56" s="20">
        <v>33.788200000000003</v>
      </c>
      <c r="N56" s="20">
        <v>697.3501</v>
      </c>
      <c r="O56" s="20">
        <f t="shared" si="1"/>
        <v>29.626925</v>
      </c>
      <c r="P56" s="7"/>
      <c r="Q56" s="13"/>
      <c r="R56" s="14"/>
      <c r="S56" s="14"/>
      <c r="T56" s="27"/>
      <c r="U56" s="28">
        <f t="shared" si="2"/>
        <v>1.2399065300485017</v>
      </c>
    </row>
    <row r="57" spans="1:21" x14ac:dyDescent="0.25">
      <c r="B57" s="6" t="s">
        <v>58</v>
      </c>
      <c r="C57" s="15">
        <v>556.13</v>
      </c>
      <c r="D57" s="16">
        <v>30.18</v>
      </c>
      <c r="E57" s="16">
        <v>38.613</v>
      </c>
      <c r="F57" s="16">
        <v>39.31</v>
      </c>
      <c r="G57" s="16">
        <v>312.83</v>
      </c>
      <c r="H57" s="16">
        <f t="shared" si="0"/>
        <v>32.375374999999998</v>
      </c>
      <c r="I57" s="5"/>
      <c r="J57" s="15">
        <v>604.35440000000006</v>
      </c>
      <c r="K57" s="16">
        <v>33.662700000000001</v>
      </c>
      <c r="L57" s="16">
        <v>41.256900000000002</v>
      </c>
      <c r="M57" s="16">
        <v>42.063400000000001</v>
      </c>
      <c r="N57" s="16">
        <v>404.85829999999999</v>
      </c>
      <c r="O57" s="16">
        <f t="shared" si="1"/>
        <v>35.662062500000005</v>
      </c>
      <c r="P57" s="7"/>
      <c r="Q57" s="8">
        <f>bdrate(C57:C60,D57:D60,J57:J60,K57:K60)</f>
        <v>-0.62687562421608534</v>
      </c>
      <c r="R57" s="8">
        <f>bdrate(C57:C60,E57:E60,J57:J60,L57:L60)</f>
        <v>-0.69151964863217164</v>
      </c>
      <c r="S57" s="8">
        <f>bdrate(C57:C60,F57:F60,J57:J60,M57:M60)</f>
        <v>-0.66263305103755488</v>
      </c>
      <c r="T57" s="25">
        <f>bdrate(C57:C60,H57:H60,J57:J60,O57:O60)</f>
        <v>-0.63365565973461047</v>
      </c>
      <c r="U57" s="28">
        <f t="shared" si="2"/>
        <v>0.29417990601924371</v>
      </c>
    </row>
    <row r="58" spans="1:21" x14ac:dyDescent="0.25">
      <c r="B58" s="9"/>
      <c r="C58" s="17">
        <v>367.45</v>
      </c>
      <c r="D58" s="18">
        <v>28.838999999999999</v>
      </c>
      <c r="E58" s="18">
        <v>38.183</v>
      </c>
      <c r="F58" s="18">
        <v>38.762999999999998</v>
      </c>
      <c r="G58" s="18">
        <v>359.5</v>
      </c>
      <c r="H58" s="18">
        <f t="shared" si="0"/>
        <v>31.247499999999999</v>
      </c>
      <c r="I58" s="5"/>
      <c r="J58" s="17">
        <v>403.31760000000003</v>
      </c>
      <c r="K58" s="18">
        <v>32.394799999999996</v>
      </c>
      <c r="L58" s="18">
        <v>40.384700000000002</v>
      </c>
      <c r="M58" s="18">
        <v>41.197000000000003</v>
      </c>
      <c r="N58" s="18">
        <v>512.82050000000004</v>
      </c>
      <c r="O58" s="18">
        <f t="shared" si="1"/>
        <v>34.493812499999997</v>
      </c>
      <c r="P58" s="7"/>
      <c r="Q58" s="10"/>
      <c r="R58" s="11"/>
      <c r="S58" s="11"/>
      <c r="T58" s="26"/>
      <c r="U58" s="28">
        <f t="shared" si="2"/>
        <v>0.42648261474269827</v>
      </c>
    </row>
    <row r="59" spans="1:21" x14ac:dyDescent="0.25">
      <c r="B59" s="9"/>
      <c r="C59" s="17">
        <v>229.47</v>
      </c>
      <c r="D59" s="18">
        <v>27.422999999999998</v>
      </c>
      <c r="E59" s="18">
        <v>37.771000000000001</v>
      </c>
      <c r="F59" s="18">
        <v>38.325000000000003</v>
      </c>
      <c r="G59" s="18">
        <v>392.41</v>
      </c>
      <c r="H59" s="18">
        <f t="shared" si="0"/>
        <v>30.079249999999995</v>
      </c>
      <c r="I59" s="5"/>
      <c r="J59" s="17">
        <v>251.9032</v>
      </c>
      <c r="K59" s="18">
        <v>30.897099999999998</v>
      </c>
      <c r="L59" s="18">
        <v>39.426600000000001</v>
      </c>
      <c r="M59" s="18">
        <v>40.117400000000004</v>
      </c>
      <c r="N59" s="18">
        <v>641.02560000000005</v>
      </c>
      <c r="O59" s="18">
        <f t="shared" si="1"/>
        <v>33.115825000000001</v>
      </c>
      <c r="P59" s="7"/>
      <c r="Q59" s="10"/>
      <c r="R59" s="11"/>
      <c r="S59" s="11"/>
      <c r="T59" s="26"/>
      <c r="U59" s="28">
        <f t="shared" si="2"/>
        <v>0.63356081649295382</v>
      </c>
    </row>
    <row r="60" spans="1:21" ht="16.5" thickBot="1" x14ac:dyDescent="0.3">
      <c r="B60" s="12"/>
      <c r="C60" s="19">
        <v>106.01</v>
      </c>
      <c r="D60" s="20">
        <v>25.094999999999999</v>
      </c>
      <c r="E60" s="20">
        <v>37.063000000000002</v>
      </c>
      <c r="F60" s="20">
        <v>37.323</v>
      </c>
      <c r="G60" s="20">
        <v>447.09</v>
      </c>
      <c r="H60" s="20">
        <f t="shared" si="0"/>
        <v>28.119499999999999</v>
      </c>
      <c r="I60" s="5"/>
      <c r="J60" s="19">
        <v>121.0432</v>
      </c>
      <c r="K60" s="20">
        <v>28.3431</v>
      </c>
      <c r="L60" s="20">
        <v>38.164999999999999</v>
      </c>
      <c r="M60" s="20">
        <v>38.604199999999999</v>
      </c>
      <c r="N60" s="20">
        <v>873.36239999999998</v>
      </c>
      <c r="O60" s="20">
        <f t="shared" si="1"/>
        <v>30.853475</v>
      </c>
      <c r="P60" s="7"/>
      <c r="Q60" s="13"/>
      <c r="R60" s="14"/>
      <c r="S60" s="14"/>
      <c r="T60" s="27"/>
      <c r="U60" s="28">
        <f t="shared" si="2"/>
        <v>0.95343756290679738</v>
      </c>
    </row>
    <row r="61" spans="1:21" x14ac:dyDescent="0.25">
      <c r="B61" s="6" t="s">
        <v>59</v>
      </c>
      <c r="C61" s="29">
        <v>641.41</v>
      </c>
      <c r="D61" s="30">
        <v>31.187000000000001</v>
      </c>
      <c r="E61" s="30">
        <v>35.997999999999998</v>
      </c>
      <c r="F61" s="30">
        <v>36.554000000000002</v>
      </c>
      <c r="G61" s="16">
        <v>248.39</v>
      </c>
      <c r="H61" s="16">
        <f t="shared" si="0"/>
        <v>32.459249999999997</v>
      </c>
      <c r="I61" s="5"/>
      <c r="J61" s="29">
        <v>644.05999999999995</v>
      </c>
      <c r="K61" s="30">
        <v>33.212699999999998</v>
      </c>
      <c r="L61" s="30">
        <v>38.172899999999998</v>
      </c>
      <c r="M61" s="30">
        <v>38.936</v>
      </c>
      <c r="N61" s="16">
        <v>368.45979999999997</v>
      </c>
      <c r="O61" s="16">
        <f t="shared" si="1"/>
        <v>34.548137499999996</v>
      </c>
      <c r="P61" s="7"/>
      <c r="Q61" s="8">
        <f>bdrate(C61:C64,D61:D64,J61:J64,K61:K64)</f>
        <v>-0.40233487978612514</v>
      </c>
      <c r="R61" s="8">
        <f>bdrate(C61:C64,E61:E64,J61:J64,L61:L64)</f>
        <v>-0.58983826595414057</v>
      </c>
      <c r="S61" s="8">
        <f>bdrate(C61:C64,F61:F64,J61:J64,M61:M64)</f>
        <v>-0.62136219471755494</v>
      </c>
      <c r="T61" s="25">
        <f>bdrate(C61:C64,H61:H64,J61:J64,O61:O64)</f>
        <v>-0.4442963739913921</v>
      </c>
      <c r="U61" s="28">
        <f t="shared" si="2"/>
        <v>0.48339224606465636</v>
      </c>
    </row>
    <row r="62" spans="1:21" x14ac:dyDescent="0.25">
      <c r="B62" s="9"/>
      <c r="C62" s="31">
        <v>425.85</v>
      </c>
      <c r="D62" s="32">
        <v>29.783999999999999</v>
      </c>
      <c r="E62" s="32">
        <v>35.03</v>
      </c>
      <c r="F62" s="32">
        <v>35.570999999999998</v>
      </c>
      <c r="G62" s="18">
        <v>278.70999999999998</v>
      </c>
      <c r="H62" s="18">
        <f t="shared" si="0"/>
        <v>31.163125000000001</v>
      </c>
      <c r="I62" s="5"/>
      <c r="J62" s="31">
        <v>427.37360000000001</v>
      </c>
      <c r="K62" s="32">
        <v>31.674399999999999</v>
      </c>
      <c r="L62" s="32">
        <v>37.095300000000002</v>
      </c>
      <c r="M62" s="32">
        <v>37.826300000000003</v>
      </c>
      <c r="N62" s="18">
        <v>439.3673</v>
      </c>
      <c r="O62" s="18">
        <f t="shared" si="1"/>
        <v>33.121000000000002</v>
      </c>
      <c r="P62" s="7"/>
      <c r="Q62" s="10"/>
      <c r="R62" s="11"/>
      <c r="S62" s="11"/>
      <c r="T62" s="26"/>
      <c r="U62" s="28">
        <f t="shared" si="2"/>
        <v>0.57643177496322351</v>
      </c>
    </row>
    <row r="63" spans="1:21" x14ac:dyDescent="0.25">
      <c r="B63" s="9"/>
      <c r="C63" s="31">
        <v>264.64999999999998</v>
      </c>
      <c r="D63" s="32">
        <v>28.318000000000001</v>
      </c>
      <c r="E63" s="32">
        <v>34.161000000000001</v>
      </c>
      <c r="F63" s="32">
        <v>34.718000000000004</v>
      </c>
      <c r="G63" s="18">
        <v>311.14</v>
      </c>
      <c r="H63" s="18">
        <f t="shared" si="0"/>
        <v>29.848375000000004</v>
      </c>
      <c r="I63" s="5"/>
      <c r="J63" s="31">
        <v>266.7944</v>
      </c>
      <c r="K63" s="32">
        <v>29.9938</v>
      </c>
      <c r="L63" s="32">
        <v>35.978099999999998</v>
      </c>
      <c r="M63" s="32">
        <v>36.695799999999998</v>
      </c>
      <c r="N63" s="18">
        <v>543.47829999999999</v>
      </c>
      <c r="O63" s="18">
        <f t="shared" si="1"/>
        <v>31.579587499999999</v>
      </c>
      <c r="P63" s="7"/>
      <c r="Q63" s="10"/>
      <c r="R63" s="11"/>
      <c r="S63" s="11"/>
      <c r="T63" s="26"/>
      <c r="U63" s="28">
        <f t="shared" si="2"/>
        <v>0.74673233913993708</v>
      </c>
    </row>
    <row r="64" spans="1:21" ht="16.5" thickBot="1" x14ac:dyDescent="0.3">
      <c r="B64" s="12"/>
      <c r="C64" s="33">
        <v>124.87</v>
      </c>
      <c r="D64" s="34">
        <v>26.242999999999999</v>
      </c>
      <c r="E64" s="34">
        <v>32.799999999999997</v>
      </c>
      <c r="F64" s="34">
        <v>33.417999999999999</v>
      </c>
      <c r="G64" s="20">
        <v>372.58</v>
      </c>
      <c r="H64" s="20">
        <f t="shared" si="0"/>
        <v>27.959499999999998</v>
      </c>
      <c r="I64" s="5"/>
      <c r="J64" s="33">
        <v>128.61840000000001</v>
      </c>
      <c r="K64" s="34">
        <v>27.5792</v>
      </c>
      <c r="L64" s="34">
        <v>34.422699999999999</v>
      </c>
      <c r="M64" s="34">
        <v>35.129800000000003</v>
      </c>
      <c r="N64" s="20">
        <v>782.47260000000006</v>
      </c>
      <c r="O64" s="20">
        <f t="shared" si="1"/>
        <v>29.378462499999998</v>
      </c>
      <c r="P64" s="7"/>
      <c r="Q64" s="13"/>
      <c r="R64" s="14"/>
      <c r="S64" s="14"/>
      <c r="T64" s="27"/>
      <c r="U64" s="28">
        <f t="shared" si="2"/>
        <v>1.1001465457083044</v>
      </c>
    </row>
    <row r="65" spans="1:21" x14ac:dyDescent="0.25">
      <c r="B65" s="6" t="s">
        <v>60</v>
      </c>
      <c r="C65" s="15">
        <v>582.86</v>
      </c>
      <c r="D65" s="16">
        <v>32.643999999999998</v>
      </c>
      <c r="E65" s="16">
        <v>36.655000000000001</v>
      </c>
      <c r="F65" s="16">
        <v>37.756999999999998</v>
      </c>
      <c r="G65" s="16">
        <v>165.75</v>
      </c>
      <c r="H65" s="16">
        <f t="shared" si="0"/>
        <v>33.784499999999994</v>
      </c>
      <c r="I65" s="5"/>
      <c r="J65" s="15">
        <v>605.97519999999997</v>
      </c>
      <c r="K65" s="16">
        <v>33.987099999999998</v>
      </c>
      <c r="L65" s="16">
        <v>37.743899999999996</v>
      </c>
      <c r="M65" s="16">
        <v>38.834699999999998</v>
      </c>
      <c r="N65" s="16">
        <v>240.38460000000001</v>
      </c>
      <c r="O65" s="16">
        <f t="shared" si="1"/>
        <v>35.062649999999998</v>
      </c>
      <c r="P65" s="7"/>
      <c r="Q65" s="8">
        <f>bdrate(C65:C68,D65:D68,J65:J68,K65:K68)</f>
        <v>-0.16229163215273479</v>
      </c>
      <c r="R65" s="8">
        <f>bdrate(C65:C68,E65:E68,J65:J68,L65:L68)</f>
        <v>-0.29628078540093661</v>
      </c>
      <c r="S65" s="8">
        <f>bdrate(C65:C68,F65:F68,J65:J68,M65:M68)</f>
        <v>-0.30097266071717188</v>
      </c>
      <c r="T65" s="25">
        <f>bdrate(C65:C68,H65:H68,J65:J68,O65:O68)</f>
        <v>-0.19076985781279976</v>
      </c>
      <c r="U65" s="28">
        <f t="shared" si="2"/>
        <v>0.45028416289592765</v>
      </c>
    </row>
    <row r="66" spans="1:21" x14ac:dyDescent="0.25">
      <c r="B66" s="9"/>
      <c r="C66" s="17">
        <v>390.46</v>
      </c>
      <c r="D66" s="18">
        <v>31.132000000000001</v>
      </c>
      <c r="E66" s="18">
        <v>35.609000000000002</v>
      </c>
      <c r="F66" s="18">
        <v>36.652000000000001</v>
      </c>
      <c r="G66" s="18">
        <v>179.75</v>
      </c>
      <c r="H66" s="18">
        <f t="shared" si="0"/>
        <v>32.381625</v>
      </c>
      <c r="I66" s="5"/>
      <c r="J66" s="17">
        <v>403.8888</v>
      </c>
      <c r="K66" s="18">
        <v>32.1678</v>
      </c>
      <c r="L66" s="18">
        <v>36.606400000000001</v>
      </c>
      <c r="M66" s="18">
        <v>37.706099999999999</v>
      </c>
      <c r="N66" s="18">
        <v>295.858</v>
      </c>
      <c r="O66" s="18">
        <f t="shared" si="1"/>
        <v>33.4149125</v>
      </c>
      <c r="P66" s="7"/>
      <c r="Q66" s="10"/>
      <c r="R66" s="11"/>
      <c r="S66" s="11"/>
      <c r="T66" s="26"/>
      <c r="U66" s="28">
        <f t="shared" si="2"/>
        <v>0.64594158553546599</v>
      </c>
    </row>
    <row r="67" spans="1:21" x14ac:dyDescent="0.25">
      <c r="B67" s="9"/>
      <c r="C67" s="17">
        <v>245.46</v>
      </c>
      <c r="D67" s="18">
        <v>29.599</v>
      </c>
      <c r="E67" s="18">
        <v>34.603999999999999</v>
      </c>
      <c r="F67" s="18">
        <v>35.564</v>
      </c>
      <c r="G67" s="18">
        <v>206.9</v>
      </c>
      <c r="H67" s="18">
        <f t="shared" si="0"/>
        <v>30.970249999999997</v>
      </c>
      <c r="I67" s="5"/>
      <c r="J67" s="17">
        <v>252.94560000000001</v>
      </c>
      <c r="K67" s="18">
        <v>30.2729</v>
      </c>
      <c r="L67" s="18">
        <v>35.393599999999999</v>
      </c>
      <c r="M67" s="18">
        <v>36.433900000000001</v>
      </c>
      <c r="N67" s="18">
        <v>369.91370000000001</v>
      </c>
      <c r="O67" s="18">
        <f t="shared" si="1"/>
        <v>31.6831125</v>
      </c>
      <c r="P67" s="7"/>
      <c r="Q67" s="10"/>
      <c r="R67" s="11"/>
      <c r="S67" s="11"/>
      <c r="T67" s="26"/>
      <c r="U67" s="28">
        <f t="shared" si="2"/>
        <v>0.78788641855969066</v>
      </c>
    </row>
    <row r="68" spans="1:21" ht="16.5" thickBot="1" x14ac:dyDescent="0.3">
      <c r="B68" s="12"/>
      <c r="C68" s="19">
        <v>117.94</v>
      </c>
      <c r="D68" s="20">
        <v>27.460999999999999</v>
      </c>
      <c r="E68" s="20">
        <v>32.972000000000001</v>
      </c>
      <c r="F68" s="20">
        <v>33.832999999999998</v>
      </c>
      <c r="G68" s="20">
        <v>256.41000000000003</v>
      </c>
      <c r="H68" s="20">
        <f t="shared" si="0"/>
        <v>28.946375</v>
      </c>
      <c r="I68" s="5"/>
      <c r="J68" s="19">
        <v>122.30800000000001</v>
      </c>
      <c r="K68" s="20">
        <v>27.795000000000002</v>
      </c>
      <c r="L68" s="20">
        <v>33.964700000000001</v>
      </c>
      <c r="M68" s="20">
        <v>34.902900000000002</v>
      </c>
      <c r="N68" s="20">
        <v>533.80780000000004</v>
      </c>
      <c r="O68" s="20">
        <f t="shared" si="1"/>
        <v>29.454700000000003</v>
      </c>
      <c r="P68" s="7"/>
      <c r="Q68" s="13"/>
      <c r="R68" s="14"/>
      <c r="S68" s="14"/>
      <c r="T68" s="27"/>
      <c r="U68" s="28">
        <f t="shared" si="2"/>
        <v>1.0818525018525018</v>
      </c>
    </row>
    <row r="69" spans="1:21" x14ac:dyDescent="0.25">
      <c r="A69" s="6" t="s">
        <v>43</v>
      </c>
      <c r="B69" s="6" t="s">
        <v>61</v>
      </c>
      <c r="C69" s="15">
        <v>1389.93</v>
      </c>
      <c r="D69" s="16">
        <v>39.808999999999997</v>
      </c>
      <c r="E69" s="16">
        <v>44.103000000000002</v>
      </c>
      <c r="F69" s="16">
        <v>45.277000000000001</v>
      </c>
      <c r="G69" s="16">
        <v>53.42</v>
      </c>
      <c r="H69" s="16">
        <f t="shared" si="0"/>
        <v>41.029249999999998</v>
      </c>
      <c r="I69" s="5"/>
      <c r="J69" s="15">
        <v>1491.2647999999999</v>
      </c>
      <c r="K69" s="16">
        <v>41.363</v>
      </c>
      <c r="L69" s="16">
        <v>45.620399999999997</v>
      </c>
      <c r="M69" s="16">
        <v>46.805900000000001</v>
      </c>
      <c r="N69" s="16">
        <v>105.3741</v>
      </c>
      <c r="O69" s="16">
        <f t="shared" si="1"/>
        <v>42.575537500000003</v>
      </c>
      <c r="P69" s="7"/>
      <c r="Q69" s="8">
        <f>bdrate(C69:C72,D69:D72,J69:J72,K69:K72)</f>
        <v>-0.33160774844902652</v>
      </c>
      <c r="R69" s="8">
        <f>bdrate(C69:C72,E69:E72,J69:J72,L69:L72)</f>
        <v>-0.39493379318937638</v>
      </c>
      <c r="S69" s="8">
        <f>bdrate(C69:C72,F69:F72,J69:J72,M69:M72)</f>
        <v>-0.38107736385184099</v>
      </c>
      <c r="T69" s="25">
        <f>bdrate(C69:C72,H69:H72,J69:J72,O69:O72)</f>
        <v>-0.34114216755939408</v>
      </c>
      <c r="U69" s="28">
        <f t="shared" si="2"/>
        <v>0.97255896667914632</v>
      </c>
    </row>
    <row r="70" spans="1:21" x14ac:dyDescent="0.25">
      <c r="A70" s="9" t="s">
        <v>44</v>
      </c>
      <c r="B70" s="9"/>
      <c r="C70" s="17">
        <v>917.35</v>
      </c>
      <c r="D70" s="18">
        <v>38.454000000000001</v>
      </c>
      <c r="E70" s="18">
        <v>43.052999999999997</v>
      </c>
      <c r="F70" s="18">
        <v>44.213999999999999</v>
      </c>
      <c r="G70" s="18">
        <v>56.64</v>
      </c>
      <c r="H70" s="18">
        <f t="shared" si="0"/>
        <v>39.748874999999998</v>
      </c>
      <c r="I70" s="5"/>
      <c r="J70" s="17">
        <v>984.8528</v>
      </c>
      <c r="K70" s="18">
        <v>40.243699999999997</v>
      </c>
      <c r="L70" s="18">
        <v>44.6633</v>
      </c>
      <c r="M70" s="18">
        <v>45.837899999999998</v>
      </c>
      <c r="N70" s="18">
        <v>120.9434</v>
      </c>
      <c r="O70" s="18">
        <f t="shared" si="1"/>
        <v>41.495424999999997</v>
      </c>
      <c r="P70" s="7"/>
      <c r="Q70" s="10"/>
      <c r="R70" s="11"/>
      <c r="S70" s="11"/>
      <c r="T70" s="26"/>
      <c r="U70" s="28">
        <f t="shared" si="2"/>
        <v>1.1353001412429378</v>
      </c>
    </row>
    <row r="71" spans="1:21" x14ac:dyDescent="0.25">
      <c r="B71" s="9"/>
      <c r="C71" s="17">
        <v>544.66</v>
      </c>
      <c r="D71" s="18">
        <v>36.58</v>
      </c>
      <c r="E71" s="18">
        <v>42.073</v>
      </c>
      <c r="F71" s="18">
        <v>43.143000000000001</v>
      </c>
      <c r="G71" s="18">
        <v>64.53</v>
      </c>
      <c r="H71" s="18">
        <f t="shared" si="0"/>
        <v>38.087000000000003</v>
      </c>
      <c r="I71" s="5"/>
      <c r="J71" s="17">
        <v>574.95519999999999</v>
      </c>
      <c r="K71" s="18">
        <v>38.364899999999999</v>
      </c>
      <c r="L71" s="18">
        <v>43.274500000000003</v>
      </c>
      <c r="M71" s="18">
        <v>44.390500000000003</v>
      </c>
      <c r="N71" s="18">
        <v>138.34450000000001</v>
      </c>
      <c r="O71" s="18">
        <f t="shared" si="1"/>
        <v>39.731799999999993</v>
      </c>
      <c r="P71" s="7"/>
      <c r="Q71" s="10"/>
      <c r="R71" s="11"/>
      <c r="S71" s="11"/>
      <c r="T71" s="26"/>
      <c r="U71" s="28">
        <f t="shared" si="2"/>
        <v>1.1438788160545483</v>
      </c>
    </row>
    <row r="72" spans="1:21" ht="16.5" thickBot="1" x14ac:dyDescent="0.3">
      <c r="B72" s="12"/>
      <c r="C72" s="19">
        <v>259.68</v>
      </c>
      <c r="D72" s="20">
        <v>34.432000000000002</v>
      </c>
      <c r="E72" s="20">
        <v>41.05</v>
      </c>
      <c r="F72" s="20">
        <v>41.984000000000002</v>
      </c>
      <c r="G72" s="20">
        <v>85.85</v>
      </c>
      <c r="H72" s="20">
        <f t="shared" si="0"/>
        <v>36.203249999999997</v>
      </c>
      <c r="I72" s="5"/>
      <c r="J72" s="19">
        <v>278.60320000000002</v>
      </c>
      <c r="K72" s="20">
        <v>35.244399999999999</v>
      </c>
      <c r="L72" s="20">
        <v>41.513300000000001</v>
      </c>
      <c r="M72" s="20">
        <v>42.485799999999998</v>
      </c>
      <c r="N72" s="20">
        <v>171.72300000000001</v>
      </c>
      <c r="O72" s="20">
        <f t="shared" si="1"/>
        <v>36.933187499999995</v>
      </c>
      <c r="P72" s="7"/>
      <c r="Q72" s="13"/>
      <c r="R72" s="14"/>
      <c r="S72" s="14"/>
      <c r="T72" s="27"/>
      <c r="U72" s="28">
        <f t="shared" si="2"/>
        <v>1.0002679091438558</v>
      </c>
    </row>
    <row r="73" spans="1:21" x14ac:dyDescent="0.25">
      <c r="B73" s="6" t="s">
        <v>62</v>
      </c>
      <c r="C73" s="15">
        <v>1436.16</v>
      </c>
      <c r="D73" s="16">
        <v>41.62</v>
      </c>
      <c r="E73" s="16">
        <v>46.527000000000001</v>
      </c>
      <c r="F73" s="16">
        <v>47.133000000000003</v>
      </c>
      <c r="G73" s="16">
        <v>55.03</v>
      </c>
      <c r="H73" s="16">
        <f t="shared" si="0"/>
        <v>42.922499999999992</v>
      </c>
      <c r="I73" s="5"/>
      <c r="J73" s="15">
        <v>1469.3440000000001</v>
      </c>
      <c r="K73" s="16">
        <v>42.62</v>
      </c>
      <c r="L73" s="16">
        <v>47.650399999999998</v>
      </c>
      <c r="M73" s="16">
        <v>48.2652</v>
      </c>
      <c r="N73" s="16">
        <v>118.3432</v>
      </c>
      <c r="O73" s="16">
        <f t="shared" si="1"/>
        <v>43.954449999999994</v>
      </c>
      <c r="P73" s="7"/>
      <c r="Q73" s="8">
        <f>bdrate(C73:C76,D73:D76,J73:J76,K73:K76)</f>
        <v>-0.44640730470760481</v>
      </c>
      <c r="R73" s="8">
        <f>bdrate(C73:C76,E73:E76,J73:J76,L73:L76)</f>
        <v>-0.50136552944516555</v>
      </c>
      <c r="S73" s="8">
        <f>bdrate(C73:C76,F73:F76,J73:J76,M73:M76)</f>
        <v>-0.50570529338618675</v>
      </c>
      <c r="T73" s="25">
        <f>bdrate(C73:C76,H73:H76,J73:J76,O73:O76)</f>
        <v>-0.4610562554972083</v>
      </c>
      <c r="U73" s="28">
        <f t="shared" ref="U73:U91" si="3">(N73-G73)/G73</f>
        <v>1.1505215337088859</v>
      </c>
    </row>
    <row r="74" spans="1:21" x14ac:dyDescent="0.25">
      <c r="B74" s="9"/>
      <c r="C74" s="17">
        <v>950.67</v>
      </c>
      <c r="D74" s="18">
        <v>40.945999999999998</v>
      </c>
      <c r="E74" s="18">
        <v>45.841999999999999</v>
      </c>
      <c r="F74" s="18">
        <v>46.405999999999999</v>
      </c>
      <c r="G74" s="18">
        <v>61.14</v>
      </c>
      <c r="H74" s="18">
        <f t="shared" si="0"/>
        <v>42.240499999999997</v>
      </c>
      <c r="I74" s="5"/>
      <c r="J74" s="17">
        <v>973.91520000000003</v>
      </c>
      <c r="K74" s="18">
        <v>42.095500000000001</v>
      </c>
      <c r="L74" s="18">
        <v>47.204500000000003</v>
      </c>
      <c r="M74" s="18">
        <v>47.851300000000002</v>
      </c>
      <c r="N74" s="18">
        <v>137.36259999999999</v>
      </c>
      <c r="O74" s="18">
        <f t="shared" si="1"/>
        <v>43.453600000000002</v>
      </c>
      <c r="P74" s="7"/>
      <c r="Q74" s="10"/>
      <c r="R74" s="11"/>
      <c r="S74" s="11"/>
      <c r="T74" s="26"/>
      <c r="U74" s="28">
        <f t="shared" si="3"/>
        <v>1.2466895649329406</v>
      </c>
    </row>
    <row r="75" spans="1:21" x14ac:dyDescent="0.25">
      <c r="B75" s="9"/>
      <c r="C75" s="17">
        <v>562.48</v>
      </c>
      <c r="D75" s="18">
        <v>39.950000000000003</v>
      </c>
      <c r="E75" s="18">
        <v>44.927999999999997</v>
      </c>
      <c r="F75" s="18">
        <v>45.381999999999998</v>
      </c>
      <c r="G75" s="18">
        <v>77.540000000000006</v>
      </c>
      <c r="H75" s="18">
        <f t="shared" si="0"/>
        <v>41.251250000000006</v>
      </c>
      <c r="I75" s="5"/>
      <c r="J75" s="17">
        <v>578.66079999999999</v>
      </c>
      <c r="K75" s="18">
        <v>41.234000000000002</v>
      </c>
      <c r="L75" s="18">
        <v>46.368499999999997</v>
      </c>
      <c r="M75" s="18">
        <v>46.933199999999999</v>
      </c>
      <c r="N75" s="18">
        <v>155.0788</v>
      </c>
      <c r="O75" s="18">
        <f t="shared" si="1"/>
        <v>42.588212499999997</v>
      </c>
      <c r="P75" s="7"/>
      <c r="Q75" s="10"/>
      <c r="R75" s="11"/>
      <c r="S75" s="11"/>
      <c r="T75" s="26"/>
      <c r="U75" s="28">
        <f t="shared" si="3"/>
        <v>0.99998452411658489</v>
      </c>
    </row>
    <row r="76" spans="1:21" ht="16.5" thickBot="1" x14ac:dyDescent="0.3">
      <c r="B76" s="12"/>
      <c r="C76" s="19">
        <v>269.95999999999998</v>
      </c>
      <c r="D76" s="20">
        <v>38.088000000000001</v>
      </c>
      <c r="E76" s="20">
        <v>43.744999999999997</v>
      </c>
      <c r="F76" s="20">
        <v>44.005000000000003</v>
      </c>
      <c r="G76" s="20">
        <v>87.81</v>
      </c>
      <c r="H76" s="20">
        <f t="shared" si="0"/>
        <v>39.534750000000003</v>
      </c>
      <c r="I76" s="5"/>
      <c r="J76" s="19">
        <v>281.61439999999999</v>
      </c>
      <c r="K76" s="20">
        <v>39.438299999999998</v>
      </c>
      <c r="L76" s="20">
        <v>44.5854</v>
      </c>
      <c r="M76" s="20">
        <v>45.122900000000001</v>
      </c>
      <c r="N76" s="20">
        <v>180.55969999999999</v>
      </c>
      <c r="O76" s="20">
        <f t="shared" si="1"/>
        <v>40.7922625</v>
      </c>
      <c r="P76" s="7"/>
      <c r="Q76" s="13"/>
      <c r="R76" s="14"/>
      <c r="S76" s="14"/>
      <c r="T76" s="27"/>
      <c r="U76" s="28">
        <f t="shared" si="3"/>
        <v>1.056254412937023</v>
      </c>
    </row>
    <row r="77" spans="1:21" x14ac:dyDescent="0.25">
      <c r="B77" s="6" t="s">
        <v>63</v>
      </c>
      <c r="C77" s="15">
        <v>1506.51</v>
      </c>
      <c r="D77" s="16">
        <v>41.381999999999998</v>
      </c>
      <c r="E77" s="16">
        <v>45.531999999999996</v>
      </c>
      <c r="F77" s="16">
        <v>46.335000000000001</v>
      </c>
      <c r="G77" s="16">
        <v>50.74</v>
      </c>
      <c r="H77" s="16">
        <f t="shared" si="0"/>
        <v>42.519874999999992</v>
      </c>
      <c r="I77" s="5"/>
      <c r="J77" s="15">
        <v>1534.556</v>
      </c>
      <c r="K77" s="16">
        <v>42.498699999999999</v>
      </c>
      <c r="L77" s="16">
        <v>46.739100000000001</v>
      </c>
      <c r="M77" s="16">
        <v>47.615299999999998</v>
      </c>
      <c r="N77" s="16">
        <v>105.0972</v>
      </c>
      <c r="O77" s="16">
        <f t="shared" si="1"/>
        <v>43.668324999999996</v>
      </c>
      <c r="P77" s="7"/>
      <c r="Q77" s="8">
        <f>bdrate(C77:C80,D77:D80,J77:J80,K77:K80)</f>
        <v>-0.38008290437172731</v>
      </c>
      <c r="R77" s="8">
        <f>bdrate(C77:C80,E77:E80,J77:J80,L77:L80)</f>
        <v>-0.4217974941436845</v>
      </c>
      <c r="S77" s="8">
        <f>bdrate(C77:C80,F77:F80,J77:J80,M77:M80)</f>
        <v>-0.40602531743370851</v>
      </c>
      <c r="T77" s="25">
        <f>bdrate(C77:C80,H77:H80,J77:J80,O77:O80)</f>
        <v>-0.38729644447979228</v>
      </c>
      <c r="U77" s="28">
        <f t="shared" si="3"/>
        <v>1.0712889239258967</v>
      </c>
    </row>
    <row r="78" spans="1:21" x14ac:dyDescent="0.25">
      <c r="B78" s="9"/>
      <c r="C78" s="17">
        <v>997.43</v>
      </c>
      <c r="D78" s="18">
        <v>40.338000000000001</v>
      </c>
      <c r="E78" s="18">
        <v>44.648000000000003</v>
      </c>
      <c r="F78" s="18">
        <v>45.463000000000001</v>
      </c>
      <c r="G78" s="18">
        <v>56.56</v>
      </c>
      <c r="H78" s="18">
        <f t="shared" si="0"/>
        <v>41.517375000000008</v>
      </c>
      <c r="I78" s="5"/>
      <c r="J78" s="17">
        <v>1011.9088</v>
      </c>
      <c r="K78" s="18">
        <v>41.670200000000001</v>
      </c>
      <c r="L78" s="18">
        <v>45.9681</v>
      </c>
      <c r="M78" s="18">
        <v>46.803600000000003</v>
      </c>
      <c r="N78" s="18">
        <v>121.7039</v>
      </c>
      <c r="O78" s="18">
        <f t="shared" si="1"/>
        <v>42.849112500000004</v>
      </c>
      <c r="P78" s="7"/>
      <c r="Q78" s="10"/>
      <c r="R78" s="11"/>
      <c r="S78" s="11"/>
      <c r="T78" s="26"/>
      <c r="U78" s="28">
        <f t="shared" si="3"/>
        <v>1.1517662659123056</v>
      </c>
    </row>
    <row r="79" spans="1:21" x14ac:dyDescent="0.25">
      <c r="B79" s="9"/>
      <c r="C79" s="17">
        <v>592.64</v>
      </c>
      <c r="D79" s="18">
        <v>38.78</v>
      </c>
      <c r="E79" s="18">
        <v>43.375999999999998</v>
      </c>
      <c r="F79" s="18">
        <v>44.317999999999998</v>
      </c>
      <c r="G79" s="18">
        <v>71.349999999999994</v>
      </c>
      <c r="H79" s="18">
        <f t="shared" si="0"/>
        <v>40.046749999999996</v>
      </c>
      <c r="I79" s="5"/>
      <c r="J79" s="17">
        <v>606.48320000000001</v>
      </c>
      <c r="K79" s="18">
        <v>40.3491</v>
      </c>
      <c r="L79" s="18">
        <v>44.813200000000002</v>
      </c>
      <c r="M79" s="18">
        <v>45.621099999999998</v>
      </c>
      <c r="N79" s="18">
        <v>138.85669999999999</v>
      </c>
      <c r="O79" s="18">
        <f t="shared" si="1"/>
        <v>41.566112500000003</v>
      </c>
      <c r="P79" s="7"/>
      <c r="Q79" s="10"/>
      <c r="R79" s="11"/>
      <c r="S79" s="11"/>
      <c r="T79" s="26"/>
      <c r="U79" s="28">
        <f t="shared" si="3"/>
        <v>0.94613454800280306</v>
      </c>
    </row>
    <row r="80" spans="1:21" ht="16.5" thickBot="1" x14ac:dyDescent="0.3">
      <c r="B80" s="12"/>
      <c r="C80" s="19">
        <v>286.72000000000003</v>
      </c>
      <c r="D80" s="20">
        <v>36.561999999999998</v>
      </c>
      <c r="E80" s="20">
        <v>42.082999999999998</v>
      </c>
      <c r="F80" s="20">
        <v>43.018999999999998</v>
      </c>
      <c r="G80" s="20">
        <v>82.71</v>
      </c>
      <c r="H80" s="20">
        <f t="shared" si="0"/>
        <v>38.059249999999999</v>
      </c>
      <c r="I80" s="5"/>
      <c r="J80" s="19">
        <v>296.06400000000002</v>
      </c>
      <c r="K80" s="20">
        <v>37.845100000000002</v>
      </c>
      <c r="L80" s="20">
        <v>42.853700000000003</v>
      </c>
      <c r="M80" s="20">
        <v>43.685299999999998</v>
      </c>
      <c r="N80" s="20">
        <v>167.92609999999999</v>
      </c>
      <c r="O80" s="20">
        <f t="shared" si="1"/>
        <v>39.2012</v>
      </c>
      <c r="P80" s="7"/>
      <c r="Q80" s="13"/>
      <c r="R80" s="14"/>
      <c r="S80" s="14"/>
      <c r="T80" s="27"/>
      <c r="U80" s="28">
        <f t="shared" si="3"/>
        <v>1.030299842824326</v>
      </c>
    </row>
    <row r="81" spans="1:21" x14ac:dyDescent="0.25">
      <c r="A81" s="6" t="s">
        <v>99</v>
      </c>
      <c r="B81" s="6" t="s">
        <v>100</v>
      </c>
      <c r="C81" s="29">
        <v>1209.01</v>
      </c>
      <c r="D81" s="30">
        <v>41.692</v>
      </c>
      <c r="E81" s="30">
        <v>47.286000000000001</v>
      </c>
      <c r="F81" s="30">
        <v>48.220999999999997</v>
      </c>
      <c r="G81" s="16">
        <v>34.630000000000003</v>
      </c>
      <c r="H81" s="16">
        <f t="shared" ref="H81:H124" si="4">(6*D81+E81+F81)/8</f>
        <v>43.207374999999999</v>
      </c>
      <c r="I81" s="5"/>
      <c r="J81" s="15">
        <v>1284.4647</v>
      </c>
      <c r="K81" s="16">
        <v>43.5306</v>
      </c>
      <c r="L81" s="16">
        <v>49.320300000000003</v>
      </c>
      <c r="M81" s="16">
        <v>50.169600000000003</v>
      </c>
      <c r="N81" s="16">
        <v>61.538499999999999</v>
      </c>
      <c r="O81" s="16">
        <f t="shared" ref="O81:O91" si="5">(6*K81+L81+M81)/8</f>
        <v>45.084187500000006</v>
      </c>
      <c r="P81" s="7"/>
      <c r="Q81" s="8">
        <f>bdrate(C81:C84,D81:D84,J81:J84,K81:K84)</f>
        <v>-0.34302015584386469</v>
      </c>
      <c r="R81" s="8">
        <f>bdrate(C81:C84,E81:E84,J81:J84,L81:L84)</f>
        <v>-0.41895917885782186</v>
      </c>
      <c r="S81" s="8">
        <f>bdrate(C81:C84,F81:F84,J81:J84,M81:M84)</f>
        <v>-0.45669638348951935</v>
      </c>
      <c r="T81" s="25">
        <f>bdrate(C81:C84,H81:H84,J81:J84,O81:O84)</f>
        <v>-0.36396298105566838</v>
      </c>
      <c r="U81" s="28">
        <f t="shared" si="3"/>
        <v>0.77702858792954066</v>
      </c>
    </row>
    <row r="82" spans="1:21" x14ac:dyDescent="0.25">
      <c r="A82" s="9" t="s">
        <v>77</v>
      </c>
      <c r="B82" s="9"/>
      <c r="C82" s="31">
        <v>808.92</v>
      </c>
      <c r="D82" s="32">
        <v>39.585999999999999</v>
      </c>
      <c r="E82" s="32">
        <v>45.71</v>
      </c>
      <c r="F82" s="32">
        <v>46.779000000000003</v>
      </c>
      <c r="G82" s="18">
        <v>37.93</v>
      </c>
      <c r="H82" s="18">
        <f t="shared" si="4"/>
        <v>41.250624999999999</v>
      </c>
      <c r="I82" s="5"/>
      <c r="J82" s="17">
        <v>879.48929999999996</v>
      </c>
      <c r="K82" s="18">
        <v>41.948799999999999</v>
      </c>
      <c r="L82" s="18">
        <v>48.056399999999996</v>
      </c>
      <c r="M82" s="18">
        <v>49.049799999999998</v>
      </c>
      <c r="N82" s="18">
        <v>71.890699999999995</v>
      </c>
      <c r="O82" s="18">
        <f t="shared" si="5"/>
        <v>43.599874999999997</v>
      </c>
      <c r="P82" s="7"/>
      <c r="Q82" s="10"/>
      <c r="R82" s="11"/>
      <c r="S82" s="11"/>
      <c r="T82" s="26"/>
      <c r="U82" s="28">
        <f t="shared" si="3"/>
        <v>0.8953519641444766</v>
      </c>
    </row>
    <row r="83" spans="1:21" x14ac:dyDescent="0.25">
      <c r="B83" s="9"/>
      <c r="C83" s="31">
        <v>490.42</v>
      </c>
      <c r="D83" s="32">
        <v>37.491</v>
      </c>
      <c r="E83" s="32">
        <v>43.927999999999997</v>
      </c>
      <c r="F83" s="32">
        <v>45.097999999999999</v>
      </c>
      <c r="G83" s="18">
        <v>43.36</v>
      </c>
      <c r="H83" s="18">
        <f t="shared" si="4"/>
        <v>39.246500000000005</v>
      </c>
      <c r="I83" s="5"/>
      <c r="J83" s="17">
        <v>545.35910000000001</v>
      </c>
      <c r="K83" s="18">
        <v>39.795099999999998</v>
      </c>
      <c r="L83" s="18">
        <v>46.178600000000003</v>
      </c>
      <c r="M83" s="18">
        <v>47.460299999999997</v>
      </c>
      <c r="N83" s="18">
        <v>89.029600000000002</v>
      </c>
      <c r="O83" s="18">
        <f t="shared" si="5"/>
        <v>41.551187500000005</v>
      </c>
      <c r="P83" s="7"/>
      <c r="Q83" s="10"/>
      <c r="R83" s="11"/>
      <c r="S83" s="11"/>
      <c r="T83" s="26"/>
      <c r="U83" s="28">
        <f t="shared" si="3"/>
        <v>1.0532656826568267</v>
      </c>
    </row>
    <row r="84" spans="1:21" ht="16.5" thickBot="1" x14ac:dyDescent="0.3">
      <c r="B84" s="12"/>
      <c r="C84" s="33">
        <v>249.38</v>
      </c>
      <c r="D84" s="34">
        <v>34.552</v>
      </c>
      <c r="E84" s="34">
        <v>41.731000000000002</v>
      </c>
      <c r="F84" s="34">
        <v>42.889000000000003</v>
      </c>
      <c r="G84" s="20">
        <v>51.72</v>
      </c>
      <c r="H84" s="20">
        <f t="shared" si="4"/>
        <v>36.491500000000002</v>
      </c>
      <c r="I84" s="5"/>
      <c r="J84" s="19">
        <v>282.40550000000002</v>
      </c>
      <c r="K84" s="20">
        <v>36.8446</v>
      </c>
      <c r="L84" s="20">
        <v>44.142499999999998</v>
      </c>
      <c r="M84" s="20">
        <v>45.454900000000002</v>
      </c>
      <c r="N84" s="20">
        <v>118.3432</v>
      </c>
      <c r="O84" s="20">
        <f t="shared" si="5"/>
        <v>38.833125000000003</v>
      </c>
      <c r="P84" s="7"/>
      <c r="Q84" s="13"/>
      <c r="R84" s="14"/>
      <c r="S84" s="14"/>
      <c r="T84" s="27"/>
      <c r="U84" s="28">
        <f t="shared" si="3"/>
        <v>1.2881515854601702</v>
      </c>
    </row>
    <row r="85" spans="1:21" x14ac:dyDescent="0.25">
      <c r="B85" s="6" t="s">
        <v>101</v>
      </c>
      <c r="C85" s="15">
        <v>1476</v>
      </c>
      <c r="D85" s="16">
        <v>48.845999999999997</v>
      </c>
      <c r="E85" s="16">
        <v>49.991</v>
      </c>
      <c r="F85" s="16">
        <v>50.442</v>
      </c>
      <c r="G85" s="16">
        <v>58.87</v>
      </c>
      <c r="H85" s="16">
        <f t="shared" si="4"/>
        <v>49.188624999999995</v>
      </c>
      <c r="I85" s="5"/>
      <c r="J85" s="15">
        <v>1450.0807</v>
      </c>
      <c r="K85" s="16">
        <v>51.507899999999999</v>
      </c>
      <c r="L85" s="16">
        <v>52.500399999999999</v>
      </c>
      <c r="M85" s="16">
        <v>52.997700000000002</v>
      </c>
      <c r="N85" s="16">
        <v>98.114000000000004</v>
      </c>
      <c r="O85" s="16">
        <f t="shared" si="5"/>
        <v>51.818187500000001</v>
      </c>
      <c r="P85" s="7"/>
      <c r="Q85" s="8">
        <f>bdrate(C85:C88,D85:D88,J85:J88,K85:K88)</f>
        <v>-0.41369699878746657</v>
      </c>
      <c r="R85" s="8">
        <f>bdrate(C85:C88,E85:E88,J85:J88,L85:L88)</f>
        <v>-0.40447973957260697</v>
      </c>
      <c r="S85" s="8">
        <f>bdrate(C85:C88,F85:F88,J85:J88,M85:M88)</f>
        <v>-0.41055206664232635</v>
      </c>
      <c r="T85" s="25">
        <f>bdrate(C85:C88,H85:H88,J85:J88,O85:O88)</f>
        <v>-0.41234834576592916</v>
      </c>
      <c r="U85" s="28">
        <f t="shared" si="3"/>
        <v>0.66662136911839664</v>
      </c>
    </row>
    <row r="86" spans="1:21" x14ac:dyDescent="0.25">
      <c r="B86" s="9"/>
      <c r="C86" s="17">
        <v>982.36</v>
      </c>
      <c r="D86" s="18">
        <v>46.203000000000003</v>
      </c>
      <c r="E86" s="18">
        <v>47.573</v>
      </c>
      <c r="F86" s="18">
        <v>48.113</v>
      </c>
      <c r="G86" s="18">
        <v>68.03</v>
      </c>
      <c r="H86" s="18">
        <f t="shared" si="4"/>
        <v>46.613</v>
      </c>
      <c r="I86" s="5"/>
      <c r="J86" s="17">
        <v>976.32950000000005</v>
      </c>
      <c r="K86" s="18">
        <v>49.613100000000003</v>
      </c>
      <c r="L86" s="18">
        <v>50.7087</v>
      </c>
      <c r="M86" s="18">
        <v>51.253100000000003</v>
      </c>
      <c r="N86" s="18">
        <v>135.583</v>
      </c>
      <c r="O86" s="18">
        <f t="shared" si="5"/>
        <v>49.955050000000007</v>
      </c>
      <c r="P86" s="7"/>
      <c r="Q86" s="10"/>
      <c r="R86" s="11"/>
      <c r="S86" s="11"/>
      <c r="T86" s="26"/>
      <c r="U86" s="28">
        <f t="shared" si="3"/>
        <v>0.9929883874761134</v>
      </c>
    </row>
    <row r="87" spans="1:21" x14ac:dyDescent="0.25">
      <c r="B87" s="9"/>
      <c r="C87" s="17">
        <v>591.54999999999995</v>
      </c>
      <c r="D87" s="18">
        <v>43.290999999999997</v>
      </c>
      <c r="E87" s="18">
        <v>44.972999999999999</v>
      </c>
      <c r="F87" s="18">
        <v>45.5</v>
      </c>
      <c r="G87" s="18">
        <v>71.760000000000005</v>
      </c>
      <c r="H87" s="18">
        <f t="shared" si="4"/>
        <v>43.777374999999999</v>
      </c>
      <c r="I87" s="5"/>
      <c r="J87" s="17">
        <v>592.02679999999998</v>
      </c>
      <c r="K87" s="18">
        <v>46.379800000000003</v>
      </c>
      <c r="L87" s="18">
        <v>47.723500000000001</v>
      </c>
      <c r="M87" s="18">
        <v>48.2849</v>
      </c>
      <c r="N87" s="18">
        <v>157.20519999999999</v>
      </c>
      <c r="O87" s="18">
        <f t="shared" si="5"/>
        <v>46.785900000000005</v>
      </c>
      <c r="P87" s="7"/>
      <c r="Q87" s="10"/>
      <c r="R87" s="11"/>
      <c r="S87" s="11"/>
      <c r="T87" s="26"/>
      <c r="U87" s="28">
        <f t="shared" si="3"/>
        <v>1.1907079152731324</v>
      </c>
    </row>
    <row r="88" spans="1:21" ht="16.5" thickBot="1" x14ac:dyDescent="0.3">
      <c r="B88" s="12"/>
      <c r="C88" s="19">
        <v>294.92</v>
      </c>
      <c r="D88" s="20">
        <v>39.771999999999998</v>
      </c>
      <c r="E88" s="20">
        <v>41.905000000000001</v>
      </c>
      <c r="F88" s="20">
        <v>42.493000000000002</v>
      </c>
      <c r="G88" s="20">
        <v>70.44</v>
      </c>
      <c r="H88" s="20">
        <f t="shared" si="4"/>
        <v>40.378750000000004</v>
      </c>
      <c r="I88" s="5"/>
      <c r="J88" s="19">
        <v>299.8784</v>
      </c>
      <c r="K88" s="20">
        <v>42.425800000000002</v>
      </c>
      <c r="L88" s="20">
        <v>43.935600000000001</v>
      </c>
      <c r="M88" s="20">
        <v>44.562600000000003</v>
      </c>
      <c r="N88" s="20">
        <v>177.51480000000001</v>
      </c>
      <c r="O88" s="20">
        <f t="shared" si="5"/>
        <v>42.881625</v>
      </c>
      <c r="P88" s="7"/>
      <c r="Q88" s="13"/>
      <c r="R88" s="14"/>
      <c r="S88" s="14"/>
      <c r="T88" s="27"/>
      <c r="U88" s="28">
        <f t="shared" si="3"/>
        <v>1.5200851788756391</v>
      </c>
    </row>
    <row r="89" spans="1:21" x14ac:dyDescent="0.25">
      <c r="B89" s="6" t="s">
        <v>102</v>
      </c>
      <c r="C89" s="15">
        <v>1552.4</v>
      </c>
      <c r="D89" s="16">
        <v>40.667000000000002</v>
      </c>
      <c r="E89" s="16">
        <v>43.362000000000002</v>
      </c>
      <c r="F89" s="16">
        <v>43.866999999999997</v>
      </c>
      <c r="G89" s="16">
        <v>43.71</v>
      </c>
      <c r="H89" s="16">
        <f t="shared" si="4"/>
        <v>41.403875000000006</v>
      </c>
      <c r="I89" s="5"/>
      <c r="J89" s="15">
        <v>1492.1165000000001</v>
      </c>
      <c r="K89" s="16">
        <v>42.7438</v>
      </c>
      <c r="L89" s="16">
        <v>45.086300000000001</v>
      </c>
      <c r="M89" s="16">
        <v>45.512</v>
      </c>
      <c r="N89" s="16">
        <v>67.319900000000004</v>
      </c>
      <c r="O89" s="16">
        <f t="shared" si="5"/>
        <v>43.382637500000001</v>
      </c>
      <c r="P89" s="7"/>
      <c r="Q89" s="8">
        <f>bdrate(C89:C92,D89:D92,J89:J92,K89:K92)</f>
        <v>-0.3634967693686163</v>
      </c>
      <c r="R89" s="8">
        <f>bdrate(C89:C92,E89:E92,J89:J92,L89:L92)</f>
        <v>-0.38108056053649597</v>
      </c>
      <c r="S89" s="8">
        <f>bdrate(C89:C92,F89:F92,J89:J92,M89:M92)</f>
        <v>-0.36913454912058707</v>
      </c>
      <c r="T89" s="25">
        <f>bdrate(C89:C92,H89:H92,J89:J92,O89:O92)</f>
        <v>-0.36571250224564988</v>
      </c>
      <c r="U89" s="28">
        <f t="shared" si="3"/>
        <v>0.5401487073896134</v>
      </c>
    </row>
    <row r="90" spans="1:21" x14ac:dyDescent="0.25">
      <c r="B90" s="9"/>
      <c r="C90" s="17">
        <v>1033.94</v>
      </c>
      <c r="D90" s="18">
        <v>38.677</v>
      </c>
      <c r="E90" s="18">
        <v>41.887999999999998</v>
      </c>
      <c r="F90" s="18">
        <v>42.401000000000003</v>
      </c>
      <c r="G90" s="18">
        <v>48.56</v>
      </c>
      <c r="H90" s="18">
        <f t="shared" si="4"/>
        <v>39.543875</v>
      </c>
      <c r="I90" s="5"/>
      <c r="J90" s="17">
        <v>996.19849999999997</v>
      </c>
      <c r="K90" s="18">
        <v>40.787100000000002</v>
      </c>
      <c r="L90" s="18">
        <v>43.570099999999996</v>
      </c>
      <c r="M90" s="18">
        <v>43.997999999999998</v>
      </c>
      <c r="N90" s="18">
        <v>93.201499999999996</v>
      </c>
      <c r="O90" s="18">
        <f t="shared" si="5"/>
        <v>41.536337499999995</v>
      </c>
      <c r="P90" s="7"/>
      <c r="Q90" s="10"/>
      <c r="R90" s="11"/>
      <c r="S90" s="11"/>
      <c r="T90" s="26"/>
      <c r="U90" s="28">
        <f t="shared" si="3"/>
        <v>0.9193060131795715</v>
      </c>
    </row>
    <row r="91" spans="1:21" x14ac:dyDescent="0.25">
      <c r="B91" s="9"/>
      <c r="C91" s="17">
        <v>623.16</v>
      </c>
      <c r="D91" s="18">
        <v>36.075000000000003</v>
      </c>
      <c r="E91" s="18">
        <v>40.198999999999998</v>
      </c>
      <c r="F91" s="18">
        <v>40.722000000000001</v>
      </c>
      <c r="G91" s="18">
        <v>54.43</v>
      </c>
      <c r="H91" s="18">
        <f t="shared" si="4"/>
        <v>37.171374999999998</v>
      </c>
      <c r="I91" s="5"/>
      <c r="J91" s="17">
        <v>598.95360000000005</v>
      </c>
      <c r="K91" s="18">
        <v>38.256300000000003</v>
      </c>
      <c r="L91" s="18">
        <v>41.760300000000001</v>
      </c>
      <c r="M91" s="18">
        <v>42.1935</v>
      </c>
      <c r="N91" s="18">
        <v>110.1996</v>
      </c>
      <c r="O91" s="18">
        <f t="shared" si="5"/>
        <v>39.186449999999994</v>
      </c>
      <c r="P91" s="7"/>
      <c r="Q91" s="10"/>
      <c r="R91" s="11"/>
      <c r="S91" s="11"/>
      <c r="T91" s="26"/>
      <c r="U91" s="28">
        <f t="shared" si="3"/>
        <v>1.0246114275215874</v>
      </c>
    </row>
    <row r="92" spans="1:21" ht="16.5" thickBot="1" x14ac:dyDescent="0.3">
      <c r="B92" s="12"/>
      <c r="C92" s="19">
        <v>313.12</v>
      </c>
      <c r="D92" s="20">
        <v>32.835000000000001</v>
      </c>
      <c r="E92" s="20">
        <v>37.765000000000001</v>
      </c>
      <c r="F92" s="20">
        <v>38.286999999999999</v>
      </c>
      <c r="G92" s="20">
        <v>63.64</v>
      </c>
      <c r="H92" s="20">
        <f t="shared" si="4"/>
        <v>34.132749999999994</v>
      </c>
      <c r="I92" s="5"/>
      <c r="J92" s="19">
        <v>299.65050000000002</v>
      </c>
      <c r="K92" s="20">
        <v>34.445700000000002</v>
      </c>
      <c r="L92" s="20">
        <v>39.090699999999998</v>
      </c>
      <c r="M92" s="20">
        <v>39.5884</v>
      </c>
      <c r="N92" s="20">
        <v>135.43</v>
      </c>
      <c r="O92" s="20">
        <f t="shared" ref="O92:O124" si="6">(6*K92+L92+M92)/8</f>
        <v>35.669162499999999</v>
      </c>
      <c r="P92" s="7"/>
      <c r="Q92" s="13"/>
      <c r="R92" s="14"/>
      <c r="S92" s="14"/>
      <c r="T92" s="27"/>
      <c r="U92" s="28">
        <f t="shared" ref="U92:U124" si="7">(N92-G92)/G92</f>
        <v>1.1280641106222502</v>
      </c>
    </row>
    <row r="93" spans="1:21" x14ac:dyDescent="0.25">
      <c r="B93" s="6" t="s">
        <v>103</v>
      </c>
      <c r="C93" s="15">
        <v>1376.1</v>
      </c>
      <c r="D93" s="16">
        <v>37.389000000000003</v>
      </c>
      <c r="E93" s="16">
        <v>42.19</v>
      </c>
      <c r="F93" s="16">
        <v>42.204999999999998</v>
      </c>
      <c r="G93" s="16">
        <v>37.090000000000003</v>
      </c>
      <c r="H93" s="16">
        <f t="shared" si="4"/>
        <v>38.591124999999998</v>
      </c>
      <c r="I93" s="5"/>
      <c r="J93" s="29">
        <v>1497.2303999999999</v>
      </c>
      <c r="K93" s="30">
        <v>39.035800000000002</v>
      </c>
      <c r="L93" s="30">
        <v>43.499299999999998</v>
      </c>
      <c r="M93" s="30">
        <v>43.509599999999999</v>
      </c>
      <c r="N93" s="16">
        <v>63.8185</v>
      </c>
      <c r="O93" s="16">
        <f t="shared" si="6"/>
        <v>40.152962500000001</v>
      </c>
      <c r="P93" s="7"/>
      <c r="Q93" s="8">
        <f>bdrate(C93:C96,D93:D96,J93:J96,K93:K96)</f>
        <v>-0.19060496849981556</v>
      </c>
      <c r="R93" s="8">
        <f>bdrate(C93:C96,E93:E96,J93:J96,L93:L96)</f>
        <v>-0.28447421757964053</v>
      </c>
      <c r="S93" s="8">
        <f>bdrate(C93:C96,F93:F96,J93:J96,M93:M96)</f>
        <v>-0.28555394342977225</v>
      </c>
      <c r="T93" s="25">
        <f>bdrate(C93:C96,H93:H96,J93:J96,O93:O96)</f>
        <v>-0.21013546316756959</v>
      </c>
      <c r="U93" s="28">
        <f t="shared" si="7"/>
        <v>0.72063898624966283</v>
      </c>
    </row>
    <row r="94" spans="1:21" x14ac:dyDescent="0.25">
      <c r="B94" s="9"/>
      <c r="C94" s="17">
        <v>912.69</v>
      </c>
      <c r="D94" s="18">
        <v>35.709000000000003</v>
      </c>
      <c r="E94" s="18">
        <v>40.94</v>
      </c>
      <c r="F94" s="18">
        <v>40.929000000000002</v>
      </c>
      <c r="G94" s="18">
        <v>41.66</v>
      </c>
      <c r="H94" s="18">
        <f t="shared" si="4"/>
        <v>37.015375000000006</v>
      </c>
      <c r="I94" s="5"/>
      <c r="J94" s="31">
        <v>1000.9473</v>
      </c>
      <c r="K94" s="32">
        <v>37.204500000000003</v>
      </c>
      <c r="L94" s="32">
        <v>42.235900000000001</v>
      </c>
      <c r="M94" s="32">
        <v>42.220199999999998</v>
      </c>
      <c r="N94" s="18">
        <v>79.519300000000001</v>
      </c>
      <c r="O94" s="18">
        <f t="shared" si="6"/>
        <v>38.460387500000003</v>
      </c>
      <c r="P94" s="7"/>
      <c r="Q94" s="10"/>
      <c r="R94" s="11"/>
      <c r="S94" s="11"/>
      <c r="T94" s="26"/>
      <c r="U94" s="28">
        <f t="shared" si="7"/>
        <v>0.90876860297647644</v>
      </c>
    </row>
    <row r="95" spans="1:21" x14ac:dyDescent="0.25">
      <c r="B95" s="9"/>
      <c r="C95" s="17">
        <v>546.53</v>
      </c>
      <c r="D95" s="18">
        <v>33.695999999999998</v>
      </c>
      <c r="E95" s="18">
        <v>39.444000000000003</v>
      </c>
      <c r="F95" s="18">
        <v>39.439</v>
      </c>
      <c r="G95" s="18">
        <v>47.35</v>
      </c>
      <c r="H95" s="18">
        <f t="shared" si="4"/>
        <v>35.132375000000003</v>
      </c>
      <c r="I95" s="5"/>
      <c r="J95" s="31">
        <v>600.63570000000004</v>
      </c>
      <c r="K95" s="32">
        <v>34.933399999999999</v>
      </c>
      <c r="L95" s="32">
        <v>40.6708</v>
      </c>
      <c r="M95" s="32">
        <v>40.707299999999996</v>
      </c>
      <c r="N95" s="18">
        <v>95.912999999999997</v>
      </c>
      <c r="O95" s="18">
        <f t="shared" si="6"/>
        <v>36.372312499999992</v>
      </c>
      <c r="P95" s="7"/>
      <c r="Q95" s="10"/>
      <c r="R95" s="11"/>
      <c r="S95" s="11"/>
      <c r="T95" s="26"/>
      <c r="U95" s="28">
        <f t="shared" si="7"/>
        <v>1.0256177402323123</v>
      </c>
    </row>
    <row r="96" spans="1:21" ht="16.5" thickBot="1" x14ac:dyDescent="0.3">
      <c r="B96" s="12"/>
      <c r="C96" s="19">
        <v>272.52</v>
      </c>
      <c r="D96" s="20">
        <v>30.957000000000001</v>
      </c>
      <c r="E96" s="20">
        <v>37.386000000000003</v>
      </c>
      <c r="F96" s="20">
        <v>37.381999999999998</v>
      </c>
      <c r="G96" s="20">
        <v>56.15</v>
      </c>
      <c r="H96" s="20">
        <f t="shared" si="4"/>
        <v>32.563749999999999</v>
      </c>
      <c r="I96" s="5"/>
      <c r="J96" s="33">
        <v>301.35430000000002</v>
      </c>
      <c r="K96" s="34">
        <v>31.894300000000001</v>
      </c>
      <c r="L96" s="34">
        <v>38.762900000000002</v>
      </c>
      <c r="M96" s="34">
        <v>38.667299999999997</v>
      </c>
      <c r="N96" s="20">
        <v>123.6688</v>
      </c>
      <c r="O96" s="20">
        <f t="shared" si="6"/>
        <v>33.599499999999999</v>
      </c>
      <c r="P96" s="7"/>
      <c r="Q96" s="13"/>
      <c r="R96" s="14"/>
      <c r="S96" s="14"/>
      <c r="T96" s="27"/>
      <c r="U96" s="28">
        <f t="shared" si="7"/>
        <v>1.2024719501335708</v>
      </c>
    </row>
    <row r="97" spans="2:21" x14ac:dyDescent="0.25">
      <c r="B97" s="6" t="s">
        <v>104</v>
      </c>
      <c r="C97" s="29">
        <v>1533.02</v>
      </c>
      <c r="D97" s="30">
        <v>34.432000000000002</v>
      </c>
      <c r="E97" s="30">
        <v>39.052</v>
      </c>
      <c r="F97" s="30">
        <v>39.604999999999997</v>
      </c>
      <c r="G97" s="16">
        <v>42.3</v>
      </c>
      <c r="H97" s="16">
        <f t="shared" si="4"/>
        <v>35.656125000000003</v>
      </c>
      <c r="I97" s="5"/>
      <c r="J97" s="15">
        <v>1501.104</v>
      </c>
      <c r="K97" s="16">
        <v>36.958599999999997</v>
      </c>
      <c r="L97" s="16">
        <v>41.437600000000003</v>
      </c>
      <c r="M97" s="16">
        <v>41.97</v>
      </c>
      <c r="N97" s="16">
        <v>68.274900000000002</v>
      </c>
      <c r="O97" s="16">
        <f t="shared" si="6"/>
        <v>38.144900000000007</v>
      </c>
      <c r="P97" s="7"/>
      <c r="Q97" s="8">
        <f>bdrate(C97:C100,D97:D100,J97:J100,K97:K100)</f>
        <v>-0.38841345553447404</v>
      </c>
      <c r="R97" s="8">
        <f>bdrate(C97:C100,E97:E100,J97:J100,L97:L100)</f>
        <v>-0.51647014475710984</v>
      </c>
      <c r="S97" s="8">
        <f>bdrate(C97:C100,F97:F100,J97:J100,M97:M100)</f>
        <v>-0.52889283475735638</v>
      </c>
      <c r="T97" s="25">
        <f>bdrate(C97:C100,H97:H100,J97:J100,O97:O100)</f>
        <v>-0.41566843666059572</v>
      </c>
      <c r="U97" s="28">
        <f t="shared" si="7"/>
        <v>0.61406382978723417</v>
      </c>
    </row>
    <row r="98" spans="2:21" x14ac:dyDescent="0.25">
      <c r="B98" s="9"/>
      <c r="C98" s="31">
        <v>1020.5</v>
      </c>
      <c r="D98" s="32">
        <v>32.759</v>
      </c>
      <c r="E98" s="32">
        <v>37.75</v>
      </c>
      <c r="F98" s="32">
        <v>38.344999999999999</v>
      </c>
      <c r="G98" s="18">
        <v>45.32</v>
      </c>
      <c r="H98" s="18">
        <f t="shared" si="4"/>
        <v>34.081125</v>
      </c>
      <c r="I98" s="5"/>
      <c r="J98" s="17">
        <v>1003.5619</v>
      </c>
      <c r="K98" s="18">
        <v>35.055599999999998</v>
      </c>
      <c r="L98" s="18">
        <v>40.040300000000002</v>
      </c>
      <c r="M98" s="18">
        <v>40.634999999999998</v>
      </c>
      <c r="N98" s="18">
        <v>79.575599999999994</v>
      </c>
      <c r="O98" s="18">
        <f t="shared" si="6"/>
        <v>36.376112499999998</v>
      </c>
      <c r="P98" s="7"/>
      <c r="Q98" s="10"/>
      <c r="R98" s="11"/>
      <c r="S98" s="11"/>
      <c r="T98" s="26"/>
      <c r="U98" s="28">
        <f t="shared" si="7"/>
        <v>0.75586054721977036</v>
      </c>
    </row>
    <row r="99" spans="2:21" x14ac:dyDescent="0.25">
      <c r="B99" s="9"/>
      <c r="C99" s="31">
        <v>614.19000000000005</v>
      </c>
      <c r="D99" s="32">
        <v>30.745999999999999</v>
      </c>
      <c r="E99" s="32">
        <v>36.380000000000003</v>
      </c>
      <c r="F99" s="32">
        <v>37.027000000000001</v>
      </c>
      <c r="G99" s="18">
        <v>56.28</v>
      </c>
      <c r="H99" s="18">
        <f t="shared" si="4"/>
        <v>32.235374999999998</v>
      </c>
      <c r="I99" s="5"/>
      <c r="J99" s="17">
        <v>602.41719999999998</v>
      </c>
      <c r="K99" s="18">
        <v>32.7455</v>
      </c>
      <c r="L99" s="18">
        <v>38.423299999999998</v>
      </c>
      <c r="M99" s="18">
        <v>39.064999999999998</v>
      </c>
      <c r="N99" s="18">
        <v>94.4238</v>
      </c>
      <c r="O99" s="18">
        <f t="shared" si="6"/>
        <v>34.245162499999999</v>
      </c>
      <c r="P99" s="7"/>
      <c r="Q99" s="10"/>
      <c r="R99" s="11"/>
      <c r="S99" s="11"/>
      <c r="T99" s="26"/>
      <c r="U99" s="28">
        <f t="shared" si="7"/>
        <v>0.67775053304904043</v>
      </c>
    </row>
    <row r="100" spans="2:21" ht="16.5" thickBot="1" x14ac:dyDescent="0.3">
      <c r="B100" s="12"/>
      <c r="C100" s="33">
        <v>305.81</v>
      </c>
      <c r="D100" s="34">
        <v>28.033000000000001</v>
      </c>
      <c r="E100" s="34">
        <v>34.566000000000003</v>
      </c>
      <c r="F100" s="34">
        <v>35.390999999999998</v>
      </c>
      <c r="G100" s="20">
        <v>65.52</v>
      </c>
      <c r="H100" s="20">
        <f t="shared" si="4"/>
        <v>29.769375</v>
      </c>
      <c r="I100" s="5"/>
      <c r="J100" s="19">
        <v>298.27120000000002</v>
      </c>
      <c r="K100" s="20">
        <v>29.479099999999999</v>
      </c>
      <c r="L100" s="20">
        <v>36.251100000000001</v>
      </c>
      <c r="M100" s="20">
        <v>36.978400000000001</v>
      </c>
      <c r="N100" s="20">
        <v>121.20399999999999</v>
      </c>
      <c r="O100" s="20">
        <f t="shared" si="6"/>
        <v>31.263012499999999</v>
      </c>
      <c r="P100" s="7"/>
      <c r="Q100" s="13"/>
      <c r="R100" s="14"/>
      <c r="S100" s="14"/>
      <c r="T100" s="27"/>
      <c r="U100" s="28">
        <f t="shared" si="7"/>
        <v>0.84987789987789986</v>
      </c>
    </row>
    <row r="101" spans="2:21" x14ac:dyDescent="0.25">
      <c r="B101" s="6" t="s">
        <v>105</v>
      </c>
      <c r="C101" s="15">
        <v>1491.58</v>
      </c>
      <c r="D101" s="16">
        <v>36.084000000000003</v>
      </c>
      <c r="E101" s="16">
        <v>41.704000000000001</v>
      </c>
      <c r="F101" s="16">
        <v>43.116</v>
      </c>
      <c r="G101" s="16">
        <v>32.83</v>
      </c>
      <c r="H101" s="16">
        <f t="shared" si="4"/>
        <v>37.665500000000002</v>
      </c>
      <c r="I101" s="5"/>
      <c r="J101" s="15">
        <v>1506.6112000000001</v>
      </c>
      <c r="K101" s="16">
        <v>37.189100000000003</v>
      </c>
      <c r="L101" s="16">
        <v>43.0501</v>
      </c>
      <c r="M101" s="16">
        <v>44.443899999999999</v>
      </c>
      <c r="N101" s="16">
        <v>65.115899999999996</v>
      </c>
      <c r="O101" s="16">
        <f t="shared" si="6"/>
        <v>38.828575000000001</v>
      </c>
      <c r="P101" s="7"/>
      <c r="Q101" s="8">
        <f>bdrate(C101:C104,D101:D104,J101:J104,K101:K104)</f>
        <v>-0.25970561008310422</v>
      </c>
      <c r="R101" s="8">
        <f>bdrate(C101:C104,E101:E104,J101:J104,L101:L104)</f>
        <v>-0.45594701561803774</v>
      </c>
      <c r="S101" s="8">
        <f>bdrate(C101:C104,F101:F104,J101:J104,M101:M104)</f>
        <v>-0.42495503922044375</v>
      </c>
      <c r="T101" s="25">
        <f>bdrate(C101:C104,H101:H104,J101:J104,O101:O104)</f>
        <v>-0.30116326296959151</v>
      </c>
      <c r="U101" s="28">
        <f t="shared" si="7"/>
        <v>0.98342674383186113</v>
      </c>
    </row>
    <row r="102" spans="2:21" x14ac:dyDescent="0.25">
      <c r="B102" s="9"/>
      <c r="C102" s="17">
        <v>999.28</v>
      </c>
      <c r="D102" s="18">
        <v>34.784999999999997</v>
      </c>
      <c r="E102" s="18">
        <v>40.701999999999998</v>
      </c>
      <c r="F102" s="18">
        <v>41.926000000000002</v>
      </c>
      <c r="G102" s="18">
        <v>37.69</v>
      </c>
      <c r="H102" s="18">
        <f t="shared" si="4"/>
        <v>36.417249999999996</v>
      </c>
      <c r="I102" s="5"/>
      <c r="J102" s="17">
        <v>1006.7127</v>
      </c>
      <c r="K102" s="18">
        <v>35.811</v>
      </c>
      <c r="L102" s="18">
        <v>42.086300000000001</v>
      </c>
      <c r="M102" s="18">
        <v>43.381100000000004</v>
      </c>
      <c r="N102" s="18">
        <v>76.615300000000005</v>
      </c>
      <c r="O102" s="18">
        <f t="shared" si="6"/>
        <v>37.541674999999998</v>
      </c>
      <c r="P102" s="7"/>
      <c r="Q102" s="10"/>
      <c r="R102" s="11"/>
      <c r="S102" s="11"/>
      <c r="T102" s="26"/>
      <c r="U102" s="28">
        <f t="shared" si="7"/>
        <v>1.0327752719554262</v>
      </c>
    </row>
    <row r="103" spans="2:21" x14ac:dyDescent="0.25">
      <c r="B103" s="9"/>
      <c r="C103" s="17">
        <v>601.41999999999996</v>
      </c>
      <c r="D103" s="18">
        <v>33.225999999999999</v>
      </c>
      <c r="E103" s="18">
        <v>39.548999999999999</v>
      </c>
      <c r="F103" s="18">
        <v>40.561999999999998</v>
      </c>
      <c r="G103" s="18">
        <v>42.75</v>
      </c>
      <c r="H103" s="18">
        <f t="shared" si="4"/>
        <v>34.933374999999998</v>
      </c>
      <c r="I103" s="5"/>
      <c r="J103" s="17">
        <v>604.09490000000005</v>
      </c>
      <c r="K103" s="18">
        <v>34.142299999999999</v>
      </c>
      <c r="L103" s="18">
        <v>40.920099999999998</v>
      </c>
      <c r="M103" s="18">
        <v>42.028100000000002</v>
      </c>
      <c r="N103" s="18">
        <v>91.649699999999996</v>
      </c>
      <c r="O103" s="18">
        <f t="shared" si="6"/>
        <v>35.975249999999996</v>
      </c>
      <c r="P103" s="7"/>
      <c r="Q103" s="10"/>
      <c r="R103" s="11"/>
      <c r="S103" s="11"/>
      <c r="T103" s="26"/>
      <c r="U103" s="28">
        <f t="shared" si="7"/>
        <v>1.1438526315789472</v>
      </c>
    </row>
    <row r="104" spans="2:21" ht="16.5" thickBot="1" x14ac:dyDescent="0.3">
      <c r="B104" s="12"/>
      <c r="C104" s="19">
        <v>305.91000000000003</v>
      </c>
      <c r="D104" s="20">
        <v>31.289000000000001</v>
      </c>
      <c r="E104" s="20">
        <v>38.255000000000003</v>
      </c>
      <c r="F104" s="20">
        <v>38.984999999999999</v>
      </c>
      <c r="G104" s="20">
        <v>52.38</v>
      </c>
      <c r="H104" s="20">
        <f t="shared" si="4"/>
        <v>33.121749999999999</v>
      </c>
      <c r="I104" s="5"/>
      <c r="J104" s="19">
        <v>302.91370000000001</v>
      </c>
      <c r="K104" s="20">
        <v>32.097000000000001</v>
      </c>
      <c r="L104" s="20">
        <v>39.484099999999998</v>
      </c>
      <c r="M104" s="20">
        <v>40.381900000000002</v>
      </c>
      <c r="N104" s="20">
        <v>118.0947</v>
      </c>
      <c r="O104" s="20">
        <f t="shared" si="6"/>
        <v>34.055999999999997</v>
      </c>
      <c r="P104" s="7"/>
      <c r="Q104" s="13"/>
      <c r="R104" s="14"/>
      <c r="S104" s="14"/>
      <c r="T104" s="27"/>
      <c r="U104" s="28">
        <f t="shared" si="7"/>
        <v>1.2545761741122563</v>
      </c>
    </row>
    <row r="105" spans="2:21" x14ac:dyDescent="0.25">
      <c r="B105" s="6" t="s">
        <v>106</v>
      </c>
      <c r="C105" s="15">
        <v>1591.17</v>
      </c>
      <c r="D105" s="16">
        <v>45.276000000000003</v>
      </c>
      <c r="E105" s="16">
        <v>50.405000000000001</v>
      </c>
      <c r="F105" s="16">
        <v>51.802</v>
      </c>
      <c r="G105" s="16">
        <v>39.159999999999997</v>
      </c>
      <c r="H105" s="16">
        <f t="shared" si="4"/>
        <v>46.732875000000007</v>
      </c>
      <c r="I105" s="5"/>
      <c r="J105" s="15">
        <v>1500.4631999999999</v>
      </c>
      <c r="K105" s="16">
        <v>47.454500000000003</v>
      </c>
      <c r="L105" s="16">
        <v>52.731000000000002</v>
      </c>
      <c r="M105" s="16">
        <v>54.069299999999998</v>
      </c>
      <c r="N105" s="16">
        <v>80.362700000000004</v>
      </c>
      <c r="O105" s="16">
        <f t="shared" si="6"/>
        <v>48.940912500000003</v>
      </c>
      <c r="P105" s="7"/>
      <c r="Q105" s="8">
        <f>bdrate(C105:C108,D105:D108,J105:J108,K105:K108)</f>
        <v>-0.40069593715452856</v>
      </c>
      <c r="R105" s="8">
        <f>bdrate(C105:C108,E105:E108,J105:J108,L105:L108)</f>
        <v>-0.43386346354159833</v>
      </c>
      <c r="S105" s="8">
        <f>bdrate(C105:C108,F105:F108,J105:J108,M105:M108)</f>
        <v>-0.42138382329289392</v>
      </c>
      <c r="T105" s="25">
        <f>bdrate(C105:C108,H105:H108,J105:J108,O105:O108)</f>
        <v>-0.40715032613391844</v>
      </c>
      <c r="U105" s="28">
        <f t="shared" si="7"/>
        <v>1.0521629213483148</v>
      </c>
    </row>
    <row r="106" spans="2:21" x14ac:dyDescent="0.25">
      <c r="B106" s="9"/>
      <c r="C106" s="17">
        <v>1059.03</v>
      </c>
      <c r="D106" s="18">
        <v>43.518999999999998</v>
      </c>
      <c r="E106" s="18">
        <v>48.866</v>
      </c>
      <c r="F106" s="18">
        <v>50.314</v>
      </c>
      <c r="G106" s="18">
        <v>47.19</v>
      </c>
      <c r="H106" s="18">
        <f t="shared" si="4"/>
        <v>45.036749999999998</v>
      </c>
      <c r="I106" s="5"/>
      <c r="J106" s="17">
        <v>1001.8679</v>
      </c>
      <c r="K106" s="18">
        <v>45.643900000000002</v>
      </c>
      <c r="L106" s="18">
        <v>51.103000000000002</v>
      </c>
      <c r="M106" s="18">
        <v>52.455100000000002</v>
      </c>
      <c r="N106" s="18">
        <v>96.424899999999994</v>
      </c>
      <c r="O106" s="18">
        <f t="shared" si="6"/>
        <v>47.177687500000005</v>
      </c>
      <c r="P106" s="7"/>
      <c r="Q106" s="10"/>
      <c r="R106" s="11"/>
      <c r="S106" s="11"/>
      <c r="T106" s="26"/>
      <c r="U106" s="28">
        <f t="shared" si="7"/>
        <v>1.0433333333333332</v>
      </c>
    </row>
    <row r="107" spans="2:21" x14ac:dyDescent="0.25">
      <c r="B107" s="9"/>
      <c r="C107" s="17">
        <v>637.45000000000005</v>
      </c>
      <c r="D107" s="18">
        <v>41.338999999999999</v>
      </c>
      <c r="E107" s="18">
        <v>47.006999999999998</v>
      </c>
      <c r="F107" s="18">
        <v>48.460999999999999</v>
      </c>
      <c r="G107" s="18">
        <v>59.14</v>
      </c>
      <c r="H107" s="18">
        <f t="shared" si="4"/>
        <v>42.937750000000001</v>
      </c>
      <c r="I107" s="5"/>
      <c r="J107" s="17">
        <v>601.41189999999995</v>
      </c>
      <c r="K107" s="18">
        <v>43.317500000000003</v>
      </c>
      <c r="L107" s="18">
        <v>48.994100000000003</v>
      </c>
      <c r="M107" s="18">
        <v>50.347200000000001</v>
      </c>
      <c r="N107" s="18">
        <v>116.7197</v>
      </c>
      <c r="O107" s="18">
        <f t="shared" si="6"/>
        <v>44.905787500000002</v>
      </c>
      <c r="P107" s="7"/>
      <c r="Q107" s="10"/>
      <c r="R107" s="11"/>
      <c r="S107" s="11"/>
      <c r="T107" s="26"/>
      <c r="U107" s="28">
        <f t="shared" si="7"/>
        <v>0.97361684139330407</v>
      </c>
    </row>
    <row r="108" spans="2:21" ht="16.5" thickBot="1" x14ac:dyDescent="0.3">
      <c r="B108" s="12"/>
      <c r="C108" s="19">
        <v>320.86</v>
      </c>
      <c r="D108" s="20">
        <v>38.466999999999999</v>
      </c>
      <c r="E108" s="20">
        <v>44.551000000000002</v>
      </c>
      <c r="F108" s="20">
        <v>46.085999999999999</v>
      </c>
      <c r="G108" s="20">
        <v>75.28</v>
      </c>
      <c r="H108" s="20">
        <f t="shared" si="4"/>
        <v>40.179875000000003</v>
      </c>
      <c r="I108" s="5"/>
      <c r="J108" s="19">
        <v>301.69240000000002</v>
      </c>
      <c r="K108" s="20">
        <v>40.197000000000003</v>
      </c>
      <c r="L108" s="20">
        <v>46.045000000000002</v>
      </c>
      <c r="M108" s="20">
        <v>47.433</v>
      </c>
      <c r="N108" s="20">
        <v>146.1532</v>
      </c>
      <c r="O108" s="20">
        <f t="shared" si="6"/>
        <v>41.832500000000003</v>
      </c>
      <c r="P108" s="7"/>
      <c r="Q108" s="13"/>
      <c r="R108" s="14"/>
      <c r="S108" s="14"/>
      <c r="T108" s="27"/>
      <c r="U108" s="28">
        <f t="shared" si="7"/>
        <v>0.94146121147715189</v>
      </c>
    </row>
    <row r="109" spans="2:21" x14ac:dyDescent="0.25">
      <c r="B109" s="6" t="s">
        <v>107</v>
      </c>
      <c r="C109" s="15">
        <v>1465.48</v>
      </c>
      <c r="D109" s="16">
        <v>31.027999999999999</v>
      </c>
      <c r="E109" s="16">
        <v>39.042999999999999</v>
      </c>
      <c r="F109" s="16">
        <v>38.432000000000002</v>
      </c>
      <c r="G109" s="16">
        <v>28.75</v>
      </c>
      <c r="H109" s="16">
        <f t="shared" si="4"/>
        <v>32.955375000000004</v>
      </c>
      <c r="I109" s="5"/>
      <c r="J109" s="15">
        <v>1496.6615999999999</v>
      </c>
      <c r="K109" s="16">
        <v>32.0002</v>
      </c>
      <c r="L109" s="16">
        <v>40.169199999999996</v>
      </c>
      <c r="M109" s="16">
        <v>39.538499999999999</v>
      </c>
      <c r="N109" s="16">
        <v>49.457299999999996</v>
      </c>
      <c r="O109" s="16">
        <f t="shared" si="6"/>
        <v>33.963612499999996</v>
      </c>
      <c r="P109" s="7"/>
      <c r="Q109" s="8">
        <f>bdrate(C109:C112,D109:D112,J109:J112,K109:K112)</f>
        <v>-0.13711663030541965</v>
      </c>
      <c r="R109" s="8">
        <f>bdrate(C109:C112,E109:E112,J109:J112,L109:L112)</f>
        <v>-0.38736482352526636</v>
      </c>
      <c r="S109" s="8">
        <f>bdrate(C109:C112,F109:F112,J109:J112,M109:M112)</f>
        <v>-0.37230525376637413</v>
      </c>
      <c r="T109" s="25">
        <f>bdrate(C109:C112,H109:H112,J109:J112,O109:O112)</f>
        <v>-0.19094412700804042</v>
      </c>
      <c r="U109" s="28">
        <f t="shared" si="7"/>
        <v>0.72025391304347819</v>
      </c>
    </row>
    <row r="110" spans="2:21" x14ac:dyDescent="0.25">
      <c r="B110" s="9"/>
      <c r="C110" s="17">
        <v>978</v>
      </c>
      <c r="D110" s="18">
        <v>29.417999999999999</v>
      </c>
      <c r="E110" s="18">
        <v>37.881999999999998</v>
      </c>
      <c r="F110" s="18">
        <v>37.247</v>
      </c>
      <c r="G110" s="18">
        <v>33.99</v>
      </c>
      <c r="H110" s="18">
        <f t="shared" si="4"/>
        <v>31.454625</v>
      </c>
      <c r="I110" s="5"/>
      <c r="J110" s="17">
        <v>996.12189999999998</v>
      </c>
      <c r="K110" s="18">
        <v>30.224599999999999</v>
      </c>
      <c r="L110" s="18">
        <v>39.198900000000002</v>
      </c>
      <c r="M110" s="18">
        <v>38.531999999999996</v>
      </c>
      <c r="N110" s="18">
        <v>57.405299999999997</v>
      </c>
      <c r="O110" s="18">
        <f t="shared" si="6"/>
        <v>32.384812500000002</v>
      </c>
      <c r="P110" s="7"/>
      <c r="Q110" s="10"/>
      <c r="R110" s="11"/>
      <c r="S110" s="11"/>
      <c r="T110" s="26"/>
      <c r="U110" s="28">
        <f t="shared" si="7"/>
        <v>0.68888790820829637</v>
      </c>
    </row>
    <row r="111" spans="2:21" x14ac:dyDescent="0.25">
      <c r="B111" s="9"/>
      <c r="C111" s="17">
        <v>586.13</v>
      </c>
      <c r="D111" s="18">
        <v>27.416</v>
      </c>
      <c r="E111" s="18">
        <v>36.378999999999998</v>
      </c>
      <c r="F111" s="18">
        <v>35.72</v>
      </c>
      <c r="G111" s="18">
        <v>35.880000000000003</v>
      </c>
      <c r="H111" s="18">
        <f t="shared" si="4"/>
        <v>29.574375</v>
      </c>
      <c r="I111" s="5"/>
      <c r="J111" s="17">
        <v>597.71310000000005</v>
      </c>
      <c r="K111" s="18">
        <v>28.037800000000001</v>
      </c>
      <c r="L111" s="18">
        <v>37.933900000000001</v>
      </c>
      <c r="M111" s="18">
        <v>37.192500000000003</v>
      </c>
      <c r="N111" s="18">
        <v>71.667500000000004</v>
      </c>
      <c r="O111" s="18">
        <f t="shared" si="6"/>
        <v>30.419149999999998</v>
      </c>
      <c r="P111" s="7"/>
      <c r="Q111" s="10"/>
      <c r="R111" s="11"/>
      <c r="S111" s="11"/>
      <c r="T111" s="26"/>
      <c r="U111" s="28">
        <f t="shared" si="7"/>
        <v>0.99742196209587508</v>
      </c>
    </row>
    <row r="112" spans="2:21" ht="16.5" thickBot="1" x14ac:dyDescent="0.3">
      <c r="B112" s="12"/>
      <c r="C112" s="19">
        <v>292.58</v>
      </c>
      <c r="D112" s="20">
        <v>24.788</v>
      </c>
      <c r="E112" s="20">
        <v>33.906999999999996</v>
      </c>
      <c r="F112" s="20">
        <v>33.374000000000002</v>
      </c>
      <c r="G112" s="20">
        <v>46.98</v>
      </c>
      <c r="H112" s="20">
        <f t="shared" si="4"/>
        <v>27.001124999999998</v>
      </c>
      <c r="I112" s="5"/>
      <c r="J112" s="19">
        <v>299.06670000000003</v>
      </c>
      <c r="K112" s="20">
        <v>25.2727</v>
      </c>
      <c r="L112" s="20">
        <v>35.665799999999997</v>
      </c>
      <c r="M112" s="20">
        <v>35.048099999999998</v>
      </c>
      <c r="N112" s="20">
        <v>102.1103</v>
      </c>
      <c r="O112" s="20">
        <f t="shared" si="6"/>
        <v>27.7937625</v>
      </c>
      <c r="P112" s="7"/>
      <c r="Q112" s="13"/>
      <c r="R112" s="14"/>
      <c r="S112" s="14"/>
      <c r="T112" s="27"/>
      <c r="U112" s="28">
        <f t="shared" si="7"/>
        <v>1.1734844614729674</v>
      </c>
    </row>
    <row r="113" spans="2:21" x14ac:dyDescent="0.25">
      <c r="B113" s="6" t="s">
        <v>108</v>
      </c>
      <c r="C113" s="15">
        <v>1508.73</v>
      </c>
      <c r="D113" s="16">
        <v>42.213999999999999</v>
      </c>
      <c r="E113" s="16">
        <v>43.609000000000002</v>
      </c>
      <c r="F113" s="16">
        <v>43.478000000000002</v>
      </c>
      <c r="G113" s="16">
        <v>46.92</v>
      </c>
      <c r="H113" s="16">
        <f t="shared" si="4"/>
        <v>42.546374999999998</v>
      </c>
      <c r="I113" s="5"/>
      <c r="J113" s="15">
        <v>1426.7881</v>
      </c>
      <c r="K113" s="16">
        <v>45.045099999999998</v>
      </c>
      <c r="L113" s="16">
        <v>46.120600000000003</v>
      </c>
      <c r="M113" s="16">
        <v>46.0259</v>
      </c>
      <c r="N113" s="16">
        <v>71.713099999999997</v>
      </c>
      <c r="O113" s="16">
        <f t="shared" si="6"/>
        <v>45.302137500000001</v>
      </c>
      <c r="P113" s="7"/>
      <c r="Q113" s="8">
        <f>bdrate(C113:C116,D113:D116,J113:J116,K113:K116)</f>
        <v>-0.42751419461387474</v>
      </c>
      <c r="R113" s="8">
        <f>bdrate(C113:C116,E113:E116,J113:J116,L113:L116)</f>
        <v>-0.44706575691473693</v>
      </c>
      <c r="S113" s="8">
        <f>bdrate(C113:C116,F113:F116,J113:J116,M113:M116)</f>
        <v>-0.44297631561201412</v>
      </c>
      <c r="T113" s="25">
        <f>bdrate(C113:C116,H113:H116,J113:J116,O113:O116)</f>
        <v>-0.43131545687062578</v>
      </c>
      <c r="U113" s="28">
        <f t="shared" si="7"/>
        <v>0.52841219096334169</v>
      </c>
    </row>
    <row r="114" spans="2:21" x14ac:dyDescent="0.25">
      <c r="B114" s="9"/>
      <c r="C114" s="17">
        <v>1003.96</v>
      </c>
      <c r="D114" s="18">
        <v>39.954999999999998</v>
      </c>
      <c r="E114" s="18">
        <v>41.686999999999998</v>
      </c>
      <c r="F114" s="18">
        <v>41.524999999999999</v>
      </c>
      <c r="G114" s="18">
        <v>54.07</v>
      </c>
      <c r="H114" s="18">
        <f t="shared" si="4"/>
        <v>40.367749999999994</v>
      </c>
      <c r="I114" s="5"/>
      <c r="J114" s="17">
        <v>965.39189999999996</v>
      </c>
      <c r="K114" s="18">
        <v>43.239400000000003</v>
      </c>
      <c r="L114" s="18">
        <v>44.613199999999999</v>
      </c>
      <c r="M114" s="18">
        <v>44.491100000000003</v>
      </c>
      <c r="N114" s="18">
        <v>90.004499999999993</v>
      </c>
      <c r="O114" s="18">
        <f t="shared" si="6"/>
        <v>43.567587500000009</v>
      </c>
      <c r="P114" s="7"/>
      <c r="Q114" s="10"/>
      <c r="R114" s="11"/>
      <c r="S114" s="11"/>
      <c r="T114" s="26"/>
      <c r="U114" s="28">
        <f t="shared" si="7"/>
        <v>0.66459219530238567</v>
      </c>
    </row>
    <row r="115" spans="2:21" x14ac:dyDescent="0.25">
      <c r="B115" s="9"/>
      <c r="C115" s="17">
        <v>604.13</v>
      </c>
      <c r="D115" s="18">
        <v>37.219000000000001</v>
      </c>
      <c r="E115" s="18">
        <v>39.433</v>
      </c>
      <c r="F115" s="18">
        <v>39.302</v>
      </c>
      <c r="G115" s="18">
        <v>53.22</v>
      </c>
      <c r="H115" s="18">
        <f t="shared" si="4"/>
        <v>37.756125000000004</v>
      </c>
      <c r="I115" s="5"/>
      <c r="J115" s="17">
        <v>588.9828</v>
      </c>
      <c r="K115" s="18">
        <v>40.255200000000002</v>
      </c>
      <c r="L115" s="18">
        <v>42.058300000000003</v>
      </c>
      <c r="M115" s="18">
        <v>41.893999999999998</v>
      </c>
      <c r="N115" s="18">
        <v>111.05629999999999</v>
      </c>
      <c r="O115" s="18">
        <f t="shared" si="6"/>
        <v>40.685437500000006</v>
      </c>
      <c r="P115" s="7"/>
      <c r="Q115" s="10"/>
      <c r="R115" s="11"/>
      <c r="S115" s="11"/>
      <c r="T115" s="26"/>
      <c r="U115" s="28">
        <f t="shared" si="7"/>
        <v>1.0867399473881998</v>
      </c>
    </row>
    <row r="116" spans="2:21" ht="16.5" thickBot="1" x14ac:dyDescent="0.3">
      <c r="B116" s="12"/>
      <c r="C116" s="19">
        <v>301.82</v>
      </c>
      <c r="D116" s="20">
        <v>33.393999999999998</v>
      </c>
      <c r="E116" s="20">
        <v>36.44</v>
      </c>
      <c r="F116" s="20">
        <v>36.281999999999996</v>
      </c>
      <c r="G116" s="20">
        <v>66.16</v>
      </c>
      <c r="H116" s="20">
        <f t="shared" si="4"/>
        <v>34.135749999999994</v>
      </c>
      <c r="I116" s="5"/>
      <c r="J116" s="19">
        <v>295.0856</v>
      </c>
      <c r="K116" s="20">
        <v>35.911499999999997</v>
      </c>
      <c r="L116" s="20">
        <v>38.628700000000002</v>
      </c>
      <c r="M116" s="20">
        <v>38.411299999999997</v>
      </c>
      <c r="N116" s="20">
        <v>137.0384</v>
      </c>
      <c r="O116" s="20">
        <f t="shared" si="6"/>
        <v>36.563625000000002</v>
      </c>
      <c r="P116" s="7"/>
      <c r="Q116" s="13"/>
      <c r="R116" s="14"/>
      <c r="S116" s="14"/>
      <c r="T116" s="27"/>
      <c r="U116" s="28">
        <f t="shared" si="7"/>
        <v>1.0713180169286578</v>
      </c>
    </row>
    <row r="117" spans="2:21" x14ac:dyDescent="0.25">
      <c r="B117" s="6" t="s">
        <v>109</v>
      </c>
      <c r="C117" s="15">
        <v>1991.04</v>
      </c>
      <c r="D117" s="16">
        <v>42.204999999999998</v>
      </c>
      <c r="E117" s="16">
        <v>44.415999999999997</v>
      </c>
      <c r="F117" s="16">
        <v>44.619</v>
      </c>
      <c r="G117" s="16">
        <v>44.76</v>
      </c>
      <c r="H117" s="16">
        <f t="shared" si="4"/>
        <v>42.783124999999998</v>
      </c>
      <c r="I117" s="5"/>
      <c r="J117" s="15">
        <v>1396.9183</v>
      </c>
      <c r="K117" s="16">
        <v>45.549199999999999</v>
      </c>
      <c r="L117" s="16">
        <v>47.799199999999999</v>
      </c>
      <c r="M117" s="16">
        <v>48.039299999999997</v>
      </c>
      <c r="N117" s="16">
        <v>67.242000000000004</v>
      </c>
      <c r="O117" s="16">
        <f t="shared" si="6"/>
        <v>46.141712499999997</v>
      </c>
      <c r="P117" s="7"/>
      <c r="Q117" s="8">
        <f>bdrate(C117:C120,D117:D120,J117:J120,K117:K120)</f>
        <v>-0.58014481173989041</v>
      </c>
      <c r="R117" s="8">
        <f>bdrate(C117:C120,E117:E120,J117:J120,L117:L120)</f>
        <v>-0.62328145250717326</v>
      </c>
      <c r="S117" s="8">
        <f>bdrate(C117:C120,F117:F120,J117:J120,M117:M120)</f>
        <v>-0.62800458782257329</v>
      </c>
      <c r="T117" s="25">
        <f>bdrate(C117:C120,H117:H120,J117:J120,O117:O120)</f>
        <v>-0.59090372301869465</v>
      </c>
      <c r="U117" s="28">
        <f t="shared" si="7"/>
        <v>0.50227882037533533</v>
      </c>
    </row>
    <row r="118" spans="2:21" x14ac:dyDescent="0.25">
      <c r="B118" s="9"/>
      <c r="C118" s="17">
        <v>1299.76</v>
      </c>
      <c r="D118" s="18">
        <v>40.21</v>
      </c>
      <c r="E118" s="18">
        <v>42.610999999999997</v>
      </c>
      <c r="F118" s="18">
        <v>42.820999999999998</v>
      </c>
      <c r="G118" s="18">
        <v>49.54</v>
      </c>
      <c r="H118" s="18">
        <f t="shared" si="4"/>
        <v>40.836500000000001</v>
      </c>
      <c r="I118" s="5"/>
      <c r="J118" s="17">
        <v>972.96010000000001</v>
      </c>
      <c r="K118" s="18">
        <v>43.9392</v>
      </c>
      <c r="L118" s="18">
        <v>46.417000000000002</v>
      </c>
      <c r="M118" s="18">
        <v>46.653500000000001</v>
      </c>
      <c r="N118" s="18">
        <v>75.465400000000002</v>
      </c>
      <c r="O118" s="18">
        <f t="shared" si="6"/>
        <v>44.588212499999997</v>
      </c>
      <c r="P118" s="7"/>
      <c r="Q118" s="10"/>
      <c r="R118" s="11"/>
      <c r="S118" s="11"/>
      <c r="T118" s="26"/>
      <c r="U118" s="28">
        <f t="shared" si="7"/>
        <v>0.52332256762212359</v>
      </c>
    </row>
    <row r="119" spans="2:21" x14ac:dyDescent="0.25">
      <c r="B119" s="9"/>
      <c r="C119" s="17">
        <v>759.32</v>
      </c>
      <c r="D119" s="18">
        <v>37.908000000000001</v>
      </c>
      <c r="E119" s="18">
        <v>40.588000000000001</v>
      </c>
      <c r="F119" s="18">
        <v>40.843000000000004</v>
      </c>
      <c r="G119" s="18">
        <v>59.17</v>
      </c>
      <c r="H119" s="18">
        <f t="shared" si="4"/>
        <v>38.609875000000002</v>
      </c>
      <c r="I119" s="5"/>
      <c r="J119" s="17">
        <v>630.25549999999998</v>
      </c>
      <c r="K119" s="18">
        <v>41.457999999999998</v>
      </c>
      <c r="L119" s="18">
        <v>44.203699999999998</v>
      </c>
      <c r="M119" s="18">
        <v>44.496099999999998</v>
      </c>
      <c r="N119" s="18">
        <v>87.877799999999993</v>
      </c>
      <c r="O119" s="18">
        <f t="shared" si="6"/>
        <v>42.180974999999997</v>
      </c>
      <c r="P119" s="7"/>
      <c r="Q119" s="10"/>
      <c r="R119" s="11"/>
      <c r="S119" s="11"/>
      <c r="T119" s="26"/>
      <c r="U119" s="28">
        <f t="shared" si="7"/>
        <v>0.48517491972283239</v>
      </c>
    </row>
    <row r="120" spans="2:21" ht="16.5" thickBot="1" x14ac:dyDescent="0.3">
      <c r="B120" s="12"/>
      <c r="C120" s="19">
        <v>365.11</v>
      </c>
      <c r="D120" s="20">
        <v>34.862000000000002</v>
      </c>
      <c r="E120" s="20">
        <v>38.177</v>
      </c>
      <c r="F120" s="20">
        <v>38.475000000000001</v>
      </c>
      <c r="G120" s="20">
        <v>67.75</v>
      </c>
      <c r="H120" s="20">
        <f t="shared" si="4"/>
        <v>35.728000000000002</v>
      </c>
      <c r="I120" s="5"/>
      <c r="J120" s="19">
        <v>343.34030000000001</v>
      </c>
      <c r="K120" s="20">
        <v>37.286000000000001</v>
      </c>
      <c r="L120" s="20">
        <v>40.5351</v>
      </c>
      <c r="M120" s="20">
        <v>40.788600000000002</v>
      </c>
      <c r="N120" s="20">
        <v>135.7466</v>
      </c>
      <c r="O120" s="20">
        <f t="shared" si="6"/>
        <v>38.129962500000005</v>
      </c>
      <c r="P120" s="7"/>
      <c r="Q120" s="13"/>
      <c r="R120" s="14"/>
      <c r="S120" s="14"/>
      <c r="T120" s="27"/>
      <c r="U120" s="28">
        <f t="shared" si="7"/>
        <v>1.0036398523985239</v>
      </c>
    </row>
    <row r="121" spans="2:21" x14ac:dyDescent="0.25">
      <c r="B121" s="6" t="s">
        <v>110</v>
      </c>
      <c r="C121" s="15">
        <v>1534.03</v>
      </c>
      <c r="D121" s="16">
        <v>31.283000000000001</v>
      </c>
      <c r="E121" s="16">
        <v>35.308</v>
      </c>
      <c r="F121" s="16">
        <v>34.235999999999997</v>
      </c>
      <c r="G121" s="16">
        <v>36.299999999999997</v>
      </c>
      <c r="H121" s="16">
        <f t="shared" si="4"/>
        <v>32.155250000000002</v>
      </c>
      <c r="I121" s="5"/>
      <c r="J121" s="29">
        <v>1504.8884</v>
      </c>
      <c r="K121" s="30">
        <v>32.379899999999999</v>
      </c>
      <c r="L121" s="30">
        <v>36.547199999999997</v>
      </c>
      <c r="M121" s="30">
        <v>35.4544</v>
      </c>
      <c r="N121" s="16">
        <v>59.111400000000003</v>
      </c>
      <c r="O121" s="16">
        <f t="shared" si="6"/>
        <v>33.285125000000001</v>
      </c>
      <c r="P121" s="7"/>
      <c r="Q121" s="8">
        <f>bdrate(C121:C124,D121:D124,J121:J124,K121:K124)</f>
        <v>-0.16423469708889227</v>
      </c>
      <c r="R121" s="8">
        <f>bdrate(C121:C124,E121:E124,J121:J124,L121:L124)</f>
        <v>-0.40560075745973678</v>
      </c>
      <c r="S121" s="8">
        <f>bdrate(C121:C124,F121:F124,J121:J124,M121:M124)</f>
        <v>-0.37766961153262646</v>
      </c>
      <c r="T121" s="25">
        <f>bdrate(C121:C124,H121:H124,J121:J124,O121:O124)</f>
        <v>-0.21129977722646942</v>
      </c>
      <c r="U121" s="28">
        <f t="shared" si="7"/>
        <v>0.62841322314049608</v>
      </c>
    </row>
    <row r="122" spans="2:21" x14ac:dyDescent="0.25">
      <c r="B122" s="9"/>
      <c r="C122" s="17">
        <v>1020.31</v>
      </c>
      <c r="D122" s="18">
        <v>29.670999999999999</v>
      </c>
      <c r="E122" s="18">
        <v>34.271000000000001</v>
      </c>
      <c r="F122" s="18">
        <v>33.145000000000003</v>
      </c>
      <c r="G122" s="18">
        <v>39.76</v>
      </c>
      <c r="H122" s="18">
        <f t="shared" si="4"/>
        <v>30.680250000000004</v>
      </c>
      <c r="I122" s="5"/>
      <c r="J122" s="31">
        <v>1003.1686999999999</v>
      </c>
      <c r="K122" s="32">
        <v>30.5029</v>
      </c>
      <c r="L122" s="32">
        <v>35.512099999999997</v>
      </c>
      <c r="M122" s="32">
        <v>34.356699999999996</v>
      </c>
      <c r="N122" s="18">
        <v>65.559399999999997</v>
      </c>
      <c r="O122" s="18">
        <f t="shared" si="6"/>
        <v>31.610775</v>
      </c>
      <c r="P122" s="7"/>
      <c r="Q122" s="10"/>
      <c r="R122" s="11"/>
      <c r="S122" s="11"/>
      <c r="T122" s="26"/>
      <c r="U122" s="28">
        <f t="shared" si="7"/>
        <v>0.64887826961770623</v>
      </c>
    </row>
    <row r="123" spans="2:21" x14ac:dyDescent="0.25">
      <c r="B123" s="9"/>
      <c r="C123" s="17">
        <v>608.66</v>
      </c>
      <c r="D123" s="18">
        <v>27.763999999999999</v>
      </c>
      <c r="E123" s="18">
        <v>33.009</v>
      </c>
      <c r="F123" s="18">
        <v>31.797000000000001</v>
      </c>
      <c r="G123" s="18">
        <v>45.68</v>
      </c>
      <c r="H123" s="18">
        <f t="shared" si="4"/>
        <v>28.923750000000002</v>
      </c>
      <c r="I123" s="5"/>
      <c r="J123" s="31">
        <v>604.08360000000005</v>
      </c>
      <c r="K123" s="32">
        <v>28.3383</v>
      </c>
      <c r="L123" s="32">
        <v>34.282400000000003</v>
      </c>
      <c r="M123" s="32">
        <v>33.036200000000001</v>
      </c>
      <c r="N123" s="18">
        <v>88.010999999999996</v>
      </c>
      <c r="O123" s="18">
        <f t="shared" si="6"/>
        <v>29.66855</v>
      </c>
      <c r="P123" s="7"/>
      <c r="Q123" s="10"/>
      <c r="R123" s="11"/>
      <c r="S123" s="11"/>
      <c r="T123" s="26"/>
      <c r="U123" s="28">
        <f t="shared" si="7"/>
        <v>0.92668563922942193</v>
      </c>
    </row>
    <row r="124" spans="2:21" ht="16.5" thickBot="1" x14ac:dyDescent="0.3">
      <c r="B124" s="12"/>
      <c r="C124" s="19">
        <v>300.41000000000003</v>
      </c>
      <c r="D124" s="20">
        <v>25.385000000000002</v>
      </c>
      <c r="E124" s="20">
        <v>31.166</v>
      </c>
      <c r="F124" s="20">
        <v>29.895</v>
      </c>
      <c r="G124" s="20">
        <v>54.27</v>
      </c>
      <c r="H124" s="20">
        <f t="shared" si="4"/>
        <v>26.671375000000001</v>
      </c>
      <c r="I124" s="5"/>
      <c r="J124" s="33">
        <v>303.32279999999997</v>
      </c>
      <c r="K124" s="34">
        <v>25.824300000000001</v>
      </c>
      <c r="L124" s="34">
        <v>32.542499999999997</v>
      </c>
      <c r="M124" s="34">
        <v>31.165800000000001</v>
      </c>
      <c r="N124" s="20">
        <v>118.4678</v>
      </c>
      <c r="O124" s="20">
        <f t="shared" si="6"/>
        <v>27.3317625</v>
      </c>
      <c r="P124" s="7"/>
      <c r="Q124" s="13"/>
      <c r="R124" s="14"/>
      <c r="S124" s="14"/>
      <c r="T124" s="27"/>
      <c r="U124" s="28">
        <f t="shared" si="7"/>
        <v>1.1829334807444261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-0.30562214874627674</v>
      </c>
      <c r="R125" s="21">
        <f>AVERAGE(R9:R124)</f>
        <v>-0.44905490143834786</v>
      </c>
      <c r="S125" s="21">
        <f>AVERAGE(S9:S124)</f>
        <v>-0.43975806624044234</v>
      </c>
      <c r="T125" s="21">
        <f>AVERAGE(T9:T124)</f>
        <v>-0.33222683785188184</v>
      </c>
      <c r="U125" s="21">
        <f>AVERAGE(U9:U124)</f>
        <v>0.90628235925876643</v>
      </c>
    </row>
    <row r="127" spans="2:21" s="35" customFormat="1" ht="15.75" customHeight="1" x14ac:dyDescent="0.25">
      <c r="B127" s="61" t="s">
        <v>29</v>
      </c>
      <c r="C127" s="63" t="s">
        <v>190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79</v>
      </c>
      <c r="D129" s="70"/>
      <c r="E129" s="70"/>
      <c r="F129" s="70"/>
      <c r="G129" s="70"/>
      <c r="H129" s="70"/>
      <c r="I129" s="5"/>
      <c r="J129" s="69" t="s">
        <v>182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3796.74</v>
      </c>
      <c r="D131" s="16">
        <v>35.981000000000002</v>
      </c>
      <c r="E131" s="16">
        <v>38.018000000000001</v>
      </c>
      <c r="F131" s="16">
        <v>40.314999999999998</v>
      </c>
      <c r="G131" s="16">
        <v>29.22</v>
      </c>
      <c r="H131" s="16">
        <f t="shared" ref="H131:H202" si="8">(6*D131+E131+F131)/8</f>
        <v>36.777375000000006</v>
      </c>
      <c r="I131" s="5"/>
      <c r="J131" s="15">
        <v>4005.9056</v>
      </c>
      <c r="K131" s="16">
        <v>37.8626</v>
      </c>
      <c r="L131" s="16">
        <v>39.444499999999998</v>
      </c>
      <c r="M131" s="16">
        <v>41.921399999999998</v>
      </c>
      <c r="N131" s="16">
        <v>49.570399999999999</v>
      </c>
      <c r="O131" s="16">
        <f t="shared" ref="O131:O202" si="9">(6*K131+L131+M131)/8</f>
        <v>38.567687499999998</v>
      </c>
      <c r="P131" s="7"/>
      <c r="Q131" s="8">
        <f>bdrate(C131:C134,D131:D134,J131:J134,K131:K134)</f>
        <v>-0.30009616409612561</v>
      </c>
      <c r="R131" s="8">
        <f>bdrate(C131:C134,E131:E134,J131:J134,L131:L134)</f>
        <v>-0.50417904153524751</v>
      </c>
      <c r="S131" s="8">
        <f>bdrate(C131:C134,F131:F134,J131:J134,M131:M134)</f>
        <v>-0.48108242205818796</v>
      </c>
      <c r="T131" s="25">
        <f>bdrate(C131:C134,H131:H134,J131:J134,O131:O134)</f>
        <v>-0.32596615469178503</v>
      </c>
      <c r="U131" s="28">
        <f t="shared" ref="U131:U194" si="10">(N131-G131)/G131</f>
        <v>0.69645448323066395</v>
      </c>
    </row>
    <row r="132" spans="1:21" x14ac:dyDescent="0.25">
      <c r="A132" s="9" t="s">
        <v>36</v>
      </c>
      <c r="B132" s="9"/>
      <c r="C132" s="17">
        <v>2829.02</v>
      </c>
      <c r="D132" s="18">
        <v>35.122</v>
      </c>
      <c r="E132" s="18">
        <v>37.582999999999998</v>
      </c>
      <c r="F132" s="18">
        <v>39.884</v>
      </c>
      <c r="G132" s="18">
        <v>32.82</v>
      </c>
      <c r="H132" s="18">
        <f t="shared" si="8"/>
        <v>36.024875000000002</v>
      </c>
      <c r="I132" s="5"/>
      <c r="J132" s="17">
        <v>2921.8607999999999</v>
      </c>
      <c r="K132" s="18">
        <v>36.866900000000001</v>
      </c>
      <c r="L132" s="18">
        <v>38.861899999999999</v>
      </c>
      <c r="M132" s="18">
        <v>41.210599999999999</v>
      </c>
      <c r="N132" s="18">
        <v>54.945099999999996</v>
      </c>
      <c r="O132" s="18">
        <f t="shared" si="9"/>
        <v>37.659237500000003</v>
      </c>
      <c r="P132" s="7"/>
      <c r="Q132" s="10"/>
      <c r="R132" s="11"/>
      <c r="S132" s="11"/>
      <c r="T132" s="26"/>
      <c r="U132" s="28">
        <f t="shared" si="10"/>
        <v>0.67413467397928084</v>
      </c>
    </row>
    <row r="133" spans="1:21" x14ac:dyDescent="0.25">
      <c r="B133" s="9"/>
      <c r="C133" s="17">
        <v>1850.36</v>
      </c>
      <c r="D133" s="18">
        <v>33.85</v>
      </c>
      <c r="E133" s="18">
        <v>37.091000000000001</v>
      </c>
      <c r="F133" s="18">
        <v>39.384</v>
      </c>
      <c r="G133" s="18">
        <v>35.1</v>
      </c>
      <c r="H133" s="18">
        <f t="shared" si="8"/>
        <v>34.946875000000006</v>
      </c>
      <c r="I133" s="5"/>
      <c r="J133" s="17">
        <v>1902.6559999999999</v>
      </c>
      <c r="K133" s="18">
        <v>35.246200000000002</v>
      </c>
      <c r="L133" s="18">
        <v>38.186900000000001</v>
      </c>
      <c r="M133" s="18">
        <v>40.489600000000003</v>
      </c>
      <c r="N133" s="18">
        <v>62.448</v>
      </c>
      <c r="O133" s="18">
        <f t="shared" si="9"/>
        <v>36.269212500000002</v>
      </c>
      <c r="P133" s="7"/>
      <c r="Q133" s="10"/>
      <c r="R133" s="11"/>
      <c r="S133" s="11"/>
      <c r="T133" s="26"/>
      <c r="U133" s="28">
        <f t="shared" si="10"/>
        <v>0.77914529914529906</v>
      </c>
    </row>
    <row r="134" spans="1:21" ht="16.5" thickBot="1" x14ac:dyDescent="0.3">
      <c r="B134" s="12"/>
      <c r="C134" s="19">
        <v>869.54</v>
      </c>
      <c r="D134" s="20">
        <v>31.26</v>
      </c>
      <c r="E134" s="20">
        <v>36.460999999999999</v>
      </c>
      <c r="F134" s="20">
        <v>38.677999999999997</v>
      </c>
      <c r="G134" s="20">
        <v>38.93</v>
      </c>
      <c r="H134" s="20">
        <f t="shared" si="8"/>
        <v>32.837375000000002</v>
      </c>
      <c r="I134" s="5"/>
      <c r="J134" s="19">
        <v>903.43359999999996</v>
      </c>
      <c r="K134" s="20">
        <v>32.271299999999997</v>
      </c>
      <c r="L134" s="20">
        <v>36.887300000000003</v>
      </c>
      <c r="M134" s="20">
        <v>39.083100000000002</v>
      </c>
      <c r="N134" s="20">
        <v>75.150300000000001</v>
      </c>
      <c r="O134" s="20">
        <f t="shared" si="9"/>
        <v>33.699775000000002</v>
      </c>
      <c r="P134" s="7"/>
      <c r="Q134" s="13"/>
      <c r="R134" s="14"/>
      <c r="S134" s="14"/>
      <c r="T134" s="27"/>
      <c r="U134" s="28">
        <f t="shared" si="10"/>
        <v>0.93039558181351145</v>
      </c>
    </row>
    <row r="135" spans="1:21" x14ac:dyDescent="0.25">
      <c r="B135" s="6" t="s">
        <v>47</v>
      </c>
      <c r="C135" s="15">
        <v>4018.41</v>
      </c>
      <c r="D135" s="16">
        <v>28.745999999999999</v>
      </c>
      <c r="E135" s="16">
        <v>38.197000000000003</v>
      </c>
      <c r="F135" s="16">
        <v>39.201000000000001</v>
      </c>
      <c r="G135" s="16">
        <v>22.57</v>
      </c>
      <c r="H135" s="16">
        <f t="shared" si="8"/>
        <v>31.234249999999999</v>
      </c>
      <c r="I135" s="5"/>
      <c r="J135" s="15">
        <v>4057.8112000000001</v>
      </c>
      <c r="K135" s="16">
        <v>29.434899999999999</v>
      </c>
      <c r="L135" s="16">
        <v>39.3324</v>
      </c>
      <c r="M135" s="16">
        <v>40.259700000000002</v>
      </c>
      <c r="N135" s="16">
        <v>38.461500000000001</v>
      </c>
      <c r="O135" s="16">
        <f t="shared" si="9"/>
        <v>32.025187500000001</v>
      </c>
      <c r="P135" s="7"/>
      <c r="Q135" s="8">
        <f>bdrate(C135:C138,D135:D138,J135:J138,K135:K138)</f>
        <v>-0.10735086855375953</v>
      </c>
      <c r="R135" s="8">
        <f>bdrate(C135:C138,E135:E138,J135:J138,L135:L138)</f>
        <v>-0.45861391413843933</v>
      </c>
      <c r="S135" s="8">
        <f>bdrate(C135:C138,F135:F138,J135:J138,M135:M138)</f>
        <v>-0.47359718313225951</v>
      </c>
      <c r="T135" s="25">
        <f>bdrate(C135:C138,H135:H138,J135:J138,O135:O138)</f>
        <v>-0.17003447076251199</v>
      </c>
      <c r="U135" s="28">
        <f t="shared" si="10"/>
        <v>0.70409836065573772</v>
      </c>
    </row>
    <row r="136" spans="1:21" x14ac:dyDescent="0.25">
      <c r="B136" s="9"/>
      <c r="C136" s="17">
        <v>2988.52</v>
      </c>
      <c r="D136" s="18">
        <v>27.524000000000001</v>
      </c>
      <c r="E136" s="18">
        <v>37.619999999999997</v>
      </c>
      <c r="F136" s="18">
        <v>38.722999999999999</v>
      </c>
      <c r="G136" s="18">
        <v>25.24</v>
      </c>
      <c r="H136" s="18">
        <f t="shared" si="8"/>
        <v>30.185875000000003</v>
      </c>
      <c r="I136" s="5"/>
      <c r="J136" s="17">
        <v>3024.7552000000001</v>
      </c>
      <c r="K136" s="18">
        <v>28.085799999999999</v>
      </c>
      <c r="L136" s="18">
        <v>38.857300000000002</v>
      </c>
      <c r="M136" s="18">
        <v>39.827800000000003</v>
      </c>
      <c r="N136" s="18">
        <v>43.516100000000002</v>
      </c>
      <c r="O136" s="18">
        <f t="shared" si="9"/>
        <v>30.899987499999998</v>
      </c>
      <c r="P136" s="7"/>
      <c r="Q136" s="10"/>
      <c r="R136" s="11"/>
      <c r="S136" s="11"/>
      <c r="T136" s="26"/>
      <c r="U136" s="28">
        <f t="shared" si="10"/>
        <v>0.72409270998415232</v>
      </c>
    </row>
    <row r="137" spans="1:21" x14ac:dyDescent="0.25">
      <c r="B137" s="9"/>
      <c r="C137" s="17">
        <v>1981.94</v>
      </c>
      <c r="D137" s="18">
        <v>25.853999999999999</v>
      </c>
      <c r="E137" s="18">
        <v>36.542999999999999</v>
      </c>
      <c r="F137" s="18">
        <v>37.774000000000001</v>
      </c>
      <c r="G137" s="18">
        <v>28.03</v>
      </c>
      <c r="H137" s="18">
        <f t="shared" si="8"/>
        <v>28.680125</v>
      </c>
      <c r="I137" s="5"/>
      <c r="J137" s="17">
        <v>2013.2560000000001</v>
      </c>
      <c r="K137" s="18">
        <v>26.285799999999998</v>
      </c>
      <c r="L137" s="18">
        <v>38.126800000000003</v>
      </c>
      <c r="M137" s="18">
        <v>39.2239</v>
      </c>
      <c r="N137" s="18">
        <v>51.688499999999998</v>
      </c>
      <c r="O137" s="18">
        <f t="shared" si="9"/>
        <v>29.383187499999998</v>
      </c>
      <c r="P137" s="7"/>
      <c r="Q137" s="10"/>
      <c r="R137" s="11"/>
      <c r="S137" s="11"/>
      <c r="T137" s="26"/>
      <c r="U137" s="28">
        <f t="shared" si="10"/>
        <v>0.84404209775240802</v>
      </c>
    </row>
    <row r="138" spans="1:21" ht="16.5" thickBot="1" x14ac:dyDescent="0.3">
      <c r="B138" s="12"/>
      <c r="C138" s="19">
        <v>1014.78</v>
      </c>
      <c r="D138" s="20">
        <v>22.782</v>
      </c>
      <c r="E138" s="20">
        <v>35.311</v>
      </c>
      <c r="F138" s="20">
        <v>36.475999999999999</v>
      </c>
      <c r="G138" s="20">
        <v>33.619999999999997</v>
      </c>
      <c r="H138" s="20">
        <f t="shared" si="8"/>
        <v>26.059875000000002</v>
      </c>
      <c r="I138" s="5"/>
      <c r="J138" s="19">
        <v>1141.2175999999999</v>
      </c>
      <c r="K138" s="20">
        <v>24.154299999999999</v>
      </c>
      <c r="L138" s="20">
        <v>36.563499999999998</v>
      </c>
      <c r="M138" s="20">
        <v>37.840299999999999</v>
      </c>
      <c r="N138" s="20">
        <v>62.448</v>
      </c>
      <c r="O138" s="20">
        <f t="shared" si="9"/>
        <v>27.416199999999996</v>
      </c>
      <c r="P138" s="7"/>
      <c r="Q138" s="13"/>
      <c r="R138" s="14"/>
      <c r="S138" s="14"/>
      <c r="T138" s="27"/>
      <c r="U138" s="28">
        <f t="shared" si="10"/>
        <v>0.85746579417013702</v>
      </c>
    </row>
    <row r="139" spans="1:21" x14ac:dyDescent="0.25">
      <c r="A139" s="6" t="s">
        <v>37</v>
      </c>
      <c r="B139" s="6" t="s">
        <v>48</v>
      </c>
      <c r="C139" s="15">
        <v>2006.45</v>
      </c>
      <c r="D139" s="16">
        <v>38.311</v>
      </c>
      <c r="E139" s="16">
        <v>41.008000000000003</v>
      </c>
      <c r="F139" s="16">
        <v>42.143000000000001</v>
      </c>
      <c r="G139" s="16">
        <v>45.25</v>
      </c>
      <c r="H139" s="16">
        <f t="shared" si="8"/>
        <v>39.127124999999992</v>
      </c>
      <c r="I139" s="5"/>
      <c r="J139" s="15">
        <v>2372.8335999999999</v>
      </c>
      <c r="K139" s="16">
        <v>39.077800000000003</v>
      </c>
      <c r="L139" s="16">
        <v>41.903300000000002</v>
      </c>
      <c r="M139" s="16">
        <v>43.250900000000001</v>
      </c>
      <c r="N139" s="16">
        <v>96.153800000000004</v>
      </c>
      <c r="O139" s="16">
        <f t="shared" si="9"/>
        <v>39.952625000000005</v>
      </c>
      <c r="P139" s="7"/>
      <c r="Q139" s="8">
        <f>bdrate(C139:C142,D139:D142,J139:J142,K139:K142)</f>
        <v>-8.7441242011882969E-2</v>
      </c>
      <c r="R139" s="8">
        <f>bdrate(C139:C142,E139:E142,J139:J142,L139:L142)</f>
        <v>-0.36830656368454151</v>
      </c>
      <c r="S139" s="8">
        <f>bdrate(C139:C142,F139:F142,J139:J142,M139:M142)</f>
        <v>-0.3772617626646898</v>
      </c>
      <c r="T139" s="25">
        <f>bdrate(C139:C142,H139:H142,J139:J142,O139:O142)</f>
        <v>-0.13375571460380176</v>
      </c>
      <c r="U139" s="28">
        <f t="shared" si="10"/>
        <v>1.1249458563535912</v>
      </c>
    </row>
    <row r="140" spans="1:21" x14ac:dyDescent="0.25">
      <c r="A140" s="9" t="s">
        <v>38</v>
      </c>
      <c r="B140" s="9"/>
      <c r="C140" s="17">
        <v>1311.39</v>
      </c>
      <c r="D140" s="18">
        <v>36.954000000000001</v>
      </c>
      <c r="E140" s="18">
        <v>40.158000000000001</v>
      </c>
      <c r="F140" s="18">
        <v>41.325000000000003</v>
      </c>
      <c r="G140" s="18">
        <v>51.28</v>
      </c>
      <c r="H140" s="18">
        <f t="shared" si="8"/>
        <v>37.900874999999999</v>
      </c>
      <c r="I140" s="5"/>
      <c r="J140" s="17">
        <v>1566.864</v>
      </c>
      <c r="K140" s="18">
        <v>37.7988</v>
      </c>
      <c r="L140" s="18">
        <v>41.172699999999999</v>
      </c>
      <c r="M140" s="18">
        <v>42.403700000000001</v>
      </c>
      <c r="N140" s="18">
        <v>108.35209999999999</v>
      </c>
      <c r="O140" s="18">
        <f t="shared" si="9"/>
        <v>38.796150000000004</v>
      </c>
      <c r="P140" s="7"/>
      <c r="Q140" s="10"/>
      <c r="R140" s="11"/>
      <c r="S140" s="11"/>
      <c r="T140" s="26"/>
      <c r="U140" s="28">
        <f t="shared" si="10"/>
        <v>1.1129504680187206</v>
      </c>
    </row>
    <row r="141" spans="1:21" x14ac:dyDescent="0.25">
      <c r="B141" s="9"/>
      <c r="C141" s="17">
        <v>804.87</v>
      </c>
      <c r="D141" s="18">
        <v>35.305999999999997</v>
      </c>
      <c r="E141" s="18">
        <v>39.347999999999999</v>
      </c>
      <c r="F141" s="18">
        <v>40.607999999999997</v>
      </c>
      <c r="G141" s="18">
        <v>56.76</v>
      </c>
      <c r="H141" s="18">
        <f t="shared" si="8"/>
        <v>36.473999999999997</v>
      </c>
      <c r="I141" s="5"/>
      <c r="J141" s="17">
        <v>957.50400000000002</v>
      </c>
      <c r="K141" s="18">
        <v>36.212000000000003</v>
      </c>
      <c r="L141" s="18">
        <v>40.410200000000003</v>
      </c>
      <c r="M141" s="18">
        <v>41.588799999999999</v>
      </c>
      <c r="N141" s="18">
        <v>122.1374</v>
      </c>
      <c r="O141" s="18">
        <f t="shared" si="9"/>
        <v>37.408875000000002</v>
      </c>
      <c r="P141" s="7"/>
      <c r="Q141" s="10"/>
      <c r="R141" s="11"/>
      <c r="S141" s="11"/>
      <c r="T141" s="26"/>
      <c r="U141" s="28">
        <f t="shared" si="10"/>
        <v>1.1518217054263564</v>
      </c>
    </row>
    <row r="142" spans="1:21" ht="16.5" thickBot="1" x14ac:dyDescent="0.3">
      <c r="B142" s="12"/>
      <c r="C142" s="19">
        <v>479.08</v>
      </c>
      <c r="D142" s="20">
        <v>33.421999999999997</v>
      </c>
      <c r="E142" s="20">
        <v>38.536000000000001</v>
      </c>
      <c r="F142" s="20">
        <v>39.944000000000003</v>
      </c>
      <c r="G142" s="20">
        <v>62.79</v>
      </c>
      <c r="H142" s="20">
        <f t="shared" si="8"/>
        <v>34.8765</v>
      </c>
      <c r="I142" s="5"/>
      <c r="J142" s="19">
        <v>558.56240000000003</v>
      </c>
      <c r="K142" s="20">
        <v>34.381999999999998</v>
      </c>
      <c r="L142" s="20">
        <v>39.661499999999997</v>
      </c>
      <c r="M142" s="20">
        <v>40.848500000000001</v>
      </c>
      <c r="N142" s="20">
        <v>139.86009999999999</v>
      </c>
      <c r="O142" s="20">
        <f t="shared" si="9"/>
        <v>35.850249999999996</v>
      </c>
      <c r="P142" s="7"/>
      <c r="Q142" s="13"/>
      <c r="R142" s="14"/>
      <c r="S142" s="14"/>
      <c r="T142" s="27"/>
      <c r="U142" s="28">
        <f t="shared" si="10"/>
        <v>1.2274263417741678</v>
      </c>
    </row>
    <row r="143" spans="1:21" x14ac:dyDescent="0.25">
      <c r="B143" s="6" t="s">
        <v>49</v>
      </c>
      <c r="C143" s="15">
        <v>2282.4699999999998</v>
      </c>
      <c r="D143" s="16">
        <v>34.588000000000001</v>
      </c>
      <c r="E143" s="16">
        <v>38.436</v>
      </c>
      <c r="F143" s="16">
        <v>39.613999999999997</v>
      </c>
      <c r="G143" s="16">
        <v>53.24</v>
      </c>
      <c r="H143" s="16">
        <f t="shared" si="8"/>
        <v>35.697250000000004</v>
      </c>
      <c r="I143" s="5"/>
      <c r="J143" s="15">
        <v>2440.8175999999999</v>
      </c>
      <c r="K143" s="16">
        <v>35.988500000000002</v>
      </c>
      <c r="L143" s="16">
        <v>39.927900000000001</v>
      </c>
      <c r="M143" s="16">
        <v>41.1569</v>
      </c>
      <c r="N143" s="16">
        <v>88.2029</v>
      </c>
      <c r="O143" s="16">
        <f t="shared" si="9"/>
        <v>37.126975000000002</v>
      </c>
      <c r="P143" s="7"/>
      <c r="Q143" s="8">
        <f>bdrate(C143:C146,D143:D146,J143:J146,K143:K146)</f>
        <v>-0.26520687789600306</v>
      </c>
      <c r="R143" s="8">
        <f>bdrate(C143:C146,E143:E146,J143:J146,L143:L146)</f>
        <v>-0.50270063635983719</v>
      </c>
      <c r="S143" s="8">
        <f>bdrate(C143:C146,F143:F146,J143:J146,M143:M146)</f>
        <v>-0.51365041698393687</v>
      </c>
      <c r="T143" s="25">
        <f>bdrate(C143:C146,H143:H146,J143:J146,O143:O146)</f>
        <v>-0.30737073241510082</v>
      </c>
      <c r="U143" s="28">
        <f t="shared" si="10"/>
        <v>0.6567036063110443</v>
      </c>
    </row>
    <row r="144" spans="1:21" x14ac:dyDescent="0.25">
      <c r="B144" s="9"/>
      <c r="C144" s="17">
        <v>1516.63</v>
      </c>
      <c r="D144" s="18">
        <v>33.436</v>
      </c>
      <c r="E144" s="18">
        <v>37.643999999999998</v>
      </c>
      <c r="F144" s="18">
        <v>39.033999999999999</v>
      </c>
      <c r="G144" s="18">
        <v>59.39</v>
      </c>
      <c r="H144" s="18">
        <f t="shared" si="8"/>
        <v>34.661749999999998</v>
      </c>
      <c r="I144" s="5"/>
      <c r="J144" s="17">
        <v>1626.3592000000001</v>
      </c>
      <c r="K144" s="18">
        <v>34.7149</v>
      </c>
      <c r="L144" s="18">
        <v>39.148299999999999</v>
      </c>
      <c r="M144" s="18">
        <v>40.3566</v>
      </c>
      <c r="N144" s="18">
        <v>102.5641</v>
      </c>
      <c r="O144" s="18">
        <f t="shared" si="9"/>
        <v>35.974287500000003</v>
      </c>
      <c r="P144" s="7"/>
      <c r="Q144" s="10"/>
      <c r="R144" s="11"/>
      <c r="S144" s="11"/>
      <c r="T144" s="26"/>
      <c r="U144" s="28">
        <f t="shared" si="10"/>
        <v>0.72695908402087883</v>
      </c>
    </row>
    <row r="145" spans="1:21" x14ac:dyDescent="0.25">
      <c r="B145" s="9"/>
      <c r="C145" s="17">
        <v>943.75</v>
      </c>
      <c r="D145" s="18">
        <v>32.095999999999997</v>
      </c>
      <c r="E145" s="18">
        <v>36.869999999999997</v>
      </c>
      <c r="F145" s="18">
        <v>38.517000000000003</v>
      </c>
      <c r="G145" s="18">
        <v>63.58</v>
      </c>
      <c r="H145" s="18">
        <f t="shared" si="8"/>
        <v>33.495374999999996</v>
      </c>
      <c r="I145" s="5"/>
      <c r="J145" s="17">
        <v>1031.1776</v>
      </c>
      <c r="K145" s="18">
        <v>33.208799999999997</v>
      </c>
      <c r="L145" s="18">
        <v>38.211199999999998</v>
      </c>
      <c r="M145" s="18">
        <v>39.508000000000003</v>
      </c>
      <c r="N145" s="18">
        <v>119.2843</v>
      </c>
      <c r="O145" s="18">
        <f t="shared" si="9"/>
        <v>34.621499999999997</v>
      </c>
      <c r="P145" s="7"/>
      <c r="Q145" s="10"/>
      <c r="R145" s="11"/>
      <c r="S145" s="11"/>
      <c r="T145" s="26"/>
      <c r="U145" s="28">
        <f t="shared" si="10"/>
        <v>0.87612928593897454</v>
      </c>
    </row>
    <row r="146" spans="1:21" ht="16.5" thickBot="1" x14ac:dyDescent="0.3">
      <c r="B146" s="12"/>
      <c r="C146" s="19">
        <v>559.39</v>
      </c>
      <c r="D146" s="20">
        <v>30.602</v>
      </c>
      <c r="E146" s="20">
        <v>36.125</v>
      </c>
      <c r="F146" s="20">
        <v>38.021999999999998</v>
      </c>
      <c r="G146" s="20">
        <v>69.010000000000005</v>
      </c>
      <c r="H146" s="20">
        <f t="shared" si="8"/>
        <v>32.219875000000002</v>
      </c>
      <c r="I146" s="5"/>
      <c r="J146" s="19">
        <v>593.72640000000001</v>
      </c>
      <c r="K146" s="20">
        <v>31.537700000000001</v>
      </c>
      <c r="L146" s="20">
        <v>37.267699999999998</v>
      </c>
      <c r="M146" s="20">
        <v>38.761699999999998</v>
      </c>
      <c r="N146" s="20">
        <v>136.13159999999999</v>
      </c>
      <c r="O146" s="20">
        <f t="shared" si="9"/>
        <v>33.156950000000002</v>
      </c>
      <c r="P146" s="7"/>
      <c r="Q146" s="13"/>
      <c r="R146" s="14"/>
      <c r="S146" s="14"/>
      <c r="T146" s="27"/>
      <c r="U146" s="28">
        <f t="shared" si="10"/>
        <v>0.97263584987682916</v>
      </c>
    </row>
    <row r="147" spans="1:21" x14ac:dyDescent="0.25">
      <c r="B147" s="6" t="s">
        <v>50</v>
      </c>
      <c r="C147" s="15">
        <v>2374.02</v>
      </c>
      <c r="D147" s="16">
        <v>32.795000000000002</v>
      </c>
      <c r="E147" s="16">
        <v>37.246000000000002</v>
      </c>
      <c r="F147" s="16">
        <v>38.512</v>
      </c>
      <c r="G147" s="16">
        <v>57.86</v>
      </c>
      <c r="H147" s="16">
        <f t="shared" si="8"/>
        <v>34.066000000000003</v>
      </c>
      <c r="I147" s="5"/>
      <c r="J147" s="15">
        <v>2410.6959999999999</v>
      </c>
      <c r="K147" s="16">
        <v>34.031300000000002</v>
      </c>
      <c r="L147" s="16">
        <v>38.087699999999998</v>
      </c>
      <c r="M147" s="16">
        <v>40.077800000000003</v>
      </c>
      <c r="N147" s="16">
        <v>115.714</v>
      </c>
      <c r="O147" s="16">
        <f t="shared" si="9"/>
        <v>35.294162500000006</v>
      </c>
      <c r="P147" s="7"/>
      <c r="Q147" s="8">
        <f>bdrate(C147:C150,D147:D150,J147:J150,K147:K150)</f>
        <v>-0.24723157781170313</v>
      </c>
      <c r="R147" s="8">
        <f>bdrate(C147:C150,E147:E150,J147:J150,L147:L150)</f>
        <v>-0.47128875586679408</v>
      </c>
      <c r="S147" s="8">
        <f>bdrate(C147:C150,F147:F150,J147:J150,M147:M150)</f>
        <v>-0.47708887893054153</v>
      </c>
      <c r="T147" s="25">
        <f>bdrate(C147:C150,H147:H150,J147:J150,O147:O150)</f>
        <v>-0.28602255652962727</v>
      </c>
      <c r="U147" s="28">
        <f t="shared" si="10"/>
        <v>0.99989630141721397</v>
      </c>
    </row>
    <row r="148" spans="1:21" x14ac:dyDescent="0.25">
      <c r="B148" s="9"/>
      <c r="C148" s="17">
        <v>1581.23</v>
      </c>
      <c r="D148" s="18">
        <v>31.72</v>
      </c>
      <c r="E148" s="18">
        <v>36.807000000000002</v>
      </c>
      <c r="F148" s="18">
        <v>37.814</v>
      </c>
      <c r="G148" s="18">
        <v>65.150000000000006</v>
      </c>
      <c r="H148" s="18">
        <f t="shared" si="8"/>
        <v>33.117625000000004</v>
      </c>
      <c r="I148" s="5"/>
      <c r="J148" s="17">
        <v>1605.22</v>
      </c>
      <c r="K148" s="18">
        <v>32.817999999999998</v>
      </c>
      <c r="L148" s="18">
        <v>37.639800000000001</v>
      </c>
      <c r="M148" s="18">
        <v>39.26</v>
      </c>
      <c r="N148" s="18">
        <v>135.20820000000001</v>
      </c>
      <c r="O148" s="18">
        <f t="shared" si="9"/>
        <v>34.225974999999998</v>
      </c>
      <c r="P148" s="7"/>
      <c r="Q148" s="10"/>
      <c r="R148" s="11"/>
      <c r="S148" s="11"/>
      <c r="T148" s="26"/>
      <c r="U148" s="28">
        <f t="shared" si="10"/>
        <v>1.0753369148119722</v>
      </c>
    </row>
    <row r="149" spans="1:21" x14ac:dyDescent="0.25">
      <c r="B149" s="9"/>
      <c r="C149" s="17">
        <v>975.79</v>
      </c>
      <c r="D149" s="18">
        <v>30.309000000000001</v>
      </c>
      <c r="E149" s="18">
        <v>36.234000000000002</v>
      </c>
      <c r="F149" s="18">
        <v>36.908000000000001</v>
      </c>
      <c r="G149" s="18">
        <v>67.05</v>
      </c>
      <c r="H149" s="18">
        <f t="shared" si="8"/>
        <v>31.874500000000005</v>
      </c>
      <c r="I149" s="5"/>
      <c r="J149" s="17">
        <v>1001.4328</v>
      </c>
      <c r="K149" s="18">
        <v>31.208500000000001</v>
      </c>
      <c r="L149" s="18">
        <v>37.040399999999998</v>
      </c>
      <c r="M149" s="18">
        <v>38.221499999999999</v>
      </c>
      <c r="N149" s="18">
        <v>152.62520000000001</v>
      </c>
      <c r="O149" s="18">
        <f t="shared" si="9"/>
        <v>32.8141125</v>
      </c>
      <c r="P149" s="7"/>
      <c r="Q149" s="10"/>
      <c r="R149" s="11"/>
      <c r="S149" s="11"/>
      <c r="T149" s="26"/>
      <c r="U149" s="28">
        <f t="shared" si="10"/>
        <v>1.2762893363161822</v>
      </c>
    </row>
    <row r="150" spans="1:21" ht="16.5" thickBot="1" x14ac:dyDescent="0.3">
      <c r="B150" s="12"/>
      <c r="C150" s="19">
        <v>570.09</v>
      </c>
      <c r="D150" s="20">
        <v>28.535</v>
      </c>
      <c r="E150" s="20">
        <v>35.271999999999998</v>
      </c>
      <c r="F150" s="20">
        <v>35.456000000000003</v>
      </c>
      <c r="G150" s="20">
        <v>72.52</v>
      </c>
      <c r="H150" s="20">
        <f t="shared" si="8"/>
        <v>30.242249999999999</v>
      </c>
      <c r="I150" s="5"/>
      <c r="J150" s="19">
        <v>597.66959999999995</v>
      </c>
      <c r="K150" s="20">
        <v>29.4344</v>
      </c>
      <c r="L150" s="20">
        <v>36.360799999999998</v>
      </c>
      <c r="M150" s="20">
        <v>37.111800000000002</v>
      </c>
      <c r="N150" s="20">
        <v>168.691</v>
      </c>
      <c r="O150" s="20">
        <f t="shared" si="9"/>
        <v>31.259875000000001</v>
      </c>
      <c r="P150" s="7"/>
      <c r="Q150" s="13"/>
      <c r="R150" s="14"/>
      <c r="S150" s="14"/>
      <c r="T150" s="27"/>
      <c r="U150" s="28">
        <f t="shared" si="10"/>
        <v>1.3261307225592942</v>
      </c>
    </row>
    <row r="151" spans="1:21" x14ac:dyDescent="0.25">
      <c r="B151" s="6" t="s">
        <v>51</v>
      </c>
      <c r="C151" s="29">
        <v>2397.6</v>
      </c>
      <c r="D151" s="30">
        <v>33.392000000000003</v>
      </c>
      <c r="E151" s="30">
        <v>39.447000000000003</v>
      </c>
      <c r="F151" s="30">
        <v>38.893999999999998</v>
      </c>
      <c r="G151" s="16">
        <v>53.95</v>
      </c>
      <c r="H151" s="16">
        <f t="shared" si="8"/>
        <v>34.836625000000005</v>
      </c>
      <c r="I151" s="5"/>
      <c r="J151" s="29">
        <v>2417.0095999999999</v>
      </c>
      <c r="K151" s="30">
        <v>33.9968</v>
      </c>
      <c r="L151" s="30">
        <v>40.270600000000002</v>
      </c>
      <c r="M151" s="30">
        <v>39.850499999999997</v>
      </c>
      <c r="N151" s="16">
        <v>103.73439999999999</v>
      </c>
      <c r="O151" s="16">
        <f t="shared" si="9"/>
        <v>35.5127375</v>
      </c>
      <c r="P151" s="7"/>
      <c r="Q151" s="8">
        <f>bdrate(C151:C154,D151:D154,J151:J154,K151:K154)</f>
        <v>-0.13826356838025677</v>
      </c>
      <c r="R151" s="8">
        <f>bdrate(C151:C154,E151:E154,J151:J154,L151:L154)</f>
        <v>-0.29793673452364255</v>
      </c>
      <c r="S151" s="8">
        <f>bdrate(C151:C154,F151:F154,J151:J154,M151:M154)</f>
        <v>-0.31039844451503396</v>
      </c>
      <c r="T151" s="25">
        <f>bdrate(C151:C154,H151:H154,J151:J154,O151:O154)</f>
        <v>-0.17383110257548462</v>
      </c>
      <c r="U151" s="28">
        <f t="shared" si="10"/>
        <v>0.92278776645041682</v>
      </c>
    </row>
    <row r="152" spans="1:21" x14ac:dyDescent="0.25">
      <c r="B152" s="9"/>
      <c r="C152" s="31">
        <v>1586.47</v>
      </c>
      <c r="D152" s="32">
        <v>31.988</v>
      </c>
      <c r="E152" s="32">
        <v>38.610999999999997</v>
      </c>
      <c r="F152" s="32">
        <v>37.786999999999999</v>
      </c>
      <c r="G152" s="18">
        <v>60.92</v>
      </c>
      <c r="H152" s="18">
        <f t="shared" si="8"/>
        <v>33.540749999999996</v>
      </c>
      <c r="I152" s="5"/>
      <c r="J152" s="31">
        <v>1610.6872000000001</v>
      </c>
      <c r="K152" s="32">
        <v>32.601799999999997</v>
      </c>
      <c r="L152" s="32">
        <v>39.476799999999997</v>
      </c>
      <c r="M152" s="32">
        <v>38.889800000000001</v>
      </c>
      <c r="N152" s="18">
        <v>121.3887</v>
      </c>
      <c r="O152" s="18">
        <f t="shared" si="9"/>
        <v>34.247174999999999</v>
      </c>
      <c r="P152" s="7"/>
      <c r="Q152" s="10"/>
      <c r="R152" s="11"/>
      <c r="S152" s="11"/>
      <c r="T152" s="26"/>
      <c r="U152" s="28">
        <f t="shared" si="10"/>
        <v>0.99259192383453709</v>
      </c>
    </row>
    <row r="153" spans="1:21" x14ac:dyDescent="0.25">
      <c r="B153" s="9"/>
      <c r="C153" s="31">
        <v>989.57</v>
      </c>
      <c r="D153" s="32">
        <v>30.251000000000001</v>
      </c>
      <c r="E153" s="32">
        <v>37.542000000000002</v>
      </c>
      <c r="F153" s="32">
        <v>36.441000000000003</v>
      </c>
      <c r="G153" s="18">
        <v>64.48</v>
      </c>
      <c r="H153" s="18">
        <f t="shared" si="8"/>
        <v>31.936125000000001</v>
      </c>
      <c r="I153" s="5"/>
      <c r="J153" s="31">
        <v>1000.8128</v>
      </c>
      <c r="K153" s="32">
        <v>30.808800000000002</v>
      </c>
      <c r="L153" s="32">
        <v>38.472099999999998</v>
      </c>
      <c r="M153" s="32">
        <v>37.607500000000002</v>
      </c>
      <c r="N153" s="18">
        <v>138.0453</v>
      </c>
      <c r="O153" s="18">
        <f t="shared" si="9"/>
        <v>32.616550000000004</v>
      </c>
      <c r="P153" s="7"/>
      <c r="Q153" s="10"/>
      <c r="R153" s="11"/>
      <c r="S153" s="11"/>
      <c r="T153" s="26"/>
      <c r="U153" s="28">
        <f t="shared" si="10"/>
        <v>1.1409010545905705</v>
      </c>
    </row>
    <row r="154" spans="1:21" ht="16.5" thickBot="1" x14ac:dyDescent="0.3">
      <c r="B154" s="12"/>
      <c r="C154" s="33">
        <v>585.49</v>
      </c>
      <c r="D154" s="34">
        <v>28.207999999999998</v>
      </c>
      <c r="E154" s="34">
        <v>35.715000000000003</v>
      </c>
      <c r="F154" s="34">
        <v>34.274999999999999</v>
      </c>
      <c r="G154" s="20">
        <v>69.22</v>
      </c>
      <c r="H154" s="20">
        <f t="shared" si="8"/>
        <v>29.90475</v>
      </c>
      <c r="I154" s="5"/>
      <c r="J154" s="33">
        <v>599.38800000000003</v>
      </c>
      <c r="K154" s="34">
        <v>28.915500000000002</v>
      </c>
      <c r="L154" s="34">
        <v>36.801099999999998</v>
      </c>
      <c r="M154" s="34">
        <v>35.783299999999997</v>
      </c>
      <c r="N154" s="20">
        <v>153.3742</v>
      </c>
      <c r="O154" s="20">
        <f t="shared" si="9"/>
        <v>30.759674999999998</v>
      </c>
      <c r="P154" s="7"/>
      <c r="Q154" s="13"/>
      <c r="R154" s="14"/>
      <c r="S154" s="14"/>
      <c r="T154" s="27"/>
      <c r="U154" s="28">
        <f t="shared" si="10"/>
        <v>1.2157497832996245</v>
      </c>
    </row>
    <row r="155" spans="1:21" x14ac:dyDescent="0.25">
      <c r="B155" s="6" t="s">
        <v>52</v>
      </c>
      <c r="C155" s="15">
        <v>2387.5300000000002</v>
      </c>
      <c r="D155" s="16">
        <v>31.777000000000001</v>
      </c>
      <c r="E155" s="16">
        <v>38.433</v>
      </c>
      <c r="F155" s="16">
        <v>41.101999999999997</v>
      </c>
      <c r="G155" s="16">
        <v>66.2</v>
      </c>
      <c r="H155" s="16">
        <f t="shared" si="8"/>
        <v>33.774625</v>
      </c>
      <c r="I155" s="5"/>
      <c r="J155" s="15">
        <v>2413.2152000000001</v>
      </c>
      <c r="K155" s="16">
        <v>33.5685</v>
      </c>
      <c r="L155" s="16">
        <v>39.741900000000001</v>
      </c>
      <c r="M155" s="16">
        <v>42.183700000000002</v>
      </c>
      <c r="N155" s="16">
        <v>123.2539</v>
      </c>
      <c r="O155" s="16">
        <f t="shared" si="9"/>
        <v>35.417074999999997</v>
      </c>
      <c r="P155" s="7"/>
      <c r="Q155" s="8">
        <f>bdrate(C155:C158,D155:D158,J155:J158,K155:K158)</f>
        <v>-0.53951337733216653</v>
      </c>
      <c r="R155" s="8">
        <f>bdrate(C155:C158,E155:E158,J155:J158,L155:L158)</f>
        <v>-0.62155590356905821</v>
      </c>
      <c r="S155" s="8">
        <f>bdrate(C155:C158,F155:F158,J155:J158,M155:M158)</f>
        <v>-0.54433223741726833</v>
      </c>
      <c r="T155" s="25">
        <f>bdrate(C155:C158,H155:H158,J155:J158,O155:O158)</f>
        <v>-0.54448752569204473</v>
      </c>
      <c r="U155" s="28">
        <f t="shared" si="10"/>
        <v>0.86184138972809665</v>
      </c>
    </row>
    <row r="156" spans="1:21" x14ac:dyDescent="0.25">
      <c r="B156" s="9"/>
      <c r="C156" s="17">
        <v>1561.94</v>
      </c>
      <c r="D156" s="18">
        <v>30.827999999999999</v>
      </c>
      <c r="E156" s="18">
        <v>38.042999999999999</v>
      </c>
      <c r="F156" s="18">
        <v>40.774000000000001</v>
      </c>
      <c r="G156" s="18">
        <v>72.3</v>
      </c>
      <c r="H156" s="18">
        <f t="shared" si="8"/>
        <v>32.973124999999996</v>
      </c>
      <c r="I156" s="5"/>
      <c r="J156" s="17">
        <v>1604.7752</v>
      </c>
      <c r="K156" s="18">
        <v>32.856200000000001</v>
      </c>
      <c r="L156" s="18">
        <v>39.254300000000001</v>
      </c>
      <c r="M156" s="18">
        <v>41.743600000000001</v>
      </c>
      <c r="N156" s="18">
        <v>139.34049999999999</v>
      </c>
      <c r="O156" s="18">
        <f t="shared" si="9"/>
        <v>34.766887500000003</v>
      </c>
      <c r="P156" s="7"/>
      <c r="Q156" s="10"/>
      <c r="R156" s="11"/>
      <c r="S156" s="11"/>
      <c r="T156" s="26"/>
      <c r="U156" s="28">
        <f t="shared" si="10"/>
        <v>0.92725449515905944</v>
      </c>
    </row>
    <row r="157" spans="1:21" x14ac:dyDescent="0.25">
      <c r="B157" s="9"/>
      <c r="C157" s="17">
        <v>928.43</v>
      </c>
      <c r="D157" s="18">
        <v>29.388999999999999</v>
      </c>
      <c r="E157" s="18">
        <v>37.521999999999998</v>
      </c>
      <c r="F157" s="18">
        <v>40.268000000000001</v>
      </c>
      <c r="G157" s="18">
        <v>76.31</v>
      </c>
      <c r="H157" s="18">
        <f t="shared" si="8"/>
        <v>31.765499999999999</v>
      </c>
      <c r="I157" s="5"/>
      <c r="J157" s="17">
        <v>1028.3</v>
      </c>
      <c r="K157" s="18">
        <v>31.758600000000001</v>
      </c>
      <c r="L157" s="18">
        <v>38.616</v>
      </c>
      <c r="M157" s="18">
        <v>41.137599999999999</v>
      </c>
      <c r="N157" s="18">
        <v>153.84620000000001</v>
      </c>
      <c r="O157" s="18">
        <f t="shared" si="9"/>
        <v>33.788150000000002</v>
      </c>
      <c r="P157" s="7"/>
      <c r="Q157" s="10"/>
      <c r="R157" s="11"/>
      <c r="S157" s="11"/>
      <c r="T157" s="26"/>
      <c r="U157" s="28">
        <f t="shared" si="10"/>
        <v>1.0160686672782073</v>
      </c>
    </row>
    <row r="158" spans="1:21" ht="16.5" thickBot="1" x14ac:dyDescent="0.3">
      <c r="B158" s="12"/>
      <c r="C158" s="19">
        <v>480.9</v>
      </c>
      <c r="D158" s="20">
        <v>26.317</v>
      </c>
      <c r="E158" s="20">
        <v>36.234000000000002</v>
      </c>
      <c r="F158" s="20">
        <v>39.18</v>
      </c>
      <c r="G158" s="20">
        <v>80.459999999999994</v>
      </c>
      <c r="H158" s="20">
        <f t="shared" si="8"/>
        <v>29.1645</v>
      </c>
      <c r="I158" s="5"/>
      <c r="J158" s="19">
        <v>595.30319999999995</v>
      </c>
      <c r="K158" s="20">
        <v>30.2346</v>
      </c>
      <c r="L158" s="20">
        <v>38.039200000000001</v>
      </c>
      <c r="M158" s="20">
        <v>40.583399999999997</v>
      </c>
      <c r="N158" s="20">
        <v>166.48169999999999</v>
      </c>
      <c r="O158" s="20">
        <f t="shared" si="9"/>
        <v>32.503774999999997</v>
      </c>
      <c r="P158" s="7"/>
      <c r="Q158" s="13"/>
      <c r="R158" s="14"/>
      <c r="S158" s="14"/>
      <c r="T158" s="27"/>
      <c r="U158" s="28">
        <f t="shared" si="10"/>
        <v>1.069123788217748</v>
      </c>
    </row>
    <row r="159" spans="1:21" x14ac:dyDescent="0.25">
      <c r="A159" s="6" t="s">
        <v>39</v>
      </c>
      <c r="B159" s="6" t="s">
        <v>53</v>
      </c>
      <c r="C159" s="15">
        <v>1222.9000000000001</v>
      </c>
      <c r="D159" s="16">
        <v>33.567999999999998</v>
      </c>
      <c r="E159" s="16">
        <v>37.313000000000002</v>
      </c>
      <c r="F159" s="16">
        <v>37.046999999999997</v>
      </c>
      <c r="G159" s="16">
        <v>222.62</v>
      </c>
      <c r="H159" s="16">
        <f t="shared" si="8"/>
        <v>34.471000000000004</v>
      </c>
      <c r="I159" s="5"/>
      <c r="J159" s="15">
        <v>1208.1184000000001</v>
      </c>
      <c r="K159" s="16">
        <v>34.969299999999997</v>
      </c>
      <c r="L159" s="16">
        <v>39.006500000000003</v>
      </c>
      <c r="M159" s="16">
        <v>38.851900000000001</v>
      </c>
      <c r="N159" s="16">
        <v>400.64100000000002</v>
      </c>
      <c r="O159" s="16">
        <f t="shared" si="9"/>
        <v>35.959274999999998</v>
      </c>
      <c r="P159" s="7"/>
      <c r="Q159" s="8">
        <f>bdrate(C159:C162,D159:D162,J159:J162,K159:K162)</f>
        <v>-0.2680621992321629</v>
      </c>
      <c r="R159" s="8">
        <f>bdrate(C159:C162,E159:E162,J159:J162,L159:L162)</f>
        <v>-0.41023255210028386</v>
      </c>
      <c r="S159" s="8">
        <f>bdrate(C159:C162,F159:F162,J159:J162,M159:M162)</f>
        <v>-0.39165265301925667</v>
      </c>
      <c r="T159" s="25">
        <f>bdrate(C159:C162,H159:H162,J159:J162,O159:O162)</f>
        <v>-0.29548069650077902</v>
      </c>
      <c r="U159" s="28">
        <f t="shared" si="10"/>
        <v>0.79966310304554855</v>
      </c>
    </row>
    <row r="160" spans="1:21" x14ac:dyDescent="0.25">
      <c r="A160" s="9" t="s">
        <v>40</v>
      </c>
      <c r="B160" s="9"/>
      <c r="C160" s="17">
        <v>811.34</v>
      </c>
      <c r="D160" s="18">
        <v>32.134</v>
      </c>
      <c r="E160" s="18">
        <v>36.415999999999997</v>
      </c>
      <c r="F160" s="18">
        <v>36.014000000000003</v>
      </c>
      <c r="G160" s="18">
        <v>250.38</v>
      </c>
      <c r="H160" s="18">
        <f t="shared" si="8"/>
        <v>33.154249999999998</v>
      </c>
      <c r="I160" s="5"/>
      <c r="J160" s="17">
        <v>803.43439999999998</v>
      </c>
      <c r="K160" s="18">
        <v>33.403500000000001</v>
      </c>
      <c r="L160" s="18">
        <v>37.789700000000003</v>
      </c>
      <c r="M160" s="18">
        <v>37.501399999999997</v>
      </c>
      <c r="N160" s="18">
        <v>433.2756</v>
      </c>
      <c r="O160" s="18">
        <f t="shared" si="9"/>
        <v>34.464012500000003</v>
      </c>
      <c r="P160" s="7"/>
      <c r="Q160" s="10"/>
      <c r="R160" s="11"/>
      <c r="S160" s="11"/>
      <c r="T160" s="26"/>
      <c r="U160" s="28">
        <f t="shared" si="10"/>
        <v>0.7304720824346993</v>
      </c>
    </row>
    <row r="161" spans="1:21" x14ac:dyDescent="0.25">
      <c r="B161" s="9"/>
      <c r="C161" s="17">
        <v>506</v>
      </c>
      <c r="D161" s="18">
        <v>30.568999999999999</v>
      </c>
      <c r="E161" s="18">
        <v>35.412999999999997</v>
      </c>
      <c r="F161" s="18">
        <v>34.853000000000002</v>
      </c>
      <c r="G161" s="18">
        <v>278.70999999999998</v>
      </c>
      <c r="H161" s="18">
        <f t="shared" si="8"/>
        <v>31.71</v>
      </c>
      <c r="I161" s="5"/>
      <c r="J161" s="17">
        <v>503.51280000000003</v>
      </c>
      <c r="K161" s="18">
        <v>31.599900000000002</v>
      </c>
      <c r="L161" s="18">
        <v>36.585900000000002</v>
      </c>
      <c r="M161" s="18">
        <v>36.1004</v>
      </c>
      <c r="N161" s="18">
        <v>553.09730000000002</v>
      </c>
      <c r="O161" s="18">
        <f t="shared" si="9"/>
        <v>32.785712500000002</v>
      </c>
      <c r="P161" s="7"/>
      <c r="Q161" s="10"/>
      <c r="R161" s="11"/>
      <c r="S161" s="11"/>
      <c r="T161" s="26"/>
      <c r="U161" s="28">
        <f t="shared" si="10"/>
        <v>0.98449033045100665</v>
      </c>
    </row>
    <row r="162" spans="1:21" ht="16.5" thickBot="1" x14ac:dyDescent="0.3">
      <c r="B162" s="12"/>
      <c r="C162" s="19">
        <v>300.07</v>
      </c>
      <c r="D162" s="20">
        <v>28.902999999999999</v>
      </c>
      <c r="E162" s="20">
        <v>34.223999999999997</v>
      </c>
      <c r="F162" s="20">
        <v>33.527000000000001</v>
      </c>
      <c r="G162" s="20">
        <v>320.51</v>
      </c>
      <c r="H162" s="20">
        <f t="shared" si="8"/>
        <v>30.146124999999998</v>
      </c>
      <c r="I162" s="5"/>
      <c r="J162" s="19">
        <v>301.7328</v>
      </c>
      <c r="K162" s="20">
        <v>29.621500000000001</v>
      </c>
      <c r="L162" s="20">
        <v>35.257100000000001</v>
      </c>
      <c r="M162" s="20">
        <v>34.642400000000002</v>
      </c>
      <c r="N162" s="20">
        <v>654.45029999999997</v>
      </c>
      <c r="O162" s="20">
        <f t="shared" si="9"/>
        <v>30.953562500000004</v>
      </c>
      <c r="P162" s="7"/>
      <c r="Q162" s="13"/>
      <c r="R162" s="14"/>
      <c r="S162" s="14"/>
      <c r="T162" s="27"/>
      <c r="U162" s="28">
        <f t="shared" si="10"/>
        <v>1.0419029047455617</v>
      </c>
    </row>
    <row r="163" spans="1:21" x14ac:dyDescent="0.25">
      <c r="B163" s="6" t="s">
        <v>54</v>
      </c>
      <c r="C163" s="15">
        <v>1224.2</v>
      </c>
      <c r="D163" s="16">
        <v>33.381999999999998</v>
      </c>
      <c r="E163" s="16">
        <v>38.817999999999998</v>
      </c>
      <c r="F163" s="16">
        <v>39.613999999999997</v>
      </c>
      <c r="G163" s="16">
        <v>258.18</v>
      </c>
      <c r="H163" s="16">
        <f t="shared" si="8"/>
        <v>34.840499999999992</v>
      </c>
      <c r="I163" s="5"/>
      <c r="J163" s="15">
        <v>1233.104</v>
      </c>
      <c r="K163" s="16">
        <v>35.176200000000001</v>
      </c>
      <c r="L163" s="16">
        <v>40.452100000000002</v>
      </c>
      <c r="M163" s="16">
        <v>41.289200000000001</v>
      </c>
      <c r="N163" s="16">
        <v>396.30119999999999</v>
      </c>
      <c r="O163" s="16">
        <f t="shared" si="9"/>
        <v>36.599812500000006</v>
      </c>
      <c r="P163" s="7"/>
      <c r="Q163" s="8">
        <f>bdrate(C163:C166,D163:D166,J163:J166,K163:K166)</f>
        <v>-0.32005633270108003</v>
      </c>
      <c r="R163" s="8">
        <f>bdrate(C163:C166,E163:E166,J163:J166,L163:L166)</f>
        <v>-0.50094171066155269</v>
      </c>
      <c r="S163" s="8">
        <f>bdrate(C163:C166,F163:F166,J163:J166,M163:M166)</f>
        <v>-0.46196714008401085</v>
      </c>
      <c r="T163" s="25">
        <f>bdrate(C163:C166,H163:H166,J163:J166,O163:O166)</f>
        <v>-0.34973596074811231</v>
      </c>
      <c r="U163" s="28">
        <f t="shared" si="10"/>
        <v>0.53498024633976293</v>
      </c>
    </row>
    <row r="164" spans="1:21" x14ac:dyDescent="0.25">
      <c r="B164" s="9"/>
      <c r="C164" s="17">
        <v>813.92</v>
      </c>
      <c r="D164" s="18">
        <v>31.914999999999999</v>
      </c>
      <c r="E164" s="18">
        <v>37.895000000000003</v>
      </c>
      <c r="F164" s="18">
        <v>38.593000000000004</v>
      </c>
      <c r="G164" s="18">
        <v>289.16000000000003</v>
      </c>
      <c r="H164" s="18">
        <f t="shared" si="8"/>
        <v>33.497250000000001</v>
      </c>
      <c r="I164" s="5"/>
      <c r="J164" s="17">
        <v>820.75519999999995</v>
      </c>
      <c r="K164" s="18">
        <v>33.572800000000001</v>
      </c>
      <c r="L164" s="18">
        <v>39.491199999999999</v>
      </c>
      <c r="M164" s="18">
        <v>40.192599999999999</v>
      </c>
      <c r="N164" s="18">
        <v>480.76920000000001</v>
      </c>
      <c r="O164" s="18">
        <f t="shared" si="9"/>
        <v>35.140074999999996</v>
      </c>
      <c r="P164" s="7"/>
      <c r="Q164" s="10"/>
      <c r="R164" s="11"/>
      <c r="S164" s="11"/>
      <c r="T164" s="26"/>
      <c r="U164" s="28">
        <f t="shared" si="10"/>
        <v>0.66264075252455379</v>
      </c>
    </row>
    <row r="165" spans="1:21" x14ac:dyDescent="0.25">
      <c r="B165" s="9"/>
      <c r="C165" s="17">
        <v>505.66</v>
      </c>
      <c r="D165" s="18">
        <v>30.186</v>
      </c>
      <c r="E165" s="18">
        <v>36.933999999999997</v>
      </c>
      <c r="F165" s="18">
        <v>37.499000000000002</v>
      </c>
      <c r="G165" s="18">
        <v>315.29000000000002</v>
      </c>
      <c r="H165" s="18">
        <f t="shared" si="8"/>
        <v>31.943624999999997</v>
      </c>
      <c r="I165" s="5"/>
      <c r="J165" s="17">
        <v>513.0992</v>
      </c>
      <c r="K165" s="18">
        <v>31.657900000000001</v>
      </c>
      <c r="L165" s="18">
        <v>38.407600000000002</v>
      </c>
      <c r="M165" s="18">
        <v>38.990900000000003</v>
      </c>
      <c r="N165" s="18">
        <v>557.62080000000003</v>
      </c>
      <c r="O165" s="18">
        <f t="shared" si="9"/>
        <v>33.418237500000004</v>
      </c>
      <c r="P165" s="7"/>
      <c r="Q165" s="10"/>
      <c r="R165" s="11"/>
      <c r="S165" s="11"/>
      <c r="T165" s="26"/>
      <c r="U165" s="28">
        <f t="shared" si="10"/>
        <v>0.76859653017856577</v>
      </c>
    </row>
    <row r="166" spans="1:21" ht="16.5" thickBot="1" x14ac:dyDescent="0.3">
      <c r="B166" s="12"/>
      <c r="C166" s="19">
        <v>299.04000000000002</v>
      </c>
      <c r="D166" s="20">
        <v>28.209</v>
      </c>
      <c r="E166" s="20">
        <v>35.683999999999997</v>
      </c>
      <c r="F166" s="20">
        <v>36.017000000000003</v>
      </c>
      <c r="G166" s="20">
        <v>340.52</v>
      </c>
      <c r="H166" s="20">
        <f t="shared" si="8"/>
        <v>30.119374999999998</v>
      </c>
      <c r="I166" s="5"/>
      <c r="J166" s="19">
        <v>308.36</v>
      </c>
      <c r="K166" s="20">
        <v>29.5747</v>
      </c>
      <c r="L166" s="20">
        <v>37.336100000000002</v>
      </c>
      <c r="M166" s="20">
        <v>37.767499999999998</v>
      </c>
      <c r="N166" s="20">
        <v>662.98339999999996</v>
      </c>
      <c r="O166" s="20">
        <f t="shared" si="9"/>
        <v>31.568974999999995</v>
      </c>
      <c r="P166" s="7"/>
      <c r="Q166" s="13"/>
      <c r="R166" s="14"/>
      <c r="S166" s="14"/>
      <c r="T166" s="27"/>
      <c r="U166" s="28">
        <f t="shared" si="10"/>
        <v>0.94697345236696817</v>
      </c>
    </row>
    <row r="167" spans="1:21" x14ac:dyDescent="0.25">
      <c r="B167" s="6" t="s">
        <v>55</v>
      </c>
      <c r="C167" s="15">
        <v>1091.33</v>
      </c>
      <c r="D167" s="16">
        <v>27.916</v>
      </c>
      <c r="E167" s="16">
        <v>34.521999999999998</v>
      </c>
      <c r="F167" s="16">
        <v>35.317999999999998</v>
      </c>
      <c r="G167" s="16">
        <v>254.32</v>
      </c>
      <c r="H167" s="16">
        <f t="shared" si="8"/>
        <v>29.667000000000002</v>
      </c>
      <c r="I167" s="5"/>
      <c r="J167" s="15">
        <v>1208.3263999999999</v>
      </c>
      <c r="K167" s="16">
        <v>30.280100000000001</v>
      </c>
      <c r="L167" s="16">
        <v>36.673099999999998</v>
      </c>
      <c r="M167" s="16">
        <v>37.429000000000002</v>
      </c>
      <c r="N167" s="16">
        <v>372.85610000000003</v>
      </c>
      <c r="O167" s="16">
        <f t="shared" si="9"/>
        <v>31.972837500000001</v>
      </c>
      <c r="P167" s="7"/>
      <c r="Q167" s="8">
        <f>bdrate(C167:C170,D167:D170,J167:J170,K167:K170)</f>
        <v>-0.45847895640998659</v>
      </c>
      <c r="R167" s="8">
        <f>bdrate(C167:C170,E167:E170,J167:J170,L167:L170)</f>
        <v>-0.64673835546474645</v>
      </c>
      <c r="S167" s="8">
        <f>bdrate(C167:C170,F167:F170,J167:J170,M167:M170)</f>
        <v>-0.62106811985373733</v>
      </c>
      <c r="T167" s="25">
        <f>bdrate(C167:C170,H167:H170,J167:J170,O167:O170)</f>
        <v>-0.48848253133633213</v>
      </c>
      <c r="U167" s="28">
        <f t="shared" si="10"/>
        <v>0.46609035860333453</v>
      </c>
    </row>
    <row r="168" spans="1:21" x14ac:dyDescent="0.25">
      <c r="B168" s="9"/>
      <c r="C168" s="17">
        <v>727.92</v>
      </c>
      <c r="D168" s="18">
        <v>26.68</v>
      </c>
      <c r="E168" s="18">
        <v>33.932000000000002</v>
      </c>
      <c r="F168" s="18">
        <v>34.765999999999998</v>
      </c>
      <c r="G168" s="18">
        <v>273.97000000000003</v>
      </c>
      <c r="H168" s="18">
        <f t="shared" si="8"/>
        <v>28.597249999999999</v>
      </c>
      <c r="I168" s="5"/>
      <c r="J168" s="17">
        <v>807.99599999999998</v>
      </c>
      <c r="K168" s="18">
        <v>28.947399999999998</v>
      </c>
      <c r="L168" s="18">
        <v>35.874400000000001</v>
      </c>
      <c r="M168" s="18">
        <v>36.643799999999999</v>
      </c>
      <c r="N168" s="18">
        <v>439.3673</v>
      </c>
      <c r="O168" s="18">
        <f t="shared" si="9"/>
        <v>30.775324999999999</v>
      </c>
      <c r="P168" s="7"/>
      <c r="Q168" s="10"/>
      <c r="R168" s="11"/>
      <c r="S168" s="11"/>
      <c r="T168" s="26"/>
      <c r="U168" s="28">
        <f t="shared" si="10"/>
        <v>0.6037058802058618</v>
      </c>
    </row>
    <row r="169" spans="1:21" x14ac:dyDescent="0.25">
      <c r="B169" s="9"/>
      <c r="C169" s="17">
        <v>450.55</v>
      </c>
      <c r="D169" s="18">
        <v>25.311</v>
      </c>
      <c r="E169" s="18">
        <v>33.262999999999998</v>
      </c>
      <c r="F169" s="18">
        <v>34.119999999999997</v>
      </c>
      <c r="G169" s="18">
        <v>317.26</v>
      </c>
      <c r="H169" s="18">
        <f t="shared" si="8"/>
        <v>27.406124999999999</v>
      </c>
      <c r="I169" s="5"/>
      <c r="J169" s="17">
        <v>508.47199999999998</v>
      </c>
      <c r="K169" s="18">
        <v>27.473500000000001</v>
      </c>
      <c r="L169" s="18">
        <v>34.9938</v>
      </c>
      <c r="M169" s="18">
        <v>35.758099999999999</v>
      </c>
      <c r="N169" s="18">
        <v>525.21010000000001</v>
      </c>
      <c r="O169" s="18">
        <f t="shared" si="9"/>
        <v>29.449112499999998</v>
      </c>
      <c r="P169" s="7"/>
      <c r="Q169" s="10"/>
      <c r="R169" s="11"/>
      <c r="S169" s="11"/>
      <c r="T169" s="26"/>
      <c r="U169" s="28">
        <f t="shared" si="10"/>
        <v>0.65545640799344396</v>
      </c>
    </row>
    <row r="170" spans="1:21" ht="16.5" thickBot="1" x14ac:dyDescent="0.3">
      <c r="B170" s="12"/>
      <c r="C170" s="19">
        <v>259.01</v>
      </c>
      <c r="D170" s="20">
        <v>23.658999999999999</v>
      </c>
      <c r="E170" s="20">
        <v>32.264000000000003</v>
      </c>
      <c r="F170" s="20">
        <v>33.064</v>
      </c>
      <c r="G170" s="20">
        <v>348.43</v>
      </c>
      <c r="H170" s="20">
        <f t="shared" si="8"/>
        <v>25.910250000000001</v>
      </c>
      <c r="I170" s="5"/>
      <c r="J170" s="19">
        <v>305.57440000000003</v>
      </c>
      <c r="K170" s="20">
        <v>25.892900000000001</v>
      </c>
      <c r="L170" s="20">
        <v>34.172899999999998</v>
      </c>
      <c r="M170" s="20">
        <v>34.856200000000001</v>
      </c>
      <c r="N170" s="20">
        <v>604.59490000000005</v>
      </c>
      <c r="O170" s="20">
        <f t="shared" si="9"/>
        <v>28.048312500000002</v>
      </c>
      <c r="P170" s="7"/>
      <c r="Q170" s="13"/>
      <c r="R170" s="14"/>
      <c r="S170" s="14"/>
      <c r="T170" s="27"/>
      <c r="U170" s="28">
        <f t="shared" si="10"/>
        <v>0.73519760066584405</v>
      </c>
    </row>
    <row r="171" spans="1:21" x14ac:dyDescent="0.25">
      <c r="B171" s="6" t="s">
        <v>56</v>
      </c>
      <c r="C171" s="15">
        <v>1110</v>
      </c>
      <c r="D171" s="16">
        <v>31.341000000000001</v>
      </c>
      <c r="E171" s="16">
        <v>35.962000000000003</v>
      </c>
      <c r="F171" s="16">
        <v>37.597999999999999</v>
      </c>
      <c r="G171" s="16">
        <v>170.16</v>
      </c>
      <c r="H171" s="16">
        <f t="shared" si="8"/>
        <v>32.700749999999999</v>
      </c>
      <c r="I171" s="5"/>
      <c r="J171" s="15">
        <v>1203.0848000000001</v>
      </c>
      <c r="K171" s="16">
        <v>32.357599999999998</v>
      </c>
      <c r="L171" s="16">
        <v>36.852600000000002</v>
      </c>
      <c r="M171" s="16">
        <v>38.392299999999999</v>
      </c>
      <c r="N171" s="16">
        <v>283.01889999999997</v>
      </c>
      <c r="O171" s="16">
        <f t="shared" si="9"/>
        <v>33.673812499999997</v>
      </c>
      <c r="P171" s="7"/>
      <c r="Q171" s="8">
        <f>bdrate(C171:C174,D171:D174,J171:J174,K171:K174)</f>
        <v>-0.10975329600511075</v>
      </c>
      <c r="R171" s="8">
        <f>bdrate(C171:C174,E171:E174,J171:J174,L171:L174)</f>
        <v>-0.26584681790431386</v>
      </c>
      <c r="S171" s="8">
        <f>bdrate(C171:C174,F171:F174,J171:J174,M171:M174)</f>
        <v>-0.25095289854146452</v>
      </c>
      <c r="T171" s="25">
        <f>bdrate(C171:C174,H171:H174,J171:J174,O171:O174)</f>
        <v>-0.13813251442849372</v>
      </c>
      <c r="U171" s="28">
        <f t="shared" si="10"/>
        <v>0.66325164551010807</v>
      </c>
    </row>
    <row r="172" spans="1:21" x14ac:dyDescent="0.25">
      <c r="B172" s="9"/>
      <c r="C172" s="17">
        <v>753.59</v>
      </c>
      <c r="D172" s="18">
        <v>30.064</v>
      </c>
      <c r="E172" s="18">
        <v>35.231999999999999</v>
      </c>
      <c r="F172" s="18">
        <v>36.825000000000003</v>
      </c>
      <c r="G172" s="18">
        <v>194.3</v>
      </c>
      <c r="H172" s="18">
        <f t="shared" si="8"/>
        <v>31.555125000000004</v>
      </c>
      <c r="I172" s="5"/>
      <c r="J172" s="17">
        <v>801.65679999999998</v>
      </c>
      <c r="K172" s="18">
        <v>30.8261</v>
      </c>
      <c r="L172" s="18">
        <v>35.948599999999999</v>
      </c>
      <c r="M172" s="18">
        <v>37.5017</v>
      </c>
      <c r="N172" s="18">
        <v>337.45780000000002</v>
      </c>
      <c r="O172" s="18">
        <f t="shared" si="9"/>
        <v>32.300862500000001</v>
      </c>
      <c r="P172" s="7"/>
      <c r="Q172" s="10"/>
      <c r="R172" s="11"/>
      <c r="S172" s="11"/>
      <c r="T172" s="26"/>
      <c r="U172" s="28">
        <f t="shared" si="10"/>
        <v>0.73678744209984559</v>
      </c>
    </row>
    <row r="173" spans="1:21" x14ac:dyDescent="0.25">
      <c r="B173" s="9"/>
      <c r="C173" s="17">
        <v>478.65</v>
      </c>
      <c r="D173" s="18">
        <v>28.672000000000001</v>
      </c>
      <c r="E173" s="18">
        <v>34.378</v>
      </c>
      <c r="F173" s="18">
        <v>35.841999999999999</v>
      </c>
      <c r="G173" s="18">
        <v>218.66</v>
      </c>
      <c r="H173" s="18">
        <f t="shared" si="8"/>
        <v>30.281500000000001</v>
      </c>
      <c r="I173" s="5"/>
      <c r="J173" s="17">
        <v>500.89920000000001</v>
      </c>
      <c r="K173" s="18">
        <v>29.111999999999998</v>
      </c>
      <c r="L173" s="18">
        <v>35.041699999999999</v>
      </c>
      <c r="M173" s="18">
        <v>36.564799999999998</v>
      </c>
      <c r="N173" s="18">
        <v>392.67020000000002</v>
      </c>
      <c r="O173" s="18">
        <f t="shared" si="9"/>
        <v>30.784812499999997</v>
      </c>
      <c r="P173" s="7"/>
      <c r="Q173" s="10"/>
      <c r="R173" s="11"/>
      <c r="S173" s="11"/>
      <c r="T173" s="26"/>
      <c r="U173" s="28">
        <f t="shared" si="10"/>
        <v>0.79580261593341273</v>
      </c>
    </row>
    <row r="174" spans="1:21" ht="16.5" thickBot="1" x14ac:dyDescent="0.3">
      <c r="B174" s="12"/>
      <c r="C174" s="19">
        <v>289.14999999999998</v>
      </c>
      <c r="D174" s="20">
        <v>27.303999999999998</v>
      </c>
      <c r="E174" s="20">
        <v>33.378999999999998</v>
      </c>
      <c r="F174" s="20">
        <v>34.694000000000003</v>
      </c>
      <c r="G174" s="20">
        <v>249.79</v>
      </c>
      <c r="H174" s="20">
        <f t="shared" si="8"/>
        <v>28.987124999999999</v>
      </c>
      <c r="I174" s="5"/>
      <c r="J174" s="19">
        <v>301.20319999999998</v>
      </c>
      <c r="K174" s="20">
        <v>27.5093</v>
      </c>
      <c r="L174" s="20">
        <v>34.095799999999997</v>
      </c>
      <c r="M174" s="20">
        <v>35.5246</v>
      </c>
      <c r="N174" s="20">
        <v>519.03110000000004</v>
      </c>
      <c r="O174" s="20">
        <f t="shared" si="9"/>
        <v>29.334524999999999</v>
      </c>
      <c r="P174" s="7"/>
      <c r="Q174" s="13"/>
      <c r="R174" s="14"/>
      <c r="S174" s="14"/>
      <c r="T174" s="27"/>
      <c r="U174" s="28">
        <f t="shared" si="10"/>
        <v>1.0778698106409388</v>
      </c>
    </row>
    <row r="175" spans="1:21" x14ac:dyDescent="0.25">
      <c r="A175" s="6" t="s">
        <v>41</v>
      </c>
      <c r="B175" s="6" t="s">
        <v>57</v>
      </c>
      <c r="C175" s="15">
        <v>636.58000000000004</v>
      </c>
      <c r="D175" s="16">
        <v>33.348999999999997</v>
      </c>
      <c r="E175" s="16">
        <v>38.371000000000002</v>
      </c>
      <c r="F175" s="16">
        <v>37.048000000000002</v>
      </c>
      <c r="G175" s="16">
        <v>604.59</v>
      </c>
      <c r="H175" s="16">
        <f t="shared" si="8"/>
        <v>34.439125000000004</v>
      </c>
      <c r="I175" s="5"/>
      <c r="J175" s="15">
        <v>602.59680000000003</v>
      </c>
      <c r="K175" s="16">
        <v>34.344200000000001</v>
      </c>
      <c r="L175" s="16">
        <v>39.622100000000003</v>
      </c>
      <c r="M175" s="16">
        <v>38.131700000000002</v>
      </c>
      <c r="N175" s="16">
        <v>943.39620000000002</v>
      </c>
      <c r="O175" s="16">
        <f t="shared" si="9"/>
        <v>35.477375000000002</v>
      </c>
      <c r="P175" s="7"/>
      <c r="Q175" s="8">
        <f>bdrate(C175:C178,D175:D178,J175:J178,K175:K178)</f>
        <v>-0.15921071900365824</v>
      </c>
      <c r="R175" s="8">
        <f>bdrate(C175:C178,E175:E178,J175:J178,L175:L178)</f>
        <v>-0.39165534400864876</v>
      </c>
      <c r="S175" s="8">
        <f>bdrate(C175:C178,F175:F178,J175:J178,M175:M178)</f>
        <v>-0.32951216303969633</v>
      </c>
      <c r="T175" s="25">
        <f>bdrate(C175:C178,H175:H178,J175:J178,O175:O178)</f>
        <v>-0.19965916810766804</v>
      </c>
      <c r="U175" s="28">
        <f t="shared" si="10"/>
        <v>0.56039001637473329</v>
      </c>
    </row>
    <row r="176" spans="1:21" x14ac:dyDescent="0.25">
      <c r="A176" s="9" t="s">
        <v>42</v>
      </c>
      <c r="B176" s="9"/>
      <c r="C176" s="17">
        <v>427.25</v>
      </c>
      <c r="D176" s="18">
        <v>31.794</v>
      </c>
      <c r="E176" s="18">
        <v>37.377000000000002</v>
      </c>
      <c r="F176" s="18">
        <v>35.883000000000003</v>
      </c>
      <c r="G176" s="18">
        <v>682.13</v>
      </c>
      <c r="H176" s="18">
        <f t="shared" si="8"/>
        <v>33.003</v>
      </c>
      <c r="I176" s="5"/>
      <c r="J176" s="17">
        <v>402.46319999999997</v>
      </c>
      <c r="K176" s="18">
        <v>32.519300000000001</v>
      </c>
      <c r="L176" s="18">
        <v>38.462499999999999</v>
      </c>
      <c r="M176" s="18">
        <v>36.8307</v>
      </c>
      <c r="N176" s="18">
        <v>1144.1648</v>
      </c>
      <c r="O176" s="18">
        <f t="shared" si="9"/>
        <v>33.801124999999999</v>
      </c>
      <c r="P176" s="7"/>
      <c r="Q176" s="10"/>
      <c r="R176" s="11"/>
      <c r="S176" s="11"/>
      <c r="T176" s="26"/>
      <c r="U176" s="28">
        <f t="shared" si="10"/>
        <v>0.67734126925952531</v>
      </c>
    </row>
    <row r="177" spans="1:21" x14ac:dyDescent="0.25">
      <c r="B177" s="9"/>
      <c r="C177" s="17">
        <v>267.64999999999998</v>
      </c>
      <c r="D177" s="18">
        <v>30.14</v>
      </c>
      <c r="E177" s="18">
        <v>36.381</v>
      </c>
      <c r="F177" s="18">
        <v>34.667000000000002</v>
      </c>
      <c r="G177" s="18">
        <v>801.28</v>
      </c>
      <c r="H177" s="18">
        <f t="shared" si="8"/>
        <v>31.486000000000001</v>
      </c>
      <c r="I177" s="5"/>
      <c r="J177" s="17">
        <v>253.4776</v>
      </c>
      <c r="K177" s="18">
        <v>30.568899999999999</v>
      </c>
      <c r="L177" s="18">
        <v>37.3444</v>
      </c>
      <c r="M177" s="18">
        <v>35.575800000000001</v>
      </c>
      <c r="N177" s="18">
        <v>1333.3333</v>
      </c>
      <c r="O177" s="18">
        <f t="shared" si="9"/>
        <v>32.041699999999999</v>
      </c>
      <c r="P177" s="7"/>
      <c r="Q177" s="10"/>
      <c r="R177" s="11"/>
      <c r="S177" s="11"/>
      <c r="T177" s="26"/>
      <c r="U177" s="28">
        <f t="shared" si="10"/>
        <v>0.66400421825079881</v>
      </c>
    </row>
    <row r="178" spans="1:21" ht="16.5" thickBot="1" x14ac:dyDescent="0.3">
      <c r="B178" s="12"/>
      <c r="C178" s="19">
        <v>128.63999999999999</v>
      </c>
      <c r="D178" s="20">
        <v>27.709</v>
      </c>
      <c r="E178" s="20">
        <v>34.912999999999997</v>
      </c>
      <c r="F178" s="20">
        <v>32.71</v>
      </c>
      <c r="G178" s="20">
        <v>941.62</v>
      </c>
      <c r="H178" s="20">
        <f t="shared" si="8"/>
        <v>29.234624999999998</v>
      </c>
      <c r="I178" s="5"/>
      <c r="J178" s="19">
        <v>121.5256</v>
      </c>
      <c r="K178" s="20">
        <v>27.706800000000001</v>
      </c>
      <c r="L178" s="20">
        <v>35.752099999999999</v>
      </c>
      <c r="M178" s="20">
        <v>33.653500000000001</v>
      </c>
      <c r="N178" s="20">
        <v>1779.3594000000001</v>
      </c>
      <c r="O178" s="20">
        <f t="shared" si="9"/>
        <v>29.455800000000004</v>
      </c>
      <c r="P178" s="7"/>
      <c r="Q178" s="13"/>
      <c r="R178" s="14"/>
      <c r="S178" s="14"/>
      <c r="T178" s="27"/>
      <c r="U178" s="28">
        <f t="shared" si="10"/>
        <v>0.88967885134130542</v>
      </c>
    </row>
    <row r="179" spans="1:21" x14ac:dyDescent="0.25">
      <c r="B179" s="6" t="s">
        <v>58</v>
      </c>
      <c r="C179" s="15">
        <v>553.52</v>
      </c>
      <c r="D179" s="16">
        <v>30.085000000000001</v>
      </c>
      <c r="E179" s="16">
        <v>38.537999999999997</v>
      </c>
      <c r="F179" s="16">
        <v>39.232999999999997</v>
      </c>
      <c r="G179" s="16">
        <v>961.54</v>
      </c>
      <c r="H179" s="16">
        <f t="shared" si="8"/>
        <v>32.285125000000001</v>
      </c>
      <c r="I179" s="5"/>
      <c r="J179" s="15">
        <v>599.83199999999999</v>
      </c>
      <c r="K179" s="16">
        <v>33.598199999999999</v>
      </c>
      <c r="L179" s="16">
        <v>41.313600000000001</v>
      </c>
      <c r="M179" s="16">
        <v>42.096400000000003</v>
      </c>
      <c r="N179" s="16">
        <v>1098.9011</v>
      </c>
      <c r="O179" s="16">
        <f t="shared" si="9"/>
        <v>35.624900000000004</v>
      </c>
      <c r="P179" s="7"/>
      <c r="Q179" s="8">
        <f>bdrate(C179:C182,D179:D182,J179:J182,K179:K182)</f>
        <v>-0.62258731428534242</v>
      </c>
      <c r="R179" s="8">
        <f>bdrate(C179:C182,E179:E182,J179:J182,L179:L182)</f>
        <v>-0.68654802866229181</v>
      </c>
      <c r="S179" s="8">
        <f>bdrate(C179:C182,F179:F182,J179:J182,M179:M182)</f>
        <v>-0.67711014360190691</v>
      </c>
      <c r="T179" s="25">
        <f>bdrate(C179:C182,H179:H182,J179:J182,O179:O182)</f>
        <v>-0.63046686191697321</v>
      </c>
      <c r="U179" s="28">
        <f t="shared" si="10"/>
        <v>0.14285531543149541</v>
      </c>
    </row>
    <row r="180" spans="1:21" x14ac:dyDescent="0.25">
      <c r="B180" s="9"/>
      <c r="C180" s="17">
        <v>367.25</v>
      </c>
      <c r="D180" s="18">
        <v>28.736000000000001</v>
      </c>
      <c r="E180" s="18">
        <v>38.189</v>
      </c>
      <c r="F180" s="18">
        <v>38.729999999999997</v>
      </c>
      <c r="G180" s="18">
        <v>1098.9000000000001</v>
      </c>
      <c r="H180" s="18">
        <f t="shared" si="8"/>
        <v>31.166874999999997</v>
      </c>
      <c r="I180" s="5"/>
      <c r="J180" s="17">
        <v>399.4984</v>
      </c>
      <c r="K180" s="18">
        <v>32.304900000000004</v>
      </c>
      <c r="L180" s="18">
        <v>40.373100000000001</v>
      </c>
      <c r="M180" s="18">
        <v>41.199800000000003</v>
      </c>
      <c r="N180" s="18">
        <v>1282.0513000000001</v>
      </c>
      <c r="O180" s="18">
        <f t="shared" si="9"/>
        <v>34.425287500000003</v>
      </c>
      <c r="P180" s="7"/>
      <c r="Q180" s="10"/>
      <c r="R180" s="11"/>
      <c r="S180" s="11"/>
      <c r="T180" s="26"/>
      <c r="U180" s="28">
        <f t="shared" si="10"/>
        <v>0.16666784966784964</v>
      </c>
    </row>
    <row r="181" spans="1:21" x14ac:dyDescent="0.25">
      <c r="B181" s="9"/>
      <c r="C181" s="17">
        <v>228.04</v>
      </c>
      <c r="D181" s="18">
        <v>27.259</v>
      </c>
      <c r="E181" s="18">
        <v>37.780999999999999</v>
      </c>
      <c r="F181" s="18">
        <v>38.341999999999999</v>
      </c>
      <c r="G181" s="18">
        <v>1239.67</v>
      </c>
      <c r="H181" s="18">
        <f t="shared" si="8"/>
        <v>29.959625000000003</v>
      </c>
      <c r="I181" s="5"/>
      <c r="J181" s="17">
        <v>250.1472</v>
      </c>
      <c r="K181" s="18">
        <v>30.788599999999999</v>
      </c>
      <c r="L181" s="18">
        <v>39.470100000000002</v>
      </c>
      <c r="M181" s="18">
        <v>40.058399999999999</v>
      </c>
      <c r="N181" s="18">
        <v>1600</v>
      </c>
      <c r="O181" s="18">
        <f t="shared" si="9"/>
        <v>33.032512499999996</v>
      </c>
      <c r="P181" s="7"/>
      <c r="Q181" s="10"/>
      <c r="R181" s="11"/>
      <c r="S181" s="11"/>
      <c r="T181" s="26"/>
      <c r="U181" s="28">
        <f t="shared" si="10"/>
        <v>0.29066606435583658</v>
      </c>
    </row>
    <row r="182" spans="1:21" ht="16.5" thickBot="1" x14ac:dyDescent="0.3">
      <c r="B182" s="12"/>
      <c r="C182" s="19">
        <v>104.48</v>
      </c>
      <c r="D182" s="20">
        <v>24.67</v>
      </c>
      <c r="E182" s="20">
        <v>36.956000000000003</v>
      </c>
      <c r="F182" s="20">
        <v>37.183999999999997</v>
      </c>
      <c r="G182" s="20">
        <v>1425.18</v>
      </c>
      <c r="H182" s="20">
        <f t="shared" si="8"/>
        <v>27.77</v>
      </c>
      <c r="I182" s="5"/>
      <c r="J182" s="19">
        <v>119.81440000000001</v>
      </c>
      <c r="K182" s="20">
        <v>28.147099999999998</v>
      </c>
      <c r="L182" s="20">
        <v>38.109499999999997</v>
      </c>
      <c r="M182" s="20">
        <v>38.633899999999997</v>
      </c>
      <c r="N182" s="20">
        <v>1923.0769</v>
      </c>
      <c r="O182" s="20">
        <f t="shared" si="9"/>
        <v>30.703249999999997</v>
      </c>
      <c r="P182" s="7"/>
      <c r="Q182" s="13"/>
      <c r="R182" s="14"/>
      <c r="S182" s="14"/>
      <c r="T182" s="27"/>
      <c r="U182" s="28">
        <f t="shared" si="10"/>
        <v>0.34935720400230141</v>
      </c>
    </row>
    <row r="183" spans="1:21" x14ac:dyDescent="0.25">
      <c r="B183" s="6" t="s">
        <v>59</v>
      </c>
      <c r="C183" s="29">
        <v>639.15</v>
      </c>
      <c r="D183" s="30">
        <v>31.071000000000002</v>
      </c>
      <c r="E183" s="30">
        <v>35.896000000000001</v>
      </c>
      <c r="F183" s="30">
        <v>36.439</v>
      </c>
      <c r="G183" s="16">
        <v>762.2</v>
      </c>
      <c r="H183" s="16">
        <f t="shared" si="8"/>
        <v>32.345125000000003</v>
      </c>
      <c r="I183" s="5"/>
      <c r="J183" s="29">
        <v>639.80399999999997</v>
      </c>
      <c r="K183" s="30">
        <v>33.100700000000003</v>
      </c>
      <c r="L183" s="30">
        <v>38.1158</v>
      </c>
      <c r="M183" s="30">
        <v>38.869100000000003</v>
      </c>
      <c r="N183" s="16">
        <v>970.87379999999996</v>
      </c>
      <c r="O183" s="16">
        <f t="shared" si="9"/>
        <v>34.448637500000004</v>
      </c>
      <c r="P183" s="7"/>
      <c r="Q183" s="8">
        <f>bdrate(C183:C186,D183:D186,J183:J186,K183:K186)</f>
        <v>-0.40691414572586437</v>
      </c>
      <c r="R183" s="8">
        <f>bdrate(C183:C186,E183:E186,J183:J186,L183:L186)</f>
        <v>-0.59665245156749325</v>
      </c>
      <c r="S183" s="8">
        <f>bdrate(C183:C186,F183:F186,J183:J186,M183:M186)</f>
        <v>-0.61685494880988534</v>
      </c>
      <c r="T183" s="25">
        <f>bdrate(C183:C186,H183:H186,J183:J186,O183:O186)</f>
        <v>-0.44794740208103412</v>
      </c>
      <c r="U183" s="28">
        <f t="shared" si="10"/>
        <v>0.27377827341904998</v>
      </c>
    </row>
    <row r="184" spans="1:21" x14ac:dyDescent="0.25">
      <c r="B184" s="9"/>
      <c r="C184" s="31">
        <v>423.42</v>
      </c>
      <c r="D184" s="32">
        <v>29.646999999999998</v>
      </c>
      <c r="E184" s="32">
        <v>34.911999999999999</v>
      </c>
      <c r="F184" s="32">
        <v>35.484999999999999</v>
      </c>
      <c r="G184" s="18">
        <v>866.55</v>
      </c>
      <c r="H184" s="18">
        <f t="shared" si="8"/>
        <v>31.034875</v>
      </c>
      <c r="I184" s="5"/>
      <c r="J184" s="31">
        <v>427.3184</v>
      </c>
      <c r="K184" s="32">
        <v>31.6112</v>
      </c>
      <c r="L184" s="32">
        <v>37.076300000000003</v>
      </c>
      <c r="M184" s="32">
        <v>37.813499999999998</v>
      </c>
      <c r="N184" s="18">
        <v>1231.5271</v>
      </c>
      <c r="O184" s="18">
        <f t="shared" si="9"/>
        <v>33.069625000000002</v>
      </c>
      <c r="P184" s="7"/>
      <c r="Q184" s="10"/>
      <c r="R184" s="11"/>
      <c r="S184" s="11"/>
      <c r="T184" s="26"/>
      <c r="U184" s="28">
        <f t="shared" si="10"/>
        <v>0.42118412093935731</v>
      </c>
    </row>
    <row r="185" spans="1:21" x14ac:dyDescent="0.25">
      <c r="B185" s="9"/>
      <c r="C185" s="31">
        <v>263.58999999999997</v>
      </c>
      <c r="D185" s="32">
        <v>28.161999999999999</v>
      </c>
      <c r="E185" s="32">
        <v>34.03</v>
      </c>
      <c r="F185" s="32">
        <v>34.590000000000003</v>
      </c>
      <c r="G185" s="18">
        <v>889.68</v>
      </c>
      <c r="H185" s="18">
        <f t="shared" si="8"/>
        <v>29.698999999999998</v>
      </c>
      <c r="I185" s="5"/>
      <c r="J185" s="31">
        <v>264.6336</v>
      </c>
      <c r="K185" s="32">
        <v>29.856300000000001</v>
      </c>
      <c r="L185" s="32">
        <v>35.871000000000002</v>
      </c>
      <c r="M185" s="32">
        <v>36.564900000000002</v>
      </c>
      <c r="N185" s="18">
        <v>1333.3333</v>
      </c>
      <c r="O185" s="18">
        <f t="shared" si="9"/>
        <v>31.4467125</v>
      </c>
      <c r="P185" s="7"/>
      <c r="Q185" s="10"/>
      <c r="R185" s="11"/>
      <c r="S185" s="11"/>
      <c r="T185" s="26"/>
      <c r="U185" s="28">
        <f t="shared" si="10"/>
        <v>0.4986661496268322</v>
      </c>
    </row>
    <row r="186" spans="1:21" ht="16.5" thickBot="1" x14ac:dyDescent="0.3">
      <c r="B186" s="12"/>
      <c r="C186" s="33">
        <v>123.35</v>
      </c>
      <c r="D186" s="34">
        <v>25.963000000000001</v>
      </c>
      <c r="E186" s="34">
        <v>32.531999999999996</v>
      </c>
      <c r="F186" s="34">
        <v>33.186</v>
      </c>
      <c r="G186" s="20">
        <v>1187.6500000000001</v>
      </c>
      <c r="H186" s="20">
        <f t="shared" si="8"/>
        <v>27.687000000000001</v>
      </c>
      <c r="I186" s="5"/>
      <c r="J186" s="33">
        <v>126.4312</v>
      </c>
      <c r="K186" s="34">
        <v>27.436699999999998</v>
      </c>
      <c r="L186" s="34">
        <v>34.363500000000002</v>
      </c>
      <c r="M186" s="34">
        <v>35.017600000000002</v>
      </c>
      <c r="N186" s="20">
        <v>1689.1892</v>
      </c>
      <c r="O186" s="20">
        <f t="shared" si="9"/>
        <v>29.250162500000002</v>
      </c>
      <c r="P186" s="7"/>
      <c r="Q186" s="13"/>
      <c r="R186" s="14"/>
      <c r="S186" s="14"/>
      <c r="T186" s="27"/>
      <c r="U186" s="28">
        <f t="shared" si="10"/>
        <v>0.4222954574159053</v>
      </c>
    </row>
    <row r="187" spans="1:21" x14ac:dyDescent="0.25">
      <c r="B187" s="6" t="s">
        <v>60</v>
      </c>
      <c r="C187" s="15">
        <v>579.54999999999995</v>
      </c>
      <c r="D187" s="16">
        <v>32.527000000000001</v>
      </c>
      <c r="E187" s="16">
        <v>36.576999999999998</v>
      </c>
      <c r="F187" s="16">
        <v>37.69</v>
      </c>
      <c r="G187" s="16">
        <v>480.77</v>
      </c>
      <c r="H187" s="16">
        <f t="shared" si="8"/>
        <v>33.678624999999997</v>
      </c>
      <c r="I187" s="5"/>
      <c r="J187" s="15">
        <v>601.67280000000005</v>
      </c>
      <c r="K187" s="16">
        <v>33.899099999999997</v>
      </c>
      <c r="L187" s="16">
        <v>37.682400000000001</v>
      </c>
      <c r="M187" s="16">
        <v>38.751800000000003</v>
      </c>
      <c r="N187" s="16">
        <v>619.8347</v>
      </c>
      <c r="O187" s="16">
        <f t="shared" si="9"/>
        <v>34.9786</v>
      </c>
      <c r="P187" s="7"/>
      <c r="Q187" s="8">
        <f>bdrate(C187:C190,D187:D190,J187:J190,K187:K190)</f>
        <v>-0.18222356282143193</v>
      </c>
      <c r="R187" s="8">
        <f>bdrate(C187:C190,E187:E190,J187:J190,L187:L190)</f>
        <v>-0.31029091505099426</v>
      </c>
      <c r="S187" s="8">
        <f>bdrate(C187:C190,F187:F190,J187:J190,M187:M190)</f>
        <v>-0.30905273294574576</v>
      </c>
      <c r="T187" s="25">
        <f>bdrate(C187:C190,H187:H190,J187:J190,O187:O190)</f>
        <v>-0.20865290628127175</v>
      </c>
      <c r="U187" s="28">
        <f t="shared" si="10"/>
        <v>0.28925411319341893</v>
      </c>
    </row>
    <row r="188" spans="1:21" x14ac:dyDescent="0.25">
      <c r="B188" s="9"/>
      <c r="C188" s="17">
        <v>389.35</v>
      </c>
      <c r="D188" s="18">
        <v>30.991</v>
      </c>
      <c r="E188" s="18">
        <v>35.518999999999998</v>
      </c>
      <c r="F188" s="18">
        <v>36.57</v>
      </c>
      <c r="G188" s="18">
        <v>534.76</v>
      </c>
      <c r="H188" s="18">
        <f t="shared" si="8"/>
        <v>32.254375000000003</v>
      </c>
      <c r="I188" s="5"/>
      <c r="J188" s="17">
        <v>400.50880000000001</v>
      </c>
      <c r="K188" s="18">
        <v>32.0274</v>
      </c>
      <c r="L188" s="18">
        <v>36.527500000000003</v>
      </c>
      <c r="M188" s="18">
        <v>37.592300000000002</v>
      </c>
      <c r="N188" s="18">
        <v>738.91629999999998</v>
      </c>
      <c r="O188" s="18">
        <f t="shared" si="9"/>
        <v>33.285525</v>
      </c>
      <c r="P188" s="7"/>
      <c r="Q188" s="10"/>
      <c r="R188" s="11"/>
      <c r="S188" s="11"/>
      <c r="T188" s="26"/>
      <c r="U188" s="28">
        <f t="shared" si="10"/>
        <v>0.38177182287381256</v>
      </c>
    </row>
    <row r="189" spans="1:21" x14ac:dyDescent="0.25">
      <c r="B189" s="9"/>
      <c r="C189" s="17">
        <v>245.14</v>
      </c>
      <c r="D189" s="18">
        <v>29.443999999999999</v>
      </c>
      <c r="E189" s="18">
        <v>34.503</v>
      </c>
      <c r="F189" s="18">
        <v>35.476999999999997</v>
      </c>
      <c r="G189" s="18">
        <v>641.03</v>
      </c>
      <c r="H189" s="18">
        <f t="shared" si="8"/>
        <v>30.830499999999997</v>
      </c>
      <c r="I189" s="5"/>
      <c r="J189" s="17">
        <v>250.78720000000001</v>
      </c>
      <c r="K189" s="18">
        <v>30.206800000000001</v>
      </c>
      <c r="L189" s="18">
        <v>35.343200000000003</v>
      </c>
      <c r="M189" s="18">
        <v>36.384300000000003</v>
      </c>
      <c r="N189" s="18">
        <v>961.5385</v>
      </c>
      <c r="O189" s="18">
        <f t="shared" si="9"/>
        <v>31.6210375</v>
      </c>
      <c r="P189" s="7"/>
      <c r="Q189" s="10"/>
      <c r="R189" s="11"/>
      <c r="S189" s="11"/>
      <c r="T189" s="26"/>
      <c r="U189" s="28">
        <f t="shared" si="10"/>
        <v>0.49998986006895157</v>
      </c>
    </row>
    <row r="190" spans="1:21" ht="16.5" thickBot="1" x14ac:dyDescent="0.3">
      <c r="B190" s="12"/>
      <c r="C190" s="19">
        <v>117.49</v>
      </c>
      <c r="D190" s="20">
        <v>27.260999999999999</v>
      </c>
      <c r="E190" s="20">
        <v>32.802999999999997</v>
      </c>
      <c r="F190" s="20">
        <v>33.728999999999999</v>
      </c>
      <c r="G190" s="20">
        <v>800</v>
      </c>
      <c r="H190" s="20">
        <f t="shared" si="8"/>
        <v>28.762250000000002</v>
      </c>
      <c r="I190" s="5"/>
      <c r="J190" s="19">
        <v>120.83280000000001</v>
      </c>
      <c r="K190" s="20">
        <v>27.6815</v>
      </c>
      <c r="L190" s="20">
        <v>33.8782</v>
      </c>
      <c r="M190" s="20">
        <v>34.808500000000002</v>
      </c>
      <c r="N190" s="20">
        <v>1282.0513000000001</v>
      </c>
      <c r="O190" s="20">
        <f t="shared" si="9"/>
        <v>29.3469625</v>
      </c>
      <c r="P190" s="7"/>
      <c r="Q190" s="13"/>
      <c r="R190" s="14"/>
      <c r="S190" s="14"/>
      <c r="T190" s="27"/>
      <c r="U190" s="28">
        <f t="shared" si="10"/>
        <v>0.60256412500000012</v>
      </c>
    </row>
    <row r="191" spans="1:21" x14ac:dyDescent="0.25">
      <c r="A191" s="6" t="s">
        <v>43</v>
      </c>
      <c r="B191" s="6" t="s">
        <v>61</v>
      </c>
      <c r="C191" s="15">
        <v>1380.84</v>
      </c>
      <c r="D191" s="16">
        <v>39.643000000000001</v>
      </c>
      <c r="E191" s="16">
        <v>43.965000000000003</v>
      </c>
      <c r="F191" s="16">
        <v>45.154000000000003</v>
      </c>
      <c r="G191" s="16">
        <v>147.93</v>
      </c>
      <c r="H191" s="16">
        <f t="shared" si="8"/>
        <v>40.872124999999997</v>
      </c>
      <c r="I191" s="5"/>
      <c r="J191" s="15">
        <v>1491.184</v>
      </c>
      <c r="K191" s="16">
        <v>41.3431</v>
      </c>
      <c r="L191" s="16">
        <v>45.633000000000003</v>
      </c>
      <c r="M191" s="16">
        <v>46.8309</v>
      </c>
      <c r="N191" s="16">
        <v>268.93770000000001</v>
      </c>
      <c r="O191" s="16">
        <f t="shared" si="9"/>
        <v>42.565312499999997</v>
      </c>
      <c r="P191" s="7"/>
      <c r="Q191" s="8">
        <f>bdrate(C191:C194,D191:D194,J191:J194,K191:K194)</f>
        <v>-0.33005547307656147</v>
      </c>
      <c r="R191" s="8">
        <f>bdrate(C191:C194,E191:E194,J191:J194,L191:L194)</f>
        <v>-0.36487938087905103</v>
      </c>
      <c r="S191" s="8">
        <f>bdrate(C191:C194,F191:F194,J191:J194,M191:M194)</f>
        <v>-0.34136940150785566</v>
      </c>
      <c r="T191" s="25">
        <f>bdrate(C191:C194,H191:H194,J191:J194,O191:O194)</f>
        <v>-0.33384937240011126</v>
      </c>
      <c r="U191" s="28">
        <f t="shared" si="10"/>
        <v>0.81800648955587096</v>
      </c>
    </row>
    <row r="192" spans="1:21" x14ac:dyDescent="0.25">
      <c r="A192" s="9" t="s">
        <v>44</v>
      </c>
      <c r="B192" s="9"/>
      <c r="C192" s="17">
        <v>915.93</v>
      </c>
      <c r="D192" s="18">
        <v>38.26</v>
      </c>
      <c r="E192" s="18">
        <v>42.927</v>
      </c>
      <c r="F192" s="18">
        <v>44.13</v>
      </c>
      <c r="G192" s="18">
        <v>165.79</v>
      </c>
      <c r="H192" s="18">
        <f t="shared" si="8"/>
        <v>39.577125000000002</v>
      </c>
      <c r="I192" s="5"/>
      <c r="J192" s="17">
        <v>984.6232</v>
      </c>
      <c r="K192" s="18">
        <v>40.185099999999998</v>
      </c>
      <c r="L192" s="18">
        <v>44.661499999999997</v>
      </c>
      <c r="M192" s="18">
        <v>45.8048</v>
      </c>
      <c r="N192" s="18">
        <v>305.18819999999999</v>
      </c>
      <c r="O192" s="18">
        <f t="shared" si="9"/>
        <v>41.447112499999996</v>
      </c>
      <c r="P192" s="7"/>
      <c r="Q192" s="10"/>
      <c r="R192" s="11"/>
      <c r="S192" s="11"/>
      <c r="T192" s="26"/>
      <c r="U192" s="28">
        <f t="shared" si="10"/>
        <v>0.84081187043850658</v>
      </c>
    </row>
    <row r="193" spans="1:21" x14ac:dyDescent="0.25">
      <c r="B193" s="9"/>
      <c r="C193" s="17">
        <v>543.62</v>
      </c>
      <c r="D193" s="18">
        <v>36.271000000000001</v>
      </c>
      <c r="E193" s="18">
        <v>41.994999999999997</v>
      </c>
      <c r="F193" s="18">
        <v>43.075000000000003</v>
      </c>
      <c r="G193" s="18">
        <v>174.83</v>
      </c>
      <c r="H193" s="18">
        <f t="shared" si="8"/>
        <v>37.836999999999996</v>
      </c>
      <c r="I193" s="5"/>
      <c r="J193" s="17">
        <v>577.78719999999998</v>
      </c>
      <c r="K193" s="18">
        <v>38.200400000000002</v>
      </c>
      <c r="L193" s="18">
        <v>43.170699999999997</v>
      </c>
      <c r="M193" s="18">
        <v>44.245199999999997</v>
      </c>
      <c r="N193" s="18">
        <v>349.65030000000002</v>
      </c>
      <c r="O193" s="18">
        <f t="shared" si="9"/>
        <v>39.577287500000004</v>
      </c>
      <c r="P193" s="7"/>
      <c r="Q193" s="10"/>
      <c r="R193" s="11"/>
      <c r="S193" s="11"/>
      <c r="T193" s="26"/>
      <c r="U193" s="28">
        <f t="shared" si="10"/>
        <v>0.99994451753131608</v>
      </c>
    </row>
    <row r="194" spans="1:21" ht="16.5" thickBot="1" x14ac:dyDescent="0.3">
      <c r="B194" s="12"/>
      <c r="C194" s="19">
        <v>258.33</v>
      </c>
      <c r="D194" s="20">
        <v>33.881</v>
      </c>
      <c r="E194" s="20">
        <v>40.893999999999998</v>
      </c>
      <c r="F194" s="20">
        <v>41.746000000000002</v>
      </c>
      <c r="G194" s="20">
        <v>189.51</v>
      </c>
      <c r="H194" s="20">
        <f t="shared" si="8"/>
        <v>35.740749999999998</v>
      </c>
      <c r="I194" s="5"/>
      <c r="J194" s="19">
        <v>281.95760000000001</v>
      </c>
      <c r="K194" s="20">
        <v>34.830300000000001</v>
      </c>
      <c r="L194" s="20">
        <v>41.218000000000004</v>
      </c>
      <c r="M194" s="20">
        <v>42.189</v>
      </c>
      <c r="N194" s="20">
        <v>396.56310000000002</v>
      </c>
      <c r="O194" s="20">
        <f t="shared" si="9"/>
        <v>36.548600000000008</v>
      </c>
      <c r="P194" s="7"/>
      <c r="Q194" s="13"/>
      <c r="R194" s="14"/>
      <c r="S194" s="14"/>
      <c r="T194" s="27"/>
      <c r="U194" s="28">
        <f t="shared" si="10"/>
        <v>1.0925708405888874</v>
      </c>
    </row>
    <row r="195" spans="1:21" x14ac:dyDescent="0.25">
      <c r="B195" s="6" t="s">
        <v>62</v>
      </c>
      <c r="C195" s="15">
        <v>1427.49</v>
      </c>
      <c r="D195" s="16">
        <v>41.518999999999998</v>
      </c>
      <c r="E195" s="16">
        <v>46.395000000000003</v>
      </c>
      <c r="F195" s="16">
        <v>47.003</v>
      </c>
      <c r="G195" s="16">
        <v>141.41</v>
      </c>
      <c r="H195" s="16">
        <f t="shared" si="8"/>
        <v>42.813999999999993</v>
      </c>
      <c r="I195" s="5"/>
      <c r="J195" s="15">
        <v>1471.7552000000001</v>
      </c>
      <c r="K195" s="16">
        <v>42.599200000000003</v>
      </c>
      <c r="L195" s="16">
        <v>47.629800000000003</v>
      </c>
      <c r="M195" s="16">
        <v>48.2881</v>
      </c>
      <c r="N195" s="16">
        <v>293.5421</v>
      </c>
      <c r="O195" s="16">
        <f t="shared" si="9"/>
        <v>43.939137500000001</v>
      </c>
      <c r="P195" s="7"/>
      <c r="Q195" s="8">
        <f>bdrate(C195:C198,D195:D198,J195:J198,K195:K198)</f>
        <v>-0.45550606750328393</v>
      </c>
      <c r="R195" s="8">
        <f>bdrate(C195:C198,E195:E198,J195:J198,L195:L198)</f>
        <v>-0.51345350383090793</v>
      </c>
      <c r="S195" s="8">
        <f>bdrate(C195:C198,F195:F198,J195:J198,M195:M198)</f>
        <v>-0.5018571684328732</v>
      </c>
      <c r="T195" s="25">
        <f>bdrate(C195:C198,H195:H198,J195:J198,O195:O198)</f>
        <v>-0.46804148945800128</v>
      </c>
      <c r="U195" s="28">
        <f t="shared" ref="U195:U213" si="11">(N195-G195)/G195</f>
        <v>1.0758227848101267</v>
      </c>
    </row>
    <row r="196" spans="1:21" x14ac:dyDescent="0.25">
      <c r="B196" s="9"/>
      <c r="C196" s="17">
        <v>947.21</v>
      </c>
      <c r="D196" s="18">
        <v>40.816000000000003</v>
      </c>
      <c r="E196" s="18">
        <v>45.709000000000003</v>
      </c>
      <c r="F196" s="18">
        <v>46.337000000000003</v>
      </c>
      <c r="G196" s="18">
        <v>166.48</v>
      </c>
      <c r="H196" s="18">
        <f t="shared" si="8"/>
        <v>42.117750000000001</v>
      </c>
      <c r="I196" s="5"/>
      <c r="J196" s="17">
        <v>969.6096</v>
      </c>
      <c r="K196" s="18">
        <v>42.046199999999999</v>
      </c>
      <c r="L196" s="18">
        <v>47.089700000000001</v>
      </c>
      <c r="M196" s="18">
        <v>47.734200000000001</v>
      </c>
      <c r="N196" s="18">
        <v>343.44589999999999</v>
      </c>
      <c r="O196" s="18">
        <f t="shared" si="9"/>
        <v>43.387637499999997</v>
      </c>
      <c r="P196" s="7"/>
      <c r="Q196" s="10"/>
      <c r="R196" s="11"/>
      <c r="S196" s="11"/>
      <c r="T196" s="26"/>
      <c r="U196" s="28">
        <f t="shared" si="11"/>
        <v>1.0629859442575686</v>
      </c>
    </row>
    <row r="197" spans="1:21" x14ac:dyDescent="0.25">
      <c r="B197" s="9"/>
      <c r="C197" s="17">
        <v>557.84</v>
      </c>
      <c r="D197" s="18">
        <v>39.713000000000001</v>
      </c>
      <c r="E197" s="18">
        <v>44.707000000000001</v>
      </c>
      <c r="F197" s="18">
        <v>45.22</v>
      </c>
      <c r="G197" s="18">
        <v>174.01</v>
      </c>
      <c r="H197" s="18">
        <f t="shared" si="8"/>
        <v>41.025625000000005</v>
      </c>
      <c r="I197" s="5"/>
      <c r="J197" s="17">
        <v>574.77760000000001</v>
      </c>
      <c r="K197" s="18">
        <v>41.124000000000002</v>
      </c>
      <c r="L197" s="18">
        <v>46.212600000000002</v>
      </c>
      <c r="M197" s="18">
        <v>46.792400000000001</v>
      </c>
      <c r="N197" s="18">
        <v>373.36649999999997</v>
      </c>
      <c r="O197" s="18">
        <f t="shared" si="9"/>
        <v>42.468625000000003</v>
      </c>
      <c r="P197" s="7"/>
      <c r="Q197" s="10"/>
      <c r="R197" s="11"/>
      <c r="S197" s="11"/>
      <c r="T197" s="26"/>
      <c r="U197" s="28">
        <f t="shared" si="11"/>
        <v>1.1456611688983391</v>
      </c>
    </row>
    <row r="198" spans="1:21" ht="16.5" thickBot="1" x14ac:dyDescent="0.3">
      <c r="B198" s="12"/>
      <c r="C198" s="19">
        <v>265.36</v>
      </c>
      <c r="D198" s="20">
        <v>37.515000000000001</v>
      </c>
      <c r="E198" s="20">
        <v>43.505000000000003</v>
      </c>
      <c r="F198" s="20">
        <v>43.811999999999998</v>
      </c>
      <c r="G198" s="20">
        <v>189.45</v>
      </c>
      <c r="H198" s="20">
        <f t="shared" si="8"/>
        <v>39.050875000000005</v>
      </c>
      <c r="I198" s="5"/>
      <c r="J198" s="19">
        <v>277.072</v>
      </c>
      <c r="K198" s="20">
        <v>39.232900000000001</v>
      </c>
      <c r="L198" s="20">
        <v>44.510199999999998</v>
      </c>
      <c r="M198" s="20">
        <v>45.012099999999997</v>
      </c>
      <c r="N198" s="20">
        <v>409.27690000000001</v>
      </c>
      <c r="O198" s="20">
        <f t="shared" si="9"/>
        <v>40.614962499999997</v>
      </c>
      <c r="P198" s="7"/>
      <c r="Q198" s="13"/>
      <c r="R198" s="14"/>
      <c r="S198" s="14"/>
      <c r="T198" s="27"/>
      <c r="U198" s="28">
        <f t="shared" si="11"/>
        <v>1.1603425705991028</v>
      </c>
    </row>
    <row r="199" spans="1:21" x14ac:dyDescent="0.25">
      <c r="B199" s="6" t="s">
        <v>63</v>
      </c>
      <c r="C199" s="15">
        <v>1496.55</v>
      </c>
      <c r="D199" s="16">
        <v>41.255000000000003</v>
      </c>
      <c r="E199" s="16">
        <v>45.408000000000001</v>
      </c>
      <c r="F199" s="16">
        <v>46.223999999999997</v>
      </c>
      <c r="G199" s="16">
        <v>144.58000000000001</v>
      </c>
      <c r="H199" s="16">
        <f t="shared" si="8"/>
        <v>42.395250000000004</v>
      </c>
      <c r="I199" s="5"/>
      <c r="J199" s="15">
        <v>1534.1007999999999</v>
      </c>
      <c r="K199" s="16">
        <v>42.478200000000001</v>
      </c>
      <c r="L199" s="16">
        <v>46.75</v>
      </c>
      <c r="M199" s="16">
        <v>47.625500000000002</v>
      </c>
      <c r="N199" s="16">
        <v>280.6361</v>
      </c>
      <c r="O199" s="16">
        <f t="shared" si="9"/>
        <v>43.655587499999996</v>
      </c>
      <c r="P199" s="7"/>
      <c r="Q199" s="8">
        <f>bdrate(C199:C202,D199:D202,J199:J202,K199:K202)</f>
        <v>-0.40736495766125735</v>
      </c>
      <c r="R199" s="8">
        <f>bdrate(C199:C202,E199:E202,J199:J202,L199:L202)</f>
        <v>-0.44362255532116868</v>
      </c>
      <c r="S199" s="8">
        <f>bdrate(C199:C202,F199:F202,J199:J202,M199:M202)</f>
        <v>-0.43500621214806257</v>
      </c>
      <c r="T199" s="25">
        <f>bdrate(C199:C202,H199:H202,J199:J202,O199:O202)</f>
        <v>-0.41386296548531598</v>
      </c>
      <c r="U199" s="28">
        <f t="shared" si="11"/>
        <v>0.9410437128233502</v>
      </c>
    </row>
    <row r="200" spans="1:21" x14ac:dyDescent="0.25">
      <c r="B200" s="9"/>
      <c r="C200" s="17">
        <v>993.05</v>
      </c>
      <c r="D200" s="18">
        <v>40.148000000000003</v>
      </c>
      <c r="E200" s="18">
        <v>44.441000000000003</v>
      </c>
      <c r="F200" s="18">
        <v>45.262</v>
      </c>
      <c r="G200" s="18">
        <v>158.31</v>
      </c>
      <c r="H200" s="18">
        <f t="shared" si="8"/>
        <v>41.323875000000008</v>
      </c>
      <c r="I200" s="5"/>
      <c r="J200" s="17">
        <v>1007.0703999999999</v>
      </c>
      <c r="K200" s="18">
        <v>41.633400000000002</v>
      </c>
      <c r="L200" s="18">
        <v>45.951000000000001</v>
      </c>
      <c r="M200" s="18">
        <v>46.778700000000001</v>
      </c>
      <c r="N200" s="18">
        <v>323.27589999999998</v>
      </c>
      <c r="O200" s="18">
        <f t="shared" si="9"/>
        <v>42.816262500000008</v>
      </c>
      <c r="P200" s="7"/>
      <c r="Q200" s="10"/>
      <c r="R200" s="11"/>
      <c r="S200" s="11"/>
      <c r="T200" s="26"/>
      <c r="U200" s="28">
        <f t="shared" si="11"/>
        <v>1.0420434590360683</v>
      </c>
    </row>
    <row r="201" spans="1:21" x14ac:dyDescent="0.25">
      <c r="B201" s="9"/>
      <c r="C201" s="17">
        <v>588.17999999999995</v>
      </c>
      <c r="D201" s="18">
        <v>38.427</v>
      </c>
      <c r="E201" s="18">
        <v>43.21</v>
      </c>
      <c r="F201" s="18">
        <v>44.085000000000001</v>
      </c>
      <c r="G201" s="18">
        <v>167.18</v>
      </c>
      <c r="H201" s="18">
        <f t="shared" si="8"/>
        <v>39.732124999999996</v>
      </c>
      <c r="I201" s="5"/>
      <c r="J201" s="17">
        <v>599.44560000000001</v>
      </c>
      <c r="K201" s="18">
        <v>40.256999999999998</v>
      </c>
      <c r="L201" s="18">
        <v>44.728200000000001</v>
      </c>
      <c r="M201" s="18">
        <v>45.5366</v>
      </c>
      <c r="N201" s="18">
        <v>349.65030000000002</v>
      </c>
      <c r="O201" s="18">
        <f t="shared" si="9"/>
        <v>41.475850000000001</v>
      </c>
      <c r="P201" s="7"/>
      <c r="Q201" s="10"/>
      <c r="R201" s="11"/>
      <c r="S201" s="11"/>
      <c r="T201" s="26"/>
      <c r="U201" s="28">
        <f t="shared" si="11"/>
        <v>1.0914601028831199</v>
      </c>
    </row>
    <row r="202" spans="1:21" ht="16.5" thickBot="1" x14ac:dyDescent="0.3">
      <c r="B202" s="12"/>
      <c r="C202" s="19">
        <v>281.20999999999998</v>
      </c>
      <c r="D202" s="20">
        <v>35.996000000000002</v>
      </c>
      <c r="E202" s="20">
        <v>41.795999999999999</v>
      </c>
      <c r="F202" s="20">
        <v>42.76</v>
      </c>
      <c r="G202" s="20">
        <v>183.15</v>
      </c>
      <c r="H202" s="20">
        <f t="shared" si="8"/>
        <v>37.566499999999998</v>
      </c>
      <c r="I202" s="5"/>
      <c r="J202" s="19">
        <v>295.70479999999998</v>
      </c>
      <c r="K202" s="20">
        <v>37.608600000000003</v>
      </c>
      <c r="L202" s="20">
        <v>42.739400000000003</v>
      </c>
      <c r="M202" s="20">
        <v>43.555399999999999</v>
      </c>
      <c r="N202" s="20">
        <v>392.41329999999999</v>
      </c>
      <c r="O202" s="20">
        <f t="shared" si="9"/>
        <v>38.993300000000005</v>
      </c>
      <c r="P202" s="7"/>
      <c r="Q202" s="13"/>
      <c r="R202" s="14"/>
      <c r="S202" s="14"/>
      <c r="T202" s="27"/>
      <c r="U202" s="28">
        <f t="shared" si="11"/>
        <v>1.1425787605787605</v>
      </c>
    </row>
    <row r="203" spans="1:21" x14ac:dyDescent="0.25">
      <c r="A203" s="6" t="s">
        <v>99</v>
      </c>
      <c r="B203" s="6" t="s">
        <v>100</v>
      </c>
      <c r="C203" s="29">
        <v>1209.51</v>
      </c>
      <c r="D203" s="30">
        <v>41.524999999999999</v>
      </c>
      <c r="E203" s="30">
        <v>47.045000000000002</v>
      </c>
      <c r="F203" s="30">
        <v>48.156999999999996</v>
      </c>
      <c r="G203" s="16">
        <v>102.29</v>
      </c>
      <c r="H203" s="16">
        <f t="shared" ref="H203:H246" si="12">(6*D203+E203+F203)/8</f>
        <v>43.043999999999997</v>
      </c>
      <c r="I203" s="5"/>
      <c r="J203" s="15">
        <v>1287.4358999999999</v>
      </c>
      <c r="K203" s="16">
        <v>43.404800000000002</v>
      </c>
      <c r="L203" s="16">
        <v>49.183999999999997</v>
      </c>
      <c r="M203" s="16">
        <v>50.186999999999998</v>
      </c>
      <c r="N203" s="16">
        <v>185.77770000000001</v>
      </c>
      <c r="O203" s="16">
        <f t="shared" ref="O203:O213" si="13">(6*K203+L203+M203)/8</f>
        <v>44.974975000000001</v>
      </c>
      <c r="P203" s="7"/>
      <c r="Q203" s="8">
        <f>bdrate(C203:C206,D203:D206,J203:J206,K203:K206)</f>
        <v>-0.38818550593455448</v>
      </c>
      <c r="R203" s="8">
        <f>bdrate(C203:C206,E203:E206,J203:J206,L203:L206)</f>
        <v>-0.42932570982785978</v>
      </c>
      <c r="S203" s="8">
        <f>bdrate(C203:C206,F203:F206,J203:J206,M203:M206)</f>
        <v>-0.4582524761539839</v>
      </c>
      <c r="T203" s="25">
        <f>bdrate(C203:C206,H203:H206,J203:J206,O203:O206)</f>
        <v>-0.39891872234075498</v>
      </c>
      <c r="U203" s="28">
        <f t="shared" si="11"/>
        <v>0.81618633297487531</v>
      </c>
    </row>
    <row r="204" spans="1:21" x14ac:dyDescent="0.25">
      <c r="A204" s="9" t="s">
        <v>77</v>
      </c>
      <c r="B204" s="9"/>
      <c r="C204" s="31">
        <v>809.45</v>
      </c>
      <c r="D204" s="32">
        <v>39.354999999999997</v>
      </c>
      <c r="E204" s="32">
        <v>45.499000000000002</v>
      </c>
      <c r="F204" s="32">
        <v>46.645000000000003</v>
      </c>
      <c r="G204" s="18">
        <v>111.91</v>
      </c>
      <c r="H204" s="18">
        <f t="shared" si="12"/>
        <v>41.03425</v>
      </c>
      <c r="I204" s="5"/>
      <c r="J204" s="17">
        <v>881.40319999999997</v>
      </c>
      <c r="K204" s="18">
        <v>41.9193</v>
      </c>
      <c r="L204" s="18">
        <v>47.935699999999997</v>
      </c>
      <c r="M204" s="18">
        <v>48.816600000000001</v>
      </c>
      <c r="N204" s="18">
        <v>218.52619999999999</v>
      </c>
      <c r="O204" s="18">
        <f t="shared" si="13"/>
        <v>43.533512500000001</v>
      </c>
      <c r="P204" s="7"/>
      <c r="Q204" s="10"/>
      <c r="R204" s="11"/>
      <c r="S204" s="11"/>
      <c r="T204" s="26"/>
      <c r="U204" s="28">
        <f t="shared" si="11"/>
        <v>0.95269591636136175</v>
      </c>
    </row>
    <row r="205" spans="1:21" x14ac:dyDescent="0.25">
      <c r="B205" s="9"/>
      <c r="C205" s="31">
        <v>490.4</v>
      </c>
      <c r="D205" s="32">
        <v>36.546999999999997</v>
      </c>
      <c r="E205" s="32">
        <v>43.71</v>
      </c>
      <c r="F205" s="32">
        <v>44.92</v>
      </c>
      <c r="G205" s="18">
        <v>123.67</v>
      </c>
      <c r="H205" s="18">
        <f t="shared" si="12"/>
        <v>38.488999999999997</v>
      </c>
      <c r="I205" s="5"/>
      <c r="J205" s="17">
        <v>548.32309999999995</v>
      </c>
      <c r="K205" s="18">
        <v>39.747500000000002</v>
      </c>
      <c r="L205" s="18">
        <v>46.101599999999998</v>
      </c>
      <c r="M205" s="18">
        <v>47.4238</v>
      </c>
      <c r="N205" s="18">
        <v>258.69499999999999</v>
      </c>
      <c r="O205" s="18">
        <f t="shared" si="13"/>
        <v>41.501300000000001</v>
      </c>
      <c r="P205" s="7"/>
      <c r="Q205" s="10"/>
      <c r="R205" s="11"/>
      <c r="S205" s="11"/>
      <c r="T205" s="26"/>
      <c r="U205" s="28">
        <f t="shared" si="11"/>
        <v>1.0918169321581626</v>
      </c>
    </row>
    <row r="206" spans="1:21" ht="16.5" thickBot="1" x14ac:dyDescent="0.3">
      <c r="B206" s="12"/>
      <c r="C206" s="33">
        <v>249.29</v>
      </c>
      <c r="D206" s="34">
        <v>34.134</v>
      </c>
      <c r="E206" s="34">
        <v>41.457999999999998</v>
      </c>
      <c r="F206" s="34">
        <v>42.524999999999999</v>
      </c>
      <c r="G206" s="20">
        <v>142.55000000000001</v>
      </c>
      <c r="H206" s="20">
        <f t="shared" si="12"/>
        <v>36.098374999999997</v>
      </c>
      <c r="I206" s="5"/>
      <c r="J206" s="19">
        <v>283.34320000000002</v>
      </c>
      <c r="K206" s="20">
        <v>36.664900000000003</v>
      </c>
      <c r="L206" s="20">
        <v>43.841900000000003</v>
      </c>
      <c r="M206" s="20">
        <v>45.158099999999997</v>
      </c>
      <c r="N206" s="20">
        <v>322.2919</v>
      </c>
      <c r="O206" s="20">
        <f t="shared" si="13"/>
        <v>38.623674999999999</v>
      </c>
      <c r="P206" s="7"/>
      <c r="Q206" s="13"/>
      <c r="R206" s="14"/>
      <c r="S206" s="14"/>
      <c r="T206" s="27"/>
      <c r="U206" s="28">
        <f t="shared" si="11"/>
        <v>1.2609042441248683</v>
      </c>
    </row>
    <row r="207" spans="1:21" x14ac:dyDescent="0.25">
      <c r="B207" s="6" t="s">
        <v>101</v>
      </c>
      <c r="C207" s="15">
        <v>1472.64</v>
      </c>
      <c r="D207" s="16">
        <v>48.671999999999997</v>
      </c>
      <c r="E207" s="16">
        <v>49.750999999999998</v>
      </c>
      <c r="F207" s="16">
        <v>50.223999999999997</v>
      </c>
      <c r="G207" s="16">
        <v>186.1</v>
      </c>
      <c r="H207" s="16">
        <f t="shared" si="12"/>
        <v>49.000874999999994</v>
      </c>
      <c r="I207" s="5"/>
      <c r="J207" s="15">
        <v>1442.9251999999999</v>
      </c>
      <c r="K207" s="16">
        <v>51.4589</v>
      </c>
      <c r="L207" s="16">
        <v>52.421300000000002</v>
      </c>
      <c r="M207" s="16">
        <v>52.938899999999997</v>
      </c>
      <c r="N207" s="16">
        <v>293.35070000000002</v>
      </c>
      <c r="O207" s="16">
        <f t="shared" si="13"/>
        <v>51.764200000000002</v>
      </c>
      <c r="P207" s="7"/>
      <c r="Q207" s="8">
        <f>bdrate(C207:C210,D207:D210,J207:J210,K207:K210)</f>
        <v>-0.43500355652980971</v>
      </c>
      <c r="R207" s="8">
        <f>bdrate(C207:C210,E207:E210,J207:J210,L207:L210)</f>
        <v>-0.43392722802215</v>
      </c>
      <c r="S207" s="8">
        <f>bdrate(C207:C210,F207:F210,J207:J210,M207:M210)</f>
        <v>-0.43632299423855314</v>
      </c>
      <c r="T207" s="25">
        <f>bdrate(C207:C210,H207:H210,J207:J210,O207:O210)</f>
        <v>-0.43507984650433318</v>
      </c>
      <c r="U207" s="28">
        <f t="shared" si="11"/>
        <v>0.57630682428801738</v>
      </c>
    </row>
    <row r="208" spans="1:21" x14ac:dyDescent="0.25">
      <c r="B208" s="9"/>
      <c r="C208" s="17">
        <v>981.61</v>
      </c>
      <c r="D208" s="18">
        <v>46.033999999999999</v>
      </c>
      <c r="E208" s="18">
        <v>47.353999999999999</v>
      </c>
      <c r="F208" s="18">
        <v>47.902999999999999</v>
      </c>
      <c r="G208" s="18">
        <v>199.98</v>
      </c>
      <c r="H208" s="18">
        <f t="shared" si="12"/>
        <v>46.432625000000002</v>
      </c>
      <c r="I208" s="5"/>
      <c r="J208" s="17">
        <v>973.90869999999995</v>
      </c>
      <c r="K208" s="18">
        <v>49.350700000000003</v>
      </c>
      <c r="L208" s="18">
        <v>50.436399999999999</v>
      </c>
      <c r="M208" s="18">
        <v>50.999899999999997</v>
      </c>
      <c r="N208" s="18">
        <v>243.37479999999999</v>
      </c>
      <c r="O208" s="18">
        <f t="shared" si="13"/>
        <v>49.692562499999994</v>
      </c>
      <c r="P208" s="7"/>
      <c r="Q208" s="10"/>
      <c r="R208" s="11"/>
      <c r="S208" s="11"/>
      <c r="T208" s="26"/>
      <c r="U208" s="28">
        <f t="shared" si="11"/>
        <v>0.21699569956995701</v>
      </c>
    </row>
    <row r="209" spans="2:21" x14ac:dyDescent="0.25">
      <c r="B209" s="9"/>
      <c r="C209" s="17">
        <v>590.30999999999995</v>
      </c>
      <c r="D209" s="18">
        <v>42.978999999999999</v>
      </c>
      <c r="E209" s="18">
        <v>44.613999999999997</v>
      </c>
      <c r="F209" s="18">
        <v>45.16</v>
      </c>
      <c r="G209" s="18">
        <v>208.65</v>
      </c>
      <c r="H209" s="18">
        <f t="shared" si="12"/>
        <v>43.456000000000003</v>
      </c>
      <c r="I209" s="5"/>
      <c r="J209" s="17">
        <v>594.47450000000003</v>
      </c>
      <c r="K209" s="18">
        <v>46.514099999999999</v>
      </c>
      <c r="L209" s="18">
        <v>47.813499999999998</v>
      </c>
      <c r="M209" s="18">
        <v>48.375599999999999</v>
      </c>
      <c r="N209" s="18">
        <v>374.60980000000001</v>
      </c>
      <c r="O209" s="18">
        <f t="shared" si="13"/>
        <v>46.909212500000002</v>
      </c>
      <c r="P209" s="7"/>
      <c r="Q209" s="10"/>
      <c r="R209" s="11"/>
      <c r="S209" s="11"/>
      <c r="T209" s="26"/>
      <c r="U209" s="28">
        <f t="shared" si="11"/>
        <v>0.79539803498682005</v>
      </c>
    </row>
    <row r="210" spans="2:21" ht="16.5" thickBot="1" x14ac:dyDescent="0.3">
      <c r="B210" s="12"/>
      <c r="C210" s="19">
        <v>294.37</v>
      </c>
      <c r="D210" s="20">
        <v>39.411000000000001</v>
      </c>
      <c r="E210" s="20">
        <v>41.576000000000001</v>
      </c>
      <c r="F210" s="20">
        <v>42.152999999999999</v>
      </c>
      <c r="G210" s="20">
        <v>217.29</v>
      </c>
      <c r="H210" s="20">
        <f t="shared" si="12"/>
        <v>40.024375000000006</v>
      </c>
      <c r="I210" s="5"/>
      <c r="J210" s="19">
        <v>300.09719999999999</v>
      </c>
      <c r="K210" s="20">
        <v>42.255800000000001</v>
      </c>
      <c r="L210" s="20">
        <v>43.860399999999998</v>
      </c>
      <c r="M210" s="20">
        <v>44.41</v>
      </c>
      <c r="N210" s="20">
        <v>402.05489999999998</v>
      </c>
      <c r="O210" s="20">
        <f t="shared" si="13"/>
        <v>42.725650000000002</v>
      </c>
      <c r="P210" s="7"/>
      <c r="Q210" s="13"/>
      <c r="R210" s="14"/>
      <c r="S210" s="14"/>
      <c r="T210" s="27"/>
      <c r="U210" s="28">
        <f t="shared" si="11"/>
        <v>0.85031478669059779</v>
      </c>
    </row>
    <row r="211" spans="2:21" x14ac:dyDescent="0.25">
      <c r="B211" s="6" t="s">
        <v>102</v>
      </c>
      <c r="C211" s="15">
        <v>1553</v>
      </c>
      <c r="D211" s="16">
        <v>40.56</v>
      </c>
      <c r="E211" s="16">
        <v>43.265999999999998</v>
      </c>
      <c r="F211" s="16">
        <v>43.777999999999999</v>
      </c>
      <c r="G211" s="16">
        <v>125.55</v>
      </c>
      <c r="H211" s="16">
        <f t="shared" si="12"/>
        <v>41.300500000000007</v>
      </c>
      <c r="I211" s="5"/>
      <c r="J211" s="15">
        <v>1489.9457</v>
      </c>
      <c r="K211" s="16">
        <v>42.660800000000002</v>
      </c>
      <c r="L211" s="16">
        <v>45.001899999999999</v>
      </c>
      <c r="M211" s="16">
        <v>45.431399999999996</v>
      </c>
      <c r="N211" s="16">
        <v>176.97370000000001</v>
      </c>
      <c r="O211" s="16">
        <f t="shared" si="13"/>
        <v>43.2997625</v>
      </c>
      <c r="P211" s="7"/>
      <c r="Q211" s="8">
        <f>bdrate(C211:C214,D211:D214,J211:J214,K211:K214)</f>
        <v>-0.3775929337054803</v>
      </c>
      <c r="R211" s="8">
        <f>bdrate(C211:C214,E211:E214,J211:J214,L211:L214)</f>
        <v>-0.39413444926344976</v>
      </c>
      <c r="S211" s="8">
        <f>bdrate(C211:C214,F211:F214,J211:J214,M211:M214)</f>
        <v>-0.38121343178449529</v>
      </c>
      <c r="T211" s="25">
        <f>bdrate(C211:C214,H211:H214,J211:J214,O211:O214)</f>
        <v>-0.37950237105191442</v>
      </c>
      <c r="U211" s="28">
        <f t="shared" si="11"/>
        <v>0.40958741537236171</v>
      </c>
    </row>
    <row r="212" spans="2:21" x14ac:dyDescent="0.25">
      <c r="B212" s="9"/>
      <c r="C212" s="17">
        <v>1034.6199999999999</v>
      </c>
      <c r="D212" s="18">
        <v>38.53</v>
      </c>
      <c r="E212" s="18">
        <v>41.776000000000003</v>
      </c>
      <c r="F212" s="18">
        <v>42.283999999999999</v>
      </c>
      <c r="G212" s="18">
        <v>134.01</v>
      </c>
      <c r="H212" s="18">
        <f t="shared" si="12"/>
        <v>39.405000000000001</v>
      </c>
      <c r="I212" s="5"/>
      <c r="J212" s="17">
        <v>996.37480000000005</v>
      </c>
      <c r="K212" s="18">
        <v>40.715600000000002</v>
      </c>
      <c r="L212" s="18">
        <v>43.510300000000001</v>
      </c>
      <c r="M212" s="18">
        <v>43.922899999999998</v>
      </c>
      <c r="N212" s="18">
        <v>259.8528</v>
      </c>
      <c r="O212" s="18">
        <f t="shared" si="13"/>
        <v>41.465850000000003</v>
      </c>
      <c r="P212" s="7"/>
      <c r="Q212" s="10"/>
      <c r="R212" s="11"/>
      <c r="S212" s="11"/>
      <c r="T212" s="26"/>
      <c r="U212" s="28">
        <f t="shared" si="11"/>
        <v>0.93905529438101654</v>
      </c>
    </row>
    <row r="213" spans="2:21" x14ac:dyDescent="0.25">
      <c r="B213" s="9"/>
      <c r="C213" s="17">
        <v>623.02</v>
      </c>
      <c r="D213" s="18">
        <v>35.795000000000002</v>
      </c>
      <c r="E213" s="18">
        <v>39.985999999999997</v>
      </c>
      <c r="F213" s="18">
        <v>40.536000000000001</v>
      </c>
      <c r="G213" s="18">
        <v>149.07</v>
      </c>
      <c r="H213" s="18">
        <f t="shared" si="12"/>
        <v>36.911500000000004</v>
      </c>
      <c r="I213" s="5"/>
      <c r="J213" s="17">
        <v>600.63589999999999</v>
      </c>
      <c r="K213" s="18">
        <v>38.172400000000003</v>
      </c>
      <c r="L213" s="18">
        <v>41.677799999999998</v>
      </c>
      <c r="M213" s="18">
        <v>42.120600000000003</v>
      </c>
      <c r="N213" s="18">
        <v>295.08199999999999</v>
      </c>
      <c r="O213" s="18">
        <f t="shared" si="13"/>
        <v>39.104100000000003</v>
      </c>
      <c r="P213" s="7"/>
      <c r="Q213" s="10"/>
      <c r="R213" s="11"/>
      <c r="S213" s="11"/>
      <c r="T213" s="26"/>
      <c r="U213" s="28">
        <f t="shared" si="11"/>
        <v>0.97948614744750795</v>
      </c>
    </row>
    <row r="214" spans="2:21" ht="16.5" thickBot="1" x14ac:dyDescent="0.3">
      <c r="B214" s="12"/>
      <c r="C214" s="19">
        <v>313.95</v>
      </c>
      <c r="D214" s="20">
        <v>32.439</v>
      </c>
      <c r="E214" s="20">
        <v>37.537999999999997</v>
      </c>
      <c r="F214" s="20">
        <v>38.085999999999999</v>
      </c>
      <c r="G214" s="20">
        <v>163.66999999999999</v>
      </c>
      <c r="H214" s="20">
        <f t="shared" si="12"/>
        <v>33.782250000000005</v>
      </c>
      <c r="I214" s="5"/>
      <c r="J214" s="19">
        <v>301.5677</v>
      </c>
      <c r="K214" s="20">
        <v>34.3825</v>
      </c>
      <c r="L214" s="20">
        <v>39.048400000000001</v>
      </c>
      <c r="M214" s="20">
        <v>39.5381</v>
      </c>
      <c r="N214" s="20">
        <v>346.48700000000002</v>
      </c>
      <c r="O214" s="20">
        <f t="shared" ref="O214:O246" si="14">(6*K214+L214+M214)/8</f>
        <v>35.610187500000002</v>
      </c>
      <c r="P214" s="7"/>
      <c r="Q214" s="13"/>
      <c r="R214" s="14"/>
      <c r="S214" s="14"/>
      <c r="T214" s="27"/>
      <c r="U214" s="28">
        <f t="shared" ref="U214:U246" si="15">(N214-G214)/G214</f>
        <v>1.1169853974460808</v>
      </c>
    </row>
    <row r="215" spans="2:21" x14ac:dyDescent="0.25">
      <c r="B215" s="6" t="s">
        <v>103</v>
      </c>
      <c r="C215" s="15">
        <v>1374.85</v>
      </c>
      <c r="D215" s="16">
        <v>37.283999999999999</v>
      </c>
      <c r="E215" s="16">
        <v>42.143000000000001</v>
      </c>
      <c r="F215" s="16">
        <v>42.078000000000003</v>
      </c>
      <c r="G215" s="16">
        <v>107.23</v>
      </c>
      <c r="H215" s="16">
        <f t="shared" si="12"/>
        <v>38.490624999999994</v>
      </c>
      <c r="I215" s="5"/>
      <c r="J215" s="29">
        <v>1497.7275</v>
      </c>
      <c r="K215" s="30">
        <v>38.997700000000002</v>
      </c>
      <c r="L215" s="30">
        <v>43.473999999999997</v>
      </c>
      <c r="M215" s="30">
        <v>43.472099999999998</v>
      </c>
      <c r="N215" s="16">
        <v>203.13730000000001</v>
      </c>
      <c r="O215" s="16">
        <f t="shared" si="14"/>
        <v>40.1165375</v>
      </c>
      <c r="P215" s="7"/>
      <c r="Q215" s="8">
        <f>bdrate(C215:C218,D215:D218,J215:J218,K215:K218)</f>
        <v>-0.20048333227536808</v>
      </c>
      <c r="R215" s="8">
        <f>bdrate(C215:C218,E215:E218,J215:J218,L215:L218)</f>
        <v>-0.29658745027955191</v>
      </c>
      <c r="S215" s="8">
        <f>bdrate(C215:C218,F215:F218,J215:J218,M215:M218)</f>
        <v>-0.28590974150443793</v>
      </c>
      <c r="T215" s="25">
        <f>bdrate(C215:C218,H215:H218,J215:J218,O215:O218)</f>
        <v>-0.21897907813998618</v>
      </c>
      <c r="U215" s="28">
        <f t="shared" si="15"/>
        <v>0.89440734868973237</v>
      </c>
    </row>
    <row r="216" spans="2:21" x14ac:dyDescent="0.25">
      <c r="B216" s="9"/>
      <c r="C216" s="17">
        <v>912.5</v>
      </c>
      <c r="D216" s="18">
        <v>35.561999999999998</v>
      </c>
      <c r="E216" s="18">
        <v>40.831000000000003</v>
      </c>
      <c r="F216" s="18">
        <v>40.799999999999997</v>
      </c>
      <c r="G216" s="18">
        <v>118.58</v>
      </c>
      <c r="H216" s="18">
        <f t="shared" si="12"/>
        <v>36.875374999999998</v>
      </c>
      <c r="I216" s="5"/>
      <c r="J216" s="31">
        <v>995.80079999999998</v>
      </c>
      <c r="K216" s="32">
        <v>37.078099999999999</v>
      </c>
      <c r="L216" s="32">
        <v>42.109099999999998</v>
      </c>
      <c r="M216" s="32">
        <v>42.112699999999997</v>
      </c>
      <c r="N216" s="18">
        <v>237.2792</v>
      </c>
      <c r="O216" s="18">
        <f t="shared" si="14"/>
        <v>38.336300000000001</v>
      </c>
      <c r="P216" s="7"/>
      <c r="Q216" s="10"/>
      <c r="R216" s="11"/>
      <c r="S216" s="11"/>
      <c r="T216" s="26"/>
      <c r="U216" s="28">
        <f t="shared" si="15"/>
        <v>1.001005228537696</v>
      </c>
    </row>
    <row r="217" spans="2:21" x14ac:dyDescent="0.25">
      <c r="B217" s="9"/>
      <c r="C217" s="17">
        <v>544.57000000000005</v>
      </c>
      <c r="D217" s="18">
        <v>33.435000000000002</v>
      </c>
      <c r="E217" s="18">
        <v>39.290999999999997</v>
      </c>
      <c r="F217" s="18">
        <v>39.274000000000001</v>
      </c>
      <c r="G217" s="18">
        <v>130.22999999999999</v>
      </c>
      <c r="H217" s="18">
        <f t="shared" si="12"/>
        <v>34.896875000000001</v>
      </c>
      <c r="I217" s="5"/>
      <c r="J217" s="31">
        <v>601.09410000000003</v>
      </c>
      <c r="K217" s="32">
        <v>34.796599999999998</v>
      </c>
      <c r="L217" s="32">
        <v>40.640099999999997</v>
      </c>
      <c r="M217" s="32">
        <v>40.568300000000001</v>
      </c>
      <c r="N217" s="18">
        <v>272.10879999999997</v>
      </c>
      <c r="O217" s="18">
        <f t="shared" si="14"/>
        <v>36.2485</v>
      </c>
      <c r="P217" s="7"/>
      <c r="Q217" s="10"/>
      <c r="R217" s="11"/>
      <c r="S217" s="11"/>
      <c r="T217" s="26"/>
      <c r="U217" s="28">
        <f t="shared" si="15"/>
        <v>1.0894478998694617</v>
      </c>
    </row>
    <row r="218" spans="2:21" ht="16.5" thickBot="1" x14ac:dyDescent="0.3">
      <c r="B218" s="12"/>
      <c r="C218" s="19">
        <v>271.89</v>
      </c>
      <c r="D218" s="20">
        <v>30.524000000000001</v>
      </c>
      <c r="E218" s="20">
        <v>37.076000000000001</v>
      </c>
      <c r="F218" s="20">
        <v>37.091000000000001</v>
      </c>
      <c r="G218" s="20">
        <v>148.5</v>
      </c>
      <c r="H218" s="20">
        <f t="shared" si="12"/>
        <v>32.163874999999997</v>
      </c>
      <c r="I218" s="5"/>
      <c r="J218" s="33">
        <v>302.06760000000003</v>
      </c>
      <c r="K218" s="34">
        <v>31.674800000000001</v>
      </c>
      <c r="L218" s="34">
        <v>38.657899999999998</v>
      </c>
      <c r="M218" s="34">
        <v>38.518500000000003</v>
      </c>
      <c r="N218" s="20">
        <v>327.74950000000001</v>
      </c>
      <c r="O218" s="20">
        <f t="shared" si="14"/>
        <v>33.403150000000004</v>
      </c>
      <c r="P218" s="7"/>
      <c r="Q218" s="13"/>
      <c r="R218" s="14"/>
      <c r="S218" s="14"/>
      <c r="T218" s="27"/>
      <c r="U218" s="28">
        <f t="shared" si="15"/>
        <v>1.2070673400673402</v>
      </c>
    </row>
    <row r="219" spans="2:21" x14ac:dyDescent="0.25">
      <c r="B219" s="6" t="s">
        <v>104</v>
      </c>
      <c r="C219" s="29">
        <v>1531</v>
      </c>
      <c r="D219" s="30">
        <v>34.323</v>
      </c>
      <c r="E219" s="30">
        <v>38.927999999999997</v>
      </c>
      <c r="F219" s="30">
        <v>39.503999999999998</v>
      </c>
      <c r="G219" s="16">
        <v>126.52</v>
      </c>
      <c r="H219" s="16">
        <f t="shared" si="12"/>
        <v>35.546250000000001</v>
      </c>
      <c r="I219" s="5"/>
      <c r="J219" s="15">
        <v>1498.8072999999999</v>
      </c>
      <c r="K219" s="16">
        <v>36.906399999999998</v>
      </c>
      <c r="L219" s="16">
        <v>41.418999999999997</v>
      </c>
      <c r="M219" s="16">
        <v>41.957999999999998</v>
      </c>
      <c r="N219" s="16">
        <v>208.21279999999999</v>
      </c>
      <c r="O219" s="16">
        <f t="shared" si="14"/>
        <v>38.101924999999994</v>
      </c>
      <c r="P219" s="7"/>
      <c r="Q219" s="8">
        <f>bdrate(C219:C222,D219:D222,J219:J222,K219:K222)</f>
        <v>-0.39466908194748074</v>
      </c>
      <c r="R219" s="8">
        <f>bdrate(C219:C222,E219:E222,J219:J222,L219:L222)</f>
        <v>-0.52123708885237385</v>
      </c>
      <c r="S219" s="8">
        <f>bdrate(C219:C222,F219:F222,J219:J222,M219:M222)</f>
        <v>-0.53721323585333747</v>
      </c>
      <c r="T219" s="25">
        <f>bdrate(C219:C222,H219:H222,J219:J222,O219:O222)</f>
        <v>-0.42144439633536446</v>
      </c>
      <c r="U219" s="28">
        <f t="shared" si="15"/>
        <v>0.64569079987353772</v>
      </c>
    </row>
    <row r="220" spans="2:21" x14ac:dyDescent="0.25">
      <c r="B220" s="9"/>
      <c r="C220" s="31">
        <v>1020.58</v>
      </c>
      <c r="D220" s="32">
        <v>32.619</v>
      </c>
      <c r="E220" s="32">
        <v>37.634</v>
      </c>
      <c r="F220" s="32">
        <v>38.235999999999997</v>
      </c>
      <c r="G220" s="18">
        <v>135.27000000000001</v>
      </c>
      <c r="H220" s="18">
        <f t="shared" si="12"/>
        <v>33.948</v>
      </c>
      <c r="I220" s="5"/>
      <c r="J220" s="17">
        <v>1002.9527</v>
      </c>
      <c r="K220" s="18">
        <v>34.968699999999998</v>
      </c>
      <c r="L220" s="18">
        <v>39.959499999999998</v>
      </c>
      <c r="M220" s="18">
        <v>40.544899999999998</v>
      </c>
      <c r="N220" s="18">
        <v>238.8852</v>
      </c>
      <c r="O220" s="18">
        <f t="shared" si="14"/>
        <v>36.289574999999999</v>
      </c>
      <c r="P220" s="7"/>
      <c r="Q220" s="10"/>
      <c r="R220" s="11"/>
      <c r="S220" s="11"/>
      <c r="T220" s="26"/>
      <c r="U220" s="28">
        <f t="shared" si="15"/>
        <v>0.76598802395209564</v>
      </c>
    </row>
    <row r="221" spans="2:21" x14ac:dyDescent="0.25">
      <c r="B221" s="9"/>
      <c r="C221" s="31">
        <v>612.96</v>
      </c>
      <c r="D221" s="32">
        <v>30.524999999999999</v>
      </c>
      <c r="E221" s="32">
        <v>36.246000000000002</v>
      </c>
      <c r="F221" s="32">
        <v>36.902000000000001</v>
      </c>
      <c r="G221" s="18">
        <v>151.22</v>
      </c>
      <c r="H221" s="18">
        <f t="shared" si="12"/>
        <v>32.03725</v>
      </c>
      <c r="I221" s="5"/>
      <c r="J221" s="17">
        <v>599.18169999999998</v>
      </c>
      <c r="K221" s="18">
        <v>32.587499999999999</v>
      </c>
      <c r="L221" s="18">
        <v>38.3005</v>
      </c>
      <c r="M221" s="18">
        <v>38.9696</v>
      </c>
      <c r="N221" s="18">
        <v>274.05599999999998</v>
      </c>
      <c r="O221" s="18">
        <f t="shared" si="14"/>
        <v>34.099387499999999</v>
      </c>
      <c r="P221" s="7"/>
      <c r="Q221" s="10"/>
      <c r="R221" s="11"/>
      <c r="S221" s="11"/>
      <c r="T221" s="26"/>
      <c r="U221" s="28">
        <f t="shared" si="15"/>
        <v>0.81229996032270857</v>
      </c>
    </row>
    <row r="222" spans="2:21" ht="16.5" thickBot="1" x14ac:dyDescent="0.3">
      <c r="B222" s="12"/>
      <c r="C222" s="33">
        <v>305.27999999999997</v>
      </c>
      <c r="D222" s="34">
        <v>27.622</v>
      </c>
      <c r="E222" s="34">
        <v>34.298999999999999</v>
      </c>
      <c r="F222" s="34">
        <v>35.203000000000003</v>
      </c>
      <c r="G222" s="20">
        <v>166.02</v>
      </c>
      <c r="H222" s="20">
        <f t="shared" si="12"/>
        <v>29.404250000000001</v>
      </c>
      <c r="I222" s="5"/>
      <c r="J222" s="19">
        <v>297.83269999999999</v>
      </c>
      <c r="K222" s="20">
        <v>29.3367</v>
      </c>
      <c r="L222" s="20">
        <v>36.1952</v>
      </c>
      <c r="M222" s="20">
        <v>36.953200000000002</v>
      </c>
      <c r="N222" s="20">
        <v>328.64710000000002</v>
      </c>
      <c r="O222" s="20">
        <f t="shared" si="14"/>
        <v>31.146075</v>
      </c>
      <c r="P222" s="7"/>
      <c r="Q222" s="13"/>
      <c r="R222" s="14"/>
      <c r="S222" s="14"/>
      <c r="T222" s="27"/>
      <c r="U222" s="28">
        <f t="shared" si="15"/>
        <v>0.97956330562582827</v>
      </c>
    </row>
    <row r="223" spans="2:21" x14ac:dyDescent="0.25">
      <c r="B223" s="6" t="s">
        <v>105</v>
      </c>
      <c r="C223" s="15">
        <v>1491.96</v>
      </c>
      <c r="D223" s="16">
        <v>35.993000000000002</v>
      </c>
      <c r="E223" s="16">
        <v>41.628999999999998</v>
      </c>
      <c r="F223" s="16">
        <v>43.048000000000002</v>
      </c>
      <c r="G223" s="16">
        <v>98.68</v>
      </c>
      <c r="H223" s="16">
        <f t="shared" si="12"/>
        <v>37.579375000000006</v>
      </c>
      <c r="I223" s="5"/>
      <c r="J223" s="15">
        <v>1511.8400999999999</v>
      </c>
      <c r="K223" s="16">
        <v>37.1111</v>
      </c>
      <c r="L223" s="16">
        <v>43.003300000000003</v>
      </c>
      <c r="M223" s="16">
        <v>44.395400000000002</v>
      </c>
      <c r="N223" s="16">
        <v>199.9778</v>
      </c>
      <c r="O223" s="16">
        <f t="shared" si="14"/>
        <v>38.758162500000005</v>
      </c>
      <c r="P223" s="7"/>
      <c r="Q223" s="8">
        <f>bdrate(C223:C226,D223:D226,J223:J226,K223:K226)</f>
        <v>-0.26449301731810371</v>
      </c>
      <c r="R223" s="8">
        <f>bdrate(C223:C226,E223:E226,J223:J226,L223:L226)</f>
        <v>-0.45258851982161197</v>
      </c>
      <c r="S223" s="8">
        <f>bdrate(C223:C226,F223:F226,J223:J226,M223:M226)</f>
        <v>-0.42468849566430988</v>
      </c>
      <c r="T223" s="25">
        <f>bdrate(C223:C226,H223:H226,J223:J226,O223:O226)</f>
        <v>-0.3039680062942256</v>
      </c>
      <c r="U223" s="28">
        <f t="shared" si="15"/>
        <v>1.0265281718686663</v>
      </c>
    </row>
    <row r="224" spans="2:21" x14ac:dyDescent="0.25">
      <c r="B224" s="9"/>
      <c r="C224" s="17">
        <v>998.1</v>
      </c>
      <c r="D224" s="18">
        <v>34.664000000000001</v>
      </c>
      <c r="E224" s="18">
        <v>40.597999999999999</v>
      </c>
      <c r="F224" s="18">
        <v>41.868000000000002</v>
      </c>
      <c r="G224" s="18">
        <v>109.98</v>
      </c>
      <c r="H224" s="18">
        <f t="shared" si="12"/>
        <v>36.306249999999999</v>
      </c>
      <c r="I224" s="5"/>
      <c r="J224" s="17">
        <v>1005.3803</v>
      </c>
      <c r="K224" s="18">
        <v>35.677799999999998</v>
      </c>
      <c r="L224" s="18">
        <v>42.009099999999997</v>
      </c>
      <c r="M224" s="18">
        <v>43.2712</v>
      </c>
      <c r="N224" s="18">
        <v>231.6901</v>
      </c>
      <c r="O224" s="18">
        <f t="shared" si="14"/>
        <v>37.418387500000001</v>
      </c>
      <c r="P224" s="7"/>
      <c r="Q224" s="10"/>
      <c r="R224" s="11"/>
      <c r="S224" s="11"/>
      <c r="T224" s="26"/>
      <c r="U224" s="28">
        <f t="shared" si="15"/>
        <v>1.1066566648481542</v>
      </c>
    </row>
    <row r="225" spans="2:21" x14ac:dyDescent="0.25">
      <c r="B225" s="9"/>
      <c r="C225" s="17">
        <v>599.89</v>
      </c>
      <c r="D225" s="18">
        <v>33.054000000000002</v>
      </c>
      <c r="E225" s="18">
        <v>39.454999999999998</v>
      </c>
      <c r="F225" s="18">
        <v>40.454999999999998</v>
      </c>
      <c r="G225" s="18">
        <v>121.97</v>
      </c>
      <c r="H225" s="18">
        <f t="shared" si="12"/>
        <v>34.779249999999998</v>
      </c>
      <c r="I225" s="5"/>
      <c r="J225" s="17">
        <v>604.73050000000001</v>
      </c>
      <c r="K225" s="18">
        <v>34.035499999999999</v>
      </c>
      <c r="L225" s="18">
        <v>40.829799999999999</v>
      </c>
      <c r="M225" s="18">
        <v>41.983499999999999</v>
      </c>
      <c r="N225" s="18">
        <v>267.6182</v>
      </c>
      <c r="O225" s="18">
        <f t="shared" si="14"/>
        <v>35.878287499999999</v>
      </c>
      <c r="P225" s="7"/>
      <c r="Q225" s="10"/>
      <c r="R225" s="11"/>
      <c r="S225" s="11"/>
      <c r="T225" s="26"/>
      <c r="U225" s="28">
        <f t="shared" si="15"/>
        <v>1.194131343773059</v>
      </c>
    </row>
    <row r="226" spans="2:21" ht="16.5" thickBot="1" x14ac:dyDescent="0.3">
      <c r="B226" s="12"/>
      <c r="C226" s="19">
        <v>306.2</v>
      </c>
      <c r="D226" s="20">
        <v>31.050999999999998</v>
      </c>
      <c r="E226" s="20">
        <v>38.130000000000003</v>
      </c>
      <c r="F226" s="20">
        <v>38.816000000000003</v>
      </c>
      <c r="G226" s="20">
        <v>142.79</v>
      </c>
      <c r="H226" s="20">
        <f t="shared" si="12"/>
        <v>32.906499999999994</v>
      </c>
      <c r="I226" s="5"/>
      <c r="J226" s="19">
        <v>302.6859</v>
      </c>
      <c r="K226" s="20">
        <v>31.953199999999999</v>
      </c>
      <c r="L226" s="20">
        <v>39.3324</v>
      </c>
      <c r="M226" s="20">
        <v>40.247900000000001</v>
      </c>
      <c r="N226" s="20">
        <v>320.45580000000001</v>
      </c>
      <c r="O226" s="20">
        <f t="shared" si="14"/>
        <v>33.912437500000003</v>
      </c>
      <c r="P226" s="7"/>
      <c r="Q226" s="13"/>
      <c r="R226" s="14"/>
      <c r="S226" s="14"/>
      <c r="T226" s="27"/>
      <c r="U226" s="28">
        <f t="shared" si="15"/>
        <v>1.2442453953358081</v>
      </c>
    </row>
    <row r="227" spans="2:21" x14ac:dyDescent="0.25">
      <c r="B227" s="6" t="s">
        <v>106</v>
      </c>
      <c r="C227" s="15">
        <v>1589.28</v>
      </c>
      <c r="D227" s="16">
        <v>45.186</v>
      </c>
      <c r="E227" s="16">
        <v>50.283999999999999</v>
      </c>
      <c r="F227" s="16">
        <v>51.69</v>
      </c>
      <c r="G227" s="16">
        <v>122.68</v>
      </c>
      <c r="H227" s="16">
        <f t="shared" si="12"/>
        <v>46.636249999999997</v>
      </c>
      <c r="I227" s="5"/>
      <c r="J227" s="15">
        <v>1499.0866000000001</v>
      </c>
      <c r="K227" s="16">
        <v>47.3658</v>
      </c>
      <c r="L227" s="16">
        <v>52.656399999999998</v>
      </c>
      <c r="M227" s="16">
        <v>54.023600000000002</v>
      </c>
      <c r="N227" s="16">
        <v>234.3974</v>
      </c>
      <c r="O227" s="16">
        <f t="shared" si="14"/>
        <v>48.859349999999999</v>
      </c>
      <c r="P227" s="7"/>
      <c r="Q227" s="8">
        <f>bdrate(C227:C230,D227:D230,J227:J230,K227:K230)</f>
        <v>-0.39328658653380832</v>
      </c>
      <c r="R227" s="8">
        <f>bdrate(C227:C230,E227:E230,J227:J230,L227:L230)</f>
        <v>-0.43330892955543321</v>
      </c>
      <c r="S227" s="8">
        <f>bdrate(C227:C230,F227:F230,J227:J230,M227:M230)</f>
        <v>-0.41162592197157921</v>
      </c>
      <c r="T227" s="25">
        <f>bdrate(C227:C230,H227:H230,J227:J230,O227:O230)</f>
        <v>-0.40033125857204688</v>
      </c>
      <c r="U227" s="28">
        <f t="shared" si="15"/>
        <v>0.91064069122921409</v>
      </c>
    </row>
    <row r="228" spans="2:21" x14ac:dyDescent="0.25">
      <c r="B228" s="9"/>
      <c r="C228" s="17">
        <v>1059.45</v>
      </c>
      <c r="D228" s="18">
        <v>43.395000000000003</v>
      </c>
      <c r="E228" s="18">
        <v>48.691000000000003</v>
      </c>
      <c r="F228" s="18">
        <v>50.177</v>
      </c>
      <c r="G228" s="18">
        <v>139.61000000000001</v>
      </c>
      <c r="H228" s="18">
        <f t="shared" si="12"/>
        <v>44.904750000000007</v>
      </c>
      <c r="I228" s="5"/>
      <c r="J228" s="17">
        <v>1001.3665999999999</v>
      </c>
      <c r="K228" s="18">
        <v>45.521000000000001</v>
      </c>
      <c r="L228" s="18">
        <v>50.962499999999999</v>
      </c>
      <c r="M228" s="18">
        <v>52.388300000000001</v>
      </c>
      <c r="N228" s="18">
        <v>275.20269999999999</v>
      </c>
      <c r="O228" s="18">
        <f t="shared" si="14"/>
        <v>47.059599999999996</v>
      </c>
      <c r="P228" s="7"/>
      <c r="Q228" s="10"/>
      <c r="R228" s="11"/>
      <c r="S228" s="11"/>
      <c r="T228" s="26"/>
      <c r="U228" s="28">
        <f t="shared" si="15"/>
        <v>0.97122484062746195</v>
      </c>
    </row>
    <row r="229" spans="2:21" x14ac:dyDescent="0.25">
      <c r="B229" s="9"/>
      <c r="C229" s="17">
        <v>636.83000000000004</v>
      </c>
      <c r="D229" s="18">
        <v>41.156999999999996</v>
      </c>
      <c r="E229" s="18">
        <v>46.805999999999997</v>
      </c>
      <c r="F229" s="18">
        <v>48.345999999999997</v>
      </c>
      <c r="G229" s="18">
        <v>157.75</v>
      </c>
      <c r="H229" s="18">
        <f t="shared" si="12"/>
        <v>42.761749999999999</v>
      </c>
      <c r="I229" s="5"/>
      <c r="J229" s="17">
        <v>602.69939999999997</v>
      </c>
      <c r="K229" s="18">
        <v>43.1708</v>
      </c>
      <c r="L229" s="18">
        <v>48.873899999999999</v>
      </c>
      <c r="M229" s="18">
        <v>50.2179</v>
      </c>
      <c r="N229" s="18">
        <v>315.11649999999997</v>
      </c>
      <c r="O229" s="18">
        <f t="shared" si="14"/>
        <v>44.764575000000001</v>
      </c>
      <c r="P229" s="7"/>
      <c r="Q229" s="10"/>
      <c r="R229" s="11"/>
      <c r="S229" s="11"/>
      <c r="T229" s="26"/>
      <c r="U229" s="28">
        <f t="shared" si="15"/>
        <v>0.99756893819334369</v>
      </c>
    </row>
    <row r="230" spans="2:21" ht="16.5" thickBot="1" x14ac:dyDescent="0.3">
      <c r="B230" s="12"/>
      <c r="C230" s="19">
        <v>320.41000000000003</v>
      </c>
      <c r="D230" s="20">
        <v>38.165999999999997</v>
      </c>
      <c r="E230" s="20">
        <v>44.218000000000004</v>
      </c>
      <c r="F230" s="20">
        <v>45.777999999999999</v>
      </c>
      <c r="G230" s="20">
        <v>178.24</v>
      </c>
      <c r="H230" s="20">
        <f t="shared" si="12"/>
        <v>39.874000000000002</v>
      </c>
      <c r="I230" s="5"/>
      <c r="J230" s="19">
        <v>302.12880000000001</v>
      </c>
      <c r="K230" s="20">
        <v>39.863100000000003</v>
      </c>
      <c r="L230" s="20">
        <v>45.7393</v>
      </c>
      <c r="M230" s="20">
        <v>47.125300000000003</v>
      </c>
      <c r="N230" s="20">
        <v>364.9828</v>
      </c>
      <c r="O230" s="20">
        <f t="shared" si="14"/>
        <v>41.505400000000002</v>
      </c>
      <c r="P230" s="7"/>
      <c r="Q230" s="13"/>
      <c r="R230" s="14"/>
      <c r="S230" s="14"/>
      <c r="T230" s="27"/>
      <c r="U230" s="28">
        <f t="shared" si="15"/>
        <v>1.0477042190305206</v>
      </c>
    </row>
    <row r="231" spans="2:21" x14ac:dyDescent="0.25">
      <c r="B231" s="6" t="s">
        <v>107</v>
      </c>
      <c r="C231" s="15">
        <v>1464.32</v>
      </c>
      <c r="D231" s="16">
        <v>30.920999999999999</v>
      </c>
      <c r="E231" s="16">
        <v>38.965000000000003</v>
      </c>
      <c r="F231" s="16">
        <v>38.357999999999997</v>
      </c>
      <c r="G231" s="16">
        <v>89.52</v>
      </c>
      <c r="H231" s="16">
        <f t="shared" si="12"/>
        <v>32.856124999999999</v>
      </c>
      <c r="I231" s="5"/>
      <c r="J231" s="15">
        <v>1495.0839000000001</v>
      </c>
      <c r="K231" s="16">
        <v>31.944600000000001</v>
      </c>
      <c r="L231" s="16">
        <v>40.145499999999998</v>
      </c>
      <c r="M231" s="16">
        <v>39.5246</v>
      </c>
      <c r="N231" s="16">
        <v>159.3484</v>
      </c>
      <c r="O231" s="16">
        <f t="shared" si="14"/>
        <v>33.917212499999998</v>
      </c>
      <c r="P231" s="7"/>
      <c r="Q231" s="8">
        <f>bdrate(C231:C234,D231:D234,J231:J234,K231:K234)</f>
        <v>-0.15395892792004418</v>
      </c>
      <c r="R231" s="8">
        <f>bdrate(C231:C234,E231:E234,J231:J234,L231:L234)</f>
        <v>-0.38305242105260739</v>
      </c>
      <c r="S231" s="8">
        <f>bdrate(C231:C234,F231:F234,J231:J234,M231:M234)</f>
        <v>-0.3703758716512624</v>
      </c>
      <c r="T231" s="25">
        <f>bdrate(C231:C234,H231:H234,J231:J234,O231:O234)</f>
        <v>-0.20303127273695543</v>
      </c>
      <c r="U231" s="28">
        <f t="shared" si="15"/>
        <v>0.78003127792672033</v>
      </c>
    </row>
    <row r="232" spans="2:21" x14ac:dyDescent="0.25">
      <c r="B232" s="9"/>
      <c r="C232" s="17">
        <v>976.02</v>
      </c>
      <c r="D232" s="18">
        <v>29.26</v>
      </c>
      <c r="E232" s="18">
        <v>37.798000000000002</v>
      </c>
      <c r="F232" s="18">
        <v>37.137</v>
      </c>
      <c r="G232" s="18">
        <v>100.08</v>
      </c>
      <c r="H232" s="18">
        <f t="shared" si="12"/>
        <v>31.311875000000001</v>
      </c>
      <c r="I232" s="5"/>
      <c r="J232" s="17">
        <v>995.52290000000005</v>
      </c>
      <c r="K232" s="18">
        <v>30.1616</v>
      </c>
      <c r="L232" s="18">
        <v>39.181800000000003</v>
      </c>
      <c r="M232" s="18">
        <v>38.496099999999998</v>
      </c>
      <c r="N232" s="18">
        <v>184.61539999999999</v>
      </c>
      <c r="O232" s="18">
        <f t="shared" si="14"/>
        <v>32.330937500000005</v>
      </c>
      <c r="P232" s="7"/>
      <c r="Q232" s="10"/>
      <c r="R232" s="11"/>
      <c r="S232" s="11"/>
      <c r="T232" s="26"/>
      <c r="U232" s="28">
        <f t="shared" si="15"/>
        <v>0.84467825739408475</v>
      </c>
    </row>
    <row r="233" spans="2:21" x14ac:dyDescent="0.25">
      <c r="B233" s="9"/>
      <c r="C233" s="17">
        <v>587.14</v>
      </c>
      <c r="D233" s="18">
        <v>27.202999999999999</v>
      </c>
      <c r="E233" s="18">
        <v>36.244</v>
      </c>
      <c r="F233" s="18">
        <v>35.590000000000003</v>
      </c>
      <c r="G233" s="18">
        <v>113.02</v>
      </c>
      <c r="H233" s="18">
        <f t="shared" si="12"/>
        <v>29.381499999999999</v>
      </c>
      <c r="I233" s="5"/>
      <c r="J233" s="17">
        <v>597.17750000000001</v>
      </c>
      <c r="K233" s="18">
        <v>27.9085</v>
      </c>
      <c r="L233" s="18">
        <v>37.833399999999997</v>
      </c>
      <c r="M233" s="18">
        <v>37.089700000000001</v>
      </c>
      <c r="N233" s="18">
        <v>231.24359999999999</v>
      </c>
      <c r="O233" s="18">
        <f t="shared" si="14"/>
        <v>30.2967625</v>
      </c>
      <c r="P233" s="7"/>
      <c r="Q233" s="10"/>
      <c r="R233" s="11"/>
      <c r="S233" s="11"/>
      <c r="T233" s="26"/>
      <c r="U233" s="28">
        <f t="shared" si="15"/>
        <v>1.0460414086002476</v>
      </c>
    </row>
    <row r="234" spans="2:21" ht="16.5" thickBot="1" x14ac:dyDescent="0.3">
      <c r="B234" s="12"/>
      <c r="C234" s="19">
        <v>292.18</v>
      </c>
      <c r="D234" s="20">
        <v>24.408999999999999</v>
      </c>
      <c r="E234" s="20">
        <v>33.613999999999997</v>
      </c>
      <c r="F234" s="20">
        <v>33.091000000000001</v>
      </c>
      <c r="G234" s="20">
        <v>133.38999999999999</v>
      </c>
      <c r="H234" s="20">
        <f t="shared" si="12"/>
        <v>26.644875000000003</v>
      </c>
      <c r="I234" s="5"/>
      <c r="J234" s="19">
        <v>299.36599999999999</v>
      </c>
      <c r="K234" s="20">
        <v>25.080200000000001</v>
      </c>
      <c r="L234" s="20">
        <v>35.4407</v>
      </c>
      <c r="M234" s="20">
        <v>34.831400000000002</v>
      </c>
      <c r="N234" s="20">
        <v>295.03359999999998</v>
      </c>
      <c r="O234" s="20">
        <f t="shared" si="14"/>
        <v>27.594162499999999</v>
      </c>
      <c r="P234" s="7"/>
      <c r="Q234" s="13"/>
      <c r="R234" s="14"/>
      <c r="S234" s="14"/>
      <c r="T234" s="27"/>
      <c r="U234" s="28">
        <f t="shared" si="15"/>
        <v>1.2118119799085389</v>
      </c>
    </row>
    <row r="235" spans="2:21" x14ac:dyDescent="0.25">
      <c r="B235" s="6" t="s">
        <v>108</v>
      </c>
      <c r="C235" s="15">
        <v>1508.08</v>
      </c>
      <c r="D235" s="16">
        <v>42.093000000000004</v>
      </c>
      <c r="E235" s="16">
        <v>43.423000000000002</v>
      </c>
      <c r="F235" s="16">
        <v>43.304000000000002</v>
      </c>
      <c r="G235" s="16">
        <v>115.27</v>
      </c>
      <c r="H235" s="16">
        <f t="shared" si="12"/>
        <v>42.410624999999996</v>
      </c>
      <c r="I235" s="5"/>
      <c r="J235" s="15">
        <v>1421.0835999999999</v>
      </c>
      <c r="K235" s="16">
        <v>44.881</v>
      </c>
      <c r="L235" s="16">
        <v>45.980800000000002</v>
      </c>
      <c r="M235" s="16">
        <v>45.853000000000002</v>
      </c>
      <c r="N235" s="16">
        <v>166.72839999999999</v>
      </c>
      <c r="O235" s="16">
        <f t="shared" si="14"/>
        <v>45.139975</v>
      </c>
      <c r="P235" s="7"/>
      <c r="Q235" s="8">
        <f>bdrate(C235:C238,D235:D238,J235:J238,K235:K238)</f>
        <v>-0.42441806102668589</v>
      </c>
      <c r="R235" s="8">
        <f>bdrate(C235:C238,E235:E238,J235:J238,L235:L238)</f>
        <v>-0.45427233265516465</v>
      </c>
      <c r="S235" s="8">
        <f>bdrate(C235:C238,F235:F238,J235:J238,M235:M238)</f>
        <v>-0.44228350368571157</v>
      </c>
      <c r="T235" s="25">
        <f>bdrate(C235:C238,H235:H238,J235:J238,O235:O238)</f>
        <v>-0.42960665009979315</v>
      </c>
      <c r="U235" s="28">
        <f t="shared" si="15"/>
        <v>0.44641624013186432</v>
      </c>
    </row>
    <row r="236" spans="2:21" x14ac:dyDescent="0.25">
      <c r="B236" s="9"/>
      <c r="C236" s="17">
        <v>1004.7</v>
      </c>
      <c r="D236" s="18">
        <v>39.814999999999998</v>
      </c>
      <c r="E236" s="18">
        <v>41.566000000000003</v>
      </c>
      <c r="F236" s="18">
        <v>41.404000000000003</v>
      </c>
      <c r="G236" s="18">
        <v>139.18</v>
      </c>
      <c r="H236" s="18">
        <f t="shared" si="12"/>
        <v>40.232500000000002</v>
      </c>
      <c r="I236" s="5"/>
      <c r="J236" s="17">
        <v>961.03729999999996</v>
      </c>
      <c r="K236" s="18">
        <v>42.993099999999998</v>
      </c>
      <c r="L236" s="18">
        <v>44.319899999999997</v>
      </c>
      <c r="M236" s="18">
        <v>44.261899999999997</v>
      </c>
      <c r="N236" s="18">
        <v>252.4898</v>
      </c>
      <c r="O236" s="18">
        <f t="shared" si="14"/>
        <v>43.317549999999997</v>
      </c>
      <c r="P236" s="7"/>
      <c r="Q236" s="10"/>
      <c r="R236" s="11"/>
      <c r="S236" s="11"/>
      <c r="T236" s="26"/>
      <c r="U236" s="28">
        <f t="shared" si="15"/>
        <v>0.81412415576950703</v>
      </c>
    </row>
    <row r="237" spans="2:21" x14ac:dyDescent="0.25">
      <c r="B237" s="9"/>
      <c r="C237" s="17">
        <v>606.12</v>
      </c>
      <c r="D237" s="18">
        <v>36.97</v>
      </c>
      <c r="E237" s="18">
        <v>39.198999999999998</v>
      </c>
      <c r="F237" s="18">
        <v>39.098999999999997</v>
      </c>
      <c r="G237" s="18">
        <v>157.84</v>
      </c>
      <c r="H237" s="18">
        <f t="shared" si="12"/>
        <v>37.514749999999999</v>
      </c>
      <c r="I237" s="5"/>
      <c r="J237" s="17">
        <v>584.60029999999995</v>
      </c>
      <c r="K237" s="18">
        <v>40.009399999999999</v>
      </c>
      <c r="L237" s="18">
        <v>41.880800000000001</v>
      </c>
      <c r="M237" s="18">
        <v>41.699199999999998</v>
      </c>
      <c r="N237" s="18">
        <v>297.42230000000001</v>
      </c>
      <c r="O237" s="18">
        <f t="shared" si="14"/>
        <v>40.454550000000005</v>
      </c>
      <c r="P237" s="7"/>
      <c r="Q237" s="10"/>
      <c r="R237" s="11"/>
      <c r="S237" s="11"/>
      <c r="T237" s="26"/>
      <c r="U237" s="28">
        <f t="shared" si="15"/>
        <v>0.8843278003041054</v>
      </c>
    </row>
    <row r="238" spans="2:21" ht="16.5" thickBot="1" x14ac:dyDescent="0.3">
      <c r="B238" s="12"/>
      <c r="C238" s="19">
        <v>301.60000000000002</v>
      </c>
      <c r="D238" s="20">
        <v>33.005000000000003</v>
      </c>
      <c r="E238" s="20">
        <v>36.249000000000002</v>
      </c>
      <c r="F238" s="20">
        <v>35.756999999999998</v>
      </c>
      <c r="G238" s="20">
        <v>165.3</v>
      </c>
      <c r="H238" s="20">
        <f t="shared" si="12"/>
        <v>33.7545</v>
      </c>
      <c r="I238" s="5"/>
      <c r="J238" s="19">
        <v>294.59210000000002</v>
      </c>
      <c r="K238" s="20">
        <v>35.610300000000002</v>
      </c>
      <c r="L238" s="20">
        <v>38.57</v>
      </c>
      <c r="M238" s="20">
        <v>38.197099999999999</v>
      </c>
      <c r="N238" s="20">
        <v>346.55369999999999</v>
      </c>
      <c r="O238" s="20">
        <f t="shared" si="14"/>
        <v>36.3036125</v>
      </c>
      <c r="P238" s="7"/>
      <c r="Q238" s="13"/>
      <c r="R238" s="14"/>
      <c r="S238" s="14"/>
      <c r="T238" s="27"/>
      <c r="U238" s="28">
        <f t="shared" si="15"/>
        <v>1.0965136116152447</v>
      </c>
    </row>
    <row r="239" spans="2:21" x14ac:dyDescent="0.25">
      <c r="B239" s="6" t="s">
        <v>109</v>
      </c>
      <c r="C239" s="15">
        <v>1986.62</v>
      </c>
      <c r="D239" s="16">
        <v>42.1</v>
      </c>
      <c r="E239" s="16">
        <v>44.296999999999997</v>
      </c>
      <c r="F239" s="16">
        <v>44.512</v>
      </c>
      <c r="G239" s="16">
        <v>134.79</v>
      </c>
      <c r="H239" s="16">
        <f t="shared" si="12"/>
        <v>42.676125000000006</v>
      </c>
      <c r="I239" s="5"/>
      <c r="J239" s="15">
        <v>1406.9559999999999</v>
      </c>
      <c r="K239" s="16">
        <v>45.471499999999999</v>
      </c>
      <c r="L239" s="16">
        <v>47.719200000000001</v>
      </c>
      <c r="M239" s="16">
        <v>47.948999999999998</v>
      </c>
      <c r="N239" s="16">
        <v>206.77770000000001</v>
      </c>
      <c r="O239" s="16">
        <f t="shared" si="14"/>
        <v>46.062150000000003</v>
      </c>
      <c r="P239" s="7"/>
      <c r="Q239" s="8">
        <f>bdrate(C239:C242,D239:D242,J239:J242,K239:K242)</f>
        <v>-0.57231744469439128</v>
      </c>
      <c r="R239" s="8">
        <f>bdrate(C239:C242,E239:E242,J239:J242,L239:L242)</f>
        <v>-0.61507557428341408</v>
      </c>
      <c r="S239" s="8">
        <f>bdrate(C239:C242,F239:F242,J239:J242,M239:M242)</f>
        <v>-0.61880778199380571</v>
      </c>
      <c r="T239" s="25">
        <f>bdrate(C239:C242,H239:H242,J239:J242,O239:O242)</f>
        <v>-0.5827999018741542</v>
      </c>
      <c r="U239" s="28">
        <f t="shared" si="15"/>
        <v>0.53407300244825295</v>
      </c>
    </row>
    <row r="240" spans="2:21" x14ac:dyDescent="0.25">
      <c r="B240" s="9"/>
      <c r="C240" s="17">
        <v>1298.25</v>
      </c>
      <c r="D240" s="18">
        <v>40.106000000000002</v>
      </c>
      <c r="E240" s="18">
        <v>42.497</v>
      </c>
      <c r="F240" s="18">
        <v>42.725000000000001</v>
      </c>
      <c r="G240" s="18">
        <v>151.22</v>
      </c>
      <c r="H240" s="18">
        <f t="shared" si="12"/>
        <v>40.732250000000008</v>
      </c>
      <c r="I240" s="5"/>
      <c r="J240" s="17">
        <v>972.74270000000001</v>
      </c>
      <c r="K240" s="18">
        <v>43.8857</v>
      </c>
      <c r="L240" s="18">
        <v>46.377600000000001</v>
      </c>
      <c r="M240" s="18">
        <v>46.627499999999998</v>
      </c>
      <c r="N240" s="18">
        <v>229.82640000000001</v>
      </c>
      <c r="O240" s="18">
        <f t="shared" si="14"/>
        <v>44.539912500000007</v>
      </c>
      <c r="P240" s="7"/>
      <c r="Q240" s="10"/>
      <c r="R240" s="11"/>
      <c r="S240" s="11"/>
      <c r="T240" s="26"/>
      <c r="U240" s="28">
        <f t="shared" si="15"/>
        <v>0.51981483930697003</v>
      </c>
    </row>
    <row r="241" spans="2:21" x14ac:dyDescent="0.25">
      <c r="B241" s="9"/>
      <c r="C241" s="17">
        <v>755.41</v>
      </c>
      <c r="D241" s="18">
        <v>37.735999999999997</v>
      </c>
      <c r="E241" s="18">
        <v>40.427999999999997</v>
      </c>
      <c r="F241" s="18">
        <v>40.692</v>
      </c>
      <c r="G241" s="18">
        <v>165.78</v>
      </c>
      <c r="H241" s="18">
        <f t="shared" si="12"/>
        <v>38.442</v>
      </c>
      <c r="I241" s="5"/>
      <c r="J241" s="17">
        <v>633.72720000000004</v>
      </c>
      <c r="K241" s="18">
        <v>41.299199999999999</v>
      </c>
      <c r="L241" s="18">
        <v>44.041699999999999</v>
      </c>
      <c r="M241" s="18">
        <v>44.336100000000002</v>
      </c>
      <c r="N241" s="18">
        <v>258.06450000000001</v>
      </c>
      <c r="O241" s="18">
        <f t="shared" si="14"/>
        <v>42.021625</v>
      </c>
      <c r="P241" s="7"/>
      <c r="Q241" s="10"/>
      <c r="R241" s="11"/>
      <c r="S241" s="11"/>
      <c r="T241" s="26"/>
      <c r="U241" s="28">
        <f t="shared" si="15"/>
        <v>0.5566684762938835</v>
      </c>
    </row>
    <row r="242" spans="2:21" ht="16.5" thickBot="1" x14ac:dyDescent="0.3">
      <c r="B242" s="12"/>
      <c r="C242" s="19">
        <v>363.18</v>
      </c>
      <c r="D242" s="20">
        <v>34.506999999999998</v>
      </c>
      <c r="E242" s="20">
        <v>37.880000000000003</v>
      </c>
      <c r="F242" s="20">
        <v>38.207999999999998</v>
      </c>
      <c r="G242" s="20">
        <v>180.85</v>
      </c>
      <c r="H242" s="20">
        <f t="shared" si="12"/>
        <v>35.391249999999999</v>
      </c>
      <c r="I242" s="5"/>
      <c r="J242" s="19">
        <v>337.25279999999998</v>
      </c>
      <c r="K242" s="20">
        <v>37.010399999999997</v>
      </c>
      <c r="L242" s="20">
        <v>40.2742</v>
      </c>
      <c r="M242" s="20">
        <v>40.536499999999997</v>
      </c>
      <c r="N242" s="20">
        <v>349.17559999999997</v>
      </c>
      <c r="O242" s="20">
        <f t="shared" si="14"/>
        <v>37.859137499999996</v>
      </c>
      <c r="P242" s="7"/>
      <c r="Q242" s="13"/>
      <c r="R242" s="14"/>
      <c r="S242" s="14"/>
      <c r="T242" s="27"/>
      <c r="U242" s="28">
        <f t="shared" si="15"/>
        <v>0.93074702792369357</v>
      </c>
    </row>
    <row r="243" spans="2:21" x14ac:dyDescent="0.25">
      <c r="B243" s="6" t="s">
        <v>110</v>
      </c>
      <c r="C243" s="15">
        <v>1532.07</v>
      </c>
      <c r="D243" s="16">
        <v>31.146000000000001</v>
      </c>
      <c r="E243" s="16">
        <v>35.21</v>
      </c>
      <c r="F243" s="16">
        <v>34.131</v>
      </c>
      <c r="G243" s="16">
        <v>107.03</v>
      </c>
      <c r="H243" s="16">
        <f t="shared" si="12"/>
        <v>32.027124999999998</v>
      </c>
      <c r="I243" s="5"/>
      <c r="J243" s="29">
        <v>1505.8457000000001</v>
      </c>
      <c r="K243" s="30">
        <v>32.307099999999998</v>
      </c>
      <c r="L243" s="30">
        <v>36.517600000000002</v>
      </c>
      <c r="M243" s="30">
        <v>35.425199999999997</v>
      </c>
      <c r="N243" s="16">
        <v>183.72970000000001</v>
      </c>
      <c r="O243" s="16">
        <f t="shared" si="14"/>
        <v>33.223175000000005</v>
      </c>
      <c r="P243" s="7"/>
      <c r="Q243" s="8">
        <f>bdrate(C243:C246,D243:D246,J243:J246,K243:K246)</f>
        <v>-0.18856433718385179</v>
      </c>
      <c r="R243" s="8">
        <f>bdrate(C243:C246,E243:E246,J243:J246,L243:L246)</f>
        <v>-0.41149022072313401</v>
      </c>
      <c r="S243" s="8">
        <f>bdrate(C243:C246,F243:F246,J243:J246,M243:M246)</f>
        <v>-0.38617090037987412</v>
      </c>
      <c r="T243" s="25">
        <f>bdrate(C243:C246,H243:H246,J243:J246,O243:O246)</f>
        <v>-0.23168955533402202</v>
      </c>
      <c r="U243" s="28">
        <f t="shared" si="15"/>
        <v>0.71661870503597125</v>
      </c>
    </row>
    <row r="244" spans="2:21" x14ac:dyDescent="0.25">
      <c r="B244" s="9"/>
      <c r="C244" s="17">
        <v>1019.13</v>
      </c>
      <c r="D244" s="18">
        <v>29.492000000000001</v>
      </c>
      <c r="E244" s="18">
        <v>34.142000000000003</v>
      </c>
      <c r="F244" s="18">
        <v>33.011000000000003</v>
      </c>
      <c r="G244" s="18">
        <v>117.49</v>
      </c>
      <c r="H244" s="18">
        <f t="shared" si="12"/>
        <v>30.513124999999999</v>
      </c>
      <c r="I244" s="5"/>
      <c r="J244" s="31">
        <v>1003.7800999999999</v>
      </c>
      <c r="K244" s="32">
        <v>30.428699999999999</v>
      </c>
      <c r="L244" s="32">
        <v>35.453099999999999</v>
      </c>
      <c r="M244" s="32">
        <v>34.308999999999997</v>
      </c>
      <c r="N244" s="18">
        <v>215.28530000000001</v>
      </c>
      <c r="O244" s="18">
        <f t="shared" si="14"/>
        <v>31.541787500000002</v>
      </c>
      <c r="P244" s="7"/>
      <c r="Q244" s="10"/>
      <c r="R244" s="11"/>
      <c r="S244" s="11"/>
      <c r="T244" s="26"/>
      <c r="U244" s="28">
        <f t="shared" si="15"/>
        <v>0.83237126563962904</v>
      </c>
    </row>
    <row r="245" spans="2:21" x14ac:dyDescent="0.25">
      <c r="B245" s="9"/>
      <c r="C245" s="17">
        <v>606.74</v>
      </c>
      <c r="D245" s="18">
        <v>27.518000000000001</v>
      </c>
      <c r="E245" s="18">
        <v>32.856999999999999</v>
      </c>
      <c r="F245" s="18">
        <v>31.619</v>
      </c>
      <c r="G245" s="18">
        <v>130.53</v>
      </c>
      <c r="H245" s="18">
        <f t="shared" si="12"/>
        <v>28.698</v>
      </c>
      <c r="I245" s="5"/>
      <c r="J245" s="31">
        <v>602.11040000000003</v>
      </c>
      <c r="K245" s="32">
        <v>28.220099999999999</v>
      </c>
      <c r="L245" s="32">
        <v>34.197699999999998</v>
      </c>
      <c r="M245" s="32">
        <v>32.941499999999998</v>
      </c>
      <c r="N245" s="18">
        <v>258.65789999999998</v>
      </c>
      <c r="O245" s="18">
        <f t="shared" si="14"/>
        <v>29.557474999999997</v>
      </c>
      <c r="P245" s="7"/>
      <c r="Q245" s="10"/>
      <c r="R245" s="11"/>
      <c r="S245" s="11"/>
      <c r="T245" s="26"/>
      <c r="U245" s="28">
        <f t="shared" si="15"/>
        <v>0.98159733394621906</v>
      </c>
    </row>
    <row r="246" spans="2:21" ht="16.5" thickBot="1" x14ac:dyDescent="0.3">
      <c r="B246" s="12"/>
      <c r="C246" s="19">
        <v>300.39999999999998</v>
      </c>
      <c r="D246" s="20">
        <v>24.998000000000001</v>
      </c>
      <c r="E246" s="20">
        <v>30.875</v>
      </c>
      <c r="F246" s="20">
        <v>29.581</v>
      </c>
      <c r="G246" s="20">
        <v>148.69</v>
      </c>
      <c r="H246" s="20">
        <f t="shared" si="12"/>
        <v>26.305499999999999</v>
      </c>
      <c r="I246" s="5"/>
      <c r="J246" s="33">
        <v>303.55279999999999</v>
      </c>
      <c r="K246" s="34">
        <v>25.6768</v>
      </c>
      <c r="L246" s="34">
        <v>32.354799999999997</v>
      </c>
      <c r="M246" s="34">
        <v>30.979800000000001</v>
      </c>
      <c r="N246" s="20">
        <v>321.37119999999999</v>
      </c>
      <c r="O246" s="20">
        <f t="shared" si="14"/>
        <v>27.174424999999999</v>
      </c>
      <c r="P246" s="7"/>
      <c r="Q246" s="13"/>
      <c r="R246" s="14"/>
      <c r="S246" s="14"/>
      <c r="T246" s="27"/>
      <c r="U246" s="28">
        <f t="shared" si="15"/>
        <v>1.1613504606900262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-0.31718239605438681</v>
      </c>
      <c r="R247" s="21">
        <f>AVERAGE(R131:R246)</f>
        <v>-0.45449803756778495</v>
      </c>
      <c r="S247" s="21">
        <f>AVERAGE(S131:S246)</f>
        <v>-0.44367859595061254</v>
      </c>
      <c r="T247" s="21">
        <f>AVERAGE(T131:T246)</f>
        <v>-0.34210797190682757</v>
      </c>
      <c r="U247" s="21">
        <f>AVERAGE(U131:U246)</f>
        <v>0.84386276275566841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633" priority="453" operator="greaterThan">
      <formula>0.03</formula>
    </cfRule>
    <cfRule type="cellIs" dxfId="632" priority="454" stopIfTrue="1" operator="lessThan">
      <formula>-0.03</formula>
    </cfRule>
  </conditionalFormatting>
  <conditionalFormatting sqref="Q33:T36">
    <cfRule type="cellIs" dxfId="631" priority="451" operator="greaterThan">
      <formula>0.03</formula>
    </cfRule>
    <cfRule type="cellIs" dxfId="630" priority="452" stopIfTrue="1" operator="lessThan">
      <formula>-0.03</formula>
    </cfRule>
  </conditionalFormatting>
  <conditionalFormatting sqref="Q46:T48 Q62:T64">
    <cfRule type="cellIs" dxfId="629" priority="449" operator="greaterThan">
      <formula>0.03</formula>
    </cfRule>
    <cfRule type="cellIs" dxfId="628" priority="450" stopIfTrue="1" operator="lessThan">
      <formula>-0.03</formula>
    </cfRule>
  </conditionalFormatting>
  <conditionalFormatting sqref="Q50:T52 Q54:T56 Q58:T60">
    <cfRule type="cellIs" dxfId="627" priority="447" operator="greaterThan">
      <formula>0.03</formula>
    </cfRule>
    <cfRule type="cellIs" dxfId="626" priority="448" stopIfTrue="1" operator="lessThan">
      <formula>-0.03</formula>
    </cfRule>
  </conditionalFormatting>
  <conditionalFormatting sqref="Q70:T72 Q74:T76">
    <cfRule type="cellIs" dxfId="625" priority="445" operator="greaterThan">
      <formula>0.03</formula>
    </cfRule>
    <cfRule type="cellIs" dxfId="624" priority="446" stopIfTrue="1" operator="lessThan">
      <formula>-0.03</formula>
    </cfRule>
  </conditionalFormatting>
  <conditionalFormatting sqref="Q66:T68">
    <cfRule type="cellIs" dxfId="623" priority="443" operator="greaterThan">
      <formula>0.03</formula>
    </cfRule>
    <cfRule type="cellIs" dxfId="622" priority="444" stopIfTrue="1" operator="lessThan">
      <formula>-0.03</formula>
    </cfRule>
  </conditionalFormatting>
  <conditionalFormatting sqref="Q78:T80">
    <cfRule type="cellIs" dxfId="621" priority="441" operator="greaterThan">
      <formula>0.03</formula>
    </cfRule>
    <cfRule type="cellIs" dxfId="620" priority="442" stopIfTrue="1" operator="lessThan">
      <formula>-0.03</formula>
    </cfRule>
  </conditionalFormatting>
  <conditionalFormatting sqref="Q21:T28">
    <cfRule type="cellIs" dxfId="619" priority="423" operator="greaterThan">
      <formula>0.03</formula>
    </cfRule>
    <cfRule type="cellIs" dxfId="618" priority="424" stopIfTrue="1" operator="lessThan">
      <formula>-0.03</formula>
    </cfRule>
  </conditionalFormatting>
  <conditionalFormatting sqref="Q151:T154 Q159:T166 Q131:T142">
    <cfRule type="cellIs" dxfId="617" priority="419" operator="greaterThan">
      <formula>0.03</formula>
    </cfRule>
    <cfRule type="cellIs" dxfId="616" priority="420" stopIfTrue="1" operator="lessThan">
      <formula>-0.03</formula>
    </cfRule>
  </conditionalFormatting>
  <conditionalFormatting sqref="Q155:T158">
    <cfRule type="cellIs" dxfId="615" priority="417" operator="greaterThan">
      <formula>0.03</formula>
    </cfRule>
    <cfRule type="cellIs" dxfId="614" priority="418" stopIfTrue="1" operator="lessThan">
      <formula>-0.03</formula>
    </cfRule>
  </conditionalFormatting>
  <conditionalFormatting sqref="Q167:T170 Q183:T186">
    <cfRule type="cellIs" dxfId="613" priority="415" operator="greaterThan">
      <formula>0.03</formula>
    </cfRule>
    <cfRule type="cellIs" dxfId="612" priority="416" stopIfTrue="1" operator="lessThan">
      <formula>-0.03</formula>
    </cfRule>
  </conditionalFormatting>
  <conditionalFormatting sqref="Q171:T182">
    <cfRule type="cellIs" dxfId="611" priority="413" operator="greaterThan">
      <formula>0.03</formula>
    </cfRule>
    <cfRule type="cellIs" dxfId="610" priority="414" stopIfTrue="1" operator="lessThan">
      <formula>-0.03</formula>
    </cfRule>
  </conditionalFormatting>
  <conditionalFormatting sqref="Q191:T198">
    <cfRule type="cellIs" dxfId="609" priority="411" operator="greaterThan">
      <formula>0.03</formula>
    </cfRule>
    <cfRule type="cellIs" dxfId="608" priority="412" stopIfTrue="1" operator="lessThan">
      <formula>-0.03</formula>
    </cfRule>
  </conditionalFormatting>
  <conditionalFormatting sqref="Q187:T190">
    <cfRule type="cellIs" dxfId="607" priority="409" operator="greaterThan">
      <formula>0.03</formula>
    </cfRule>
    <cfRule type="cellIs" dxfId="606" priority="410" stopIfTrue="1" operator="lessThan">
      <formula>-0.03</formula>
    </cfRule>
  </conditionalFormatting>
  <conditionalFormatting sqref="Q199:T202">
    <cfRule type="cellIs" dxfId="605" priority="407" operator="greaterThan">
      <formula>0.03</formula>
    </cfRule>
    <cfRule type="cellIs" dxfId="604" priority="408" stopIfTrue="1" operator="lessThan">
      <formula>-0.03</formula>
    </cfRule>
  </conditionalFormatting>
  <conditionalFormatting sqref="Q143:T150">
    <cfRule type="cellIs" dxfId="603" priority="405" operator="greaterThan">
      <formula>0.03</formula>
    </cfRule>
    <cfRule type="cellIs" dxfId="602" priority="406" stopIfTrue="1" operator="lessThan">
      <formula>-0.03</formula>
    </cfRule>
  </conditionalFormatting>
  <conditionalFormatting sqref="Q45:T45">
    <cfRule type="cellIs" dxfId="601" priority="403" operator="greaterThan">
      <formula>0.03</formula>
    </cfRule>
    <cfRule type="cellIs" dxfId="600" priority="404" stopIfTrue="1" operator="lessThan">
      <formula>-0.03</formula>
    </cfRule>
  </conditionalFormatting>
  <conditionalFormatting sqref="Q49:T49">
    <cfRule type="cellIs" dxfId="599" priority="401" operator="greaterThan">
      <formula>0.03</formula>
    </cfRule>
    <cfRule type="cellIs" dxfId="598" priority="402" stopIfTrue="1" operator="lessThan">
      <formula>-0.03</formula>
    </cfRule>
  </conditionalFormatting>
  <conditionalFormatting sqref="Q53:T53">
    <cfRule type="cellIs" dxfId="597" priority="399" operator="greaterThan">
      <formula>0.03</formula>
    </cfRule>
    <cfRule type="cellIs" dxfId="596" priority="400" stopIfTrue="1" operator="lessThan">
      <formula>-0.03</formula>
    </cfRule>
  </conditionalFormatting>
  <conditionalFormatting sqref="Q57:T57">
    <cfRule type="cellIs" dxfId="595" priority="397" operator="greaterThan">
      <formula>0.03</formula>
    </cfRule>
    <cfRule type="cellIs" dxfId="594" priority="398" stopIfTrue="1" operator="lessThan">
      <formula>-0.03</formula>
    </cfRule>
  </conditionalFormatting>
  <conditionalFormatting sqref="Q61:T61">
    <cfRule type="cellIs" dxfId="593" priority="395" operator="greaterThan">
      <formula>0.03</formula>
    </cfRule>
    <cfRule type="cellIs" dxfId="592" priority="396" stopIfTrue="1" operator="lessThan">
      <formula>-0.03</formula>
    </cfRule>
  </conditionalFormatting>
  <conditionalFormatting sqref="Q65:T65">
    <cfRule type="cellIs" dxfId="591" priority="393" operator="greaterThan">
      <formula>0.03</formula>
    </cfRule>
    <cfRule type="cellIs" dxfId="590" priority="394" stopIfTrue="1" operator="lessThan">
      <formula>-0.03</formula>
    </cfRule>
  </conditionalFormatting>
  <conditionalFormatting sqref="Q69:T69">
    <cfRule type="cellIs" dxfId="589" priority="391" operator="greaterThan">
      <formula>0.03</formula>
    </cfRule>
    <cfRule type="cellIs" dxfId="588" priority="392" stopIfTrue="1" operator="lessThan">
      <formula>-0.03</formula>
    </cfRule>
  </conditionalFormatting>
  <conditionalFormatting sqref="Q73:T73">
    <cfRule type="cellIs" dxfId="587" priority="389" operator="greaterThan">
      <formula>0.03</formula>
    </cfRule>
    <cfRule type="cellIs" dxfId="586" priority="390" stopIfTrue="1" operator="lessThan">
      <formula>-0.03</formula>
    </cfRule>
  </conditionalFormatting>
  <conditionalFormatting sqref="Q77:T77">
    <cfRule type="cellIs" dxfId="585" priority="387" operator="greaterThan">
      <formula>0.03</formula>
    </cfRule>
    <cfRule type="cellIs" dxfId="584" priority="388" stopIfTrue="1" operator="lessThan">
      <formula>-0.03</formula>
    </cfRule>
  </conditionalFormatting>
  <conditionalFormatting sqref="Q117:T117">
    <cfRule type="cellIs" dxfId="583" priority="99" operator="greaterThan">
      <formula>0.03</formula>
    </cfRule>
    <cfRule type="cellIs" dxfId="582" priority="100" stopIfTrue="1" operator="lessThan">
      <formula>-0.03</formula>
    </cfRule>
  </conditionalFormatting>
  <conditionalFormatting sqref="Q93:T96 Q101:T108 Q81:T84">
    <cfRule type="cellIs" dxfId="581" priority="113" operator="greaterThan">
      <formula>0.03</formula>
    </cfRule>
    <cfRule type="cellIs" dxfId="580" priority="114" stopIfTrue="1" operator="lessThan">
      <formula>-0.03</formula>
    </cfRule>
  </conditionalFormatting>
  <conditionalFormatting sqref="Q97:T100">
    <cfRule type="cellIs" dxfId="579" priority="111" operator="greaterThan">
      <formula>0.03</formula>
    </cfRule>
    <cfRule type="cellIs" dxfId="578" priority="112" stopIfTrue="1" operator="lessThan">
      <formula>-0.03</formula>
    </cfRule>
  </conditionalFormatting>
  <conditionalFormatting sqref="Q110:T112 Q122:T124">
    <cfRule type="cellIs" dxfId="577" priority="109" operator="greaterThan">
      <formula>0.03</formula>
    </cfRule>
    <cfRule type="cellIs" dxfId="576" priority="110" stopIfTrue="1" operator="lessThan">
      <formula>-0.03</formula>
    </cfRule>
  </conditionalFormatting>
  <conditionalFormatting sqref="Q114:T116 Q118:T120">
    <cfRule type="cellIs" dxfId="575" priority="107" operator="greaterThan">
      <formula>0.03</formula>
    </cfRule>
    <cfRule type="cellIs" dxfId="574" priority="108" stopIfTrue="1" operator="lessThan">
      <formula>-0.03</formula>
    </cfRule>
  </conditionalFormatting>
  <conditionalFormatting sqref="Q85:T92">
    <cfRule type="cellIs" dxfId="573" priority="105" operator="greaterThan">
      <formula>0.03</formula>
    </cfRule>
    <cfRule type="cellIs" dxfId="572" priority="106" stopIfTrue="1" operator="lessThan">
      <formula>-0.03</formula>
    </cfRule>
  </conditionalFormatting>
  <conditionalFormatting sqref="Q109:T109">
    <cfRule type="cellIs" dxfId="571" priority="103" operator="greaterThan">
      <formula>0.03</formula>
    </cfRule>
    <cfRule type="cellIs" dxfId="570" priority="104" stopIfTrue="1" operator="lessThan">
      <formula>-0.03</formula>
    </cfRule>
  </conditionalFormatting>
  <conditionalFormatting sqref="Q113:T113">
    <cfRule type="cellIs" dxfId="569" priority="101" operator="greaterThan">
      <formula>0.03</formula>
    </cfRule>
    <cfRule type="cellIs" dxfId="568" priority="102" stopIfTrue="1" operator="lessThan">
      <formula>-0.03</formula>
    </cfRule>
  </conditionalFormatting>
  <conditionalFormatting sqref="Q121:T121">
    <cfRule type="cellIs" dxfId="567" priority="97" operator="greaterThan">
      <formula>0.03</formula>
    </cfRule>
    <cfRule type="cellIs" dxfId="566" priority="98" stopIfTrue="1" operator="lessThan">
      <formula>-0.03</formula>
    </cfRule>
  </conditionalFormatting>
  <conditionalFormatting sqref="Q239:T239">
    <cfRule type="cellIs" dxfId="565" priority="33" operator="greaterThan">
      <formula>0.03</formula>
    </cfRule>
    <cfRule type="cellIs" dxfId="564" priority="34" stopIfTrue="1" operator="lessThan">
      <formula>-0.03</formula>
    </cfRule>
  </conditionalFormatting>
  <conditionalFormatting sqref="Q215:T218 Q223:T230 Q203:T206">
    <cfRule type="cellIs" dxfId="563" priority="47" operator="greaterThan">
      <formula>0.03</formula>
    </cfRule>
    <cfRule type="cellIs" dxfId="562" priority="48" stopIfTrue="1" operator="lessThan">
      <formula>-0.03</formula>
    </cfRule>
  </conditionalFormatting>
  <conditionalFormatting sqref="Q219:T222">
    <cfRule type="cellIs" dxfId="561" priority="45" operator="greaterThan">
      <formula>0.03</formula>
    </cfRule>
    <cfRule type="cellIs" dxfId="560" priority="46" stopIfTrue="1" operator="lessThan">
      <formula>-0.03</formula>
    </cfRule>
  </conditionalFormatting>
  <conditionalFormatting sqref="Q232:T234 Q244:T246">
    <cfRule type="cellIs" dxfId="559" priority="43" operator="greaterThan">
      <formula>0.03</formula>
    </cfRule>
    <cfRule type="cellIs" dxfId="558" priority="44" stopIfTrue="1" operator="lessThan">
      <formula>-0.03</formula>
    </cfRule>
  </conditionalFormatting>
  <conditionalFormatting sqref="Q236:T238 Q240:T242">
    <cfRule type="cellIs" dxfId="557" priority="41" operator="greaterThan">
      <formula>0.03</formula>
    </cfRule>
    <cfRule type="cellIs" dxfId="556" priority="42" stopIfTrue="1" operator="lessThan">
      <formula>-0.03</formula>
    </cfRule>
  </conditionalFormatting>
  <conditionalFormatting sqref="Q207:T214">
    <cfRule type="cellIs" dxfId="555" priority="39" operator="greaterThan">
      <formula>0.03</formula>
    </cfRule>
    <cfRule type="cellIs" dxfId="554" priority="40" stopIfTrue="1" operator="lessThan">
      <formula>-0.03</formula>
    </cfRule>
  </conditionalFormatting>
  <conditionalFormatting sqref="Q231:T231">
    <cfRule type="cellIs" dxfId="553" priority="37" operator="greaterThan">
      <formula>0.03</formula>
    </cfRule>
    <cfRule type="cellIs" dxfId="552" priority="38" stopIfTrue="1" operator="lessThan">
      <formula>-0.03</formula>
    </cfRule>
  </conditionalFormatting>
  <conditionalFormatting sqref="Q235:T235">
    <cfRule type="cellIs" dxfId="551" priority="35" operator="greaterThan">
      <formula>0.03</formula>
    </cfRule>
    <cfRule type="cellIs" dxfId="550" priority="36" stopIfTrue="1" operator="lessThan">
      <formula>-0.03</formula>
    </cfRule>
  </conditionalFormatting>
  <conditionalFormatting sqref="Q243:T243">
    <cfRule type="cellIs" dxfId="549" priority="31" operator="greaterThan">
      <formula>0.03</formula>
    </cfRule>
    <cfRule type="cellIs" dxfId="548" priority="32" stopIfTrue="1" operator="lessThan">
      <formula>-0.03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95</v>
      </c>
    </row>
    <row r="2" spans="1:21" x14ac:dyDescent="0.25">
      <c r="A2" t="s">
        <v>91</v>
      </c>
    </row>
    <row r="3" spans="1:21" x14ac:dyDescent="0.25">
      <c r="A3" t="s">
        <v>90</v>
      </c>
    </row>
    <row r="4" spans="1:21" x14ac:dyDescent="0.25">
      <c r="A4" t="s">
        <v>83</v>
      </c>
    </row>
    <row r="5" spans="1:21" s="35" customFormat="1" ht="15.75" customHeight="1" x14ac:dyDescent="0.25">
      <c r="B5" s="61" t="s">
        <v>29</v>
      </c>
      <c r="C5" s="63" t="s">
        <v>191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67</v>
      </c>
      <c r="D7" s="70"/>
      <c r="E7" s="70"/>
      <c r="F7" s="70"/>
      <c r="G7" s="70"/>
      <c r="H7" s="70"/>
      <c r="I7" s="5"/>
      <c r="J7" s="69" t="s">
        <v>184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3681.99</v>
      </c>
      <c r="D9" s="16">
        <v>37.9</v>
      </c>
      <c r="E9" s="16">
        <v>39.109000000000002</v>
      </c>
      <c r="F9" s="16">
        <v>41.478999999999999</v>
      </c>
      <c r="G9" s="16">
        <v>1.57</v>
      </c>
      <c r="H9" s="16">
        <f t="shared" ref="H9:H80" si="0">(6*D9+E9+F9)/8</f>
        <v>38.498499999999993</v>
      </c>
      <c r="I9" s="5"/>
      <c r="J9" s="15">
        <v>4106.9391999999998</v>
      </c>
      <c r="K9" s="16">
        <v>38.540999999999997</v>
      </c>
      <c r="L9" s="16">
        <v>40.197299999999998</v>
      </c>
      <c r="M9" s="16">
        <v>42.9542</v>
      </c>
      <c r="N9" s="16">
        <v>3.375</v>
      </c>
      <c r="O9" s="16">
        <f t="shared" ref="O9:O80" si="1">(6*K9+L9+M9)/8</f>
        <v>39.299687499999997</v>
      </c>
      <c r="P9" s="7"/>
      <c r="Q9" s="8">
        <f>bdrate(C9:C12,D9:D12,J9:J12,K9:K12)</f>
        <v>-4.878890147900572E-2</v>
      </c>
      <c r="R9" s="8">
        <f>bdrate(C9:C12,E9:E12,J9:J12,L9:L12)</f>
        <v>-0.45857633004483422</v>
      </c>
      <c r="S9" s="8">
        <f>bdrate(C9:C12,F9:F12,J9:J12,M9:M12)</f>
        <v>-0.44860134405019136</v>
      </c>
      <c r="T9" s="25">
        <f>bdrate(C9:C12,H9:H12,J9:J12,O9:O12)</f>
        <v>-0.12049536939045613</v>
      </c>
      <c r="U9" s="28">
        <f t="shared" ref="U9:U72" si="2">(N9-G9)/G9</f>
        <v>1.1496815286624202</v>
      </c>
    </row>
    <row r="10" spans="1:21" x14ac:dyDescent="0.25">
      <c r="A10" s="9" t="s">
        <v>36</v>
      </c>
      <c r="B10" s="9"/>
      <c r="C10" s="17">
        <v>2734.8</v>
      </c>
      <c r="D10" s="18">
        <v>37.006</v>
      </c>
      <c r="E10" s="18">
        <v>38.558999999999997</v>
      </c>
      <c r="F10" s="18">
        <v>40.914999999999999</v>
      </c>
      <c r="G10" s="18">
        <v>1.74</v>
      </c>
      <c r="H10" s="18">
        <f t="shared" si="0"/>
        <v>37.688750000000006</v>
      </c>
      <c r="I10" s="5"/>
      <c r="J10" s="17">
        <v>3027.6448</v>
      </c>
      <c r="K10" s="18">
        <v>37.637999999999998</v>
      </c>
      <c r="L10" s="18">
        <v>39.729799999999997</v>
      </c>
      <c r="M10" s="18">
        <v>42.320500000000003</v>
      </c>
      <c r="N10" s="18">
        <v>3.8538999999999999</v>
      </c>
      <c r="O10" s="18">
        <f t="shared" si="1"/>
        <v>38.484787499999996</v>
      </c>
      <c r="P10" s="7"/>
      <c r="Q10" s="10"/>
      <c r="R10" s="11"/>
      <c r="S10" s="11"/>
      <c r="T10" s="26"/>
      <c r="U10" s="28">
        <f t="shared" si="2"/>
        <v>1.2148850574712644</v>
      </c>
    </row>
    <row r="11" spans="1:21" x14ac:dyDescent="0.25">
      <c r="B11" s="9"/>
      <c r="C11" s="17">
        <v>1803.75</v>
      </c>
      <c r="D11" s="18">
        <v>35.786999999999999</v>
      </c>
      <c r="E11" s="18">
        <v>37.902000000000001</v>
      </c>
      <c r="F11" s="18">
        <v>40.243000000000002</v>
      </c>
      <c r="G11" s="18">
        <v>1.96</v>
      </c>
      <c r="H11" s="18">
        <f t="shared" si="0"/>
        <v>36.608374999999995</v>
      </c>
      <c r="I11" s="5"/>
      <c r="J11" s="17">
        <v>1990.912</v>
      </c>
      <c r="K11" s="18">
        <v>36.290100000000002</v>
      </c>
      <c r="L11" s="18">
        <v>39.096699999999998</v>
      </c>
      <c r="M11" s="18">
        <v>41.521000000000001</v>
      </c>
      <c r="N11" s="18">
        <v>4.6814</v>
      </c>
      <c r="O11" s="18">
        <f t="shared" si="1"/>
        <v>37.294787500000005</v>
      </c>
      <c r="P11" s="7"/>
      <c r="Q11" s="10"/>
      <c r="R11" s="11"/>
      <c r="S11" s="11"/>
      <c r="T11" s="26"/>
      <c r="U11" s="28">
        <f t="shared" si="2"/>
        <v>1.388469387755102</v>
      </c>
    </row>
    <row r="12" spans="1:21" ht="16.5" thickBot="1" x14ac:dyDescent="0.3">
      <c r="B12" s="12"/>
      <c r="C12" s="19">
        <v>869.47</v>
      </c>
      <c r="D12" s="20">
        <v>33.375999999999998</v>
      </c>
      <c r="E12" s="20">
        <v>37.103999999999999</v>
      </c>
      <c r="F12" s="20">
        <v>39.406999999999996</v>
      </c>
      <c r="G12" s="20">
        <v>2.36</v>
      </c>
      <c r="H12" s="20">
        <f t="shared" si="0"/>
        <v>34.595874999999992</v>
      </c>
      <c r="I12" s="5"/>
      <c r="J12" s="19">
        <v>942.05920000000003</v>
      </c>
      <c r="K12" s="20">
        <v>33.590400000000002</v>
      </c>
      <c r="L12" s="20">
        <v>37.745600000000003</v>
      </c>
      <c r="M12" s="20">
        <v>40.015000000000001</v>
      </c>
      <c r="N12" s="20">
        <v>6.1833</v>
      </c>
      <c r="O12" s="20">
        <f t="shared" si="1"/>
        <v>34.912875</v>
      </c>
      <c r="P12" s="7"/>
      <c r="Q12" s="13"/>
      <c r="R12" s="14"/>
      <c r="S12" s="14"/>
      <c r="T12" s="27"/>
      <c r="U12" s="28">
        <f t="shared" si="2"/>
        <v>1.620042372881356</v>
      </c>
    </row>
    <row r="13" spans="1:21" x14ac:dyDescent="0.25">
      <c r="B13" s="6" t="s">
        <v>47</v>
      </c>
      <c r="C13" s="15">
        <v>4116.28</v>
      </c>
      <c r="D13" s="16">
        <v>30.449000000000002</v>
      </c>
      <c r="E13" s="16">
        <v>38.643999999999998</v>
      </c>
      <c r="F13" s="16">
        <v>39.862000000000002</v>
      </c>
      <c r="G13" s="16">
        <v>1.02</v>
      </c>
      <c r="H13" s="16">
        <f t="shared" si="0"/>
        <v>32.650000000000006</v>
      </c>
      <c r="I13" s="5"/>
      <c r="J13" s="15">
        <v>4154.3248000000003</v>
      </c>
      <c r="K13" s="16">
        <v>30.071999999999999</v>
      </c>
      <c r="L13" s="16">
        <v>40.860500000000002</v>
      </c>
      <c r="M13" s="16">
        <v>41.6556</v>
      </c>
      <c r="N13" s="16">
        <v>2.3401000000000001</v>
      </c>
      <c r="O13" s="16">
        <f t="shared" si="1"/>
        <v>32.868512500000001</v>
      </c>
      <c r="P13" s="7"/>
      <c r="Q13" s="8">
        <f>bdrate(C13:C16,D13:D16,J13:J16,K13:K16)</f>
        <v>2.2269443861162808E-2</v>
      </c>
      <c r="R13" s="8">
        <f>bdrate(C13:C16,E13:E16,J13:J16,L13:L16)</f>
        <v>-0.63720245623523208</v>
      </c>
      <c r="S13" s="8">
        <f>bdrate(C13:C16,F13:F16,J13:J16,M13:M16)</f>
        <v>-0.62213651236788636</v>
      </c>
      <c r="T13" s="25">
        <f>bdrate(C13:C16,H13:H16,J13:J16,O13:O16)</f>
        <v>-0.10328713663825961</v>
      </c>
      <c r="U13" s="28">
        <f t="shared" si="2"/>
        <v>1.2942156862745098</v>
      </c>
    </row>
    <row r="14" spans="1:21" x14ac:dyDescent="0.25">
      <c r="B14" s="9"/>
      <c r="C14" s="17">
        <v>3067.43</v>
      </c>
      <c r="D14" s="18">
        <v>29.042000000000002</v>
      </c>
      <c r="E14" s="18">
        <v>38.011000000000003</v>
      </c>
      <c r="F14" s="18">
        <v>39.305999999999997</v>
      </c>
      <c r="G14" s="18">
        <v>1.1399999999999999</v>
      </c>
      <c r="H14" s="18">
        <f t="shared" si="0"/>
        <v>31.446125000000002</v>
      </c>
      <c r="I14" s="5"/>
      <c r="J14" s="17">
        <v>3137.8</v>
      </c>
      <c r="K14" s="18">
        <v>28.828700000000001</v>
      </c>
      <c r="L14" s="18">
        <v>40.379600000000003</v>
      </c>
      <c r="M14" s="18">
        <v>41.260800000000003</v>
      </c>
      <c r="N14" s="18">
        <v>2.8</v>
      </c>
      <c r="O14" s="18">
        <f t="shared" si="1"/>
        <v>31.826575000000005</v>
      </c>
      <c r="P14" s="7"/>
      <c r="Q14" s="10"/>
      <c r="R14" s="11"/>
      <c r="S14" s="11"/>
      <c r="T14" s="26"/>
      <c r="U14" s="28">
        <f t="shared" si="2"/>
        <v>1.4561403508771931</v>
      </c>
    </row>
    <row r="15" spans="1:21" x14ac:dyDescent="0.25">
      <c r="B15" s="9"/>
      <c r="C15" s="17">
        <v>2038.66</v>
      </c>
      <c r="D15" s="18">
        <v>27.082999999999998</v>
      </c>
      <c r="E15" s="18">
        <v>37.002000000000002</v>
      </c>
      <c r="F15" s="18">
        <v>38.466000000000001</v>
      </c>
      <c r="G15" s="18">
        <v>1.32</v>
      </c>
      <c r="H15" s="18">
        <f t="shared" si="0"/>
        <v>29.745750000000001</v>
      </c>
      <c r="I15" s="5"/>
      <c r="J15" s="17">
        <v>2112.0688</v>
      </c>
      <c r="K15" s="18">
        <v>27.104900000000001</v>
      </c>
      <c r="L15" s="18">
        <v>39.626199999999997</v>
      </c>
      <c r="M15" s="18">
        <v>40.619700000000002</v>
      </c>
      <c r="N15" s="18">
        <v>3.2728000000000002</v>
      </c>
      <c r="O15" s="18">
        <f t="shared" si="1"/>
        <v>30.359412500000001</v>
      </c>
      <c r="P15" s="7"/>
      <c r="Q15" s="10"/>
      <c r="R15" s="11"/>
      <c r="S15" s="11"/>
      <c r="T15" s="26"/>
      <c r="U15" s="28">
        <f t="shared" si="2"/>
        <v>1.4793939393939395</v>
      </c>
    </row>
    <row r="16" spans="1:21" ht="16.5" thickBot="1" x14ac:dyDescent="0.3">
      <c r="B16" s="12"/>
      <c r="C16" s="19">
        <v>1647.37</v>
      </c>
      <c r="D16" s="20">
        <v>25.181000000000001</v>
      </c>
      <c r="E16" s="20">
        <v>35.625</v>
      </c>
      <c r="F16" s="20">
        <v>37.234999999999999</v>
      </c>
      <c r="G16" s="20">
        <v>2.0699999999999998</v>
      </c>
      <c r="H16" s="20">
        <f t="shared" si="0"/>
        <v>27.993250000000003</v>
      </c>
      <c r="I16" s="5"/>
      <c r="J16" s="19">
        <v>1373.2608</v>
      </c>
      <c r="K16" s="20">
        <v>25.686399999999999</v>
      </c>
      <c r="L16" s="20">
        <v>38.421300000000002</v>
      </c>
      <c r="M16" s="20">
        <v>39.569400000000002</v>
      </c>
      <c r="N16" s="20">
        <v>3.6027</v>
      </c>
      <c r="O16" s="20">
        <f t="shared" si="1"/>
        <v>29.013637500000002</v>
      </c>
      <c r="P16" s="7"/>
      <c r="Q16" s="13"/>
      <c r="R16" s="14"/>
      <c r="S16" s="14"/>
      <c r="T16" s="27"/>
      <c r="U16" s="28">
        <f t="shared" si="2"/>
        <v>0.74043478260869577</v>
      </c>
    </row>
    <row r="17" spans="1:21" x14ac:dyDescent="0.25">
      <c r="A17" s="6" t="s">
        <v>37</v>
      </c>
      <c r="B17" s="6" t="s">
        <v>48</v>
      </c>
      <c r="C17" s="15">
        <v>2025.01</v>
      </c>
      <c r="D17" s="16">
        <v>39.439</v>
      </c>
      <c r="E17" s="16">
        <v>41.691000000000003</v>
      </c>
      <c r="F17" s="16">
        <v>42.945999999999998</v>
      </c>
      <c r="G17" s="16">
        <v>1.68</v>
      </c>
      <c r="H17" s="16">
        <f t="shared" si="0"/>
        <v>40.158875000000009</v>
      </c>
      <c r="I17" s="5"/>
      <c r="J17" s="15">
        <v>2379.4704000000002</v>
      </c>
      <c r="K17" s="16">
        <v>39.520099999999999</v>
      </c>
      <c r="L17" s="16">
        <v>42.4206</v>
      </c>
      <c r="M17" s="16">
        <v>44.128900000000002</v>
      </c>
      <c r="N17" s="16">
        <v>5.6810999999999998</v>
      </c>
      <c r="O17" s="16">
        <f t="shared" si="1"/>
        <v>40.458762499999999</v>
      </c>
      <c r="P17" s="7"/>
      <c r="Q17" s="8">
        <f>bdrate(C17:C20,D17:D20,J17:J20,K17:K20)</f>
        <v>7.6642945760955872E-2</v>
      </c>
      <c r="R17" s="8">
        <f>bdrate(C17:C20,E17:E20,J17:J20,L17:L20)</f>
        <v>-0.39375398960354369</v>
      </c>
      <c r="S17" s="8">
        <f>bdrate(C17:C20,F17:F20,J17:J20,M17:M20)</f>
        <v>-0.4190212272069781</v>
      </c>
      <c r="T17" s="25">
        <f>bdrate(C17:C20,H17:H20,J17:J20,O17:O20)</f>
        <v>-1.9212703631393602E-2</v>
      </c>
      <c r="U17" s="28">
        <f t="shared" si="2"/>
        <v>2.3816071428571428</v>
      </c>
    </row>
    <row r="18" spans="1:21" x14ac:dyDescent="0.25">
      <c r="A18" s="9" t="s">
        <v>38</v>
      </c>
      <c r="B18" s="9"/>
      <c r="C18" s="17">
        <v>1326.5</v>
      </c>
      <c r="D18" s="18">
        <v>38.134</v>
      </c>
      <c r="E18" s="18">
        <v>40.802</v>
      </c>
      <c r="F18" s="18">
        <v>42.012</v>
      </c>
      <c r="G18" s="18">
        <v>1.98</v>
      </c>
      <c r="H18" s="18">
        <f t="shared" si="0"/>
        <v>38.952249999999999</v>
      </c>
      <c r="I18" s="5"/>
      <c r="J18" s="17">
        <v>1575.144</v>
      </c>
      <c r="K18" s="18">
        <v>38.374099999999999</v>
      </c>
      <c r="L18" s="18">
        <v>41.8551</v>
      </c>
      <c r="M18" s="18">
        <v>43.337299999999999</v>
      </c>
      <c r="N18" s="18">
        <v>6.7625000000000002</v>
      </c>
      <c r="O18" s="18">
        <f t="shared" si="1"/>
        <v>39.429625000000001</v>
      </c>
      <c r="P18" s="7"/>
      <c r="Q18" s="10"/>
      <c r="R18" s="11"/>
      <c r="S18" s="11"/>
      <c r="T18" s="26"/>
      <c r="U18" s="28">
        <f t="shared" si="2"/>
        <v>2.4154040404040407</v>
      </c>
    </row>
    <row r="19" spans="1:21" x14ac:dyDescent="0.25">
      <c r="B19" s="9"/>
      <c r="C19" s="17">
        <v>816.01</v>
      </c>
      <c r="D19" s="18">
        <v>36.472000000000001</v>
      </c>
      <c r="E19" s="18">
        <v>39.860999999999997</v>
      </c>
      <c r="F19" s="18">
        <v>41.122999999999998</v>
      </c>
      <c r="G19" s="18">
        <v>2.37</v>
      </c>
      <c r="H19" s="18">
        <f t="shared" si="0"/>
        <v>37.476999999999997</v>
      </c>
      <c r="I19" s="5"/>
      <c r="J19" s="17">
        <v>973.26959999999997</v>
      </c>
      <c r="K19" s="18">
        <v>36.862900000000003</v>
      </c>
      <c r="L19" s="18">
        <v>41.138100000000001</v>
      </c>
      <c r="M19" s="18">
        <v>42.429499999999997</v>
      </c>
      <c r="N19" s="18">
        <v>8.2578999999999994</v>
      </c>
      <c r="O19" s="18">
        <f t="shared" si="1"/>
        <v>38.093125000000008</v>
      </c>
      <c r="P19" s="7"/>
      <c r="Q19" s="10"/>
      <c r="R19" s="11"/>
      <c r="S19" s="11"/>
      <c r="T19" s="26"/>
      <c r="U19" s="28">
        <f t="shared" si="2"/>
        <v>2.484345991561181</v>
      </c>
    </row>
    <row r="20" spans="1:21" ht="16.5" thickBot="1" x14ac:dyDescent="0.3">
      <c r="B20" s="12"/>
      <c r="C20" s="19">
        <v>482.85</v>
      </c>
      <c r="D20" s="20">
        <v>34.576999999999998</v>
      </c>
      <c r="E20" s="20">
        <v>38.857999999999997</v>
      </c>
      <c r="F20" s="20">
        <v>40.329000000000001</v>
      </c>
      <c r="G20" s="20">
        <v>2.84</v>
      </c>
      <c r="H20" s="20">
        <f t="shared" si="0"/>
        <v>35.831125</v>
      </c>
      <c r="I20" s="5"/>
      <c r="J20" s="19">
        <v>567.38</v>
      </c>
      <c r="K20" s="20">
        <v>35.079000000000001</v>
      </c>
      <c r="L20" s="20">
        <v>40.453299999999999</v>
      </c>
      <c r="M20" s="20">
        <v>41.696300000000001</v>
      </c>
      <c r="N20" s="20">
        <v>10.3324</v>
      </c>
      <c r="O20" s="20">
        <f t="shared" si="1"/>
        <v>36.577950000000001</v>
      </c>
      <c r="P20" s="7"/>
      <c r="Q20" s="13"/>
      <c r="R20" s="14"/>
      <c r="S20" s="14"/>
      <c r="T20" s="27"/>
      <c r="U20" s="28">
        <f t="shared" si="2"/>
        <v>2.6381690140845073</v>
      </c>
    </row>
    <row r="21" spans="1:21" x14ac:dyDescent="0.25">
      <c r="B21" s="6" t="s">
        <v>49</v>
      </c>
      <c r="C21" s="15">
        <v>2253.11</v>
      </c>
      <c r="D21" s="16">
        <v>36.353999999999999</v>
      </c>
      <c r="E21" s="16">
        <v>39.499000000000002</v>
      </c>
      <c r="F21" s="16">
        <v>40.527000000000001</v>
      </c>
      <c r="G21" s="16">
        <v>2.41</v>
      </c>
      <c r="H21" s="16">
        <f t="shared" si="0"/>
        <v>37.268749999999997</v>
      </c>
      <c r="I21" s="5"/>
      <c r="J21" s="15">
        <v>2534.1239999999998</v>
      </c>
      <c r="K21" s="16">
        <v>36.662999999999997</v>
      </c>
      <c r="L21" s="16">
        <v>40.8108</v>
      </c>
      <c r="M21" s="16">
        <v>42.122199999999999</v>
      </c>
      <c r="N21" s="16">
        <v>5.4363000000000001</v>
      </c>
      <c r="O21" s="16">
        <f t="shared" si="1"/>
        <v>37.863875</v>
      </c>
      <c r="P21" s="7"/>
      <c r="Q21" s="8">
        <f>bdrate(C21:C24,D21:D24,J21:J24,K21:K24)</f>
        <v>-5.8086925642596432E-3</v>
      </c>
      <c r="R21" s="8">
        <f>bdrate(C21:C24,E21:E24,J21:J24,L21:L24)</f>
        <v>-0.46849134501828626</v>
      </c>
      <c r="S21" s="8">
        <f>bdrate(C21:C24,F21:F24,J21:J24,M21:M24)</f>
        <v>-0.50462760267145712</v>
      </c>
      <c r="T21" s="25">
        <f>bdrate(C21:C24,H21:H24,J21:J24,O21:O24)</f>
        <v>-0.10906434509051566</v>
      </c>
      <c r="U21" s="28">
        <f t="shared" si="2"/>
        <v>1.2557261410788381</v>
      </c>
    </row>
    <row r="22" spans="1:21" x14ac:dyDescent="0.25">
      <c r="B22" s="9"/>
      <c r="C22" s="17">
        <v>1493.57</v>
      </c>
      <c r="D22" s="18">
        <v>35.040999999999997</v>
      </c>
      <c r="E22" s="18">
        <v>38.569000000000003</v>
      </c>
      <c r="F22" s="18">
        <v>39.744999999999997</v>
      </c>
      <c r="G22" s="18">
        <v>2.72</v>
      </c>
      <c r="H22" s="18">
        <f t="shared" si="0"/>
        <v>36.07</v>
      </c>
      <c r="I22" s="5"/>
      <c r="J22" s="17">
        <v>1658.3896</v>
      </c>
      <c r="K22" s="18">
        <v>35.398699999999998</v>
      </c>
      <c r="L22" s="18">
        <v>40.003399999999999</v>
      </c>
      <c r="M22" s="18">
        <v>41.207999999999998</v>
      </c>
      <c r="N22" s="18">
        <v>6.4344999999999999</v>
      </c>
      <c r="O22" s="18">
        <f t="shared" si="1"/>
        <v>36.700450000000004</v>
      </c>
      <c r="P22" s="7"/>
      <c r="Q22" s="10"/>
      <c r="R22" s="11"/>
      <c r="S22" s="11"/>
      <c r="T22" s="26"/>
      <c r="U22" s="28">
        <f t="shared" si="2"/>
        <v>1.3656249999999999</v>
      </c>
    </row>
    <row r="23" spans="1:21" x14ac:dyDescent="0.25">
      <c r="B23" s="9"/>
      <c r="C23" s="17">
        <v>929.08</v>
      </c>
      <c r="D23" s="18">
        <v>33.590000000000003</v>
      </c>
      <c r="E23" s="18">
        <v>37.603999999999999</v>
      </c>
      <c r="F23" s="18">
        <v>39.031999999999996</v>
      </c>
      <c r="G23" s="18">
        <v>3.07</v>
      </c>
      <c r="H23" s="18">
        <f t="shared" si="0"/>
        <v>34.771999999999998</v>
      </c>
      <c r="I23" s="5"/>
      <c r="J23" s="17">
        <v>1031.2344000000001</v>
      </c>
      <c r="K23" s="18">
        <v>33.930199999999999</v>
      </c>
      <c r="L23" s="18">
        <v>39.0989</v>
      </c>
      <c r="M23" s="18">
        <v>40.322699999999998</v>
      </c>
      <c r="N23" s="18">
        <v>7.9221000000000004</v>
      </c>
      <c r="O23" s="18">
        <f t="shared" si="1"/>
        <v>35.375349999999997</v>
      </c>
      <c r="P23" s="7"/>
      <c r="Q23" s="10"/>
      <c r="R23" s="11"/>
      <c r="S23" s="11"/>
      <c r="T23" s="26"/>
      <c r="U23" s="28">
        <f t="shared" si="2"/>
        <v>1.5804885993485343</v>
      </c>
    </row>
    <row r="24" spans="1:21" ht="16.5" thickBot="1" x14ac:dyDescent="0.3">
      <c r="B24" s="12"/>
      <c r="C24" s="19">
        <v>550.51</v>
      </c>
      <c r="D24" s="20">
        <v>32.021000000000001</v>
      </c>
      <c r="E24" s="20">
        <v>36.704000000000001</v>
      </c>
      <c r="F24" s="20">
        <v>38.454999999999998</v>
      </c>
      <c r="G24" s="20">
        <v>3.47</v>
      </c>
      <c r="H24" s="20">
        <f t="shared" si="0"/>
        <v>33.410625000000003</v>
      </c>
      <c r="I24" s="5"/>
      <c r="J24" s="19">
        <v>614.44240000000002</v>
      </c>
      <c r="K24" s="20">
        <v>32.351700000000001</v>
      </c>
      <c r="L24" s="20">
        <v>38.136299999999999</v>
      </c>
      <c r="M24" s="20">
        <v>39.4773</v>
      </c>
      <c r="N24" s="20">
        <v>9.7739999999999991</v>
      </c>
      <c r="O24" s="20">
        <f t="shared" si="1"/>
        <v>33.965475000000005</v>
      </c>
      <c r="P24" s="7"/>
      <c r="Q24" s="13"/>
      <c r="R24" s="14"/>
      <c r="S24" s="14"/>
      <c r="T24" s="27"/>
      <c r="U24" s="28">
        <f t="shared" si="2"/>
        <v>1.8167146974063395</v>
      </c>
    </row>
    <row r="25" spans="1:21" x14ac:dyDescent="0.25">
      <c r="B25" s="6" t="s">
        <v>50</v>
      </c>
      <c r="C25" s="15">
        <v>2361.08</v>
      </c>
      <c r="D25" s="16">
        <v>34.485999999999997</v>
      </c>
      <c r="E25" s="16">
        <v>37.856999999999999</v>
      </c>
      <c r="F25" s="16">
        <v>39.683999999999997</v>
      </c>
      <c r="G25" s="16">
        <v>2.68</v>
      </c>
      <c r="H25" s="16">
        <f t="shared" si="0"/>
        <v>35.557124999999999</v>
      </c>
      <c r="I25" s="5"/>
      <c r="J25" s="15">
        <v>2412.0816</v>
      </c>
      <c r="K25" s="16">
        <v>34.968499999999999</v>
      </c>
      <c r="L25" s="16">
        <v>38.624499999999998</v>
      </c>
      <c r="M25" s="16">
        <v>41.241100000000003</v>
      </c>
      <c r="N25" s="16">
        <v>7.6733000000000002</v>
      </c>
      <c r="O25" s="16">
        <f t="shared" si="1"/>
        <v>36.209575000000001</v>
      </c>
      <c r="P25" s="7"/>
      <c r="Q25" s="8">
        <f>bdrate(C25:C28,D25:D28,J25:J28,K25:K28)</f>
        <v>-9.991807508416739E-2</v>
      </c>
      <c r="R25" s="8">
        <f>bdrate(C25:C28,E25:E28,J25:J28,L25:L28)</f>
        <v>-0.57440064333033336</v>
      </c>
      <c r="S25" s="8">
        <f>bdrate(C25:C28,F25:F28,J25:J28,M25:M28)</f>
        <v>-0.54069458867851106</v>
      </c>
      <c r="T25" s="25">
        <f>bdrate(C25:C28,H25:H28,J25:J28,O25:O28)</f>
        <v>-0.18795240013536674</v>
      </c>
      <c r="U25" s="28">
        <f t="shared" si="2"/>
        <v>1.8631716417910444</v>
      </c>
    </row>
    <row r="26" spans="1:21" x14ac:dyDescent="0.25">
      <c r="B26" s="9"/>
      <c r="C26" s="17">
        <v>1565.55</v>
      </c>
      <c r="D26" s="18">
        <v>33.386000000000003</v>
      </c>
      <c r="E26" s="18">
        <v>37.384</v>
      </c>
      <c r="F26" s="18">
        <v>38.890999999999998</v>
      </c>
      <c r="G26" s="18">
        <v>3.17</v>
      </c>
      <c r="H26" s="18">
        <f t="shared" si="0"/>
        <v>34.573875000000008</v>
      </c>
      <c r="I26" s="5"/>
      <c r="J26" s="17">
        <v>1605.0648000000001</v>
      </c>
      <c r="K26" s="18">
        <v>33.860300000000002</v>
      </c>
      <c r="L26" s="18">
        <v>38.275399999999998</v>
      </c>
      <c r="M26" s="18">
        <v>40.439700000000002</v>
      </c>
      <c r="N26" s="18">
        <v>9.3225999999999996</v>
      </c>
      <c r="O26" s="18">
        <f t="shared" si="1"/>
        <v>35.234612500000004</v>
      </c>
      <c r="P26" s="7"/>
      <c r="Q26" s="10"/>
      <c r="R26" s="11"/>
      <c r="S26" s="11"/>
      <c r="T26" s="26"/>
      <c r="U26" s="28">
        <f t="shared" si="2"/>
        <v>1.9408832807570977</v>
      </c>
    </row>
    <row r="27" spans="1:21" x14ac:dyDescent="0.25">
      <c r="B27" s="9"/>
      <c r="C27" s="17">
        <v>971.5</v>
      </c>
      <c r="D27" s="18">
        <v>32.008000000000003</v>
      </c>
      <c r="E27" s="18">
        <v>36.793999999999997</v>
      </c>
      <c r="F27" s="18">
        <v>37.92</v>
      </c>
      <c r="G27" s="18">
        <v>3.6</v>
      </c>
      <c r="H27" s="18">
        <f t="shared" si="0"/>
        <v>33.34525</v>
      </c>
      <c r="I27" s="5"/>
      <c r="J27" s="17">
        <v>998.51520000000005</v>
      </c>
      <c r="K27" s="18">
        <v>32.355200000000004</v>
      </c>
      <c r="L27" s="18">
        <v>37.848500000000001</v>
      </c>
      <c r="M27" s="18">
        <v>39.535800000000002</v>
      </c>
      <c r="N27" s="18">
        <v>11.297599999999999</v>
      </c>
      <c r="O27" s="18">
        <f t="shared" si="1"/>
        <v>33.939437500000004</v>
      </c>
      <c r="P27" s="7"/>
      <c r="Q27" s="10"/>
      <c r="R27" s="11"/>
      <c r="S27" s="11"/>
      <c r="T27" s="26"/>
      <c r="U27" s="28">
        <f t="shared" si="2"/>
        <v>2.1382222222222222</v>
      </c>
    </row>
    <row r="28" spans="1:21" ht="16.5" thickBot="1" x14ac:dyDescent="0.3">
      <c r="B28" s="12"/>
      <c r="C28" s="19">
        <v>565.88</v>
      </c>
      <c r="D28" s="20">
        <v>30.288</v>
      </c>
      <c r="E28" s="20">
        <v>35.920999999999999</v>
      </c>
      <c r="F28" s="20">
        <v>36.509</v>
      </c>
      <c r="G28" s="20">
        <v>4.1500000000000004</v>
      </c>
      <c r="H28" s="20">
        <f t="shared" si="0"/>
        <v>31.769750000000002</v>
      </c>
      <c r="I28" s="5"/>
      <c r="J28" s="19">
        <v>599.77520000000004</v>
      </c>
      <c r="K28" s="20">
        <v>30.6997</v>
      </c>
      <c r="L28" s="20">
        <v>37.2316</v>
      </c>
      <c r="M28" s="20">
        <v>38.521700000000003</v>
      </c>
      <c r="N28" s="20">
        <v>13.9719</v>
      </c>
      <c r="O28" s="20">
        <f t="shared" si="1"/>
        <v>32.493937500000001</v>
      </c>
      <c r="P28" s="7"/>
      <c r="Q28" s="13"/>
      <c r="R28" s="14"/>
      <c r="S28" s="14"/>
      <c r="T28" s="27"/>
      <c r="U28" s="28">
        <f t="shared" si="2"/>
        <v>2.3667228915662646</v>
      </c>
    </row>
    <row r="29" spans="1:21" x14ac:dyDescent="0.25">
      <c r="B29" s="6" t="s">
        <v>51</v>
      </c>
      <c r="C29" s="29">
        <v>2417.4499999999998</v>
      </c>
      <c r="D29" s="30">
        <v>34.701999999999998</v>
      </c>
      <c r="E29" s="30">
        <v>40.073999999999998</v>
      </c>
      <c r="F29" s="30">
        <v>39.747</v>
      </c>
      <c r="G29" s="16">
        <v>2.25</v>
      </c>
      <c r="H29" s="16">
        <f t="shared" si="0"/>
        <v>36.004125000000002</v>
      </c>
      <c r="I29" s="5"/>
      <c r="J29" s="29">
        <v>2453.7887999999998</v>
      </c>
      <c r="K29" s="30">
        <v>34.714700000000001</v>
      </c>
      <c r="L29" s="30">
        <v>41.213200000000001</v>
      </c>
      <c r="M29" s="30">
        <v>40.981999999999999</v>
      </c>
      <c r="N29" s="16">
        <v>6.64</v>
      </c>
      <c r="O29" s="16">
        <f t="shared" si="1"/>
        <v>36.310425000000002</v>
      </c>
      <c r="P29" s="7"/>
      <c r="Q29" s="8">
        <f>bdrate(C29:C32,D29:D32,J29:J32,K29:K32)</f>
        <v>1.6830105783487426E-3</v>
      </c>
      <c r="R29" s="8">
        <f>bdrate(C29:C32,E29:E32,J29:J32,L29:L32)</f>
        <v>-0.53825169350466973</v>
      </c>
      <c r="S29" s="8">
        <f>bdrate(C29:C32,F29:F32,J29:J32,M29:M32)</f>
        <v>-0.47174818681468522</v>
      </c>
      <c r="T29" s="25">
        <f>bdrate(C29:C32,H29:H32,J29:J32,O29:O32)</f>
        <v>-0.11468473891369768</v>
      </c>
      <c r="U29" s="28">
        <f t="shared" si="2"/>
        <v>1.951111111111111</v>
      </c>
    </row>
    <row r="30" spans="1:21" x14ac:dyDescent="0.25">
      <c r="B30" s="9"/>
      <c r="C30" s="31">
        <v>1604.25</v>
      </c>
      <c r="D30" s="32">
        <v>33.384</v>
      </c>
      <c r="E30" s="32">
        <v>39.304000000000002</v>
      </c>
      <c r="F30" s="32">
        <v>38.616999999999997</v>
      </c>
      <c r="G30" s="18">
        <v>2.52</v>
      </c>
      <c r="H30" s="18">
        <f t="shared" si="0"/>
        <v>34.778125000000003</v>
      </c>
      <c r="I30" s="5"/>
      <c r="J30" s="31">
        <v>1640.396</v>
      </c>
      <c r="K30" s="32">
        <v>33.4422</v>
      </c>
      <c r="L30" s="32">
        <v>40.568300000000001</v>
      </c>
      <c r="M30" s="32">
        <v>40.111699999999999</v>
      </c>
      <c r="N30" s="18">
        <v>7.7157</v>
      </c>
      <c r="O30" s="18">
        <f t="shared" si="1"/>
        <v>35.166649999999997</v>
      </c>
      <c r="P30" s="7"/>
      <c r="Q30" s="10"/>
      <c r="R30" s="11"/>
      <c r="S30" s="11"/>
      <c r="T30" s="26"/>
      <c r="U30" s="28">
        <f t="shared" si="2"/>
        <v>2.0617857142857146</v>
      </c>
    </row>
    <row r="31" spans="1:21" x14ac:dyDescent="0.25">
      <c r="B31" s="9"/>
      <c r="C31" s="31">
        <v>994.22</v>
      </c>
      <c r="D31" s="32">
        <v>31.777000000000001</v>
      </c>
      <c r="E31" s="32">
        <v>38.351999999999997</v>
      </c>
      <c r="F31" s="32">
        <v>37.264000000000003</v>
      </c>
      <c r="G31" s="18">
        <v>2.89</v>
      </c>
      <c r="H31" s="18">
        <f t="shared" si="0"/>
        <v>33.284750000000003</v>
      </c>
      <c r="I31" s="5"/>
      <c r="J31" s="31">
        <v>1021.044</v>
      </c>
      <c r="K31" s="32">
        <v>31.8614</v>
      </c>
      <c r="L31" s="32">
        <v>39.893900000000002</v>
      </c>
      <c r="M31" s="32">
        <v>39.1203</v>
      </c>
      <c r="N31" s="18">
        <v>9.3308</v>
      </c>
      <c r="O31" s="18">
        <f t="shared" si="1"/>
        <v>33.772824999999997</v>
      </c>
      <c r="P31" s="7"/>
      <c r="Q31" s="10"/>
      <c r="R31" s="11"/>
      <c r="S31" s="11"/>
      <c r="T31" s="26"/>
      <c r="U31" s="28">
        <f t="shared" si="2"/>
        <v>2.2286505190311416</v>
      </c>
    </row>
    <row r="32" spans="1:21" ht="16.5" thickBot="1" x14ac:dyDescent="0.3">
      <c r="B32" s="12"/>
      <c r="C32" s="33">
        <v>592.65</v>
      </c>
      <c r="D32" s="34">
        <v>29.96</v>
      </c>
      <c r="E32" s="34">
        <v>37.012</v>
      </c>
      <c r="F32" s="34">
        <v>35.551000000000002</v>
      </c>
      <c r="G32" s="20">
        <v>3.32</v>
      </c>
      <c r="H32" s="20">
        <f t="shared" si="0"/>
        <v>31.540374999999997</v>
      </c>
      <c r="I32" s="5"/>
      <c r="J32" s="33">
        <v>612.05119999999999</v>
      </c>
      <c r="K32" s="34">
        <v>30.118400000000001</v>
      </c>
      <c r="L32" s="34">
        <v>38.914099999999998</v>
      </c>
      <c r="M32" s="34">
        <v>37.7483</v>
      </c>
      <c r="N32" s="20">
        <v>11.317600000000001</v>
      </c>
      <c r="O32" s="20">
        <f t="shared" si="1"/>
        <v>32.171599999999998</v>
      </c>
      <c r="P32" s="7"/>
      <c r="Q32" s="13"/>
      <c r="R32" s="14"/>
      <c r="S32" s="14"/>
      <c r="T32" s="27"/>
      <c r="U32" s="28">
        <f t="shared" si="2"/>
        <v>2.4089156626506028</v>
      </c>
    </row>
    <row r="33" spans="1:21" x14ac:dyDescent="0.25">
      <c r="B33" s="6" t="s">
        <v>52</v>
      </c>
      <c r="C33" s="15">
        <v>2361.86</v>
      </c>
      <c r="D33" s="16">
        <v>33.790999999999997</v>
      </c>
      <c r="E33" s="16">
        <v>39.396000000000001</v>
      </c>
      <c r="F33" s="16">
        <v>42.01</v>
      </c>
      <c r="G33" s="16">
        <v>3.6</v>
      </c>
      <c r="H33" s="16">
        <f t="shared" si="0"/>
        <v>35.518999999999998</v>
      </c>
      <c r="I33" s="5"/>
      <c r="J33" s="15">
        <v>2397.6592000000001</v>
      </c>
      <c r="K33" s="16">
        <v>34.0199</v>
      </c>
      <c r="L33" s="16">
        <v>40.378700000000002</v>
      </c>
      <c r="M33" s="16">
        <v>42.816499999999998</v>
      </c>
      <c r="N33" s="16">
        <v>7.2542</v>
      </c>
      <c r="O33" s="16">
        <f t="shared" si="1"/>
        <v>35.914324999999998</v>
      </c>
      <c r="P33" s="7"/>
      <c r="Q33" s="8">
        <f>bdrate(C33:C36,D33:D36,J33:J36,K33:K36)</f>
        <v>-9.8905651612547718E-2</v>
      </c>
      <c r="R33" s="8">
        <f>bdrate(C33:C36,E33:E36,J33:J36,L33:L36)</f>
        <v>-0.51214141165426841</v>
      </c>
      <c r="S33" s="8">
        <f>bdrate(C33:C36,F33:F36,J33:J36,M33:M36)</f>
        <v>-0.45624986541022505</v>
      </c>
      <c r="T33" s="25">
        <f>bdrate(C33:C36,H33:H36,J33:J36,O33:O36)</f>
        <v>-0.17089354921582833</v>
      </c>
      <c r="U33" s="28">
        <f t="shared" si="2"/>
        <v>1.0150555555555556</v>
      </c>
    </row>
    <row r="34" spans="1:21" x14ac:dyDescent="0.25">
      <c r="B34" s="9"/>
      <c r="C34" s="17">
        <v>1552.88</v>
      </c>
      <c r="D34" s="18">
        <v>33.128999999999998</v>
      </c>
      <c r="E34" s="18">
        <v>38.956000000000003</v>
      </c>
      <c r="F34" s="18">
        <v>41.631</v>
      </c>
      <c r="G34" s="18">
        <v>3.98</v>
      </c>
      <c r="H34" s="18">
        <f t="shared" si="0"/>
        <v>34.920124999999999</v>
      </c>
      <c r="I34" s="5"/>
      <c r="J34" s="17">
        <v>1608.3232</v>
      </c>
      <c r="K34" s="18">
        <v>33.408900000000003</v>
      </c>
      <c r="L34" s="18">
        <v>39.942799999999998</v>
      </c>
      <c r="M34" s="18">
        <v>42.4283</v>
      </c>
      <c r="N34" s="18">
        <v>8.6877999999999993</v>
      </c>
      <c r="O34" s="18">
        <f t="shared" si="1"/>
        <v>35.3530625</v>
      </c>
      <c r="P34" s="7"/>
      <c r="Q34" s="10"/>
      <c r="R34" s="11"/>
      <c r="S34" s="11"/>
      <c r="T34" s="26"/>
      <c r="U34" s="28">
        <f t="shared" si="2"/>
        <v>1.1828643216080399</v>
      </c>
    </row>
    <row r="35" spans="1:21" x14ac:dyDescent="0.25">
      <c r="B35" s="9"/>
      <c r="C35" s="17">
        <v>939.62</v>
      </c>
      <c r="D35" s="18">
        <v>32.101999999999997</v>
      </c>
      <c r="E35" s="18">
        <v>38.398000000000003</v>
      </c>
      <c r="F35" s="18">
        <v>41.16</v>
      </c>
      <c r="G35" s="18">
        <v>4.43</v>
      </c>
      <c r="H35" s="18">
        <f t="shared" si="0"/>
        <v>34.021249999999995</v>
      </c>
      <c r="I35" s="5"/>
      <c r="J35" s="17">
        <v>989.25760000000002</v>
      </c>
      <c r="K35" s="18">
        <v>32.438699999999997</v>
      </c>
      <c r="L35" s="18">
        <v>39.254899999999999</v>
      </c>
      <c r="M35" s="18">
        <v>41.794400000000003</v>
      </c>
      <c r="N35" s="18">
        <v>10.5664</v>
      </c>
      <c r="O35" s="18">
        <f t="shared" si="1"/>
        <v>34.460187499999996</v>
      </c>
      <c r="P35" s="7"/>
      <c r="Q35" s="10"/>
      <c r="R35" s="11"/>
      <c r="S35" s="11"/>
      <c r="T35" s="26"/>
      <c r="U35" s="28">
        <f t="shared" si="2"/>
        <v>1.3851918735891648</v>
      </c>
    </row>
    <row r="36" spans="1:21" ht="16.5" thickBot="1" x14ac:dyDescent="0.3">
      <c r="B36" s="12"/>
      <c r="C36" s="19">
        <v>487.4</v>
      </c>
      <c r="D36" s="20">
        <v>29.893999999999998</v>
      </c>
      <c r="E36" s="20">
        <v>37.396000000000001</v>
      </c>
      <c r="F36" s="20">
        <v>40.468000000000004</v>
      </c>
      <c r="G36" s="20">
        <v>4.99</v>
      </c>
      <c r="H36" s="20">
        <f t="shared" si="0"/>
        <v>32.153500000000001</v>
      </c>
      <c r="I36" s="5"/>
      <c r="J36" s="19">
        <v>607.54480000000001</v>
      </c>
      <c r="K36" s="20">
        <v>31.101500000000001</v>
      </c>
      <c r="L36" s="20">
        <v>38.707000000000001</v>
      </c>
      <c r="M36" s="20">
        <v>41.2819</v>
      </c>
      <c r="N36" s="20">
        <v>13.8249</v>
      </c>
      <c r="O36" s="20">
        <f t="shared" si="1"/>
        <v>33.324737499999998</v>
      </c>
      <c r="P36" s="7"/>
      <c r="Q36" s="13"/>
      <c r="R36" s="14"/>
      <c r="S36" s="14"/>
      <c r="T36" s="27"/>
      <c r="U36" s="28">
        <f t="shared" si="2"/>
        <v>1.7705210420841682</v>
      </c>
    </row>
    <row r="37" spans="1:21" x14ac:dyDescent="0.25">
      <c r="A37" s="6" t="s">
        <v>39</v>
      </c>
      <c r="B37" s="6" t="s">
        <v>53</v>
      </c>
      <c r="C37" s="15">
        <v>1223.9000000000001</v>
      </c>
      <c r="D37" s="16">
        <v>35.741</v>
      </c>
      <c r="E37" s="16">
        <v>39.414000000000001</v>
      </c>
      <c r="F37" s="16">
        <v>39.459000000000003</v>
      </c>
      <c r="G37" s="16">
        <v>9.3699999999999992</v>
      </c>
      <c r="H37" s="16">
        <f t="shared" si="0"/>
        <v>36.664875000000002</v>
      </c>
      <c r="I37" s="5"/>
      <c r="J37" s="15">
        <v>1235.9784</v>
      </c>
      <c r="K37" s="16">
        <v>36.6265</v>
      </c>
      <c r="L37" s="16">
        <v>40.979300000000002</v>
      </c>
      <c r="M37" s="16">
        <v>40.976300000000002</v>
      </c>
      <c r="N37" s="16">
        <v>22.042899999999999</v>
      </c>
      <c r="O37" s="16">
        <f t="shared" si="1"/>
        <v>37.714325000000002</v>
      </c>
      <c r="P37" s="7"/>
      <c r="Q37" s="8">
        <f>bdrate(C37:C40,D37:D40,J37:J40,K37:K40)</f>
        <v>-9.4245351282465362E-2</v>
      </c>
      <c r="R37" s="8">
        <f>bdrate(C37:C40,E37:E40,J37:J40,L37:L40)</f>
        <v>-0.4121883346018379</v>
      </c>
      <c r="S37" s="8">
        <f>bdrate(C37:C40,F37:F40,J37:J40,M37:M40)</f>
        <v>-0.33871409488582804</v>
      </c>
      <c r="T37" s="25">
        <f>bdrate(C37:C40,H37:H40,J37:J40,O37:O40)</f>
        <v>-0.1622155382395557</v>
      </c>
      <c r="U37" s="28">
        <f t="shared" si="2"/>
        <v>1.3524973319103524</v>
      </c>
    </row>
    <row r="38" spans="1:21" x14ac:dyDescent="0.25">
      <c r="A38" s="9" t="s">
        <v>40</v>
      </c>
      <c r="B38" s="9"/>
      <c r="C38" s="17">
        <v>819.17</v>
      </c>
      <c r="D38" s="18">
        <v>34.270000000000003</v>
      </c>
      <c r="E38" s="18">
        <v>38.177</v>
      </c>
      <c r="F38" s="18">
        <v>38.183</v>
      </c>
      <c r="G38" s="18">
        <v>10.65</v>
      </c>
      <c r="H38" s="18">
        <f t="shared" si="0"/>
        <v>35.247500000000002</v>
      </c>
      <c r="I38" s="5"/>
      <c r="J38" s="17">
        <v>823.58640000000003</v>
      </c>
      <c r="K38" s="18">
        <v>34.836100000000002</v>
      </c>
      <c r="L38" s="18">
        <v>39.676299999999998</v>
      </c>
      <c r="M38" s="18">
        <v>39.477899999999998</v>
      </c>
      <c r="N38" s="18">
        <v>25.02</v>
      </c>
      <c r="O38" s="18">
        <f t="shared" si="1"/>
        <v>36.021349999999998</v>
      </c>
      <c r="P38" s="7"/>
      <c r="Q38" s="10"/>
      <c r="R38" s="11"/>
      <c r="S38" s="11"/>
      <c r="T38" s="26"/>
      <c r="U38" s="28">
        <f t="shared" si="2"/>
        <v>1.3492957746478873</v>
      </c>
    </row>
    <row r="39" spans="1:21" x14ac:dyDescent="0.25">
      <c r="B39" s="9"/>
      <c r="C39" s="17">
        <v>507.69</v>
      </c>
      <c r="D39" s="18">
        <v>32.64</v>
      </c>
      <c r="E39" s="18">
        <v>36.890999999999998</v>
      </c>
      <c r="F39" s="18">
        <v>36.817999999999998</v>
      </c>
      <c r="G39" s="18">
        <v>12.54</v>
      </c>
      <c r="H39" s="18">
        <f t="shared" si="0"/>
        <v>33.693624999999997</v>
      </c>
      <c r="I39" s="5"/>
      <c r="J39" s="17">
        <v>516.36400000000003</v>
      </c>
      <c r="K39" s="18">
        <v>32.985100000000003</v>
      </c>
      <c r="L39" s="18">
        <v>38.369</v>
      </c>
      <c r="M39" s="18">
        <v>38.062100000000001</v>
      </c>
      <c r="N39" s="18">
        <v>30.209700000000002</v>
      </c>
      <c r="O39" s="18">
        <f t="shared" si="1"/>
        <v>34.2927125</v>
      </c>
      <c r="P39" s="7"/>
      <c r="Q39" s="10"/>
      <c r="R39" s="11"/>
      <c r="S39" s="11"/>
      <c r="T39" s="26"/>
      <c r="U39" s="28">
        <f t="shared" si="2"/>
        <v>1.4090669856459332</v>
      </c>
    </row>
    <row r="40" spans="1:21" ht="16.5" thickBot="1" x14ac:dyDescent="0.3">
      <c r="B40" s="12"/>
      <c r="C40" s="19">
        <v>302.39</v>
      </c>
      <c r="D40" s="20">
        <v>30.968</v>
      </c>
      <c r="E40" s="20">
        <v>35.655999999999999</v>
      </c>
      <c r="F40" s="20">
        <v>35.229999999999997</v>
      </c>
      <c r="G40" s="20">
        <v>14.86</v>
      </c>
      <c r="H40" s="20">
        <f t="shared" si="0"/>
        <v>32.086750000000002</v>
      </c>
      <c r="I40" s="5"/>
      <c r="J40" s="19">
        <v>309.87599999999998</v>
      </c>
      <c r="K40" s="20">
        <v>31.052800000000001</v>
      </c>
      <c r="L40" s="20">
        <v>37.100999999999999</v>
      </c>
      <c r="M40" s="20">
        <v>36.594299999999997</v>
      </c>
      <c r="N40" s="20">
        <v>36.927599999999998</v>
      </c>
      <c r="O40" s="20">
        <f t="shared" si="1"/>
        <v>32.501512499999997</v>
      </c>
      <c r="P40" s="7"/>
      <c r="Q40" s="13"/>
      <c r="R40" s="14"/>
      <c r="S40" s="14"/>
      <c r="T40" s="27"/>
      <c r="U40" s="28">
        <f t="shared" si="2"/>
        <v>1.4850336473755046</v>
      </c>
    </row>
    <row r="41" spans="1:21" x14ac:dyDescent="0.25">
      <c r="B41" s="6" t="s">
        <v>54</v>
      </c>
      <c r="C41" s="15">
        <v>1227.48</v>
      </c>
      <c r="D41" s="16">
        <v>35.823999999999998</v>
      </c>
      <c r="E41" s="16">
        <v>40.277999999999999</v>
      </c>
      <c r="F41" s="16">
        <v>41.22</v>
      </c>
      <c r="G41" s="16">
        <v>11.85</v>
      </c>
      <c r="H41" s="16">
        <f t="shared" si="0"/>
        <v>37.055250000000001</v>
      </c>
      <c r="I41" s="5"/>
      <c r="J41" s="15">
        <v>1258.9960000000001</v>
      </c>
      <c r="K41" s="16">
        <v>36.261099999999999</v>
      </c>
      <c r="L41" s="16">
        <v>41.755000000000003</v>
      </c>
      <c r="M41" s="16">
        <v>42.766800000000003</v>
      </c>
      <c r="N41" s="16">
        <v>24.6386</v>
      </c>
      <c r="O41" s="16">
        <f t="shared" si="1"/>
        <v>37.761049999999997</v>
      </c>
      <c r="P41" s="7"/>
      <c r="Q41" s="8">
        <f>bdrate(C41:C44,D41:D44,J41:J44,K41:K44)</f>
        <v>-0.12936936118656583</v>
      </c>
      <c r="R41" s="8">
        <f>bdrate(C41:C44,E41:E44,J41:J44,L41:L44)</f>
        <v>-0.49768648722071163</v>
      </c>
      <c r="S41" s="8">
        <f>bdrate(C41:C44,F41:F44,J41:J44,M41:M44)</f>
        <v>-0.46466416443068803</v>
      </c>
      <c r="T41" s="25">
        <f>bdrate(C41:C44,H41:H44,J41:J44,O41:O44)</f>
        <v>-0.20672406490603834</v>
      </c>
      <c r="U41" s="28">
        <f t="shared" si="2"/>
        <v>1.0792067510548524</v>
      </c>
    </row>
    <row r="42" spans="1:21" x14ac:dyDescent="0.25">
      <c r="B42" s="9"/>
      <c r="C42" s="17">
        <v>818.12</v>
      </c>
      <c r="D42" s="18">
        <v>34.207000000000001</v>
      </c>
      <c r="E42" s="18">
        <v>39.18</v>
      </c>
      <c r="F42" s="18">
        <v>40.003999999999998</v>
      </c>
      <c r="G42" s="18">
        <v>13.59</v>
      </c>
      <c r="H42" s="18">
        <f t="shared" si="0"/>
        <v>35.553250000000006</v>
      </c>
      <c r="I42" s="5"/>
      <c r="J42" s="17">
        <v>836.16</v>
      </c>
      <c r="K42" s="18">
        <v>34.773400000000002</v>
      </c>
      <c r="L42" s="18">
        <v>40.794499999999999</v>
      </c>
      <c r="M42" s="18">
        <v>41.660299999999999</v>
      </c>
      <c r="N42" s="18">
        <v>28.724599999999999</v>
      </c>
      <c r="O42" s="18">
        <f t="shared" si="1"/>
        <v>36.386899999999997</v>
      </c>
      <c r="P42" s="7"/>
      <c r="Q42" s="10"/>
      <c r="R42" s="11"/>
      <c r="S42" s="11"/>
      <c r="T42" s="26"/>
      <c r="U42" s="28">
        <f t="shared" si="2"/>
        <v>1.1136571008094187</v>
      </c>
    </row>
    <row r="43" spans="1:21" x14ac:dyDescent="0.25">
      <c r="B43" s="9"/>
      <c r="C43" s="17">
        <v>509.33</v>
      </c>
      <c r="D43" s="18">
        <v>32.243000000000002</v>
      </c>
      <c r="E43" s="18">
        <v>37.86</v>
      </c>
      <c r="F43" s="18">
        <v>38.578000000000003</v>
      </c>
      <c r="G43" s="18">
        <v>15.62</v>
      </c>
      <c r="H43" s="18">
        <f t="shared" si="0"/>
        <v>33.737000000000009</v>
      </c>
      <c r="I43" s="5"/>
      <c r="J43" s="17">
        <v>520.70960000000002</v>
      </c>
      <c r="K43" s="18">
        <v>32.941200000000002</v>
      </c>
      <c r="L43" s="18">
        <v>39.743299999999998</v>
      </c>
      <c r="M43" s="18">
        <v>40.451599999999999</v>
      </c>
      <c r="N43" s="18">
        <v>33.738199999999999</v>
      </c>
      <c r="O43" s="18">
        <f t="shared" si="1"/>
        <v>34.730262500000002</v>
      </c>
      <c r="P43" s="7"/>
      <c r="Q43" s="10"/>
      <c r="R43" s="11"/>
      <c r="S43" s="11"/>
      <c r="T43" s="26"/>
      <c r="U43" s="28">
        <f t="shared" si="2"/>
        <v>1.1599359795134445</v>
      </c>
    </row>
    <row r="44" spans="1:21" ht="16.5" thickBot="1" x14ac:dyDescent="0.3">
      <c r="B44" s="12"/>
      <c r="C44" s="19">
        <v>302.27999999999997</v>
      </c>
      <c r="D44" s="20">
        <v>29.984999999999999</v>
      </c>
      <c r="E44" s="20">
        <v>36.398000000000003</v>
      </c>
      <c r="F44" s="20">
        <v>36.895000000000003</v>
      </c>
      <c r="G44" s="20">
        <v>17.95</v>
      </c>
      <c r="H44" s="20">
        <f t="shared" si="0"/>
        <v>31.650375</v>
      </c>
      <c r="I44" s="5"/>
      <c r="J44" s="19">
        <v>312.04640000000001</v>
      </c>
      <c r="K44" s="20">
        <v>30.8996</v>
      </c>
      <c r="L44" s="20">
        <v>38.664999999999999</v>
      </c>
      <c r="M44" s="20">
        <v>39.289099999999998</v>
      </c>
      <c r="N44" s="20">
        <v>41.177700000000002</v>
      </c>
      <c r="O44" s="20">
        <f t="shared" si="1"/>
        <v>32.918962499999999</v>
      </c>
      <c r="P44" s="7"/>
      <c r="Q44" s="13"/>
      <c r="R44" s="14"/>
      <c r="S44" s="14"/>
      <c r="T44" s="27"/>
      <c r="U44" s="28">
        <f t="shared" si="2"/>
        <v>1.2940222841225628</v>
      </c>
    </row>
    <row r="45" spans="1:21" x14ac:dyDescent="0.25">
      <c r="B45" s="6" t="s">
        <v>55</v>
      </c>
      <c r="C45" s="15">
        <v>1097.44</v>
      </c>
      <c r="D45" s="16">
        <v>30.381</v>
      </c>
      <c r="E45" s="16">
        <v>35.948</v>
      </c>
      <c r="F45" s="16">
        <v>36.698</v>
      </c>
      <c r="G45" s="16">
        <v>11.6</v>
      </c>
      <c r="H45" s="16">
        <f t="shared" si="0"/>
        <v>31.866500000000002</v>
      </c>
      <c r="I45" s="5"/>
      <c r="J45" s="15">
        <v>1240.2936</v>
      </c>
      <c r="K45" s="16">
        <v>31.1479</v>
      </c>
      <c r="L45" s="16">
        <v>37.735199999999999</v>
      </c>
      <c r="M45" s="16">
        <v>38.575200000000002</v>
      </c>
      <c r="N45" s="16">
        <v>20.989899999999999</v>
      </c>
      <c r="O45" s="16">
        <f t="shared" si="1"/>
        <v>32.899725000000004</v>
      </c>
      <c r="P45" s="7"/>
      <c r="Q45" s="8">
        <f>bdrate(C45:C48,D45:D48,J45:J48,K45:K48)</f>
        <v>-0.11770452024035671</v>
      </c>
      <c r="R45" s="8">
        <f>bdrate(C45:C48,E45:E48,J45:J48,L45:L48)</f>
        <v>-0.55372542970416938</v>
      </c>
      <c r="S45" s="8">
        <f>bdrate(C45:C48,F45:F48,J45:J48,M45:M48)</f>
        <v>-0.55029128839261943</v>
      </c>
      <c r="T45" s="25">
        <f>bdrate(C45:C48,H45:H48,J45:J48,O45:O48)</f>
        <v>-0.20536934206050139</v>
      </c>
      <c r="U45" s="28">
        <f t="shared" si="2"/>
        <v>0.8094741379310344</v>
      </c>
    </row>
    <row r="46" spans="1:21" x14ac:dyDescent="0.25">
      <c r="B46" s="9"/>
      <c r="C46" s="17">
        <v>730.25</v>
      </c>
      <c r="D46" s="18">
        <v>28.992999999999999</v>
      </c>
      <c r="E46" s="18">
        <v>35.176000000000002</v>
      </c>
      <c r="F46" s="18">
        <v>35.948999999999998</v>
      </c>
      <c r="G46" s="18">
        <v>12.73</v>
      </c>
      <c r="H46" s="18">
        <f t="shared" si="0"/>
        <v>30.635375000000003</v>
      </c>
      <c r="I46" s="5"/>
      <c r="J46" s="17">
        <v>823.4896</v>
      </c>
      <c r="K46" s="18">
        <v>29.7879</v>
      </c>
      <c r="L46" s="18">
        <v>36.847499999999997</v>
      </c>
      <c r="M46" s="18">
        <v>37.644399999999997</v>
      </c>
      <c r="N46" s="18">
        <v>24.5411</v>
      </c>
      <c r="O46" s="18">
        <f t="shared" si="1"/>
        <v>31.652412499999997</v>
      </c>
      <c r="P46" s="7"/>
      <c r="Q46" s="10"/>
      <c r="R46" s="11"/>
      <c r="S46" s="11"/>
      <c r="T46" s="26"/>
      <c r="U46" s="28">
        <f t="shared" si="2"/>
        <v>0.9278161822466614</v>
      </c>
    </row>
    <row r="47" spans="1:21" x14ac:dyDescent="0.25">
      <c r="B47" s="9"/>
      <c r="C47" s="17">
        <v>452.52</v>
      </c>
      <c r="D47" s="18">
        <v>27.503</v>
      </c>
      <c r="E47" s="18">
        <v>34.387999999999998</v>
      </c>
      <c r="F47" s="18">
        <v>35.195999999999998</v>
      </c>
      <c r="G47" s="18">
        <v>15.37</v>
      </c>
      <c r="H47" s="18">
        <f t="shared" si="0"/>
        <v>29.32525</v>
      </c>
      <c r="I47" s="5"/>
      <c r="J47" s="17">
        <v>514.72720000000004</v>
      </c>
      <c r="K47" s="18">
        <v>28.288399999999999</v>
      </c>
      <c r="L47" s="18">
        <v>35.981099999999998</v>
      </c>
      <c r="M47" s="18">
        <v>36.7378</v>
      </c>
      <c r="N47" s="18">
        <v>29.514199999999999</v>
      </c>
      <c r="O47" s="18">
        <f t="shared" si="1"/>
        <v>30.306162499999999</v>
      </c>
      <c r="P47" s="7"/>
      <c r="Q47" s="10"/>
      <c r="R47" s="11"/>
      <c r="S47" s="11"/>
      <c r="T47" s="26"/>
      <c r="U47" s="28">
        <f t="shared" si="2"/>
        <v>0.92024723487312954</v>
      </c>
    </row>
    <row r="48" spans="1:21" ht="16.5" thickBot="1" x14ac:dyDescent="0.3">
      <c r="B48" s="12"/>
      <c r="C48" s="19">
        <v>257.54000000000002</v>
      </c>
      <c r="D48" s="20">
        <v>25.706</v>
      </c>
      <c r="E48" s="20">
        <v>33.283999999999999</v>
      </c>
      <c r="F48" s="20">
        <v>34.116</v>
      </c>
      <c r="G48" s="20">
        <v>18.16</v>
      </c>
      <c r="H48" s="20">
        <f t="shared" si="0"/>
        <v>27.704499999999996</v>
      </c>
      <c r="I48" s="5"/>
      <c r="J48" s="19">
        <v>308.76240000000001</v>
      </c>
      <c r="K48" s="20">
        <v>26.753900000000002</v>
      </c>
      <c r="L48" s="20">
        <v>35.129300000000001</v>
      </c>
      <c r="M48" s="20">
        <v>35.872399999999999</v>
      </c>
      <c r="N48" s="20">
        <v>36.756599999999999</v>
      </c>
      <c r="O48" s="20">
        <f t="shared" si="1"/>
        <v>28.940637500000001</v>
      </c>
      <c r="P48" s="7"/>
      <c r="Q48" s="13"/>
      <c r="R48" s="14"/>
      <c r="S48" s="14"/>
      <c r="T48" s="27"/>
      <c r="U48" s="28">
        <f t="shared" si="2"/>
        <v>1.0240418502202642</v>
      </c>
    </row>
    <row r="49" spans="1:21" x14ac:dyDescent="0.25">
      <c r="B49" s="6" t="s">
        <v>56</v>
      </c>
      <c r="C49" s="15">
        <v>1108.78</v>
      </c>
      <c r="D49" s="16">
        <v>33.347000000000001</v>
      </c>
      <c r="E49" s="16">
        <v>37.029000000000003</v>
      </c>
      <c r="F49" s="16">
        <v>38.753999999999998</v>
      </c>
      <c r="G49" s="16">
        <v>6.83</v>
      </c>
      <c r="H49" s="16">
        <f t="shared" si="0"/>
        <v>34.483125000000001</v>
      </c>
      <c r="I49" s="5"/>
      <c r="J49" s="15">
        <v>1225.7464</v>
      </c>
      <c r="K49" s="16">
        <v>33.2361</v>
      </c>
      <c r="L49" s="16">
        <v>37.906100000000002</v>
      </c>
      <c r="M49" s="16">
        <v>39.520899999999997</v>
      </c>
      <c r="N49" s="16">
        <v>15.6723</v>
      </c>
      <c r="O49" s="16">
        <f t="shared" si="1"/>
        <v>34.605450000000005</v>
      </c>
      <c r="P49" s="7"/>
      <c r="Q49" s="8">
        <f>bdrate(C49:C52,D49:D52,J49:J52,K49:K52)</f>
        <v>0.14714999301206588</v>
      </c>
      <c r="R49" s="8">
        <f>bdrate(C49:C52,E49:E52,J49:J52,L49:L52)</f>
        <v>-0.34820275426177338</v>
      </c>
      <c r="S49" s="8">
        <f>bdrate(C49:C52,F49:F52,J49:J52,M49:M52)</f>
        <v>-0.3342204943318734</v>
      </c>
      <c r="T49" s="25">
        <f>bdrate(C49:C52,H49:H52,J49:J52,O49:O52)</f>
        <v>4.5395764012168272E-2</v>
      </c>
      <c r="U49" s="28">
        <f t="shared" si="2"/>
        <v>1.2946266471449488</v>
      </c>
    </row>
    <row r="50" spans="1:21" x14ac:dyDescent="0.25">
      <c r="B50" s="9"/>
      <c r="C50" s="17">
        <v>747.24</v>
      </c>
      <c r="D50" s="18">
        <v>31.890999999999998</v>
      </c>
      <c r="E50" s="18">
        <v>36.06</v>
      </c>
      <c r="F50" s="18">
        <v>37.768000000000001</v>
      </c>
      <c r="G50" s="18">
        <v>7.8</v>
      </c>
      <c r="H50" s="18">
        <f t="shared" si="0"/>
        <v>33.146749999999997</v>
      </c>
      <c r="I50" s="5"/>
      <c r="J50" s="17">
        <v>821.15279999999996</v>
      </c>
      <c r="K50" s="18">
        <v>31.720199999999998</v>
      </c>
      <c r="L50" s="18">
        <v>37.019199999999998</v>
      </c>
      <c r="M50" s="18">
        <v>38.670900000000003</v>
      </c>
      <c r="N50" s="18">
        <v>18.040800000000001</v>
      </c>
      <c r="O50" s="18">
        <f t="shared" si="1"/>
        <v>33.251412500000001</v>
      </c>
      <c r="P50" s="7"/>
      <c r="Q50" s="10"/>
      <c r="R50" s="11"/>
      <c r="S50" s="11"/>
      <c r="T50" s="26"/>
      <c r="U50" s="28">
        <f t="shared" si="2"/>
        <v>1.3129230769230769</v>
      </c>
    </row>
    <row r="51" spans="1:21" x14ac:dyDescent="0.25">
      <c r="B51" s="9"/>
      <c r="C51" s="17">
        <v>475.64</v>
      </c>
      <c r="D51" s="18">
        <v>30.283999999999999</v>
      </c>
      <c r="E51" s="18">
        <v>35.064</v>
      </c>
      <c r="F51" s="18">
        <v>36.741999999999997</v>
      </c>
      <c r="G51" s="18">
        <v>8.9600000000000009</v>
      </c>
      <c r="H51" s="18">
        <f t="shared" si="0"/>
        <v>31.688749999999999</v>
      </c>
      <c r="I51" s="5"/>
      <c r="J51" s="17">
        <v>516.572</v>
      </c>
      <c r="K51" s="18">
        <v>30.0809</v>
      </c>
      <c r="L51" s="18">
        <v>36.208399999999997</v>
      </c>
      <c r="M51" s="18">
        <v>37.883499999999998</v>
      </c>
      <c r="N51" s="18">
        <v>21.110399999999998</v>
      </c>
      <c r="O51" s="18">
        <f t="shared" si="1"/>
        <v>31.822162500000001</v>
      </c>
      <c r="P51" s="7"/>
      <c r="Q51" s="10"/>
      <c r="R51" s="11"/>
      <c r="S51" s="11"/>
      <c r="T51" s="26"/>
      <c r="U51" s="28">
        <f t="shared" si="2"/>
        <v>1.3560714285714282</v>
      </c>
    </row>
    <row r="52" spans="1:21" ht="16.5" thickBot="1" x14ac:dyDescent="0.3">
      <c r="B52" s="12"/>
      <c r="C52" s="19">
        <v>288.93</v>
      </c>
      <c r="D52" s="20">
        <v>28.61</v>
      </c>
      <c r="E52" s="20">
        <v>33.914000000000001</v>
      </c>
      <c r="F52" s="20">
        <v>35.482999999999997</v>
      </c>
      <c r="G52" s="20">
        <v>10.61</v>
      </c>
      <c r="H52" s="20">
        <f t="shared" si="0"/>
        <v>30.132125000000002</v>
      </c>
      <c r="I52" s="5"/>
      <c r="J52" s="19">
        <v>309.84960000000001</v>
      </c>
      <c r="K52" s="20">
        <v>28.465900000000001</v>
      </c>
      <c r="L52" s="20">
        <v>35.297600000000003</v>
      </c>
      <c r="M52" s="20">
        <v>36.959200000000003</v>
      </c>
      <c r="N52" s="20">
        <v>25.882100000000001</v>
      </c>
      <c r="O52" s="20">
        <f t="shared" si="1"/>
        <v>30.381525000000003</v>
      </c>
      <c r="P52" s="7"/>
      <c r="Q52" s="13"/>
      <c r="R52" s="14"/>
      <c r="S52" s="14"/>
      <c r="T52" s="27"/>
      <c r="U52" s="28">
        <f t="shared" si="2"/>
        <v>1.4394062205466542</v>
      </c>
    </row>
    <row r="53" spans="1:21" x14ac:dyDescent="0.25">
      <c r="A53" s="6" t="s">
        <v>41</v>
      </c>
      <c r="B53" s="6" t="s">
        <v>57</v>
      </c>
      <c r="C53" s="15">
        <v>640.53</v>
      </c>
      <c r="D53" s="16">
        <v>35.719000000000001</v>
      </c>
      <c r="E53" s="16">
        <v>40.11</v>
      </c>
      <c r="F53" s="16">
        <v>38.893000000000001</v>
      </c>
      <c r="G53" s="16">
        <v>28.36</v>
      </c>
      <c r="H53" s="16">
        <f t="shared" si="0"/>
        <v>36.664625000000001</v>
      </c>
      <c r="I53" s="5"/>
      <c r="J53" s="15">
        <v>608.52639999999997</v>
      </c>
      <c r="K53" s="16">
        <v>35.329099999999997</v>
      </c>
      <c r="L53" s="16">
        <v>40.997199999999999</v>
      </c>
      <c r="M53" s="16">
        <v>39.428600000000003</v>
      </c>
      <c r="N53" s="16">
        <v>69.676699999999997</v>
      </c>
      <c r="O53" s="16">
        <f t="shared" si="1"/>
        <v>36.550049999999999</v>
      </c>
      <c r="P53" s="7"/>
      <c r="Q53" s="8">
        <f>bdrate(C53:C56,D53:D56,J53:J56,K53:K56)</f>
        <v>5.816669045191869E-2</v>
      </c>
      <c r="R53" s="8">
        <f>bdrate(C53:C56,E53:E56,J53:J56,L53:L56)</f>
        <v>-0.372881328915739</v>
      </c>
      <c r="S53" s="8">
        <f>bdrate(C53:C56,F53:F56,J53:J56,M53:M56)</f>
        <v>-0.29228171810769987</v>
      </c>
      <c r="T53" s="25">
        <f>bdrate(C53:C56,H53:H56,J53:J56,O53:O56)</f>
        <v>-3.1166347720806509E-2</v>
      </c>
      <c r="U53" s="28">
        <f t="shared" si="2"/>
        <v>1.4568653032440055</v>
      </c>
    </row>
    <row r="54" spans="1:21" x14ac:dyDescent="0.25">
      <c r="A54" s="9" t="s">
        <v>42</v>
      </c>
      <c r="B54" s="9"/>
      <c r="C54" s="17">
        <v>426.22</v>
      </c>
      <c r="D54" s="18">
        <v>33.844999999999999</v>
      </c>
      <c r="E54" s="18">
        <v>38.826999999999998</v>
      </c>
      <c r="F54" s="18">
        <v>37.384</v>
      </c>
      <c r="G54" s="18">
        <v>32.67</v>
      </c>
      <c r="H54" s="18">
        <f t="shared" si="0"/>
        <v>34.910125000000001</v>
      </c>
      <c r="I54" s="5"/>
      <c r="J54" s="17">
        <v>409.15199999999999</v>
      </c>
      <c r="K54" s="18">
        <v>33.481900000000003</v>
      </c>
      <c r="L54" s="18">
        <v>39.850299999999997</v>
      </c>
      <c r="M54" s="18">
        <v>38.150199999999998</v>
      </c>
      <c r="N54" s="18">
        <v>80.528300000000002</v>
      </c>
      <c r="O54" s="18">
        <f t="shared" si="1"/>
        <v>34.861487500000003</v>
      </c>
      <c r="P54" s="7"/>
      <c r="Q54" s="10"/>
      <c r="R54" s="11"/>
      <c r="S54" s="11"/>
      <c r="T54" s="26"/>
      <c r="U54" s="28">
        <f t="shared" si="2"/>
        <v>1.4649005203550658</v>
      </c>
    </row>
    <row r="55" spans="1:21" x14ac:dyDescent="0.25">
      <c r="B55" s="9"/>
      <c r="C55" s="17">
        <v>266.5</v>
      </c>
      <c r="D55" s="18">
        <v>31.875</v>
      </c>
      <c r="E55" s="18">
        <v>37.536999999999999</v>
      </c>
      <c r="F55" s="18">
        <v>35.857999999999997</v>
      </c>
      <c r="G55" s="18">
        <v>38.07</v>
      </c>
      <c r="H55" s="18">
        <f t="shared" si="0"/>
        <v>33.080624999999998</v>
      </c>
      <c r="I55" s="5"/>
      <c r="J55" s="17">
        <v>254.82560000000001</v>
      </c>
      <c r="K55" s="18">
        <v>31.450600000000001</v>
      </c>
      <c r="L55" s="18">
        <v>38.657299999999999</v>
      </c>
      <c r="M55" s="18">
        <v>36.839199999999998</v>
      </c>
      <c r="N55" s="18">
        <v>95.1113</v>
      </c>
      <c r="O55" s="18">
        <f t="shared" si="1"/>
        <v>33.025012499999995</v>
      </c>
      <c r="P55" s="7"/>
      <c r="Q55" s="10"/>
      <c r="R55" s="11"/>
      <c r="S55" s="11"/>
      <c r="T55" s="26"/>
      <c r="U55" s="28">
        <f t="shared" si="2"/>
        <v>1.4983267664827948</v>
      </c>
    </row>
    <row r="56" spans="1:21" ht="16.5" thickBot="1" x14ac:dyDescent="0.3">
      <c r="B56" s="12"/>
      <c r="C56" s="19">
        <v>127.14</v>
      </c>
      <c r="D56" s="20">
        <v>29.082999999999998</v>
      </c>
      <c r="E56" s="20">
        <v>35.545000000000002</v>
      </c>
      <c r="F56" s="20">
        <v>33.433999999999997</v>
      </c>
      <c r="G56" s="20">
        <v>49.38</v>
      </c>
      <c r="H56" s="20">
        <f t="shared" si="0"/>
        <v>30.434625</v>
      </c>
      <c r="I56" s="5"/>
      <c r="J56" s="19">
        <v>123.46559999999999</v>
      </c>
      <c r="K56" s="20">
        <v>28.6279</v>
      </c>
      <c r="L56" s="20">
        <v>37.125999999999998</v>
      </c>
      <c r="M56" s="20">
        <v>35.010399999999997</v>
      </c>
      <c r="N56" s="20">
        <v>127.19410000000001</v>
      </c>
      <c r="O56" s="20">
        <f t="shared" si="1"/>
        <v>30.487975000000002</v>
      </c>
      <c r="P56" s="7"/>
      <c r="Q56" s="13"/>
      <c r="R56" s="14"/>
      <c r="S56" s="14"/>
      <c r="T56" s="27"/>
      <c r="U56" s="28">
        <f t="shared" si="2"/>
        <v>1.575822195220737</v>
      </c>
    </row>
    <row r="57" spans="1:21" x14ac:dyDescent="0.25">
      <c r="B57" s="6" t="s">
        <v>58</v>
      </c>
      <c r="C57" s="15">
        <v>552.27</v>
      </c>
      <c r="D57" s="16">
        <v>33.418999999999997</v>
      </c>
      <c r="E57" s="16">
        <v>40.185000000000002</v>
      </c>
      <c r="F57" s="16">
        <v>41.088000000000001</v>
      </c>
      <c r="G57" s="16">
        <v>48.02</v>
      </c>
      <c r="H57" s="16">
        <f t="shared" si="0"/>
        <v>35.223374999999997</v>
      </c>
      <c r="I57" s="5"/>
      <c r="J57" s="15">
        <v>618.48800000000006</v>
      </c>
      <c r="K57" s="16">
        <v>34.281199999999998</v>
      </c>
      <c r="L57" s="16">
        <v>42.043500000000002</v>
      </c>
      <c r="M57" s="16">
        <v>43.025100000000002</v>
      </c>
      <c r="N57" s="16">
        <v>79.459699999999998</v>
      </c>
      <c r="O57" s="16">
        <f t="shared" si="1"/>
        <v>36.344474999999996</v>
      </c>
      <c r="P57" s="7"/>
      <c r="Q57" s="8">
        <f>bdrate(C57:C60,D57:D60,J57:J60,K57:K60)</f>
        <v>-0.14536148579936281</v>
      </c>
      <c r="R57" s="8">
        <f>bdrate(C57:C60,E57:E60,J57:J60,L57:L60)</f>
        <v>-0.54185644951901923</v>
      </c>
      <c r="S57" s="8">
        <f>bdrate(C57:C60,F57:F60,J57:J60,M57:M60)</f>
        <v>-0.52057144894232721</v>
      </c>
      <c r="T57" s="25">
        <f>bdrate(C57:C60,H57:H60,J57:J60,O57:O60)</f>
        <v>-0.21878294132991627</v>
      </c>
      <c r="U57" s="28">
        <f t="shared" si="2"/>
        <v>0.65472094960433136</v>
      </c>
    </row>
    <row r="58" spans="1:21" x14ac:dyDescent="0.25">
      <c r="B58" s="9"/>
      <c r="C58" s="17">
        <v>363.71</v>
      </c>
      <c r="D58" s="18">
        <v>32.055</v>
      </c>
      <c r="E58" s="18">
        <v>39.484999999999999</v>
      </c>
      <c r="F58" s="18">
        <v>40.356999999999999</v>
      </c>
      <c r="G58" s="18">
        <v>54.79</v>
      </c>
      <c r="H58" s="18">
        <f t="shared" si="0"/>
        <v>34.021500000000003</v>
      </c>
      <c r="I58" s="5"/>
      <c r="J58" s="17">
        <v>410.66640000000001</v>
      </c>
      <c r="K58" s="18">
        <v>32.936199999999999</v>
      </c>
      <c r="L58" s="18">
        <v>41.251300000000001</v>
      </c>
      <c r="M58" s="18">
        <v>42.124499999999998</v>
      </c>
      <c r="N58" s="18">
        <v>94.265500000000003</v>
      </c>
      <c r="O58" s="18">
        <f t="shared" si="1"/>
        <v>35.124124999999999</v>
      </c>
      <c r="P58" s="7"/>
      <c r="Q58" s="10"/>
      <c r="R58" s="11"/>
      <c r="S58" s="11"/>
      <c r="T58" s="26"/>
      <c r="U58" s="28">
        <f t="shared" si="2"/>
        <v>0.7204873152035044</v>
      </c>
    </row>
    <row r="59" spans="1:21" x14ac:dyDescent="0.25">
      <c r="B59" s="9"/>
      <c r="C59" s="17">
        <v>225.15</v>
      </c>
      <c r="D59" s="18">
        <v>30.507999999999999</v>
      </c>
      <c r="E59" s="18">
        <v>38.781999999999996</v>
      </c>
      <c r="F59" s="18">
        <v>39.597999999999999</v>
      </c>
      <c r="G59" s="18">
        <v>62.43</v>
      </c>
      <c r="H59" s="18">
        <f t="shared" si="0"/>
        <v>32.6785</v>
      </c>
      <c r="I59" s="5"/>
      <c r="J59" s="17">
        <v>254.75360000000001</v>
      </c>
      <c r="K59" s="18">
        <v>31.416899999999998</v>
      </c>
      <c r="L59" s="18">
        <v>40.251100000000001</v>
      </c>
      <c r="M59" s="18">
        <v>41.064999999999998</v>
      </c>
      <c r="N59" s="18">
        <v>117.9941</v>
      </c>
      <c r="O59" s="18">
        <f t="shared" si="1"/>
        <v>33.727187499999999</v>
      </c>
      <c r="P59" s="7"/>
      <c r="Q59" s="10"/>
      <c r="R59" s="11"/>
      <c r="S59" s="11"/>
      <c r="T59" s="26"/>
      <c r="U59" s="28">
        <f t="shared" si="2"/>
        <v>0.89002242511613017</v>
      </c>
    </row>
    <row r="60" spans="1:21" ht="16.5" thickBot="1" x14ac:dyDescent="0.3">
      <c r="B60" s="12"/>
      <c r="C60" s="19">
        <v>104.22</v>
      </c>
      <c r="D60" s="20">
        <v>27.765999999999998</v>
      </c>
      <c r="E60" s="20">
        <v>37.86</v>
      </c>
      <c r="F60" s="20">
        <v>38.491</v>
      </c>
      <c r="G60" s="20">
        <v>76.31</v>
      </c>
      <c r="H60" s="20">
        <f t="shared" si="0"/>
        <v>30.368375</v>
      </c>
      <c r="I60" s="5"/>
      <c r="J60" s="19">
        <v>121.2312</v>
      </c>
      <c r="K60" s="20">
        <v>28.9665</v>
      </c>
      <c r="L60" s="20">
        <v>38.954000000000001</v>
      </c>
      <c r="M60" s="20">
        <v>39.739100000000001</v>
      </c>
      <c r="N60" s="20">
        <v>170.9402</v>
      </c>
      <c r="O60" s="20">
        <f t="shared" si="1"/>
        <v>31.561512500000003</v>
      </c>
      <c r="P60" s="7"/>
      <c r="Q60" s="13"/>
      <c r="R60" s="14"/>
      <c r="S60" s="14"/>
      <c r="T60" s="27"/>
      <c r="U60" s="28">
        <f t="shared" si="2"/>
        <v>1.2400760057659546</v>
      </c>
    </row>
    <row r="61" spans="1:21" x14ac:dyDescent="0.25">
      <c r="B61" s="6" t="s">
        <v>59</v>
      </c>
      <c r="C61" s="29">
        <v>628.48</v>
      </c>
      <c r="D61" s="30">
        <v>33.642000000000003</v>
      </c>
      <c r="E61" s="30">
        <v>37.783000000000001</v>
      </c>
      <c r="F61" s="30">
        <v>38.366999999999997</v>
      </c>
      <c r="G61" s="16">
        <v>38.520000000000003</v>
      </c>
      <c r="H61" s="16">
        <f t="shared" si="0"/>
        <v>34.750250000000008</v>
      </c>
      <c r="I61" s="5"/>
      <c r="J61" s="29">
        <v>645.60239999999999</v>
      </c>
      <c r="K61" s="30">
        <v>33.804699999999997</v>
      </c>
      <c r="L61" s="30">
        <v>39.130699999999997</v>
      </c>
      <c r="M61" s="30">
        <v>40.022599999999997</v>
      </c>
      <c r="N61" s="16">
        <v>76.864000000000004</v>
      </c>
      <c r="O61" s="16">
        <f t="shared" si="1"/>
        <v>35.247687499999998</v>
      </c>
      <c r="P61" s="7"/>
      <c r="Q61" s="8">
        <f>bdrate(C61:C64,D61:D64,J61:J64,K61:K64)</f>
        <v>-5.7156127423831915E-2</v>
      </c>
      <c r="R61" s="8">
        <f>bdrate(C61:C64,E61:E64,J61:J64,L61:L64)</f>
        <v>-0.42372753972775079</v>
      </c>
      <c r="S61" s="8">
        <f>bdrate(C61:C64,F61:F64,J61:J64,M61:M64)</f>
        <v>-0.47185147704817598</v>
      </c>
      <c r="T61" s="25">
        <f>bdrate(C61:C64,H61:H64,J61:J64,O61:O64)</f>
        <v>-0.14508968607995287</v>
      </c>
      <c r="U61" s="28">
        <f t="shared" si="2"/>
        <v>0.99543094496365514</v>
      </c>
    </row>
    <row r="62" spans="1:21" x14ac:dyDescent="0.25">
      <c r="B62" s="9"/>
      <c r="C62" s="31">
        <v>418.86</v>
      </c>
      <c r="D62" s="32">
        <v>32.003999999999998</v>
      </c>
      <c r="E62" s="32">
        <v>36.737000000000002</v>
      </c>
      <c r="F62" s="32">
        <v>37.274000000000001</v>
      </c>
      <c r="G62" s="18">
        <v>44.15</v>
      </c>
      <c r="H62" s="18">
        <f t="shared" si="0"/>
        <v>33.254374999999996</v>
      </c>
      <c r="I62" s="5"/>
      <c r="J62" s="31">
        <v>431.6952</v>
      </c>
      <c r="K62" s="32">
        <v>32.274000000000001</v>
      </c>
      <c r="L62" s="32">
        <v>38.0717</v>
      </c>
      <c r="M62" s="32">
        <v>38.880499999999998</v>
      </c>
      <c r="N62" s="18">
        <v>90.793499999999995</v>
      </c>
      <c r="O62" s="18">
        <f t="shared" si="1"/>
        <v>33.824525000000001</v>
      </c>
      <c r="P62" s="7"/>
      <c r="Q62" s="10"/>
      <c r="R62" s="11"/>
      <c r="S62" s="11"/>
      <c r="T62" s="26"/>
      <c r="U62" s="28">
        <f t="shared" si="2"/>
        <v>1.0564779161947904</v>
      </c>
    </row>
    <row r="63" spans="1:21" x14ac:dyDescent="0.25">
      <c r="B63" s="9"/>
      <c r="C63" s="31">
        <v>260.31</v>
      </c>
      <c r="D63" s="32">
        <v>30.236000000000001</v>
      </c>
      <c r="E63" s="32">
        <v>35.56</v>
      </c>
      <c r="F63" s="32">
        <v>36.078000000000003</v>
      </c>
      <c r="G63" s="18">
        <v>50.96</v>
      </c>
      <c r="H63" s="18">
        <f t="shared" si="0"/>
        <v>31.63175</v>
      </c>
      <c r="I63" s="5"/>
      <c r="J63" s="31">
        <v>268.096</v>
      </c>
      <c r="K63" s="32">
        <v>30.555199999999999</v>
      </c>
      <c r="L63" s="32">
        <v>36.9193</v>
      </c>
      <c r="M63" s="32">
        <v>37.659199999999998</v>
      </c>
      <c r="N63" s="18">
        <v>109.76949999999999</v>
      </c>
      <c r="O63" s="18">
        <f t="shared" si="1"/>
        <v>32.238712499999998</v>
      </c>
      <c r="P63" s="7"/>
      <c r="Q63" s="10"/>
      <c r="R63" s="11"/>
      <c r="S63" s="11"/>
      <c r="T63" s="26"/>
      <c r="U63" s="28">
        <f t="shared" si="2"/>
        <v>1.1540325745682887</v>
      </c>
    </row>
    <row r="64" spans="1:21" ht="16.5" thickBot="1" x14ac:dyDescent="0.3">
      <c r="B64" s="12"/>
      <c r="C64" s="33">
        <v>122.46</v>
      </c>
      <c r="D64" s="34">
        <v>27.652000000000001</v>
      </c>
      <c r="E64" s="34">
        <v>33.93</v>
      </c>
      <c r="F64" s="34">
        <v>34.345999999999997</v>
      </c>
      <c r="G64" s="20">
        <v>64.099999999999994</v>
      </c>
      <c r="H64" s="20">
        <f t="shared" si="0"/>
        <v>29.273500000000002</v>
      </c>
      <c r="I64" s="5"/>
      <c r="J64" s="33">
        <v>126.744</v>
      </c>
      <c r="K64" s="34">
        <v>28.141999999999999</v>
      </c>
      <c r="L64" s="34">
        <v>35.408099999999997</v>
      </c>
      <c r="M64" s="34">
        <v>36.200000000000003</v>
      </c>
      <c r="N64" s="20">
        <v>151.1944</v>
      </c>
      <c r="O64" s="20">
        <f t="shared" si="1"/>
        <v>30.057512500000001</v>
      </c>
      <c r="P64" s="7"/>
      <c r="Q64" s="13"/>
      <c r="R64" s="14"/>
      <c r="S64" s="14"/>
      <c r="T64" s="27"/>
      <c r="U64" s="28">
        <f t="shared" si="2"/>
        <v>1.3587269890795635</v>
      </c>
    </row>
    <row r="65" spans="1:21" x14ac:dyDescent="0.25">
      <c r="B65" s="6" t="s">
        <v>60</v>
      </c>
      <c r="C65" s="15">
        <v>578.53</v>
      </c>
      <c r="D65" s="16">
        <v>35.131999999999998</v>
      </c>
      <c r="E65" s="16">
        <v>38.225999999999999</v>
      </c>
      <c r="F65" s="16">
        <v>39.454999999999998</v>
      </c>
      <c r="G65" s="16">
        <v>22</v>
      </c>
      <c r="H65" s="16">
        <f t="shared" si="0"/>
        <v>36.059124999999995</v>
      </c>
      <c r="I65" s="5"/>
      <c r="J65" s="15">
        <v>613.83199999999999</v>
      </c>
      <c r="K65" s="16">
        <v>34.881</v>
      </c>
      <c r="L65" s="16">
        <v>38.877899999999997</v>
      </c>
      <c r="M65" s="16">
        <v>40.011499999999998</v>
      </c>
      <c r="N65" s="16">
        <v>51.831400000000002</v>
      </c>
      <c r="O65" s="16">
        <f t="shared" si="1"/>
        <v>36.021925000000003</v>
      </c>
      <c r="P65" s="7"/>
      <c r="Q65" s="8">
        <f>bdrate(C65:C68,D65:D68,J65:J68,K65:K68)</f>
        <v>0.12189387781140515</v>
      </c>
      <c r="R65" s="8">
        <f>bdrate(C65:C68,E65:E68,J65:J68,L65:L68)</f>
        <v>-0.24285202511585346</v>
      </c>
      <c r="S65" s="8">
        <f>bdrate(C65:C68,F65:F68,J65:J68,M65:M68)</f>
        <v>-0.23429024439216706</v>
      </c>
      <c r="T65" s="25">
        <f>bdrate(C65:C68,H65:H68,J65:J68,O65:O68)</f>
        <v>4.123417261912099E-2</v>
      </c>
      <c r="U65" s="28">
        <f t="shared" si="2"/>
        <v>1.3559727272727273</v>
      </c>
    </row>
    <row r="66" spans="1:21" x14ac:dyDescent="0.25">
      <c r="B66" s="9"/>
      <c r="C66" s="17">
        <v>387.57</v>
      </c>
      <c r="D66" s="18">
        <v>33.256999999999998</v>
      </c>
      <c r="E66" s="18">
        <v>36.976999999999997</v>
      </c>
      <c r="F66" s="18">
        <v>38.162999999999997</v>
      </c>
      <c r="G66" s="18">
        <v>25.34</v>
      </c>
      <c r="H66" s="18">
        <f t="shared" si="0"/>
        <v>34.335249999999995</v>
      </c>
      <c r="I66" s="5"/>
      <c r="J66" s="17">
        <v>410.43360000000001</v>
      </c>
      <c r="K66" s="18">
        <v>32.9998</v>
      </c>
      <c r="L66" s="18">
        <v>37.744799999999998</v>
      </c>
      <c r="M66" s="18">
        <v>38.887799999999999</v>
      </c>
      <c r="N66" s="18">
        <v>58.811999999999998</v>
      </c>
      <c r="O66" s="18">
        <f t="shared" si="1"/>
        <v>34.328924999999998</v>
      </c>
      <c r="P66" s="7"/>
      <c r="Q66" s="10"/>
      <c r="R66" s="11"/>
      <c r="S66" s="11"/>
      <c r="T66" s="26"/>
      <c r="U66" s="28">
        <f t="shared" si="2"/>
        <v>1.3209155485398578</v>
      </c>
    </row>
    <row r="67" spans="1:21" x14ac:dyDescent="0.25">
      <c r="B67" s="9"/>
      <c r="C67" s="17">
        <v>243.59</v>
      </c>
      <c r="D67" s="18">
        <v>31.298999999999999</v>
      </c>
      <c r="E67" s="18">
        <v>35.603999999999999</v>
      </c>
      <c r="F67" s="18">
        <v>36.75</v>
      </c>
      <c r="G67" s="18">
        <v>30.24</v>
      </c>
      <c r="H67" s="18">
        <f t="shared" si="0"/>
        <v>32.518499999999996</v>
      </c>
      <c r="I67" s="5"/>
      <c r="J67" s="17">
        <v>258.37920000000003</v>
      </c>
      <c r="K67" s="18">
        <v>31.0839</v>
      </c>
      <c r="L67" s="18">
        <v>36.537199999999999</v>
      </c>
      <c r="M67" s="18">
        <v>37.694899999999997</v>
      </c>
      <c r="N67" s="18">
        <v>71.753200000000007</v>
      </c>
      <c r="O67" s="18">
        <f t="shared" si="1"/>
        <v>32.5919375</v>
      </c>
      <c r="P67" s="7"/>
      <c r="Q67" s="10"/>
      <c r="R67" s="11"/>
      <c r="S67" s="11"/>
      <c r="T67" s="26"/>
      <c r="U67" s="28">
        <f t="shared" si="2"/>
        <v>1.3727910052910057</v>
      </c>
    </row>
    <row r="68" spans="1:21" ht="16.5" thickBot="1" x14ac:dyDescent="0.3">
      <c r="B68" s="12"/>
      <c r="C68" s="19">
        <v>116.72</v>
      </c>
      <c r="D68" s="20">
        <v>28.645</v>
      </c>
      <c r="E68" s="20">
        <v>33.631</v>
      </c>
      <c r="F68" s="20">
        <v>34.573999999999998</v>
      </c>
      <c r="G68" s="20">
        <v>40.06</v>
      </c>
      <c r="H68" s="20">
        <f t="shared" si="0"/>
        <v>30.009374999999999</v>
      </c>
      <c r="I68" s="5"/>
      <c r="J68" s="19">
        <v>125.1992</v>
      </c>
      <c r="K68" s="20">
        <v>28.4757</v>
      </c>
      <c r="L68" s="20">
        <v>35.092500000000001</v>
      </c>
      <c r="M68" s="20">
        <v>36.231299999999997</v>
      </c>
      <c r="N68" s="20">
        <v>99.108000000000004</v>
      </c>
      <c r="O68" s="20">
        <f t="shared" si="1"/>
        <v>30.27225</v>
      </c>
      <c r="P68" s="7"/>
      <c r="Q68" s="13"/>
      <c r="R68" s="14"/>
      <c r="S68" s="14"/>
      <c r="T68" s="27"/>
      <c r="U68" s="28">
        <f t="shared" si="2"/>
        <v>1.4739890164752871</v>
      </c>
    </row>
    <row r="69" spans="1:21" x14ac:dyDescent="0.25">
      <c r="A69" s="6" t="s">
        <v>43</v>
      </c>
      <c r="B69" s="6" t="s">
        <v>61</v>
      </c>
      <c r="C69" s="15">
        <v>1390.76</v>
      </c>
      <c r="D69" s="16">
        <v>41.366</v>
      </c>
      <c r="E69" s="16">
        <v>45.353999999999999</v>
      </c>
      <c r="F69" s="16">
        <v>46.673000000000002</v>
      </c>
      <c r="G69" s="16">
        <v>9.0500000000000007</v>
      </c>
      <c r="H69" s="16">
        <f t="shared" si="0"/>
        <v>42.527875000000002</v>
      </c>
      <c r="I69" s="5"/>
      <c r="J69" s="15">
        <v>1507.6687999999999</v>
      </c>
      <c r="K69" s="16">
        <v>41.945900000000002</v>
      </c>
      <c r="L69" s="16">
        <v>46.529400000000003</v>
      </c>
      <c r="M69" s="16">
        <v>47.826500000000003</v>
      </c>
      <c r="N69" s="16">
        <v>18.553999999999998</v>
      </c>
      <c r="O69" s="16">
        <f t="shared" si="1"/>
        <v>43.253912500000006</v>
      </c>
      <c r="P69" s="7"/>
      <c r="Q69" s="8">
        <f>bdrate(C69:C72,D69:D72,J69:J72,K69:K72)</f>
        <v>-8.2384661179356389E-2</v>
      </c>
      <c r="R69" s="8">
        <f>bdrate(C69:C72,E69:E72,J69:J72,L69:L72)</f>
        <v>-0.37224507127720818</v>
      </c>
      <c r="S69" s="8">
        <f>bdrate(C69:C72,F69:F72,J69:J72,M69:M72)</f>
        <v>-0.32536756191342975</v>
      </c>
      <c r="T69" s="25">
        <f>bdrate(C69:C72,H69:H72,J69:J72,O69:O72)</f>
        <v>-0.14295050909633467</v>
      </c>
      <c r="U69" s="28">
        <f t="shared" si="2"/>
        <v>1.0501657458563534</v>
      </c>
    </row>
    <row r="70" spans="1:21" x14ac:dyDescent="0.25">
      <c r="A70" s="9" t="s">
        <v>44</v>
      </c>
      <c r="B70" s="9"/>
      <c r="C70" s="17">
        <v>916.47</v>
      </c>
      <c r="D70" s="18">
        <v>40.289000000000001</v>
      </c>
      <c r="E70" s="18">
        <v>44.351999999999997</v>
      </c>
      <c r="F70" s="18">
        <v>45.710999999999999</v>
      </c>
      <c r="G70" s="18">
        <v>10.18</v>
      </c>
      <c r="H70" s="18">
        <f t="shared" si="0"/>
        <v>41.474625000000003</v>
      </c>
      <c r="I70" s="5"/>
      <c r="J70" s="17">
        <v>998.2912</v>
      </c>
      <c r="K70" s="18">
        <v>40.978499999999997</v>
      </c>
      <c r="L70" s="18">
        <v>45.77</v>
      </c>
      <c r="M70" s="18">
        <v>46.977499999999999</v>
      </c>
      <c r="N70" s="18">
        <v>23.225200000000001</v>
      </c>
      <c r="O70" s="18">
        <f t="shared" si="1"/>
        <v>42.327312499999998</v>
      </c>
      <c r="P70" s="7"/>
      <c r="Q70" s="10"/>
      <c r="R70" s="11"/>
      <c r="S70" s="11"/>
      <c r="T70" s="26"/>
      <c r="U70" s="28">
        <f t="shared" si="2"/>
        <v>1.2814538310412575</v>
      </c>
    </row>
    <row r="71" spans="1:21" x14ac:dyDescent="0.25">
      <c r="B71" s="9"/>
      <c r="C71" s="17">
        <v>543.70000000000005</v>
      </c>
      <c r="D71" s="18">
        <v>38.654000000000003</v>
      </c>
      <c r="E71" s="18">
        <v>43.027999999999999</v>
      </c>
      <c r="F71" s="18">
        <v>44.415999999999997</v>
      </c>
      <c r="G71" s="18">
        <v>11.49</v>
      </c>
      <c r="H71" s="18">
        <f t="shared" si="0"/>
        <v>39.921000000000006</v>
      </c>
      <c r="I71" s="5"/>
      <c r="J71" s="17">
        <v>588.25840000000005</v>
      </c>
      <c r="K71" s="18">
        <v>39.284199999999998</v>
      </c>
      <c r="L71" s="18">
        <v>44.377800000000001</v>
      </c>
      <c r="M71" s="18">
        <v>45.603400000000001</v>
      </c>
      <c r="N71" s="18">
        <v>29.884899999999998</v>
      </c>
      <c r="O71" s="18">
        <f t="shared" si="1"/>
        <v>40.710799999999999</v>
      </c>
      <c r="P71" s="7"/>
      <c r="Q71" s="10"/>
      <c r="R71" s="11"/>
      <c r="S71" s="11"/>
      <c r="T71" s="26"/>
      <c r="U71" s="28">
        <f t="shared" si="2"/>
        <v>1.6009486510008704</v>
      </c>
    </row>
    <row r="72" spans="1:21" ht="16.5" thickBot="1" x14ac:dyDescent="0.3">
      <c r="B72" s="12"/>
      <c r="C72" s="19">
        <v>261.86</v>
      </c>
      <c r="D72" s="20">
        <v>36.29</v>
      </c>
      <c r="E72" s="20">
        <v>41.698999999999998</v>
      </c>
      <c r="F72" s="20">
        <v>42.850999999999999</v>
      </c>
      <c r="G72" s="20">
        <v>13.21</v>
      </c>
      <c r="H72" s="20">
        <f t="shared" si="0"/>
        <v>37.786250000000003</v>
      </c>
      <c r="I72" s="5"/>
      <c r="J72" s="19">
        <v>285.44959999999998</v>
      </c>
      <c r="K72" s="20">
        <v>36.350099999999998</v>
      </c>
      <c r="L72" s="20">
        <v>42.5976</v>
      </c>
      <c r="M72" s="20">
        <v>43.703000000000003</v>
      </c>
      <c r="N72" s="20">
        <v>39.6511</v>
      </c>
      <c r="O72" s="20">
        <f t="shared" si="1"/>
        <v>38.050150000000002</v>
      </c>
      <c r="P72" s="7"/>
      <c r="Q72" s="13"/>
      <c r="R72" s="14"/>
      <c r="S72" s="14"/>
      <c r="T72" s="27"/>
      <c r="U72" s="28">
        <f t="shared" si="2"/>
        <v>2.0015972747918243</v>
      </c>
    </row>
    <row r="73" spans="1:21" x14ac:dyDescent="0.25">
      <c r="B73" s="6" t="s">
        <v>62</v>
      </c>
      <c r="C73" s="15">
        <v>1433.93</v>
      </c>
      <c r="D73" s="16">
        <v>42.734000000000002</v>
      </c>
      <c r="E73" s="16">
        <v>47.69</v>
      </c>
      <c r="F73" s="16">
        <v>48.375</v>
      </c>
      <c r="G73" s="16">
        <v>9.08</v>
      </c>
      <c r="H73" s="16">
        <f t="shared" si="0"/>
        <v>44.058624999999999</v>
      </c>
      <c r="I73" s="5"/>
      <c r="J73" s="15">
        <v>1513.5832</v>
      </c>
      <c r="K73" s="16">
        <v>42.937600000000003</v>
      </c>
      <c r="L73" s="16">
        <v>48.334600000000002</v>
      </c>
      <c r="M73" s="16">
        <v>49.0715</v>
      </c>
      <c r="N73" s="16">
        <v>19.876799999999999</v>
      </c>
      <c r="O73" s="16">
        <f t="shared" si="1"/>
        <v>44.378962500000007</v>
      </c>
      <c r="P73" s="7"/>
      <c r="Q73" s="8">
        <f>bdrate(C73:C76,D73:D76,J73:J76,K73:K76)</f>
        <v>-0.14330871120702227</v>
      </c>
      <c r="R73" s="8">
        <f>bdrate(C73:C76,E73:E76,J73:J76,L73:L76)</f>
        <v>-0.42533538512759461</v>
      </c>
      <c r="S73" s="8">
        <f>bdrate(C73:C76,F73:F76,J73:J76,M73:M76)</f>
        <v>-0.39787739597820404</v>
      </c>
      <c r="T73" s="25">
        <f>bdrate(C73:C76,H73:H76,J73:J76,O73:O76)</f>
        <v>-0.22102785815509385</v>
      </c>
      <c r="U73" s="28">
        <f t="shared" ref="U73:U91" si="3">(N73-G73)/G73</f>
        <v>1.1890748898678414</v>
      </c>
    </row>
    <row r="74" spans="1:21" x14ac:dyDescent="0.25">
      <c r="B74" s="9"/>
      <c r="C74" s="17">
        <v>944.1</v>
      </c>
      <c r="D74" s="18">
        <v>42.216999999999999</v>
      </c>
      <c r="E74" s="18">
        <v>47.131</v>
      </c>
      <c r="F74" s="18">
        <v>47.792999999999999</v>
      </c>
      <c r="G74" s="18">
        <v>10.27</v>
      </c>
      <c r="H74" s="18">
        <f t="shared" si="0"/>
        <v>43.52825</v>
      </c>
      <c r="I74" s="5"/>
      <c r="J74" s="17">
        <v>997.68640000000005</v>
      </c>
      <c r="K74" s="18">
        <v>42.521900000000002</v>
      </c>
      <c r="L74" s="18">
        <v>48.037700000000001</v>
      </c>
      <c r="M74" s="18">
        <v>48.723500000000001</v>
      </c>
      <c r="N74" s="18">
        <v>23.977900000000002</v>
      </c>
      <c r="O74" s="18">
        <f t="shared" si="1"/>
        <v>43.986575000000002</v>
      </c>
      <c r="P74" s="7"/>
      <c r="Q74" s="10"/>
      <c r="R74" s="11"/>
      <c r="S74" s="11"/>
      <c r="T74" s="26"/>
      <c r="U74" s="28">
        <f t="shared" si="3"/>
        <v>1.3347517039922105</v>
      </c>
    </row>
    <row r="75" spans="1:21" x14ac:dyDescent="0.25">
      <c r="B75" s="9"/>
      <c r="C75" s="17">
        <v>556.72</v>
      </c>
      <c r="D75" s="18">
        <v>41.429000000000002</v>
      </c>
      <c r="E75" s="18">
        <v>46.28</v>
      </c>
      <c r="F75" s="18">
        <v>46.98</v>
      </c>
      <c r="G75" s="18">
        <v>11.56</v>
      </c>
      <c r="H75" s="18">
        <f t="shared" si="0"/>
        <v>42.729250000000008</v>
      </c>
      <c r="I75" s="5"/>
      <c r="J75" s="17">
        <v>578.15359999999998</v>
      </c>
      <c r="K75" s="18">
        <v>41.770499999999998</v>
      </c>
      <c r="L75" s="18">
        <v>47.310499999999998</v>
      </c>
      <c r="M75" s="18">
        <v>47.925899999999999</v>
      </c>
      <c r="N75" s="18">
        <v>30.235800000000001</v>
      </c>
      <c r="O75" s="18">
        <f t="shared" si="1"/>
        <v>43.232424999999999</v>
      </c>
      <c r="P75" s="7"/>
      <c r="Q75" s="10"/>
      <c r="R75" s="11"/>
      <c r="S75" s="11"/>
      <c r="T75" s="26"/>
      <c r="U75" s="28">
        <f t="shared" si="3"/>
        <v>1.6155536332179932</v>
      </c>
    </row>
    <row r="76" spans="1:21" ht="16.5" thickBot="1" x14ac:dyDescent="0.3">
      <c r="B76" s="12"/>
      <c r="C76" s="19">
        <v>268.29000000000002</v>
      </c>
      <c r="D76" s="20">
        <v>39.899000000000001</v>
      </c>
      <c r="E76" s="20">
        <v>44.857999999999997</v>
      </c>
      <c r="F76" s="20">
        <v>45.652000000000001</v>
      </c>
      <c r="G76" s="20">
        <v>13.08</v>
      </c>
      <c r="H76" s="20">
        <f t="shared" si="0"/>
        <v>41.238</v>
      </c>
      <c r="I76" s="5"/>
      <c r="J76" s="19">
        <v>277.81200000000001</v>
      </c>
      <c r="K76" s="20">
        <v>40.203800000000001</v>
      </c>
      <c r="L76" s="20">
        <v>45.773299999999999</v>
      </c>
      <c r="M76" s="20">
        <v>46.384999999999998</v>
      </c>
      <c r="N76" s="20">
        <v>41.0931</v>
      </c>
      <c r="O76" s="20">
        <f t="shared" si="1"/>
        <v>41.6726375</v>
      </c>
      <c r="P76" s="7"/>
      <c r="Q76" s="13"/>
      <c r="R76" s="14"/>
      <c r="S76" s="14"/>
      <c r="T76" s="27"/>
      <c r="U76" s="28">
        <f t="shared" si="3"/>
        <v>2.1416743119266055</v>
      </c>
    </row>
    <row r="77" spans="1:21" x14ac:dyDescent="0.25">
      <c r="B77" s="6" t="s">
        <v>63</v>
      </c>
      <c r="C77" s="15">
        <v>1491.05</v>
      </c>
      <c r="D77" s="16">
        <v>42.631999999999998</v>
      </c>
      <c r="E77" s="16">
        <v>46.844000000000001</v>
      </c>
      <c r="F77" s="16">
        <v>47.783000000000001</v>
      </c>
      <c r="G77" s="16">
        <v>7.95</v>
      </c>
      <c r="H77" s="16">
        <f t="shared" si="0"/>
        <v>43.802374999999998</v>
      </c>
      <c r="I77" s="5"/>
      <c r="J77" s="15">
        <v>1541.1104</v>
      </c>
      <c r="K77" s="16">
        <v>42.894100000000002</v>
      </c>
      <c r="L77" s="16">
        <v>47.544899999999998</v>
      </c>
      <c r="M77" s="16">
        <v>48.440100000000001</v>
      </c>
      <c r="N77" s="16">
        <v>18.472899999999999</v>
      </c>
      <c r="O77" s="16">
        <f t="shared" si="1"/>
        <v>44.168700000000001</v>
      </c>
      <c r="P77" s="7"/>
      <c r="Q77" s="8">
        <f>bdrate(C77:C80,D77:D80,J77:J80,K77:K80)</f>
        <v>-9.4905113177354727E-2</v>
      </c>
      <c r="R77" s="8">
        <f>bdrate(C77:C80,E77:E80,J77:J80,L77:L80)</f>
        <v>-0.34798095511500593</v>
      </c>
      <c r="S77" s="8">
        <f>bdrate(C77:C80,F77:F80,J77:J80,M77:M80)</f>
        <v>-0.3158982154922253</v>
      </c>
      <c r="T77" s="25">
        <f>bdrate(C77:C80,H77:H80,J77:J80,O77:O80)</f>
        <v>-0.15497475992865939</v>
      </c>
      <c r="U77" s="28">
        <f t="shared" si="3"/>
        <v>1.3236352201257862</v>
      </c>
    </row>
    <row r="78" spans="1:21" x14ac:dyDescent="0.25">
      <c r="B78" s="9"/>
      <c r="C78" s="17">
        <v>990.28</v>
      </c>
      <c r="D78" s="18">
        <v>41.863</v>
      </c>
      <c r="E78" s="18">
        <v>46.042999999999999</v>
      </c>
      <c r="F78" s="18">
        <v>47.015000000000001</v>
      </c>
      <c r="G78" s="18">
        <v>8.94</v>
      </c>
      <c r="H78" s="18">
        <f t="shared" si="0"/>
        <v>43.029499999999999</v>
      </c>
      <c r="I78" s="5"/>
      <c r="J78" s="17">
        <v>1028.9775999999999</v>
      </c>
      <c r="K78" s="18">
        <v>42.227800000000002</v>
      </c>
      <c r="L78" s="18">
        <v>47.025799999999997</v>
      </c>
      <c r="M78" s="18">
        <v>47.899900000000002</v>
      </c>
      <c r="N78" s="18">
        <v>22.9481</v>
      </c>
      <c r="O78" s="18">
        <f t="shared" si="1"/>
        <v>43.536562500000002</v>
      </c>
      <c r="P78" s="7"/>
      <c r="Q78" s="10"/>
      <c r="R78" s="11"/>
      <c r="S78" s="11"/>
      <c r="T78" s="26"/>
      <c r="U78" s="28">
        <f t="shared" si="3"/>
        <v>1.5669015659955259</v>
      </c>
    </row>
    <row r="79" spans="1:21" x14ac:dyDescent="0.25">
      <c r="B79" s="9"/>
      <c r="C79" s="17">
        <v>591.38</v>
      </c>
      <c r="D79" s="18">
        <v>40.654000000000003</v>
      </c>
      <c r="E79" s="18">
        <v>44.9</v>
      </c>
      <c r="F79" s="18">
        <v>45.853000000000002</v>
      </c>
      <c r="G79" s="18">
        <v>10.17</v>
      </c>
      <c r="H79" s="18">
        <f t="shared" si="0"/>
        <v>41.834625000000003</v>
      </c>
      <c r="I79" s="5"/>
      <c r="J79" s="17">
        <v>601.06960000000004</v>
      </c>
      <c r="K79" s="18">
        <v>40.991700000000002</v>
      </c>
      <c r="L79" s="18">
        <v>45.9084</v>
      </c>
      <c r="M79" s="18">
        <v>46.776800000000001</v>
      </c>
      <c r="N79" s="18">
        <v>30.1432</v>
      </c>
      <c r="O79" s="18">
        <f t="shared" si="1"/>
        <v>42.329425000000001</v>
      </c>
      <c r="P79" s="7"/>
      <c r="Q79" s="10"/>
      <c r="R79" s="11"/>
      <c r="S79" s="11"/>
      <c r="T79" s="26"/>
      <c r="U79" s="28">
        <f t="shared" si="3"/>
        <v>1.9639331366764994</v>
      </c>
    </row>
    <row r="80" spans="1:21" ht="16.5" thickBot="1" x14ac:dyDescent="0.3">
      <c r="B80" s="12"/>
      <c r="C80" s="19">
        <v>288.88</v>
      </c>
      <c r="D80" s="20">
        <v>38.634999999999998</v>
      </c>
      <c r="E80" s="20">
        <v>43.262</v>
      </c>
      <c r="F80" s="20">
        <v>44.308999999999997</v>
      </c>
      <c r="G80" s="20">
        <v>11.78</v>
      </c>
      <c r="H80" s="20">
        <f t="shared" si="0"/>
        <v>39.922624999999996</v>
      </c>
      <c r="I80" s="5"/>
      <c r="J80" s="19">
        <v>296.42959999999999</v>
      </c>
      <c r="K80" s="20">
        <v>38.747300000000003</v>
      </c>
      <c r="L80" s="20">
        <v>44.170299999999997</v>
      </c>
      <c r="M80" s="20">
        <v>44.993499999999997</v>
      </c>
      <c r="N80" s="20">
        <v>39.7746</v>
      </c>
      <c r="O80" s="20">
        <f t="shared" si="1"/>
        <v>40.205950000000001</v>
      </c>
      <c r="P80" s="7"/>
      <c r="Q80" s="13"/>
      <c r="R80" s="14"/>
      <c r="S80" s="14"/>
      <c r="T80" s="27"/>
      <c r="U80" s="28">
        <f t="shared" si="3"/>
        <v>2.3764516129032258</v>
      </c>
    </row>
    <row r="81" spans="1:21" x14ac:dyDescent="0.25">
      <c r="A81" s="6" t="s">
        <v>99</v>
      </c>
      <c r="B81" s="6" t="s">
        <v>100</v>
      </c>
      <c r="C81" s="29">
        <v>1208.3800000000001</v>
      </c>
      <c r="D81" s="30">
        <v>44.975000000000001</v>
      </c>
      <c r="E81" s="30">
        <v>50.209000000000003</v>
      </c>
      <c r="F81" s="30">
        <v>51.067999999999998</v>
      </c>
      <c r="G81" s="16">
        <v>4.51</v>
      </c>
      <c r="H81" s="16">
        <f t="shared" ref="H81:H91" si="4">(6*D81+E81+F81)/8</f>
        <v>46.390875000000001</v>
      </c>
      <c r="I81" s="5"/>
      <c r="J81" s="15">
        <v>1230.0805</v>
      </c>
      <c r="K81" s="16">
        <v>45.374699999999997</v>
      </c>
      <c r="L81" s="16">
        <v>51.469200000000001</v>
      </c>
      <c r="M81" s="16">
        <v>52.05</v>
      </c>
      <c r="N81" s="16">
        <v>11.7011</v>
      </c>
      <c r="O81" s="16">
        <f t="shared" ref="O81:O91" si="5">(6*K81+L81+M81)/8</f>
        <v>46.970925000000001</v>
      </c>
      <c r="P81" s="7"/>
      <c r="Q81" s="8">
        <f>bdrate(C81:C84,D81:D84,J81:J84,K81:K84)</f>
        <v>-0.11248450465926818</v>
      </c>
      <c r="R81" s="8">
        <f>bdrate(C81:C84,E81:E84,J81:J84,L81:L84)</f>
        <v>-0.40265141974912122</v>
      </c>
      <c r="S81" s="8">
        <f>bdrate(C81:C84,F81:F84,J81:J84,M81:M84)</f>
        <v>-0.40124556101860709</v>
      </c>
      <c r="T81" s="25">
        <f>bdrate(C81:C84,H81:H84,J81:J84,O81:O84)</f>
        <v>-0.18193577287070029</v>
      </c>
      <c r="U81" s="28">
        <f t="shared" si="3"/>
        <v>1.5944789356984481</v>
      </c>
    </row>
    <row r="82" spans="1:21" x14ac:dyDescent="0.25">
      <c r="A82" s="9" t="s">
        <v>77</v>
      </c>
      <c r="B82" s="9"/>
      <c r="C82" s="31">
        <v>809.54</v>
      </c>
      <c r="D82" s="32">
        <v>42.878</v>
      </c>
      <c r="E82" s="32">
        <v>48.283999999999999</v>
      </c>
      <c r="F82" s="32">
        <v>49.241999999999997</v>
      </c>
      <c r="G82" s="18">
        <v>5.08</v>
      </c>
      <c r="H82" s="18">
        <f t="shared" si="4"/>
        <v>44.349250000000005</v>
      </c>
      <c r="I82" s="5"/>
      <c r="J82" s="17">
        <v>829.62670000000003</v>
      </c>
      <c r="K82" s="18">
        <v>43.552300000000002</v>
      </c>
      <c r="L82" s="18">
        <v>50.189500000000002</v>
      </c>
      <c r="M82" s="18">
        <v>50.826599999999999</v>
      </c>
      <c r="N82" s="18">
        <v>14.071300000000001</v>
      </c>
      <c r="O82" s="18">
        <f t="shared" si="5"/>
        <v>45.291237500000001</v>
      </c>
      <c r="P82" s="7"/>
      <c r="Q82" s="10"/>
      <c r="R82" s="11"/>
      <c r="S82" s="11"/>
      <c r="T82" s="26"/>
      <c r="U82" s="28">
        <f t="shared" si="3"/>
        <v>1.7699409448818899</v>
      </c>
    </row>
    <row r="83" spans="1:21" x14ac:dyDescent="0.25">
      <c r="B83" s="9"/>
      <c r="C83" s="31">
        <v>489.58</v>
      </c>
      <c r="D83" s="32">
        <v>40.216000000000001</v>
      </c>
      <c r="E83" s="32">
        <v>45.851999999999997</v>
      </c>
      <c r="F83" s="32">
        <v>47.222000000000001</v>
      </c>
      <c r="G83" s="18">
        <v>5.92</v>
      </c>
      <c r="H83" s="18">
        <f t="shared" si="4"/>
        <v>41.796249999999993</v>
      </c>
      <c r="I83" s="5"/>
      <c r="J83" s="17">
        <v>505.03190000000001</v>
      </c>
      <c r="K83" s="18">
        <v>41.033700000000003</v>
      </c>
      <c r="L83" s="18">
        <v>48.448599999999999</v>
      </c>
      <c r="M83" s="18">
        <v>49.466000000000001</v>
      </c>
      <c r="N83" s="18">
        <v>16.666799999999999</v>
      </c>
      <c r="O83" s="18">
        <f t="shared" si="5"/>
        <v>43.014600000000002</v>
      </c>
      <c r="P83" s="7"/>
      <c r="Q83" s="10"/>
      <c r="R83" s="11"/>
      <c r="S83" s="11"/>
      <c r="T83" s="26"/>
      <c r="U83" s="28">
        <f t="shared" si="3"/>
        <v>1.8153378378378375</v>
      </c>
    </row>
    <row r="84" spans="1:21" ht="16.5" thickBot="1" x14ac:dyDescent="0.3">
      <c r="B84" s="12"/>
      <c r="C84" s="33">
        <v>248.45</v>
      </c>
      <c r="D84" s="34">
        <v>37.015999999999998</v>
      </c>
      <c r="E84" s="34">
        <v>42.96</v>
      </c>
      <c r="F84" s="34">
        <v>44.719000000000001</v>
      </c>
      <c r="G84" s="20">
        <v>7.44</v>
      </c>
      <c r="H84" s="20">
        <f t="shared" si="4"/>
        <v>38.721874999999997</v>
      </c>
      <c r="I84" s="5"/>
      <c r="J84" s="19">
        <v>256.42930000000001</v>
      </c>
      <c r="K84" s="20">
        <v>37.762099999999997</v>
      </c>
      <c r="L84" s="20">
        <v>45.518900000000002</v>
      </c>
      <c r="M84" s="20">
        <v>46.919800000000002</v>
      </c>
      <c r="N84" s="20">
        <v>21.6401</v>
      </c>
      <c r="O84" s="20">
        <f t="shared" si="5"/>
        <v>39.876412500000001</v>
      </c>
      <c r="P84" s="7"/>
      <c r="Q84" s="13"/>
      <c r="R84" s="14"/>
      <c r="S84" s="14"/>
      <c r="T84" s="27"/>
      <c r="U84" s="28">
        <f t="shared" si="3"/>
        <v>1.9086155913978493</v>
      </c>
    </row>
    <row r="85" spans="1:21" x14ac:dyDescent="0.25">
      <c r="B85" s="6" t="s">
        <v>101</v>
      </c>
      <c r="C85" s="15">
        <v>1485.03</v>
      </c>
      <c r="D85" s="16">
        <v>54.210999999999999</v>
      </c>
      <c r="E85" s="16">
        <v>54.936</v>
      </c>
      <c r="F85" s="16">
        <v>55.345999999999997</v>
      </c>
      <c r="G85" s="16">
        <v>13.23</v>
      </c>
      <c r="H85" s="16">
        <f t="shared" si="4"/>
        <v>54.443499999999993</v>
      </c>
      <c r="I85" s="5"/>
      <c r="J85" s="15">
        <v>1421.7419</v>
      </c>
      <c r="K85" s="16">
        <v>53.316800000000001</v>
      </c>
      <c r="L85" s="16">
        <v>54.197000000000003</v>
      </c>
      <c r="M85" s="16">
        <v>54.798200000000001</v>
      </c>
      <c r="N85" s="16">
        <v>22.921199999999999</v>
      </c>
      <c r="O85" s="16">
        <f t="shared" si="5"/>
        <v>53.612000000000002</v>
      </c>
      <c r="P85" s="7"/>
      <c r="Q85" s="8">
        <f>bdrate(C85:C88,D85:D88,J85:J88,K85:K88)</f>
        <v>1.3145788335514386E-2</v>
      </c>
      <c r="R85" s="8">
        <f>bdrate(C85:C88,E85:E88,J85:J88,L85:L88)</f>
        <v>-6.7813707580272276E-2</v>
      </c>
      <c r="S85" s="8">
        <f>bdrate(C85:C88,F85:F88,J85:J88,M85:M88)</f>
        <v>-6.0573014922214008E-2</v>
      </c>
      <c r="T85" s="25">
        <f>bdrate(C85:C88,H85:H88,J85:J88,O85:O88)</f>
        <v>-5.385391068098877E-3</v>
      </c>
      <c r="U85" s="28">
        <f t="shared" si="3"/>
        <v>0.73251700680272092</v>
      </c>
    </row>
    <row r="86" spans="1:21" x14ac:dyDescent="0.25">
      <c r="B86" s="9"/>
      <c r="C86" s="17">
        <v>980.91</v>
      </c>
      <c r="D86" s="18">
        <v>51.594000000000001</v>
      </c>
      <c r="E86" s="18">
        <v>52.497</v>
      </c>
      <c r="F86" s="18">
        <v>53.036000000000001</v>
      </c>
      <c r="G86" s="18">
        <v>14.77</v>
      </c>
      <c r="H86" s="18">
        <f t="shared" si="4"/>
        <v>51.887125000000005</v>
      </c>
      <c r="I86" s="5"/>
      <c r="J86" s="17">
        <v>973.48050000000001</v>
      </c>
      <c r="K86" s="18">
        <v>51.449100000000001</v>
      </c>
      <c r="L86" s="18">
        <v>52.6404</v>
      </c>
      <c r="M86" s="18">
        <v>53.194699999999997</v>
      </c>
      <c r="N86" s="18">
        <v>29.923200000000001</v>
      </c>
      <c r="O86" s="18">
        <f t="shared" si="5"/>
        <v>51.816212500000006</v>
      </c>
      <c r="P86" s="7"/>
      <c r="Q86" s="10"/>
      <c r="R86" s="11"/>
      <c r="S86" s="11"/>
      <c r="T86" s="26"/>
      <c r="U86" s="28">
        <f t="shared" si="3"/>
        <v>1.0259444820582262</v>
      </c>
    </row>
    <row r="87" spans="1:21" x14ac:dyDescent="0.25">
      <c r="B87" s="9"/>
      <c r="C87" s="17">
        <v>586.04999999999995</v>
      </c>
      <c r="D87" s="18">
        <v>48.417999999999999</v>
      </c>
      <c r="E87" s="18">
        <v>49.613</v>
      </c>
      <c r="F87" s="18">
        <v>50.22</v>
      </c>
      <c r="G87" s="18">
        <v>16.850000000000001</v>
      </c>
      <c r="H87" s="18">
        <f t="shared" si="4"/>
        <v>48.792625000000001</v>
      </c>
      <c r="I87" s="5"/>
      <c r="J87" s="17">
        <v>605.66610000000003</v>
      </c>
      <c r="K87" s="18">
        <v>48.702300000000001</v>
      </c>
      <c r="L87" s="18">
        <v>50.3459</v>
      </c>
      <c r="M87" s="18">
        <v>50.868000000000002</v>
      </c>
      <c r="N87" s="18">
        <v>39.610100000000003</v>
      </c>
      <c r="O87" s="18">
        <f t="shared" si="5"/>
        <v>49.178462500000002</v>
      </c>
      <c r="P87" s="7"/>
      <c r="Q87" s="10"/>
      <c r="R87" s="11"/>
      <c r="S87" s="11"/>
      <c r="T87" s="26"/>
      <c r="U87" s="28">
        <f t="shared" si="3"/>
        <v>1.3507477744807121</v>
      </c>
    </row>
    <row r="88" spans="1:21" ht="16.5" thickBot="1" x14ac:dyDescent="0.3">
      <c r="B88" s="12"/>
      <c r="C88" s="19">
        <v>292.68</v>
      </c>
      <c r="D88" s="20">
        <v>44.216999999999999</v>
      </c>
      <c r="E88" s="20">
        <v>45.76</v>
      </c>
      <c r="F88" s="20">
        <v>46.393999999999998</v>
      </c>
      <c r="G88" s="20">
        <v>19.47</v>
      </c>
      <c r="H88" s="20">
        <f t="shared" si="4"/>
        <v>44.682000000000002</v>
      </c>
      <c r="I88" s="5"/>
      <c r="J88" s="19">
        <v>312.34449999999998</v>
      </c>
      <c r="K88" s="20">
        <v>44.300699999999999</v>
      </c>
      <c r="L88" s="20">
        <v>46.627000000000002</v>
      </c>
      <c r="M88" s="20">
        <v>47.176499999999997</v>
      </c>
      <c r="N88" s="20">
        <v>50.784300000000002</v>
      </c>
      <c r="O88" s="20">
        <f t="shared" si="5"/>
        <v>44.950962499999996</v>
      </c>
      <c r="P88" s="7"/>
      <c r="Q88" s="13"/>
      <c r="R88" s="14"/>
      <c r="S88" s="14"/>
      <c r="T88" s="27"/>
      <c r="U88" s="28">
        <f t="shared" si="3"/>
        <v>1.6083359013867491</v>
      </c>
    </row>
    <row r="89" spans="1:21" x14ac:dyDescent="0.25">
      <c r="B89" s="6" t="s">
        <v>102</v>
      </c>
      <c r="C89" s="15">
        <v>1544.75</v>
      </c>
      <c r="D89" s="16">
        <v>44.026000000000003</v>
      </c>
      <c r="E89" s="16">
        <v>45.988</v>
      </c>
      <c r="F89" s="16">
        <v>46.478000000000002</v>
      </c>
      <c r="G89" s="16">
        <v>5.85</v>
      </c>
      <c r="H89" s="16">
        <f t="shared" si="4"/>
        <v>44.577750000000002</v>
      </c>
      <c r="I89" s="5"/>
      <c r="J89" s="15">
        <v>1483.9939999999999</v>
      </c>
      <c r="K89" s="16">
        <v>44.176699999999997</v>
      </c>
      <c r="L89" s="16">
        <v>46.607199999999999</v>
      </c>
      <c r="M89" s="16">
        <v>47.0655</v>
      </c>
      <c r="N89" s="16">
        <v>13.9961</v>
      </c>
      <c r="O89" s="16">
        <f t="shared" si="5"/>
        <v>44.841612499999997</v>
      </c>
      <c r="P89" s="7"/>
      <c r="Q89" s="8">
        <f>bdrate(C89:C92,D89:D92,J89:J92,K89:K92)</f>
        <v>-9.0891838034128702E-2</v>
      </c>
      <c r="R89" s="8">
        <f>bdrate(C89:C92,E89:E92,J89:J92,L89:L92)</f>
        <v>-0.28025323146522374</v>
      </c>
      <c r="S89" s="8">
        <f>bdrate(C89:C92,F89:F92,J89:J92,M89:M92)</f>
        <v>-0.25872947554276393</v>
      </c>
      <c r="T89" s="25">
        <f>bdrate(C89:C92,H89:H92,J89:J92,O89:O92)</f>
        <v>-0.13068955347466893</v>
      </c>
      <c r="U89" s="28">
        <f t="shared" si="3"/>
        <v>1.3924957264957267</v>
      </c>
    </row>
    <row r="90" spans="1:21" x14ac:dyDescent="0.25">
      <c r="B90" s="9"/>
      <c r="C90" s="17">
        <v>1029.53</v>
      </c>
      <c r="D90" s="18">
        <v>41.968000000000004</v>
      </c>
      <c r="E90" s="18">
        <v>44.253</v>
      </c>
      <c r="F90" s="18">
        <v>44.75</v>
      </c>
      <c r="G90" s="18">
        <v>6.58</v>
      </c>
      <c r="H90" s="18">
        <f t="shared" si="4"/>
        <v>42.601375000000004</v>
      </c>
      <c r="I90" s="5"/>
      <c r="J90" s="17">
        <v>992.67489999999998</v>
      </c>
      <c r="K90" s="18">
        <v>42.321100000000001</v>
      </c>
      <c r="L90" s="18">
        <v>45.247700000000002</v>
      </c>
      <c r="M90" s="18">
        <v>45.647799999999997</v>
      </c>
      <c r="N90" s="18">
        <v>17.109100000000002</v>
      </c>
      <c r="O90" s="18">
        <f t="shared" si="5"/>
        <v>43.102762500000004</v>
      </c>
      <c r="P90" s="7"/>
      <c r="Q90" s="10"/>
      <c r="R90" s="11"/>
      <c r="S90" s="11"/>
      <c r="T90" s="26"/>
      <c r="U90" s="28">
        <f t="shared" si="3"/>
        <v>1.6001671732522798</v>
      </c>
    </row>
    <row r="91" spans="1:21" x14ac:dyDescent="0.25">
      <c r="B91" s="9"/>
      <c r="C91" s="17">
        <v>619.58000000000004</v>
      </c>
      <c r="D91" s="18">
        <v>39.344999999999999</v>
      </c>
      <c r="E91" s="18">
        <v>42.145000000000003</v>
      </c>
      <c r="F91" s="18">
        <v>42.670999999999999</v>
      </c>
      <c r="G91" s="18">
        <v>7.49</v>
      </c>
      <c r="H91" s="18">
        <f t="shared" si="4"/>
        <v>40.110749999999996</v>
      </c>
      <c r="I91" s="5"/>
      <c r="J91" s="17">
        <v>599.44150000000002</v>
      </c>
      <c r="K91" s="18">
        <v>39.661499999999997</v>
      </c>
      <c r="L91" s="18">
        <v>43.358499999999999</v>
      </c>
      <c r="M91" s="18">
        <v>43.7515</v>
      </c>
      <c r="N91" s="18">
        <v>21.2728</v>
      </c>
      <c r="O91" s="18">
        <f t="shared" si="5"/>
        <v>40.634875000000001</v>
      </c>
      <c r="P91" s="7"/>
      <c r="Q91" s="10"/>
      <c r="R91" s="11"/>
      <c r="S91" s="11"/>
      <c r="T91" s="26"/>
      <c r="U91" s="28">
        <f t="shared" si="3"/>
        <v>1.8401602136181574</v>
      </c>
    </row>
    <row r="92" spans="1:21" ht="16.5" thickBot="1" x14ac:dyDescent="0.3">
      <c r="B92" s="12"/>
      <c r="C92" s="19">
        <v>310.77999999999997</v>
      </c>
      <c r="D92" s="20">
        <v>35.725999999999999</v>
      </c>
      <c r="E92" s="20">
        <v>39.378</v>
      </c>
      <c r="F92" s="20">
        <v>39.972999999999999</v>
      </c>
      <c r="G92" s="20">
        <v>8.82</v>
      </c>
      <c r="H92" s="20">
        <f t="shared" ref="H92:H124" si="6">(6*D92+E92+F92)/8</f>
        <v>36.713374999999999</v>
      </c>
      <c r="I92" s="5"/>
      <c r="J92" s="19">
        <v>303.53910000000002</v>
      </c>
      <c r="K92" s="20">
        <v>36.085000000000001</v>
      </c>
      <c r="L92" s="20">
        <v>40.998199999999997</v>
      </c>
      <c r="M92" s="20">
        <v>41.394500000000001</v>
      </c>
      <c r="N92" s="20">
        <v>27.0092</v>
      </c>
      <c r="O92" s="20">
        <f t="shared" ref="O92:O124" si="7">(6*K92+L92+M92)/8</f>
        <v>37.362837499999998</v>
      </c>
      <c r="P92" s="7"/>
      <c r="Q92" s="13"/>
      <c r="R92" s="14"/>
      <c r="S92" s="14"/>
      <c r="T92" s="27"/>
      <c r="U92" s="28">
        <f t="shared" ref="U92:U124" si="8">(N92-G92)/G92</f>
        <v>2.0622675736961451</v>
      </c>
    </row>
    <row r="93" spans="1:21" x14ac:dyDescent="0.25">
      <c r="B93" s="6" t="s">
        <v>103</v>
      </c>
      <c r="C93" s="15">
        <v>1374.52</v>
      </c>
      <c r="D93" s="16">
        <v>39.756</v>
      </c>
      <c r="E93" s="16">
        <v>43.877000000000002</v>
      </c>
      <c r="F93" s="16">
        <v>43.886000000000003</v>
      </c>
      <c r="G93" s="16">
        <v>4.7300000000000004</v>
      </c>
      <c r="H93" s="16">
        <f t="shared" si="6"/>
        <v>40.787375000000004</v>
      </c>
      <c r="I93" s="5"/>
      <c r="J93" s="29">
        <v>1499.7494999999999</v>
      </c>
      <c r="K93" s="30">
        <v>40.084899999999998</v>
      </c>
      <c r="L93" s="30">
        <v>44.765900000000002</v>
      </c>
      <c r="M93" s="30">
        <v>44.759900000000002</v>
      </c>
      <c r="N93" s="16">
        <v>13.4465</v>
      </c>
      <c r="O93" s="16">
        <f t="shared" si="7"/>
        <v>41.254399999999997</v>
      </c>
      <c r="P93" s="7"/>
      <c r="Q93" s="8">
        <f>bdrate(C93:C96,D93:D96,J93:J96,K93:K96)</f>
        <v>2.9173088427278504E-2</v>
      </c>
      <c r="R93" s="8">
        <f>bdrate(C93:C96,E93:E96,J93:J96,L93:L96)</f>
        <v>-0.27603307417474843</v>
      </c>
      <c r="S93" s="8">
        <f>bdrate(C93:C96,F93:F96,J93:J96,M93:M96)</f>
        <v>-0.26517198205160741</v>
      </c>
      <c r="T93" s="25">
        <f>bdrate(C93:C96,H93:H96,J93:J96,O93:O96)</f>
        <v>-3.7559844445160584E-2</v>
      </c>
      <c r="U93" s="28">
        <f t="shared" si="8"/>
        <v>1.8428118393234671</v>
      </c>
    </row>
    <row r="94" spans="1:21" x14ac:dyDescent="0.25">
      <c r="B94" s="9"/>
      <c r="C94" s="17">
        <v>915.04</v>
      </c>
      <c r="D94" s="18">
        <v>37.942999999999998</v>
      </c>
      <c r="E94" s="18">
        <v>42.435000000000002</v>
      </c>
      <c r="F94" s="18">
        <v>42.429000000000002</v>
      </c>
      <c r="G94" s="18">
        <v>5.34</v>
      </c>
      <c r="H94" s="18">
        <f t="shared" si="6"/>
        <v>39.065249999999992</v>
      </c>
      <c r="I94" s="5"/>
      <c r="J94" s="31">
        <v>1000.1031</v>
      </c>
      <c r="K94" s="32">
        <v>38.259799999999998</v>
      </c>
      <c r="L94" s="32">
        <v>43.555700000000002</v>
      </c>
      <c r="M94" s="32">
        <v>43.519599999999997</v>
      </c>
      <c r="N94" s="18">
        <v>15.6348</v>
      </c>
      <c r="O94" s="18">
        <f t="shared" si="7"/>
        <v>39.579262499999999</v>
      </c>
      <c r="P94" s="7"/>
      <c r="Q94" s="10"/>
      <c r="R94" s="11"/>
      <c r="S94" s="11"/>
      <c r="T94" s="26"/>
      <c r="U94" s="28">
        <f t="shared" si="8"/>
        <v>1.927865168539326</v>
      </c>
    </row>
    <row r="95" spans="1:21" x14ac:dyDescent="0.25">
      <c r="B95" s="9"/>
      <c r="C95" s="17">
        <v>546.9</v>
      </c>
      <c r="D95" s="18">
        <v>35.679000000000002</v>
      </c>
      <c r="E95" s="18">
        <v>40.695999999999998</v>
      </c>
      <c r="F95" s="18">
        <v>40.688000000000002</v>
      </c>
      <c r="G95" s="18">
        <v>6.15</v>
      </c>
      <c r="H95" s="18">
        <f t="shared" si="6"/>
        <v>36.932250000000003</v>
      </c>
      <c r="I95" s="5"/>
      <c r="J95" s="31">
        <v>600.55349999999999</v>
      </c>
      <c r="K95" s="32">
        <v>35.912100000000002</v>
      </c>
      <c r="L95" s="32">
        <v>42.065300000000001</v>
      </c>
      <c r="M95" s="32">
        <v>42.018900000000002</v>
      </c>
      <c r="N95" s="18">
        <v>18.6858</v>
      </c>
      <c r="O95" s="18">
        <f t="shared" si="7"/>
        <v>37.444599999999994</v>
      </c>
      <c r="P95" s="7"/>
      <c r="Q95" s="10"/>
      <c r="R95" s="11"/>
      <c r="S95" s="11"/>
      <c r="T95" s="26"/>
      <c r="U95" s="28">
        <f t="shared" si="8"/>
        <v>2.0383414634146342</v>
      </c>
    </row>
    <row r="96" spans="1:21" ht="16.5" thickBot="1" x14ac:dyDescent="0.3">
      <c r="B96" s="12"/>
      <c r="C96" s="19">
        <v>272.17</v>
      </c>
      <c r="D96" s="20">
        <v>32.622999999999998</v>
      </c>
      <c r="E96" s="20">
        <v>38.47</v>
      </c>
      <c r="F96" s="20">
        <v>38.438000000000002</v>
      </c>
      <c r="G96" s="20">
        <v>7.46</v>
      </c>
      <c r="H96" s="20">
        <f t="shared" si="6"/>
        <v>34.080750000000002</v>
      </c>
      <c r="I96" s="5"/>
      <c r="J96" s="33">
        <v>301.51600000000002</v>
      </c>
      <c r="K96" s="34">
        <v>32.978000000000002</v>
      </c>
      <c r="L96" s="34">
        <v>40.273000000000003</v>
      </c>
      <c r="M96" s="34">
        <v>40.1815</v>
      </c>
      <c r="N96" s="20">
        <v>24.058399999999999</v>
      </c>
      <c r="O96" s="20">
        <f t="shared" si="7"/>
        <v>34.790312499999999</v>
      </c>
      <c r="P96" s="7"/>
      <c r="Q96" s="13"/>
      <c r="R96" s="14"/>
      <c r="S96" s="14"/>
      <c r="T96" s="27"/>
      <c r="U96" s="28">
        <f t="shared" si="8"/>
        <v>2.2249865951742627</v>
      </c>
    </row>
    <row r="97" spans="2:21" x14ac:dyDescent="0.25">
      <c r="B97" s="6" t="s">
        <v>104</v>
      </c>
      <c r="C97" s="29">
        <v>1519.98</v>
      </c>
      <c r="D97" s="30">
        <v>38.048000000000002</v>
      </c>
      <c r="E97" s="30">
        <v>41.933999999999997</v>
      </c>
      <c r="F97" s="30">
        <v>42.408999999999999</v>
      </c>
      <c r="G97" s="16">
        <v>6.22</v>
      </c>
      <c r="H97" s="16">
        <f t="shared" si="6"/>
        <v>39.078874999999996</v>
      </c>
      <c r="I97" s="5"/>
      <c r="J97" s="15">
        <v>1508.9935</v>
      </c>
      <c r="K97" s="16">
        <v>38.211599999999997</v>
      </c>
      <c r="L97" s="16">
        <v>43.113799999999998</v>
      </c>
      <c r="M97" s="16">
        <v>43.596299999999999</v>
      </c>
      <c r="N97" s="16">
        <v>13.921900000000001</v>
      </c>
      <c r="O97" s="16">
        <f t="shared" si="7"/>
        <v>39.49746249999999</v>
      </c>
      <c r="P97" s="7"/>
      <c r="Q97" s="8">
        <f>bdrate(C97:C100,D97:D100,J97:J100,K97:K100)</f>
        <v>-5.0362192805413208E-2</v>
      </c>
      <c r="R97" s="8">
        <f>bdrate(C97:C100,E97:E100,J97:J100,L97:L100)</f>
        <v>-0.38070713665841671</v>
      </c>
      <c r="S97" s="8">
        <f>bdrate(C97:C100,F97:F100,J97:J100,M97:M100)</f>
        <v>-0.38910129108164893</v>
      </c>
      <c r="T97" s="25">
        <f>bdrate(C97:C100,H97:H100,J97:J100,O97:O100)</f>
        <v>-0.12969385477251139</v>
      </c>
      <c r="U97" s="28">
        <f t="shared" si="8"/>
        <v>1.2382475884244375</v>
      </c>
    </row>
    <row r="98" spans="2:21" x14ac:dyDescent="0.25">
      <c r="B98" s="9"/>
      <c r="C98" s="31">
        <v>1014.31</v>
      </c>
      <c r="D98" s="32">
        <v>36.155000000000001</v>
      </c>
      <c r="E98" s="32">
        <v>40.314999999999998</v>
      </c>
      <c r="F98" s="32">
        <v>40.863</v>
      </c>
      <c r="G98" s="18">
        <v>6.92</v>
      </c>
      <c r="H98" s="18">
        <f t="shared" si="6"/>
        <v>37.263500000000001</v>
      </c>
      <c r="I98" s="5"/>
      <c r="J98" s="17">
        <v>1007.6051</v>
      </c>
      <c r="K98" s="18">
        <v>36.338700000000003</v>
      </c>
      <c r="L98" s="18">
        <v>41.791699999999999</v>
      </c>
      <c r="M98" s="18">
        <v>42.341999999999999</v>
      </c>
      <c r="N98" s="18">
        <v>16.239799999999999</v>
      </c>
      <c r="O98" s="18">
        <f t="shared" si="7"/>
        <v>37.770737500000003</v>
      </c>
      <c r="P98" s="7"/>
      <c r="Q98" s="10"/>
      <c r="R98" s="11"/>
      <c r="S98" s="11"/>
      <c r="T98" s="26"/>
      <c r="U98" s="28">
        <f t="shared" si="8"/>
        <v>1.3467919075144508</v>
      </c>
    </row>
    <row r="99" spans="2:21" x14ac:dyDescent="0.25">
      <c r="B99" s="9"/>
      <c r="C99" s="31">
        <v>609.44000000000005</v>
      </c>
      <c r="D99" s="32">
        <v>33.868000000000002</v>
      </c>
      <c r="E99" s="32">
        <v>38.409999999999997</v>
      </c>
      <c r="F99" s="32">
        <v>39.052999999999997</v>
      </c>
      <c r="G99" s="18">
        <v>7.83</v>
      </c>
      <c r="H99" s="18">
        <f t="shared" si="6"/>
        <v>35.083875000000006</v>
      </c>
      <c r="I99" s="5"/>
      <c r="J99" s="17">
        <v>604.66840000000002</v>
      </c>
      <c r="K99" s="18">
        <v>34.074300000000001</v>
      </c>
      <c r="L99" s="18">
        <v>40.142499999999998</v>
      </c>
      <c r="M99" s="18">
        <v>40.738</v>
      </c>
      <c r="N99" s="18">
        <v>19.324100000000001</v>
      </c>
      <c r="O99" s="18">
        <f t="shared" si="7"/>
        <v>35.6657875</v>
      </c>
      <c r="P99" s="7"/>
      <c r="Q99" s="10"/>
      <c r="R99" s="11"/>
      <c r="S99" s="11"/>
      <c r="T99" s="26"/>
      <c r="U99" s="28">
        <f t="shared" si="8"/>
        <v>1.4679565772669223</v>
      </c>
    </row>
    <row r="100" spans="2:21" ht="16.5" thickBot="1" x14ac:dyDescent="0.3">
      <c r="B100" s="12"/>
      <c r="C100" s="33">
        <v>304.35000000000002</v>
      </c>
      <c r="D100" s="34">
        <v>30.707000000000001</v>
      </c>
      <c r="E100" s="34">
        <v>36</v>
      </c>
      <c r="F100" s="34">
        <v>36.780999999999999</v>
      </c>
      <c r="G100" s="20">
        <v>9.15</v>
      </c>
      <c r="H100" s="20">
        <f t="shared" si="6"/>
        <v>32.127875000000003</v>
      </c>
      <c r="I100" s="5"/>
      <c r="J100" s="19">
        <v>302.75409999999999</v>
      </c>
      <c r="K100" s="20">
        <v>30.954000000000001</v>
      </c>
      <c r="L100" s="20">
        <v>37.965400000000002</v>
      </c>
      <c r="M100" s="20">
        <v>38.673999999999999</v>
      </c>
      <c r="N100" s="20">
        <v>24.5549</v>
      </c>
      <c r="O100" s="20">
        <f t="shared" si="7"/>
        <v>32.795424999999994</v>
      </c>
      <c r="P100" s="7"/>
      <c r="Q100" s="13"/>
      <c r="R100" s="14"/>
      <c r="S100" s="14"/>
      <c r="T100" s="27"/>
      <c r="U100" s="28">
        <f t="shared" si="8"/>
        <v>1.6835956284153004</v>
      </c>
    </row>
    <row r="101" spans="2:21" x14ac:dyDescent="0.25">
      <c r="B101" s="6" t="s">
        <v>105</v>
      </c>
      <c r="C101" s="15">
        <v>1488</v>
      </c>
      <c r="D101" s="16">
        <v>38.21</v>
      </c>
      <c r="E101" s="16">
        <v>43.494999999999997</v>
      </c>
      <c r="F101" s="16">
        <v>45.186999999999998</v>
      </c>
      <c r="G101" s="16">
        <v>4.3899999999999997</v>
      </c>
      <c r="H101" s="16">
        <f t="shared" si="6"/>
        <v>39.742750000000001</v>
      </c>
      <c r="I101" s="5"/>
      <c r="J101" s="15">
        <v>1509.9652000000001</v>
      </c>
      <c r="K101" s="16">
        <v>38.102899999999998</v>
      </c>
      <c r="L101" s="16">
        <v>44.184600000000003</v>
      </c>
      <c r="M101" s="16">
        <v>45.700200000000002</v>
      </c>
      <c r="N101" s="16">
        <v>13.123699999999999</v>
      </c>
      <c r="O101" s="16">
        <f t="shared" si="7"/>
        <v>39.812774999999995</v>
      </c>
      <c r="P101" s="7"/>
      <c r="Q101" s="8">
        <f>bdrate(C101:C104,D101:D104,J101:J104,K101:K104)</f>
        <v>3.2161173109465535E-2</v>
      </c>
      <c r="R101" s="8">
        <f>bdrate(C101:C104,E101:E104,J101:J104,L101:L104)</f>
        <v>-0.35314169794526717</v>
      </c>
      <c r="S101" s="8">
        <f>bdrate(C101:C104,F101:F104,J101:J104,M101:M104)</f>
        <v>-0.29408917701647919</v>
      </c>
      <c r="T101" s="25">
        <f>bdrate(C101:C104,H101:H104,J101:J104,O101:O104)</f>
        <v>-5.2847940868718246E-2</v>
      </c>
      <c r="U101" s="28">
        <f t="shared" si="8"/>
        <v>1.9894533029612755</v>
      </c>
    </row>
    <row r="102" spans="2:21" x14ac:dyDescent="0.25">
      <c r="B102" s="9"/>
      <c r="C102" s="17">
        <v>992.89</v>
      </c>
      <c r="D102" s="18">
        <v>36.755000000000003</v>
      </c>
      <c r="E102" s="18">
        <v>42.363999999999997</v>
      </c>
      <c r="F102" s="18">
        <v>43.984000000000002</v>
      </c>
      <c r="G102" s="18">
        <v>5.01</v>
      </c>
      <c r="H102" s="18">
        <f t="shared" si="6"/>
        <v>38.359749999999998</v>
      </c>
      <c r="I102" s="5"/>
      <c r="J102" s="17">
        <v>1008.2073</v>
      </c>
      <c r="K102" s="18">
        <v>36.671999999999997</v>
      </c>
      <c r="L102" s="18">
        <v>43.256999999999998</v>
      </c>
      <c r="M102" s="18">
        <v>44.725700000000003</v>
      </c>
      <c r="N102" s="18">
        <v>15.3804</v>
      </c>
      <c r="O102" s="18">
        <f t="shared" si="7"/>
        <v>38.501837500000001</v>
      </c>
      <c r="P102" s="7"/>
      <c r="Q102" s="10"/>
      <c r="R102" s="11"/>
      <c r="S102" s="11"/>
      <c r="T102" s="26"/>
      <c r="U102" s="28">
        <f t="shared" si="8"/>
        <v>2.0699401197604792</v>
      </c>
    </row>
    <row r="103" spans="2:21" x14ac:dyDescent="0.25">
      <c r="B103" s="9"/>
      <c r="C103" s="17">
        <v>595.91</v>
      </c>
      <c r="D103" s="18">
        <v>35.042000000000002</v>
      </c>
      <c r="E103" s="18">
        <v>41.058999999999997</v>
      </c>
      <c r="F103" s="18">
        <v>42.488</v>
      </c>
      <c r="G103" s="18">
        <v>5.94</v>
      </c>
      <c r="H103" s="18">
        <f t="shared" si="6"/>
        <v>36.724874999999997</v>
      </c>
      <c r="I103" s="5"/>
      <c r="J103" s="17">
        <v>604.61479999999995</v>
      </c>
      <c r="K103" s="18">
        <v>34.994</v>
      </c>
      <c r="L103" s="18">
        <v>42.192100000000003</v>
      </c>
      <c r="M103" s="18">
        <v>43.548099999999998</v>
      </c>
      <c r="N103" s="18">
        <v>18.722100000000001</v>
      </c>
      <c r="O103" s="18">
        <f t="shared" si="7"/>
        <v>36.963025000000002</v>
      </c>
      <c r="P103" s="7"/>
      <c r="Q103" s="10"/>
      <c r="R103" s="11"/>
      <c r="S103" s="11"/>
      <c r="T103" s="26"/>
      <c r="U103" s="28">
        <f t="shared" si="8"/>
        <v>2.1518686868686867</v>
      </c>
    </row>
    <row r="104" spans="2:21" ht="16.5" thickBot="1" x14ac:dyDescent="0.3">
      <c r="B104" s="12"/>
      <c r="C104" s="19">
        <v>302.38</v>
      </c>
      <c r="D104" s="20">
        <v>32.944000000000003</v>
      </c>
      <c r="E104" s="20">
        <v>39.429000000000002</v>
      </c>
      <c r="F104" s="20">
        <v>40.674999999999997</v>
      </c>
      <c r="G104" s="20">
        <v>7.44</v>
      </c>
      <c r="H104" s="20">
        <f t="shared" si="6"/>
        <v>34.721000000000004</v>
      </c>
      <c r="I104" s="5"/>
      <c r="J104" s="19">
        <v>300.61040000000003</v>
      </c>
      <c r="K104" s="20">
        <v>32.884399999999999</v>
      </c>
      <c r="L104" s="20">
        <v>40.860100000000003</v>
      </c>
      <c r="M104" s="20">
        <v>42.021799999999999</v>
      </c>
      <c r="N104" s="20">
        <v>24.2607</v>
      </c>
      <c r="O104" s="20">
        <f t="shared" si="7"/>
        <v>35.023537499999996</v>
      </c>
      <c r="P104" s="7"/>
      <c r="Q104" s="13"/>
      <c r="R104" s="14"/>
      <c r="S104" s="14"/>
      <c r="T104" s="27"/>
      <c r="U104" s="28">
        <f t="shared" si="8"/>
        <v>2.2608467741935483</v>
      </c>
    </row>
    <row r="105" spans="2:21" x14ac:dyDescent="0.25">
      <c r="B105" s="6" t="s">
        <v>106</v>
      </c>
      <c r="C105" s="15">
        <v>1612.57</v>
      </c>
      <c r="D105" s="16">
        <v>49.697000000000003</v>
      </c>
      <c r="E105" s="16">
        <v>54.845999999999997</v>
      </c>
      <c r="F105" s="16">
        <v>56.137</v>
      </c>
      <c r="G105" s="16">
        <v>5.84</v>
      </c>
      <c r="H105" s="16">
        <f t="shared" si="6"/>
        <v>51.145625000000003</v>
      </c>
      <c r="I105" s="5"/>
      <c r="J105" s="15">
        <v>1497.8632</v>
      </c>
      <c r="K105" s="16">
        <v>49.450499999999998</v>
      </c>
      <c r="L105" s="16">
        <v>54.351500000000001</v>
      </c>
      <c r="M105" s="16">
        <v>55.757599999999996</v>
      </c>
      <c r="N105" s="16">
        <v>16.7179</v>
      </c>
      <c r="O105" s="16">
        <f t="shared" si="7"/>
        <v>50.851512499999998</v>
      </c>
      <c r="P105" s="7"/>
      <c r="Q105" s="8">
        <f>bdrate(C105:C108,D105:D108,J105:J108,K105:K108)</f>
        <v>-7.234162516234699E-2</v>
      </c>
      <c r="R105" s="8">
        <f>bdrate(C105:C108,E105:E108,J105:J108,L105:L108)</f>
        <v>-4.0089052774758493E-2</v>
      </c>
      <c r="S105" s="8">
        <f>bdrate(C105:C108,F105:F108,J105:J108,M105:M108)</f>
        <v>-6.2111366053231754E-2</v>
      </c>
      <c r="T105" s="25">
        <f>bdrate(C105:C108,H105:H108,J105:J108,O105:O108)</f>
        <v>-6.7493558797888431E-2</v>
      </c>
      <c r="U105" s="28">
        <f t="shared" si="8"/>
        <v>1.8626541095890412</v>
      </c>
    </row>
    <row r="106" spans="2:21" x14ac:dyDescent="0.25">
      <c r="B106" s="9"/>
      <c r="C106" s="17">
        <v>1068.8</v>
      </c>
      <c r="D106" s="18">
        <v>47.917999999999999</v>
      </c>
      <c r="E106" s="18">
        <v>53.264000000000003</v>
      </c>
      <c r="F106" s="18">
        <v>54.648000000000003</v>
      </c>
      <c r="G106" s="18">
        <v>6.88</v>
      </c>
      <c r="H106" s="18">
        <f t="shared" si="6"/>
        <v>49.427500000000002</v>
      </c>
      <c r="I106" s="5"/>
      <c r="J106" s="17">
        <v>1003.8488</v>
      </c>
      <c r="K106" s="18">
        <v>47.873199999999997</v>
      </c>
      <c r="L106" s="18">
        <v>52.982900000000001</v>
      </c>
      <c r="M106" s="18">
        <v>54.491100000000003</v>
      </c>
      <c r="N106" s="18">
        <v>19.4864</v>
      </c>
      <c r="O106" s="18">
        <f t="shared" si="7"/>
        <v>49.339149999999997</v>
      </c>
      <c r="P106" s="7"/>
      <c r="Q106" s="10"/>
      <c r="R106" s="11"/>
      <c r="S106" s="11"/>
      <c r="T106" s="26"/>
      <c r="U106" s="28">
        <f t="shared" si="8"/>
        <v>1.832325581395349</v>
      </c>
    </row>
    <row r="107" spans="2:21" x14ac:dyDescent="0.25">
      <c r="B107" s="9"/>
      <c r="C107" s="17">
        <v>639.42999999999995</v>
      </c>
      <c r="D107" s="18">
        <v>45.749000000000002</v>
      </c>
      <c r="E107" s="18">
        <v>51.292000000000002</v>
      </c>
      <c r="F107" s="18">
        <v>52.741999999999997</v>
      </c>
      <c r="G107" s="18">
        <v>8.39</v>
      </c>
      <c r="H107" s="18">
        <f t="shared" si="6"/>
        <v>47.31600000000001</v>
      </c>
      <c r="I107" s="5"/>
      <c r="J107" s="17">
        <v>601.15279999999996</v>
      </c>
      <c r="K107" s="18">
        <v>45.858600000000003</v>
      </c>
      <c r="L107" s="18">
        <v>51.271500000000003</v>
      </c>
      <c r="M107" s="18">
        <v>52.790799999999997</v>
      </c>
      <c r="N107" s="18">
        <v>23.3536</v>
      </c>
      <c r="O107" s="18">
        <f t="shared" si="7"/>
        <v>47.401737500000003</v>
      </c>
      <c r="P107" s="7"/>
      <c r="Q107" s="10"/>
      <c r="R107" s="11"/>
      <c r="S107" s="11"/>
      <c r="T107" s="26"/>
      <c r="U107" s="28">
        <f t="shared" si="8"/>
        <v>1.7835041716328961</v>
      </c>
    </row>
    <row r="108" spans="2:21" ht="16.5" thickBot="1" x14ac:dyDescent="0.3">
      <c r="B108" s="12"/>
      <c r="C108" s="19">
        <v>318.58</v>
      </c>
      <c r="D108" s="20">
        <v>42.819000000000003</v>
      </c>
      <c r="E108" s="20">
        <v>48.470999999999997</v>
      </c>
      <c r="F108" s="20">
        <v>49.902000000000001</v>
      </c>
      <c r="G108" s="20">
        <v>10.69</v>
      </c>
      <c r="H108" s="20">
        <f t="shared" si="6"/>
        <v>44.410874999999997</v>
      </c>
      <c r="I108" s="5"/>
      <c r="J108" s="19">
        <v>302.47910000000002</v>
      </c>
      <c r="K108" s="20">
        <v>43.050699999999999</v>
      </c>
      <c r="L108" s="20">
        <v>48.780099999999997</v>
      </c>
      <c r="M108" s="20">
        <v>50.2973</v>
      </c>
      <c r="N108" s="20">
        <v>30.4193</v>
      </c>
      <c r="O108" s="20">
        <f t="shared" si="7"/>
        <v>44.672699999999999</v>
      </c>
      <c r="P108" s="7"/>
      <c r="Q108" s="13"/>
      <c r="R108" s="14"/>
      <c r="S108" s="14"/>
      <c r="T108" s="27"/>
      <c r="U108" s="28">
        <f t="shared" si="8"/>
        <v>1.8455846585594016</v>
      </c>
    </row>
    <row r="109" spans="2:21" x14ac:dyDescent="0.25">
      <c r="B109" s="6" t="s">
        <v>107</v>
      </c>
      <c r="C109" s="15">
        <v>1465.9</v>
      </c>
      <c r="D109" s="16">
        <v>33.215000000000003</v>
      </c>
      <c r="E109" s="16">
        <v>40.396000000000001</v>
      </c>
      <c r="F109" s="16">
        <v>39.869</v>
      </c>
      <c r="G109" s="16">
        <v>3.9</v>
      </c>
      <c r="H109" s="16">
        <f t="shared" si="6"/>
        <v>34.944375000000008</v>
      </c>
      <c r="I109" s="5"/>
      <c r="J109" s="15">
        <v>1495.8276000000001</v>
      </c>
      <c r="K109" s="16">
        <v>33.085700000000003</v>
      </c>
      <c r="L109" s="16">
        <v>41.515000000000001</v>
      </c>
      <c r="M109" s="16">
        <v>40.909500000000001</v>
      </c>
      <c r="N109" s="16">
        <v>9.0790000000000006</v>
      </c>
      <c r="O109" s="16">
        <f t="shared" si="7"/>
        <v>35.117337499999998</v>
      </c>
      <c r="P109" s="7"/>
      <c r="Q109" s="8">
        <f>bdrate(C109:C112,D109:D112,J109:J112,K109:K112)</f>
        <v>-3.048706681915192E-2</v>
      </c>
      <c r="R109" s="8">
        <f>bdrate(C109:C112,E109:E112,J109:J112,L109:L112)</f>
        <v>-0.46574756100421955</v>
      </c>
      <c r="S109" s="8">
        <f>bdrate(C109:C112,F109:F112,J109:J112,M109:M112)</f>
        <v>-0.44895930692521702</v>
      </c>
      <c r="T109" s="25">
        <f>bdrate(C109:C112,H109:H112,J109:J112,O109:O112)</f>
        <v>-0.12543318992753716</v>
      </c>
      <c r="U109" s="28">
        <f t="shared" si="8"/>
        <v>1.3279487179487179</v>
      </c>
    </row>
    <row r="110" spans="2:21" x14ac:dyDescent="0.25">
      <c r="B110" s="9"/>
      <c r="C110" s="17">
        <v>978.31</v>
      </c>
      <c r="D110" s="18">
        <v>31.452000000000002</v>
      </c>
      <c r="E110" s="18">
        <v>39.091999999999999</v>
      </c>
      <c r="F110" s="18">
        <v>38.524000000000001</v>
      </c>
      <c r="G110" s="18">
        <v>4.4000000000000004</v>
      </c>
      <c r="H110" s="18">
        <f t="shared" si="6"/>
        <v>33.291000000000004</v>
      </c>
      <c r="I110" s="5"/>
      <c r="J110" s="17">
        <v>994.11839999999995</v>
      </c>
      <c r="K110" s="18">
        <v>31.410699999999999</v>
      </c>
      <c r="L110" s="18">
        <v>40.652000000000001</v>
      </c>
      <c r="M110" s="18">
        <v>40.020200000000003</v>
      </c>
      <c r="N110" s="18">
        <v>10.4933</v>
      </c>
      <c r="O110" s="18">
        <f t="shared" si="7"/>
        <v>33.642049999999998</v>
      </c>
      <c r="P110" s="7"/>
      <c r="Q110" s="10"/>
      <c r="R110" s="11"/>
      <c r="S110" s="11"/>
      <c r="T110" s="26"/>
      <c r="U110" s="28">
        <f t="shared" si="8"/>
        <v>1.3848409090909088</v>
      </c>
    </row>
    <row r="111" spans="2:21" x14ac:dyDescent="0.25">
      <c r="B111" s="9"/>
      <c r="C111" s="17">
        <v>587.17999999999995</v>
      </c>
      <c r="D111" s="18">
        <v>29.164999999999999</v>
      </c>
      <c r="E111" s="18">
        <v>37.371000000000002</v>
      </c>
      <c r="F111" s="18">
        <v>36.704000000000001</v>
      </c>
      <c r="G111" s="18">
        <v>5.05</v>
      </c>
      <c r="H111" s="18">
        <f t="shared" si="6"/>
        <v>31.133125000000003</v>
      </c>
      <c r="I111" s="5"/>
      <c r="J111" s="17">
        <v>596.26430000000005</v>
      </c>
      <c r="K111" s="18">
        <v>29.2851</v>
      </c>
      <c r="L111" s="18">
        <v>39.455100000000002</v>
      </c>
      <c r="M111" s="18">
        <v>38.782800000000002</v>
      </c>
      <c r="N111" s="18">
        <v>12.6768</v>
      </c>
      <c r="O111" s="18">
        <f t="shared" si="7"/>
        <v>31.743562500000003</v>
      </c>
      <c r="P111" s="7"/>
      <c r="Q111" s="10"/>
      <c r="R111" s="11"/>
      <c r="S111" s="11"/>
      <c r="T111" s="26"/>
      <c r="U111" s="28">
        <f t="shared" si="8"/>
        <v>1.5102574257425743</v>
      </c>
    </row>
    <row r="112" spans="2:21" ht="16.5" thickBot="1" x14ac:dyDescent="0.3">
      <c r="B112" s="12"/>
      <c r="C112" s="19">
        <v>301.76</v>
      </c>
      <c r="D112" s="20">
        <v>24.76</v>
      </c>
      <c r="E112" s="20">
        <v>33.237000000000002</v>
      </c>
      <c r="F112" s="20">
        <v>32.909999999999997</v>
      </c>
      <c r="G112" s="20">
        <v>9.7799999999999994</v>
      </c>
      <c r="H112" s="20">
        <f t="shared" si="6"/>
        <v>26.838374999999999</v>
      </c>
      <c r="I112" s="5"/>
      <c r="J112" s="19">
        <v>298.76530000000002</v>
      </c>
      <c r="K112" s="20">
        <v>26.5501</v>
      </c>
      <c r="L112" s="20">
        <v>37.482100000000003</v>
      </c>
      <c r="M112" s="20">
        <v>36.828400000000002</v>
      </c>
      <c r="N112" s="20">
        <v>16.2881</v>
      </c>
      <c r="O112" s="20">
        <f t="shared" si="7"/>
        <v>29.201387500000003</v>
      </c>
      <c r="P112" s="7"/>
      <c r="Q112" s="13"/>
      <c r="R112" s="14"/>
      <c r="S112" s="14"/>
      <c r="T112" s="27"/>
      <c r="U112" s="28">
        <f t="shared" si="8"/>
        <v>0.66544989775051133</v>
      </c>
    </row>
    <row r="113" spans="2:21" x14ac:dyDescent="0.25">
      <c r="B113" s="6" t="s">
        <v>108</v>
      </c>
      <c r="C113" s="15">
        <v>1666.15</v>
      </c>
      <c r="D113" s="16">
        <v>47.167000000000002</v>
      </c>
      <c r="E113" s="16">
        <v>47.982999999999997</v>
      </c>
      <c r="F113" s="16">
        <v>47.917999999999999</v>
      </c>
      <c r="G113" s="16">
        <v>6.45</v>
      </c>
      <c r="H113" s="16">
        <f t="shared" si="6"/>
        <v>47.362875000000003</v>
      </c>
      <c r="I113" s="5"/>
      <c r="J113" s="15">
        <v>1421.1383000000001</v>
      </c>
      <c r="K113" s="16">
        <v>46.816099999999999</v>
      </c>
      <c r="L113" s="16">
        <v>48.222200000000001</v>
      </c>
      <c r="M113" s="16">
        <v>48.122</v>
      </c>
      <c r="N113" s="16">
        <v>11.500500000000001</v>
      </c>
      <c r="O113" s="16">
        <f t="shared" si="7"/>
        <v>47.155099999999997</v>
      </c>
      <c r="P113" s="7"/>
      <c r="Q113" s="8">
        <f>bdrate(C113:C116,D113:D116,J113:J116,K113:K116)</f>
        <v>-9.2954071069222932E-2</v>
      </c>
      <c r="R113" s="8">
        <f>bdrate(C113:C116,E113:E116,J113:J116,L113:L116)</f>
        <v>-0.25812823034857435</v>
      </c>
      <c r="S113" s="8">
        <f>bdrate(C113:C116,F113:F116,J113:J116,M113:M116)</f>
        <v>-0.25596835431453513</v>
      </c>
      <c r="T113" s="25">
        <f>bdrate(C113:C116,H113:H116,J113:J116,O113:O116)</f>
        <v>-0.13186205210968371</v>
      </c>
      <c r="U113" s="28">
        <f t="shared" si="8"/>
        <v>0.78302325581395349</v>
      </c>
    </row>
    <row r="114" spans="2:21" x14ac:dyDescent="0.25">
      <c r="B114" s="9"/>
      <c r="C114" s="17">
        <v>1101.92</v>
      </c>
      <c r="D114" s="18">
        <v>45.216999999999999</v>
      </c>
      <c r="E114" s="18">
        <v>46.142000000000003</v>
      </c>
      <c r="F114" s="18">
        <v>46.024000000000001</v>
      </c>
      <c r="G114" s="18">
        <v>7.28</v>
      </c>
      <c r="H114" s="18">
        <f t="shared" si="6"/>
        <v>45.433500000000002</v>
      </c>
      <c r="I114" s="5"/>
      <c r="J114" s="17">
        <v>958.25210000000004</v>
      </c>
      <c r="K114" s="18">
        <v>45.225000000000001</v>
      </c>
      <c r="L114" s="18">
        <v>46.8063</v>
      </c>
      <c r="M114" s="18">
        <v>46.704300000000003</v>
      </c>
      <c r="N114" s="18">
        <v>16.3018</v>
      </c>
      <c r="O114" s="18">
        <f t="shared" si="7"/>
        <v>45.607575000000004</v>
      </c>
      <c r="P114" s="7"/>
      <c r="Q114" s="10"/>
      <c r="R114" s="11"/>
      <c r="S114" s="11"/>
      <c r="T114" s="26"/>
      <c r="U114" s="28">
        <f t="shared" si="8"/>
        <v>1.2392582417582416</v>
      </c>
    </row>
    <row r="115" spans="2:21" x14ac:dyDescent="0.25">
      <c r="B115" s="9"/>
      <c r="C115" s="17">
        <v>655.41</v>
      </c>
      <c r="D115" s="18">
        <v>42.454999999999998</v>
      </c>
      <c r="E115" s="18">
        <v>43.621000000000002</v>
      </c>
      <c r="F115" s="18">
        <v>43.460999999999999</v>
      </c>
      <c r="G115" s="18">
        <v>8.2899999999999991</v>
      </c>
      <c r="H115" s="18">
        <f t="shared" si="6"/>
        <v>42.726500000000001</v>
      </c>
      <c r="I115" s="5"/>
      <c r="J115" s="17">
        <v>594.99950000000001</v>
      </c>
      <c r="K115" s="18">
        <v>42.481999999999999</v>
      </c>
      <c r="L115" s="18">
        <v>44.677300000000002</v>
      </c>
      <c r="M115" s="18">
        <v>44.509700000000002</v>
      </c>
      <c r="N115" s="18">
        <v>21.530799999999999</v>
      </c>
      <c r="O115" s="18">
        <f t="shared" si="7"/>
        <v>43.009875000000001</v>
      </c>
      <c r="P115" s="7"/>
      <c r="Q115" s="10"/>
      <c r="R115" s="11"/>
      <c r="S115" s="11"/>
      <c r="T115" s="26"/>
      <c r="U115" s="28">
        <f t="shared" si="8"/>
        <v>1.5972014475271412</v>
      </c>
    </row>
    <row r="116" spans="2:21" ht="16.5" thickBot="1" x14ac:dyDescent="0.3">
      <c r="B116" s="12"/>
      <c r="C116" s="19">
        <v>325.01</v>
      </c>
      <c r="D116" s="20">
        <v>38.296999999999997</v>
      </c>
      <c r="E116" s="20">
        <v>40.119999999999997</v>
      </c>
      <c r="F116" s="20">
        <v>39.862000000000002</v>
      </c>
      <c r="G116" s="20">
        <v>9.75</v>
      </c>
      <c r="H116" s="20">
        <f t="shared" si="6"/>
        <v>38.720500000000001</v>
      </c>
      <c r="I116" s="5"/>
      <c r="J116" s="19">
        <v>303.10559999999998</v>
      </c>
      <c r="K116" s="20">
        <v>38.090000000000003</v>
      </c>
      <c r="L116" s="20">
        <v>41.245600000000003</v>
      </c>
      <c r="M116" s="20">
        <v>41.044899999999998</v>
      </c>
      <c r="N116" s="20">
        <v>27.736699999999999</v>
      </c>
      <c r="O116" s="20">
        <f t="shared" si="7"/>
        <v>38.853812500000004</v>
      </c>
      <c r="P116" s="7"/>
      <c r="Q116" s="13"/>
      <c r="R116" s="14"/>
      <c r="S116" s="14"/>
      <c r="T116" s="27"/>
      <c r="U116" s="28">
        <f t="shared" si="8"/>
        <v>1.8447897435897436</v>
      </c>
    </row>
    <row r="117" spans="2:21" x14ac:dyDescent="0.25">
      <c r="B117" s="6" t="s">
        <v>109</v>
      </c>
      <c r="C117" s="15">
        <v>1964.41</v>
      </c>
      <c r="D117" s="16">
        <v>46.936</v>
      </c>
      <c r="E117" s="16">
        <v>48.975000000000001</v>
      </c>
      <c r="F117" s="16">
        <v>49.225999999999999</v>
      </c>
      <c r="G117" s="16">
        <v>7.02</v>
      </c>
      <c r="H117" s="16">
        <f t="shared" si="6"/>
        <v>47.477125000000001</v>
      </c>
      <c r="I117" s="5"/>
      <c r="J117" s="15">
        <v>1417.4314999999999</v>
      </c>
      <c r="K117" s="16">
        <v>47.064900000000002</v>
      </c>
      <c r="L117" s="16">
        <v>49.953099999999999</v>
      </c>
      <c r="M117" s="16">
        <v>50.092300000000002</v>
      </c>
      <c r="N117" s="16">
        <v>11.8818</v>
      </c>
      <c r="O117" s="16">
        <f t="shared" si="7"/>
        <v>47.804350000000007</v>
      </c>
      <c r="P117" s="7"/>
      <c r="Q117" s="8">
        <f>bdrate(C117:C120,D117:D120,J117:J120,K117:K120)</f>
        <v>-0.3139207055231007</v>
      </c>
      <c r="R117" s="8">
        <f>bdrate(C117:C120,E117:E120,J117:J120,L117:L120)</f>
        <v>-0.46634672678687383</v>
      </c>
      <c r="S117" s="8">
        <f>bdrate(C117:C120,F117:F120,J117:J120,M117:M120)</f>
        <v>-0.46747359997965721</v>
      </c>
      <c r="T117" s="25">
        <f>bdrate(C117:C120,H117:H120,J117:J120,O117:O120)</f>
        <v>-0.35569811963450282</v>
      </c>
      <c r="U117" s="28">
        <f t="shared" si="8"/>
        <v>0.69256410256410272</v>
      </c>
    </row>
    <row r="118" spans="2:21" x14ac:dyDescent="0.25">
      <c r="B118" s="9"/>
      <c r="C118" s="17">
        <v>1280.79</v>
      </c>
      <c r="D118" s="18">
        <v>44.499000000000002</v>
      </c>
      <c r="E118" s="18">
        <v>46.591000000000001</v>
      </c>
      <c r="F118" s="18">
        <v>46.834000000000003</v>
      </c>
      <c r="G118" s="18">
        <v>8.06</v>
      </c>
      <c r="H118" s="18">
        <f t="shared" si="6"/>
        <v>45.052375000000005</v>
      </c>
      <c r="I118" s="5"/>
      <c r="J118" s="17">
        <v>976.06010000000003</v>
      </c>
      <c r="K118" s="18">
        <v>45.974600000000002</v>
      </c>
      <c r="L118" s="18">
        <v>49.116700000000002</v>
      </c>
      <c r="M118" s="18">
        <v>49.252499999999998</v>
      </c>
      <c r="N118" s="18">
        <v>13.7905</v>
      </c>
      <c r="O118" s="18">
        <f t="shared" si="7"/>
        <v>46.777099999999997</v>
      </c>
      <c r="P118" s="7"/>
      <c r="Q118" s="10"/>
      <c r="R118" s="11"/>
      <c r="S118" s="11"/>
      <c r="T118" s="26"/>
      <c r="U118" s="28">
        <f t="shared" si="8"/>
        <v>0.71098014888337457</v>
      </c>
    </row>
    <row r="119" spans="2:21" x14ac:dyDescent="0.25">
      <c r="B119" s="9"/>
      <c r="C119" s="17">
        <v>748.71</v>
      </c>
      <c r="D119" s="18">
        <v>41.819000000000003</v>
      </c>
      <c r="E119" s="18">
        <v>43.883000000000003</v>
      </c>
      <c r="F119" s="18">
        <v>44.151000000000003</v>
      </c>
      <c r="G119" s="18">
        <v>9.33</v>
      </c>
      <c r="H119" s="18">
        <f t="shared" si="6"/>
        <v>42.368500000000004</v>
      </c>
      <c r="I119" s="5"/>
      <c r="J119" s="17">
        <v>638.1721</v>
      </c>
      <c r="K119" s="18">
        <v>43.142299999999999</v>
      </c>
      <c r="L119" s="18">
        <v>46.427900000000001</v>
      </c>
      <c r="M119" s="18">
        <v>46.710299999999997</v>
      </c>
      <c r="N119" s="18">
        <v>14.2204</v>
      </c>
      <c r="O119" s="18">
        <f t="shared" si="7"/>
        <v>43.999000000000002</v>
      </c>
      <c r="P119" s="7"/>
      <c r="Q119" s="10"/>
      <c r="R119" s="11"/>
      <c r="S119" s="11"/>
      <c r="T119" s="26"/>
      <c r="U119" s="28">
        <f t="shared" si="8"/>
        <v>0.52415862808145763</v>
      </c>
    </row>
    <row r="120" spans="2:21" ht="16.5" thickBot="1" x14ac:dyDescent="0.3">
      <c r="B120" s="12"/>
      <c r="C120" s="19">
        <v>359.89</v>
      </c>
      <c r="D120" s="20">
        <v>38.325000000000003</v>
      </c>
      <c r="E120" s="20">
        <v>40.624000000000002</v>
      </c>
      <c r="F120" s="20">
        <v>40.966000000000001</v>
      </c>
      <c r="G120" s="20">
        <v>11.21</v>
      </c>
      <c r="H120" s="20">
        <f t="shared" si="6"/>
        <v>38.942500000000003</v>
      </c>
      <c r="I120" s="5"/>
      <c r="J120" s="19">
        <v>353.9991</v>
      </c>
      <c r="K120" s="20">
        <v>38.666400000000003</v>
      </c>
      <c r="L120" s="20">
        <v>42.457299999999996</v>
      </c>
      <c r="M120" s="20">
        <v>42.747399999999999</v>
      </c>
      <c r="N120" s="20">
        <v>23.5716</v>
      </c>
      <c r="O120" s="20">
        <f t="shared" si="7"/>
        <v>39.650387499999994</v>
      </c>
      <c r="P120" s="7"/>
      <c r="Q120" s="13"/>
      <c r="R120" s="14"/>
      <c r="S120" s="14"/>
      <c r="T120" s="27"/>
      <c r="U120" s="28">
        <f t="shared" si="8"/>
        <v>1.1027297056199821</v>
      </c>
    </row>
    <row r="121" spans="2:21" x14ac:dyDescent="0.25">
      <c r="B121" s="6" t="s">
        <v>110</v>
      </c>
      <c r="C121" s="15">
        <v>1537.18</v>
      </c>
      <c r="D121" s="16">
        <v>33.609000000000002</v>
      </c>
      <c r="E121" s="16">
        <v>36.881999999999998</v>
      </c>
      <c r="F121" s="16">
        <v>35.759</v>
      </c>
      <c r="G121" s="16">
        <v>4.62</v>
      </c>
      <c r="H121" s="16">
        <f t="shared" si="6"/>
        <v>34.286875000000002</v>
      </c>
      <c r="I121" s="5"/>
      <c r="J121" s="29">
        <v>1511.9264000000001</v>
      </c>
      <c r="K121" s="30">
        <v>33.393099999999997</v>
      </c>
      <c r="L121" s="30">
        <v>37.843699999999998</v>
      </c>
      <c r="M121" s="30">
        <v>36.696599999999997</v>
      </c>
      <c r="N121" s="16">
        <v>10.791600000000001</v>
      </c>
      <c r="O121" s="16">
        <f t="shared" si="7"/>
        <v>34.362362499999996</v>
      </c>
      <c r="P121" s="7"/>
      <c r="Q121" s="8">
        <f>bdrate(C121:C124,D121:D124,J121:J124,K121:K124)</f>
        <v>1.845636552455554E-2</v>
      </c>
      <c r="R121" s="8">
        <f>bdrate(C121:C124,E121:E124,J121:J124,L121:L124)</f>
        <v>-0.42508810480478099</v>
      </c>
      <c r="S121" s="8">
        <f>bdrate(C121:C124,F121:F124,J121:J124,M121:M124)</f>
        <v>-0.40821887304761872</v>
      </c>
      <c r="T121" s="25">
        <f>bdrate(C121:C124,H121:H124,J121:J124,O121:O124)</f>
        <v>-7.9226154417478045E-2</v>
      </c>
      <c r="U121" s="28">
        <f t="shared" si="8"/>
        <v>1.3358441558441561</v>
      </c>
    </row>
    <row r="122" spans="2:21" x14ac:dyDescent="0.25">
      <c r="B122" s="9"/>
      <c r="C122" s="17">
        <v>1020.77</v>
      </c>
      <c r="D122" s="18">
        <v>31.739000000000001</v>
      </c>
      <c r="E122" s="18">
        <v>35.488</v>
      </c>
      <c r="F122" s="18">
        <v>34.281999999999996</v>
      </c>
      <c r="G122" s="18">
        <v>5.21</v>
      </c>
      <c r="H122" s="18">
        <f t="shared" si="6"/>
        <v>32.525500000000001</v>
      </c>
      <c r="I122" s="5"/>
      <c r="J122" s="31">
        <v>1009.6621</v>
      </c>
      <c r="K122" s="32">
        <v>31.499400000000001</v>
      </c>
      <c r="L122" s="32">
        <v>36.7898</v>
      </c>
      <c r="M122" s="32">
        <v>35.591700000000003</v>
      </c>
      <c r="N122" s="18">
        <v>12.361700000000001</v>
      </c>
      <c r="O122" s="18">
        <f t="shared" si="7"/>
        <v>32.672237500000001</v>
      </c>
      <c r="P122" s="7"/>
      <c r="Q122" s="10"/>
      <c r="R122" s="11"/>
      <c r="S122" s="11"/>
      <c r="T122" s="26"/>
      <c r="U122" s="28">
        <f t="shared" si="8"/>
        <v>1.3726871401151632</v>
      </c>
    </row>
    <row r="123" spans="2:21" x14ac:dyDescent="0.25">
      <c r="B123" s="9"/>
      <c r="C123" s="17">
        <v>608.54999999999995</v>
      </c>
      <c r="D123" s="18">
        <v>29.501999999999999</v>
      </c>
      <c r="E123" s="18">
        <v>33.923999999999999</v>
      </c>
      <c r="F123" s="18">
        <v>32.616999999999997</v>
      </c>
      <c r="G123" s="18">
        <v>6.03</v>
      </c>
      <c r="H123" s="18">
        <f t="shared" si="6"/>
        <v>30.444125</v>
      </c>
      <c r="I123" s="5"/>
      <c r="J123" s="31">
        <v>606.32150000000001</v>
      </c>
      <c r="K123" s="32">
        <v>29.310500000000001</v>
      </c>
      <c r="L123" s="32">
        <v>35.563099999999999</v>
      </c>
      <c r="M123" s="32">
        <v>34.273899999999998</v>
      </c>
      <c r="N123" s="18">
        <v>14.9948</v>
      </c>
      <c r="O123" s="18">
        <f t="shared" si="7"/>
        <v>30.712499999999999</v>
      </c>
      <c r="P123" s="7"/>
      <c r="Q123" s="10"/>
      <c r="R123" s="11"/>
      <c r="S123" s="11"/>
      <c r="T123" s="26"/>
      <c r="U123" s="28">
        <f t="shared" si="8"/>
        <v>1.4866998341625208</v>
      </c>
    </row>
    <row r="124" spans="2:21" ht="16.5" thickBot="1" x14ac:dyDescent="0.3">
      <c r="B124" s="12"/>
      <c r="C124" s="19">
        <v>286.92</v>
      </c>
      <c r="D124" s="20">
        <v>26.143999999999998</v>
      </c>
      <c r="E124" s="20">
        <v>31.213000000000001</v>
      </c>
      <c r="F124" s="20">
        <v>29.89</v>
      </c>
      <c r="G124" s="20">
        <v>7.82</v>
      </c>
      <c r="H124" s="20">
        <f t="shared" si="6"/>
        <v>27.245874999999998</v>
      </c>
      <c r="I124" s="5"/>
      <c r="J124" s="33">
        <v>303.65789999999998</v>
      </c>
      <c r="K124" s="34">
        <v>26.9268</v>
      </c>
      <c r="L124" s="34">
        <v>34.011699999999998</v>
      </c>
      <c r="M124" s="34">
        <v>32.607900000000001</v>
      </c>
      <c r="N124" s="20">
        <v>19.275700000000001</v>
      </c>
      <c r="O124" s="20">
        <f t="shared" si="7"/>
        <v>28.522549999999999</v>
      </c>
      <c r="P124" s="7"/>
      <c r="Q124" s="13"/>
      <c r="R124" s="14"/>
      <c r="S124" s="14"/>
      <c r="T124" s="27"/>
      <c r="U124" s="28">
        <f t="shared" si="8"/>
        <v>1.464923273657289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-4.6915733773664071E-2</v>
      </c>
      <c r="R125" s="21">
        <f>AVERAGE(R9:R124)</f>
        <v>-0.3978448128713824</v>
      </c>
      <c r="S125" s="21">
        <f>AVERAGE(S9:S124)</f>
        <v>-0.38002584251961208</v>
      </c>
      <c r="T125" s="21">
        <f>AVERAGE(T9:T124)</f>
        <v>-0.12155471676855295</v>
      </c>
      <c r="U125" s="21">
        <f>AVERAGE(U9:U124)</f>
        <v>1.502315534017397</v>
      </c>
    </row>
    <row r="127" spans="2:21" s="35" customFormat="1" ht="15.75" customHeight="1" x14ac:dyDescent="0.25">
      <c r="B127" s="61" t="s">
        <v>29</v>
      </c>
      <c r="C127" s="63" t="s">
        <v>192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78</v>
      </c>
      <c r="D129" s="70"/>
      <c r="E129" s="70"/>
      <c r="F129" s="70"/>
      <c r="G129" s="70"/>
      <c r="H129" s="70"/>
      <c r="I129" s="5"/>
      <c r="J129" s="69" t="s">
        <v>186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3627.71</v>
      </c>
      <c r="D131" s="16">
        <v>37.771000000000001</v>
      </c>
      <c r="E131" s="16">
        <v>39.051000000000002</v>
      </c>
      <c r="F131" s="16">
        <v>41.415999999999997</v>
      </c>
      <c r="G131" s="16">
        <v>5.01</v>
      </c>
      <c r="H131" s="16">
        <f t="shared" ref="H131:H202" si="9">(6*D131+E131+F131)/8</f>
        <v>38.386625000000002</v>
      </c>
      <c r="I131" s="5"/>
      <c r="J131" s="15">
        <v>4142.7695999999996</v>
      </c>
      <c r="K131" s="16">
        <v>38.5274</v>
      </c>
      <c r="L131" s="16">
        <v>40.211399999999998</v>
      </c>
      <c r="M131" s="16">
        <v>42.996000000000002</v>
      </c>
      <c r="N131" s="16">
        <v>11.446899999999999</v>
      </c>
      <c r="O131" s="16">
        <f t="shared" ref="O131:O202" si="10">(6*K131+L131+M131)/8</f>
        <v>39.296475000000001</v>
      </c>
      <c r="P131" s="7"/>
      <c r="Q131" s="8">
        <f>bdrate(C131:C134,D131:D134,J131:J134,K131:K134)</f>
        <v>-5.5850494748006407E-2</v>
      </c>
      <c r="R131" s="8">
        <f>bdrate(C131:C134,E131:E134,J131:J134,L131:L134)</f>
        <v>-0.47807449229318411</v>
      </c>
      <c r="S131" s="8">
        <f>bdrate(C131:C134,F131:F134,J131:J134,M131:M134)</f>
        <v>-0.46578550701508281</v>
      </c>
      <c r="T131" s="25">
        <f>bdrate(C131:C134,H131:H134,J131:J134,O131:O134)</f>
        <v>-0.12930591989365148</v>
      </c>
      <c r="U131" s="28">
        <f t="shared" ref="U131:U194" si="11">(N131-G131)/G131</f>
        <v>1.2848103792415169</v>
      </c>
    </row>
    <row r="132" spans="1:21" x14ac:dyDescent="0.25">
      <c r="A132" s="9" t="s">
        <v>36</v>
      </c>
      <c r="B132" s="9"/>
      <c r="C132" s="17">
        <v>2711.82</v>
      </c>
      <c r="D132" s="18">
        <v>36.924999999999997</v>
      </c>
      <c r="E132" s="18">
        <v>38.497999999999998</v>
      </c>
      <c r="F132" s="18">
        <v>40.862000000000002</v>
      </c>
      <c r="G132" s="18">
        <v>5.48</v>
      </c>
      <c r="H132" s="18">
        <f t="shared" si="9"/>
        <v>37.613750000000003</v>
      </c>
      <c r="I132" s="5"/>
      <c r="J132" s="17">
        <v>3019.0816</v>
      </c>
      <c r="K132" s="18">
        <v>37.582900000000002</v>
      </c>
      <c r="L132" s="18">
        <v>39.7453</v>
      </c>
      <c r="M132" s="18">
        <v>42.348199999999999</v>
      </c>
      <c r="N132" s="18">
        <v>13.484400000000001</v>
      </c>
      <c r="O132" s="18">
        <f t="shared" si="10"/>
        <v>38.448862500000004</v>
      </c>
      <c r="P132" s="7"/>
      <c r="Q132" s="10"/>
      <c r="R132" s="11"/>
      <c r="S132" s="11"/>
      <c r="T132" s="26"/>
      <c r="U132" s="28">
        <f t="shared" si="11"/>
        <v>1.4606569343065694</v>
      </c>
    </row>
    <row r="133" spans="1:21" x14ac:dyDescent="0.25">
      <c r="B133" s="9"/>
      <c r="C133" s="17">
        <v>1779.51</v>
      </c>
      <c r="D133" s="18">
        <v>35.673000000000002</v>
      </c>
      <c r="E133" s="18">
        <v>37.840000000000003</v>
      </c>
      <c r="F133" s="18">
        <v>40.204999999999998</v>
      </c>
      <c r="G133" s="18">
        <v>6.07</v>
      </c>
      <c r="H133" s="18">
        <f t="shared" si="9"/>
        <v>36.510375000000003</v>
      </c>
      <c r="I133" s="5"/>
      <c r="J133" s="17">
        <v>1979.9616000000001</v>
      </c>
      <c r="K133" s="18">
        <v>36.218800000000002</v>
      </c>
      <c r="L133" s="18">
        <v>39.0961</v>
      </c>
      <c r="M133" s="18">
        <v>41.536799999999999</v>
      </c>
      <c r="N133" s="18">
        <v>16.160299999999999</v>
      </c>
      <c r="O133" s="18">
        <f t="shared" si="10"/>
        <v>37.243212499999998</v>
      </c>
      <c r="P133" s="7"/>
      <c r="Q133" s="10"/>
      <c r="R133" s="11"/>
      <c r="S133" s="11"/>
      <c r="T133" s="26"/>
      <c r="U133" s="28">
        <f t="shared" si="11"/>
        <v>1.6623228995057659</v>
      </c>
    </row>
    <row r="134" spans="1:21" ht="16.5" thickBot="1" x14ac:dyDescent="0.3">
      <c r="B134" s="12"/>
      <c r="C134" s="19">
        <v>858.34</v>
      </c>
      <c r="D134" s="20">
        <v>33.180999999999997</v>
      </c>
      <c r="E134" s="20">
        <v>37.064</v>
      </c>
      <c r="F134" s="20">
        <v>39.348999999999997</v>
      </c>
      <c r="G134" s="20">
        <v>7.09</v>
      </c>
      <c r="H134" s="20">
        <f t="shared" si="9"/>
        <v>34.437374999999996</v>
      </c>
      <c r="I134" s="5"/>
      <c r="J134" s="19">
        <v>918.49760000000003</v>
      </c>
      <c r="K134" s="20">
        <v>33.448799999999999</v>
      </c>
      <c r="L134" s="20">
        <v>37.738700000000001</v>
      </c>
      <c r="M134" s="20">
        <v>40.006999999999998</v>
      </c>
      <c r="N134" s="20">
        <v>21.3675</v>
      </c>
      <c r="O134" s="20">
        <f t="shared" si="10"/>
        <v>34.804812499999997</v>
      </c>
      <c r="P134" s="7"/>
      <c r="Q134" s="13"/>
      <c r="R134" s="14"/>
      <c r="S134" s="14"/>
      <c r="T134" s="27"/>
      <c r="U134" s="28">
        <f t="shared" si="11"/>
        <v>2.0137517630465442</v>
      </c>
    </row>
    <row r="135" spans="1:21" x14ac:dyDescent="0.25">
      <c r="B135" s="6" t="s">
        <v>47</v>
      </c>
      <c r="C135" s="15">
        <v>4009.27</v>
      </c>
      <c r="D135" s="16">
        <v>30.274999999999999</v>
      </c>
      <c r="E135" s="16">
        <v>38.485999999999997</v>
      </c>
      <c r="F135" s="16">
        <v>39.768999999999998</v>
      </c>
      <c r="G135" s="16">
        <v>3.4</v>
      </c>
      <c r="H135" s="16">
        <f t="shared" si="9"/>
        <v>32.488124999999997</v>
      </c>
      <c r="I135" s="5"/>
      <c r="J135" s="15">
        <v>4185.1440000000002</v>
      </c>
      <c r="K135" s="16">
        <v>29.918099999999999</v>
      </c>
      <c r="L135" s="16">
        <v>40.865099999999998</v>
      </c>
      <c r="M135" s="16">
        <v>41.673999999999999</v>
      </c>
      <c r="N135" s="16">
        <v>8.6936</v>
      </c>
      <c r="O135" s="16">
        <f t="shared" si="10"/>
        <v>32.755962499999995</v>
      </c>
      <c r="P135" s="7"/>
      <c r="Q135" s="8">
        <f>bdrate(C135:C138,D135:D138,J135:J138,K135:K138)</f>
        <v>4.7352915172368171E-2</v>
      </c>
      <c r="R135" s="8">
        <f>bdrate(C135:C138,E135:E138,J135:J138,L135:L138)</f>
        <v>-0.64249268676728288</v>
      </c>
      <c r="S135" s="8">
        <f>bdrate(C135:C138,F135:F138,J135:J138,M135:M138)</f>
        <v>-0.61409813930920842</v>
      </c>
      <c r="T135" s="25">
        <f>bdrate(C135:C138,H135:H138,J135:J138,O135:O138)</f>
        <v>-8.6183170891805494E-2</v>
      </c>
      <c r="U135" s="28">
        <f t="shared" si="11"/>
        <v>1.5569411764705883</v>
      </c>
    </row>
    <row r="136" spans="1:21" x14ac:dyDescent="0.25">
      <c r="B136" s="9"/>
      <c r="C136" s="17">
        <v>3021.33</v>
      </c>
      <c r="D136" s="18">
        <v>28.896000000000001</v>
      </c>
      <c r="E136" s="18">
        <v>37.896999999999998</v>
      </c>
      <c r="F136" s="18">
        <v>39.286000000000001</v>
      </c>
      <c r="G136" s="18">
        <v>3.73</v>
      </c>
      <c r="H136" s="18">
        <f t="shared" si="9"/>
        <v>31.319875</v>
      </c>
      <c r="I136" s="5"/>
      <c r="J136" s="17">
        <v>3086.8384000000001</v>
      </c>
      <c r="K136" s="18">
        <v>28.551300000000001</v>
      </c>
      <c r="L136" s="18">
        <v>40.342700000000001</v>
      </c>
      <c r="M136" s="18">
        <v>41.244399999999999</v>
      </c>
      <c r="N136" s="18">
        <v>9.9535999999999998</v>
      </c>
      <c r="O136" s="18">
        <f t="shared" si="10"/>
        <v>31.611862500000001</v>
      </c>
      <c r="P136" s="7"/>
      <c r="Q136" s="10"/>
      <c r="R136" s="11"/>
      <c r="S136" s="11"/>
      <c r="T136" s="26"/>
      <c r="U136" s="28">
        <f t="shared" si="11"/>
        <v>1.6685254691689007</v>
      </c>
    </row>
    <row r="137" spans="1:21" x14ac:dyDescent="0.25">
      <c r="B137" s="9"/>
      <c r="C137" s="17">
        <v>2011.81</v>
      </c>
      <c r="D137" s="18">
        <v>26.904</v>
      </c>
      <c r="E137" s="18">
        <v>36.901000000000003</v>
      </c>
      <c r="F137" s="18">
        <v>38.341000000000001</v>
      </c>
      <c r="G137" s="18">
        <v>4.21</v>
      </c>
      <c r="H137" s="18">
        <f t="shared" si="9"/>
        <v>29.583250000000003</v>
      </c>
      <c r="I137" s="5"/>
      <c r="J137" s="17">
        <v>2076.4144000000001</v>
      </c>
      <c r="K137" s="18">
        <v>26.8767</v>
      </c>
      <c r="L137" s="18">
        <v>39.5627</v>
      </c>
      <c r="M137" s="18">
        <v>40.6053</v>
      </c>
      <c r="N137" s="18">
        <v>11.4749</v>
      </c>
      <c r="O137" s="18">
        <f t="shared" si="10"/>
        <v>30.178525</v>
      </c>
      <c r="P137" s="7"/>
      <c r="Q137" s="10"/>
      <c r="R137" s="11"/>
      <c r="S137" s="11"/>
      <c r="T137" s="26"/>
      <c r="U137" s="28">
        <f t="shared" si="11"/>
        <v>1.7256294536817103</v>
      </c>
    </row>
    <row r="138" spans="1:21" ht="16.5" thickBot="1" x14ac:dyDescent="0.3">
      <c r="B138" s="12"/>
      <c r="C138" s="19">
        <v>1675.38</v>
      </c>
      <c r="D138" s="20">
        <v>25.087</v>
      </c>
      <c r="E138" s="20">
        <v>35.482999999999997</v>
      </c>
      <c r="F138" s="20">
        <v>37.167999999999999</v>
      </c>
      <c r="G138" s="20">
        <v>6.01</v>
      </c>
      <c r="H138" s="20">
        <f t="shared" si="9"/>
        <v>27.896625</v>
      </c>
      <c r="I138" s="5"/>
      <c r="J138" s="19">
        <v>1421.4480000000001</v>
      </c>
      <c r="K138" s="20">
        <v>25.660599999999999</v>
      </c>
      <c r="L138" s="20">
        <v>38.463999999999999</v>
      </c>
      <c r="M138" s="20">
        <v>39.5732</v>
      </c>
      <c r="N138" s="20">
        <v>12.5366</v>
      </c>
      <c r="O138" s="20">
        <f t="shared" si="10"/>
        <v>29.000099999999996</v>
      </c>
      <c r="P138" s="7"/>
      <c r="Q138" s="13"/>
      <c r="R138" s="14"/>
      <c r="S138" s="14"/>
      <c r="T138" s="27"/>
      <c r="U138" s="28">
        <f t="shared" si="11"/>
        <v>1.0859567387687188</v>
      </c>
    </row>
    <row r="139" spans="1:21" x14ac:dyDescent="0.25">
      <c r="A139" s="6" t="s">
        <v>37</v>
      </c>
      <c r="B139" s="6" t="s">
        <v>48</v>
      </c>
      <c r="C139" s="15">
        <v>2007.6</v>
      </c>
      <c r="D139" s="16">
        <v>39.36</v>
      </c>
      <c r="E139" s="16">
        <v>41.643999999999998</v>
      </c>
      <c r="F139" s="16">
        <v>42.9</v>
      </c>
      <c r="G139" s="16">
        <v>5.47</v>
      </c>
      <c r="H139" s="16">
        <f t="shared" si="9"/>
        <v>40.087999999999994</v>
      </c>
      <c r="I139" s="5"/>
      <c r="J139" s="15">
        <v>2371.4720000000002</v>
      </c>
      <c r="K139" s="16">
        <v>39.395699999999998</v>
      </c>
      <c r="L139" s="16">
        <v>42.400300000000001</v>
      </c>
      <c r="M139" s="16">
        <v>44.1023</v>
      </c>
      <c r="N139" s="16">
        <v>19.648</v>
      </c>
      <c r="O139" s="16">
        <f t="shared" si="10"/>
        <v>40.3596</v>
      </c>
      <c r="P139" s="7"/>
      <c r="Q139" s="8">
        <f>bdrate(C139:C142,D139:D142,J139:J142,K139:K142)</f>
        <v>9.1787591036787131E-2</v>
      </c>
      <c r="R139" s="8">
        <f>bdrate(C139:C142,E139:E142,J139:J142,L139:L142)</f>
        <v>-0.40886576484530546</v>
      </c>
      <c r="S139" s="8">
        <f>bdrate(C139:C142,F139:F142,J139:J142,M139:M142)</f>
        <v>-0.43207726830020643</v>
      </c>
      <c r="T139" s="25">
        <f>bdrate(C139:C142,H139:H142,J139:J142,O139:O142)</f>
        <v>-1.034865058614276E-2</v>
      </c>
      <c r="U139" s="28">
        <f t="shared" si="11"/>
        <v>2.5919561243144429</v>
      </c>
    </row>
    <row r="140" spans="1:21" x14ac:dyDescent="0.25">
      <c r="A140" s="9" t="s">
        <v>38</v>
      </c>
      <c r="B140" s="9"/>
      <c r="C140" s="17">
        <v>1315.68</v>
      </c>
      <c r="D140" s="18">
        <v>38.037999999999997</v>
      </c>
      <c r="E140" s="18">
        <v>40.764000000000003</v>
      </c>
      <c r="F140" s="18">
        <v>41.984999999999999</v>
      </c>
      <c r="G140" s="18">
        <v>6.37</v>
      </c>
      <c r="H140" s="18">
        <f t="shared" si="9"/>
        <v>38.872124999999997</v>
      </c>
      <c r="I140" s="5"/>
      <c r="J140" s="17">
        <v>1562.7023999999999</v>
      </c>
      <c r="K140" s="18">
        <v>38.241700000000002</v>
      </c>
      <c r="L140" s="18">
        <v>41.840499999999999</v>
      </c>
      <c r="M140" s="18">
        <v>43.333500000000001</v>
      </c>
      <c r="N140" s="18">
        <v>24.2669</v>
      </c>
      <c r="O140" s="18">
        <f t="shared" si="10"/>
        <v>39.328025000000004</v>
      </c>
      <c r="P140" s="7"/>
      <c r="Q140" s="10"/>
      <c r="R140" s="11"/>
      <c r="S140" s="11"/>
      <c r="T140" s="26"/>
      <c r="U140" s="28">
        <f t="shared" si="11"/>
        <v>2.8095604395604394</v>
      </c>
    </row>
    <row r="141" spans="1:21" x14ac:dyDescent="0.25">
      <c r="B141" s="9"/>
      <c r="C141" s="17">
        <v>809.94</v>
      </c>
      <c r="D141" s="18">
        <v>36.368000000000002</v>
      </c>
      <c r="E141" s="18">
        <v>39.796999999999997</v>
      </c>
      <c r="F141" s="18">
        <v>41.093000000000004</v>
      </c>
      <c r="G141" s="18">
        <v>7.49</v>
      </c>
      <c r="H141" s="18">
        <f t="shared" si="9"/>
        <v>37.387250000000002</v>
      </c>
      <c r="I141" s="5"/>
      <c r="J141" s="17">
        <v>963.56719999999996</v>
      </c>
      <c r="K141" s="18">
        <v>36.7104</v>
      </c>
      <c r="L141" s="18">
        <v>41.1432</v>
      </c>
      <c r="M141" s="18">
        <v>42.445300000000003</v>
      </c>
      <c r="N141" s="18">
        <v>29.817399999999999</v>
      </c>
      <c r="O141" s="18">
        <f t="shared" si="10"/>
        <v>37.981362500000003</v>
      </c>
      <c r="P141" s="7"/>
      <c r="Q141" s="10"/>
      <c r="R141" s="11"/>
      <c r="S141" s="11"/>
      <c r="T141" s="26"/>
      <c r="U141" s="28">
        <f t="shared" si="11"/>
        <v>2.9809612817089448</v>
      </c>
    </row>
    <row r="142" spans="1:21" ht="16.5" thickBot="1" x14ac:dyDescent="0.3">
      <c r="B142" s="12"/>
      <c r="C142" s="19">
        <v>480.91</v>
      </c>
      <c r="D142" s="20">
        <v>34.463999999999999</v>
      </c>
      <c r="E142" s="20">
        <v>38.783000000000001</v>
      </c>
      <c r="F142" s="20">
        <v>40.295999999999999</v>
      </c>
      <c r="G142" s="20">
        <v>8.7799999999999994</v>
      </c>
      <c r="H142" s="20">
        <f t="shared" si="9"/>
        <v>35.732875</v>
      </c>
      <c r="I142" s="5"/>
      <c r="J142" s="19">
        <v>565.38480000000004</v>
      </c>
      <c r="K142" s="20">
        <v>34.920299999999997</v>
      </c>
      <c r="L142" s="20">
        <v>40.427100000000003</v>
      </c>
      <c r="M142" s="20">
        <v>41.661499999999997</v>
      </c>
      <c r="N142" s="20">
        <v>36.199100000000001</v>
      </c>
      <c r="O142" s="20">
        <f t="shared" si="10"/>
        <v>36.451299999999996</v>
      </c>
      <c r="P142" s="7"/>
      <c r="Q142" s="13"/>
      <c r="R142" s="14"/>
      <c r="S142" s="14"/>
      <c r="T142" s="27"/>
      <c r="U142" s="28">
        <f t="shared" si="11"/>
        <v>3.1229043280182234</v>
      </c>
    </row>
    <row r="143" spans="1:21" x14ac:dyDescent="0.25">
      <c r="B143" s="6" t="s">
        <v>49</v>
      </c>
      <c r="C143" s="15">
        <v>2236.77</v>
      </c>
      <c r="D143" s="16">
        <v>36.273000000000003</v>
      </c>
      <c r="E143" s="16">
        <v>39.444000000000003</v>
      </c>
      <c r="F143" s="16">
        <v>40.479999999999997</v>
      </c>
      <c r="G143" s="16">
        <v>7.52</v>
      </c>
      <c r="H143" s="16">
        <f t="shared" si="9"/>
        <v>37.195250000000009</v>
      </c>
      <c r="I143" s="5"/>
      <c r="J143" s="15">
        <v>2555.096</v>
      </c>
      <c r="K143" s="16">
        <v>36.616799999999998</v>
      </c>
      <c r="L143" s="16">
        <v>40.853400000000001</v>
      </c>
      <c r="M143" s="16">
        <v>42.209699999999998</v>
      </c>
      <c r="N143" s="16">
        <v>19.278700000000001</v>
      </c>
      <c r="O143" s="16">
        <f t="shared" si="10"/>
        <v>37.845487499999997</v>
      </c>
      <c r="P143" s="7"/>
      <c r="Q143" s="8">
        <f>bdrate(C143:C146,D143:D146,J143:J146,K143:K146)</f>
        <v>-1.0381655492870401E-3</v>
      </c>
      <c r="R143" s="8">
        <f>bdrate(C143:C146,E143:E146,J143:J146,L143:L146)</f>
        <v>-0.48325866389936889</v>
      </c>
      <c r="S143" s="8">
        <f>bdrate(C143:C146,F143:F146,J143:J146,M143:M146)</f>
        <v>-0.52253814788940001</v>
      </c>
      <c r="T143" s="25">
        <f>bdrate(C143:C146,H143:H146,J143:J146,O143:O146)</f>
        <v>-0.10852124918162032</v>
      </c>
      <c r="U143" s="28">
        <f t="shared" si="11"/>
        <v>1.5636569148936172</v>
      </c>
    </row>
    <row r="144" spans="1:21" x14ac:dyDescent="0.25">
      <c r="B144" s="9"/>
      <c r="C144" s="17">
        <v>1483.36</v>
      </c>
      <c r="D144" s="18">
        <v>34.984999999999999</v>
      </c>
      <c r="E144" s="18">
        <v>38.543999999999997</v>
      </c>
      <c r="F144" s="18">
        <v>39.706000000000003</v>
      </c>
      <c r="G144" s="18">
        <v>8.32</v>
      </c>
      <c r="H144" s="18">
        <f t="shared" si="9"/>
        <v>36.020000000000003</v>
      </c>
      <c r="I144" s="5"/>
      <c r="J144" s="17">
        <v>1661.6872000000001</v>
      </c>
      <c r="K144" s="18">
        <v>35.346699999999998</v>
      </c>
      <c r="L144" s="18">
        <v>40.002899999999997</v>
      </c>
      <c r="M144" s="18">
        <v>41.221899999999998</v>
      </c>
      <c r="N144" s="18">
        <v>23.032599999999999</v>
      </c>
      <c r="O144" s="18">
        <f t="shared" si="10"/>
        <v>36.663125000000001</v>
      </c>
      <c r="P144" s="7"/>
      <c r="Q144" s="10"/>
      <c r="R144" s="11"/>
      <c r="S144" s="11"/>
      <c r="T144" s="26"/>
      <c r="U144" s="28">
        <f t="shared" si="11"/>
        <v>1.768341346153846</v>
      </c>
    </row>
    <row r="145" spans="1:21" x14ac:dyDescent="0.25">
      <c r="B145" s="9"/>
      <c r="C145" s="17">
        <v>921.28</v>
      </c>
      <c r="D145" s="18">
        <v>33.512999999999998</v>
      </c>
      <c r="E145" s="18">
        <v>37.572000000000003</v>
      </c>
      <c r="F145" s="18">
        <v>39.012</v>
      </c>
      <c r="G145" s="18">
        <v>9.24</v>
      </c>
      <c r="H145" s="18">
        <f t="shared" si="9"/>
        <v>34.707749999999997</v>
      </c>
      <c r="I145" s="5"/>
      <c r="J145" s="17">
        <v>1029.732</v>
      </c>
      <c r="K145" s="18">
        <v>33.864800000000002</v>
      </c>
      <c r="L145" s="18">
        <v>39.142400000000002</v>
      </c>
      <c r="M145" s="18">
        <v>40.370399999999997</v>
      </c>
      <c r="N145" s="18">
        <v>28.021000000000001</v>
      </c>
      <c r="O145" s="18">
        <f t="shared" si="10"/>
        <v>35.337700000000005</v>
      </c>
      <c r="P145" s="7"/>
      <c r="Q145" s="10"/>
      <c r="R145" s="11"/>
      <c r="S145" s="11"/>
      <c r="T145" s="26"/>
      <c r="U145" s="28">
        <f t="shared" si="11"/>
        <v>2.0325757575757573</v>
      </c>
    </row>
    <row r="146" spans="1:21" ht="16.5" thickBot="1" x14ac:dyDescent="0.3">
      <c r="B146" s="12"/>
      <c r="C146" s="19">
        <v>546.27</v>
      </c>
      <c r="D146" s="20">
        <v>31.92</v>
      </c>
      <c r="E146" s="20">
        <v>36.658999999999999</v>
      </c>
      <c r="F146" s="20">
        <v>38.450000000000003</v>
      </c>
      <c r="G146" s="20">
        <v>10.19</v>
      </c>
      <c r="H146" s="20">
        <f t="shared" si="9"/>
        <v>33.328625000000002</v>
      </c>
      <c r="I146" s="5"/>
      <c r="J146" s="19">
        <v>614.03279999999995</v>
      </c>
      <c r="K146" s="20">
        <v>32.272100000000002</v>
      </c>
      <c r="L146" s="20">
        <v>38.133600000000001</v>
      </c>
      <c r="M146" s="20">
        <v>39.470799999999997</v>
      </c>
      <c r="N146" s="20">
        <v>33.960700000000003</v>
      </c>
      <c r="O146" s="20">
        <f t="shared" si="10"/>
        <v>33.904625000000003</v>
      </c>
      <c r="P146" s="7"/>
      <c r="Q146" s="13"/>
      <c r="R146" s="14"/>
      <c r="S146" s="14"/>
      <c r="T146" s="27"/>
      <c r="U146" s="28">
        <f t="shared" si="11"/>
        <v>2.3327477919528956</v>
      </c>
    </row>
    <row r="147" spans="1:21" x14ac:dyDescent="0.25">
      <c r="B147" s="6" t="s">
        <v>50</v>
      </c>
      <c r="C147" s="15">
        <v>2356.4499999999998</v>
      </c>
      <c r="D147" s="16">
        <v>34.414999999999999</v>
      </c>
      <c r="E147" s="16">
        <v>37.814999999999998</v>
      </c>
      <c r="F147" s="16">
        <v>39.597000000000001</v>
      </c>
      <c r="G147" s="16">
        <v>8.58</v>
      </c>
      <c r="H147" s="16">
        <f t="shared" si="9"/>
        <v>35.487749999999998</v>
      </c>
      <c r="I147" s="5"/>
      <c r="J147" s="15">
        <v>2413.2248</v>
      </c>
      <c r="K147" s="16">
        <v>34.878799999999998</v>
      </c>
      <c r="L147" s="16">
        <v>38.622900000000001</v>
      </c>
      <c r="M147" s="16">
        <v>41.2151</v>
      </c>
      <c r="N147" s="16">
        <v>27.7254</v>
      </c>
      <c r="O147" s="16">
        <f t="shared" si="10"/>
        <v>36.138849999999998</v>
      </c>
      <c r="P147" s="7"/>
      <c r="Q147" s="8">
        <f>bdrate(C147:C150,D147:D150,J147:J150,K147:K150)</f>
        <v>-9.5721190199220874E-2</v>
      </c>
      <c r="R147" s="8">
        <f>bdrate(C147:C150,E147:E150,J147:J150,L147:L150)</f>
        <v>-0.57892597849311378</v>
      </c>
      <c r="S147" s="8">
        <f>bdrate(C147:C150,F147:F150,J147:J150,M147:M150)</f>
        <v>-0.54539977998968314</v>
      </c>
      <c r="T147" s="25">
        <f>bdrate(C147:C150,H147:H150,J147:J150,O147:O150)</f>
        <v>-0.18623648726334996</v>
      </c>
      <c r="U147" s="28">
        <f t="shared" si="11"/>
        <v>2.2313986013986016</v>
      </c>
    </row>
    <row r="148" spans="1:21" x14ac:dyDescent="0.25">
      <c r="B148" s="9"/>
      <c r="C148" s="17">
        <v>1563.01</v>
      </c>
      <c r="D148" s="18">
        <v>33.29</v>
      </c>
      <c r="E148" s="18">
        <v>37.323999999999998</v>
      </c>
      <c r="F148" s="18">
        <v>38.777000000000001</v>
      </c>
      <c r="G148" s="18">
        <v>9.52</v>
      </c>
      <c r="H148" s="18">
        <f t="shared" si="9"/>
        <v>34.480125000000001</v>
      </c>
      <c r="I148" s="5"/>
      <c r="J148" s="17">
        <v>1604.2575999999999</v>
      </c>
      <c r="K148" s="18">
        <v>33.732100000000003</v>
      </c>
      <c r="L148" s="18">
        <v>38.262</v>
      </c>
      <c r="M148" s="18">
        <v>40.392400000000002</v>
      </c>
      <c r="N148" s="18">
        <v>33.389000000000003</v>
      </c>
      <c r="O148" s="18">
        <f t="shared" si="10"/>
        <v>35.130875000000003</v>
      </c>
      <c r="P148" s="7"/>
      <c r="Q148" s="10"/>
      <c r="R148" s="11"/>
      <c r="S148" s="11"/>
      <c r="T148" s="26"/>
      <c r="U148" s="28">
        <f t="shared" si="11"/>
        <v>2.5072478991596645</v>
      </c>
    </row>
    <row r="149" spans="1:21" x14ac:dyDescent="0.25">
      <c r="B149" s="9"/>
      <c r="C149" s="17">
        <v>967.93</v>
      </c>
      <c r="D149" s="18">
        <v>31.856999999999999</v>
      </c>
      <c r="E149" s="18">
        <v>36.694000000000003</v>
      </c>
      <c r="F149" s="18">
        <v>37.78</v>
      </c>
      <c r="G149" s="18">
        <v>10.66</v>
      </c>
      <c r="H149" s="18">
        <f t="shared" si="9"/>
        <v>33.201999999999998</v>
      </c>
      <c r="I149" s="5"/>
      <c r="J149" s="17">
        <v>999.93359999999996</v>
      </c>
      <c r="K149" s="18">
        <v>32.226100000000002</v>
      </c>
      <c r="L149" s="18">
        <v>37.8277</v>
      </c>
      <c r="M149" s="18">
        <v>39.469799999999999</v>
      </c>
      <c r="N149" s="18">
        <v>40.316099999999999</v>
      </c>
      <c r="O149" s="18">
        <f t="shared" si="10"/>
        <v>33.831762500000004</v>
      </c>
      <c r="P149" s="7"/>
      <c r="Q149" s="10"/>
      <c r="R149" s="11"/>
      <c r="S149" s="11"/>
      <c r="T149" s="26"/>
      <c r="U149" s="28">
        <f t="shared" si="11"/>
        <v>2.7819981238273921</v>
      </c>
    </row>
    <row r="150" spans="1:21" ht="16.5" thickBot="1" x14ac:dyDescent="0.3">
      <c r="B150" s="12"/>
      <c r="C150" s="19">
        <v>562.66</v>
      </c>
      <c r="D150" s="20">
        <v>30.015000000000001</v>
      </c>
      <c r="E150" s="20">
        <v>35.759</v>
      </c>
      <c r="F150" s="20">
        <v>36.296999999999997</v>
      </c>
      <c r="G150" s="20">
        <v>12.13</v>
      </c>
      <c r="H150" s="20">
        <f t="shared" si="9"/>
        <v>31.518249999999998</v>
      </c>
      <c r="I150" s="5"/>
      <c r="J150" s="19">
        <v>589.70640000000003</v>
      </c>
      <c r="K150" s="20">
        <v>30.4739</v>
      </c>
      <c r="L150" s="20">
        <v>37.147399999999998</v>
      </c>
      <c r="M150" s="20">
        <v>38.385399999999997</v>
      </c>
      <c r="N150" s="20">
        <v>49.005200000000002</v>
      </c>
      <c r="O150" s="20">
        <f t="shared" si="10"/>
        <v>32.297024999999998</v>
      </c>
      <c r="P150" s="7"/>
      <c r="Q150" s="13"/>
      <c r="R150" s="14"/>
      <c r="S150" s="14"/>
      <c r="T150" s="27"/>
      <c r="U150" s="28">
        <f t="shared" si="11"/>
        <v>3.0399999999999996</v>
      </c>
    </row>
    <row r="151" spans="1:21" x14ac:dyDescent="0.25">
      <c r="B151" s="6" t="s">
        <v>51</v>
      </c>
      <c r="C151" s="29">
        <v>2406.7399999999998</v>
      </c>
      <c r="D151" s="30">
        <v>34.630000000000003</v>
      </c>
      <c r="E151" s="30">
        <v>40.04</v>
      </c>
      <c r="F151" s="30">
        <v>39.658999999999999</v>
      </c>
      <c r="G151" s="16">
        <v>7.01</v>
      </c>
      <c r="H151" s="16">
        <f t="shared" si="9"/>
        <v>35.934875000000005</v>
      </c>
      <c r="I151" s="5"/>
      <c r="J151" s="29">
        <v>2453.5408000000002</v>
      </c>
      <c r="K151" s="30">
        <v>34.621699999999997</v>
      </c>
      <c r="L151" s="30">
        <v>41.1858</v>
      </c>
      <c r="M151" s="30">
        <v>40.920699999999997</v>
      </c>
      <c r="N151" s="16">
        <v>23.293700000000001</v>
      </c>
      <c r="O151" s="16">
        <f t="shared" si="10"/>
        <v>36.229587499999994</v>
      </c>
      <c r="P151" s="7"/>
      <c r="Q151" s="8">
        <f>bdrate(C151:C154,D151:D154,J151:J154,K151:K154)</f>
        <v>8.9585063579549207E-3</v>
      </c>
      <c r="R151" s="8">
        <f>bdrate(C151:C154,E151:E154,J151:J154,L151:L154)</f>
        <v>-0.51590219778084356</v>
      </c>
      <c r="S151" s="8">
        <f>bdrate(C151:C154,F151:F154,J151:J154,M151:M154)</f>
        <v>-0.45134035870990141</v>
      </c>
      <c r="T151" s="25">
        <f>bdrate(C151:C154,H151:H154,J151:J154,O151:O154)</f>
        <v>-0.10476249927574144</v>
      </c>
      <c r="U151" s="28">
        <f t="shared" si="11"/>
        <v>2.3229243937232531</v>
      </c>
    </row>
    <row r="152" spans="1:21" x14ac:dyDescent="0.25">
      <c r="B152" s="9"/>
      <c r="C152" s="31">
        <v>1595.7</v>
      </c>
      <c r="D152" s="32">
        <v>33.283000000000001</v>
      </c>
      <c r="E152" s="32">
        <v>39.252000000000002</v>
      </c>
      <c r="F152" s="32">
        <v>38.533999999999999</v>
      </c>
      <c r="G152" s="18">
        <v>7.79</v>
      </c>
      <c r="H152" s="18">
        <f t="shared" si="9"/>
        <v>34.685500000000005</v>
      </c>
      <c r="I152" s="5"/>
      <c r="J152" s="31">
        <v>1624.6936000000001</v>
      </c>
      <c r="K152" s="32">
        <v>33.292299999999997</v>
      </c>
      <c r="L152" s="32">
        <v>40.527299999999997</v>
      </c>
      <c r="M152" s="32">
        <v>40.017800000000001</v>
      </c>
      <c r="N152" s="18">
        <v>26.680900000000001</v>
      </c>
      <c r="O152" s="18">
        <f t="shared" si="10"/>
        <v>35.0373625</v>
      </c>
      <c r="P152" s="7"/>
      <c r="Q152" s="10"/>
      <c r="R152" s="11"/>
      <c r="S152" s="11"/>
      <c r="T152" s="26"/>
      <c r="U152" s="28">
        <f t="shared" si="11"/>
        <v>2.4250192554557128</v>
      </c>
    </row>
    <row r="153" spans="1:21" x14ac:dyDescent="0.25">
      <c r="B153" s="9"/>
      <c r="C153" s="31">
        <v>990</v>
      </c>
      <c r="D153" s="32">
        <v>31.597999999999999</v>
      </c>
      <c r="E153" s="32">
        <v>38.25</v>
      </c>
      <c r="F153" s="32">
        <v>37.137</v>
      </c>
      <c r="G153" s="18">
        <v>8.73</v>
      </c>
      <c r="H153" s="18">
        <f t="shared" si="9"/>
        <v>33.121875000000003</v>
      </c>
      <c r="I153" s="5"/>
      <c r="J153" s="31">
        <v>1011.5064</v>
      </c>
      <c r="K153" s="32">
        <v>31.653600000000001</v>
      </c>
      <c r="L153" s="32">
        <v>39.775100000000002</v>
      </c>
      <c r="M153" s="32">
        <v>38.936500000000002</v>
      </c>
      <c r="N153" s="18">
        <v>32.082099999999997</v>
      </c>
      <c r="O153" s="18">
        <f t="shared" si="10"/>
        <v>33.579150000000006</v>
      </c>
      <c r="P153" s="7"/>
      <c r="Q153" s="10"/>
      <c r="R153" s="11"/>
      <c r="S153" s="11"/>
      <c r="T153" s="26"/>
      <c r="U153" s="28">
        <f t="shared" si="11"/>
        <v>2.6749255441008013</v>
      </c>
    </row>
    <row r="154" spans="1:21" ht="16.5" thickBot="1" x14ac:dyDescent="0.3">
      <c r="B154" s="12"/>
      <c r="C154" s="33">
        <v>588.91</v>
      </c>
      <c r="D154" s="34">
        <v>29.702000000000002</v>
      </c>
      <c r="E154" s="34">
        <v>36.796999999999997</v>
      </c>
      <c r="F154" s="34">
        <v>35.281999999999996</v>
      </c>
      <c r="G154" s="20">
        <v>9.8800000000000008</v>
      </c>
      <c r="H154" s="20">
        <f t="shared" si="9"/>
        <v>31.286375</v>
      </c>
      <c r="I154" s="5"/>
      <c r="J154" s="33">
        <v>607.57280000000003</v>
      </c>
      <c r="K154" s="34">
        <v>29.840399999999999</v>
      </c>
      <c r="L154" s="34">
        <v>38.741300000000003</v>
      </c>
      <c r="M154" s="34">
        <v>37.501300000000001</v>
      </c>
      <c r="N154" s="20">
        <v>40.163899999999998</v>
      </c>
      <c r="O154" s="20">
        <f t="shared" si="10"/>
        <v>31.910624999999996</v>
      </c>
      <c r="P154" s="7"/>
      <c r="Q154" s="13"/>
      <c r="R154" s="14"/>
      <c r="S154" s="14"/>
      <c r="T154" s="27"/>
      <c r="U154" s="28">
        <f t="shared" si="11"/>
        <v>3.0651720647773271</v>
      </c>
    </row>
    <row r="155" spans="1:21" x14ac:dyDescent="0.25">
      <c r="B155" s="6" t="s">
        <v>52</v>
      </c>
      <c r="C155" s="15">
        <v>2354.96</v>
      </c>
      <c r="D155" s="16">
        <v>33.758000000000003</v>
      </c>
      <c r="E155" s="16">
        <v>39.366999999999997</v>
      </c>
      <c r="F155" s="16">
        <v>41.999000000000002</v>
      </c>
      <c r="G155" s="16">
        <v>10.5</v>
      </c>
      <c r="H155" s="16">
        <f t="shared" si="9"/>
        <v>35.489249999999998</v>
      </c>
      <c r="I155" s="5"/>
      <c r="J155" s="15">
        <v>2417.2912000000001</v>
      </c>
      <c r="K155" s="16">
        <v>33.995899999999999</v>
      </c>
      <c r="L155" s="16">
        <v>40.386200000000002</v>
      </c>
      <c r="M155" s="16">
        <v>42.818800000000003</v>
      </c>
      <c r="N155" s="16">
        <v>25.220700000000001</v>
      </c>
      <c r="O155" s="16">
        <f t="shared" si="10"/>
        <v>35.897549999999995</v>
      </c>
      <c r="P155" s="7"/>
      <c r="Q155" s="8">
        <f>bdrate(C155:C158,D155:D158,J155:J158,K155:K158)</f>
        <v>-0.10705652890526296</v>
      </c>
      <c r="R155" s="8">
        <f>bdrate(C155:C158,E155:E158,J155:J158,L155:L158)</f>
        <v>-0.50577727623189361</v>
      </c>
      <c r="S155" s="8">
        <f>bdrate(C155:C158,F155:F158,J155:J158,M155:M158)</f>
        <v>-0.45809372911126334</v>
      </c>
      <c r="T155" s="25">
        <f>bdrate(C155:C158,H155:H158,J155:J158,O155:O158)</f>
        <v>-0.17504322022335295</v>
      </c>
      <c r="U155" s="28">
        <f t="shared" si="11"/>
        <v>1.4019714285714286</v>
      </c>
    </row>
    <row r="156" spans="1:21" x14ac:dyDescent="0.25">
      <c r="B156" s="9"/>
      <c r="C156" s="17">
        <v>1546.76</v>
      </c>
      <c r="D156" s="18">
        <v>33.075000000000003</v>
      </c>
      <c r="E156" s="18">
        <v>38.962000000000003</v>
      </c>
      <c r="F156" s="18">
        <v>41.636000000000003</v>
      </c>
      <c r="G156" s="18">
        <v>11.34</v>
      </c>
      <c r="H156" s="18">
        <f t="shared" si="9"/>
        <v>34.881000000000007</v>
      </c>
      <c r="I156" s="5"/>
      <c r="J156" s="17">
        <v>1581.3792000000001</v>
      </c>
      <c r="K156" s="18">
        <v>33.327199999999998</v>
      </c>
      <c r="L156" s="18">
        <v>39.917000000000002</v>
      </c>
      <c r="M156" s="18">
        <v>42.403399999999998</v>
      </c>
      <c r="N156" s="18">
        <v>29.259699999999999</v>
      </c>
      <c r="O156" s="18">
        <f t="shared" si="10"/>
        <v>35.285449999999997</v>
      </c>
      <c r="P156" s="7"/>
      <c r="Q156" s="10"/>
      <c r="R156" s="11"/>
      <c r="S156" s="11"/>
      <c r="T156" s="26"/>
      <c r="U156" s="28">
        <f t="shared" si="11"/>
        <v>1.5802204585537918</v>
      </c>
    </row>
    <row r="157" spans="1:21" x14ac:dyDescent="0.25">
      <c r="B157" s="9"/>
      <c r="C157" s="17">
        <v>928.63</v>
      </c>
      <c r="D157" s="18">
        <v>31.952999999999999</v>
      </c>
      <c r="E157" s="18">
        <v>38.369</v>
      </c>
      <c r="F157" s="18">
        <v>41.131</v>
      </c>
      <c r="G157" s="18">
        <v>12.36</v>
      </c>
      <c r="H157" s="18">
        <f t="shared" si="9"/>
        <v>33.902249999999995</v>
      </c>
      <c r="I157" s="5"/>
      <c r="J157" s="17">
        <v>988.18079999999998</v>
      </c>
      <c r="K157" s="18">
        <v>32.352400000000003</v>
      </c>
      <c r="L157" s="18">
        <v>39.246899999999997</v>
      </c>
      <c r="M157" s="18">
        <v>41.783700000000003</v>
      </c>
      <c r="N157" s="18">
        <v>36.663600000000002</v>
      </c>
      <c r="O157" s="18">
        <f t="shared" si="10"/>
        <v>34.393125000000005</v>
      </c>
      <c r="P157" s="7"/>
      <c r="Q157" s="10"/>
      <c r="R157" s="11"/>
      <c r="S157" s="11"/>
      <c r="T157" s="26"/>
      <c r="U157" s="28">
        <f t="shared" si="11"/>
        <v>1.9663106796116507</v>
      </c>
    </row>
    <row r="158" spans="1:21" ht="16.5" thickBot="1" x14ac:dyDescent="0.3">
      <c r="B158" s="12"/>
      <c r="C158" s="19">
        <v>470.64</v>
      </c>
      <c r="D158" s="20">
        <v>29.425999999999998</v>
      </c>
      <c r="E158" s="20">
        <v>37.195</v>
      </c>
      <c r="F158" s="20">
        <v>40.286000000000001</v>
      </c>
      <c r="G158" s="20">
        <v>13.65</v>
      </c>
      <c r="H158" s="20">
        <f t="shared" si="9"/>
        <v>31.754624999999997</v>
      </c>
      <c r="I158" s="5"/>
      <c r="J158" s="19">
        <v>582.39279999999997</v>
      </c>
      <c r="K158" s="20">
        <v>30.9251</v>
      </c>
      <c r="L158" s="20">
        <v>38.648800000000001</v>
      </c>
      <c r="M158" s="20">
        <v>41.290300000000002</v>
      </c>
      <c r="N158" s="20">
        <v>45.731699999999996</v>
      </c>
      <c r="O158" s="20">
        <f t="shared" si="10"/>
        <v>33.186212499999996</v>
      </c>
      <c r="P158" s="7"/>
      <c r="Q158" s="13"/>
      <c r="R158" s="14"/>
      <c r="S158" s="14"/>
      <c r="T158" s="27"/>
      <c r="U158" s="28">
        <f t="shared" si="11"/>
        <v>2.350307692307692</v>
      </c>
    </row>
    <row r="159" spans="1:21" x14ac:dyDescent="0.25">
      <c r="A159" s="6" t="s">
        <v>39</v>
      </c>
      <c r="B159" s="6" t="s">
        <v>53</v>
      </c>
      <c r="C159" s="15">
        <v>1219.5899999999999</v>
      </c>
      <c r="D159" s="16">
        <v>35.683999999999997</v>
      </c>
      <c r="E159" s="16">
        <v>39.335999999999999</v>
      </c>
      <c r="F159" s="16">
        <v>39.415999999999997</v>
      </c>
      <c r="G159" s="16">
        <v>26.64</v>
      </c>
      <c r="H159" s="16">
        <f t="shared" si="9"/>
        <v>36.606999999999999</v>
      </c>
      <c r="I159" s="5"/>
      <c r="J159" s="15">
        <v>1208.1912</v>
      </c>
      <c r="K159" s="16">
        <v>36.624899999999997</v>
      </c>
      <c r="L159" s="16">
        <v>40.985700000000001</v>
      </c>
      <c r="M159" s="16">
        <v>40.972999999999999</v>
      </c>
      <c r="N159" s="16">
        <v>76.312600000000003</v>
      </c>
      <c r="O159" s="16">
        <f t="shared" si="10"/>
        <v>37.7135125</v>
      </c>
      <c r="P159" s="7"/>
      <c r="Q159" s="8">
        <f>bdrate(C159:C162,D159:D162,J159:J162,K159:K162)</f>
        <v>-0.12269597907610608</v>
      </c>
      <c r="R159" s="8">
        <f>bdrate(C159:C162,E159:E162,J159:J162,L159:L162)</f>
        <v>-0.4367093590058666</v>
      </c>
      <c r="S159" s="8">
        <f>bdrate(C159:C162,F159:F162,J159:J162,M159:M162)</f>
        <v>-0.35839141555945642</v>
      </c>
      <c r="T159" s="25">
        <f>bdrate(C159:C162,H159:H162,J159:J162,O159:O162)</f>
        <v>-0.18798884593361764</v>
      </c>
      <c r="U159" s="28">
        <f t="shared" si="11"/>
        <v>1.8645870870870871</v>
      </c>
    </row>
    <row r="160" spans="1:21" x14ac:dyDescent="0.25">
      <c r="A160" s="9" t="s">
        <v>40</v>
      </c>
      <c r="B160" s="9"/>
      <c r="C160" s="17">
        <v>814</v>
      </c>
      <c r="D160" s="18">
        <v>34.180999999999997</v>
      </c>
      <c r="E160" s="18">
        <v>38.091999999999999</v>
      </c>
      <c r="F160" s="18">
        <v>38.1</v>
      </c>
      <c r="G160" s="18">
        <v>30.1</v>
      </c>
      <c r="H160" s="18">
        <f t="shared" si="9"/>
        <v>35.159750000000003</v>
      </c>
      <c r="I160" s="5"/>
      <c r="J160" s="17">
        <v>802.49599999999998</v>
      </c>
      <c r="K160" s="18">
        <v>34.831499999999998</v>
      </c>
      <c r="L160" s="18">
        <v>39.692500000000003</v>
      </c>
      <c r="M160" s="18">
        <v>39.470799999999997</v>
      </c>
      <c r="N160" s="18">
        <v>89.031300000000002</v>
      </c>
      <c r="O160" s="18">
        <f t="shared" si="10"/>
        <v>36.019037499999996</v>
      </c>
      <c r="P160" s="7"/>
      <c r="Q160" s="10"/>
      <c r="R160" s="11"/>
      <c r="S160" s="11"/>
      <c r="T160" s="26"/>
      <c r="U160" s="28">
        <f t="shared" si="11"/>
        <v>1.9578504983388703</v>
      </c>
    </row>
    <row r="161" spans="1:21" x14ac:dyDescent="0.25">
      <c r="B161" s="9"/>
      <c r="C161" s="17">
        <v>506.5</v>
      </c>
      <c r="D161" s="18">
        <v>32.540999999999997</v>
      </c>
      <c r="E161" s="18">
        <v>36.844999999999999</v>
      </c>
      <c r="F161" s="18">
        <v>36.755000000000003</v>
      </c>
      <c r="G161" s="18">
        <v>34.909999999999997</v>
      </c>
      <c r="H161" s="18">
        <f t="shared" si="9"/>
        <v>33.60575</v>
      </c>
      <c r="I161" s="5"/>
      <c r="J161" s="17">
        <v>500.29919999999998</v>
      </c>
      <c r="K161" s="18">
        <v>32.882800000000003</v>
      </c>
      <c r="L161" s="18">
        <v>38.351399999999998</v>
      </c>
      <c r="M161" s="18">
        <v>38.028300000000002</v>
      </c>
      <c r="N161" s="18">
        <v>103.3912</v>
      </c>
      <c r="O161" s="18">
        <f t="shared" si="10"/>
        <v>34.209562500000004</v>
      </c>
      <c r="P161" s="7"/>
      <c r="Q161" s="10"/>
      <c r="R161" s="11"/>
      <c r="S161" s="11"/>
      <c r="T161" s="26"/>
      <c r="U161" s="28">
        <f t="shared" si="11"/>
        <v>1.9616499570323691</v>
      </c>
    </row>
    <row r="162" spans="1:21" ht="16.5" thickBot="1" x14ac:dyDescent="0.3">
      <c r="B162" s="12"/>
      <c r="C162" s="19">
        <v>301.14</v>
      </c>
      <c r="D162" s="20">
        <v>30.785</v>
      </c>
      <c r="E162" s="20">
        <v>35.555999999999997</v>
      </c>
      <c r="F162" s="20">
        <v>35.049999999999997</v>
      </c>
      <c r="G162" s="20">
        <v>41.14</v>
      </c>
      <c r="H162" s="20">
        <f t="shared" si="9"/>
        <v>31.914500000000004</v>
      </c>
      <c r="I162" s="5"/>
      <c r="J162" s="19">
        <v>299.14640000000003</v>
      </c>
      <c r="K162" s="20">
        <v>30.900200000000002</v>
      </c>
      <c r="L162" s="20">
        <v>36.992899999999999</v>
      </c>
      <c r="M162" s="20">
        <v>36.4191</v>
      </c>
      <c r="N162" s="20">
        <v>125.2191</v>
      </c>
      <c r="O162" s="20">
        <f t="shared" si="10"/>
        <v>32.351649999999999</v>
      </c>
      <c r="P162" s="7"/>
      <c r="Q162" s="13"/>
      <c r="R162" s="14"/>
      <c r="S162" s="14"/>
      <c r="T162" s="27"/>
      <c r="U162" s="28">
        <f t="shared" si="11"/>
        <v>2.0437311618862419</v>
      </c>
    </row>
    <row r="163" spans="1:21" x14ac:dyDescent="0.25">
      <c r="B163" s="6" t="s">
        <v>54</v>
      </c>
      <c r="C163" s="15">
        <v>1222.5999999999999</v>
      </c>
      <c r="D163" s="16">
        <v>35.756</v>
      </c>
      <c r="E163" s="16">
        <v>40.219000000000001</v>
      </c>
      <c r="F163" s="16">
        <v>41.16</v>
      </c>
      <c r="G163" s="16">
        <v>33.979999999999997</v>
      </c>
      <c r="H163" s="16">
        <f t="shared" si="9"/>
        <v>36.989374999999995</v>
      </c>
      <c r="I163" s="5"/>
      <c r="J163" s="15">
        <v>1209.992</v>
      </c>
      <c r="K163" s="16">
        <v>36.023499999999999</v>
      </c>
      <c r="L163" s="16">
        <v>41.632800000000003</v>
      </c>
      <c r="M163" s="16">
        <v>42.619100000000003</v>
      </c>
      <c r="N163" s="16">
        <v>83.426000000000002</v>
      </c>
      <c r="O163" s="16">
        <f t="shared" si="10"/>
        <v>37.5491125</v>
      </c>
      <c r="P163" s="7"/>
      <c r="Q163" s="8">
        <f>bdrate(C163:C166,D163:D166,J163:J166,K163:K166)</f>
        <v>-0.12450692163002053</v>
      </c>
      <c r="R163" s="8">
        <f>bdrate(C163:C166,E163:E166,J163:J166,L163:L166)</f>
        <v>-0.5053051662187662</v>
      </c>
      <c r="S163" s="8">
        <f>bdrate(C163:C166,F163:F166,J163:J166,M163:M166)</f>
        <v>-0.47411572814672687</v>
      </c>
      <c r="T163" s="25">
        <f>bdrate(C163:C166,H163:H166,J163:J166,O163:O166)</f>
        <v>-0.20579480017182528</v>
      </c>
      <c r="U163" s="28">
        <f t="shared" si="11"/>
        <v>1.4551500882872281</v>
      </c>
    </row>
    <row r="164" spans="1:21" x14ac:dyDescent="0.25">
      <c r="B164" s="9"/>
      <c r="C164" s="17">
        <v>814.7</v>
      </c>
      <c r="D164" s="18">
        <v>34.125999999999998</v>
      </c>
      <c r="E164" s="18">
        <v>39.109000000000002</v>
      </c>
      <c r="F164" s="18">
        <v>39.951000000000001</v>
      </c>
      <c r="G164" s="18">
        <v>38.35</v>
      </c>
      <c r="H164" s="18">
        <f t="shared" si="9"/>
        <v>35.476999999999997</v>
      </c>
      <c r="I164" s="5"/>
      <c r="J164" s="17">
        <v>806.10559999999998</v>
      </c>
      <c r="K164" s="18">
        <v>34.513399999999997</v>
      </c>
      <c r="L164" s="18">
        <v>40.753900000000002</v>
      </c>
      <c r="M164" s="18">
        <v>41.5946</v>
      </c>
      <c r="N164" s="18">
        <v>97.040300000000002</v>
      </c>
      <c r="O164" s="18">
        <f t="shared" si="10"/>
        <v>36.1786125</v>
      </c>
      <c r="P164" s="7"/>
      <c r="Q164" s="10"/>
      <c r="R164" s="11"/>
      <c r="S164" s="11"/>
      <c r="T164" s="26"/>
      <c r="U164" s="28">
        <f t="shared" si="11"/>
        <v>1.5303859191655802</v>
      </c>
    </row>
    <row r="165" spans="1:21" x14ac:dyDescent="0.25">
      <c r="B165" s="9"/>
      <c r="C165" s="17">
        <v>506.13</v>
      </c>
      <c r="D165" s="18">
        <v>32.07</v>
      </c>
      <c r="E165" s="18">
        <v>37.762999999999998</v>
      </c>
      <c r="F165" s="18">
        <v>38.421999999999997</v>
      </c>
      <c r="G165" s="18">
        <v>43.36</v>
      </c>
      <c r="H165" s="18">
        <f t="shared" si="9"/>
        <v>33.575625000000002</v>
      </c>
      <c r="I165" s="5"/>
      <c r="J165" s="17">
        <v>505.16559999999998</v>
      </c>
      <c r="K165" s="18">
        <v>32.689399999999999</v>
      </c>
      <c r="L165" s="18">
        <v>39.655099999999997</v>
      </c>
      <c r="M165" s="18">
        <v>40.380800000000001</v>
      </c>
      <c r="N165" s="18">
        <v>115.14100000000001</v>
      </c>
      <c r="O165" s="18">
        <f t="shared" si="10"/>
        <v>34.521537500000001</v>
      </c>
      <c r="P165" s="7"/>
      <c r="Q165" s="10"/>
      <c r="R165" s="11"/>
      <c r="S165" s="11"/>
      <c r="T165" s="26"/>
      <c r="U165" s="28">
        <f t="shared" si="11"/>
        <v>1.6554658671586717</v>
      </c>
    </row>
    <row r="166" spans="1:21" ht="16.5" thickBot="1" x14ac:dyDescent="0.3">
      <c r="B166" s="12"/>
      <c r="C166" s="19">
        <v>299.62</v>
      </c>
      <c r="D166" s="20">
        <v>29.724</v>
      </c>
      <c r="E166" s="20">
        <v>36.246000000000002</v>
      </c>
      <c r="F166" s="20">
        <v>36.716000000000001</v>
      </c>
      <c r="G166" s="20">
        <v>50.94</v>
      </c>
      <c r="H166" s="20">
        <f t="shared" si="9"/>
        <v>31.413250000000001</v>
      </c>
      <c r="I166" s="5"/>
      <c r="J166" s="19">
        <v>305.024</v>
      </c>
      <c r="K166" s="20">
        <v>30.656600000000001</v>
      </c>
      <c r="L166" s="20">
        <v>38.560899999999997</v>
      </c>
      <c r="M166" s="20">
        <v>39.157200000000003</v>
      </c>
      <c r="N166" s="20">
        <v>137.36259999999999</v>
      </c>
      <c r="O166" s="20">
        <f t="shared" si="10"/>
        <v>32.707212500000004</v>
      </c>
      <c r="P166" s="7"/>
      <c r="Q166" s="13"/>
      <c r="R166" s="14"/>
      <c r="S166" s="14"/>
      <c r="T166" s="27"/>
      <c r="U166" s="28">
        <f t="shared" si="11"/>
        <v>1.696556733411857</v>
      </c>
    </row>
    <row r="167" spans="1:21" x14ac:dyDescent="0.25">
      <c r="B167" s="6" t="s">
        <v>55</v>
      </c>
      <c r="C167" s="15">
        <v>1094.3399999999999</v>
      </c>
      <c r="D167" s="16">
        <v>30.326000000000001</v>
      </c>
      <c r="E167" s="16">
        <v>35.884999999999998</v>
      </c>
      <c r="F167" s="16">
        <v>36.655000000000001</v>
      </c>
      <c r="G167" s="16">
        <v>32.64</v>
      </c>
      <c r="H167" s="16">
        <f t="shared" si="9"/>
        <v>31.812000000000001</v>
      </c>
      <c r="I167" s="5"/>
      <c r="J167" s="15">
        <v>1194.7704000000001</v>
      </c>
      <c r="K167" s="16">
        <v>30.976600000000001</v>
      </c>
      <c r="L167" s="16">
        <v>37.688200000000002</v>
      </c>
      <c r="M167" s="16">
        <v>38.532699999999998</v>
      </c>
      <c r="N167" s="16">
        <v>73.163600000000002</v>
      </c>
      <c r="O167" s="16">
        <f t="shared" si="10"/>
        <v>32.760062499999997</v>
      </c>
      <c r="P167" s="7"/>
      <c r="Q167" s="8">
        <f>bdrate(C167:C170,D167:D170,J167:J170,K167:K170)</f>
        <v>-0.12695955002323178</v>
      </c>
      <c r="R167" s="8">
        <f>bdrate(C167:C170,E167:E170,J167:J170,L167:L170)</f>
        <v>-0.56053712876163297</v>
      </c>
      <c r="S167" s="8">
        <f>bdrate(C167:C170,F167:F170,J167:J170,M167:M170)</f>
        <v>-0.5468252347035425</v>
      </c>
      <c r="T167" s="25">
        <f>bdrate(C167:C170,H167:H170,J167:J170,O167:O170)</f>
        <v>-0.21328434078142589</v>
      </c>
      <c r="U167" s="28">
        <f t="shared" si="11"/>
        <v>1.241531862745098</v>
      </c>
    </row>
    <row r="168" spans="1:21" x14ac:dyDescent="0.25">
      <c r="B168" s="9"/>
      <c r="C168" s="17">
        <v>727.41</v>
      </c>
      <c r="D168" s="18">
        <v>28.905999999999999</v>
      </c>
      <c r="E168" s="18">
        <v>35.128</v>
      </c>
      <c r="F168" s="18">
        <v>35.914000000000001</v>
      </c>
      <c r="G168" s="18">
        <v>37.14</v>
      </c>
      <c r="H168" s="18">
        <f t="shared" si="9"/>
        <v>30.559749999999994</v>
      </c>
      <c r="I168" s="5"/>
      <c r="J168" s="17">
        <v>793.48080000000004</v>
      </c>
      <c r="K168" s="18">
        <v>29.620999999999999</v>
      </c>
      <c r="L168" s="18">
        <v>36.777799999999999</v>
      </c>
      <c r="M168" s="18">
        <v>37.590299999999999</v>
      </c>
      <c r="N168" s="18">
        <v>85.019599999999997</v>
      </c>
      <c r="O168" s="18">
        <f t="shared" si="10"/>
        <v>31.511762500000003</v>
      </c>
      <c r="P168" s="7"/>
      <c r="Q168" s="10"/>
      <c r="R168" s="11"/>
      <c r="S168" s="11"/>
      <c r="T168" s="26"/>
      <c r="U168" s="28">
        <f t="shared" si="11"/>
        <v>1.2891653204092621</v>
      </c>
    </row>
    <row r="169" spans="1:21" x14ac:dyDescent="0.25">
      <c r="B169" s="9"/>
      <c r="C169" s="17">
        <v>450.57</v>
      </c>
      <c r="D169" s="18">
        <v>27.375</v>
      </c>
      <c r="E169" s="18">
        <v>34.332999999999998</v>
      </c>
      <c r="F169" s="18">
        <v>35.125</v>
      </c>
      <c r="G169" s="18">
        <v>42.45</v>
      </c>
      <c r="H169" s="18">
        <f t="shared" si="9"/>
        <v>29.2135</v>
      </c>
      <c r="I169" s="5"/>
      <c r="J169" s="17">
        <v>501.66399999999999</v>
      </c>
      <c r="K169" s="18">
        <v>28.145</v>
      </c>
      <c r="L169" s="18">
        <v>35.916400000000003</v>
      </c>
      <c r="M169" s="18">
        <v>36.664700000000003</v>
      </c>
      <c r="N169" s="18">
        <v>101.7501</v>
      </c>
      <c r="O169" s="18">
        <f t="shared" si="10"/>
        <v>30.181387500000003</v>
      </c>
      <c r="P169" s="7"/>
      <c r="Q169" s="10"/>
      <c r="R169" s="11"/>
      <c r="S169" s="11"/>
      <c r="T169" s="26"/>
      <c r="U169" s="28">
        <f t="shared" si="11"/>
        <v>1.3969399293286218</v>
      </c>
    </row>
    <row r="170" spans="1:21" ht="16.5" thickBot="1" x14ac:dyDescent="0.3">
      <c r="B170" s="12"/>
      <c r="C170" s="19">
        <v>252.87</v>
      </c>
      <c r="D170" s="20">
        <v>25.475999999999999</v>
      </c>
      <c r="E170" s="20">
        <v>33.154000000000003</v>
      </c>
      <c r="F170" s="20">
        <v>33.921999999999997</v>
      </c>
      <c r="G170" s="20">
        <v>50.8</v>
      </c>
      <c r="H170" s="20">
        <f t="shared" si="9"/>
        <v>27.491499999999998</v>
      </c>
      <c r="I170" s="5"/>
      <c r="J170" s="19">
        <v>303.64960000000002</v>
      </c>
      <c r="K170" s="20">
        <v>26.663</v>
      </c>
      <c r="L170" s="20">
        <v>35.081699999999998</v>
      </c>
      <c r="M170" s="20">
        <v>35.7879</v>
      </c>
      <c r="N170" s="20">
        <v>126.6785</v>
      </c>
      <c r="O170" s="20">
        <f t="shared" si="10"/>
        <v>28.855950000000004</v>
      </c>
      <c r="P170" s="7"/>
      <c r="Q170" s="13"/>
      <c r="R170" s="14"/>
      <c r="S170" s="14"/>
      <c r="T170" s="27"/>
      <c r="U170" s="28">
        <f t="shared" si="11"/>
        <v>1.4936712598425199</v>
      </c>
    </row>
    <row r="171" spans="1:21" x14ac:dyDescent="0.25">
      <c r="B171" s="6" t="s">
        <v>56</v>
      </c>
      <c r="C171" s="15">
        <v>1102.78</v>
      </c>
      <c r="D171" s="16">
        <v>33.298000000000002</v>
      </c>
      <c r="E171" s="16">
        <v>36.991</v>
      </c>
      <c r="F171" s="16">
        <v>38.706000000000003</v>
      </c>
      <c r="G171" s="16">
        <v>21.13</v>
      </c>
      <c r="H171" s="16">
        <f t="shared" si="9"/>
        <v>34.435625000000002</v>
      </c>
      <c r="I171" s="5"/>
      <c r="J171" s="15">
        <v>1191.5408</v>
      </c>
      <c r="K171" s="16">
        <v>32.977899999999998</v>
      </c>
      <c r="L171" s="16">
        <v>37.779499999999999</v>
      </c>
      <c r="M171" s="16">
        <v>39.386800000000001</v>
      </c>
      <c r="N171" s="16">
        <v>55.555599999999998</v>
      </c>
      <c r="O171" s="16">
        <f t="shared" si="10"/>
        <v>34.379212499999994</v>
      </c>
      <c r="P171" s="7"/>
      <c r="Q171" s="8">
        <f>bdrate(C171:C174,D171:D174,J171:J174,K171:K174)</f>
        <v>0.16564885144445829</v>
      </c>
      <c r="R171" s="8">
        <f>bdrate(C171:C174,E171:E174,J171:J174,L171:L174)</f>
        <v>-0.32821715330971224</v>
      </c>
      <c r="S171" s="8">
        <f>bdrate(C171:C174,F171:F174,J171:J174,M171:M174)</f>
        <v>-0.30827923708892335</v>
      </c>
      <c r="T171" s="25">
        <f>bdrate(C171:C174,H171:H174,J171:J174,O171:O174)</f>
        <v>6.2403114165848761E-2</v>
      </c>
      <c r="U171" s="28">
        <f t="shared" si="11"/>
        <v>1.6292285849503079</v>
      </c>
    </row>
    <row r="172" spans="1:21" x14ac:dyDescent="0.25">
      <c r="B172" s="9"/>
      <c r="C172" s="17">
        <v>743.15</v>
      </c>
      <c r="D172" s="18">
        <v>31.827999999999999</v>
      </c>
      <c r="E172" s="18">
        <v>36.003999999999998</v>
      </c>
      <c r="F172" s="18">
        <v>37.731000000000002</v>
      </c>
      <c r="G172" s="18">
        <v>23.86</v>
      </c>
      <c r="H172" s="18">
        <f t="shared" si="9"/>
        <v>33.087874999999997</v>
      </c>
      <c r="I172" s="5"/>
      <c r="J172" s="17">
        <v>792.62639999999999</v>
      </c>
      <c r="K172" s="18">
        <v>31.485499999999998</v>
      </c>
      <c r="L172" s="18">
        <v>36.9161</v>
      </c>
      <c r="M172" s="18">
        <v>38.542400000000001</v>
      </c>
      <c r="N172" s="18">
        <v>63.4786</v>
      </c>
      <c r="O172" s="18">
        <f t="shared" si="10"/>
        <v>33.046437499999996</v>
      </c>
      <c r="P172" s="7"/>
      <c r="Q172" s="10"/>
      <c r="R172" s="11"/>
      <c r="S172" s="11"/>
      <c r="T172" s="26"/>
      <c r="U172" s="28">
        <f t="shared" si="11"/>
        <v>1.6604610226320202</v>
      </c>
    </row>
    <row r="173" spans="1:21" x14ac:dyDescent="0.25">
      <c r="B173" s="9"/>
      <c r="C173" s="17">
        <v>473.35</v>
      </c>
      <c r="D173" s="18">
        <v>30.189</v>
      </c>
      <c r="E173" s="18">
        <v>35.023000000000003</v>
      </c>
      <c r="F173" s="18">
        <v>36.654000000000003</v>
      </c>
      <c r="G173" s="18">
        <v>26.93</v>
      </c>
      <c r="H173" s="18">
        <f t="shared" si="9"/>
        <v>31.601375000000001</v>
      </c>
      <c r="I173" s="5"/>
      <c r="J173" s="17">
        <v>495.64479999999998</v>
      </c>
      <c r="K173" s="18">
        <v>29.821899999999999</v>
      </c>
      <c r="L173" s="18">
        <v>36.000999999999998</v>
      </c>
      <c r="M173" s="18">
        <v>37.659799999999997</v>
      </c>
      <c r="N173" s="18">
        <v>73.691999999999993</v>
      </c>
      <c r="O173" s="18">
        <f t="shared" si="10"/>
        <v>31.574024999999999</v>
      </c>
      <c r="P173" s="7"/>
      <c r="Q173" s="10"/>
      <c r="R173" s="11"/>
      <c r="S173" s="11"/>
      <c r="T173" s="26"/>
      <c r="U173" s="28">
        <f t="shared" si="11"/>
        <v>1.7364277757148159</v>
      </c>
    </row>
    <row r="174" spans="1:21" ht="16.5" thickBot="1" x14ac:dyDescent="0.3">
      <c r="B174" s="12"/>
      <c r="C174" s="19">
        <v>287.52</v>
      </c>
      <c r="D174" s="20">
        <v>28.5</v>
      </c>
      <c r="E174" s="20">
        <v>33.872999999999998</v>
      </c>
      <c r="F174" s="20">
        <v>35.369</v>
      </c>
      <c r="G174" s="20">
        <v>31.12</v>
      </c>
      <c r="H174" s="20">
        <f t="shared" si="9"/>
        <v>30.030249999999999</v>
      </c>
      <c r="I174" s="5"/>
      <c r="J174" s="19">
        <v>298.5856</v>
      </c>
      <c r="K174" s="20">
        <v>28.2056</v>
      </c>
      <c r="L174" s="20">
        <v>35.129600000000003</v>
      </c>
      <c r="M174" s="20">
        <v>36.782400000000003</v>
      </c>
      <c r="N174" s="20">
        <v>89.445400000000006</v>
      </c>
      <c r="O174" s="20">
        <f t="shared" si="10"/>
        <v>30.1432</v>
      </c>
      <c r="P174" s="7"/>
      <c r="Q174" s="13"/>
      <c r="R174" s="14"/>
      <c r="S174" s="14"/>
      <c r="T174" s="27"/>
      <c r="U174" s="28">
        <f t="shared" si="11"/>
        <v>1.8742095115681234</v>
      </c>
    </row>
    <row r="175" spans="1:21" x14ac:dyDescent="0.25">
      <c r="A175" s="6" t="s">
        <v>41</v>
      </c>
      <c r="B175" s="6" t="s">
        <v>57</v>
      </c>
      <c r="C175" s="15">
        <v>638.83000000000004</v>
      </c>
      <c r="D175" s="16">
        <v>35.628</v>
      </c>
      <c r="E175" s="16">
        <v>40.061999999999998</v>
      </c>
      <c r="F175" s="16">
        <v>38.817</v>
      </c>
      <c r="G175" s="16">
        <v>48.49</v>
      </c>
      <c r="H175" s="16">
        <f t="shared" si="9"/>
        <v>36.580874999999999</v>
      </c>
      <c r="I175" s="5"/>
      <c r="J175" s="15">
        <v>602.38720000000001</v>
      </c>
      <c r="K175" s="16">
        <v>35.206299999999999</v>
      </c>
      <c r="L175" s="16">
        <v>40.945099999999996</v>
      </c>
      <c r="M175" s="16">
        <v>39.336399999999998</v>
      </c>
      <c r="N175" s="16">
        <v>209.20500000000001</v>
      </c>
      <c r="O175" s="16">
        <f t="shared" si="10"/>
        <v>36.439912499999998</v>
      </c>
      <c r="P175" s="7"/>
      <c r="Q175" s="8">
        <f>bdrate(C175:C178,D175:D178,J175:J178,K175:K178)</f>
        <v>6.0358864583681449E-2</v>
      </c>
      <c r="R175" s="8">
        <f>bdrate(C175:C178,E175:E178,J175:J178,L175:L178)</f>
        <v>-0.38030555473037864</v>
      </c>
      <c r="S175" s="8">
        <f>bdrate(C175:C178,F175:F178,J175:J178,M175:M178)</f>
        <v>-0.29421564469182393</v>
      </c>
      <c r="T175" s="25">
        <f>bdrate(C175:C178,H175:H178,J175:J178,O175:O178)</f>
        <v>-3.0448302778608105E-2</v>
      </c>
      <c r="U175" s="28">
        <f t="shared" si="11"/>
        <v>3.3143947205609403</v>
      </c>
    </row>
    <row r="176" spans="1:21" x14ac:dyDescent="0.25">
      <c r="A176" s="9" t="s">
        <v>42</v>
      </c>
      <c r="B176" s="9"/>
      <c r="C176" s="17">
        <v>424.86</v>
      </c>
      <c r="D176" s="18">
        <v>33.762</v>
      </c>
      <c r="E176" s="18">
        <v>38.762999999999998</v>
      </c>
      <c r="F176" s="18">
        <v>37.326000000000001</v>
      </c>
      <c r="G176" s="18">
        <v>55.64</v>
      </c>
      <c r="H176" s="18">
        <f t="shared" si="9"/>
        <v>34.832625</v>
      </c>
      <c r="I176" s="5"/>
      <c r="J176" s="17">
        <v>401.62880000000001</v>
      </c>
      <c r="K176" s="18">
        <v>33.321599999999997</v>
      </c>
      <c r="L176" s="18">
        <v>39.787500000000001</v>
      </c>
      <c r="M176" s="18">
        <v>38.033999999999999</v>
      </c>
      <c r="N176" s="18">
        <v>239.12</v>
      </c>
      <c r="O176" s="18">
        <f t="shared" si="10"/>
        <v>34.718887500000001</v>
      </c>
      <c r="P176" s="7"/>
      <c r="Q176" s="10"/>
      <c r="R176" s="11"/>
      <c r="S176" s="11"/>
      <c r="T176" s="26"/>
      <c r="U176" s="28">
        <f t="shared" si="11"/>
        <v>3.2976276060388212</v>
      </c>
    </row>
    <row r="177" spans="1:21" x14ac:dyDescent="0.25">
      <c r="B177" s="9"/>
      <c r="C177" s="17">
        <v>265.52999999999997</v>
      </c>
      <c r="D177" s="18">
        <v>31.783999999999999</v>
      </c>
      <c r="E177" s="18">
        <v>37.473999999999997</v>
      </c>
      <c r="F177" s="18">
        <v>35.783000000000001</v>
      </c>
      <c r="G177" s="18">
        <v>65.150000000000006</v>
      </c>
      <c r="H177" s="18">
        <f t="shared" si="9"/>
        <v>32.995125000000002</v>
      </c>
      <c r="I177" s="5"/>
      <c r="J177" s="17">
        <v>250.62639999999999</v>
      </c>
      <c r="K177" s="18">
        <v>31.285499999999999</v>
      </c>
      <c r="L177" s="18">
        <v>38.603700000000003</v>
      </c>
      <c r="M177" s="18">
        <v>36.752299999999998</v>
      </c>
      <c r="N177" s="18">
        <v>281.21480000000003</v>
      </c>
      <c r="O177" s="18">
        <f t="shared" si="10"/>
        <v>32.883625000000002</v>
      </c>
      <c r="P177" s="7"/>
      <c r="Q177" s="10"/>
      <c r="R177" s="11"/>
      <c r="S177" s="11"/>
      <c r="T177" s="26"/>
      <c r="U177" s="28">
        <f t="shared" si="11"/>
        <v>3.3164205679201841</v>
      </c>
    </row>
    <row r="178" spans="1:21" ht="16.5" thickBot="1" x14ac:dyDescent="0.3">
      <c r="B178" s="12"/>
      <c r="C178" s="19">
        <v>126.32</v>
      </c>
      <c r="D178" s="20">
        <v>28.908999999999999</v>
      </c>
      <c r="E178" s="20">
        <v>35.421999999999997</v>
      </c>
      <c r="F178" s="20">
        <v>33.283999999999999</v>
      </c>
      <c r="G178" s="20">
        <v>84.79</v>
      </c>
      <c r="H178" s="20">
        <f t="shared" si="9"/>
        <v>30.27</v>
      </c>
      <c r="I178" s="5"/>
      <c r="J178" s="19">
        <v>120.3904</v>
      </c>
      <c r="K178" s="20">
        <v>28.382000000000001</v>
      </c>
      <c r="L178" s="20">
        <v>36.9709</v>
      </c>
      <c r="M178" s="20">
        <v>34.804499999999997</v>
      </c>
      <c r="N178" s="20">
        <v>368.45979999999997</v>
      </c>
      <c r="O178" s="20">
        <f t="shared" si="10"/>
        <v>30.258424999999999</v>
      </c>
      <c r="P178" s="7"/>
      <c r="Q178" s="13"/>
      <c r="R178" s="14"/>
      <c r="S178" s="14"/>
      <c r="T178" s="27"/>
      <c r="U178" s="28">
        <f t="shared" si="11"/>
        <v>3.3455572591107434</v>
      </c>
    </row>
    <row r="179" spans="1:21" x14ac:dyDescent="0.25">
      <c r="B179" s="6" t="s">
        <v>58</v>
      </c>
      <c r="C179" s="15">
        <v>550.79999999999995</v>
      </c>
      <c r="D179" s="16">
        <v>33.369</v>
      </c>
      <c r="E179" s="16">
        <v>40.116</v>
      </c>
      <c r="F179" s="16">
        <v>41</v>
      </c>
      <c r="G179" s="16">
        <v>89.86</v>
      </c>
      <c r="H179" s="16">
        <f t="shared" si="9"/>
        <v>35.166249999999998</v>
      </c>
      <c r="I179" s="5"/>
      <c r="J179" s="15">
        <v>597.68079999999998</v>
      </c>
      <c r="K179" s="16">
        <v>34.110300000000002</v>
      </c>
      <c r="L179" s="16">
        <v>42.077500000000001</v>
      </c>
      <c r="M179" s="16">
        <v>43.009900000000002</v>
      </c>
      <c r="N179" s="16">
        <v>265.25200000000001</v>
      </c>
      <c r="O179" s="16">
        <f t="shared" si="10"/>
        <v>36.218650000000004</v>
      </c>
      <c r="P179" s="7"/>
      <c r="Q179" s="8">
        <f>bdrate(C179:C182,D179:D182,J179:J182,K179:K182)</f>
        <v>-0.14839534407383748</v>
      </c>
      <c r="R179" s="8">
        <f>bdrate(C179:C182,E179:E182,J179:J182,L179:L182)</f>
        <v>-0.53966785007875417</v>
      </c>
      <c r="S179" s="8">
        <f>bdrate(C179:C182,F179:F182,J179:J182,M179:M182)</f>
        <v>-0.51850130908738001</v>
      </c>
      <c r="T179" s="25">
        <f>bdrate(C179:C182,H179:H182,J179:J182,O179:O182)</f>
        <v>-0.22000571722563311</v>
      </c>
      <c r="U179" s="28">
        <f t="shared" si="11"/>
        <v>1.9518361896283107</v>
      </c>
    </row>
    <row r="180" spans="1:21" x14ac:dyDescent="0.25">
      <c r="B180" s="9"/>
      <c r="C180" s="17">
        <v>363.4</v>
      </c>
      <c r="D180" s="18">
        <v>31.995000000000001</v>
      </c>
      <c r="E180" s="18">
        <v>39.435000000000002</v>
      </c>
      <c r="F180" s="18">
        <v>40.380000000000003</v>
      </c>
      <c r="G180" s="18">
        <v>102.83</v>
      </c>
      <c r="H180" s="18">
        <f t="shared" si="9"/>
        <v>33.973125000000003</v>
      </c>
      <c r="I180" s="5"/>
      <c r="J180" s="17">
        <v>397.27359999999999</v>
      </c>
      <c r="K180" s="18">
        <v>32.797499999999999</v>
      </c>
      <c r="L180" s="18">
        <v>41.1892</v>
      </c>
      <c r="M180" s="18">
        <v>42.052599999999998</v>
      </c>
      <c r="N180" s="18">
        <v>305.34350000000001</v>
      </c>
      <c r="O180" s="18">
        <f t="shared" si="10"/>
        <v>35.003349999999998</v>
      </c>
      <c r="P180" s="7"/>
      <c r="Q180" s="10"/>
      <c r="R180" s="11"/>
      <c r="S180" s="11"/>
      <c r="T180" s="26"/>
      <c r="U180" s="28">
        <f t="shared" si="11"/>
        <v>1.9694009530292718</v>
      </c>
    </row>
    <row r="181" spans="1:21" x14ac:dyDescent="0.25">
      <c r="B181" s="9"/>
      <c r="C181" s="17">
        <v>224.94</v>
      </c>
      <c r="D181" s="18">
        <v>30.398</v>
      </c>
      <c r="E181" s="18">
        <v>38.75</v>
      </c>
      <c r="F181" s="18">
        <v>39.542999999999999</v>
      </c>
      <c r="G181" s="18">
        <v>116.19</v>
      </c>
      <c r="H181" s="18">
        <f t="shared" si="9"/>
        <v>32.585124999999998</v>
      </c>
      <c r="I181" s="5"/>
      <c r="J181" s="17">
        <v>248.05119999999999</v>
      </c>
      <c r="K181" s="18">
        <v>31.259499999999999</v>
      </c>
      <c r="L181" s="18">
        <v>40.165999999999997</v>
      </c>
      <c r="M181" s="18">
        <v>40.994900000000001</v>
      </c>
      <c r="N181" s="18">
        <v>373.36649999999997</v>
      </c>
      <c r="O181" s="18">
        <f t="shared" si="10"/>
        <v>33.589737499999998</v>
      </c>
      <c r="P181" s="7"/>
      <c r="Q181" s="10"/>
      <c r="R181" s="11"/>
      <c r="S181" s="11"/>
      <c r="T181" s="26"/>
      <c r="U181" s="28">
        <f t="shared" si="11"/>
        <v>2.2134133746449778</v>
      </c>
    </row>
    <row r="182" spans="1:21" ht="16.5" thickBot="1" x14ac:dyDescent="0.3">
      <c r="B182" s="12"/>
      <c r="C182" s="19">
        <v>103.24</v>
      </c>
      <c r="D182" s="20">
        <v>27.494</v>
      </c>
      <c r="E182" s="20">
        <v>37.664000000000001</v>
      </c>
      <c r="F182" s="20">
        <v>38.433999999999997</v>
      </c>
      <c r="G182" s="20">
        <v>149.07</v>
      </c>
      <c r="H182" s="20">
        <f t="shared" si="9"/>
        <v>30.132749999999998</v>
      </c>
      <c r="I182" s="5"/>
      <c r="J182" s="19">
        <v>118.4312</v>
      </c>
      <c r="K182" s="20">
        <v>28.730499999999999</v>
      </c>
      <c r="L182" s="20">
        <v>38.855800000000002</v>
      </c>
      <c r="M182" s="20">
        <v>39.7042</v>
      </c>
      <c r="N182" s="20">
        <v>519.9307</v>
      </c>
      <c r="O182" s="20">
        <f t="shared" si="10"/>
        <v>31.367874999999998</v>
      </c>
      <c r="P182" s="7"/>
      <c r="Q182" s="13"/>
      <c r="R182" s="14"/>
      <c r="S182" s="14"/>
      <c r="T182" s="27"/>
      <c r="U182" s="28">
        <f t="shared" si="11"/>
        <v>2.4878292077547464</v>
      </c>
    </row>
    <row r="183" spans="1:21" x14ac:dyDescent="0.25">
      <c r="B183" s="6" t="s">
        <v>59</v>
      </c>
      <c r="C183" s="29">
        <v>626.38</v>
      </c>
      <c r="D183" s="30">
        <v>33.572000000000003</v>
      </c>
      <c r="E183" s="30">
        <v>37.713000000000001</v>
      </c>
      <c r="F183" s="30">
        <v>38.298000000000002</v>
      </c>
      <c r="G183" s="16">
        <v>68.19</v>
      </c>
      <c r="H183" s="16">
        <f t="shared" si="9"/>
        <v>34.680374999999998</v>
      </c>
      <c r="I183" s="5"/>
      <c r="J183" s="29">
        <v>595.20479999999998</v>
      </c>
      <c r="K183" s="30">
        <v>33.476199999999999</v>
      </c>
      <c r="L183" s="30">
        <v>38.916899999999998</v>
      </c>
      <c r="M183" s="30">
        <v>39.798000000000002</v>
      </c>
      <c r="N183" s="16">
        <v>246.54830000000001</v>
      </c>
      <c r="O183" s="16">
        <f t="shared" si="10"/>
        <v>34.946512499999997</v>
      </c>
      <c r="P183" s="7"/>
      <c r="Q183" s="8">
        <f>bdrate(C183:C186,D183:D186,J183:J186,K183:K186)</f>
        <v>-7.5183072431080578E-2</v>
      </c>
      <c r="R183" s="8">
        <f>bdrate(C183:C186,E183:E186,J183:J186,L183:L186)</f>
        <v>-0.44362883027932598</v>
      </c>
      <c r="S183" s="8">
        <f>bdrate(C183:C186,F183:F186,J183:J186,M183:M186)</f>
        <v>-0.5024434923276675</v>
      </c>
      <c r="T183" s="25">
        <f>bdrate(C183:C186,H183:H186,J183:J186,O183:O186)</f>
        <v>-0.1634962370268479</v>
      </c>
      <c r="U183" s="28">
        <f t="shared" si="11"/>
        <v>2.615607860390087</v>
      </c>
    </row>
    <row r="184" spans="1:21" x14ac:dyDescent="0.25">
      <c r="B184" s="9"/>
      <c r="C184" s="31">
        <v>417.03</v>
      </c>
      <c r="D184" s="32">
        <v>31.931999999999999</v>
      </c>
      <c r="E184" s="32">
        <v>36.661000000000001</v>
      </c>
      <c r="F184" s="32">
        <v>37.170999999999999</v>
      </c>
      <c r="G184" s="18">
        <v>78.739999999999995</v>
      </c>
      <c r="H184" s="18">
        <f t="shared" si="9"/>
        <v>33.177999999999997</v>
      </c>
      <c r="I184" s="5"/>
      <c r="J184" s="31">
        <v>395.45119999999997</v>
      </c>
      <c r="K184" s="32">
        <v>31.927800000000001</v>
      </c>
      <c r="L184" s="32">
        <v>37.838700000000003</v>
      </c>
      <c r="M184" s="32">
        <v>38.6601</v>
      </c>
      <c r="N184" s="18">
        <v>288.85039999999998</v>
      </c>
      <c r="O184" s="18">
        <f t="shared" si="10"/>
        <v>33.508200000000002</v>
      </c>
      <c r="P184" s="7"/>
      <c r="Q184" s="10"/>
      <c r="R184" s="11"/>
      <c r="S184" s="11"/>
      <c r="T184" s="26"/>
      <c r="U184" s="28">
        <f t="shared" si="11"/>
        <v>2.6684074168148335</v>
      </c>
    </row>
    <row r="185" spans="1:21" x14ac:dyDescent="0.25">
      <c r="B185" s="9"/>
      <c r="C185" s="31">
        <v>259.44</v>
      </c>
      <c r="D185" s="32">
        <v>30.143999999999998</v>
      </c>
      <c r="E185" s="32">
        <v>35.512</v>
      </c>
      <c r="F185" s="32">
        <v>36.017000000000003</v>
      </c>
      <c r="G185" s="18">
        <v>90.29</v>
      </c>
      <c r="H185" s="18">
        <f t="shared" si="9"/>
        <v>31.549124999999997</v>
      </c>
      <c r="I185" s="5"/>
      <c r="J185" s="31">
        <v>249.11760000000001</v>
      </c>
      <c r="K185" s="32">
        <v>30.310300000000002</v>
      </c>
      <c r="L185" s="32">
        <v>36.780200000000001</v>
      </c>
      <c r="M185" s="32">
        <v>37.596600000000002</v>
      </c>
      <c r="N185" s="18">
        <v>330.25099999999998</v>
      </c>
      <c r="O185" s="18">
        <f t="shared" si="10"/>
        <v>32.029825000000002</v>
      </c>
      <c r="P185" s="7"/>
      <c r="Q185" s="10"/>
      <c r="R185" s="11"/>
      <c r="S185" s="11"/>
      <c r="T185" s="26"/>
      <c r="U185" s="28">
        <f t="shared" si="11"/>
        <v>2.6576697308672048</v>
      </c>
    </row>
    <row r="186" spans="1:21" ht="16.5" thickBot="1" x14ac:dyDescent="0.3">
      <c r="B186" s="12"/>
      <c r="C186" s="33">
        <v>121.91</v>
      </c>
      <c r="D186" s="34">
        <v>27.5</v>
      </c>
      <c r="E186" s="34">
        <v>33.817</v>
      </c>
      <c r="F186" s="34">
        <v>34.195999999999998</v>
      </c>
      <c r="G186" s="20">
        <v>115.29</v>
      </c>
      <c r="H186" s="20">
        <f t="shared" si="9"/>
        <v>29.126625000000001</v>
      </c>
      <c r="I186" s="5"/>
      <c r="J186" s="33">
        <v>120.19840000000001</v>
      </c>
      <c r="K186" s="34">
        <v>27.8979</v>
      </c>
      <c r="L186" s="34">
        <v>35.310600000000001</v>
      </c>
      <c r="M186" s="34">
        <v>35.991599999999998</v>
      </c>
      <c r="N186" s="20">
        <v>433.2756</v>
      </c>
      <c r="O186" s="20">
        <f t="shared" si="10"/>
        <v>29.836200000000002</v>
      </c>
      <c r="P186" s="7"/>
      <c r="Q186" s="13"/>
      <c r="R186" s="14"/>
      <c r="S186" s="14"/>
      <c r="T186" s="27"/>
      <c r="U186" s="28">
        <f t="shared" si="11"/>
        <v>2.7581368722352324</v>
      </c>
    </row>
    <row r="187" spans="1:21" x14ac:dyDescent="0.25">
      <c r="B187" s="6" t="s">
        <v>60</v>
      </c>
      <c r="C187" s="15">
        <v>574.29999999999995</v>
      </c>
      <c r="D187" s="16">
        <v>35.061</v>
      </c>
      <c r="E187" s="16">
        <v>38.192999999999998</v>
      </c>
      <c r="F187" s="16">
        <v>39.396999999999998</v>
      </c>
      <c r="G187" s="16">
        <v>40.31</v>
      </c>
      <c r="H187" s="16">
        <f t="shared" si="9"/>
        <v>35.994499999999995</v>
      </c>
      <c r="I187" s="5"/>
      <c r="J187" s="15">
        <v>593.00080000000003</v>
      </c>
      <c r="K187" s="16">
        <v>34.526899999999998</v>
      </c>
      <c r="L187" s="16">
        <v>38.6858</v>
      </c>
      <c r="M187" s="16">
        <v>39.837600000000002</v>
      </c>
      <c r="N187" s="16">
        <v>144.57830000000001</v>
      </c>
      <c r="O187" s="16">
        <f t="shared" si="10"/>
        <v>35.710599999999999</v>
      </c>
      <c r="P187" s="7"/>
      <c r="Q187" s="8">
        <f>bdrate(C187:C190,D187:D190,J187:J190,K187:K190)</f>
        <v>0.15725477237837615</v>
      </c>
      <c r="R187" s="8">
        <f>bdrate(C187:C190,E187:E190,J187:J190,L187:L190)</f>
        <v>-0.23222181377772488</v>
      </c>
      <c r="S187" s="8">
        <f>bdrate(C187:C190,F187:F190,J187:J190,M187:M190)</f>
        <v>-0.22417896018621242</v>
      </c>
      <c r="T187" s="25">
        <f>bdrate(C187:C190,H187:H190,J187:J190,O187:O190)</f>
        <v>6.9111831819807179E-2</v>
      </c>
      <c r="U187" s="28">
        <f t="shared" si="11"/>
        <v>2.5866608781939968</v>
      </c>
    </row>
    <row r="188" spans="1:21" x14ac:dyDescent="0.25">
      <c r="B188" s="9"/>
      <c r="C188" s="17">
        <v>385.43</v>
      </c>
      <c r="D188" s="18">
        <v>33.192</v>
      </c>
      <c r="E188" s="18">
        <v>36.924999999999997</v>
      </c>
      <c r="F188" s="18">
        <v>38.122999999999998</v>
      </c>
      <c r="G188" s="18">
        <v>45.89</v>
      </c>
      <c r="H188" s="18">
        <f t="shared" si="9"/>
        <v>34.274999999999999</v>
      </c>
      <c r="I188" s="5"/>
      <c r="J188" s="17">
        <v>388.85359999999997</v>
      </c>
      <c r="K188" s="18">
        <v>32.585999999999999</v>
      </c>
      <c r="L188" s="18">
        <v>37.506500000000003</v>
      </c>
      <c r="M188" s="18">
        <v>38.673400000000001</v>
      </c>
      <c r="N188" s="18">
        <v>167.22409999999999</v>
      </c>
      <c r="O188" s="18">
        <f t="shared" si="10"/>
        <v>33.961987499999999</v>
      </c>
      <c r="P188" s="7"/>
      <c r="Q188" s="10"/>
      <c r="R188" s="11"/>
      <c r="S188" s="11"/>
      <c r="T188" s="26"/>
      <c r="U188" s="28">
        <f t="shared" si="11"/>
        <v>2.6440204837655261</v>
      </c>
    </row>
    <row r="189" spans="1:21" x14ac:dyDescent="0.25">
      <c r="B189" s="9"/>
      <c r="C189" s="17">
        <v>242.11</v>
      </c>
      <c r="D189" s="18">
        <v>31.213000000000001</v>
      </c>
      <c r="E189" s="18">
        <v>35.561999999999998</v>
      </c>
      <c r="F189" s="18">
        <v>36.713999999999999</v>
      </c>
      <c r="G189" s="18">
        <v>54.48</v>
      </c>
      <c r="H189" s="18">
        <f t="shared" si="9"/>
        <v>32.444250000000004</v>
      </c>
      <c r="I189" s="5"/>
      <c r="J189" s="17">
        <v>245.85919999999999</v>
      </c>
      <c r="K189" s="18">
        <v>30.694900000000001</v>
      </c>
      <c r="L189" s="18">
        <v>36.348500000000001</v>
      </c>
      <c r="M189" s="18">
        <v>37.497399999999999</v>
      </c>
      <c r="N189" s="18">
        <v>200.4008</v>
      </c>
      <c r="O189" s="18">
        <f t="shared" si="10"/>
        <v>32.251912500000003</v>
      </c>
      <c r="P189" s="7"/>
      <c r="Q189" s="10"/>
      <c r="R189" s="11"/>
      <c r="S189" s="11"/>
      <c r="T189" s="26"/>
      <c r="U189" s="28">
        <f t="shared" si="11"/>
        <v>2.6784287812041119</v>
      </c>
    </row>
    <row r="190" spans="1:21" ht="16.5" thickBot="1" x14ac:dyDescent="0.3">
      <c r="B190" s="12"/>
      <c r="C190" s="19">
        <v>116</v>
      </c>
      <c r="D190" s="20">
        <v>28.513000000000002</v>
      </c>
      <c r="E190" s="20">
        <v>33.505000000000003</v>
      </c>
      <c r="F190" s="20">
        <v>34.521999999999998</v>
      </c>
      <c r="G190" s="20">
        <v>72.03</v>
      </c>
      <c r="H190" s="20">
        <f t="shared" si="9"/>
        <v>29.888124999999999</v>
      </c>
      <c r="I190" s="5"/>
      <c r="J190" s="19">
        <v>117.93519999999999</v>
      </c>
      <c r="K190" s="20">
        <v>28.082999999999998</v>
      </c>
      <c r="L190" s="20">
        <v>34.860999999999997</v>
      </c>
      <c r="M190" s="20">
        <v>35.972299999999997</v>
      </c>
      <c r="N190" s="20">
        <v>266.90390000000002</v>
      </c>
      <c r="O190" s="20">
        <f t="shared" si="10"/>
        <v>29.916412499999996</v>
      </c>
      <c r="P190" s="7"/>
      <c r="Q190" s="13"/>
      <c r="R190" s="14"/>
      <c r="S190" s="14"/>
      <c r="T190" s="27"/>
      <c r="U190" s="28">
        <f t="shared" si="11"/>
        <v>2.7054546716645844</v>
      </c>
    </row>
    <row r="191" spans="1:21" x14ac:dyDescent="0.25">
      <c r="A191" s="6" t="s">
        <v>43</v>
      </c>
      <c r="B191" s="6" t="s">
        <v>61</v>
      </c>
      <c r="C191" s="15">
        <v>1384.74</v>
      </c>
      <c r="D191" s="16">
        <v>41.320999999999998</v>
      </c>
      <c r="E191" s="16">
        <v>45.314999999999998</v>
      </c>
      <c r="F191" s="16">
        <v>46.637999999999998</v>
      </c>
      <c r="G191" s="16">
        <v>27.01</v>
      </c>
      <c r="H191" s="16">
        <f t="shared" si="9"/>
        <v>42.484874999999995</v>
      </c>
      <c r="I191" s="5"/>
      <c r="J191" s="15">
        <v>1506.4848</v>
      </c>
      <c r="K191" s="16">
        <v>41.904600000000002</v>
      </c>
      <c r="L191" s="16">
        <v>46.515099999999997</v>
      </c>
      <c r="M191" s="16">
        <v>47.802999999999997</v>
      </c>
      <c r="N191" s="16">
        <v>58.156399999999998</v>
      </c>
      <c r="O191" s="16">
        <f t="shared" si="10"/>
        <v>43.2182125</v>
      </c>
      <c r="P191" s="7"/>
      <c r="Q191" s="8">
        <f>bdrate(C191:C194,D191:D194,J191:J194,K191:K194)</f>
        <v>-5.9285851000906553E-2</v>
      </c>
      <c r="R191" s="8">
        <f>bdrate(C191:C194,E191:E194,J191:J194,L191:L194)</f>
        <v>-0.34464529970866264</v>
      </c>
      <c r="S191" s="8">
        <f>bdrate(C191:C194,F191:F194,J191:J194,M191:M194)</f>
        <v>-0.30257593237815539</v>
      </c>
      <c r="T191" s="25">
        <f>bdrate(C191:C194,H191:H194,J191:J194,O191:O194)</f>
        <v>-0.11821465011461352</v>
      </c>
      <c r="U191" s="28">
        <f t="shared" si="11"/>
        <v>1.1531432802665678</v>
      </c>
    </row>
    <row r="192" spans="1:21" x14ac:dyDescent="0.25">
      <c r="A192" s="9" t="s">
        <v>44</v>
      </c>
      <c r="B192" s="9"/>
      <c r="C192" s="17">
        <v>912.83</v>
      </c>
      <c r="D192" s="18">
        <v>40.204000000000001</v>
      </c>
      <c r="E192" s="18">
        <v>44.314</v>
      </c>
      <c r="F192" s="18">
        <v>45.683999999999997</v>
      </c>
      <c r="G192" s="18">
        <v>29.72</v>
      </c>
      <c r="H192" s="18">
        <f t="shared" si="9"/>
        <v>41.402749999999997</v>
      </c>
      <c r="I192" s="5"/>
      <c r="J192" s="17">
        <v>995.88879999999995</v>
      </c>
      <c r="K192" s="18">
        <v>40.900300000000001</v>
      </c>
      <c r="L192" s="18">
        <v>45.723700000000001</v>
      </c>
      <c r="M192" s="18">
        <v>46.9236</v>
      </c>
      <c r="N192" s="18">
        <v>71.761799999999994</v>
      </c>
      <c r="O192" s="18">
        <f t="shared" si="10"/>
        <v>42.256137500000001</v>
      </c>
      <c r="P192" s="7"/>
      <c r="Q192" s="10"/>
      <c r="R192" s="11"/>
      <c r="S192" s="11"/>
      <c r="T192" s="26"/>
      <c r="U192" s="28">
        <f t="shared" si="11"/>
        <v>1.4145962314939433</v>
      </c>
    </row>
    <row r="193" spans="1:21" x14ac:dyDescent="0.25">
      <c r="B193" s="9"/>
      <c r="C193" s="17">
        <v>540.79</v>
      </c>
      <c r="D193" s="18">
        <v>38.491999999999997</v>
      </c>
      <c r="E193" s="18">
        <v>42.890999999999998</v>
      </c>
      <c r="F193" s="18">
        <v>44.271999999999998</v>
      </c>
      <c r="G193" s="18">
        <v>32.590000000000003</v>
      </c>
      <c r="H193" s="18">
        <f t="shared" si="9"/>
        <v>39.764375000000001</v>
      </c>
      <c r="I193" s="5"/>
      <c r="J193" s="17">
        <v>591.71119999999996</v>
      </c>
      <c r="K193" s="18">
        <v>39.110900000000001</v>
      </c>
      <c r="L193" s="18">
        <v>44.283000000000001</v>
      </c>
      <c r="M193" s="18">
        <v>45.485700000000001</v>
      </c>
      <c r="N193" s="18">
        <v>89.445400000000006</v>
      </c>
      <c r="O193" s="18">
        <f t="shared" si="10"/>
        <v>40.5542625</v>
      </c>
      <c r="P193" s="7"/>
      <c r="Q193" s="10"/>
      <c r="R193" s="11"/>
      <c r="S193" s="11"/>
      <c r="T193" s="26"/>
      <c r="U193" s="28">
        <f t="shared" si="11"/>
        <v>1.7445658177355017</v>
      </c>
    </row>
    <row r="194" spans="1:21" ht="16.5" thickBot="1" x14ac:dyDescent="0.3">
      <c r="B194" s="12"/>
      <c r="C194" s="19">
        <v>259.74</v>
      </c>
      <c r="D194" s="20">
        <v>35.97</v>
      </c>
      <c r="E194" s="20">
        <v>41.597000000000001</v>
      </c>
      <c r="F194" s="20">
        <v>42.706000000000003</v>
      </c>
      <c r="G194" s="20">
        <v>36.590000000000003</v>
      </c>
      <c r="H194" s="20">
        <f t="shared" si="9"/>
        <v>37.515374999999999</v>
      </c>
      <c r="I194" s="5"/>
      <c r="J194" s="19">
        <v>291.45519999999999</v>
      </c>
      <c r="K194" s="20">
        <v>36.003799999999998</v>
      </c>
      <c r="L194" s="20">
        <v>42.299300000000002</v>
      </c>
      <c r="M194" s="20">
        <v>43.513199999999998</v>
      </c>
      <c r="N194" s="20">
        <v>118.6944</v>
      </c>
      <c r="O194" s="20">
        <f t="shared" si="10"/>
        <v>37.729412499999995</v>
      </c>
      <c r="P194" s="7"/>
      <c r="Q194" s="13"/>
      <c r="R194" s="14"/>
      <c r="S194" s="14"/>
      <c r="T194" s="27"/>
      <c r="U194" s="28">
        <f t="shared" si="11"/>
        <v>2.2439027056572831</v>
      </c>
    </row>
    <row r="195" spans="1:21" x14ac:dyDescent="0.25">
      <c r="B195" s="6" t="s">
        <v>62</v>
      </c>
      <c r="C195" s="15">
        <v>1427</v>
      </c>
      <c r="D195" s="16">
        <v>42.679000000000002</v>
      </c>
      <c r="E195" s="16">
        <v>47.59</v>
      </c>
      <c r="F195" s="16">
        <v>48.228999999999999</v>
      </c>
      <c r="G195" s="16">
        <v>26.43</v>
      </c>
      <c r="H195" s="16">
        <f t="shared" si="9"/>
        <v>43.986624999999997</v>
      </c>
      <c r="I195" s="5"/>
      <c r="J195" s="15">
        <v>1506.3792000000001</v>
      </c>
      <c r="K195" s="16">
        <v>42.911299999999997</v>
      </c>
      <c r="L195" s="16">
        <v>48.3352</v>
      </c>
      <c r="M195" s="16">
        <v>49.069200000000002</v>
      </c>
      <c r="N195" s="16">
        <v>66.423100000000005</v>
      </c>
      <c r="O195" s="16">
        <f t="shared" si="10"/>
        <v>44.359025000000003</v>
      </c>
      <c r="P195" s="7"/>
      <c r="Q195" s="8">
        <f>bdrate(C195:C198,D195:D198,J195:J198,K195:K198)</f>
        <v>-0.13162782243365656</v>
      </c>
      <c r="R195" s="8">
        <f>bdrate(C195:C198,E195:E198,J195:J198,L195:L198)</f>
        <v>-0.42704172787808636</v>
      </c>
      <c r="S195" s="8">
        <f>bdrate(C195:C198,F195:F198,J195:J198,M195:M198)</f>
        <v>-0.41317027335618872</v>
      </c>
      <c r="T195" s="25">
        <f>bdrate(C195:C198,H195:H198,J195:J198,O195:O198)</f>
        <v>-0.21656233969517957</v>
      </c>
      <c r="U195" s="28">
        <f t="shared" ref="U195:U213" si="12">(N195-G195)/G195</f>
        <v>1.5131706394248963</v>
      </c>
    </row>
    <row r="196" spans="1:21" x14ac:dyDescent="0.25">
      <c r="B196" s="9"/>
      <c r="C196" s="17">
        <v>940.41</v>
      </c>
      <c r="D196" s="18">
        <v>42.170999999999999</v>
      </c>
      <c r="E196" s="18">
        <v>46.993000000000002</v>
      </c>
      <c r="F196" s="18">
        <v>47.655000000000001</v>
      </c>
      <c r="G196" s="18">
        <v>29.43</v>
      </c>
      <c r="H196" s="18">
        <f t="shared" si="9"/>
        <v>43.459249999999997</v>
      </c>
      <c r="I196" s="5"/>
      <c r="J196" s="17">
        <v>998.04</v>
      </c>
      <c r="K196" s="18">
        <v>42.480899999999998</v>
      </c>
      <c r="L196" s="18">
        <v>47.990299999999998</v>
      </c>
      <c r="M196" s="18">
        <v>48.7044</v>
      </c>
      <c r="N196" s="18">
        <v>80.634299999999996</v>
      </c>
      <c r="O196" s="18">
        <f t="shared" si="10"/>
        <v>43.947512500000002</v>
      </c>
      <c r="P196" s="7"/>
      <c r="Q196" s="10"/>
      <c r="R196" s="11"/>
      <c r="S196" s="11"/>
      <c r="T196" s="26"/>
      <c r="U196" s="28">
        <f t="shared" si="12"/>
        <v>1.73986748216106</v>
      </c>
    </row>
    <row r="197" spans="1:21" x14ac:dyDescent="0.25">
      <c r="B197" s="9"/>
      <c r="C197" s="17">
        <v>554.96</v>
      </c>
      <c r="D197" s="18">
        <v>41.348999999999997</v>
      </c>
      <c r="E197" s="18">
        <v>46.079000000000001</v>
      </c>
      <c r="F197" s="18">
        <v>46.78</v>
      </c>
      <c r="G197" s="18">
        <v>32.270000000000003</v>
      </c>
      <c r="H197" s="18">
        <f t="shared" si="9"/>
        <v>42.619124999999997</v>
      </c>
      <c r="I197" s="5"/>
      <c r="J197" s="17">
        <v>573.58720000000005</v>
      </c>
      <c r="K197" s="18">
        <v>41.688400000000001</v>
      </c>
      <c r="L197" s="18">
        <v>47.214300000000001</v>
      </c>
      <c r="M197" s="18">
        <v>47.904299999999999</v>
      </c>
      <c r="N197" s="18">
        <v>100.43519999999999</v>
      </c>
      <c r="O197" s="18">
        <f t="shared" si="10"/>
        <v>43.156124999999996</v>
      </c>
      <c r="P197" s="7"/>
      <c r="Q197" s="10"/>
      <c r="R197" s="11"/>
      <c r="S197" s="11"/>
      <c r="T197" s="26"/>
      <c r="U197" s="28">
        <f t="shared" si="12"/>
        <v>2.1123396343352958</v>
      </c>
    </row>
    <row r="198" spans="1:21" ht="16.5" thickBot="1" x14ac:dyDescent="0.3">
      <c r="B198" s="12"/>
      <c r="C198" s="19">
        <v>265.72000000000003</v>
      </c>
      <c r="D198" s="20">
        <v>39.658999999999999</v>
      </c>
      <c r="E198" s="20">
        <v>44.634999999999998</v>
      </c>
      <c r="F198" s="20">
        <v>45.262999999999998</v>
      </c>
      <c r="G198" s="20">
        <v>35.61</v>
      </c>
      <c r="H198" s="20">
        <f t="shared" si="9"/>
        <v>40.981499999999997</v>
      </c>
      <c r="I198" s="5"/>
      <c r="J198" s="19">
        <v>273.72399999999999</v>
      </c>
      <c r="K198" s="20">
        <v>39.905900000000003</v>
      </c>
      <c r="L198" s="20">
        <v>45.452199999999998</v>
      </c>
      <c r="M198" s="20">
        <v>46.002699999999997</v>
      </c>
      <c r="N198" s="20">
        <v>132.15860000000001</v>
      </c>
      <c r="O198" s="20">
        <f t="shared" si="10"/>
        <v>41.361287500000003</v>
      </c>
      <c r="P198" s="7"/>
      <c r="Q198" s="13"/>
      <c r="R198" s="14"/>
      <c r="S198" s="14"/>
      <c r="T198" s="27"/>
      <c r="U198" s="28">
        <f t="shared" si="12"/>
        <v>2.7112777309744458</v>
      </c>
    </row>
    <row r="199" spans="1:21" x14ac:dyDescent="0.25">
      <c r="B199" s="6" t="s">
        <v>63</v>
      </c>
      <c r="C199" s="15">
        <v>1486.03</v>
      </c>
      <c r="D199" s="16">
        <v>42.561</v>
      </c>
      <c r="E199" s="16">
        <v>46.784999999999997</v>
      </c>
      <c r="F199" s="16">
        <v>47.692</v>
      </c>
      <c r="G199" s="16">
        <v>23.48</v>
      </c>
      <c r="H199" s="16">
        <f t="shared" si="9"/>
        <v>43.730374999999995</v>
      </c>
      <c r="I199" s="5"/>
      <c r="J199" s="15">
        <v>1538.732</v>
      </c>
      <c r="K199" s="16">
        <v>42.850999999999999</v>
      </c>
      <c r="L199" s="16">
        <v>47.551400000000001</v>
      </c>
      <c r="M199" s="16">
        <v>48.466799999999999</v>
      </c>
      <c r="N199" s="16">
        <v>61.734699999999997</v>
      </c>
      <c r="O199" s="16">
        <f t="shared" si="10"/>
        <v>44.140524999999997</v>
      </c>
      <c r="P199" s="7"/>
      <c r="Q199" s="8">
        <f>bdrate(C199:C202,D199:D202,J199:J202,K199:K202)</f>
        <v>-7.7635871135833923E-2</v>
      </c>
      <c r="R199" s="8">
        <f>bdrate(C199:C202,E199:E202,J199:J202,L199:L202)</f>
        <v>-0.33939391171761935</v>
      </c>
      <c r="S199" s="8">
        <f>bdrate(C199:C202,F199:F202,J199:J202,M199:M202)</f>
        <v>-0.32488858368969631</v>
      </c>
      <c r="T199" s="25">
        <f>bdrate(C199:C202,H199:H202,J199:J202,O199:O202)</f>
        <v>-0.14205327971672055</v>
      </c>
      <c r="U199" s="28">
        <f t="shared" si="12"/>
        <v>1.6292461669505962</v>
      </c>
    </row>
    <row r="200" spans="1:21" x14ac:dyDescent="0.25">
      <c r="B200" s="9"/>
      <c r="C200" s="17">
        <v>986.95</v>
      </c>
      <c r="D200" s="18">
        <v>41.811</v>
      </c>
      <c r="E200" s="18">
        <v>45.930999999999997</v>
      </c>
      <c r="F200" s="18">
        <v>46.906999999999996</v>
      </c>
      <c r="G200" s="18">
        <v>26.08</v>
      </c>
      <c r="H200" s="18">
        <f t="shared" si="9"/>
        <v>42.962999999999994</v>
      </c>
      <c r="I200" s="5"/>
      <c r="J200" s="17">
        <v>1024.7264</v>
      </c>
      <c r="K200" s="18">
        <v>42.132399999999997</v>
      </c>
      <c r="L200" s="18">
        <v>46.900399999999998</v>
      </c>
      <c r="M200" s="18">
        <v>47.8001</v>
      </c>
      <c r="N200" s="18">
        <v>75.263400000000004</v>
      </c>
      <c r="O200" s="18">
        <f t="shared" si="10"/>
        <v>43.436862499999997</v>
      </c>
      <c r="P200" s="7"/>
      <c r="Q200" s="10"/>
      <c r="R200" s="11"/>
      <c r="S200" s="11"/>
      <c r="T200" s="26"/>
      <c r="U200" s="28">
        <f t="shared" si="12"/>
        <v>1.8858665644171784</v>
      </c>
    </row>
    <row r="201" spans="1:21" x14ac:dyDescent="0.25">
      <c r="B201" s="9"/>
      <c r="C201" s="17">
        <v>588.21</v>
      </c>
      <c r="D201" s="18">
        <v>40.520000000000003</v>
      </c>
      <c r="E201" s="18">
        <v>44.718000000000004</v>
      </c>
      <c r="F201" s="18">
        <v>45.621000000000002</v>
      </c>
      <c r="G201" s="18">
        <v>28.83</v>
      </c>
      <c r="H201" s="18">
        <f t="shared" si="9"/>
        <v>41.682375</v>
      </c>
      <c r="I201" s="5"/>
      <c r="J201" s="17">
        <v>602.65840000000003</v>
      </c>
      <c r="K201" s="18">
        <v>40.8523</v>
      </c>
      <c r="L201" s="18">
        <v>45.750900000000001</v>
      </c>
      <c r="M201" s="18">
        <v>46.638100000000001</v>
      </c>
      <c r="N201" s="18">
        <v>97.863299999999995</v>
      </c>
      <c r="O201" s="18">
        <f t="shared" si="10"/>
        <v>42.187849999999997</v>
      </c>
      <c r="P201" s="7"/>
      <c r="Q201" s="10"/>
      <c r="R201" s="11"/>
      <c r="S201" s="11"/>
      <c r="T201" s="26"/>
      <c r="U201" s="28">
        <f t="shared" si="12"/>
        <v>2.3944953173777317</v>
      </c>
    </row>
    <row r="202" spans="1:21" ht="16.5" thickBot="1" x14ac:dyDescent="0.3">
      <c r="B202" s="12"/>
      <c r="C202" s="19">
        <v>285.87</v>
      </c>
      <c r="D202" s="20">
        <v>38.363999999999997</v>
      </c>
      <c r="E202" s="20">
        <v>43.048000000000002</v>
      </c>
      <c r="F202" s="20">
        <v>43.975999999999999</v>
      </c>
      <c r="G202" s="20">
        <v>32.630000000000003</v>
      </c>
      <c r="H202" s="20">
        <f t="shared" si="9"/>
        <v>39.650999999999996</v>
      </c>
      <c r="I202" s="5"/>
      <c r="J202" s="19">
        <v>292.92959999999999</v>
      </c>
      <c r="K202" s="20">
        <v>38.421799999999998</v>
      </c>
      <c r="L202" s="20">
        <v>43.996000000000002</v>
      </c>
      <c r="M202" s="20">
        <v>44.868899999999996</v>
      </c>
      <c r="N202" s="20">
        <v>129.06</v>
      </c>
      <c r="O202" s="20">
        <f t="shared" si="10"/>
        <v>39.924462499999997</v>
      </c>
      <c r="P202" s="7"/>
      <c r="Q202" s="13"/>
      <c r="R202" s="14"/>
      <c r="S202" s="14"/>
      <c r="T202" s="27"/>
      <c r="U202" s="28">
        <f t="shared" si="12"/>
        <v>2.955255899479007</v>
      </c>
    </row>
    <row r="203" spans="1:21" x14ac:dyDescent="0.25">
      <c r="A203" s="6" t="s">
        <v>99</v>
      </c>
      <c r="B203" s="6" t="s">
        <v>100</v>
      </c>
      <c r="C203" s="29">
        <v>1209.4000000000001</v>
      </c>
      <c r="D203" s="30">
        <v>44.951999999999998</v>
      </c>
      <c r="E203" s="30">
        <v>50.024000000000001</v>
      </c>
      <c r="F203" s="30">
        <v>50.927</v>
      </c>
      <c r="G203" s="16">
        <v>14.23</v>
      </c>
      <c r="H203" s="16">
        <f t="shared" ref="H203:H213" si="13">(6*D203+E203+F203)/8</f>
        <v>46.332875000000001</v>
      </c>
      <c r="I203" s="5"/>
      <c r="J203" s="15">
        <v>1232.9708000000001</v>
      </c>
      <c r="K203" s="16">
        <v>45.338799999999999</v>
      </c>
      <c r="L203" s="16">
        <v>51.409199999999998</v>
      </c>
      <c r="M203" s="16">
        <v>51.988199999999999</v>
      </c>
      <c r="N203" s="16">
        <v>41.805999999999997</v>
      </c>
      <c r="O203" s="16">
        <f t="shared" ref="O203:O213" si="14">(6*K203+L203+M203)/8</f>
        <v>46.928775000000002</v>
      </c>
      <c r="P203" s="7"/>
      <c r="Q203" s="8">
        <f>bdrate(C203:C206,D203:D206,J203:J206,K203:K206)</f>
        <v>-0.11081384338286027</v>
      </c>
      <c r="R203" s="8">
        <f>bdrate(C203:C206,E203:E206,J203:J206,L203:L206)</f>
        <v>-0.38832106527807908</v>
      </c>
      <c r="S203" s="8">
        <f>bdrate(C203:C206,F203:F206,J203:J206,M203:M206)</f>
        <v>-0.3835154466601296</v>
      </c>
      <c r="T203" s="25">
        <f>bdrate(C203:C206,H203:H206,J203:J206,O203:O206)</f>
        <v>-0.17620724124321918</v>
      </c>
      <c r="U203" s="28">
        <f t="shared" si="12"/>
        <v>1.9378777231201685</v>
      </c>
    </row>
    <row r="204" spans="1:21" x14ac:dyDescent="0.25">
      <c r="A204" s="9" t="s">
        <v>77</v>
      </c>
      <c r="B204" s="9"/>
      <c r="C204" s="31">
        <v>810.22</v>
      </c>
      <c r="D204" s="32">
        <v>42.756</v>
      </c>
      <c r="E204" s="32">
        <v>48.115000000000002</v>
      </c>
      <c r="F204" s="32">
        <v>49.15</v>
      </c>
      <c r="G204" s="18">
        <v>15.97</v>
      </c>
      <c r="H204" s="18">
        <f t="shared" si="13"/>
        <v>44.225124999999998</v>
      </c>
      <c r="I204" s="5"/>
      <c r="J204" s="17">
        <v>830.73159999999996</v>
      </c>
      <c r="K204" s="18">
        <v>43.415799999999997</v>
      </c>
      <c r="L204" s="18">
        <v>50.057000000000002</v>
      </c>
      <c r="M204" s="18">
        <v>50.710299999999997</v>
      </c>
      <c r="N204" s="18">
        <v>47.732700000000001</v>
      </c>
      <c r="O204" s="18">
        <f t="shared" si="14"/>
        <v>45.157762500000004</v>
      </c>
      <c r="P204" s="7"/>
      <c r="Q204" s="10"/>
      <c r="R204" s="11"/>
      <c r="S204" s="11"/>
      <c r="T204" s="26"/>
      <c r="U204" s="28">
        <f t="shared" si="12"/>
        <v>1.9888979336255479</v>
      </c>
    </row>
    <row r="205" spans="1:21" x14ac:dyDescent="0.25">
      <c r="B205" s="9"/>
      <c r="C205" s="31">
        <v>490.8</v>
      </c>
      <c r="D205" s="32">
        <v>39.933999999999997</v>
      </c>
      <c r="E205" s="32">
        <v>45.665999999999997</v>
      </c>
      <c r="F205" s="32">
        <v>46.906999999999996</v>
      </c>
      <c r="G205" s="18">
        <v>18.170000000000002</v>
      </c>
      <c r="H205" s="18">
        <f t="shared" si="13"/>
        <v>41.522124999999996</v>
      </c>
      <c r="I205" s="5"/>
      <c r="J205" s="17">
        <v>506.86689999999999</v>
      </c>
      <c r="K205" s="18">
        <v>40.787799999999997</v>
      </c>
      <c r="L205" s="18">
        <v>48.139400000000002</v>
      </c>
      <c r="M205" s="18">
        <v>49.173699999999997</v>
      </c>
      <c r="N205" s="18">
        <v>56.1342</v>
      </c>
      <c r="O205" s="18">
        <f t="shared" si="14"/>
        <v>42.754987499999999</v>
      </c>
      <c r="P205" s="7"/>
      <c r="Q205" s="10"/>
      <c r="R205" s="11"/>
      <c r="S205" s="11"/>
      <c r="T205" s="26"/>
      <c r="U205" s="28">
        <f t="shared" si="12"/>
        <v>2.0893891029168956</v>
      </c>
    </row>
    <row r="206" spans="1:21" ht="16.5" thickBot="1" x14ac:dyDescent="0.3">
      <c r="B206" s="12"/>
      <c r="C206" s="33">
        <v>248.04</v>
      </c>
      <c r="D206" s="34">
        <v>36.603000000000002</v>
      </c>
      <c r="E206" s="34">
        <v>42.963000000000001</v>
      </c>
      <c r="F206" s="34">
        <v>44.258000000000003</v>
      </c>
      <c r="G206" s="20">
        <v>22.46</v>
      </c>
      <c r="H206" s="20">
        <f t="shared" si="13"/>
        <v>38.354875</v>
      </c>
      <c r="I206" s="5"/>
      <c r="J206" s="19">
        <v>257.73110000000003</v>
      </c>
      <c r="K206" s="20">
        <v>37.492600000000003</v>
      </c>
      <c r="L206" s="20">
        <v>45.318899999999999</v>
      </c>
      <c r="M206" s="20">
        <v>46.686900000000001</v>
      </c>
      <c r="N206" s="20">
        <v>72.839100000000002</v>
      </c>
      <c r="O206" s="20">
        <f t="shared" si="14"/>
        <v>39.620174999999996</v>
      </c>
      <c r="P206" s="7"/>
      <c r="Q206" s="13"/>
      <c r="R206" s="14"/>
      <c r="S206" s="14"/>
      <c r="T206" s="27"/>
      <c r="U206" s="28">
        <f t="shared" si="12"/>
        <v>2.2430587711487089</v>
      </c>
    </row>
    <row r="207" spans="1:21" x14ac:dyDescent="0.25">
      <c r="B207" s="6" t="s">
        <v>101</v>
      </c>
      <c r="C207" s="15">
        <v>1483.2</v>
      </c>
      <c r="D207" s="16">
        <v>54.098999999999997</v>
      </c>
      <c r="E207" s="16">
        <v>54.783999999999999</v>
      </c>
      <c r="F207" s="16">
        <v>55.198</v>
      </c>
      <c r="G207" s="16">
        <v>35.69</v>
      </c>
      <c r="H207" s="16">
        <f t="shared" si="13"/>
        <v>54.321999999999996</v>
      </c>
      <c r="I207" s="5"/>
      <c r="J207" s="15">
        <v>1430.3054999999999</v>
      </c>
      <c r="K207" s="16">
        <v>53.281700000000001</v>
      </c>
      <c r="L207" s="16">
        <v>54.0852</v>
      </c>
      <c r="M207" s="16">
        <v>54.6601</v>
      </c>
      <c r="N207" s="16">
        <v>73.918899999999994</v>
      </c>
      <c r="O207" s="16">
        <f t="shared" si="14"/>
        <v>53.554437499999999</v>
      </c>
      <c r="P207" s="7"/>
      <c r="Q207" s="8">
        <f>bdrate(C207:C210,D207:D210,J207:J210,K207:K210)</f>
        <v>1.8172863606904954E-2</v>
      </c>
      <c r="R207" s="8">
        <f>bdrate(C207:C210,E207:E210,J207:J210,L207:L210)</f>
        <v>-7.1559564851404356E-2</v>
      </c>
      <c r="S207" s="8">
        <f>bdrate(C207:C210,F207:F210,J207:J210,M207:M210)</f>
        <v>-6.3381119361476945E-2</v>
      </c>
      <c r="T207" s="25">
        <f>bdrate(C207:C210,H207:H210,J207:J210,O207:O210)</f>
        <v>-2.4806561112138414E-3</v>
      </c>
      <c r="U207" s="28">
        <f t="shared" si="12"/>
        <v>1.0711375735500139</v>
      </c>
    </row>
    <row r="208" spans="1:21" x14ac:dyDescent="0.25">
      <c r="B208" s="9"/>
      <c r="C208" s="17">
        <v>979.16</v>
      </c>
      <c r="D208" s="18">
        <v>51.442</v>
      </c>
      <c r="E208" s="18">
        <v>52.317</v>
      </c>
      <c r="F208" s="18">
        <v>52.869</v>
      </c>
      <c r="G208" s="18">
        <v>39.25</v>
      </c>
      <c r="H208" s="18">
        <f t="shared" si="13"/>
        <v>51.729749999999996</v>
      </c>
      <c r="I208" s="5"/>
      <c r="J208" s="17">
        <v>975.37630000000001</v>
      </c>
      <c r="K208" s="18">
        <v>51.295400000000001</v>
      </c>
      <c r="L208" s="18">
        <v>52.493600000000001</v>
      </c>
      <c r="M208" s="18">
        <v>53.041800000000002</v>
      </c>
      <c r="N208" s="18">
        <v>91.789900000000003</v>
      </c>
      <c r="O208" s="18">
        <f t="shared" si="14"/>
        <v>51.663475000000005</v>
      </c>
      <c r="P208" s="7"/>
      <c r="Q208" s="10"/>
      <c r="R208" s="11"/>
      <c r="S208" s="11"/>
      <c r="T208" s="26"/>
      <c r="U208" s="28">
        <f t="shared" si="12"/>
        <v>1.3385961783439491</v>
      </c>
    </row>
    <row r="209" spans="2:21" x14ac:dyDescent="0.25">
      <c r="B209" s="9"/>
      <c r="C209" s="17">
        <v>585.87</v>
      </c>
      <c r="D209" s="18">
        <v>48.25</v>
      </c>
      <c r="E209" s="18">
        <v>49.365000000000002</v>
      </c>
      <c r="F209" s="18">
        <v>49.997999999999998</v>
      </c>
      <c r="G209" s="18">
        <v>44.09</v>
      </c>
      <c r="H209" s="18">
        <f t="shared" si="13"/>
        <v>48.607875</v>
      </c>
      <c r="I209" s="5"/>
      <c r="J209" s="17">
        <v>604.50720000000001</v>
      </c>
      <c r="K209" s="18">
        <v>48.4542</v>
      </c>
      <c r="L209" s="18">
        <v>50.103000000000002</v>
      </c>
      <c r="M209" s="18">
        <v>50.6432</v>
      </c>
      <c r="N209" s="18">
        <v>117.50109999999999</v>
      </c>
      <c r="O209" s="18">
        <f t="shared" si="14"/>
        <v>48.933924999999995</v>
      </c>
      <c r="P209" s="7"/>
      <c r="Q209" s="10"/>
      <c r="R209" s="11"/>
      <c r="S209" s="11"/>
      <c r="T209" s="26"/>
      <c r="U209" s="28">
        <f t="shared" si="12"/>
        <v>1.6650283511000223</v>
      </c>
    </row>
    <row r="210" spans="2:21" ht="16.5" thickBot="1" x14ac:dyDescent="0.3">
      <c r="B210" s="12"/>
      <c r="C210" s="19">
        <v>293.08</v>
      </c>
      <c r="D210" s="20">
        <v>43.953000000000003</v>
      </c>
      <c r="E210" s="20">
        <v>45.398000000000003</v>
      </c>
      <c r="F210" s="20">
        <v>46.034999999999997</v>
      </c>
      <c r="G210" s="20">
        <v>49.61</v>
      </c>
      <c r="H210" s="20">
        <f t="shared" si="13"/>
        <v>44.393875000000008</v>
      </c>
      <c r="I210" s="5"/>
      <c r="J210" s="19">
        <v>307.97309999999999</v>
      </c>
      <c r="K210" s="20">
        <v>44.004600000000003</v>
      </c>
      <c r="L210" s="20">
        <v>46.345799999999997</v>
      </c>
      <c r="M210" s="20">
        <v>46.911499999999997</v>
      </c>
      <c r="N210" s="20">
        <v>148.31909999999999</v>
      </c>
      <c r="O210" s="20">
        <f t="shared" si="14"/>
        <v>44.660612499999999</v>
      </c>
      <c r="P210" s="7"/>
      <c r="Q210" s="13"/>
      <c r="R210" s="14"/>
      <c r="S210" s="14"/>
      <c r="T210" s="27"/>
      <c r="U210" s="28">
        <f t="shared" si="12"/>
        <v>1.9897016730497883</v>
      </c>
    </row>
    <row r="211" spans="2:21" x14ac:dyDescent="0.25">
      <c r="B211" s="6" t="s">
        <v>102</v>
      </c>
      <c r="C211" s="15">
        <v>1543.59</v>
      </c>
      <c r="D211" s="16">
        <v>43.951999999999998</v>
      </c>
      <c r="E211" s="16">
        <v>45.902000000000001</v>
      </c>
      <c r="F211" s="16">
        <v>46.396999999999998</v>
      </c>
      <c r="G211" s="16">
        <v>17.72</v>
      </c>
      <c r="H211" s="16">
        <f t="shared" si="13"/>
        <v>44.501374999999996</v>
      </c>
      <c r="I211" s="5"/>
      <c r="J211" s="15">
        <v>1487.7192</v>
      </c>
      <c r="K211" s="16">
        <v>44.114100000000001</v>
      </c>
      <c r="L211" s="16">
        <v>46.5884</v>
      </c>
      <c r="M211" s="16">
        <v>47.0045</v>
      </c>
      <c r="N211" s="16">
        <v>45.642400000000002</v>
      </c>
      <c r="O211" s="16">
        <f t="shared" si="14"/>
        <v>44.784687499999997</v>
      </c>
      <c r="P211" s="7"/>
      <c r="Q211" s="8">
        <f>bdrate(C211:C214,D211:D214,J211:J214,K211:K214)</f>
        <v>-9.2941673397211044E-2</v>
      </c>
      <c r="R211" s="8">
        <f>bdrate(C211:C214,E211:E214,J211:J214,L211:L214)</f>
        <v>-0.2822867362268987</v>
      </c>
      <c r="S211" s="8">
        <f>bdrate(C211:C214,F211:F214,J211:J214,M211:M214)</f>
        <v>-0.26203685315706637</v>
      </c>
      <c r="T211" s="25">
        <f>bdrate(C211:C214,H211:H214,J211:J214,O211:O214)</f>
        <v>-0.13296076072523644</v>
      </c>
      <c r="U211" s="28">
        <f t="shared" si="12"/>
        <v>1.5757562076749438</v>
      </c>
    </row>
    <row r="212" spans="2:21" x14ac:dyDescent="0.25">
      <c r="B212" s="9"/>
      <c r="C212" s="17">
        <v>1029.1500000000001</v>
      </c>
      <c r="D212" s="18">
        <v>41.883000000000003</v>
      </c>
      <c r="E212" s="18">
        <v>44.162999999999997</v>
      </c>
      <c r="F212" s="18">
        <v>44.664999999999999</v>
      </c>
      <c r="G212" s="18">
        <v>20</v>
      </c>
      <c r="H212" s="18">
        <f t="shared" si="13"/>
        <v>42.515750000000004</v>
      </c>
      <c r="I212" s="5"/>
      <c r="J212" s="17">
        <v>996.91589999999997</v>
      </c>
      <c r="K212" s="18">
        <v>42.2121</v>
      </c>
      <c r="L212" s="18">
        <v>45.174999999999997</v>
      </c>
      <c r="M212" s="18">
        <v>45.560600000000001</v>
      </c>
      <c r="N212" s="18">
        <v>54.375700000000002</v>
      </c>
      <c r="O212" s="18">
        <f t="shared" si="14"/>
        <v>43.001025000000006</v>
      </c>
      <c r="P212" s="7"/>
      <c r="Q212" s="10"/>
      <c r="R212" s="11"/>
      <c r="S212" s="11"/>
      <c r="T212" s="26"/>
      <c r="U212" s="28">
        <f t="shared" si="12"/>
        <v>1.718785</v>
      </c>
    </row>
    <row r="213" spans="2:21" x14ac:dyDescent="0.25">
      <c r="B213" s="9"/>
      <c r="C213" s="17">
        <v>618.66999999999996</v>
      </c>
      <c r="D213" s="18">
        <v>39.168999999999997</v>
      </c>
      <c r="E213" s="18">
        <v>42.012</v>
      </c>
      <c r="F213" s="18">
        <v>42.521999999999998</v>
      </c>
      <c r="G213" s="18">
        <v>22.29</v>
      </c>
      <c r="H213" s="18">
        <f t="shared" si="13"/>
        <v>39.943499999999993</v>
      </c>
      <c r="I213" s="5"/>
      <c r="J213" s="17">
        <v>597.82159999999999</v>
      </c>
      <c r="K213" s="18">
        <v>39.532499999999999</v>
      </c>
      <c r="L213" s="18">
        <v>43.249299999999998</v>
      </c>
      <c r="M213" s="18">
        <v>43.6509</v>
      </c>
      <c r="N213" s="18">
        <v>66.420699999999997</v>
      </c>
      <c r="O213" s="18">
        <f t="shared" si="14"/>
        <v>40.511899999999997</v>
      </c>
      <c r="P213" s="7"/>
      <c r="Q213" s="10"/>
      <c r="R213" s="11"/>
      <c r="S213" s="11"/>
      <c r="T213" s="26"/>
      <c r="U213" s="28">
        <f t="shared" si="12"/>
        <v>1.9798429789143113</v>
      </c>
    </row>
    <row r="214" spans="2:21" ht="16.5" thickBot="1" x14ac:dyDescent="0.3">
      <c r="B214" s="12"/>
      <c r="C214" s="19">
        <v>311.11</v>
      </c>
      <c r="D214" s="20">
        <v>35.466000000000001</v>
      </c>
      <c r="E214" s="20">
        <v>39.134999999999998</v>
      </c>
      <c r="F214" s="20">
        <v>39.743000000000002</v>
      </c>
      <c r="G214" s="20">
        <v>25.61</v>
      </c>
      <c r="H214" s="20">
        <f t="shared" ref="H214:H246" si="15">(6*D214+E214+F214)/8</f>
        <v>36.459249999999997</v>
      </c>
      <c r="I214" s="5"/>
      <c r="J214" s="19">
        <v>300.7833</v>
      </c>
      <c r="K214" s="20">
        <v>35.816400000000002</v>
      </c>
      <c r="L214" s="20">
        <v>40.856099999999998</v>
      </c>
      <c r="M214" s="20">
        <v>41.260599999999997</v>
      </c>
      <c r="N214" s="20">
        <v>84.6541</v>
      </c>
      <c r="O214" s="20">
        <f t="shared" ref="O214:O246" si="16">(6*K214+L214+M214)/8</f>
        <v>37.126887500000002</v>
      </c>
      <c r="P214" s="7"/>
      <c r="Q214" s="13"/>
      <c r="R214" s="14"/>
      <c r="S214" s="14"/>
      <c r="T214" s="27"/>
      <c r="U214" s="28">
        <f t="shared" ref="U214:U246" si="17">(N214-G214)/G214</f>
        <v>2.3055095665755565</v>
      </c>
    </row>
    <row r="215" spans="2:21" x14ac:dyDescent="0.25">
      <c r="B215" s="6" t="s">
        <v>103</v>
      </c>
      <c r="C215" s="15">
        <v>1373.84</v>
      </c>
      <c r="D215" s="16">
        <v>39.695</v>
      </c>
      <c r="E215" s="16">
        <v>43.802999999999997</v>
      </c>
      <c r="F215" s="16">
        <v>43.808999999999997</v>
      </c>
      <c r="G215" s="16">
        <v>14.74</v>
      </c>
      <c r="H215" s="16">
        <f t="shared" si="15"/>
        <v>40.722750000000005</v>
      </c>
      <c r="I215" s="5"/>
      <c r="J215" s="29">
        <v>1497.9206999999999</v>
      </c>
      <c r="K215" s="30">
        <v>40.033099999999997</v>
      </c>
      <c r="L215" s="30">
        <v>44.755400000000002</v>
      </c>
      <c r="M215" s="30">
        <v>44.745800000000003</v>
      </c>
      <c r="N215" s="16">
        <v>44.636200000000002</v>
      </c>
      <c r="O215" s="16">
        <f t="shared" si="16"/>
        <v>41.212474999999998</v>
      </c>
      <c r="P215" s="7"/>
      <c r="Q215" s="8">
        <f>bdrate(C215:C218,D215:D218,J215:J218,K215:K218)</f>
        <v>2.4401237422452038E-2</v>
      </c>
      <c r="R215" s="8">
        <f>bdrate(C215:C218,E215:E218,J215:J218,L215:L218)</f>
        <v>-0.28181418310441686</v>
      </c>
      <c r="S215" s="8">
        <f>bdrate(C215:C218,F215:F218,J215:J218,M215:M218)</f>
        <v>-0.26699325273216845</v>
      </c>
      <c r="T215" s="25">
        <f>bdrate(C215:C218,H215:H218,J215:J218,O215:O218)</f>
        <v>-4.2196869969416517E-2</v>
      </c>
      <c r="U215" s="28">
        <f t="shared" si="17"/>
        <v>2.028236092265943</v>
      </c>
    </row>
    <row r="216" spans="2:21" x14ac:dyDescent="0.25">
      <c r="B216" s="9"/>
      <c r="C216" s="17">
        <v>914.55</v>
      </c>
      <c r="D216" s="18">
        <v>37.853999999999999</v>
      </c>
      <c r="E216" s="18">
        <v>42.341000000000001</v>
      </c>
      <c r="F216" s="18">
        <v>42.347000000000001</v>
      </c>
      <c r="G216" s="18">
        <v>16.72</v>
      </c>
      <c r="H216" s="18">
        <f t="shared" si="15"/>
        <v>38.976499999999994</v>
      </c>
      <c r="I216" s="5"/>
      <c r="J216" s="31">
        <v>998.31870000000004</v>
      </c>
      <c r="K216" s="32">
        <v>38.154000000000003</v>
      </c>
      <c r="L216" s="32">
        <v>43.510800000000003</v>
      </c>
      <c r="M216" s="32">
        <v>43.465299999999999</v>
      </c>
      <c r="N216" s="18">
        <v>51.565600000000003</v>
      </c>
      <c r="O216" s="18">
        <f t="shared" si="16"/>
        <v>39.487512500000008</v>
      </c>
      <c r="P216" s="7"/>
      <c r="Q216" s="10"/>
      <c r="R216" s="11"/>
      <c r="S216" s="11"/>
      <c r="T216" s="26"/>
      <c r="U216" s="28">
        <f t="shared" si="17"/>
        <v>2.0840669856459333</v>
      </c>
    </row>
    <row r="217" spans="2:21" x14ac:dyDescent="0.25">
      <c r="B217" s="9"/>
      <c r="C217" s="17">
        <v>546.64</v>
      </c>
      <c r="D217" s="18">
        <v>35.524000000000001</v>
      </c>
      <c r="E217" s="18">
        <v>40.578000000000003</v>
      </c>
      <c r="F217" s="18">
        <v>40.546999999999997</v>
      </c>
      <c r="G217" s="18">
        <v>18.79</v>
      </c>
      <c r="H217" s="18">
        <f t="shared" si="15"/>
        <v>36.783625000000001</v>
      </c>
      <c r="I217" s="5"/>
      <c r="J217" s="31">
        <v>598.6703</v>
      </c>
      <c r="K217" s="32">
        <v>35.779400000000003</v>
      </c>
      <c r="L217" s="32">
        <v>41.9771</v>
      </c>
      <c r="M217" s="32">
        <v>41.904299999999999</v>
      </c>
      <c r="N217" s="18">
        <v>61.504800000000003</v>
      </c>
      <c r="O217" s="18">
        <f t="shared" si="16"/>
        <v>37.319724999999998</v>
      </c>
      <c r="P217" s="7"/>
      <c r="Q217" s="10"/>
      <c r="R217" s="11"/>
      <c r="S217" s="11"/>
      <c r="T217" s="26"/>
      <c r="U217" s="28">
        <f t="shared" si="17"/>
        <v>2.2732730175625337</v>
      </c>
    </row>
    <row r="218" spans="2:21" ht="16.5" thickBot="1" x14ac:dyDescent="0.3">
      <c r="B218" s="12"/>
      <c r="C218" s="19">
        <v>272.14999999999998</v>
      </c>
      <c r="D218" s="20">
        <v>32.390999999999998</v>
      </c>
      <c r="E218" s="20">
        <v>38.265000000000001</v>
      </c>
      <c r="F218" s="20">
        <v>38.226999999999997</v>
      </c>
      <c r="G218" s="20">
        <v>22.36</v>
      </c>
      <c r="H218" s="20">
        <f t="shared" si="15"/>
        <v>33.854749999999996</v>
      </c>
      <c r="I218" s="5"/>
      <c r="J218" s="33">
        <v>299.8689</v>
      </c>
      <c r="K218" s="34">
        <v>32.8065</v>
      </c>
      <c r="L218" s="34">
        <v>40.165999999999997</v>
      </c>
      <c r="M218" s="34">
        <v>40.0548</v>
      </c>
      <c r="N218" s="20">
        <v>78.465599999999995</v>
      </c>
      <c r="O218" s="20">
        <f t="shared" si="16"/>
        <v>34.632474999999999</v>
      </c>
      <c r="P218" s="7"/>
      <c r="Q218" s="13"/>
      <c r="R218" s="14"/>
      <c r="S218" s="14"/>
      <c r="T218" s="27"/>
      <c r="U218" s="28">
        <f t="shared" si="17"/>
        <v>2.5091949910554558</v>
      </c>
    </row>
    <row r="219" spans="2:21" x14ac:dyDescent="0.25">
      <c r="B219" s="6" t="s">
        <v>104</v>
      </c>
      <c r="C219" s="29">
        <v>1519.33</v>
      </c>
      <c r="D219" s="30">
        <v>38.002000000000002</v>
      </c>
      <c r="E219" s="30">
        <v>41.872999999999998</v>
      </c>
      <c r="F219" s="30">
        <v>42.353000000000002</v>
      </c>
      <c r="G219" s="16">
        <v>19.14</v>
      </c>
      <c r="H219" s="16">
        <f t="shared" si="15"/>
        <v>39.02975</v>
      </c>
      <c r="I219" s="5"/>
      <c r="J219" s="15">
        <v>1509.9743000000001</v>
      </c>
      <c r="K219" s="16">
        <v>38.124400000000001</v>
      </c>
      <c r="L219" s="16">
        <v>43.071800000000003</v>
      </c>
      <c r="M219" s="16">
        <v>43.5685</v>
      </c>
      <c r="N219" s="16">
        <v>47.322299999999998</v>
      </c>
      <c r="O219" s="16">
        <f t="shared" si="16"/>
        <v>39.423337500000002</v>
      </c>
      <c r="P219" s="7"/>
      <c r="Q219" s="8">
        <f>bdrate(C219:C222,D219:D222,J219:J222,K219:K222)</f>
        <v>-3.3323263349865573E-2</v>
      </c>
      <c r="R219" s="8">
        <f>bdrate(C219:C222,E219:E222,J219:J222,L219:L222)</f>
        <v>-0.36725353679860839</v>
      </c>
      <c r="S219" s="8">
        <f>bdrate(C219:C222,F219:F222,J219:J222,M219:M222)</f>
        <v>-0.37699742414678983</v>
      </c>
      <c r="T219" s="25">
        <f>bdrate(C219:C222,H219:H222,J219:J222,O219:O222)</f>
        <v>-0.1134224055871218</v>
      </c>
      <c r="U219" s="28">
        <f t="shared" si="17"/>
        <v>1.4724294670846394</v>
      </c>
    </row>
    <row r="220" spans="2:21" x14ac:dyDescent="0.25">
      <c r="B220" s="9"/>
      <c r="C220" s="31">
        <v>1014.17</v>
      </c>
      <c r="D220" s="32">
        <v>36.093000000000004</v>
      </c>
      <c r="E220" s="32">
        <v>40.234000000000002</v>
      </c>
      <c r="F220" s="32">
        <v>40.783999999999999</v>
      </c>
      <c r="G220" s="18">
        <v>21.08</v>
      </c>
      <c r="H220" s="18">
        <f t="shared" si="15"/>
        <v>37.197000000000003</v>
      </c>
      <c r="I220" s="5"/>
      <c r="J220" s="17">
        <v>1008.422</v>
      </c>
      <c r="K220" s="18">
        <v>36.247799999999998</v>
      </c>
      <c r="L220" s="18">
        <v>41.746000000000002</v>
      </c>
      <c r="M220" s="18">
        <v>42.314300000000003</v>
      </c>
      <c r="N220" s="18">
        <v>54.761200000000002</v>
      </c>
      <c r="O220" s="18">
        <f t="shared" si="16"/>
        <v>37.6933875</v>
      </c>
      <c r="P220" s="7"/>
      <c r="Q220" s="10"/>
      <c r="R220" s="11"/>
      <c r="S220" s="11"/>
      <c r="T220" s="26"/>
      <c r="U220" s="28">
        <f t="shared" si="17"/>
        <v>1.5977798861480079</v>
      </c>
    </row>
    <row r="221" spans="2:21" x14ac:dyDescent="0.25">
      <c r="B221" s="9"/>
      <c r="C221" s="31">
        <v>608.85</v>
      </c>
      <c r="D221" s="32">
        <v>33.758000000000003</v>
      </c>
      <c r="E221" s="32">
        <v>38.305</v>
      </c>
      <c r="F221" s="32">
        <v>38.975999999999999</v>
      </c>
      <c r="G221" s="18">
        <v>23.44</v>
      </c>
      <c r="H221" s="18">
        <f t="shared" si="15"/>
        <v>34.978625000000001</v>
      </c>
      <c r="I221" s="5"/>
      <c r="J221" s="17">
        <v>604.47889999999995</v>
      </c>
      <c r="K221" s="18">
        <v>33.851799999999997</v>
      </c>
      <c r="L221" s="18">
        <v>39.962000000000003</v>
      </c>
      <c r="M221" s="18">
        <v>40.576300000000003</v>
      </c>
      <c r="N221" s="18">
        <v>63.051699999999997</v>
      </c>
      <c r="O221" s="18">
        <f t="shared" si="16"/>
        <v>35.456137499999997</v>
      </c>
      <c r="P221" s="7"/>
      <c r="Q221" s="10"/>
      <c r="R221" s="11"/>
      <c r="S221" s="11"/>
      <c r="T221" s="26"/>
      <c r="U221" s="28">
        <f t="shared" si="17"/>
        <v>1.689918941979522</v>
      </c>
    </row>
    <row r="222" spans="2:21" ht="16.5" thickBot="1" x14ac:dyDescent="0.3">
      <c r="B222" s="12"/>
      <c r="C222" s="33">
        <v>303.7</v>
      </c>
      <c r="D222" s="34">
        <v>30.49</v>
      </c>
      <c r="E222" s="34">
        <v>35.826000000000001</v>
      </c>
      <c r="F222" s="34">
        <v>36.683</v>
      </c>
      <c r="G222" s="20">
        <v>26.81</v>
      </c>
      <c r="H222" s="20">
        <f t="shared" si="15"/>
        <v>31.931124999999998</v>
      </c>
      <c r="I222" s="5"/>
      <c r="J222" s="19">
        <v>304.13549999999998</v>
      </c>
      <c r="K222" s="20">
        <v>30.7044</v>
      </c>
      <c r="L222" s="20">
        <v>37.7821</v>
      </c>
      <c r="M222" s="20">
        <v>38.528100000000002</v>
      </c>
      <c r="N222" s="20">
        <v>80.782700000000006</v>
      </c>
      <c r="O222" s="20">
        <f t="shared" si="16"/>
        <v>32.567075000000003</v>
      </c>
      <c r="P222" s="7"/>
      <c r="Q222" s="13"/>
      <c r="R222" s="14"/>
      <c r="S222" s="14"/>
      <c r="T222" s="27"/>
      <c r="U222" s="28">
        <f t="shared" si="17"/>
        <v>2.0131555389779936</v>
      </c>
    </row>
    <row r="223" spans="2:21" x14ac:dyDescent="0.25">
      <c r="B223" s="6" t="s">
        <v>105</v>
      </c>
      <c r="C223" s="15">
        <v>1486.61</v>
      </c>
      <c r="D223" s="16">
        <v>38.152000000000001</v>
      </c>
      <c r="E223" s="16">
        <v>43.423999999999999</v>
      </c>
      <c r="F223" s="16">
        <v>45.116999999999997</v>
      </c>
      <c r="G223" s="16">
        <v>13.93</v>
      </c>
      <c r="H223" s="16">
        <f t="shared" si="15"/>
        <v>39.681625000000004</v>
      </c>
      <c r="I223" s="5"/>
      <c r="J223" s="15">
        <v>1509.7601</v>
      </c>
      <c r="K223" s="16">
        <v>37.982999999999997</v>
      </c>
      <c r="L223" s="16">
        <v>44.1083</v>
      </c>
      <c r="M223" s="16">
        <v>45.626100000000001</v>
      </c>
      <c r="N223" s="16">
        <v>43.623699999999999</v>
      </c>
      <c r="O223" s="16">
        <f t="shared" si="16"/>
        <v>39.704049999999995</v>
      </c>
      <c r="P223" s="7"/>
      <c r="Q223" s="8">
        <f>bdrate(C223:C226,D223:D226,J223:J226,K223:K226)</f>
        <v>4.5582131177000385E-2</v>
      </c>
      <c r="R223" s="8">
        <f>bdrate(C223:C226,E223:E226,J223:J226,L223:L226)</f>
        <v>-0.35579201974459529</v>
      </c>
      <c r="S223" s="8">
        <f>bdrate(C223:C226,F223:F226,J223:J226,M223:M226)</f>
        <v>-0.29183553685845753</v>
      </c>
      <c r="T223" s="25">
        <f>bdrate(C223:C226,H223:H226,J223:J226,O223:O226)</f>
        <v>-4.2787234529214624E-2</v>
      </c>
      <c r="U223" s="28">
        <f t="shared" si="17"/>
        <v>2.1316367552045943</v>
      </c>
    </row>
    <row r="224" spans="2:21" x14ac:dyDescent="0.25">
      <c r="B224" s="9"/>
      <c r="C224" s="17">
        <v>992.41</v>
      </c>
      <c r="D224" s="18">
        <v>36.688000000000002</v>
      </c>
      <c r="E224" s="18">
        <v>42.298000000000002</v>
      </c>
      <c r="F224" s="18">
        <v>43.932000000000002</v>
      </c>
      <c r="G224" s="18">
        <v>15.75</v>
      </c>
      <c r="H224" s="18">
        <f t="shared" si="15"/>
        <v>38.294750000000008</v>
      </c>
      <c r="I224" s="5"/>
      <c r="J224" s="17">
        <v>1006.8415</v>
      </c>
      <c r="K224" s="18">
        <v>36.545299999999997</v>
      </c>
      <c r="L224" s="18">
        <v>43.2014</v>
      </c>
      <c r="M224" s="18">
        <v>44.656999999999996</v>
      </c>
      <c r="N224" s="18">
        <v>51.1233</v>
      </c>
      <c r="O224" s="18">
        <f t="shared" si="16"/>
        <v>38.391274999999993</v>
      </c>
      <c r="P224" s="7"/>
      <c r="Q224" s="10"/>
      <c r="R224" s="11"/>
      <c r="S224" s="11"/>
      <c r="T224" s="26"/>
      <c r="U224" s="28">
        <f t="shared" si="17"/>
        <v>2.2459238095238097</v>
      </c>
    </row>
    <row r="225" spans="2:21" x14ac:dyDescent="0.25">
      <c r="B225" s="9"/>
      <c r="C225" s="17">
        <v>595.33000000000004</v>
      </c>
      <c r="D225" s="18">
        <v>34.944000000000003</v>
      </c>
      <c r="E225" s="18">
        <v>40.944000000000003</v>
      </c>
      <c r="F225" s="18">
        <v>42.372999999999998</v>
      </c>
      <c r="G225" s="18">
        <v>18.12</v>
      </c>
      <c r="H225" s="18">
        <f t="shared" si="15"/>
        <v>36.622624999999999</v>
      </c>
      <c r="I225" s="5"/>
      <c r="J225" s="17">
        <v>601.75469999999996</v>
      </c>
      <c r="K225" s="18">
        <v>34.836300000000001</v>
      </c>
      <c r="L225" s="18">
        <v>42.109699999999997</v>
      </c>
      <c r="M225" s="18">
        <v>43.453000000000003</v>
      </c>
      <c r="N225" s="18">
        <v>61.471200000000003</v>
      </c>
      <c r="O225" s="18">
        <f t="shared" si="16"/>
        <v>36.822562500000004</v>
      </c>
      <c r="P225" s="7"/>
      <c r="Q225" s="10"/>
      <c r="R225" s="11"/>
      <c r="S225" s="11"/>
      <c r="T225" s="26"/>
      <c r="U225" s="28">
        <f t="shared" si="17"/>
        <v>2.3924503311258278</v>
      </c>
    </row>
    <row r="226" spans="2:21" ht="16.5" thickBot="1" x14ac:dyDescent="0.3">
      <c r="B226" s="12"/>
      <c r="C226" s="19">
        <v>302.45999999999998</v>
      </c>
      <c r="D226" s="20">
        <v>32.790999999999997</v>
      </c>
      <c r="E226" s="20">
        <v>39.344000000000001</v>
      </c>
      <c r="F226" s="20">
        <v>40.481999999999999</v>
      </c>
      <c r="G226" s="20">
        <v>22.16</v>
      </c>
      <c r="H226" s="20">
        <f t="shared" si="15"/>
        <v>34.5715</v>
      </c>
      <c r="I226" s="5"/>
      <c r="J226" s="19">
        <v>300.4316</v>
      </c>
      <c r="K226" s="20">
        <v>32.728000000000002</v>
      </c>
      <c r="L226" s="20">
        <v>40.759399999999999</v>
      </c>
      <c r="M226" s="20">
        <v>41.877200000000002</v>
      </c>
      <c r="N226" s="20">
        <v>79.027100000000004</v>
      </c>
      <c r="O226" s="20">
        <f t="shared" si="16"/>
        <v>34.875574999999998</v>
      </c>
      <c r="P226" s="7"/>
      <c r="Q226" s="13"/>
      <c r="R226" s="14"/>
      <c r="S226" s="14"/>
      <c r="T226" s="27"/>
      <c r="U226" s="28">
        <f t="shared" si="17"/>
        <v>2.5662048736462095</v>
      </c>
    </row>
    <row r="227" spans="2:21" x14ac:dyDescent="0.25">
      <c r="B227" s="6" t="s">
        <v>106</v>
      </c>
      <c r="C227" s="15">
        <v>1611.94</v>
      </c>
      <c r="D227" s="16">
        <v>49.649000000000001</v>
      </c>
      <c r="E227" s="16">
        <v>54.756999999999998</v>
      </c>
      <c r="F227" s="16">
        <v>56.066000000000003</v>
      </c>
      <c r="G227" s="16">
        <v>17.670000000000002</v>
      </c>
      <c r="H227" s="16">
        <f t="shared" si="15"/>
        <v>51.089624999999998</v>
      </c>
      <c r="I227" s="5"/>
      <c r="J227" s="15">
        <v>1499.2367999999999</v>
      </c>
      <c r="K227" s="16">
        <v>49.3748</v>
      </c>
      <c r="L227" s="16">
        <v>54.2971</v>
      </c>
      <c r="M227" s="16">
        <v>55.735300000000002</v>
      </c>
      <c r="N227" s="16">
        <v>55.954700000000003</v>
      </c>
      <c r="O227" s="16">
        <f t="shared" si="16"/>
        <v>50.785150000000002</v>
      </c>
      <c r="P227" s="7"/>
      <c r="Q227" s="8">
        <f>bdrate(C227:C230,D227:D230,J227:J230,K227:K230)</f>
        <v>-8.0021137778773177E-2</v>
      </c>
      <c r="R227" s="8">
        <f>bdrate(C227:C230,E227:E230,J227:J230,L227:L230)</f>
        <v>-7.1790056945491898E-2</v>
      </c>
      <c r="S227" s="8">
        <f>bdrate(C227:C230,F227:F230,J227:J230,M227:M230)</f>
        <v>-8.2176513144600727E-2</v>
      </c>
      <c r="T227" s="25">
        <f>bdrate(C227:C230,H227:H230,J227:J230,O227:O230)</f>
        <v>-7.9289508929875852E-2</v>
      </c>
      <c r="U227" s="28">
        <f t="shared" si="17"/>
        <v>2.1666496887379738</v>
      </c>
    </row>
    <row r="228" spans="2:21" x14ac:dyDescent="0.25">
      <c r="B228" s="9"/>
      <c r="C228" s="17">
        <v>1068.18</v>
      </c>
      <c r="D228" s="18">
        <v>47.850999999999999</v>
      </c>
      <c r="E228" s="18">
        <v>53.151000000000003</v>
      </c>
      <c r="F228" s="18">
        <v>54.573</v>
      </c>
      <c r="G228" s="18">
        <v>20.7</v>
      </c>
      <c r="H228" s="18">
        <f t="shared" si="15"/>
        <v>49.353749999999998</v>
      </c>
      <c r="I228" s="5"/>
      <c r="J228" s="17">
        <v>998.62249999999995</v>
      </c>
      <c r="K228" s="18">
        <v>47.782699999999998</v>
      </c>
      <c r="L228" s="18">
        <v>52.941699999999997</v>
      </c>
      <c r="M228" s="18">
        <v>54.447499999999998</v>
      </c>
      <c r="N228" s="18">
        <v>64.602999999999994</v>
      </c>
      <c r="O228" s="18">
        <f t="shared" si="16"/>
        <v>49.260674999999992</v>
      </c>
      <c r="P228" s="7"/>
      <c r="Q228" s="10"/>
      <c r="R228" s="11"/>
      <c r="S228" s="11"/>
      <c r="T228" s="26"/>
      <c r="U228" s="28">
        <f t="shared" si="17"/>
        <v>2.120917874396135</v>
      </c>
    </row>
    <row r="229" spans="2:21" x14ac:dyDescent="0.25">
      <c r="B229" s="9"/>
      <c r="C229" s="17">
        <v>637.84</v>
      </c>
      <c r="D229" s="18">
        <v>45.598999999999997</v>
      </c>
      <c r="E229" s="18">
        <v>51.119</v>
      </c>
      <c r="F229" s="18">
        <v>52.594999999999999</v>
      </c>
      <c r="G229" s="18">
        <v>24.93</v>
      </c>
      <c r="H229" s="18">
        <f t="shared" si="15"/>
        <v>47.163499999999999</v>
      </c>
      <c r="I229" s="5"/>
      <c r="J229" s="17">
        <v>601.11450000000002</v>
      </c>
      <c r="K229" s="18">
        <v>45.7746</v>
      </c>
      <c r="L229" s="18">
        <v>51.265000000000001</v>
      </c>
      <c r="M229" s="18">
        <v>52.768900000000002</v>
      </c>
      <c r="N229" s="18">
        <v>76.608599999999996</v>
      </c>
      <c r="O229" s="18">
        <f t="shared" si="16"/>
        <v>47.335187500000004</v>
      </c>
      <c r="P229" s="7"/>
      <c r="Q229" s="10"/>
      <c r="R229" s="11"/>
      <c r="S229" s="11"/>
      <c r="T229" s="26"/>
      <c r="U229" s="28">
        <f t="shared" si="17"/>
        <v>2.0729482551143201</v>
      </c>
    </row>
    <row r="230" spans="2:21" ht="16.5" thickBot="1" x14ac:dyDescent="0.3">
      <c r="B230" s="12"/>
      <c r="C230" s="19">
        <v>318.02999999999997</v>
      </c>
      <c r="D230" s="20">
        <v>42.54</v>
      </c>
      <c r="E230" s="20">
        <v>48.185000000000002</v>
      </c>
      <c r="F230" s="20">
        <v>49.661000000000001</v>
      </c>
      <c r="G230" s="20">
        <v>30.05</v>
      </c>
      <c r="H230" s="20">
        <f t="shared" si="15"/>
        <v>44.135750000000002</v>
      </c>
      <c r="I230" s="5"/>
      <c r="J230" s="19">
        <v>302.19029999999998</v>
      </c>
      <c r="K230" s="20">
        <v>42.869599999999998</v>
      </c>
      <c r="L230" s="20">
        <v>48.6631</v>
      </c>
      <c r="M230" s="20">
        <v>50.118899999999996</v>
      </c>
      <c r="N230" s="20">
        <v>98.478200000000001</v>
      </c>
      <c r="O230" s="20">
        <f t="shared" si="16"/>
        <v>44.499949999999998</v>
      </c>
      <c r="P230" s="7"/>
      <c r="Q230" s="13"/>
      <c r="R230" s="14"/>
      <c r="S230" s="14"/>
      <c r="T230" s="27"/>
      <c r="U230" s="28">
        <f t="shared" si="17"/>
        <v>2.277144758735441</v>
      </c>
    </row>
    <row r="231" spans="2:21" x14ac:dyDescent="0.25">
      <c r="B231" s="6" t="s">
        <v>107</v>
      </c>
      <c r="C231" s="15">
        <v>1465.84</v>
      </c>
      <c r="D231" s="16">
        <v>33.168999999999997</v>
      </c>
      <c r="E231" s="16">
        <v>40.340000000000003</v>
      </c>
      <c r="F231" s="16">
        <v>39.817999999999998</v>
      </c>
      <c r="G231" s="16">
        <v>12.4</v>
      </c>
      <c r="H231" s="16">
        <f t="shared" si="15"/>
        <v>34.896499999999996</v>
      </c>
      <c r="I231" s="5"/>
      <c r="J231" s="15">
        <v>1493.0359000000001</v>
      </c>
      <c r="K231" s="16">
        <v>33.0167</v>
      </c>
      <c r="L231" s="16">
        <v>41.509900000000002</v>
      </c>
      <c r="M231" s="16">
        <v>40.8887</v>
      </c>
      <c r="N231" s="16">
        <v>31.3627</v>
      </c>
      <c r="O231" s="16">
        <f t="shared" si="16"/>
        <v>35.062349999999995</v>
      </c>
      <c r="P231" s="7"/>
      <c r="Q231" s="8">
        <f>bdrate(C231:C234,D231:D234,J231:J234,K231:K234)</f>
        <v>-3.4277304257707808E-2</v>
      </c>
      <c r="R231" s="8">
        <f>bdrate(C231:C234,E231:E234,J231:J234,L231:L234)</f>
        <v>-0.46120567099791432</v>
      </c>
      <c r="S231" s="8">
        <f>bdrate(C231:C234,F231:F234,J231:J234,M231:M234)</f>
        <v>-0.44600554069748355</v>
      </c>
      <c r="T231" s="25">
        <f>bdrate(C231:C234,H231:H234,J231:J234,O231:O234)</f>
        <v>-0.12682432398310917</v>
      </c>
      <c r="U231" s="28">
        <f t="shared" si="17"/>
        <v>1.5292499999999998</v>
      </c>
    </row>
    <row r="232" spans="2:21" x14ac:dyDescent="0.25">
      <c r="B232" s="9"/>
      <c r="C232" s="17">
        <v>978.13</v>
      </c>
      <c r="D232" s="18">
        <v>31.38</v>
      </c>
      <c r="E232" s="18">
        <v>39.021999999999998</v>
      </c>
      <c r="F232" s="18">
        <v>38.450000000000003</v>
      </c>
      <c r="G232" s="18">
        <v>13.81</v>
      </c>
      <c r="H232" s="18">
        <f t="shared" si="15"/>
        <v>33.219000000000001</v>
      </c>
      <c r="I232" s="5"/>
      <c r="J232" s="17">
        <v>994.33799999999997</v>
      </c>
      <c r="K232" s="18">
        <v>31.3431</v>
      </c>
      <c r="L232" s="18">
        <v>40.6203</v>
      </c>
      <c r="M232" s="18">
        <v>39.996000000000002</v>
      </c>
      <c r="N232" s="18">
        <v>36.340899999999998</v>
      </c>
      <c r="O232" s="18">
        <f t="shared" si="16"/>
        <v>33.584362499999997</v>
      </c>
      <c r="P232" s="7"/>
      <c r="Q232" s="10"/>
      <c r="R232" s="11"/>
      <c r="S232" s="11"/>
      <c r="T232" s="26"/>
      <c r="U232" s="28">
        <f t="shared" si="17"/>
        <v>1.631491672700941</v>
      </c>
    </row>
    <row r="233" spans="2:21" x14ac:dyDescent="0.25">
      <c r="B233" s="9"/>
      <c r="C233" s="17">
        <v>586.62</v>
      </c>
      <c r="D233" s="18">
        <v>29.062000000000001</v>
      </c>
      <c r="E233" s="18">
        <v>37.29</v>
      </c>
      <c r="F233" s="18">
        <v>36.613</v>
      </c>
      <c r="G233" s="18">
        <v>15.44</v>
      </c>
      <c r="H233" s="18">
        <f t="shared" si="15"/>
        <v>31.034375000000001</v>
      </c>
      <c r="I233" s="5"/>
      <c r="J233" s="17">
        <v>596.67309999999998</v>
      </c>
      <c r="K233" s="18">
        <v>29.181000000000001</v>
      </c>
      <c r="L233" s="18">
        <v>39.3718</v>
      </c>
      <c r="M233" s="18">
        <v>38.702300000000001</v>
      </c>
      <c r="N233" s="18">
        <v>43.739199999999997</v>
      </c>
      <c r="O233" s="18">
        <f t="shared" si="16"/>
        <v>31.645012500000004</v>
      </c>
      <c r="P233" s="7"/>
      <c r="Q233" s="10"/>
      <c r="R233" s="11"/>
      <c r="S233" s="11"/>
      <c r="T233" s="26"/>
      <c r="U233" s="28">
        <f t="shared" si="17"/>
        <v>1.8328497409326425</v>
      </c>
    </row>
    <row r="234" spans="2:21" ht="16.5" thickBot="1" x14ac:dyDescent="0.3">
      <c r="B234" s="12"/>
      <c r="C234" s="19">
        <v>321.79000000000002</v>
      </c>
      <c r="D234" s="20">
        <v>24.605</v>
      </c>
      <c r="E234" s="20">
        <v>32.920999999999999</v>
      </c>
      <c r="F234" s="20">
        <v>32.707999999999998</v>
      </c>
      <c r="G234" s="20">
        <v>29.33</v>
      </c>
      <c r="H234" s="20">
        <f t="shared" si="15"/>
        <v>26.657374999999998</v>
      </c>
      <c r="I234" s="5"/>
      <c r="J234" s="19">
        <v>298.75040000000001</v>
      </c>
      <c r="K234" s="20">
        <v>26.405899999999999</v>
      </c>
      <c r="L234" s="20">
        <v>37.377800000000001</v>
      </c>
      <c r="M234" s="20">
        <v>36.719000000000001</v>
      </c>
      <c r="N234" s="20">
        <v>55.420400000000001</v>
      </c>
      <c r="O234" s="20">
        <f t="shared" si="16"/>
        <v>29.066524999999999</v>
      </c>
      <c r="P234" s="7"/>
      <c r="Q234" s="13"/>
      <c r="R234" s="14"/>
      <c r="S234" s="14"/>
      <c r="T234" s="27"/>
      <c r="U234" s="28">
        <f t="shared" si="17"/>
        <v>0.88954653937947503</v>
      </c>
    </row>
    <row r="235" spans="2:21" x14ac:dyDescent="0.25">
      <c r="B235" s="6" t="s">
        <v>108</v>
      </c>
      <c r="C235" s="15">
        <v>1665.86</v>
      </c>
      <c r="D235" s="16">
        <v>47.113</v>
      </c>
      <c r="E235" s="16">
        <v>47.904000000000003</v>
      </c>
      <c r="F235" s="16">
        <v>47.835000000000001</v>
      </c>
      <c r="G235" s="16">
        <v>19.940000000000001</v>
      </c>
      <c r="H235" s="16">
        <f t="shared" si="15"/>
        <v>47.302124999999997</v>
      </c>
      <c r="I235" s="5"/>
      <c r="J235" s="15">
        <v>1415.9531999999999</v>
      </c>
      <c r="K235" s="16">
        <v>46.731200000000001</v>
      </c>
      <c r="L235" s="16">
        <v>48.141300000000001</v>
      </c>
      <c r="M235" s="16">
        <v>48.033999999999999</v>
      </c>
      <c r="N235" s="16">
        <v>38.282400000000003</v>
      </c>
      <c r="O235" s="16">
        <f t="shared" si="16"/>
        <v>47.0703125</v>
      </c>
      <c r="P235" s="7"/>
      <c r="Q235" s="8">
        <f>bdrate(C235:C238,D235:D238,J235:J238,K235:K238)</f>
        <v>-8.7635690344320283E-2</v>
      </c>
      <c r="R235" s="8">
        <f>bdrate(C235:C238,E235:E238,J235:J238,L235:L238)</f>
        <v>-0.25945435289305985</v>
      </c>
      <c r="S235" s="8">
        <f>bdrate(C235:C238,F235:F238,J235:J238,M235:M238)</f>
        <v>-0.25651178622501569</v>
      </c>
      <c r="T235" s="25">
        <f>bdrate(C235:C238,H235:H238,J235:J238,O235:O238)</f>
        <v>-0.12853046657338307</v>
      </c>
      <c r="U235" s="28">
        <f t="shared" si="17"/>
        <v>0.91987963891675029</v>
      </c>
    </row>
    <row r="236" spans="2:21" x14ac:dyDescent="0.25">
      <c r="B236" s="9"/>
      <c r="C236" s="17">
        <v>1100.0999999999999</v>
      </c>
      <c r="D236" s="18">
        <v>45.112000000000002</v>
      </c>
      <c r="E236" s="18">
        <v>46.011000000000003</v>
      </c>
      <c r="F236" s="18">
        <v>45.911999999999999</v>
      </c>
      <c r="G236" s="18">
        <v>22.08</v>
      </c>
      <c r="H236" s="18">
        <f t="shared" si="15"/>
        <v>45.324375000000003</v>
      </c>
      <c r="I236" s="5"/>
      <c r="J236" s="17">
        <v>958.48590000000002</v>
      </c>
      <c r="K236" s="18">
        <v>45.1188</v>
      </c>
      <c r="L236" s="18">
        <v>46.747300000000003</v>
      </c>
      <c r="M236" s="18">
        <v>46.641199999999998</v>
      </c>
      <c r="N236" s="18">
        <v>52.880499999999998</v>
      </c>
      <c r="O236" s="18">
        <f t="shared" si="16"/>
        <v>45.512662500000005</v>
      </c>
      <c r="P236" s="7"/>
      <c r="Q236" s="10"/>
      <c r="R236" s="11"/>
      <c r="S236" s="11"/>
      <c r="T236" s="26"/>
      <c r="U236" s="28">
        <f t="shared" si="17"/>
        <v>1.3949501811594203</v>
      </c>
    </row>
    <row r="237" spans="2:21" x14ac:dyDescent="0.25">
      <c r="B237" s="9"/>
      <c r="C237" s="17">
        <v>654.98</v>
      </c>
      <c r="D237" s="18">
        <v>42.329000000000001</v>
      </c>
      <c r="E237" s="18">
        <v>43.472999999999999</v>
      </c>
      <c r="F237" s="18">
        <v>43.302999999999997</v>
      </c>
      <c r="G237" s="18">
        <v>24.68</v>
      </c>
      <c r="H237" s="18">
        <f t="shared" si="15"/>
        <v>42.59375</v>
      </c>
      <c r="I237" s="5"/>
      <c r="J237" s="17">
        <v>593.13509999999997</v>
      </c>
      <c r="K237" s="18">
        <v>42.273000000000003</v>
      </c>
      <c r="L237" s="18">
        <v>44.517699999999998</v>
      </c>
      <c r="M237" s="18">
        <v>44.3414</v>
      </c>
      <c r="N237" s="18">
        <v>68.796800000000005</v>
      </c>
      <c r="O237" s="18">
        <f t="shared" si="16"/>
        <v>42.812137500000006</v>
      </c>
      <c r="P237" s="7"/>
      <c r="Q237" s="10"/>
      <c r="R237" s="11"/>
      <c r="S237" s="11"/>
      <c r="T237" s="26"/>
      <c r="U237" s="28">
        <f t="shared" si="17"/>
        <v>1.7875526742301462</v>
      </c>
    </row>
    <row r="238" spans="2:21" ht="16.5" thickBot="1" x14ac:dyDescent="0.3">
      <c r="B238" s="12"/>
      <c r="C238" s="19">
        <v>323.20999999999998</v>
      </c>
      <c r="D238" s="20">
        <v>37.991999999999997</v>
      </c>
      <c r="E238" s="20">
        <v>39.82</v>
      </c>
      <c r="F238" s="20">
        <v>39.557000000000002</v>
      </c>
      <c r="G238" s="20">
        <v>28.67</v>
      </c>
      <c r="H238" s="20">
        <f t="shared" si="15"/>
        <v>38.416125000000001</v>
      </c>
      <c r="I238" s="5"/>
      <c r="J238" s="19">
        <v>302.90039999999999</v>
      </c>
      <c r="K238" s="20">
        <v>37.852699999999999</v>
      </c>
      <c r="L238" s="20">
        <v>41.038600000000002</v>
      </c>
      <c r="M238" s="20">
        <v>40.845500000000001</v>
      </c>
      <c r="N238" s="20">
        <v>86.496899999999997</v>
      </c>
      <c r="O238" s="20">
        <f t="shared" si="16"/>
        <v>38.625037500000005</v>
      </c>
      <c r="P238" s="7"/>
      <c r="Q238" s="13"/>
      <c r="R238" s="14"/>
      <c r="S238" s="14"/>
      <c r="T238" s="27"/>
      <c r="U238" s="28">
        <f t="shared" si="17"/>
        <v>2.0169829089640738</v>
      </c>
    </row>
    <row r="239" spans="2:21" x14ac:dyDescent="0.25">
      <c r="B239" s="6" t="s">
        <v>109</v>
      </c>
      <c r="C239" s="15">
        <v>1963.53</v>
      </c>
      <c r="D239" s="16">
        <v>46.795999999999999</v>
      </c>
      <c r="E239" s="16">
        <v>48.805999999999997</v>
      </c>
      <c r="F239" s="16">
        <v>49.036999999999999</v>
      </c>
      <c r="G239" s="16">
        <v>21.84</v>
      </c>
      <c r="H239" s="16">
        <f t="shared" si="15"/>
        <v>47.327374999999996</v>
      </c>
      <c r="I239" s="5"/>
      <c r="J239" s="15">
        <v>1420.1026999999999</v>
      </c>
      <c r="K239" s="16">
        <v>47.036099999999998</v>
      </c>
      <c r="L239" s="16">
        <v>49.913600000000002</v>
      </c>
      <c r="M239" s="16">
        <v>50.032499999999999</v>
      </c>
      <c r="N239" s="16">
        <v>39.166200000000003</v>
      </c>
      <c r="O239" s="16">
        <f t="shared" si="16"/>
        <v>47.770337499999997</v>
      </c>
      <c r="P239" s="7"/>
      <c r="Q239" s="8">
        <f>bdrate(C239:C242,D239:D242,J239:J242,K239:K242)</f>
        <v>-0.28056056835901988</v>
      </c>
      <c r="R239" s="8">
        <f>bdrate(C239:C242,E239:E242,J239:J242,L239:L242)</f>
        <v>-0.43608887258640572</v>
      </c>
      <c r="S239" s="8">
        <f>bdrate(C239:C242,F239:F242,J239:J242,M239:M242)</f>
        <v>-0.43821383102571487</v>
      </c>
      <c r="T239" s="25">
        <f>bdrate(C239:C242,H239:H242,J239:J242,O239:O242)</f>
        <v>-0.32260994360369166</v>
      </c>
      <c r="U239" s="28">
        <f t="shared" si="17"/>
        <v>0.79332417582417603</v>
      </c>
    </row>
    <row r="240" spans="2:21" x14ac:dyDescent="0.25">
      <c r="B240" s="9"/>
      <c r="C240" s="17">
        <v>1278.8499999999999</v>
      </c>
      <c r="D240" s="18">
        <v>44.430999999999997</v>
      </c>
      <c r="E240" s="18">
        <v>46.503999999999998</v>
      </c>
      <c r="F240" s="18">
        <v>46.74</v>
      </c>
      <c r="G240" s="18">
        <v>24.41</v>
      </c>
      <c r="H240" s="18">
        <f t="shared" si="15"/>
        <v>44.978750000000005</v>
      </c>
      <c r="I240" s="5"/>
      <c r="J240" s="17">
        <v>981.89149999999995</v>
      </c>
      <c r="K240" s="18">
        <v>45.721899999999998</v>
      </c>
      <c r="L240" s="18">
        <v>48.828600000000002</v>
      </c>
      <c r="M240" s="18">
        <v>48.994100000000003</v>
      </c>
      <c r="N240" s="18">
        <v>46.4696</v>
      </c>
      <c r="O240" s="18">
        <f t="shared" si="16"/>
        <v>46.519262499999996</v>
      </c>
      <c r="P240" s="7"/>
      <c r="Q240" s="10"/>
      <c r="R240" s="11"/>
      <c r="S240" s="11"/>
      <c r="T240" s="26"/>
      <c r="U240" s="28">
        <f t="shared" si="17"/>
        <v>0.90371159360917652</v>
      </c>
    </row>
    <row r="241" spans="2:21" x14ac:dyDescent="0.25">
      <c r="B241" s="9"/>
      <c r="C241" s="17">
        <v>747.69</v>
      </c>
      <c r="D241" s="18">
        <v>41.734000000000002</v>
      </c>
      <c r="E241" s="18">
        <v>43.792000000000002</v>
      </c>
      <c r="F241" s="18">
        <v>44.048000000000002</v>
      </c>
      <c r="G241" s="18">
        <v>27.79</v>
      </c>
      <c r="H241" s="18">
        <f t="shared" si="15"/>
        <v>42.280500000000004</v>
      </c>
      <c r="I241" s="5"/>
      <c r="J241" s="17">
        <v>638.73609999999996</v>
      </c>
      <c r="K241" s="18">
        <v>42.558100000000003</v>
      </c>
      <c r="L241" s="18">
        <v>45.877400000000002</v>
      </c>
      <c r="M241" s="18">
        <v>46.155999999999999</v>
      </c>
      <c r="N241" s="18">
        <v>47.013300000000001</v>
      </c>
      <c r="O241" s="18">
        <f t="shared" si="16"/>
        <v>43.422750000000008</v>
      </c>
      <c r="P241" s="7"/>
      <c r="Q241" s="10"/>
      <c r="R241" s="11"/>
      <c r="S241" s="11"/>
      <c r="T241" s="26"/>
      <c r="U241" s="28">
        <f t="shared" si="17"/>
        <v>0.69173443684778702</v>
      </c>
    </row>
    <row r="242" spans="2:21" ht="16.5" thickBot="1" x14ac:dyDescent="0.3">
      <c r="B242" s="12"/>
      <c r="C242" s="19">
        <v>357.98</v>
      </c>
      <c r="D242" s="20">
        <v>38.036999999999999</v>
      </c>
      <c r="E242" s="20">
        <v>40.351999999999997</v>
      </c>
      <c r="F242" s="20">
        <v>40.700000000000003</v>
      </c>
      <c r="G242" s="20">
        <v>32.14</v>
      </c>
      <c r="H242" s="20">
        <f t="shared" si="15"/>
        <v>38.659249999999993</v>
      </c>
      <c r="I242" s="5"/>
      <c r="J242" s="19">
        <v>352.17610000000002</v>
      </c>
      <c r="K242" s="20">
        <v>38.510399999999997</v>
      </c>
      <c r="L242" s="20">
        <v>42.306800000000003</v>
      </c>
      <c r="M242" s="20">
        <v>42.601999999999997</v>
      </c>
      <c r="N242" s="20">
        <v>79.463200000000001</v>
      </c>
      <c r="O242" s="20">
        <f t="shared" si="16"/>
        <v>39.496399999999994</v>
      </c>
      <c r="P242" s="7"/>
      <c r="Q242" s="13"/>
      <c r="R242" s="14"/>
      <c r="S242" s="14"/>
      <c r="T242" s="27"/>
      <c r="U242" s="28">
        <f t="shared" si="17"/>
        <v>1.4724082140634722</v>
      </c>
    </row>
    <row r="243" spans="2:21" x14ac:dyDescent="0.25">
      <c r="B243" s="6" t="s">
        <v>110</v>
      </c>
      <c r="C243" s="15">
        <v>1535.31</v>
      </c>
      <c r="D243" s="16">
        <v>33.558999999999997</v>
      </c>
      <c r="E243" s="16">
        <v>36.817</v>
      </c>
      <c r="F243" s="16">
        <v>35.691000000000003</v>
      </c>
      <c r="G243" s="16">
        <v>14.43</v>
      </c>
      <c r="H243" s="16">
        <f t="shared" si="15"/>
        <v>34.232749999999996</v>
      </c>
      <c r="I243" s="5"/>
      <c r="J243" s="29">
        <v>1514.3492000000001</v>
      </c>
      <c r="K243" s="30">
        <v>33.299199999999999</v>
      </c>
      <c r="L243" s="30">
        <v>37.790999999999997</v>
      </c>
      <c r="M243" s="30">
        <v>36.624400000000001</v>
      </c>
      <c r="N243" s="16">
        <v>36.722000000000001</v>
      </c>
      <c r="O243" s="16">
        <f t="shared" si="16"/>
        <v>34.276325</v>
      </c>
      <c r="P243" s="7"/>
      <c r="Q243" s="8">
        <f>bdrate(C243:C246,D243:D246,J243:J246,K243:K246)</f>
        <v>1.4113320724922662E-2</v>
      </c>
      <c r="R243" s="8">
        <f>bdrate(C243:C246,E243:E246,J243:J246,L243:L246)</f>
        <v>-0.42455451212012085</v>
      </c>
      <c r="S243" s="8">
        <f>bdrate(C243:C246,F243:F246,J243:J246,M243:M246)</f>
        <v>-0.40455986687723644</v>
      </c>
      <c r="T243" s="25">
        <f>bdrate(C243:C246,H243:H246,J243:J246,O243:O246)</f>
        <v>-8.0493360907210043E-2</v>
      </c>
      <c r="U243" s="28">
        <f t="shared" si="17"/>
        <v>1.544837144837145</v>
      </c>
    </row>
    <row r="244" spans="2:21" x14ac:dyDescent="0.25">
      <c r="B244" s="9"/>
      <c r="C244" s="17">
        <v>1019.4</v>
      </c>
      <c r="D244" s="18">
        <v>31.664999999999999</v>
      </c>
      <c r="E244" s="18">
        <v>35.405000000000001</v>
      </c>
      <c r="F244" s="18">
        <v>34.207999999999998</v>
      </c>
      <c r="G244" s="18">
        <v>16.350000000000001</v>
      </c>
      <c r="H244" s="18">
        <f t="shared" si="15"/>
        <v>32.450375000000001</v>
      </c>
      <c r="I244" s="5"/>
      <c r="J244" s="31">
        <v>1008.8559</v>
      </c>
      <c r="K244" s="32">
        <v>31.3797</v>
      </c>
      <c r="L244" s="32">
        <v>36.713900000000002</v>
      </c>
      <c r="M244" s="32">
        <v>35.506100000000004</v>
      </c>
      <c r="N244" s="18">
        <v>41.622300000000003</v>
      </c>
      <c r="O244" s="18">
        <f t="shared" si="16"/>
        <v>32.562275</v>
      </c>
      <c r="P244" s="7"/>
      <c r="Q244" s="10"/>
      <c r="R244" s="11"/>
      <c r="S244" s="11"/>
      <c r="T244" s="26"/>
      <c r="U244" s="28">
        <f t="shared" si="17"/>
        <v>1.5457064220183485</v>
      </c>
    </row>
    <row r="245" spans="2:21" x14ac:dyDescent="0.25">
      <c r="B245" s="9"/>
      <c r="C245" s="17">
        <v>607.99</v>
      </c>
      <c r="D245" s="18">
        <v>29.393000000000001</v>
      </c>
      <c r="E245" s="18">
        <v>33.82</v>
      </c>
      <c r="F245" s="18">
        <v>32.512</v>
      </c>
      <c r="G245" s="18">
        <v>18.71</v>
      </c>
      <c r="H245" s="18">
        <f t="shared" si="15"/>
        <v>30.33625</v>
      </c>
      <c r="I245" s="5"/>
      <c r="J245" s="31">
        <v>606.38030000000003</v>
      </c>
      <c r="K245" s="32">
        <v>29.233899999999998</v>
      </c>
      <c r="L245" s="32">
        <v>35.499699999999997</v>
      </c>
      <c r="M245" s="32">
        <v>34.1965</v>
      </c>
      <c r="N245" s="18">
        <v>50.517800000000001</v>
      </c>
      <c r="O245" s="18">
        <f t="shared" si="16"/>
        <v>30.637449999999994</v>
      </c>
      <c r="P245" s="7"/>
      <c r="Q245" s="10"/>
      <c r="R245" s="11"/>
      <c r="S245" s="11"/>
      <c r="T245" s="26"/>
      <c r="U245" s="28">
        <f t="shared" si="17"/>
        <v>1.7000427578834847</v>
      </c>
    </row>
    <row r="246" spans="2:21" ht="16.5" thickBot="1" x14ac:dyDescent="0.3">
      <c r="B246" s="12"/>
      <c r="C246" s="19">
        <v>275.48</v>
      </c>
      <c r="D246" s="20">
        <v>25.433</v>
      </c>
      <c r="E246" s="20">
        <v>30.51</v>
      </c>
      <c r="F246" s="20">
        <v>29.21</v>
      </c>
      <c r="G246" s="20">
        <v>24.94</v>
      </c>
      <c r="H246" s="20">
        <f t="shared" si="15"/>
        <v>26.539750000000002</v>
      </c>
      <c r="I246" s="5"/>
      <c r="J246" s="33">
        <v>304.79109999999997</v>
      </c>
      <c r="K246" s="34">
        <v>26.745799999999999</v>
      </c>
      <c r="L246" s="34">
        <v>33.863</v>
      </c>
      <c r="M246" s="34">
        <v>32.451000000000001</v>
      </c>
      <c r="N246" s="20">
        <v>62.871099999999998</v>
      </c>
      <c r="O246" s="20">
        <f t="shared" si="16"/>
        <v>28.348599999999998</v>
      </c>
      <c r="P246" s="7"/>
      <c r="Q246" s="13"/>
      <c r="R246" s="14"/>
      <c r="S246" s="14"/>
      <c r="T246" s="27"/>
      <c r="U246" s="28">
        <f t="shared" si="17"/>
        <v>1.5208941459502807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-4.1789628212803541E-2</v>
      </c>
      <c r="R247" s="21">
        <f>AVERAGE(R131:R246)</f>
        <v>-0.3983134974939489</v>
      </c>
      <c r="S247" s="21">
        <f>AVERAGE(S131:S246)</f>
        <v>-0.38031537629057438</v>
      </c>
      <c r="T247" s="21">
        <f>AVERAGE(T131:T246)</f>
        <v>-0.11774267368748867</v>
      </c>
      <c r="U247" s="21">
        <f>AVERAGE(U131:U246)</f>
        <v>1.9907334149832159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547" priority="453" operator="greaterThan">
      <formula>0.03</formula>
    </cfRule>
    <cfRule type="cellIs" dxfId="546" priority="454" stopIfTrue="1" operator="lessThan">
      <formula>-0.03</formula>
    </cfRule>
  </conditionalFormatting>
  <conditionalFormatting sqref="Q33:T36">
    <cfRule type="cellIs" dxfId="545" priority="451" operator="greaterThan">
      <formula>0.03</formula>
    </cfRule>
    <cfRule type="cellIs" dxfId="544" priority="452" stopIfTrue="1" operator="lessThan">
      <formula>-0.03</formula>
    </cfRule>
  </conditionalFormatting>
  <conditionalFormatting sqref="Q46:T48 Q62:T64">
    <cfRule type="cellIs" dxfId="543" priority="449" operator="greaterThan">
      <formula>0.03</formula>
    </cfRule>
    <cfRule type="cellIs" dxfId="542" priority="450" stopIfTrue="1" operator="lessThan">
      <formula>-0.03</formula>
    </cfRule>
  </conditionalFormatting>
  <conditionalFormatting sqref="Q50:T52 Q54:T56 Q58:T60">
    <cfRule type="cellIs" dxfId="541" priority="447" operator="greaterThan">
      <formula>0.03</formula>
    </cfRule>
    <cfRule type="cellIs" dxfId="540" priority="448" stopIfTrue="1" operator="lessThan">
      <formula>-0.03</formula>
    </cfRule>
  </conditionalFormatting>
  <conditionalFormatting sqref="Q70:T72 Q74:T76">
    <cfRule type="cellIs" dxfId="539" priority="445" operator="greaterThan">
      <formula>0.03</formula>
    </cfRule>
    <cfRule type="cellIs" dxfId="538" priority="446" stopIfTrue="1" operator="lessThan">
      <formula>-0.03</formula>
    </cfRule>
  </conditionalFormatting>
  <conditionalFormatting sqref="Q66:T68">
    <cfRule type="cellIs" dxfId="537" priority="443" operator="greaterThan">
      <formula>0.03</formula>
    </cfRule>
    <cfRule type="cellIs" dxfId="536" priority="444" stopIfTrue="1" operator="lessThan">
      <formula>-0.03</formula>
    </cfRule>
  </conditionalFormatting>
  <conditionalFormatting sqref="Q78:T80">
    <cfRule type="cellIs" dxfId="535" priority="441" operator="greaterThan">
      <formula>0.03</formula>
    </cfRule>
    <cfRule type="cellIs" dxfId="534" priority="442" stopIfTrue="1" operator="lessThan">
      <formula>-0.03</formula>
    </cfRule>
  </conditionalFormatting>
  <conditionalFormatting sqref="Q21:T28">
    <cfRule type="cellIs" dxfId="533" priority="423" operator="greaterThan">
      <formula>0.03</formula>
    </cfRule>
    <cfRule type="cellIs" dxfId="532" priority="424" stopIfTrue="1" operator="lessThan">
      <formula>-0.03</formula>
    </cfRule>
  </conditionalFormatting>
  <conditionalFormatting sqref="Q151:T154 Q159:T166 Q131:T142">
    <cfRule type="cellIs" dxfId="531" priority="419" operator="greaterThan">
      <formula>0.03</formula>
    </cfRule>
    <cfRule type="cellIs" dxfId="530" priority="420" stopIfTrue="1" operator="lessThan">
      <formula>-0.03</formula>
    </cfRule>
  </conditionalFormatting>
  <conditionalFormatting sqref="Q155:T158">
    <cfRule type="cellIs" dxfId="529" priority="417" operator="greaterThan">
      <formula>0.03</formula>
    </cfRule>
    <cfRule type="cellIs" dxfId="528" priority="418" stopIfTrue="1" operator="lessThan">
      <formula>-0.03</formula>
    </cfRule>
  </conditionalFormatting>
  <conditionalFormatting sqref="Q167:T170 Q183:T186">
    <cfRule type="cellIs" dxfId="527" priority="415" operator="greaterThan">
      <formula>0.03</formula>
    </cfRule>
    <cfRule type="cellIs" dxfId="526" priority="416" stopIfTrue="1" operator="lessThan">
      <formula>-0.03</formula>
    </cfRule>
  </conditionalFormatting>
  <conditionalFormatting sqref="Q171:T182">
    <cfRule type="cellIs" dxfId="525" priority="413" operator="greaterThan">
      <formula>0.03</formula>
    </cfRule>
    <cfRule type="cellIs" dxfId="524" priority="414" stopIfTrue="1" operator="lessThan">
      <formula>-0.03</formula>
    </cfRule>
  </conditionalFormatting>
  <conditionalFormatting sqref="Q191:T198">
    <cfRule type="cellIs" dxfId="523" priority="411" operator="greaterThan">
      <formula>0.03</formula>
    </cfRule>
    <cfRule type="cellIs" dxfId="522" priority="412" stopIfTrue="1" operator="lessThan">
      <formula>-0.03</formula>
    </cfRule>
  </conditionalFormatting>
  <conditionalFormatting sqref="Q187:T190">
    <cfRule type="cellIs" dxfId="521" priority="409" operator="greaterThan">
      <formula>0.03</formula>
    </cfRule>
    <cfRule type="cellIs" dxfId="520" priority="410" stopIfTrue="1" operator="lessThan">
      <formula>-0.03</formula>
    </cfRule>
  </conditionalFormatting>
  <conditionalFormatting sqref="Q199:T202">
    <cfRule type="cellIs" dxfId="519" priority="407" operator="greaterThan">
      <formula>0.03</formula>
    </cfRule>
    <cfRule type="cellIs" dxfId="518" priority="408" stopIfTrue="1" operator="lessThan">
      <formula>-0.03</formula>
    </cfRule>
  </conditionalFormatting>
  <conditionalFormatting sqref="Q143:T150">
    <cfRule type="cellIs" dxfId="517" priority="405" operator="greaterThan">
      <formula>0.03</formula>
    </cfRule>
    <cfRule type="cellIs" dxfId="516" priority="406" stopIfTrue="1" operator="lessThan">
      <formula>-0.03</formula>
    </cfRule>
  </conditionalFormatting>
  <conditionalFormatting sqref="Q45:T45">
    <cfRule type="cellIs" dxfId="515" priority="403" operator="greaterThan">
      <formula>0.03</formula>
    </cfRule>
    <cfRule type="cellIs" dxfId="514" priority="404" stopIfTrue="1" operator="lessThan">
      <formula>-0.03</formula>
    </cfRule>
  </conditionalFormatting>
  <conditionalFormatting sqref="Q49:T49">
    <cfRule type="cellIs" dxfId="513" priority="401" operator="greaterThan">
      <formula>0.03</formula>
    </cfRule>
    <cfRule type="cellIs" dxfId="512" priority="402" stopIfTrue="1" operator="lessThan">
      <formula>-0.03</formula>
    </cfRule>
  </conditionalFormatting>
  <conditionalFormatting sqref="Q53:T53">
    <cfRule type="cellIs" dxfId="511" priority="399" operator="greaterThan">
      <formula>0.03</formula>
    </cfRule>
    <cfRule type="cellIs" dxfId="510" priority="400" stopIfTrue="1" operator="lessThan">
      <formula>-0.03</formula>
    </cfRule>
  </conditionalFormatting>
  <conditionalFormatting sqref="Q57:T57">
    <cfRule type="cellIs" dxfId="509" priority="397" operator="greaterThan">
      <formula>0.03</formula>
    </cfRule>
    <cfRule type="cellIs" dxfId="508" priority="398" stopIfTrue="1" operator="lessThan">
      <formula>-0.03</formula>
    </cfRule>
  </conditionalFormatting>
  <conditionalFormatting sqref="Q61:T61">
    <cfRule type="cellIs" dxfId="507" priority="395" operator="greaterThan">
      <formula>0.03</formula>
    </cfRule>
    <cfRule type="cellIs" dxfId="506" priority="396" stopIfTrue="1" operator="lessThan">
      <formula>-0.03</formula>
    </cfRule>
  </conditionalFormatting>
  <conditionalFormatting sqref="Q65:T65">
    <cfRule type="cellIs" dxfId="505" priority="393" operator="greaterThan">
      <formula>0.03</formula>
    </cfRule>
    <cfRule type="cellIs" dxfId="504" priority="394" stopIfTrue="1" operator="lessThan">
      <formula>-0.03</formula>
    </cfRule>
  </conditionalFormatting>
  <conditionalFormatting sqref="Q69:T69">
    <cfRule type="cellIs" dxfId="503" priority="391" operator="greaterThan">
      <formula>0.03</formula>
    </cfRule>
    <cfRule type="cellIs" dxfId="502" priority="392" stopIfTrue="1" operator="lessThan">
      <formula>-0.03</formula>
    </cfRule>
  </conditionalFormatting>
  <conditionalFormatting sqref="Q73:T73">
    <cfRule type="cellIs" dxfId="501" priority="389" operator="greaterThan">
      <formula>0.03</formula>
    </cfRule>
    <cfRule type="cellIs" dxfId="500" priority="390" stopIfTrue="1" operator="lessThan">
      <formula>-0.03</formula>
    </cfRule>
  </conditionalFormatting>
  <conditionalFormatting sqref="Q77:T77">
    <cfRule type="cellIs" dxfId="499" priority="387" operator="greaterThan">
      <formula>0.03</formula>
    </cfRule>
    <cfRule type="cellIs" dxfId="498" priority="388" stopIfTrue="1" operator="lessThan">
      <formula>-0.03</formula>
    </cfRule>
  </conditionalFormatting>
  <conditionalFormatting sqref="Q117:T117">
    <cfRule type="cellIs" dxfId="497" priority="99" operator="greaterThan">
      <formula>0.03</formula>
    </cfRule>
    <cfRule type="cellIs" dxfId="496" priority="100" stopIfTrue="1" operator="lessThan">
      <formula>-0.03</formula>
    </cfRule>
  </conditionalFormatting>
  <conditionalFormatting sqref="Q93:T96 Q101:T108 Q81:T84">
    <cfRule type="cellIs" dxfId="495" priority="113" operator="greaterThan">
      <formula>0.03</formula>
    </cfRule>
    <cfRule type="cellIs" dxfId="494" priority="114" stopIfTrue="1" operator="lessThan">
      <formula>-0.03</formula>
    </cfRule>
  </conditionalFormatting>
  <conditionalFormatting sqref="Q97:T100">
    <cfRule type="cellIs" dxfId="493" priority="111" operator="greaterThan">
      <formula>0.03</formula>
    </cfRule>
    <cfRule type="cellIs" dxfId="492" priority="112" stopIfTrue="1" operator="lessThan">
      <formula>-0.03</formula>
    </cfRule>
  </conditionalFormatting>
  <conditionalFormatting sqref="Q110:T112 Q122:T124">
    <cfRule type="cellIs" dxfId="491" priority="109" operator="greaterThan">
      <formula>0.03</formula>
    </cfRule>
    <cfRule type="cellIs" dxfId="490" priority="110" stopIfTrue="1" operator="lessThan">
      <formula>-0.03</formula>
    </cfRule>
  </conditionalFormatting>
  <conditionalFormatting sqref="Q114:T116 Q118:T120">
    <cfRule type="cellIs" dxfId="489" priority="107" operator="greaterThan">
      <formula>0.03</formula>
    </cfRule>
    <cfRule type="cellIs" dxfId="488" priority="108" stopIfTrue="1" operator="lessThan">
      <formula>-0.03</formula>
    </cfRule>
  </conditionalFormatting>
  <conditionalFormatting sqref="Q85:T92">
    <cfRule type="cellIs" dxfId="487" priority="105" operator="greaterThan">
      <formula>0.03</formula>
    </cfRule>
    <cfRule type="cellIs" dxfId="486" priority="106" stopIfTrue="1" operator="lessThan">
      <formula>-0.03</formula>
    </cfRule>
  </conditionalFormatting>
  <conditionalFormatting sqref="Q109:T109">
    <cfRule type="cellIs" dxfId="485" priority="103" operator="greaterThan">
      <formula>0.03</formula>
    </cfRule>
    <cfRule type="cellIs" dxfId="484" priority="104" stopIfTrue="1" operator="lessThan">
      <formula>-0.03</formula>
    </cfRule>
  </conditionalFormatting>
  <conditionalFormatting sqref="Q113:T113">
    <cfRule type="cellIs" dxfId="483" priority="101" operator="greaterThan">
      <formula>0.03</formula>
    </cfRule>
    <cfRule type="cellIs" dxfId="482" priority="102" stopIfTrue="1" operator="lessThan">
      <formula>-0.03</formula>
    </cfRule>
  </conditionalFormatting>
  <conditionalFormatting sqref="Q121:T121">
    <cfRule type="cellIs" dxfId="481" priority="97" operator="greaterThan">
      <formula>0.03</formula>
    </cfRule>
    <cfRule type="cellIs" dxfId="480" priority="98" stopIfTrue="1" operator="lessThan">
      <formula>-0.03</formula>
    </cfRule>
  </conditionalFormatting>
  <conditionalFormatting sqref="Q239:T239">
    <cfRule type="cellIs" dxfId="479" priority="33" operator="greaterThan">
      <formula>0.03</formula>
    </cfRule>
    <cfRule type="cellIs" dxfId="478" priority="34" stopIfTrue="1" operator="lessThan">
      <formula>-0.03</formula>
    </cfRule>
  </conditionalFormatting>
  <conditionalFormatting sqref="Q215:T218 Q223:T230 Q203:T206">
    <cfRule type="cellIs" dxfId="477" priority="47" operator="greaterThan">
      <formula>0.03</formula>
    </cfRule>
    <cfRule type="cellIs" dxfId="476" priority="48" stopIfTrue="1" operator="lessThan">
      <formula>-0.03</formula>
    </cfRule>
  </conditionalFormatting>
  <conditionalFormatting sqref="Q219:T222">
    <cfRule type="cellIs" dxfId="475" priority="45" operator="greaterThan">
      <formula>0.03</formula>
    </cfRule>
    <cfRule type="cellIs" dxfId="474" priority="46" stopIfTrue="1" operator="lessThan">
      <formula>-0.03</formula>
    </cfRule>
  </conditionalFormatting>
  <conditionalFormatting sqref="Q232:T234 Q244:T246">
    <cfRule type="cellIs" dxfId="473" priority="43" operator="greaterThan">
      <formula>0.03</formula>
    </cfRule>
    <cfRule type="cellIs" dxfId="472" priority="44" stopIfTrue="1" operator="lessThan">
      <formula>-0.03</formula>
    </cfRule>
  </conditionalFormatting>
  <conditionalFormatting sqref="Q236:T238 Q240:T242">
    <cfRule type="cellIs" dxfId="471" priority="41" operator="greaterThan">
      <formula>0.03</formula>
    </cfRule>
    <cfRule type="cellIs" dxfId="470" priority="42" stopIfTrue="1" operator="lessThan">
      <formula>-0.03</formula>
    </cfRule>
  </conditionalFormatting>
  <conditionalFormatting sqref="Q207:T214">
    <cfRule type="cellIs" dxfId="469" priority="39" operator="greaterThan">
      <formula>0.03</formula>
    </cfRule>
    <cfRule type="cellIs" dxfId="468" priority="40" stopIfTrue="1" operator="lessThan">
      <formula>-0.03</formula>
    </cfRule>
  </conditionalFormatting>
  <conditionalFormatting sqref="Q231:T231">
    <cfRule type="cellIs" dxfId="467" priority="37" operator="greaterThan">
      <formula>0.03</formula>
    </cfRule>
    <cfRule type="cellIs" dxfId="466" priority="38" stopIfTrue="1" operator="lessThan">
      <formula>-0.03</formula>
    </cfRule>
  </conditionalFormatting>
  <conditionalFormatting sqref="Q235:T235">
    <cfRule type="cellIs" dxfId="465" priority="35" operator="greaterThan">
      <formula>0.03</formula>
    </cfRule>
    <cfRule type="cellIs" dxfId="464" priority="36" stopIfTrue="1" operator="lessThan">
      <formula>-0.03</formula>
    </cfRule>
  </conditionalFormatting>
  <conditionalFormatting sqref="Q243:T243">
    <cfRule type="cellIs" dxfId="463" priority="31" operator="greaterThan">
      <formula>0.03</formula>
    </cfRule>
    <cfRule type="cellIs" dxfId="462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94</v>
      </c>
    </row>
    <row r="2" spans="1:21" x14ac:dyDescent="0.25">
      <c r="A2" t="s">
        <v>93</v>
      </c>
    </row>
    <row r="3" spans="1:21" x14ac:dyDescent="0.25">
      <c r="A3" t="s">
        <v>89</v>
      </c>
    </row>
    <row r="4" spans="1:21" x14ac:dyDescent="0.25">
      <c r="A4" t="s">
        <v>92</v>
      </c>
    </row>
    <row r="5" spans="1:21" s="35" customFormat="1" ht="15.75" customHeight="1" x14ac:dyDescent="0.25">
      <c r="B5" s="61" t="s">
        <v>29</v>
      </c>
      <c r="C5" s="63" t="s">
        <v>193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82</v>
      </c>
      <c r="D7" s="70"/>
      <c r="E7" s="70"/>
      <c r="F7" s="70"/>
      <c r="G7" s="70"/>
      <c r="H7" s="70"/>
      <c r="I7" s="5"/>
      <c r="J7" s="69" t="s">
        <v>194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3548.49</v>
      </c>
      <c r="D9" s="16">
        <v>38.057000000000002</v>
      </c>
      <c r="E9" s="16">
        <v>39.247</v>
      </c>
      <c r="F9" s="16">
        <v>41.619</v>
      </c>
      <c r="G9" s="16">
        <v>1.0900000000000001</v>
      </c>
      <c r="H9" s="16">
        <f t="shared" ref="H9:H80" si="0">(6*D9+E9+F9)/8</f>
        <v>38.650999999999996</v>
      </c>
      <c r="I9" s="5"/>
      <c r="J9" s="15">
        <v>4112.0703999999996</v>
      </c>
      <c r="K9" s="16">
        <v>38.765500000000003</v>
      </c>
      <c r="L9" s="16">
        <v>40.285800000000002</v>
      </c>
      <c r="M9" s="16">
        <v>43.0807</v>
      </c>
      <c r="N9" s="16">
        <v>1.7483</v>
      </c>
      <c r="O9" s="16">
        <f t="shared" ref="O9:O80" si="1">(6*K9+L9+M9)/8</f>
        <v>39.494937499999999</v>
      </c>
      <c r="P9" s="7"/>
      <c r="Q9" s="8">
        <f>bdrate(C9:C12,D9:D12,J9:J12,K9:K12)</f>
        <v>-6.2542320854426237E-3</v>
      </c>
      <c r="R9" s="8">
        <f>bdrate(C9:C12,E9:E12,J9:J12,L9:L12)</f>
        <v>-0.41475376549558618</v>
      </c>
      <c r="S9" s="8">
        <f>bdrate(C9:C12,F9:F12,J9:J12,M9:M12)</f>
        <v>-0.40905119850773031</v>
      </c>
      <c r="T9" s="25">
        <f>bdrate(C9:C12,H9:H12,J9:J12,O9:O12)</f>
        <v>-7.6795728334019042E-2</v>
      </c>
      <c r="U9" s="28">
        <f t="shared" ref="U9:U72" si="2">(N9-G9)/G9</f>
        <v>0.60394495412844018</v>
      </c>
    </row>
    <row r="10" spans="1:21" x14ac:dyDescent="0.25">
      <c r="A10" s="9" t="s">
        <v>36</v>
      </c>
      <c r="B10" s="9"/>
      <c r="C10" s="17">
        <v>2650.26</v>
      </c>
      <c r="D10" s="18">
        <v>37.228000000000002</v>
      </c>
      <c r="E10" s="18">
        <v>38.695</v>
      </c>
      <c r="F10" s="18">
        <v>41.058999999999997</v>
      </c>
      <c r="G10" s="18">
        <v>1.2</v>
      </c>
      <c r="H10" s="18">
        <f t="shared" si="0"/>
        <v>37.890249999999995</v>
      </c>
      <c r="I10" s="5"/>
      <c r="J10" s="17">
        <v>3004.3488000000002</v>
      </c>
      <c r="K10" s="18">
        <v>37.802799999999998</v>
      </c>
      <c r="L10" s="18">
        <v>39.821800000000003</v>
      </c>
      <c r="M10" s="18">
        <v>42.440100000000001</v>
      </c>
      <c r="N10" s="18">
        <v>2.1076000000000001</v>
      </c>
      <c r="O10" s="18">
        <f t="shared" si="1"/>
        <v>38.634837500000003</v>
      </c>
      <c r="P10" s="7"/>
      <c r="Q10" s="10"/>
      <c r="R10" s="11"/>
      <c r="S10" s="11"/>
      <c r="T10" s="26"/>
      <c r="U10" s="28">
        <f t="shared" si="2"/>
        <v>0.75633333333333352</v>
      </c>
    </row>
    <row r="11" spans="1:21" x14ac:dyDescent="0.25">
      <c r="B11" s="9"/>
      <c r="C11" s="17">
        <v>1750.41</v>
      </c>
      <c r="D11" s="18">
        <v>36.021000000000001</v>
      </c>
      <c r="E11" s="18">
        <v>38.020000000000003</v>
      </c>
      <c r="F11" s="18">
        <v>40.383000000000003</v>
      </c>
      <c r="G11" s="18">
        <v>1.37</v>
      </c>
      <c r="H11" s="18">
        <f t="shared" si="0"/>
        <v>36.816125</v>
      </c>
      <c r="I11" s="5"/>
      <c r="J11" s="17">
        <v>1972.5984000000001</v>
      </c>
      <c r="K11" s="18">
        <v>36.455199999999998</v>
      </c>
      <c r="L11" s="18">
        <v>39.148200000000003</v>
      </c>
      <c r="M11" s="18">
        <v>41.605400000000003</v>
      </c>
      <c r="N11" s="18">
        <v>2.6745000000000001</v>
      </c>
      <c r="O11" s="18">
        <f t="shared" si="1"/>
        <v>37.435600000000008</v>
      </c>
      <c r="P11" s="7"/>
      <c r="Q11" s="10"/>
      <c r="R11" s="11"/>
      <c r="S11" s="11"/>
      <c r="T11" s="26"/>
      <c r="U11" s="28">
        <f t="shared" si="2"/>
        <v>0.95218978102189777</v>
      </c>
    </row>
    <row r="12" spans="1:21" ht="16.5" thickBot="1" x14ac:dyDescent="0.3">
      <c r="B12" s="12"/>
      <c r="C12" s="19">
        <v>841.33</v>
      </c>
      <c r="D12" s="20">
        <v>33.552999999999997</v>
      </c>
      <c r="E12" s="20">
        <v>37.253</v>
      </c>
      <c r="F12" s="20">
        <v>39.566000000000003</v>
      </c>
      <c r="G12" s="20">
        <v>1.74</v>
      </c>
      <c r="H12" s="20">
        <f t="shared" si="0"/>
        <v>34.767124999999993</v>
      </c>
      <c r="I12" s="5"/>
      <c r="J12" s="19">
        <v>905.6576</v>
      </c>
      <c r="K12" s="20">
        <v>33.601399999999998</v>
      </c>
      <c r="L12" s="20">
        <v>37.742800000000003</v>
      </c>
      <c r="M12" s="20">
        <v>40.0214</v>
      </c>
      <c r="N12" s="20">
        <v>4.1459000000000001</v>
      </c>
      <c r="O12" s="20">
        <f t="shared" si="1"/>
        <v>34.921575000000004</v>
      </c>
      <c r="P12" s="7"/>
      <c r="Q12" s="13"/>
      <c r="R12" s="14"/>
      <c r="S12" s="14"/>
      <c r="T12" s="27"/>
      <c r="U12" s="28">
        <f t="shared" si="2"/>
        <v>1.3827011494252872</v>
      </c>
    </row>
    <row r="13" spans="1:21" x14ac:dyDescent="0.25">
      <c r="B13" s="6" t="s">
        <v>47</v>
      </c>
      <c r="C13" s="15">
        <v>4006.48</v>
      </c>
      <c r="D13" s="16">
        <v>30.898</v>
      </c>
      <c r="E13" s="16">
        <v>38.756999999999998</v>
      </c>
      <c r="F13" s="16">
        <v>39.844000000000001</v>
      </c>
      <c r="G13" s="16">
        <v>0.83</v>
      </c>
      <c r="H13" s="16">
        <f t="shared" si="0"/>
        <v>32.998625000000004</v>
      </c>
      <c r="I13" s="5"/>
      <c r="J13" s="15">
        <v>4142.5312000000004</v>
      </c>
      <c r="K13" s="16">
        <v>30.220600000000001</v>
      </c>
      <c r="L13" s="16">
        <v>41.100299999999997</v>
      </c>
      <c r="M13" s="16">
        <v>41.910899999999998</v>
      </c>
      <c r="N13" s="16">
        <v>1.2592000000000001</v>
      </c>
      <c r="O13" s="16">
        <f t="shared" si="1"/>
        <v>33.041849999999997</v>
      </c>
      <c r="P13" s="7"/>
      <c r="Q13" s="8">
        <f>bdrate(C13:C16,D13:D16,J13:J16,K13:K16)</f>
        <v>0.10794929050188484</v>
      </c>
      <c r="R13" s="8">
        <f>bdrate(C13:C16,E13:E16,J13:J16,L13:L16)</f>
        <v>-0.62955232101156433</v>
      </c>
      <c r="S13" s="8">
        <f>bdrate(C13:C16,F13:F16,J13:J16,M13:M16)</f>
        <v>-0.64011105885314712</v>
      </c>
      <c r="T13" s="25">
        <f>bdrate(C13:C16,H13:H16,J13:J16,O13:O16)</f>
        <v>-3.61446711940413E-2</v>
      </c>
      <c r="U13" s="28">
        <f t="shared" si="2"/>
        <v>0.51710843373493998</v>
      </c>
    </row>
    <row r="14" spans="1:21" x14ac:dyDescent="0.25">
      <c r="B14" s="9"/>
      <c r="C14" s="17">
        <v>3000.24</v>
      </c>
      <c r="D14" s="18">
        <v>29.498999999999999</v>
      </c>
      <c r="E14" s="18">
        <v>38.148000000000003</v>
      </c>
      <c r="F14" s="18">
        <v>39.322000000000003</v>
      </c>
      <c r="G14" s="18">
        <v>0.95</v>
      </c>
      <c r="H14" s="18">
        <f t="shared" si="0"/>
        <v>31.808</v>
      </c>
      <c r="I14" s="5"/>
      <c r="J14" s="17">
        <v>3066.7824000000001</v>
      </c>
      <c r="K14" s="18">
        <v>28.855</v>
      </c>
      <c r="L14" s="18">
        <v>40.561799999999998</v>
      </c>
      <c r="M14" s="18">
        <v>41.472099999999998</v>
      </c>
      <c r="N14" s="18">
        <v>1.4931000000000001</v>
      </c>
      <c r="O14" s="18">
        <f t="shared" si="1"/>
        <v>31.895487500000002</v>
      </c>
      <c r="P14" s="7"/>
      <c r="Q14" s="10"/>
      <c r="R14" s="11"/>
      <c r="S14" s="11"/>
      <c r="T14" s="26"/>
      <c r="U14" s="28">
        <f t="shared" si="2"/>
        <v>0.57168421052631602</v>
      </c>
    </row>
    <row r="15" spans="1:21" x14ac:dyDescent="0.25">
      <c r="B15" s="9"/>
      <c r="C15" s="17">
        <v>2003.06</v>
      </c>
      <c r="D15" s="18">
        <v>27.533000000000001</v>
      </c>
      <c r="E15" s="18">
        <v>37.122999999999998</v>
      </c>
      <c r="F15" s="18">
        <v>38.456000000000003</v>
      </c>
      <c r="G15" s="18">
        <v>1.1399999999999999</v>
      </c>
      <c r="H15" s="18">
        <f t="shared" si="0"/>
        <v>30.097124999999998</v>
      </c>
      <c r="I15" s="5"/>
      <c r="J15" s="17">
        <v>2069.4448000000002</v>
      </c>
      <c r="K15" s="18">
        <v>27.111899999999999</v>
      </c>
      <c r="L15" s="18">
        <v>39.749600000000001</v>
      </c>
      <c r="M15" s="18">
        <v>40.8035</v>
      </c>
      <c r="N15" s="18">
        <v>1.8740000000000001</v>
      </c>
      <c r="O15" s="18">
        <f t="shared" si="1"/>
        <v>30.403062499999997</v>
      </c>
      <c r="P15" s="7"/>
      <c r="Q15" s="10"/>
      <c r="R15" s="11"/>
      <c r="S15" s="11"/>
      <c r="T15" s="26"/>
      <c r="U15" s="28">
        <f t="shared" si="2"/>
        <v>0.64385964912280724</v>
      </c>
    </row>
    <row r="16" spans="1:21" ht="16.5" thickBot="1" x14ac:dyDescent="0.3">
      <c r="B16" s="12"/>
      <c r="C16" s="19">
        <v>1738.45</v>
      </c>
      <c r="D16" s="20">
        <v>25.914000000000001</v>
      </c>
      <c r="E16" s="20">
        <v>36.073999999999998</v>
      </c>
      <c r="F16" s="20">
        <v>37.470999999999997</v>
      </c>
      <c r="G16" s="20">
        <v>1.24</v>
      </c>
      <c r="H16" s="20">
        <f t="shared" si="0"/>
        <v>28.628625</v>
      </c>
      <c r="I16" s="5"/>
      <c r="J16" s="19">
        <v>1386.2239999999999</v>
      </c>
      <c r="K16" s="20">
        <v>25.840399999999999</v>
      </c>
      <c r="L16" s="20">
        <v>38.579599999999999</v>
      </c>
      <c r="M16" s="20">
        <v>39.751100000000001</v>
      </c>
      <c r="N16" s="20">
        <v>2.2042999999999999</v>
      </c>
      <c r="O16" s="20">
        <f t="shared" si="1"/>
        <v>29.171637499999999</v>
      </c>
      <c r="P16" s="7"/>
      <c r="Q16" s="13"/>
      <c r="R16" s="14"/>
      <c r="S16" s="14"/>
      <c r="T16" s="27"/>
      <c r="U16" s="28">
        <f t="shared" si="2"/>
        <v>0.77766129032258058</v>
      </c>
    </row>
    <row r="17" spans="1:21" x14ac:dyDescent="0.25">
      <c r="A17" s="6" t="s">
        <v>37</v>
      </c>
      <c r="B17" s="6" t="s">
        <v>48</v>
      </c>
      <c r="C17" s="15">
        <v>1986.1</v>
      </c>
      <c r="D17" s="16">
        <v>39.412999999999997</v>
      </c>
      <c r="E17" s="16">
        <v>41.704999999999998</v>
      </c>
      <c r="F17" s="16">
        <v>42.999000000000002</v>
      </c>
      <c r="G17" s="16">
        <v>1.5</v>
      </c>
      <c r="H17" s="16">
        <f t="shared" si="0"/>
        <v>40.147750000000002</v>
      </c>
      <c r="I17" s="5"/>
      <c r="J17" s="15">
        <v>2369.4944</v>
      </c>
      <c r="K17" s="16">
        <v>39.598100000000002</v>
      </c>
      <c r="L17" s="16">
        <v>42.526699999999998</v>
      </c>
      <c r="M17" s="16">
        <v>44.289200000000001</v>
      </c>
      <c r="N17" s="16">
        <v>2.2370999999999999</v>
      </c>
      <c r="O17" s="16">
        <f t="shared" si="1"/>
        <v>40.550562499999998</v>
      </c>
      <c r="P17" s="7"/>
      <c r="Q17" s="8">
        <f>bdrate(C17:C20,D17:D20,J17:J20,K17:K20)</f>
        <v>6.9278618632130806E-2</v>
      </c>
      <c r="R17" s="8">
        <f>bdrate(C17:C20,E17:E20,J17:J20,L17:L20)</f>
        <v>-0.39782114575880156</v>
      </c>
      <c r="S17" s="8">
        <f>bdrate(C17:C20,F17:F20,J17:J20,M17:M20)</f>
        <v>-0.42745369169029879</v>
      </c>
      <c r="T17" s="25">
        <f>bdrate(C17:C20,H17:H20,J17:J20,O17:O20)</f>
        <v>-2.5570064281387195E-2</v>
      </c>
      <c r="U17" s="28">
        <f t="shared" si="2"/>
        <v>0.49139999999999989</v>
      </c>
    </row>
    <row r="18" spans="1:21" x14ac:dyDescent="0.25">
      <c r="A18" s="9" t="s">
        <v>38</v>
      </c>
      <c r="B18" s="9"/>
      <c r="C18" s="17">
        <v>1301.69</v>
      </c>
      <c r="D18" s="18">
        <v>38.1</v>
      </c>
      <c r="E18" s="18">
        <v>40.847999999999999</v>
      </c>
      <c r="F18" s="18">
        <v>42.048999999999999</v>
      </c>
      <c r="G18" s="18">
        <v>1.78</v>
      </c>
      <c r="H18" s="18">
        <f t="shared" si="0"/>
        <v>38.937125000000002</v>
      </c>
      <c r="I18" s="5"/>
      <c r="J18" s="17">
        <v>1560.8832</v>
      </c>
      <c r="K18" s="18">
        <v>38.4452</v>
      </c>
      <c r="L18" s="18">
        <v>41.947600000000001</v>
      </c>
      <c r="M18" s="18">
        <v>43.463000000000001</v>
      </c>
      <c r="N18" s="18">
        <v>2.8380000000000001</v>
      </c>
      <c r="O18" s="18">
        <f t="shared" si="1"/>
        <v>39.510225000000005</v>
      </c>
      <c r="P18" s="7"/>
      <c r="Q18" s="10"/>
      <c r="R18" s="11"/>
      <c r="S18" s="11"/>
      <c r="T18" s="26"/>
      <c r="U18" s="28">
        <f t="shared" si="2"/>
        <v>0.59438202247191019</v>
      </c>
    </row>
    <row r="19" spans="1:21" x14ac:dyDescent="0.25">
      <c r="B19" s="9"/>
      <c r="C19" s="17">
        <v>803.23</v>
      </c>
      <c r="D19" s="18">
        <v>36.488</v>
      </c>
      <c r="E19" s="18">
        <v>39.954000000000001</v>
      </c>
      <c r="F19" s="18">
        <v>41.226999999999997</v>
      </c>
      <c r="G19" s="18">
        <v>2.11</v>
      </c>
      <c r="H19" s="18">
        <f t="shared" si="0"/>
        <v>37.513624999999998</v>
      </c>
      <c r="I19" s="5"/>
      <c r="J19" s="17">
        <v>969.65279999999996</v>
      </c>
      <c r="K19" s="18">
        <v>36.913400000000003</v>
      </c>
      <c r="L19" s="18">
        <v>41.21</v>
      </c>
      <c r="M19" s="18">
        <v>42.530799999999999</v>
      </c>
      <c r="N19" s="18">
        <v>3.7071000000000001</v>
      </c>
      <c r="O19" s="18">
        <f t="shared" si="1"/>
        <v>38.152650000000001</v>
      </c>
      <c r="P19" s="7"/>
      <c r="Q19" s="10"/>
      <c r="R19" s="11"/>
      <c r="S19" s="11"/>
      <c r="T19" s="26"/>
      <c r="U19" s="28">
        <f t="shared" si="2"/>
        <v>0.75691943127962102</v>
      </c>
    </row>
    <row r="20" spans="1:21" ht="16.5" thickBot="1" x14ac:dyDescent="0.3">
      <c r="B20" s="12"/>
      <c r="C20" s="19">
        <v>476.57</v>
      </c>
      <c r="D20" s="20">
        <v>34.640999999999998</v>
      </c>
      <c r="E20" s="20">
        <v>39.033000000000001</v>
      </c>
      <c r="F20" s="20">
        <v>40.46</v>
      </c>
      <c r="G20" s="20">
        <v>2.5</v>
      </c>
      <c r="H20" s="20">
        <f t="shared" si="0"/>
        <v>35.917375</v>
      </c>
      <c r="I20" s="5"/>
      <c r="J20" s="19">
        <v>568.88959999999997</v>
      </c>
      <c r="K20" s="20">
        <v>35.109200000000001</v>
      </c>
      <c r="L20" s="20">
        <v>40.494100000000003</v>
      </c>
      <c r="M20" s="20">
        <v>41.766399999999997</v>
      </c>
      <c r="N20" s="20">
        <v>5.1351000000000004</v>
      </c>
      <c r="O20" s="20">
        <f t="shared" si="1"/>
        <v>36.614462500000002</v>
      </c>
      <c r="P20" s="7"/>
      <c r="Q20" s="13"/>
      <c r="R20" s="14"/>
      <c r="S20" s="14"/>
      <c r="T20" s="27"/>
      <c r="U20" s="28">
        <f t="shared" si="2"/>
        <v>1.0540400000000001</v>
      </c>
    </row>
    <row r="21" spans="1:21" x14ac:dyDescent="0.25">
      <c r="B21" s="6" t="s">
        <v>49</v>
      </c>
      <c r="C21" s="15">
        <v>2231.2800000000002</v>
      </c>
      <c r="D21" s="16">
        <v>36.537999999999997</v>
      </c>
      <c r="E21" s="16">
        <v>39.656999999999996</v>
      </c>
      <c r="F21" s="16">
        <v>40.677</v>
      </c>
      <c r="G21" s="16">
        <v>1.61</v>
      </c>
      <c r="H21" s="16">
        <f t="shared" si="0"/>
        <v>37.445250000000001</v>
      </c>
      <c r="I21" s="5"/>
      <c r="J21" s="15">
        <v>2557.7687999999998</v>
      </c>
      <c r="K21" s="16">
        <v>36.871899999999997</v>
      </c>
      <c r="L21" s="16">
        <v>41.012</v>
      </c>
      <c r="M21" s="16">
        <v>42.402799999999999</v>
      </c>
      <c r="N21" s="16">
        <v>2.5308000000000002</v>
      </c>
      <c r="O21" s="16">
        <f t="shared" si="1"/>
        <v>38.080774999999996</v>
      </c>
      <c r="P21" s="7"/>
      <c r="Q21" s="8">
        <f>bdrate(C21:C24,D21:D24,J21:J24,K21:K24)</f>
        <v>2.21831488402362E-2</v>
      </c>
      <c r="R21" s="8">
        <f>bdrate(C21:C24,E21:E24,J21:J24,L21:L24)</f>
        <v>-0.45008170026189187</v>
      </c>
      <c r="S21" s="8">
        <f>bdrate(C21:C24,F21:F24,J21:J24,M21:M24)</f>
        <v>-0.49241669866790716</v>
      </c>
      <c r="T21" s="25">
        <f>bdrate(C21:C24,H21:H24,J21:J24,O21:O24)</f>
        <v>-8.4035916099175711E-2</v>
      </c>
      <c r="U21" s="28">
        <f t="shared" si="2"/>
        <v>0.57192546583850934</v>
      </c>
    </row>
    <row r="22" spans="1:21" x14ac:dyDescent="0.25">
      <c r="B22" s="9"/>
      <c r="C22" s="17">
        <v>1481.37</v>
      </c>
      <c r="D22" s="18">
        <v>35.256999999999998</v>
      </c>
      <c r="E22" s="18">
        <v>38.72</v>
      </c>
      <c r="F22" s="18">
        <v>39.869</v>
      </c>
      <c r="G22" s="18">
        <v>1.89</v>
      </c>
      <c r="H22" s="18">
        <f t="shared" si="0"/>
        <v>36.266374999999996</v>
      </c>
      <c r="I22" s="5"/>
      <c r="J22" s="17">
        <v>1670.9512</v>
      </c>
      <c r="K22" s="18">
        <v>35.594200000000001</v>
      </c>
      <c r="L22" s="18">
        <v>40.14</v>
      </c>
      <c r="M22" s="18">
        <v>41.395600000000002</v>
      </c>
      <c r="N22" s="18">
        <v>3.1898</v>
      </c>
      <c r="O22" s="18">
        <f t="shared" si="1"/>
        <v>36.887599999999999</v>
      </c>
      <c r="P22" s="7"/>
      <c r="Q22" s="10"/>
      <c r="R22" s="11"/>
      <c r="S22" s="11"/>
      <c r="T22" s="26"/>
      <c r="U22" s="28">
        <f t="shared" si="2"/>
        <v>0.68772486772486785</v>
      </c>
    </row>
    <row r="23" spans="1:21" x14ac:dyDescent="0.25">
      <c r="B23" s="9"/>
      <c r="C23" s="17">
        <v>919.74</v>
      </c>
      <c r="D23" s="18">
        <v>33.789000000000001</v>
      </c>
      <c r="E23" s="18">
        <v>37.758000000000003</v>
      </c>
      <c r="F23" s="18">
        <v>39.139000000000003</v>
      </c>
      <c r="G23" s="18">
        <v>2.2000000000000002</v>
      </c>
      <c r="H23" s="18">
        <f t="shared" si="0"/>
        <v>34.953875000000004</v>
      </c>
      <c r="I23" s="5"/>
      <c r="J23" s="17">
        <v>1031.4104</v>
      </c>
      <c r="K23" s="18">
        <v>34.066200000000002</v>
      </c>
      <c r="L23" s="18">
        <v>39.209200000000003</v>
      </c>
      <c r="M23" s="18">
        <v>40.447099999999999</v>
      </c>
      <c r="N23" s="18">
        <v>4.1700999999999997</v>
      </c>
      <c r="O23" s="18">
        <f t="shared" si="1"/>
        <v>35.506687499999998</v>
      </c>
      <c r="P23" s="7"/>
      <c r="Q23" s="10"/>
      <c r="R23" s="11"/>
      <c r="S23" s="11"/>
      <c r="T23" s="26"/>
      <c r="U23" s="28">
        <f t="shared" si="2"/>
        <v>0.89549999999999974</v>
      </c>
    </row>
    <row r="24" spans="1:21" ht="16.5" thickBot="1" x14ac:dyDescent="0.3">
      <c r="B24" s="12"/>
      <c r="C24" s="19">
        <v>543.66999999999996</v>
      </c>
      <c r="D24" s="20">
        <v>32.183</v>
      </c>
      <c r="E24" s="20">
        <v>36.853999999999999</v>
      </c>
      <c r="F24" s="20">
        <v>38.58</v>
      </c>
      <c r="G24" s="20">
        <v>2.57</v>
      </c>
      <c r="H24" s="20">
        <f t="shared" si="0"/>
        <v>33.566499999999998</v>
      </c>
      <c r="I24" s="5"/>
      <c r="J24" s="19">
        <v>611.79039999999998</v>
      </c>
      <c r="K24" s="20">
        <v>32.433999999999997</v>
      </c>
      <c r="L24" s="20">
        <v>38.202800000000003</v>
      </c>
      <c r="M24" s="20">
        <v>39.5398</v>
      </c>
      <c r="N24" s="20">
        <v>5.6189</v>
      </c>
      <c r="O24" s="20">
        <f t="shared" si="1"/>
        <v>34.043324999999996</v>
      </c>
      <c r="P24" s="7"/>
      <c r="Q24" s="13"/>
      <c r="R24" s="14"/>
      <c r="S24" s="14"/>
      <c r="T24" s="27"/>
      <c r="U24" s="28">
        <f t="shared" si="2"/>
        <v>1.186342412451362</v>
      </c>
    </row>
    <row r="25" spans="1:21" x14ac:dyDescent="0.25">
      <c r="B25" s="6" t="s">
        <v>50</v>
      </c>
      <c r="C25" s="15">
        <v>2356.29</v>
      </c>
      <c r="D25" s="16">
        <v>34.68</v>
      </c>
      <c r="E25" s="16">
        <v>37.968000000000004</v>
      </c>
      <c r="F25" s="16">
        <v>39.798000000000002</v>
      </c>
      <c r="G25" s="16">
        <v>2.1</v>
      </c>
      <c r="H25" s="16">
        <f t="shared" si="0"/>
        <v>35.73075</v>
      </c>
      <c r="I25" s="5"/>
      <c r="J25" s="15">
        <v>2406.6992</v>
      </c>
      <c r="K25" s="16">
        <v>35.137900000000002</v>
      </c>
      <c r="L25" s="16">
        <v>38.706099999999999</v>
      </c>
      <c r="M25" s="16">
        <v>41.366300000000003</v>
      </c>
      <c r="N25" s="16">
        <v>3.4803000000000002</v>
      </c>
      <c r="O25" s="16">
        <f t="shared" si="1"/>
        <v>36.362475000000003</v>
      </c>
      <c r="P25" s="7"/>
      <c r="Q25" s="8">
        <f>bdrate(C25:C28,D25:D28,J25:J28,K25:K28)</f>
        <v>-8.1218477561966318E-2</v>
      </c>
      <c r="R25" s="8">
        <f>bdrate(C25:C28,E25:E28,J25:J28,L25:L28)</f>
        <v>-0.53263271370644361</v>
      </c>
      <c r="S25" s="8">
        <f>bdrate(C25:C28,F25:F28,J25:J28,M25:M28)</f>
        <v>-0.51499202331565375</v>
      </c>
      <c r="T25" s="25">
        <f>bdrate(C25:C28,H25:H28,J25:J28,O25:O28)</f>
        <v>-0.16405881649146403</v>
      </c>
      <c r="U25" s="28">
        <f t="shared" si="2"/>
        <v>0.65728571428571425</v>
      </c>
    </row>
    <row r="26" spans="1:21" x14ac:dyDescent="0.25">
      <c r="B26" s="9"/>
      <c r="C26" s="17">
        <v>1560.95</v>
      </c>
      <c r="D26" s="18">
        <v>33.570999999999998</v>
      </c>
      <c r="E26" s="18">
        <v>37.503</v>
      </c>
      <c r="F26" s="18">
        <v>39.031999999999996</v>
      </c>
      <c r="G26" s="18">
        <v>2.44</v>
      </c>
      <c r="H26" s="18">
        <f t="shared" si="0"/>
        <v>34.745124999999994</v>
      </c>
      <c r="I26" s="5"/>
      <c r="J26" s="17">
        <v>1602.296</v>
      </c>
      <c r="K26" s="18">
        <v>34.0152</v>
      </c>
      <c r="L26" s="18">
        <v>38.3371</v>
      </c>
      <c r="M26" s="18">
        <v>40.548099999999998</v>
      </c>
      <c r="N26" s="18">
        <v>4.4184000000000001</v>
      </c>
      <c r="O26" s="18">
        <f t="shared" si="1"/>
        <v>35.372050000000002</v>
      </c>
      <c r="P26" s="7"/>
      <c r="Q26" s="10"/>
      <c r="R26" s="11"/>
      <c r="S26" s="11"/>
      <c r="T26" s="26"/>
      <c r="U26" s="28">
        <f t="shared" si="2"/>
        <v>0.81081967213114758</v>
      </c>
    </row>
    <row r="27" spans="1:21" x14ac:dyDescent="0.25">
      <c r="B27" s="9"/>
      <c r="C27" s="17">
        <v>969.27</v>
      </c>
      <c r="D27" s="18">
        <v>32.188000000000002</v>
      </c>
      <c r="E27" s="18">
        <v>36.951000000000001</v>
      </c>
      <c r="F27" s="18">
        <v>38.113999999999997</v>
      </c>
      <c r="G27" s="18">
        <v>2.86</v>
      </c>
      <c r="H27" s="18">
        <f t="shared" si="0"/>
        <v>33.524124999999998</v>
      </c>
      <c r="I27" s="5"/>
      <c r="J27" s="17">
        <v>1000.2551999999999</v>
      </c>
      <c r="K27" s="18">
        <v>32.493400000000001</v>
      </c>
      <c r="L27" s="18">
        <v>37.877699999999997</v>
      </c>
      <c r="M27" s="18">
        <v>39.597099999999998</v>
      </c>
      <c r="N27" s="18">
        <v>5.7624000000000004</v>
      </c>
      <c r="O27" s="18">
        <f t="shared" si="1"/>
        <v>34.054400000000001</v>
      </c>
      <c r="P27" s="7"/>
      <c r="Q27" s="10"/>
      <c r="R27" s="11"/>
      <c r="S27" s="11"/>
      <c r="T27" s="26"/>
      <c r="U27" s="28">
        <f t="shared" si="2"/>
        <v>1.0148251748251751</v>
      </c>
    </row>
    <row r="28" spans="1:21" ht="16.5" thickBot="1" x14ac:dyDescent="0.3">
      <c r="B28" s="12"/>
      <c r="C28" s="19">
        <v>563.35</v>
      </c>
      <c r="D28" s="20">
        <v>30.43</v>
      </c>
      <c r="E28" s="20">
        <v>36.130000000000003</v>
      </c>
      <c r="F28" s="20">
        <v>36.807000000000002</v>
      </c>
      <c r="G28" s="20">
        <v>3.4</v>
      </c>
      <c r="H28" s="20">
        <f t="shared" si="0"/>
        <v>31.939624999999999</v>
      </c>
      <c r="I28" s="5"/>
      <c r="J28" s="19">
        <v>590.76559999999995</v>
      </c>
      <c r="K28" s="20">
        <v>30.699200000000001</v>
      </c>
      <c r="L28" s="20">
        <v>37.213299999999997</v>
      </c>
      <c r="M28" s="20">
        <v>38.499099999999999</v>
      </c>
      <c r="N28" s="20">
        <v>8.1081000000000003</v>
      </c>
      <c r="O28" s="20">
        <f t="shared" si="1"/>
        <v>32.48845</v>
      </c>
      <c r="P28" s="7"/>
      <c r="Q28" s="13"/>
      <c r="R28" s="14"/>
      <c r="S28" s="14"/>
      <c r="T28" s="27"/>
      <c r="U28" s="28">
        <f t="shared" si="2"/>
        <v>1.3847352941176472</v>
      </c>
    </row>
    <row r="29" spans="1:21" x14ac:dyDescent="0.25">
      <c r="B29" s="6" t="s">
        <v>51</v>
      </c>
      <c r="C29" s="29">
        <v>2415.08</v>
      </c>
      <c r="D29" s="30">
        <v>34.959000000000003</v>
      </c>
      <c r="E29" s="30">
        <v>40.302999999999997</v>
      </c>
      <c r="F29" s="30">
        <v>40.066000000000003</v>
      </c>
      <c r="G29" s="16">
        <v>1.78</v>
      </c>
      <c r="H29" s="16">
        <f t="shared" si="0"/>
        <v>36.265375000000006</v>
      </c>
      <c r="I29" s="5"/>
      <c r="J29" s="29">
        <v>2437.4488000000001</v>
      </c>
      <c r="K29" s="30">
        <v>34.909399999999998</v>
      </c>
      <c r="L29" s="30">
        <v>41.366599999999998</v>
      </c>
      <c r="M29" s="30">
        <v>41.151899999999998</v>
      </c>
      <c r="N29" s="16">
        <v>2.9718</v>
      </c>
      <c r="O29" s="16">
        <f t="shared" si="1"/>
        <v>36.496862499999999</v>
      </c>
      <c r="P29" s="7"/>
      <c r="Q29" s="8">
        <f>bdrate(C29:C32,D29:D32,J29:J32,K29:K32)</f>
        <v>3.3342183045575347E-2</v>
      </c>
      <c r="R29" s="8">
        <f>bdrate(C29:C32,E29:E32,J29:J32,L29:L32)</f>
        <v>-0.49902576148853917</v>
      </c>
      <c r="S29" s="8">
        <f>bdrate(C29:C32,F29:F32,J29:J32,M29:M32)</f>
        <v>-0.40049137961045733</v>
      </c>
      <c r="T29" s="25">
        <f>bdrate(C29:C32,H29:H32,J29:J32,O29:O32)</f>
        <v>-7.4193163206207946E-2</v>
      </c>
      <c r="U29" s="28">
        <f t="shared" si="2"/>
        <v>0.66955056179775274</v>
      </c>
    </row>
    <row r="30" spans="1:21" x14ac:dyDescent="0.25">
      <c r="B30" s="9"/>
      <c r="C30" s="31">
        <v>1605.2</v>
      </c>
      <c r="D30" s="32">
        <v>33.655999999999999</v>
      </c>
      <c r="E30" s="32">
        <v>39.534999999999997</v>
      </c>
      <c r="F30" s="32">
        <v>39.006999999999998</v>
      </c>
      <c r="G30" s="18">
        <v>2.06</v>
      </c>
      <c r="H30" s="18">
        <f t="shared" si="0"/>
        <v>35.059749999999994</v>
      </c>
      <c r="I30" s="5"/>
      <c r="J30" s="31">
        <v>1631.2744</v>
      </c>
      <c r="K30" s="32">
        <v>33.613900000000001</v>
      </c>
      <c r="L30" s="32">
        <v>40.724600000000002</v>
      </c>
      <c r="M30" s="32">
        <v>40.259500000000003</v>
      </c>
      <c r="N30" s="18">
        <v>3.6735000000000002</v>
      </c>
      <c r="O30" s="18">
        <f t="shared" si="1"/>
        <v>35.333437500000002</v>
      </c>
      <c r="P30" s="7"/>
      <c r="Q30" s="10"/>
      <c r="R30" s="11"/>
      <c r="S30" s="11"/>
      <c r="T30" s="26"/>
      <c r="U30" s="28">
        <f t="shared" si="2"/>
        <v>0.78325242718446608</v>
      </c>
    </row>
    <row r="31" spans="1:21" x14ac:dyDescent="0.25">
      <c r="B31" s="9"/>
      <c r="C31" s="31">
        <v>994.21</v>
      </c>
      <c r="D31" s="32">
        <v>32.017000000000003</v>
      </c>
      <c r="E31" s="32">
        <v>38.631999999999998</v>
      </c>
      <c r="F31" s="32">
        <v>37.697000000000003</v>
      </c>
      <c r="G31" s="18">
        <v>2.41</v>
      </c>
      <c r="H31" s="18">
        <f t="shared" si="0"/>
        <v>33.553875000000005</v>
      </c>
      <c r="I31" s="5"/>
      <c r="J31" s="31">
        <v>1013.7824000000001</v>
      </c>
      <c r="K31" s="32">
        <v>31.960699999999999</v>
      </c>
      <c r="L31" s="32">
        <v>39.972299999999997</v>
      </c>
      <c r="M31" s="32">
        <v>39.169499999999999</v>
      </c>
      <c r="N31" s="18">
        <v>5.008</v>
      </c>
      <c r="O31" s="18">
        <f t="shared" si="1"/>
        <v>33.863249999999994</v>
      </c>
      <c r="P31" s="7"/>
      <c r="Q31" s="10"/>
      <c r="R31" s="11"/>
      <c r="S31" s="11"/>
      <c r="T31" s="26"/>
      <c r="U31" s="28">
        <f t="shared" si="2"/>
        <v>1.0780082987551867</v>
      </c>
    </row>
    <row r="32" spans="1:21" ht="16.5" thickBot="1" x14ac:dyDescent="0.3">
      <c r="B32" s="12"/>
      <c r="C32" s="33">
        <v>593.26</v>
      </c>
      <c r="D32" s="34">
        <v>30.187000000000001</v>
      </c>
      <c r="E32" s="34">
        <v>37.277999999999999</v>
      </c>
      <c r="F32" s="34">
        <v>36.021999999999998</v>
      </c>
      <c r="G32" s="20">
        <v>2.79</v>
      </c>
      <c r="H32" s="20">
        <f t="shared" si="0"/>
        <v>31.80275</v>
      </c>
      <c r="I32" s="5"/>
      <c r="J32" s="33">
        <v>607.07600000000002</v>
      </c>
      <c r="K32" s="34">
        <v>30.13</v>
      </c>
      <c r="L32" s="34">
        <v>38.9938</v>
      </c>
      <c r="M32" s="34">
        <v>37.720399999999998</v>
      </c>
      <c r="N32" s="20">
        <v>6.8573000000000004</v>
      </c>
      <c r="O32" s="20">
        <f t="shared" si="1"/>
        <v>32.186774999999997</v>
      </c>
      <c r="P32" s="7"/>
      <c r="Q32" s="13"/>
      <c r="R32" s="14"/>
      <c r="S32" s="14"/>
      <c r="T32" s="27"/>
      <c r="U32" s="28">
        <f t="shared" si="2"/>
        <v>1.4578136200716847</v>
      </c>
    </row>
    <row r="33" spans="1:21" x14ac:dyDescent="0.25">
      <c r="B33" s="6" t="s">
        <v>52</v>
      </c>
      <c r="C33" s="15">
        <v>2314.62</v>
      </c>
      <c r="D33" s="16">
        <v>33.987000000000002</v>
      </c>
      <c r="E33" s="16">
        <v>39.655000000000001</v>
      </c>
      <c r="F33" s="16">
        <v>42.26</v>
      </c>
      <c r="G33" s="16">
        <v>2.4</v>
      </c>
      <c r="H33" s="16">
        <f t="shared" si="0"/>
        <v>35.729625000000006</v>
      </c>
      <c r="I33" s="5"/>
      <c r="J33" s="15">
        <v>2391.6055999999999</v>
      </c>
      <c r="K33" s="16">
        <v>34.134099999999997</v>
      </c>
      <c r="L33" s="16">
        <v>40.4544</v>
      </c>
      <c r="M33" s="16">
        <v>42.8752</v>
      </c>
      <c r="N33" s="16">
        <v>4.2138999999999998</v>
      </c>
      <c r="O33" s="16">
        <f t="shared" si="1"/>
        <v>36.016774999999996</v>
      </c>
      <c r="P33" s="7"/>
      <c r="Q33" s="8">
        <f>bdrate(C33:C36,D33:D36,J33:J36,K33:K36)</f>
        <v>-2.8111270572128144E-2</v>
      </c>
      <c r="R33" s="8">
        <f>bdrate(C33:C36,E33:E36,J33:J36,L33:L36)</f>
        <v>-0.3811726527202739</v>
      </c>
      <c r="S33" s="8">
        <f>bdrate(C33:C36,F33:F36,J33:J36,M33:M36)</f>
        <v>-0.32499399569448639</v>
      </c>
      <c r="T33" s="25">
        <f>bdrate(C33:C36,H33:H36,J33:J36,O33:O36)</f>
        <v>-8.620134635235166E-2</v>
      </c>
      <c r="U33" s="28">
        <f t="shared" si="2"/>
        <v>0.75579166666666664</v>
      </c>
    </row>
    <row r="34" spans="1:21" x14ac:dyDescent="0.25">
      <c r="B34" s="9"/>
      <c r="C34" s="17">
        <v>1515.31</v>
      </c>
      <c r="D34" s="18">
        <v>33.360999999999997</v>
      </c>
      <c r="E34" s="18">
        <v>39.256999999999998</v>
      </c>
      <c r="F34" s="18">
        <v>41.912999999999997</v>
      </c>
      <c r="G34" s="18">
        <v>2.66</v>
      </c>
      <c r="H34" s="18">
        <f t="shared" si="0"/>
        <v>35.167000000000002</v>
      </c>
      <c r="I34" s="5"/>
      <c r="J34" s="17">
        <v>1590.9232</v>
      </c>
      <c r="K34" s="18">
        <v>33.493099999999998</v>
      </c>
      <c r="L34" s="18">
        <v>40.005400000000002</v>
      </c>
      <c r="M34" s="18">
        <v>42.496899999999997</v>
      </c>
      <c r="N34" s="18">
        <v>5.4997999999999996</v>
      </c>
      <c r="O34" s="18">
        <f t="shared" si="1"/>
        <v>35.432612499999998</v>
      </c>
      <c r="P34" s="7"/>
      <c r="Q34" s="10"/>
      <c r="R34" s="11"/>
      <c r="S34" s="11"/>
      <c r="T34" s="26"/>
      <c r="U34" s="28">
        <f t="shared" si="2"/>
        <v>1.0675939849624057</v>
      </c>
    </row>
    <row r="35" spans="1:21" x14ac:dyDescent="0.25">
      <c r="B35" s="9"/>
      <c r="C35" s="17">
        <v>911.06</v>
      </c>
      <c r="D35" s="18">
        <v>32.292999999999999</v>
      </c>
      <c r="E35" s="18">
        <v>38.673999999999999</v>
      </c>
      <c r="F35" s="18">
        <v>41.445</v>
      </c>
      <c r="G35" s="18">
        <v>2.98</v>
      </c>
      <c r="H35" s="18">
        <f t="shared" si="0"/>
        <v>34.234625000000001</v>
      </c>
      <c r="I35" s="5"/>
      <c r="J35" s="17">
        <v>983.86</v>
      </c>
      <c r="K35" s="18">
        <v>32.507399999999997</v>
      </c>
      <c r="L35" s="18">
        <v>39.289200000000001</v>
      </c>
      <c r="M35" s="18">
        <v>41.853099999999998</v>
      </c>
      <c r="N35" s="18">
        <v>7.5400999999999998</v>
      </c>
      <c r="O35" s="18">
        <f t="shared" si="1"/>
        <v>34.523337499999997</v>
      </c>
      <c r="P35" s="7"/>
      <c r="Q35" s="10"/>
      <c r="R35" s="11"/>
      <c r="S35" s="11"/>
      <c r="T35" s="26"/>
      <c r="U35" s="28">
        <f t="shared" si="2"/>
        <v>1.5302348993288593</v>
      </c>
    </row>
    <row r="36" spans="1:21" ht="16.5" thickBot="1" x14ac:dyDescent="0.3">
      <c r="B36" s="12"/>
      <c r="C36" s="19">
        <v>488.31</v>
      </c>
      <c r="D36" s="20">
        <v>30.111999999999998</v>
      </c>
      <c r="E36" s="20">
        <v>37.655000000000001</v>
      </c>
      <c r="F36" s="20">
        <v>40.737000000000002</v>
      </c>
      <c r="G36" s="20">
        <v>3.31</v>
      </c>
      <c r="H36" s="20">
        <f t="shared" si="0"/>
        <v>32.383000000000003</v>
      </c>
      <c r="I36" s="5"/>
      <c r="J36" s="19">
        <v>580.01760000000002</v>
      </c>
      <c r="K36" s="20">
        <v>31.099</v>
      </c>
      <c r="L36" s="20">
        <v>38.713700000000003</v>
      </c>
      <c r="M36" s="20">
        <v>41.365200000000002</v>
      </c>
      <c r="N36" s="20">
        <v>10.513999999999999</v>
      </c>
      <c r="O36" s="20">
        <f t="shared" si="1"/>
        <v>33.334112500000003</v>
      </c>
      <c r="P36" s="7"/>
      <c r="Q36" s="13"/>
      <c r="R36" s="14"/>
      <c r="S36" s="14"/>
      <c r="T36" s="27"/>
      <c r="U36" s="28">
        <f t="shared" si="2"/>
        <v>2.1764350453172203</v>
      </c>
    </row>
    <row r="37" spans="1:21" x14ac:dyDescent="0.25">
      <c r="A37" s="6" t="s">
        <v>39</v>
      </c>
      <c r="B37" s="6" t="s">
        <v>53</v>
      </c>
      <c r="C37" s="15">
        <v>1218.22</v>
      </c>
      <c r="D37" s="16">
        <v>36.110999999999997</v>
      </c>
      <c r="E37" s="16">
        <v>39.713000000000001</v>
      </c>
      <c r="F37" s="16">
        <v>39.795000000000002</v>
      </c>
      <c r="G37" s="16">
        <v>5.53</v>
      </c>
      <c r="H37" s="16">
        <f t="shared" si="0"/>
        <v>37.021750000000004</v>
      </c>
      <c r="I37" s="5"/>
      <c r="J37" s="15">
        <v>1199.4695999999999</v>
      </c>
      <c r="K37" s="16">
        <v>37.052199999999999</v>
      </c>
      <c r="L37" s="16">
        <v>41.237499999999997</v>
      </c>
      <c r="M37" s="16">
        <v>41.255699999999997</v>
      </c>
      <c r="N37" s="16">
        <v>8.6552000000000007</v>
      </c>
      <c r="O37" s="16">
        <f t="shared" si="1"/>
        <v>38.1008</v>
      </c>
      <c r="P37" s="7"/>
      <c r="Q37" s="8">
        <f>bdrate(C37:C40,D37:D40,J37:J40,K37:K40)</f>
        <v>-0.1159706371542224</v>
      </c>
      <c r="R37" s="8">
        <f>bdrate(C37:C40,E37:E40,J37:J40,L37:L40)</f>
        <v>-0.40651742577178218</v>
      </c>
      <c r="S37" s="8">
        <f>bdrate(C37:C40,F37:F40,J37:J40,M37:M40)</f>
        <v>-0.33369633626552486</v>
      </c>
      <c r="T37" s="25">
        <f>bdrate(C37:C40,H37:H40,J37:J40,O37:O40)</f>
        <v>-0.17406680740415692</v>
      </c>
      <c r="U37" s="28">
        <f t="shared" si="2"/>
        <v>0.5651356238698011</v>
      </c>
    </row>
    <row r="38" spans="1:21" x14ac:dyDescent="0.25">
      <c r="A38" s="9" t="s">
        <v>40</v>
      </c>
      <c r="B38" s="9"/>
      <c r="C38" s="17">
        <v>813.72</v>
      </c>
      <c r="D38" s="18">
        <v>34.557000000000002</v>
      </c>
      <c r="E38" s="18">
        <v>38.402999999999999</v>
      </c>
      <c r="F38" s="18">
        <v>38.405999999999999</v>
      </c>
      <c r="G38" s="18">
        <v>6.64</v>
      </c>
      <c r="H38" s="18">
        <f t="shared" si="0"/>
        <v>35.518875000000001</v>
      </c>
      <c r="I38" s="5"/>
      <c r="J38" s="17">
        <v>796.57360000000006</v>
      </c>
      <c r="K38" s="18">
        <v>35.196599999999997</v>
      </c>
      <c r="L38" s="18">
        <v>39.8797</v>
      </c>
      <c r="M38" s="18">
        <v>39.7057</v>
      </c>
      <c r="N38" s="18">
        <v>10.5702</v>
      </c>
      <c r="O38" s="18">
        <f t="shared" si="1"/>
        <v>36.345624999999998</v>
      </c>
      <c r="P38" s="7"/>
      <c r="Q38" s="10"/>
      <c r="R38" s="11"/>
      <c r="S38" s="11"/>
      <c r="T38" s="26"/>
      <c r="U38" s="28">
        <f t="shared" si="2"/>
        <v>0.59189759036144585</v>
      </c>
    </row>
    <row r="39" spans="1:21" x14ac:dyDescent="0.25">
      <c r="B39" s="9"/>
      <c r="C39" s="17">
        <v>506.03</v>
      </c>
      <c r="D39" s="18">
        <v>32.908000000000001</v>
      </c>
      <c r="E39" s="18">
        <v>37.215000000000003</v>
      </c>
      <c r="F39" s="18">
        <v>37.113999999999997</v>
      </c>
      <c r="G39" s="18">
        <v>8.19</v>
      </c>
      <c r="H39" s="18">
        <f t="shared" si="0"/>
        <v>33.972124999999998</v>
      </c>
      <c r="I39" s="5"/>
      <c r="J39" s="17">
        <v>503.63119999999998</v>
      </c>
      <c r="K39" s="18">
        <v>33.270499999999998</v>
      </c>
      <c r="L39" s="18">
        <v>38.574399999999997</v>
      </c>
      <c r="M39" s="18">
        <v>38.267699999999998</v>
      </c>
      <c r="N39" s="18">
        <v>13.466900000000001</v>
      </c>
      <c r="O39" s="18">
        <f t="shared" si="1"/>
        <v>34.558137500000001</v>
      </c>
      <c r="P39" s="7"/>
      <c r="Q39" s="10"/>
      <c r="R39" s="11"/>
      <c r="S39" s="11"/>
      <c r="T39" s="26"/>
      <c r="U39" s="28">
        <f t="shared" si="2"/>
        <v>0.64431013431013451</v>
      </c>
    </row>
    <row r="40" spans="1:21" ht="16.5" thickBot="1" x14ac:dyDescent="0.3">
      <c r="B40" s="12"/>
      <c r="C40" s="19">
        <v>301.55</v>
      </c>
      <c r="D40" s="20">
        <v>31.239000000000001</v>
      </c>
      <c r="E40" s="20">
        <v>36.01</v>
      </c>
      <c r="F40" s="20">
        <v>35.588999999999999</v>
      </c>
      <c r="G40" s="20">
        <v>10.47</v>
      </c>
      <c r="H40" s="20">
        <f t="shared" si="0"/>
        <v>32.379125000000002</v>
      </c>
      <c r="I40" s="5"/>
      <c r="J40" s="19">
        <v>299.84559999999999</v>
      </c>
      <c r="K40" s="20">
        <v>31.185600000000001</v>
      </c>
      <c r="L40" s="20">
        <v>37.157699999999998</v>
      </c>
      <c r="M40" s="20">
        <v>36.628900000000002</v>
      </c>
      <c r="N40" s="20">
        <v>18.159400000000002</v>
      </c>
      <c r="O40" s="20">
        <f t="shared" si="1"/>
        <v>32.612525000000005</v>
      </c>
      <c r="P40" s="7"/>
      <c r="Q40" s="13"/>
      <c r="R40" s="14"/>
      <c r="S40" s="14"/>
      <c r="T40" s="27"/>
      <c r="U40" s="28">
        <f t="shared" si="2"/>
        <v>0.73442215854823312</v>
      </c>
    </row>
    <row r="41" spans="1:21" x14ac:dyDescent="0.25">
      <c r="B41" s="6" t="s">
        <v>54</v>
      </c>
      <c r="C41" s="15">
        <v>1226.26</v>
      </c>
      <c r="D41" s="16">
        <v>36.142000000000003</v>
      </c>
      <c r="E41" s="16">
        <v>40.473999999999997</v>
      </c>
      <c r="F41" s="16">
        <v>41.405999999999999</v>
      </c>
      <c r="G41" s="16">
        <v>6.78</v>
      </c>
      <c r="H41" s="16">
        <f t="shared" si="0"/>
        <v>37.341500000000003</v>
      </c>
      <c r="I41" s="5"/>
      <c r="J41" s="15">
        <v>1212.0791999999999</v>
      </c>
      <c r="K41" s="16">
        <v>36.407899999999998</v>
      </c>
      <c r="L41" s="16">
        <v>41.864699999999999</v>
      </c>
      <c r="M41" s="16">
        <v>42.9238</v>
      </c>
      <c r="N41" s="16">
        <v>10.743399999999999</v>
      </c>
      <c r="O41" s="16">
        <f t="shared" si="1"/>
        <v>37.904487500000002</v>
      </c>
      <c r="P41" s="7"/>
      <c r="Q41" s="8">
        <f>bdrate(C41:C44,D41:D44,J41:J44,K41:K44)</f>
        <v>-0.10675774164389629</v>
      </c>
      <c r="R41" s="8">
        <f>bdrate(C41:C44,E41:E44,J41:J44,L41:L44)</f>
        <v>-0.48483541078979708</v>
      </c>
      <c r="S41" s="8">
        <f>bdrate(C41:C44,F41:F44,J41:J44,M41:M44)</f>
        <v>-0.46633269295318336</v>
      </c>
      <c r="T41" s="25">
        <f>bdrate(C41:C44,H41:H44,J41:J44,O41:O44)</f>
        <v>-0.18753931930402779</v>
      </c>
      <c r="U41" s="28">
        <f t="shared" si="2"/>
        <v>0.58457227138643053</v>
      </c>
    </row>
    <row r="42" spans="1:21" x14ac:dyDescent="0.25">
      <c r="B42" s="9"/>
      <c r="C42" s="17">
        <v>816.9</v>
      </c>
      <c r="D42" s="18">
        <v>34.518999999999998</v>
      </c>
      <c r="E42" s="18">
        <v>39.356999999999999</v>
      </c>
      <c r="F42" s="18">
        <v>40.195</v>
      </c>
      <c r="G42" s="18">
        <v>8.02</v>
      </c>
      <c r="H42" s="18">
        <f t="shared" si="0"/>
        <v>35.83325</v>
      </c>
      <c r="I42" s="5"/>
      <c r="J42" s="17">
        <v>806.86559999999997</v>
      </c>
      <c r="K42" s="18">
        <v>34.862699999999997</v>
      </c>
      <c r="L42" s="18">
        <v>40.899000000000001</v>
      </c>
      <c r="M42" s="18">
        <v>41.813600000000001</v>
      </c>
      <c r="N42" s="18">
        <v>13.437799999999999</v>
      </c>
      <c r="O42" s="18">
        <f t="shared" si="1"/>
        <v>36.4861</v>
      </c>
      <c r="P42" s="7"/>
      <c r="Q42" s="10"/>
      <c r="R42" s="11"/>
      <c r="S42" s="11"/>
      <c r="T42" s="26"/>
      <c r="U42" s="28">
        <f t="shared" si="2"/>
        <v>0.67553615960099755</v>
      </c>
    </row>
    <row r="43" spans="1:21" x14ac:dyDescent="0.25">
      <c r="B43" s="9"/>
      <c r="C43" s="17">
        <v>508.39</v>
      </c>
      <c r="D43" s="18">
        <v>32.514000000000003</v>
      </c>
      <c r="E43" s="18">
        <v>38.055999999999997</v>
      </c>
      <c r="F43" s="18">
        <v>38.774000000000001</v>
      </c>
      <c r="G43" s="18">
        <v>9.7100000000000009</v>
      </c>
      <c r="H43" s="18">
        <f t="shared" si="0"/>
        <v>33.989249999999998</v>
      </c>
      <c r="I43" s="5"/>
      <c r="J43" s="17">
        <v>503.404</v>
      </c>
      <c r="K43" s="18">
        <v>32.979900000000001</v>
      </c>
      <c r="L43" s="18">
        <v>39.8108</v>
      </c>
      <c r="M43" s="18">
        <v>40.575400000000002</v>
      </c>
      <c r="N43" s="18">
        <v>17.348600000000001</v>
      </c>
      <c r="O43" s="18">
        <f t="shared" si="1"/>
        <v>34.783200000000001</v>
      </c>
      <c r="P43" s="7"/>
      <c r="Q43" s="10"/>
      <c r="R43" s="11"/>
      <c r="S43" s="11"/>
      <c r="T43" s="26"/>
      <c r="U43" s="28">
        <f t="shared" si="2"/>
        <v>0.78667353244078264</v>
      </c>
    </row>
    <row r="44" spans="1:21" ht="16.5" thickBot="1" x14ac:dyDescent="0.3">
      <c r="B44" s="12"/>
      <c r="C44" s="19">
        <v>301.22000000000003</v>
      </c>
      <c r="D44" s="20">
        <v>30.18</v>
      </c>
      <c r="E44" s="20">
        <v>36.587000000000003</v>
      </c>
      <c r="F44" s="20">
        <v>37.14</v>
      </c>
      <c r="G44" s="20">
        <v>12</v>
      </c>
      <c r="H44" s="20">
        <f t="shared" si="0"/>
        <v>31.850874999999995</v>
      </c>
      <c r="I44" s="5"/>
      <c r="J44" s="19">
        <v>303.74</v>
      </c>
      <c r="K44" s="20">
        <v>30.8917</v>
      </c>
      <c r="L44" s="20">
        <v>38.603499999999997</v>
      </c>
      <c r="M44" s="20">
        <v>39.333399999999997</v>
      </c>
      <c r="N44" s="20">
        <v>22.934899999999999</v>
      </c>
      <c r="O44" s="20">
        <f t="shared" si="1"/>
        <v>32.910887500000001</v>
      </c>
      <c r="P44" s="7"/>
      <c r="Q44" s="13"/>
      <c r="R44" s="14"/>
      <c r="S44" s="14"/>
      <c r="T44" s="27"/>
      <c r="U44" s="28">
        <f t="shared" si="2"/>
        <v>0.91124166666666662</v>
      </c>
    </row>
    <row r="45" spans="1:21" x14ac:dyDescent="0.25">
      <c r="B45" s="6" t="s">
        <v>55</v>
      </c>
      <c r="C45" s="15">
        <v>1091.1400000000001</v>
      </c>
      <c r="D45" s="16">
        <v>30.643000000000001</v>
      </c>
      <c r="E45" s="16">
        <v>36.058</v>
      </c>
      <c r="F45" s="16">
        <v>36.854999999999997</v>
      </c>
      <c r="G45" s="16">
        <v>6.06</v>
      </c>
      <c r="H45" s="16">
        <f t="shared" si="0"/>
        <v>32.096375000000002</v>
      </c>
      <c r="I45" s="5"/>
      <c r="J45" s="15">
        <v>1189.0319999999999</v>
      </c>
      <c r="K45" s="16">
        <v>31.301100000000002</v>
      </c>
      <c r="L45" s="16">
        <v>37.773400000000002</v>
      </c>
      <c r="M45" s="16">
        <v>38.624600000000001</v>
      </c>
      <c r="N45" s="16">
        <v>11.0624</v>
      </c>
      <c r="O45" s="16">
        <f t="shared" si="1"/>
        <v>33.025575000000003</v>
      </c>
      <c r="P45" s="7"/>
      <c r="Q45" s="8">
        <f>bdrate(C45:C48,D45:D48,J45:J48,K45:K48)</f>
        <v>-9.7101398811424766E-2</v>
      </c>
      <c r="R45" s="8">
        <f>bdrate(C45:C48,E45:E48,J45:J48,L45:L48)</f>
        <v>-0.52577652920880336</v>
      </c>
      <c r="S45" s="8">
        <f>bdrate(C45:C48,F45:F48,J45:J48,M45:M48)</f>
        <v>-0.50913434423282844</v>
      </c>
      <c r="T45" s="25">
        <f>bdrate(C45:C48,H45:H48,J45:J48,O45:O48)</f>
        <v>-0.18011816742154596</v>
      </c>
      <c r="U45" s="28">
        <f t="shared" si="2"/>
        <v>0.82547854785478558</v>
      </c>
    </row>
    <row r="46" spans="1:21" x14ac:dyDescent="0.25">
      <c r="B46" s="9"/>
      <c r="C46" s="17">
        <v>725.45</v>
      </c>
      <c r="D46" s="18">
        <v>29.215</v>
      </c>
      <c r="E46" s="18">
        <v>35.295999999999999</v>
      </c>
      <c r="F46" s="18">
        <v>36.118000000000002</v>
      </c>
      <c r="G46" s="18">
        <v>7.31</v>
      </c>
      <c r="H46" s="18">
        <f t="shared" si="0"/>
        <v>30.837999999999997</v>
      </c>
      <c r="I46" s="5"/>
      <c r="J46" s="17">
        <v>794.91039999999998</v>
      </c>
      <c r="K46" s="18">
        <v>29.897600000000001</v>
      </c>
      <c r="L46" s="18">
        <v>36.890099999999997</v>
      </c>
      <c r="M46" s="18">
        <v>37.707599999999999</v>
      </c>
      <c r="N46" s="18">
        <v>14.0021</v>
      </c>
      <c r="O46" s="18">
        <f t="shared" si="1"/>
        <v>31.747912499999998</v>
      </c>
      <c r="P46" s="7"/>
      <c r="Q46" s="10"/>
      <c r="R46" s="11"/>
      <c r="S46" s="11"/>
      <c r="T46" s="26"/>
      <c r="U46" s="28">
        <f t="shared" si="2"/>
        <v>0.9154719562243504</v>
      </c>
    </row>
    <row r="47" spans="1:21" x14ac:dyDescent="0.25">
      <c r="B47" s="9"/>
      <c r="C47" s="17">
        <v>449.25</v>
      </c>
      <c r="D47" s="18">
        <v>27.672000000000001</v>
      </c>
      <c r="E47" s="18">
        <v>34.515000000000001</v>
      </c>
      <c r="F47" s="18">
        <v>35.325000000000003</v>
      </c>
      <c r="G47" s="18">
        <v>8.99</v>
      </c>
      <c r="H47" s="18">
        <f t="shared" si="0"/>
        <v>29.484000000000002</v>
      </c>
      <c r="I47" s="5"/>
      <c r="J47" s="17">
        <v>501.12</v>
      </c>
      <c r="K47" s="18">
        <v>28.3233</v>
      </c>
      <c r="L47" s="18">
        <v>35.955599999999997</v>
      </c>
      <c r="M47" s="18">
        <v>36.724200000000003</v>
      </c>
      <c r="N47" s="18">
        <v>17.826599999999999</v>
      </c>
      <c r="O47" s="18">
        <f t="shared" si="1"/>
        <v>30.327449999999999</v>
      </c>
      <c r="P47" s="7"/>
      <c r="Q47" s="10"/>
      <c r="R47" s="11"/>
      <c r="S47" s="11"/>
      <c r="T47" s="26"/>
      <c r="U47" s="28">
        <f t="shared" si="2"/>
        <v>0.98293659621801988</v>
      </c>
    </row>
    <row r="48" spans="1:21" ht="16.5" thickBot="1" x14ac:dyDescent="0.3">
      <c r="B48" s="12"/>
      <c r="C48" s="19">
        <v>253.66</v>
      </c>
      <c r="D48" s="20">
        <v>25.85</v>
      </c>
      <c r="E48" s="20">
        <v>33.402000000000001</v>
      </c>
      <c r="F48" s="20">
        <v>34.201000000000001</v>
      </c>
      <c r="G48" s="20">
        <v>11.67</v>
      </c>
      <c r="H48" s="20">
        <f t="shared" si="0"/>
        <v>27.837875</v>
      </c>
      <c r="I48" s="5"/>
      <c r="J48" s="19">
        <v>305.84640000000002</v>
      </c>
      <c r="K48" s="20">
        <v>26.8</v>
      </c>
      <c r="L48" s="20">
        <v>35.145200000000003</v>
      </c>
      <c r="M48" s="20">
        <v>35.881100000000004</v>
      </c>
      <c r="N48" s="20">
        <v>23.6877</v>
      </c>
      <c r="O48" s="20">
        <f t="shared" si="1"/>
        <v>28.9782875</v>
      </c>
      <c r="P48" s="7"/>
      <c r="Q48" s="13"/>
      <c r="R48" s="14"/>
      <c r="S48" s="14"/>
      <c r="T48" s="27"/>
      <c r="U48" s="28">
        <f t="shared" si="2"/>
        <v>1.0297943444730078</v>
      </c>
    </row>
    <row r="49" spans="1:21" x14ac:dyDescent="0.25">
      <c r="B49" s="6" t="s">
        <v>56</v>
      </c>
      <c r="C49" s="15">
        <v>1093.93</v>
      </c>
      <c r="D49" s="16">
        <v>33.701999999999998</v>
      </c>
      <c r="E49" s="16">
        <v>37.235999999999997</v>
      </c>
      <c r="F49" s="16">
        <v>38.953000000000003</v>
      </c>
      <c r="G49" s="16">
        <v>4.08</v>
      </c>
      <c r="H49" s="16">
        <f t="shared" si="0"/>
        <v>34.800124999999994</v>
      </c>
      <c r="I49" s="5"/>
      <c r="J49" s="15">
        <v>1191.8599999999999</v>
      </c>
      <c r="K49" s="16">
        <v>33.575299999999999</v>
      </c>
      <c r="L49" s="16">
        <v>38.180799999999998</v>
      </c>
      <c r="M49" s="16">
        <v>39.794199999999996</v>
      </c>
      <c r="N49" s="16">
        <v>6.4554999999999998</v>
      </c>
      <c r="O49" s="16">
        <f t="shared" si="1"/>
        <v>34.928350000000002</v>
      </c>
      <c r="P49" s="7"/>
      <c r="Q49" s="8">
        <f>bdrate(C49:C52,D49:D52,J49:J52,K49:K52)</f>
        <v>0.1450212385874281</v>
      </c>
      <c r="R49" s="8">
        <f>bdrate(C49:C52,E49:E52,J49:J52,L49:L52)</f>
        <v>-0.32060787340330954</v>
      </c>
      <c r="S49" s="8">
        <f>bdrate(C49:C52,F49:F52,J49:J52,M49:M52)</f>
        <v>-0.3205599988739366</v>
      </c>
      <c r="T49" s="25">
        <f>bdrate(C49:C52,H49:H52,J49:J52,O49:O52)</f>
        <v>5.0623821641013977E-2</v>
      </c>
      <c r="U49" s="28">
        <f t="shared" si="2"/>
        <v>0.58223039215686268</v>
      </c>
    </row>
    <row r="50" spans="1:21" x14ac:dyDescent="0.25">
      <c r="B50" s="9"/>
      <c r="C50" s="17">
        <v>739.9</v>
      </c>
      <c r="D50" s="18">
        <v>32.223999999999997</v>
      </c>
      <c r="E50" s="18">
        <v>36.271000000000001</v>
      </c>
      <c r="F50" s="18">
        <v>38.012999999999998</v>
      </c>
      <c r="G50" s="18">
        <v>4.82</v>
      </c>
      <c r="H50" s="18">
        <f t="shared" si="0"/>
        <v>33.453499999999998</v>
      </c>
      <c r="I50" s="5"/>
      <c r="J50" s="17">
        <v>794.54639999999995</v>
      </c>
      <c r="K50" s="18">
        <v>31.994199999999999</v>
      </c>
      <c r="L50" s="18">
        <v>37.227699999999999</v>
      </c>
      <c r="M50" s="18">
        <v>38.901499999999999</v>
      </c>
      <c r="N50" s="18">
        <v>7.8975999999999997</v>
      </c>
      <c r="O50" s="18">
        <f t="shared" si="1"/>
        <v>33.511799999999994</v>
      </c>
      <c r="P50" s="7"/>
      <c r="Q50" s="10"/>
      <c r="R50" s="11"/>
      <c r="S50" s="11"/>
      <c r="T50" s="26"/>
      <c r="U50" s="28">
        <f t="shared" si="2"/>
        <v>0.6385062240663899</v>
      </c>
    </row>
    <row r="51" spans="1:21" x14ac:dyDescent="0.25">
      <c r="B51" s="9"/>
      <c r="C51" s="17">
        <v>470.45</v>
      </c>
      <c r="D51" s="18">
        <v>30.571999999999999</v>
      </c>
      <c r="E51" s="18">
        <v>35.344999999999999</v>
      </c>
      <c r="F51" s="18">
        <v>37.000999999999998</v>
      </c>
      <c r="G51" s="18">
        <v>5.91</v>
      </c>
      <c r="H51" s="18">
        <f t="shared" si="0"/>
        <v>31.972249999999999</v>
      </c>
      <c r="I51" s="5"/>
      <c r="J51" s="17">
        <v>495.35199999999998</v>
      </c>
      <c r="K51" s="18">
        <v>30.253399999999999</v>
      </c>
      <c r="L51" s="18">
        <v>36.255200000000002</v>
      </c>
      <c r="M51" s="18">
        <v>37.988700000000001</v>
      </c>
      <c r="N51" s="18">
        <v>9.9953000000000003</v>
      </c>
      <c r="O51" s="18">
        <f t="shared" si="1"/>
        <v>31.970537499999999</v>
      </c>
      <c r="P51" s="7"/>
      <c r="Q51" s="10"/>
      <c r="R51" s="11"/>
      <c r="S51" s="11"/>
      <c r="T51" s="26"/>
      <c r="U51" s="28">
        <f t="shared" si="2"/>
        <v>0.69125211505922168</v>
      </c>
    </row>
    <row r="52" spans="1:21" ht="16.5" thickBot="1" x14ac:dyDescent="0.3">
      <c r="B52" s="12"/>
      <c r="C52" s="19">
        <v>285.8</v>
      </c>
      <c r="D52" s="20">
        <v>28.864000000000001</v>
      </c>
      <c r="E52" s="20">
        <v>34.292999999999999</v>
      </c>
      <c r="F52" s="20">
        <v>35.814999999999998</v>
      </c>
      <c r="G52" s="20">
        <v>7.42</v>
      </c>
      <c r="H52" s="20">
        <f t="shared" si="0"/>
        <v>30.4115</v>
      </c>
      <c r="I52" s="5"/>
      <c r="J52" s="19">
        <v>296.69439999999997</v>
      </c>
      <c r="K52" s="20">
        <v>28.5289</v>
      </c>
      <c r="L52" s="20">
        <v>35.311599999999999</v>
      </c>
      <c r="M52" s="20">
        <v>37.036900000000003</v>
      </c>
      <c r="N52" s="20">
        <v>13.2896</v>
      </c>
      <c r="O52" s="20">
        <f t="shared" si="1"/>
        <v>30.440237500000002</v>
      </c>
      <c r="P52" s="7"/>
      <c r="Q52" s="13"/>
      <c r="R52" s="14"/>
      <c r="S52" s="14"/>
      <c r="T52" s="27"/>
      <c r="U52" s="28">
        <f t="shared" si="2"/>
        <v>0.7910512129380054</v>
      </c>
    </row>
    <row r="53" spans="1:21" x14ac:dyDescent="0.25">
      <c r="A53" s="6" t="s">
        <v>41</v>
      </c>
      <c r="B53" s="6" t="s">
        <v>57</v>
      </c>
      <c r="C53" s="15">
        <v>635.5</v>
      </c>
      <c r="D53" s="16">
        <v>36.128999999999998</v>
      </c>
      <c r="E53" s="16">
        <v>40.328000000000003</v>
      </c>
      <c r="F53" s="16">
        <v>39.137999999999998</v>
      </c>
      <c r="G53" s="16">
        <v>9.4</v>
      </c>
      <c r="H53" s="16">
        <f t="shared" si="0"/>
        <v>37.029999999999994</v>
      </c>
      <c r="I53" s="5"/>
      <c r="J53" s="15">
        <v>608.91999999999996</v>
      </c>
      <c r="K53" s="16">
        <v>35.866199999999999</v>
      </c>
      <c r="L53" s="16">
        <v>41.376899999999999</v>
      </c>
      <c r="M53" s="16">
        <v>39.795499999999997</v>
      </c>
      <c r="N53" s="16">
        <v>22.923200000000001</v>
      </c>
      <c r="O53" s="16">
        <f t="shared" si="1"/>
        <v>37.046199999999999</v>
      </c>
      <c r="P53" s="7"/>
      <c r="Q53" s="8">
        <f>bdrate(C53:C56,D53:D56,J53:J56,K53:K56)</f>
        <v>5.9122500161429059E-2</v>
      </c>
      <c r="R53" s="8">
        <f>bdrate(C53:C56,E53:E56,J53:J56,L53:L56)</f>
        <v>-0.38613218679701145</v>
      </c>
      <c r="S53" s="8">
        <f>bdrate(C53:C56,F53:F56,J53:J56,M53:M56)</f>
        <v>-0.28468041207959438</v>
      </c>
      <c r="T53" s="25">
        <f>bdrate(C53:C56,H53:H56,J53:J56,O53:O56)</f>
        <v>-2.7083866669298406E-2</v>
      </c>
      <c r="U53" s="28">
        <f t="shared" si="2"/>
        <v>1.4386382978723404</v>
      </c>
    </row>
    <row r="54" spans="1:21" x14ac:dyDescent="0.25">
      <c r="A54" s="9" t="s">
        <v>42</v>
      </c>
      <c r="B54" s="9"/>
      <c r="C54" s="17">
        <v>424.08</v>
      </c>
      <c r="D54" s="18">
        <v>34.222000000000001</v>
      </c>
      <c r="E54" s="18">
        <v>39</v>
      </c>
      <c r="F54" s="18">
        <v>37.631999999999998</v>
      </c>
      <c r="G54" s="18">
        <v>11.36</v>
      </c>
      <c r="H54" s="18">
        <f t="shared" si="0"/>
        <v>35.2455</v>
      </c>
      <c r="I54" s="5"/>
      <c r="J54" s="17">
        <v>402.9248</v>
      </c>
      <c r="K54" s="18">
        <v>33.844999999999999</v>
      </c>
      <c r="L54" s="18">
        <v>40.164299999999997</v>
      </c>
      <c r="M54" s="18">
        <v>38.421399999999998</v>
      </c>
      <c r="N54" s="18">
        <v>27.702400000000001</v>
      </c>
      <c r="O54" s="18">
        <f t="shared" si="1"/>
        <v>35.206962499999996</v>
      </c>
      <c r="P54" s="7"/>
      <c r="Q54" s="10"/>
      <c r="R54" s="11"/>
      <c r="S54" s="11"/>
      <c r="T54" s="26"/>
      <c r="U54" s="28">
        <f t="shared" si="2"/>
        <v>1.4385915492957748</v>
      </c>
    </row>
    <row r="55" spans="1:21" x14ac:dyDescent="0.25">
      <c r="B55" s="9"/>
      <c r="C55" s="17">
        <v>265.64999999999998</v>
      </c>
      <c r="D55" s="18">
        <v>32.228000000000002</v>
      </c>
      <c r="E55" s="18">
        <v>37.75</v>
      </c>
      <c r="F55" s="18">
        <v>36.142000000000003</v>
      </c>
      <c r="G55" s="18">
        <v>14.09</v>
      </c>
      <c r="H55" s="18">
        <f t="shared" si="0"/>
        <v>33.407499999999999</v>
      </c>
      <c r="I55" s="5"/>
      <c r="J55" s="17">
        <v>250.44319999999999</v>
      </c>
      <c r="K55" s="18">
        <v>31.684100000000001</v>
      </c>
      <c r="L55" s="18">
        <v>38.880699999999997</v>
      </c>
      <c r="M55" s="18">
        <v>37.0291</v>
      </c>
      <c r="N55" s="18">
        <v>34.097099999999998</v>
      </c>
      <c r="O55" s="18">
        <f t="shared" si="1"/>
        <v>33.251800000000003</v>
      </c>
      <c r="P55" s="7"/>
      <c r="Q55" s="10"/>
      <c r="R55" s="11"/>
      <c r="S55" s="11"/>
      <c r="T55" s="26"/>
      <c r="U55" s="28">
        <f t="shared" si="2"/>
        <v>1.4199503193754435</v>
      </c>
    </row>
    <row r="56" spans="1:21" ht="16.5" thickBot="1" x14ac:dyDescent="0.3">
      <c r="B56" s="12"/>
      <c r="C56" s="19">
        <v>126.38</v>
      </c>
      <c r="D56" s="20">
        <v>29.265000000000001</v>
      </c>
      <c r="E56" s="20">
        <v>35.718000000000004</v>
      </c>
      <c r="F56" s="20">
        <v>33.747999999999998</v>
      </c>
      <c r="G56" s="20">
        <v>20.12</v>
      </c>
      <c r="H56" s="20">
        <f t="shared" si="0"/>
        <v>30.631999999999998</v>
      </c>
      <c r="I56" s="5"/>
      <c r="J56" s="19">
        <v>120.2672</v>
      </c>
      <c r="K56" s="20">
        <v>28.6371</v>
      </c>
      <c r="L56" s="20">
        <v>37.182899999999997</v>
      </c>
      <c r="M56" s="20">
        <v>34.982100000000003</v>
      </c>
      <c r="N56" s="20">
        <v>50.632899999999999</v>
      </c>
      <c r="O56" s="20">
        <f t="shared" si="1"/>
        <v>30.498449999999998</v>
      </c>
      <c r="P56" s="7"/>
      <c r="Q56" s="13"/>
      <c r="R56" s="14"/>
      <c r="S56" s="14"/>
      <c r="T56" s="27"/>
      <c r="U56" s="28">
        <f t="shared" si="2"/>
        <v>1.516545725646123</v>
      </c>
    </row>
    <row r="57" spans="1:21" x14ac:dyDescent="0.25">
      <c r="B57" s="6" t="s">
        <v>58</v>
      </c>
      <c r="C57" s="15">
        <v>549.53</v>
      </c>
      <c r="D57" s="16">
        <v>33.679000000000002</v>
      </c>
      <c r="E57" s="16">
        <v>40.389000000000003</v>
      </c>
      <c r="F57" s="16">
        <v>41.2</v>
      </c>
      <c r="G57" s="16">
        <v>13.69</v>
      </c>
      <c r="H57" s="16">
        <f t="shared" si="0"/>
        <v>35.457875000000001</v>
      </c>
      <c r="I57" s="5"/>
      <c r="J57" s="15">
        <v>596.75840000000005</v>
      </c>
      <c r="K57" s="16">
        <v>34.645000000000003</v>
      </c>
      <c r="L57" s="16">
        <v>42.242699999999999</v>
      </c>
      <c r="M57" s="16">
        <v>43.258600000000001</v>
      </c>
      <c r="N57" s="16">
        <v>32.594499999999996</v>
      </c>
      <c r="O57" s="16">
        <f t="shared" si="1"/>
        <v>36.671412500000002</v>
      </c>
      <c r="P57" s="7"/>
      <c r="Q57" s="8">
        <f>bdrate(C57:C60,D57:D60,J57:J60,K57:K60)</f>
        <v>-0.15266742875140549</v>
      </c>
      <c r="R57" s="8">
        <f>bdrate(C57:C60,E57:E60,J57:J60,L57:L60)</f>
        <v>-0.49508978739085663</v>
      </c>
      <c r="S57" s="8">
        <f>bdrate(C57:C60,F57:F60,J57:J60,M57:M60)</f>
        <v>-0.50951139890070163</v>
      </c>
      <c r="T57" s="25">
        <f>bdrate(C57:C60,H57:H60,J57:J60,O57:O60)</f>
        <v>-0.21443014107200375</v>
      </c>
      <c r="U57" s="28">
        <f t="shared" si="2"/>
        <v>1.3808984660336012</v>
      </c>
    </row>
    <row r="58" spans="1:21" x14ac:dyDescent="0.25">
      <c r="B58" s="9"/>
      <c r="C58" s="17">
        <v>362.07</v>
      </c>
      <c r="D58" s="18">
        <v>32.293999999999997</v>
      </c>
      <c r="E58" s="18">
        <v>39.661999999999999</v>
      </c>
      <c r="F58" s="18">
        <v>40.530999999999999</v>
      </c>
      <c r="G58" s="18">
        <v>15.97</v>
      </c>
      <c r="H58" s="18">
        <f t="shared" si="0"/>
        <v>34.244624999999999</v>
      </c>
      <c r="I58" s="5"/>
      <c r="J58" s="17">
        <v>397.66879999999998</v>
      </c>
      <c r="K58" s="18">
        <v>33.246899999999997</v>
      </c>
      <c r="L58" s="18">
        <v>41.281199999999998</v>
      </c>
      <c r="M58" s="18">
        <v>42.194600000000001</v>
      </c>
      <c r="N58" s="18">
        <v>42.405799999999999</v>
      </c>
      <c r="O58" s="18">
        <f t="shared" si="1"/>
        <v>35.369649999999993</v>
      </c>
      <c r="P58" s="7"/>
      <c r="Q58" s="10"/>
      <c r="R58" s="11"/>
      <c r="S58" s="11"/>
      <c r="T58" s="26"/>
      <c r="U58" s="28">
        <f t="shared" si="2"/>
        <v>1.6553412648716344</v>
      </c>
    </row>
    <row r="59" spans="1:21" x14ac:dyDescent="0.25">
      <c r="B59" s="9"/>
      <c r="C59" s="17">
        <v>224.61</v>
      </c>
      <c r="D59" s="18">
        <v>30.719000000000001</v>
      </c>
      <c r="E59" s="18">
        <v>39.04</v>
      </c>
      <c r="F59" s="18">
        <v>39.798999999999999</v>
      </c>
      <c r="G59" s="18">
        <v>19.05</v>
      </c>
      <c r="H59" s="18">
        <f t="shared" si="0"/>
        <v>32.894125000000003</v>
      </c>
      <c r="I59" s="5"/>
      <c r="J59" s="17">
        <v>248.39439999999999</v>
      </c>
      <c r="K59" s="18">
        <v>31.616099999999999</v>
      </c>
      <c r="L59" s="18">
        <v>40.302199999999999</v>
      </c>
      <c r="M59" s="18">
        <v>41.2104</v>
      </c>
      <c r="N59" s="18">
        <v>57.405299999999997</v>
      </c>
      <c r="O59" s="18">
        <f t="shared" si="1"/>
        <v>33.901150000000001</v>
      </c>
      <c r="P59" s="7"/>
      <c r="Q59" s="10"/>
      <c r="R59" s="11"/>
      <c r="S59" s="11"/>
      <c r="T59" s="26"/>
      <c r="U59" s="28">
        <f t="shared" si="2"/>
        <v>2.0134015748031495</v>
      </c>
    </row>
    <row r="60" spans="1:21" ht="16.5" thickBot="1" x14ac:dyDescent="0.3">
      <c r="B60" s="12"/>
      <c r="C60" s="19">
        <v>102.92</v>
      </c>
      <c r="D60" s="20">
        <v>27.867999999999999</v>
      </c>
      <c r="E60" s="20">
        <v>37.886000000000003</v>
      </c>
      <c r="F60" s="20">
        <v>38.601999999999997</v>
      </c>
      <c r="G60" s="20">
        <v>25.37</v>
      </c>
      <c r="H60" s="20">
        <f t="shared" si="0"/>
        <v>30.462</v>
      </c>
      <c r="I60" s="5"/>
      <c r="J60" s="19">
        <v>118.7336</v>
      </c>
      <c r="K60" s="20">
        <v>28.9499</v>
      </c>
      <c r="L60" s="20">
        <v>38.921500000000002</v>
      </c>
      <c r="M60" s="20">
        <v>39.776600000000002</v>
      </c>
      <c r="N60" s="20">
        <v>93.356200000000001</v>
      </c>
      <c r="O60" s="20">
        <f t="shared" si="1"/>
        <v>31.549687500000001</v>
      </c>
      <c r="P60" s="7"/>
      <c r="Q60" s="13"/>
      <c r="R60" s="14"/>
      <c r="S60" s="14"/>
      <c r="T60" s="27"/>
      <c r="U60" s="28">
        <f t="shared" si="2"/>
        <v>2.6797871501773747</v>
      </c>
    </row>
    <row r="61" spans="1:21" x14ac:dyDescent="0.25">
      <c r="B61" s="6" t="s">
        <v>59</v>
      </c>
      <c r="C61" s="29">
        <v>625.64</v>
      </c>
      <c r="D61" s="30">
        <v>33.981999999999999</v>
      </c>
      <c r="E61" s="30">
        <v>37.923000000000002</v>
      </c>
      <c r="F61" s="30">
        <v>38.523000000000003</v>
      </c>
      <c r="G61" s="16">
        <v>10.66</v>
      </c>
      <c r="H61" s="16">
        <f t="shared" si="0"/>
        <v>35.042250000000003</v>
      </c>
      <c r="I61" s="5"/>
      <c r="J61" s="29">
        <v>593.42240000000004</v>
      </c>
      <c r="K61" s="30">
        <v>34.002200000000002</v>
      </c>
      <c r="L61" s="30">
        <v>39.140999999999998</v>
      </c>
      <c r="M61" s="30">
        <v>40.066299999999998</v>
      </c>
      <c r="N61" s="16">
        <v>26.642499999999998</v>
      </c>
      <c r="O61" s="16">
        <f t="shared" si="1"/>
        <v>35.402562500000002</v>
      </c>
      <c r="P61" s="7"/>
      <c r="Q61" s="8">
        <f>bdrate(C61:C64,D61:D64,J61:J64,K61:K64)</f>
        <v>-9.5947622060365445E-2</v>
      </c>
      <c r="R61" s="8">
        <f>bdrate(C61:C64,E61:E64,J61:J64,L61:L64)</f>
        <v>-0.41748322238602975</v>
      </c>
      <c r="S61" s="8">
        <f>bdrate(C61:C64,F61:F64,J61:J64,M61:M64)</f>
        <v>-0.47577493809234883</v>
      </c>
      <c r="T61" s="25">
        <f>bdrate(C61:C64,H61:H64,J61:J64,O61:O64)</f>
        <v>-0.17262019450650024</v>
      </c>
      <c r="U61" s="28">
        <f t="shared" si="2"/>
        <v>1.4992964352720448</v>
      </c>
    </row>
    <row r="62" spans="1:21" x14ac:dyDescent="0.25">
      <c r="B62" s="9"/>
      <c r="C62" s="31">
        <v>416.63</v>
      </c>
      <c r="D62" s="32">
        <v>32.295999999999999</v>
      </c>
      <c r="E62" s="32">
        <v>36.844999999999999</v>
      </c>
      <c r="F62" s="32">
        <v>37.371000000000002</v>
      </c>
      <c r="G62" s="18">
        <v>12.81</v>
      </c>
      <c r="H62" s="18">
        <f t="shared" si="0"/>
        <v>33.499000000000002</v>
      </c>
      <c r="I62" s="5"/>
      <c r="J62" s="31">
        <v>394.62479999999999</v>
      </c>
      <c r="K62" s="32">
        <v>32.404299999999999</v>
      </c>
      <c r="L62" s="32">
        <v>37.972299999999997</v>
      </c>
      <c r="M62" s="32">
        <v>38.799900000000001</v>
      </c>
      <c r="N62" s="18">
        <v>32.737499999999997</v>
      </c>
      <c r="O62" s="18">
        <f t="shared" si="1"/>
        <v>33.899749999999997</v>
      </c>
      <c r="P62" s="7"/>
      <c r="Q62" s="10"/>
      <c r="R62" s="11"/>
      <c r="S62" s="11"/>
      <c r="T62" s="26"/>
      <c r="U62" s="28">
        <f t="shared" si="2"/>
        <v>1.555620608899297</v>
      </c>
    </row>
    <row r="63" spans="1:21" x14ac:dyDescent="0.25">
      <c r="B63" s="9"/>
      <c r="C63" s="31">
        <v>259.43</v>
      </c>
      <c r="D63" s="32">
        <v>30.446999999999999</v>
      </c>
      <c r="E63" s="32">
        <v>35.658000000000001</v>
      </c>
      <c r="F63" s="32">
        <v>36.176000000000002</v>
      </c>
      <c r="G63" s="18">
        <v>15.84</v>
      </c>
      <c r="H63" s="18">
        <f t="shared" si="0"/>
        <v>31.814499999999995</v>
      </c>
      <c r="I63" s="5"/>
      <c r="J63" s="31">
        <v>247.76320000000001</v>
      </c>
      <c r="K63" s="32">
        <v>30.686599999999999</v>
      </c>
      <c r="L63" s="32">
        <v>36.8371</v>
      </c>
      <c r="M63" s="32">
        <v>37.638399999999997</v>
      </c>
      <c r="N63" s="18">
        <v>41.037399999999998</v>
      </c>
      <c r="O63" s="18">
        <f t="shared" si="1"/>
        <v>32.3243875</v>
      </c>
      <c r="P63" s="7"/>
      <c r="Q63" s="10"/>
      <c r="R63" s="11"/>
      <c r="S63" s="11"/>
      <c r="T63" s="26"/>
      <c r="U63" s="28">
        <f t="shared" si="2"/>
        <v>1.5907449494949495</v>
      </c>
    </row>
    <row r="64" spans="1:21" ht="16.5" thickBot="1" x14ac:dyDescent="0.3">
      <c r="B64" s="12"/>
      <c r="C64" s="33">
        <v>121.77</v>
      </c>
      <c r="D64" s="34">
        <v>27.748000000000001</v>
      </c>
      <c r="E64" s="34">
        <v>33.966999999999999</v>
      </c>
      <c r="F64" s="34">
        <v>34.399000000000001</v>
      </c>
      <c r="G64" s="20">
        <v>22.12</v>
      </c>
      <c r="H64" s="20">
        <f t="shared" si="0"/>
        <v>29.356749999999998</v>
      </c>
      <c r="I64" s="5"/>
      <c r="J64" s="33">
        <v>119.69119999999999</v>
      </c>
      <c r="K64" s="34">
        <v>28.154800000000002</v>
      </c>
      <c r="L64" s="34">
        <v>35.348999999999997</v>
      </c>
      <c r="M64" s="34">
        <v>36.114800000000002</v>
      </c>
      <c r="N64" s="20">
        <v>61.758899999999997</v>
      </c>
      <c r="O64" s="20">
        <f t="shared" si="1"/>
        <v>30.049075000000002</v>
      </c>
      <c r="P64" s="7"/>
      <c r="Q64" s="13"/>
      <c r="R64" s="14"/>
      <c r="S64" s="14"/>
      <c r="T64" s="27"/>
      <c r="U64" s="28">
        <f t="shared" si="2"/>
        <v>1.7919936708860755</v>
      </c>
    </row>
    <row r="65" spans="1:21" x14ac:dyDescent="0.25">
      <c r="B65" s="6" t="s">
        <v>60</v>
      </c>
      <c r="C65" s="15">
        <v>574.19000000000005</v>
      </c>
      <c r="D65" s="16">
        <v>35.619</v>
      </c>
      <c r="E65" s="16">
        <v>38.481999999999999</v>
      </c>
      <c r="F65" s="16">
        <v>39.701999999999998</v>
      </c>
      <c r="G65" s="16">
        <v>6.78</v>
      </c>
      <c r="H65" s="16">
        <f t="shared" si="0"/>
        <v>36.487250000000003</v>
      </c>
      <c r="I65" s="5"/>
      <c r="J65" s="15">
        <v>589.06719999999996</v>
      </c>
      <c r="K65" s="16">
        <v>35.321800000000003</v>
      </c>
      <c r="L65" s="16">
        <v>39.195700000000002</v>
      </c>
      <c r="M65" s="16">
        <v>40.394300000000001</v>
      </c>
      <c r="N65" s="16">
        <v>14.394</v>
      </c>
      <c r="O65" s="16">
        <f t="shared" si="1"/>
        <v>36.440100000000001</v>
      </c>
      <c r="P65" s="7"/>
      <c r="Q65" s="8">
        <f>bdrate(C65:C68,D65:D68,J65:J68,K65:K68)</f>
        <v>0.11874874628014509</v>
      </c>
      <c r="R65" s="8">
        <f>bdrate(C65:C68,E65:E68,J65:J68,L65:L68)</f>
        <v>-0.25092837502662968</v>
      </c>
      <c r="S65" s="8">
        <f>bdrate(C65:C68,F65:F68,J65:J68,M65:M68)</f>
        <v>-0.25062431279218211</v>
      </c>
      <c r="T65" s="25">
        <f>bdrate(C65:C68,H65:H68,J65:J68,O65:O68)</f>
        <v>3.886231189653544E-2</v>
      </c>
      <c r="U65" s="28">
        <f t="shared" si="2"/>
        <v>1.1230088495575221</v>
      </c>
    </row>
    <row r="66" spans="1:21" x14ac:dyDescent="0.25">
      <c r="B66" s="9"/>
      <c r="C66" s="17">
        <v>385.42</v>
      </c>
      <c r="D66" s="18">
        <v>33.698999999999998</v>
      </c>
      <c r="E66" s="18">
        <v>37.203000000000003</v>
      </c>
      <c r="F66" s="18">
        <v>38.435000000000002</v>
      </c>
      <c r="G66" s="18">
        <v>8.19</v>
      </c>
      <c r="H66" s="18">
        <f t="shared" si="0"/>
        <v>34.728999999999999</v>
      </c>
      <c r="I66" s="5"/>
      <c r="J66" s="17">
        <v>393.14</v>
      </c>
      <c r="K66" s="18">
        <v>33.322200000000002</v>
      </c>
      <c r="L66" s="18">
        <v>37.979100000000003</v>
      </c>
      <c r="M66" s="18">
        <v>39.149099999999997</v>
      </c>
      <c r="N66" s="18">
        <v>17.773599999999998</v>
      </c>
      <c r="O66" s="18">
        <f t="shared" si="1"/>
        <v>34.632674999999999</v>
      </c>
      <c r="P66" s="7"/>
      <c r="Q66" s="10"/>
      <c r="R66" s="11"/>
      <c r="S66" s="11"/>
      <c r="T66" s="26"/>
      <c r="U66" s="28">
        <f t="shared" si="2"/>
        <v>1.1701587301587302</v>
      </c>
    </row>
    <row r="67" spans="1:21" x14ac:dyDescent="0.25">
      <c r="B67" s="9"/>
      <c r="C67" s="17">
        <v>241.99</v>
      </c>
      <c r="D67" s="18">
        <v>31.673999999999999</v>
      </c>
      <c r="E67" s="18">
        <v>35.878999999999998</v>
      </c>
      <c r="F67" s="18">
        <v>37.018000000000001</v>
      </c>
      <c r="G67" s="18">
        <v>10.33</v>
      </c>
      <c r="H67" s="18">
        <f t="shared" si="0"/>
        <v>32.867624999999997</v>
      </c>
      <c r="I67" s="5"/>
      <c r="J67" s="17">
        <v>244.00559999999999</v>
      </c>
      <c r="K67" s="18">
        <v>31.221</v>
      </c>
      <c r="L67" s="18">
        <v>36.663200000000003</v>
      </c>
      <c r="M67" s="18">
        <v>37.872799999999998</v>
      </c>
      <c r="N67" s="18">
        <v>22.258500000000002</v>
      </c>
      <c r="O67" s="18">
        <f t="shared" si="1"/>
        <v>32.732749999999996</v>
      </c>
      <c r="P67" s="7"/>
      <c r="Q67" s="10"/>
      <c r="R67" s="11"/>
      <c r="S67" s="11"/>
      <c r="T67" s="26"/>
      <c r="U67" s="28">
        <f t="shared" si="2"/>
        <v>1.1547434656340756</v>
      </c>
    </row>
    <row r="68" spans="1:21" ht="16.5" thickBot="1" x14ac:dyDescent="0.3">
      <c r="B68" s="12"/>
      <c r="C68" s="19">
        <v>116</v>
      </c>
      <c r="D68" s="20">
        <v>28.88</v>
      </c>
      <c r="E68" s="20">
        <v>33.9</v>
      </c>
      <c r="F68" s="20">
        <v>34.911999999999999</v>
      </c>
      <c r="G68" s="20">
        <v>14.64</v>
      </c>
      <c r="H68" s="20">
        <f t="shared" si="0"/>
        <v>30.261500000000002</v>
      </c>
      <c r="I68" s="5"/>
      <c r="J68" s="19">
        <v>118.0616</v>
      </c>
      <c r="K68" s="20">
        <v>28.456700000000001</v>
      </c>
      <c r="L68" s="20">
        <v>35.156399999999998</v>
      </c>
      <c r="M68" s="20">
        <v>36.293799999999997</v>
      </c>
      <c r="N68" s="20">
        <v>32.873100000000001</v>
      </c>
      <c r="O68" s="20">
        <f t="shared" si="1"/>
        <v>30.273800000000001</v>
      </c>
      <c r="P68" s="7"/>
      <c r="Q68" s="13"/>
      <c r="R68" s="14"/>
      <c r="S68" s="14"/>
      <c r="T68" s="27"/>
      <c r="U68" s="28">
        <f t="shared" si="2"/>
        <v>1.2454303278688523</v>
      </c>
    </row>
    <row r="69" spans="1:21" x14ac:dyDescent="0.25">
      <c r="A69" s="6" t="s">
        <v>43</v>
      </c>
      <c r="B69" s="6" t="s">
        <v>61</v>
      </c>
      <c r="C69" s="15">
        <v>1379.56</v>
      </c>
      <c r="D69" s="16">
        <v>41.533000000000001</v>
      </c>
      <c r="E69" s="16">
        <v>45.584000000000003</v>
      </c>
      <c r="F69" s="16">
        <v>46.872999999999998</v>
      </c>
      <c r="G69" s="16">
        <v>6.01</v>
      </c>
      <c r="H69" s="16">
        <f t="shared" si="0"/>
        <v>42.706875000000004</v>
      </c>
      <c r="I69" s="5"/>
      <c r="J69" s="15">
        <v>1504.7752</v>
      </c>
      <c r="K69" s="16">
        <v>42.103099999999998</v>
      </c>
      <c r="L69" s="16">
        <v>46.6541</v>
      </c>
      <c r="M69" s="16">
        <v>47.92</v>
      </c>
      <c r="N69" s="16">
        <v>7.7215999999999996</v>
      </c>
      <c r="O69" s="16">
        <f t="shared" si="1"/>
        <v>43.3990875</v>
      </c>
      <c r="P69" s="7"/>
      <c r="Q69" s="8">
        <f>bdrate(C69:C72,D69:D72,J69:J72,K69:K72)</f>
        <v>-3.8209754590760703E-2</v>
      </c>
      <c r="R69" s="8">
        <f>bdrate(C69:C72,E69:E72,J69:J72,L69:L72)</f>
        <v>-0.30536723950950961</v>
      </c>
      <c r="S69" s="8">
        <f>bdrate(C69:C72,F69:F72,J69:J72,M69:M72)</f>
        <v>-0.26374544023561408</v>
      </c>
      <c r="T69" s="25">
        <f>bdrate(C69:C72,H69:H72,J69:J72,O69:O72)</f>
        <v>-9.024405824963877E-2</v>
      </c>
      <c r="U69" s="28">
        <f t="shared" si="2"/>
        <v>0.28479201331114806</v>
      </c>
    </row>
    <row r="70" spans="1:21" x14ac:dyDescent="0.25">
      <c r="A70" s="9" t="s">
        <v>44</v>
      </c>
      <c r="B70" s="9"/>
      <c r="C70" s="17">
        <v>908.64</v>
      </c>
      <c r="D70" s="18">
        <v>40.502000000000002</v>
      </c>
      <c r="E70" s="18">
        <v>44.579000000000001</v>
      </c>
      <c r="F70" s="18">
        <v>45.929000000000002</v>
      </c>
      <c r="G70" s="18">
        <v>6.65</v>
      </c>
      <c r="H70" s="18">
        <f t="shared" si="0"/>
        <v>41.69</v>
      </c>
      <c r="I70" s="5"/>
      <c r="J70" s="17">
        <v>993.3528</v>
      </c>
      <c r="K70" s="18">
        <v>41.1374</v>
      </c>
      <c r="L70" s="18">
        <v>45.840499999999999</v>
      </c>
      <c r="M70" s="18">
        <v>47.064</v>
      </c>
      <c r="N70" s="18">
        <v>9.9245999999999999</v>
      </c>
      <c r="O70" s="18">
        <f t="shared" si="1"/>
        <v>42.466112500000001</v>
      </c>
      <c r="P70" s="7"/>
      <c r="Q70" s="10"/>
      <c r="R70" s="11"/>
      <c r="S70" s="11"/>
      <c r="T70" s="26"/>
      <c r="U70" s="28">
        <f t="shared" si="2"/>
        <v>0.49242105263157887</v>
      </c>
    </row>
    <row r="71" spans="1:21" x14ac:dyDescent="0.25">
      <c r="B71" s="9"/>
      <c r="C71" s="17">
        <v>539.79999999999995</v>
      </c>
      <c r="D71" s="18">
        <v>38.874000000000002</v>
      </c>
      <c r="E71" s="18">
        <v>43.283000000000001</v>
      </c>
      <c r="F71" s="18">
        <v>44.567</v>
      </c>
      <c r="G71" s="18">
        <v>7.68</v>
      </c>
      <c r="H71" s="18">
        <f t="shared" si="0"/>
        <v>40.136750000000006</v>
      </c>
      <c r="I71" s="5"/>
      <c r="J71" s="17">
        <v>593.26400000000001</v>
      </c>
      <c r="K71" s="18">
        <v>39.393300000000004</v>
      </c>
      <c r="L71" s="18">
        <v>44.432299999999998</v>
      </c>
      <c r="M71" s="18">
        <v>45.6203</v>
      </c>
      <c r="N71" s="18">
        <v>13.4291</v>
      </c>
      <c r="O71" s="18">
        <f t="shared" si="1"/>
        <v>40.801549999999999</v>
      </c>
      <c r="P71" s="7"/>
      <c r="Q71" s="10"/>
      <c r="R71" s="11"/>
      <c r="S71" s="11"/>
      <c r="T71" s="26"/>
      <c r="U71" s="28">
        <f t="shared" si="2"/>
        <v>0.74858072916666674</v>
      </c>
    </row>
    <row r="72" spans="1:21" ht="16.5" thickBot="1" x14ac:dyDescent="0.3">
      <c r="B72" s="12"/>
      <c r="C72" s="19">
        <v>260.10000000000002</v>
      </c>
      <c r="D72" s="20">
        <v>36.417000000000002</v>
      </c>
      <c r="E72" s="20">
        <v>41.912999999999997</v>
      </c>
      <c r="F72" s="20">
        <v>43.05</v>
      </c>
      <c r="G72" s="20">
        <v>9.52</v>
      </c>
      <c r="H72" s="20">
        <f t="shared" si="0"/>
        <v>37.933125000000004</v>
      </c>
      <c r="I72" s="5"/>
      <c r="J72" s="19">
        <v>288.89440000000002</v>
      </c>
      <c r="K72" s="20">
        <v>36.332999999999998</v>
      </c>
      <c r="L72" s="20">
        <v>42.573399999999999</v>
      </c>
      <c r="M72" s="20">
        <v>43.660299999999999</v>
      </c>
      <c r="N72" s="20">
        <v>21.017199999999999</v>
      </c>
      <c r="O72" s="20">
        <f t="shared" si="1"/>
        <v>38.028962499999999</v>
      </c>
      <c r="P72" s="7"/>
      <c r="Q72" s="13"/>
      <c r="R72" s="14"/>
      <c r="S72" s="14"/>
      <c r="T72" s="27"/>
      <c r="U72" s="28">
        <f t="shared" si="2"/>
        <v>1.2076890756302521</v>
      </c>
    </row>
    <row r="73" spans="1:21" x14ac:dyDescent="0.25">
      <c r="B73" s="6" t="s">
        <v>62</v>
      </c>
      <c r="C73" s="15">
        <v>1421.17</v>
      </c>
      <c r="D73" s="16">
        <v>42.753999999999998</v>
      </c>
      <c r="E73" s="16">
        <v>47.804000000000002</v>
      </c>
      <c r="F73" s="16">
        <v>48.451999999999998</v>
      </c>
      <c r="G73" s="16">
        <v>6.13</v>
      </c>
      <c r="H73" s="16">
        <f t="shared" si="0"/>
        <v>44.097499999999997</v>
      </c>
      <c r="I73" s="5"/>
      <c r="J73" s="15">
        <v>1506.4760000000001</v>
      </c>
      <c r="K73" s="16">
        <v>43.048999999999999</v>
      </c>
      <c r="L73" s="16">
        <v>48.4908</v>
      </c>
      <c r="M73" s="16">
        <v>49.213700000000003</v>
      </c>
      <c r="N73" s="16">
        <v>8.8513000000000002</v>
      </c>
      <c r="O73" s="16">
        <f t="shared" si="1"/>
        <v>44.499812499999997</v>
      </c>
      <c r="P73" s="7"/>
      <c r="Q73" s="8">
        <f>bdrate(C73:C76,D73:D76,J73:J76,K73:K76)</f>
        <v>-0.12002932799053245</v>
      </c>
      <c r="R73" s="8">
        <f>bdrate(C73:C76,E73:E76,J73:J76,L73:L76)</f>
        <v>-0.40701372250743562</v>
      </c>
      <c r="S73" s="8">
        <f>bdrate(C73:C76,F73:F76,J73:J76,M73:M76)</f>
        <v>-0.39237396487791842</v>
      </c>
      <c r="T73" s="25">
        <f>bdrate(C73:C76,H73:H76,J73:J76,O73:O76)</f>
        <v>-0.20243201928303589</v>
      </c>
      <c r="U73" s="28">
        <f t="shared" ref="U73:U91" si="3">(N73-G73)/G73</f>
        <v>0.44393148450244702</v>
      </c>
    </row>
    <row r="74" spans="1:21" x14ac:dyDescent="0.25">
      <c r="B74" s="9"/>
      <c r="C74" s="17">
        <v>937.02</v>
      </c>
      <c r="D74" s="18">
        <v>42.3</v>
      </c>
      <c r="E74" s="18">
        <v>47.155999999999999</v>
      </c>
      <c r="F74" s="18">
        <v>47.856000000000002</v>
      </c>
      <c r="G74" s="18">
        <v>6.83</v>
      </c>
      <c r="H74" s="18">
        <f t="shared" si="0"/>
        <v>43.601499999999994</v>
      </c>
      <c r="I74" s="5"/>
      <c r="J74" s="17">
        <v>996.43600000000004</v>
      </c>
      <c r="K74" s="18">
        <v>42.637099999999997</v>
      </c>
      <c r="L74" s="18">
        <v>48.128599999999999</v>
      </c>
      <c r="M74" s="18">
        <v>48.823399999999999</v>
      </c>
      <c r="N74" s="18">
        <v>11.1807</v>
      </c>
      <c r="O74" s="18">
        <f t="shared" si="1"/>
        <v>44.096824999999995</v>
      </c>
      <c r="P74" s="7"/>
      <c r="Q74" s="10"/>
      <c r="R74" s="11"/>
      <c r="S74" s="11"/>
      <c r="T74" s="26"/>
      <c r="U74" s="28">
        <f t="shared" si="3"/>
        <v>0.63699853587115662</v>
      </c>
    </row>
    <row r="75" spans="1:21" x14ac:dyDescent="0.25">
      <c r="B75" s="9"/>
      <c r="C75" s="17">
        <v>551.14</v>
      </c>
      <c r="D75" s="18">
        <v>41.542999999999999</v>
      </c>
      <c r="E75" s="18">
        <v>46.317999999999998</v>
      </c>
      <c r="F75" s="18">
        <v>46.972000000000001</v>
      </c>
      <c r="G75" s="18">
        <v>7.64</v>
      </c>
      <c r="H75" s="18">
        <f t="shared" si="0"/>
        <v>42.818499999999993</v>
      </c>
      <c r="I75" s="5"/>
      <c r="J75" s="17">
        <v>573.34</v>
      </c>
      <c r="K75" s="18">
        <v>41.862499999999997</v>
      </c>
      <c r="L75" s="18">
        <v>47.382100000000001</v>
      </c>
      <c r="M75" s="18">
        <v>48.037999999999997</v>
      </c>
      <c r="N75" s="18">
        <v>15.2742</v>
      </c>
      <c r="O75" s="18">
        <f t="shared" si="1"/>
        <v>43.3243875</v>
      </c>
      <c r="P75" s="7"/>
      <c r="Q75" s="10"/>
      <c r="R75" s="11"/>
      <c r="S75" s="11"/>
      <c r="T75" s="26"/>
      <c r="U75" s="28">
        <f t="shared" si="3"/>
        <v>0.9992408376963352</v>
      </c>
    </row>
    <row r="76" spans="1:21" ht="16.5" thickBot="1" x14ac:dyDescent="0.3">
      <c r="B76" s="12"/>
      <c r="C76" s="19">
        <v>263.94</v>
      </c>
      <c r="D76" s="20">
        <v>39.993000000000002</v>
      </c>
      <c r="E76" s="20">
        <v>44.951999999999998</v>
      </c>
      <c r="F76" s="20">
        <v>45.390999999999998</v>
      </c>
      <c r="G76" s="20">
        <v>8.84</v>
      </c>
      <c r="H76" s="20">
        <f t="shared" si="0"/>
        <v>41.287625000000006</v>
      </c>
      <c r="I76" s="5"/>
      <c r="J76" s="19">
        <v>275.01839999999999</v>
      </c>
      <c r="K76" s="20">
        <v>40.107700000000001</v>
      </c>
      <c r="L76" s="20">
        <v>45.5794</v>
      </c>
      <c r="M76" s="20">
        <v>46.1449</v>
      </c>
      <c r="N76" s="20">
        <v>23.884399999999999</v>
      </c>
      <c r="O76" s="20">
        <f t="shared" si="1"/>
        <v>41.546312500000006</v>
      </c>
      <c r="P76" s="7"/>
      <c r="Q76" s="13"/>
      <c r="R76" s="14"/>
      <c r="S76" s="14"/>
      <c r="T76" s="27"/>
      <c r="U76" s="28">
        <f t="shared" si="3"/>
        <v>1.7018552036199095</v>
      </c>
    </row>
    <row r="77" spans="1:21" x14ac:dyDescent="0.25">
      <c r="B77" s="6" t="s">
        <v>63</v>
      </c>
      <c r="C77" s="15">
        <v>1485.4</v>
      </c>
      <c r="D77" s="16">
        <v>42.67</v>
      </c>
      <c r="E77" s="16">
        <v>46.951000000000001</v>
      </c>
      <c r="F77" s="16">
        <v>47.863</v>
      </c>
      <c r="G77" s="16">
        <v>5.41</v>
      </c>
      <c r="H77" s="16">
        <f t="shared" si="0"/>
        <v>43.85425</v>
      </c>
      <c r="I77" s="5"/>
      <c r="J77" s="15">
        <v>1541.1695999999999</v>
      </c>
      <c r="K77" s="16">
        <v>43.019399999999997</v>
      </c>
      <c r="L77" s="16">
        <v>47.73</v>
      </c>
      <c r="M77" s="16">
        <v>48.648499999999999</v>
      </c>
      <c r="N77" s="16">
        <v>7.9009</v>
      </c>
      <c r="O77" s="16">
        <f t="shared" si="1"/>
        <v>44.311862500000004</v>
      </c>
      <c r="P77" s="7"/>
      <c r="Q77" s="8">
        <f>bdrate(C77:C80,D77:D80,J77:J80,K77:K80)</f>
        <v>-6.900451934620222E-2</v>
      </c>
      <c r="R77" s="8">
        <f>bdrate(C77:C80,E77:E80,J77:J80,L77:L80)</f>
        <v>-0.29146706691094981</v>
      </c>
      <c r="S77" s="8">
        <f>bdrate(C77:C80,F77:F80,J77:J80,M77:M80)</f>
        <v>-0.30140715287368858</v>
      </c>
      <c r="T77" s="25">
        <f>bdrate(C77:C80,H77:H80,J77:J80,O77:O80)</f>
        <v>-0.12458935879392485</v>
      </c>
      <c r="U77" s="28">
        <f t="shared" si="3"/>
        <v>0.46042513863216261</v>
      </c>
    </row>
    <row r="78" spans="1:21" x14ac:dyDescent="0.25">
      <c r="B78" s="9"/>
      <c r="C78" s="17">
        <v>985.58</v>
      </c>
      <c r="D78" s="18">
        <v>41.962000000000003</v>
      </c>
      <c r="E78" s="18">
        <v>46.237000000000002</v>
      </c>
      <c r="F78" s="18">
        <v>47.091000000000001</v>
      </c>
      <c r="G78" s="18">
        <v>6.06</v>
      </c>
      <c r="H78" s="18">
        <f t="shared" si="0"/>
        <v>43.137500000000003</v>
      </c>
      <c r="I78" s="5"/>
      <c r="J78" s="17">
        <v>1024.0119999999999</v>
      </c>
      <c r="K78" s="18">
        <v>42.3048</v>
      </c>
      <c r="L78" s="18">
        <v>47.069299999999998</v>
      </c>
      <c r="M78" s="18">
        <v>47.9694</v>
      </c>
      <c r="N78" s="18">
        <v>9.9251000000000005</v>
      </c>
      <c r="O78" s="18">
        <f t="shared" si="1"/>
        <v>43.608437500000001</v>
      </c>
      <c r="P78" s="7"/>
      <c r="Q78" s="10"/>
      <c r="R78" s="11"/>
      <c r="S78" s="11"/>
      <c r="T78" s="26"/>
      <c r="U78" s="28">
        <f t="shared" si="3"/>
        <v>0.63780528052805296</v>
      </c>
    </row>
    <row r="79" spans="1:21" x14ac:dyDescent="0.25">
      <c r="B79" s="9"/>
      <c r="C79" s="17">
        <v>588.28</v>
      </c>
      <c r="D79" s="18">
        <v>40.761000000000003</v>
      </c>
      <c r="E79" s="18">
        <v>45.051000000000002</v>
      </c>
      <c r="F79" s="18">
        <v>45.914999999999999</v>
      </c>
      <c r="G79" s="18">
        <v>6.93</v>
      </c>
      <c r="H79" s="18">
        <f t="shared" si="0"/>
        <v>41.941500000000005</v>
      </c>
      <c r="I79" s="5"/>
      <c r="J79" s="17">
        <v>600.76559999999995</v>
      </c>
      <c r="K79" s="18">
        <v>41.046500000000002</v>
      </c>
      <c r="L79" s="18">
        <v>45.902799999999999</v>
      </c>
      <c r="M79" s="18">
        <v>46.798900000000003</v>
      </c>
      <c r="N79" s="18">
        <v>13.4892</v>
      </c>
      <c r="O79" s="18">
        <f t="shared" si="1"/>
        <v>42.372587500000002</v>
      </c>
      <c r="P79" s="7"/>
      <c r="Q79" s="10"/>
      <c r="R79" s="11"/>
      <c r="S79" s="11"/>
      <c r="T79" s="26"/>
      <c r="U79" s="28">
        <f t="shared" si="3"/>
        <v>0.94649350649350661</v>
      </c>
    </row>
    <row r="80" spans="1:21" ht="16.5" thickBot="1" x14ac:dyDescent="0.3">
      <c r="B80" s="12"/>
      <c r="C80" s="19">
        <v>286.32</v>
      </c>
      <c r="D80" s="20">
        <v>38.69</v>
      </c>
      <c r="E80" s="20">
        <v>43.456000000000003</v>
      </c>
      <c r="F80" s="20">
        <v>44.204999999999998</v>
      </c>
      <c r="G80" s="20">
        <v>8.24</v>
      </c>
      <c r="H80" s="20">
        <f t="shared" si="0"/>
        <v>39.975124999999998</v>
      </c>
      <c r="I80" s="5"/>
      <c r="J80" s="19">
        <v>292.63920000000002</v>
      </c>
      <c r="K80" s="20">
        <v>38.617699999999999</v>
      </c>
      <c r="L80" s="20">
        <v>44.127800000000001</v>
      </c>
      <c r="M80" s="20">
        <v>44.999099999999999</v>
      </c>
      <c r="N80" s="20">
        <v>21.940200000000001</v>
      </c>
      <c r="O80" s="20">
        <f t="shared" si="1"/>
        <v>40.1041375</v>
      </c>
      <c r="P80" s="7"/>
      <c r="Q80" s="13"/>
      <c r="R80" s="14"/>
      <c r="S80" s="14"/>
      <c r="T80" s="27"/>
      <c r="U80" s="28">
        <f t="shared" si="3"/>
        <v>1.6626456310679611</v>
      </c>
    </row>
    <row r="81" spans="1:21" x14ac:dyDescent="0.25">
      <c r="A81" s="6" t="s">
        <v>99</v>
      </c>
      <c r="B81" s="6" t="s">
        <v>100</v>
      </c>
      <c r="C81" s="29">
        <v>1290.8499999999999</v>
      </c>
      <c r="D81" s="30">
        <v>46.024999999999999</v>
      </c>
      <c r="E81" s="30">
        <v>51.088000000000001</v>
      </c>
      <c r="F81" s="30">
        <v>51.978999999999999</v>
      </c>
      <c r="G81" s="16">
        <v>3.39</v>
      </c>
      <c r="H81" s="16">
        <f t="shared" ref="H81:H91" si="4">(6*D81+E81+F81)/8</f>
        <v>47.402124999999998</v>
      </c>
      <c r="I81" s="5"/>
      <c r="J81" s="15">
        <v>1228.472</v>
      </c>
      <c r="K81" s="16">
        <v>45.7866</v>
      </c>
      <c r="L81" s="16">
        <v>51.832900000000002</v>
      </c>
      <c r="M81" s="16">
        <v>52.392000000000003</v>
      </c>
      <c r="N81" s="16">
        <v>4.4546999999999999</v>
      </c>
      <c r="O81" s="16">
        <f t="shared" ref="O81:O91" si="5">(6*K81+L81+M81)/8</f>
        <v>47.368062500000001</v>
      </c>
      <c r="P81" s="7"/>
      <c r="Q81" s="8">
        <f>bdrate(C81:C84,D81:D84,J81:J84,K81:K84)</f>
        <v>-9.5434776769194318E-2</v>
      </c>
      <c r="R81" s="8">
        <f>bdrate(C81:C84,E81:E84,J81:J84,L81:L84)</f>
        <v>-0.31611389355192232</v>
      </c>
      <c r="S81" s="8">
        <f>bdrate(C81:C84,F81:F84,J81:J84,M81:M84)</f>
        <v>-0.30277047198561347</v>
      </c>
      <c r="T81" s="25">
        <f>bdrate(C81:C84,H81:H84,J81:J84,O81:O84)</f>
        <v>-0.14330950377085383</v>
      </c>
      <c r="U81" s="28">
        <f t="shared" si="3"/>
        <v>0.31407079646017688</v>
      </c>
    </row>
    <row r="82" spans="1:21" x14ac:dyDescent="0.25">
      <c r="A82" s="9" t="s">
        <v>77</v>
      </c>
      <c r="B82" s="9"/>
      <c r="C82" s="31">
        <v>861.21</v>
      </c>
      <c r="D82" s="32">
        <v>43.793999999999997</v>
      </c>
      <c r="E82" s="32">
        <v>49.225999999999999</v>
      </c>
      <c r="F82" s="32">
        <v>50.13</v>
      </c>
      <c r="G82" s="18">
        <v>3.96</v>
      </c>
      <c r="H82" s="18">
        <f t="shared" si="4"/>
        <v>45.265000000000001</v>
      </c>
      <c r="I82" s="5"/>
      <c r="J82" s="17">
        <v>828.41830000000004</v>
      </c>
      <c r="K82" s="18">
        <v>44.010899999999999</v>
      </c>
      <c r="L82" s="18">
        <v>50.610900000000001</v>
      </c>
      <c r="M82" s="18">
        <v>51.181899999999999</v>
      </c>
      <c r="N82" s="18">
        <v>5.3707000000000003</v>
      </c>
      <c r="O82" s="18">
        <f t="shared" si="5"/>
        <v>45.732275000000001</v>
      </c>
      <c r="P82" s="7"/>
      <c r="Q82" s="10"/>
      <c r="R82" s="11"/>
      <c r="S82" s="11"/>
      <c r="T82" s="26"/>
      <c r="U82" s="28">
        <f t="shared" si="3"/>
        <v>0.3562373737373738</v>
      </c>
    </row>
    <row r="83" spans="1:21" x14ac:dyDescent="0.25">
      <c r="B83" s="9"/>
      <c r="C83" s="31">
        <v>520.13</v>
      </c>
      <c r="D83" s="32">
        <v>41.021999999999998</v>
      </c>
      <c r="E83" s="32">
        <v>46.976999999999997</v>
      </c>
      <c r="F83" s="32">
        <v>48.177999999999997</v>
      </c>
      <c r="G83" s="18">
        <v>4.82</v>
      </c>
      <c r="H83" s="18">
        <f t="shared" si="4"/>
        <v>42.660874999999997</v>
      </c>
      <c r="I83" s="5"/>
      <c r="J83" s="17">
        <v>504.5933</v>
      </c>
      <c r="K83" s="18">
        <v>41.514099999999999</v>
      </c>
      <c r="L83" s="18">
        <v>48.540700000000001</v>
      </c>
      <c r="M83" s="18">
        <v>49.550800000000002</v>
      </c>
      <c r="N83" s="18">
        <v>6.9943999999999997</v>
      </c>
      <c r="O83" s="18">
        <f t="shared" si="5"/>
        <v>43.397012499999995</v>
      </c>
      <c r="P83" s="7"/>
      <c r="Q83" s="10"/>
      <c r="R83" s="11"/>
      <c r="S83" s="11"/>
      <c r="T83" s="26"/>
      <c r="U83" s="28">
        <f t="shared" si="3"/>
        <v>0.45112033195020734</v>
      </c>
    </row>
    <row r="84" spans="1:21" ht="16.5" thickBot="1" x14ac:dyDescent="0.3">
      <c r="B84" s="12"/>
      <c r="C84" s="33">
        <v>261.95</v>
      </c>
      <c r="D84" s="34">
        <v>37.505000000000003</v>
      </c>
      <c r="E84" s="34">
        <v>43.82</v>
      </c>
      <c r="F84" s="34">
        <v>45.170999999999999</v>
      </c>
      <c r="G84" s="20">
        <v>6.36</v>
      </c>
      <c r="H84" s="20">
        <f t="shared" si="4"/>
        <v>39.252625000000002</v>
      </c>
      <c r="I84" s="5"/>
      <c r="J84" s="19">
        <v>257.44310000000002</v>
      </c>
      <c r="K84" s="20">
        <v>37.993899999999996</v>
      </c>
      <c r="L84" s="20">
        <v>45.651899999999998</v>
      </c>
      <c r="M84" s="20">
        <v>47.066299999999998</v>
      </c>
      <c r="N84" s="20">
        <v>10.5709</v>
      </c>
      <c r="O84" s="20">
        <f t="shared" si="5"/>
        <v>40.0852</v>
      </c>
      <c r="P84" s="7"/>
      <c r="Q84" s="13"/>
      <c r="R84" s="14"/>
      <c r="S84" s="14"/>
      <c r="T84" s="27"/>
      <c r="U84" s="28">
        <f t="shared" si="3"/>
        <v>0.6620911949685534</v>
      </c>
    </row>
    <row r="85" spans="1:21" x14ac:dyDescent="0.25">
      <c r="B85" s="6" t="s">
        <v>101</v>
      </c>
      <c r="C85" s="15">
        <v>1475.11</v>
      </c>
      <c r="D85" s="16">
        <v>54.832999999999998</v>
      </c>
      <c r="E85" s="16">
        <v>55.377000000000002</v>
      </c>
      <c r="F85" s="16">
        <v>55.756</v>
      </c>
      <c r="G85" s="16">
        <v>6.72</v>
      </c>
      <c r="H85" s="16">
        <f t="shared" si="4"/>
        <v>55.016374999999996</v>
      </c>
      <c r="I85" s="5"/>
      <c r="J85" s="15">
        <v>1402.3276000000001</v>
      </c>
      <c r="K85" s="16">
        <v>53.808100000000003</v>
      </c>
      <c r="L85" s="16">
        <v>54.6158</v>
      </c>
      <c r="M85" s="16">
        <v>55.234400000000001</v>
      </c>
      <c r="N85" s="16">
        <v>12.066700000000001</v>
      </c>
      <c r="O85" s="16">
        <f t="shared" si="5"/>
        <v>54.087350000000001</v>
      </c>
      <c r="P85" s="7"/>
      <c r="Q85" s="8">
        <f>bdrate(C85:C88,D85:D88,J85:J88,K85:K88)</f>
        <v>1.8296053380318256E-2</v>
      </c>
      <c r="R85" s="8">
        <f>bdrate(C85:C88,E85:E88,J85:J88,L85:L88)</f>
        <v>-5.5606676857318904E-2</v>
      </c>
      <c r="S85" s="8">
        <f>bdrate(C85:C88,F85:F88,J85:J88,M85:M88)</f>
        <v>-5.6529961411160845E-2</v>
      </c>
      <c r="T85" s="25">
        <f>bdrate(C85:C88,H85:H88,J85:J88,O85:O88)</f>
        <v>1.113082868133386E-3</v>
      </c>
      <c r="U85" s="28">
        <f t="shared" si="3"/>
        <v>0.79563988095238114</v>
      </c>
    </row>
    <row r="86" spans="1:21" x14ac:dyDescent="0.25">
      <c r="B86" s="9"/>
      <c r="C86" s="17">
        <v>972.77</v>
      </c>
      <c r="D86" s="18">
        <v>52.176000000000002</v>
      </c>
      <c r="E86" s="18">
        <v>52.881</v>
      </c>
      <c r="F86" s="18">
        <v>53.381</v>
      </c>
      <c r="G86" s="18">
        <v>7.71</v>
      </c>
      <c r="H86" s="18">
        <f t="shared" si="4"/>
        <v>52.414749999999998</v>
      </c>
      <c r="I86" s="5"/>
      <c r="J86" s="17">
        <v>968.66650000000004</v>
      </c>
      <c r="K86" s="18">
        <v>52.003300000000003</v>
      </c>
      <c r="L86" s="18">
        <v>53.010399999999997</v>
      </c>
      <c r="M86" s="18">
        <v>53.5762</v>
      </c>
      <c r="N86" s="18">
        <v>13.631399999999999</v>
      </c>
      <c r="O86" s="18">
        <f t="shared" si="5"/>
        <v>52.325800000000001</v>
      </c>
      <c r="P86" s="7"/>
      <c r="Q86" s="10"/>
      <c r="R86" s="11"/>
      <c r="S86" s="11"/>
      <c r="T86" s="26"/>
      <c r="U86" s="28">
        <f t="shared" si="3"/>
        <v>0.76801556420233452</v>
      </c>
    </row>
    <row r="87" spans="1:21" x14ac:dyDescent="0.25">
      <c r="B87" s="9"/>
      <c r="C87" s="17">
        <v>581.21</v>
      </c>
      <c r="D87" s="18">
        <v>49.09</v>
      </c>
      <c r="E87" s="18">
        <v>50.054000000000002</v>
      </c>
      <c r="F87" s="18">
        <v>50.63</v>
      </c>
      <c r="G87" s="18">
        <v>9.14</v>
      </c>
      <c r="H87" s="18">
        <f t="shared" si="4"/>
        <v>49.403000000000006</v>
      </c>
      <c r="I87" s="5"/>
      <c r="J87" s="17">
        <v>601.95640000000003</v>
      </c>
      <c r="K87" s="18">
        <v>49.404699999999998</v>
      </c>
      <c r="L87" s="18">
        <v>50.751800000000003</v>
      </c>
      <c r="M87" s="18">
        <v>51.308100000000003</v>
      </c>
      <c r="N87" s="18">
        <v>16.468699999999998</v>
      </c>
      <c r="O87" s="18">
        <f t="shared" si="5"/>
        <v>49.811012500000004</v>
      </c>
      <c r="P87" s="7"/>
      <c r="Q87" s="10"/>
      <c r="R87" s="11"/>
      <c r="S87" s="11"/>
      <c r="T87" s="26"/>
      <c r="U87" s="28">
        <f t="shared" si="3"/>
        <v>0.80182713347921197</v>
      </c>
    </row>
    <row r="88" spans="1:21" ht="16.5" thickBot="1" x14ac:dyDescent="0.3">
      <c r="B88" s="12"/>
      <c r="C88" s="19">
        <v>291.04000000000002</v>
      </c>
      <c r="D88" s="20">
        <v>44.841000000000001</v>
      </c>
      <c r="E88" s="20">
        <v>46.122999999999998</v>
      </c>
      <c r="F88" s="20">
        <v>46.762999999999998</v>
      </c>
      <c r="G88" s="20">
        <v>11.71</v>
      </c>
      <c r="H88" s="20">
        <f t="shared" si="4"/>
        <v>45.241499999999995</v>
      </c>
      <c r="I88" s="5"/>
      <c r="J88" s="19">
        <v>308.47469999999998</v>
      </c>
      <c r="K88" s="20">
        <v>44.6997</v>
      </c>
      <c r="L88" s="20">
        <v>46.707099999999997</v>
      </c>
      <c r="M88" s="20">
        <v>47.251800000000003</v>
      </c>
      <c r="N88" s="20">
        <v>22.892900000000001</v>
      </c>
      <c r="O88" s="20">
        <f t="shared" si="5"/>
        <v>45.269637500000002</v>
      </c>
      <c r="P88" s="7"/>
      <c r="Q88" s="13"/>
      <c r="R88" s="14"/>
      <c r="S88" s="14"/>
      <c r="T88" s="27"/>
      <c r="U88" s="28">
        <f t="shared" si="3"/>
        <v>0.95498719043552516</v>
      </c>
    </row>
    <row r="89" spans="1:21" x14ac:dyDescent="0.25">
      <c r="B89" s="6" t="s">
        <v>102</v>
      </c>
      <c r="C89" s="15">
        <v>1547.36</v>
      </c>
      <c r="D89" s="16">
        <v>44.731000000000002</v>
      </c>
      <c r="E89" s="16">
        <v>46.491999999999997</v>
      </c>
      <c r="F89" s="16">
        <v>46.98</v>
      </c>
      <c r="G89" s="16">
        <v>3.88</v>
      </c>
      <c r="H89" s="16">
        <f t="shared" si="4"/>
        <v>45.232250000000008</v>
      </c>
      <c r="I89" s="5"/>
      <c r="J89" s="15">
        <v>1484.4824000000001</v>
      </c>
      <c r="K89" s="16">
        <v>44.848300000000002</v>
      </c>
      <c r="L89" s="16">
        <v>47.095300000000002</v>
      </c>
      <c r="M89" s="16">
        <v>47.528300000000002</v>
      </c>
      <c r="N89" s="16">
        <v>5.3757000000000001</v>
      </c>
      <c r="O89" s="16">
        <f t="shared" si="5"/>
        <v>45.464175000000004</v>
      </c>
      <c r="P89" s="7"/>
      <c r="Q89" s="8">
        <f>bdrate(C89:C92,D89:D92,J89:J92,K89:K92)</f>
        <v>-7.4499670772532944E-2</v>
      </c>
      <c r="R89" s="8">
        <f>bdrate(C89:C92,E89:E92,J89:J92,L89:L92)</f>
        <v>-0.23947655890436115</v>
      </c>
      <c r="S89" s="8">
        <f>bdrate(C89:C92,F89:F92,J89:J92,M89:M92)</f>
        <v>-0.23488710240157795</v>
      </c>
      <c r="T89" s="25">
        <f>bdrate(C89:C92,H89:H92,J89:J92,O89:O92)</f>
        <v>-0.11032698118554063</v>
      </c>
      <c r="U89" s="28">
        <f t="shared" si="3"/>
        <v>0.38548969072164957</v>
      </c>
    </row>
    <row r="90" spans="1:21" x14ac:dyDescent="0.25">
      <c r="B90" s="9"/>
      <c r="C90" s="17">
        <v>1032.45</v>
      </c>
      <c r="D90" s="18">
        <v>42.692999999999998</v>
      </c>
      <c r="E90" s="18">
        <v>44.798000000000002</v>
      </c>
      <c r="F90" s="18">
        <v>45.232999999999997</v>
      </c>
      <c r="G90" s="18">
        <v>4.49</v>
      </c>
      <c r="H90" s="18">
        <f t="shared" si="4"/>
        <v>43.273625000000003</v>
      </c>
      <c r="I90" s="5"/>
      <c r="J90" s="17">
        <v>997.45190000000002</v>
      </c>
      <c r="K90" s="18">
        <v>42.935600000000001</v>
      </c>
      <c r="L90" s="18">
        <v>45.635899999999999</v>
      </c>
      <c r="M90" s="18">
        <v>46.061500000000002</v>
      </c>
      <c r="N90" s="18">
        <v>6.4720000000000004</v>
      </c>
      <c r="O90" s="18">
        <f t="shared" si="5"/>
        <v>43.663875000000004</v>
      </c>
      <c r="P90" s="7"/>
      <c r="Q90" s="10"/>
      <c r="R90" s="11"/>
      <c r="S90" s="11"/>
      <c r="T90" s="26"/>
      <c r="U90" s="28">
        <f t="shared" si="3"/>
        <v>0.44142538975501117</v>
      </c>
    </row>
    <row r="91" spans="1:21" x14ac:dyDescent="0.25">
      <c r="B91" s="9"/>
      <c r="C91" s="17">
        <v>620.9</v>
      </c>
      <c r="D91" s="18">
        <v>39.991</v>
      </c>
      <c r="E91" s="18">
        <v>42.651000000000003</v>
      </c>
      <c r="F91" s="18">
        <v>43.07</v>
      </c>
      <c r="G91" s="18">
        <v>5.32</v>
      </c>
      <c r="H91" s="18">
        <f t="shared" si="4"/>
        <v>40.708374999999997</v>
      </c>
      <c r="I91" s="5"/>
      <c r="J91" s="17">
        <v>597.33240000000001</v>
      </c>
      <c r="K91" s="18">
        <v>40.2438</v>
      </c>
      <c r="L91" s="18">
        <v>43.634599999999999</v>
      </c>
      <c r="M91" s="18">
        <v>44.038600000000002</v>
      </c>
      <c r="N91" s="18">
        <v>8.3255999999999997</v>
      </c>
      <c r="O91" s="18">
        <f t="shared" si="5"/>
        <v>41.141999999999996</v>
      </c>
      <c r="P91" s="7"/>
      <c r="Q91" s="10"/>
      <c r="R91" s="11"/>
      <c r="S91" s="11"/>
      <c r="T91" s="26"/>
      <c r="U91" s="28">
        <f t="shared" si="3"/>
        <v>0.56496240601503744</v>
      </c>
    </row>
    <row r="92" spans="1:21" ht="16.5" thickBot="1" x14ac:dyDescent="0.3">
      <c r="B92" s="12"/>
      <c r="C92" s="19">
        <v>311.62</v>
      </c>
      <c r="D92" s="20">
        <v>36.292999999999999</v>
      </c>
      <c r="E92" s="20">
        <v>39.902999999999999</v>
      </c>
      <c r="F92" s="20">
        <v>40.36</v>
      </c>
      <c r="G92" s="20">
        <v>6.62</v>
      </c>
      <c r="H92" s="20">
        <f t="shared" ref="H92:H124" si="6">(6*D92+E92+F92)/8</f>
        <v>37.252625000000002</v>
      </c>
      <c r="I92" s="5"/>
      <c r="J92" s="19">
        <v>300.20960000000002</v>
      </c>
      <c r="K92" s="20">
        <v>36.373399999999997</v>
      </c>
      <c r="L92" s="20">
        <v>41.092700000000001</v>
      </c>
      <c r="M92" s="20">
        <v>41.512300000000003</v>
      </c>
      <c r="N92" s="20">
        <v>11.8757</v>
      </c>
      <c r="O92" s="20">
        <f t="shared" ref="O92:O124" si="7">(6*K92+L92+M92)/8</f>
        <v>37.605674999999991</v>
      </c>
      <c r="P92" s="7"/>
      <c r="Q92" s="13"/>
      <c r="R92" s="14"/>
      <c r="S92" s="14"/>
      <c r="T92" s="27"/>
      <c r="U92" s="28">
        <f t="shared" ref="U92:U124" si="8">(N92-G92)/G92</f>
        <v>0.79391238670694864</v>
      </c>
    </row>
    <row r="93" spans="1:21" x14ac:dyDescent="0.25">
      <c r="B93" s="6" t="s">
        <v>103</v>
      </c>
      <c r="C93" s="15">
        <v>1374.22</v>
      </c>
      <c r="D93" s="16">
        <v>40.253</v>
      </c>
      <c r="E93" s="16">
        <v>44.204999999999998</v>
      </c>
      <c r="F93" s="16">
        <v>44.207999999999998</v>
      </c>
      <c r="G93" s="16">
        <v>3.39</v>
      </c>
      <c r="H93" s="16">
        <f t="shared" si="6"/>
        <v>41.241375000000005</v>
      </c>
      <c r="I93" s="5"/>
      <c r="J93" s="29">
        <v>1496.6868999999999</v>
      </c>
      <c r="K93" s="30">
        <v>40.616900000000001</v>
      </c>
      <c r="L93" s="30">
        <v>45.157899999999998</v>
      </c>
      <c r="M93" s="30">
        <v>45.1462</v>
      </c>
      <c r="N93" s="16">
        <v>4.7088999999999999</v>
      </c>
      <c r="O93" s="16">
        <f t="shared" si="7"/>
        <v>41.750687500000005</v>
      </c>
      <c r="P93" s="7"/>
      <c r="Q93" s="8">
        <f>bdrate(C93:C96,D93:D96,J93:J96,K93:K96)</f>
        <v>2.6586661108177312E-2</v>
      </c>
      <c r="R93" s="8">
        <f>bdrate(C93:C96,E93:E96,J93:J96,L93:L96)</f>
        <v>-0.25253931208925406</v>
      </c>
      <c r="S93" s="8">
        <f>bdrate(C93:C96,F93:F96,J93:J96,M93:M96)</f>
        <v>-0.23878587833354004</v>
      </c>
      <c r="T93" s="25">
        <f>bdrate(C93:C96,H93:H96,J93:J96,O93:O96)</f>
        <v>-3.2566485523644495E-2</v>
      </c>
      <c r="U93" s="28">
        <f t="shared" si="8"/>
        <v>0.38905604719764003</v>
      </c>
    </row>
    <row r="94" spans="1:21" x14ac:dyDescent="0.25">
      <c r="B94" s="9"/>
      <c r="C94" s="17">
        <v>914.6</v>
      </c>
      <c r="D94" s="18">
        <v>38.381999999999998</v>
      </c>
      <c r="E94" s="18">
        <v>42.771999999999998</v>
      </c>
      <c r="F94" s="18">
        <v>42.768999999999998</v>
      </c>
      <c r="G94" s="18">
        <v>3.95</v>
      </c>
      <c r="H94" s="18">
        <f t="shared" si="6"/>
        <v>39.479124999999996</v>
      </c>
      <c r="I94" s="5"/>
      <c r="J94" s="31">
        <v>998.1585</v>
      </c>
      <c r="K94" s="32">
        <v>38.707599999999999</v>
      </c>
      <c r="L94" s="32">
        <v>43.8566</v>
      </c>
      <c r="M94" s="32">
        <v>43.804000000000002</v>
      </c>
      <c r="N94" s="18">
        <v>5.7470999999999997</v>
      </c>
      <c r="O94" s="18">
        <f t="shared" si="7"/>
        <v>39.988275000000002</v>
      </c>
      <c r="P94" s="7"/>
      <c r="Q94" s="10"/>
      <c r="R94" s="11"/>
      <c r="S94" s="11"/>
      <c r="T94" s="26"/>
      <c r="U94" s="28">
        <f t="shared" si="8"/>
        <v>0.45496202531645552</v>
      </c>
    </row>
    <row r="95" spans="1:21" x14ac:dyDescent="0.25">
      <c r="B95" s="9"/>
      <c r="C95" s="17">
        <v>546.95000000000005</v>
      </c>
      <c r="D95" s="18">
        <v>36.049999999999997</v>
      </c>
      <c r="E95" s="18">
        <v>41.057000000000002</v>
      </c>
      <c r="F95" s="18">
        <v>41.037999999999997</v>
      </c>
      <c r="G95" s="18">
        <v>4.75</v>
      </c>
      <c r="H95" s="18">
        <f t="shared" si="6"/>
        <v>37.299374999999998</v>
      </c>
      <c r="I95" s="5"/>
      <c r="J95" s="31">
        <v>598.12149999999997</v>
      </c>
      <c r="K95" s="32">
        <v>36.316899999999997</v>
      </c>
      <c r="L95" s="32">
        <v>42.3018</v>
      </c>
      <c r="M95" s="32">
        <v>42.234299999999998</v>
      </c>
      <c r="N95" s="18">
        <v>7.4836</v>
      </c>
      <c r="O95" s="18">
        <f t="shared" si="7"/>
        <v>37.8046875</v>
      </c>
      <c r="P95" s="7"/>
      <c r="Q95" s="10"/>
      <c r="R95" s="11"/>
      <c r="S95" s="11"/>
      <c r="T95" s="26"/>
      <c r="U95" s="28">
        <f t="shared" si="8"/>
        <v>0.57549473684210528</v>
      </c>
    </row>
    <row r="96" spans="1:21" ht="16.5" thickBot="1" x14ac:dyDescent="0.3">
      <c r="B96" s="12"/>
      <c r="C96" s="19">
        <v>272.08999999999997</v>
      </c>
      <c r="D96" s="20">
        <v>32.945999999999998</v>
      </c>
      <c r="E96" s="20">
        <v>38.796999999999997</v>
      </c>
      <c r="F96" s="20">
        <v>38.746000000000002</v>
      </c>
      <c r="G96" s="20">
        <v>6.01</v>
      </c>
      <c r="H96" s="20">
        <f t="shared" si="6"/>
        <v>34.402374999999999</v>
      </c>
      <c r="I96" s="5"/>
      <c r="J96" s="33">
        <v>299.6003</v>
      </c>
      <c r="K96" s="34">
        <v>33.198900000000002</v>
      </c>
      <c r="L96" s="34">
        <v>40.362499999999997</v>
      </c>
      <c r="M96" s="34">
        <v>40.2821</v>
      </c>
      <c r="N96" s="20">
        <v>10.958</v>
      </c>
      <c r="O96" s="20">
        <f t="shared" si="7"/>
        <v>34.979750000000003</v>
      </c>
      <c r="P96" s="7"/>
      <c r="Q96" s="13"/>
      <c r="R96" s="14"/>
      <c r="S96" s="14"/>
      <c r="T96" s="27"/>
      <c r="U96" s="28">
        <f t="shared" si="8"/>
        <v>0.82329450915141444</v>
      </c>
    </row>
    <row r="97" spans="2:21" x14ac:dyDescent="0.25">
      <c r="B97" s="6" t="s">
        <v>104</v>
      </c>
      <c r="C97" s="29">
        <v>1519.46</v>
      </c>
      <c r="D97" s="30">
        <v>38.752000000000002</v>
      </c>
      <c r="E97" s="30">
        <v>42.421999999999997</v>
      </c>
      <c r="F97" s="30">
        <v>42.898000000000003</v>
      </c>
      <c r="G97" s="16">
        <v>3.65</v>
      </c>
      <c r="H97" s="16">
        <f t="shared" si="6"/>
        <v>39.728999999999999</v>
      </c>
      <c r="I97" s="5"/>
      <c r="J97" s="15">
        <v>1506.9043999999999</v>
      </c>
      <c r="K97" s="16">
        <v>38.907200000000003</v>
      </c>
      <c r="L97" s="16">
        <v>43.635800000000003</v>
      </c>
      <c r="M97" s="16">
        <v>44.130200000000002</v>
      </c>
      <c r="N97" s="16">
        <v>5.9432999999999998</v>
      </c>
      <c r="O97" s="16">
        <f t="shared" si="7"/>
        <v>40.151150000000001</v>
      </c>
      <c r="P97" s="7"/>
      <c r="Q97" s="8">
        <f>bdrate(C97:C100,D97:D100,J97:J100,K97:K100)</f>
        <v>-9.0648387298176702E-3</v>
      </c>
      <c r="R97" s="8">
        <f>bdrate(C97:C100,E97:E100,J97:J100,L97:L100)</f>
        <v>-0.34099219840523931</v>
      </c>
      <c r="S97" s="8">
        <f>bdrate(C97:C100,F97:F100,J97:J100,M97:M100)</f>
        <v>-0.35273576146783669</v>
      </c>
      <c r="T97" s="25">
        <f>bdrate(C97:C100,H97:H100,J97:J100,O97:O100)</f>
        <v>-8.8095440881570064E-2</v>
      </c>
      <c r="U97" s="28">
        <f t="shared" si="8"/>
        <v>0.62830136986301366</v>
      </c>
    </row>
    <row r="98" spans="2:21" x14ac:dyDescent="0.25">
      <c r="B98" s="9"/>
      <c r="C98" s="31">
        <v>1014.22</v>
      </c>
      <c r="D98" s="32">
        <v>36.837000000000003</v>
      </c>
      <c r="E98" s="32">
        <v>40.783999999999999</v>
      </c>
      <c r="F98" s="32">
        <v>41.308</v>
      </c>
      <c r="G98" s="18">
        <v>4.26</v>
      </c>
      <c r="H98" s="18">
        <f t="shared" si="6"/>
        <v>37.889250000000004</v>
      </c>
      <c r="I98" s="5"/>
      <c r="J98" s="17">
        <v>1011.2877</v>
      </c>
      <c r="K98" s="18">
        <v>36.9651</v>
      </c>
      <c r="L98" s="18">
        <v>42.233400000000003</v>
      </c>
      <c r="M98" s="18">
        <v>42.781799999999997</v>
      </c>
      <c r="N98" s="18">
        <v>7.2507000000000001</v>
      </c>
      <c r="O98" s="18">
        <f t="shared" si="7"/>
        <v>38.350724999999997</v>
      </c>
      <c r="P98" s="7"/>
      <c r="Q98" s="10"/>
      <c r="R98" s="11"/>
      <c r="S98" s="11"/>
      <c r="T98" s="26"/>
      <c r="U98" s="28">
        <f t="shared" si="8"/>
        <v>0.70204225352112692</v>
      </c>
    </row>
    <row r="99" spans="2:21" x14ac:dyDescent="0.25">
      <c r="B99" s="9"/>
      <c r="C99" s="31">
        <v>609.74</v>
      </c>
      <c r="D99" s="32">
        <v>34.487000000000002</v>
      </c>
      <c r="E99" s="32">
        <v>38.872</v>
      </c>
      <c r="F99" s="32">
        <v>39.494</v>
      </c>
      <c r="G99" s="18">
        <v>5.12</v>
      </c>
      <c r="H99" s="18">
        <f t="shared" si="6"/>
        <v>35.661000000000001</v>
      </c>
      <c r="I99" s="5"/>
      <c r="J99" s="17">
        <v>604.37189999999998</v>
      </c>
      <c r="K99" s="18">
        <v>34.458599999999997</v>
      </c>
      <c r="L99" s="18">
        <v>40.378799999999998</v>
      </c>
      <c r="M99" s="18">
        <v>40.983800000000002</v>
      </c>
      <c r="N99" s="18">
        <v>9.2957999999999998</v>
      </c>
      <c r="O99" s="18">
        <f t="shared" si="7"/>
        <v>36.014274999999998</v>
      </c>
      <c r="P99" s="7"/>
      <c r="Q99" s="10"/>
      <c r="R99" s="11"/>
      <c r="S99" s="11"/>
      <c r="T99" s="26"/>
      <c r="U99" s="28">
        <f t="shared" si="8"/>
        <v>0.81558593749999997</v>
      </c>
    </row>
    <row r="100" spans="2:21" ht="16.5" thickBot="1" x14ac:dyDescent="0.3">
      <c r="B100" s="12"/>
      <c r="C100" s="33">
        <v>304.27999999999997</v>
      </c>
      <c r="D100" s="34">
        <v>31.248999999999999</v>
      </c>
      <c r="E100" s="34">
        <v>36.412999999999997</v>
      </c>
      <c r="F100" s="34">
        <v>37.183</v>
      </c>
      <c r="G100" s="20">
        <v>6.51</v>
      </c>
      <c r="H100" s="20">
        <f t="shared" si="6"/>
        <v>32.636249999999997</v>
      </c>
      <c r="I100" s="5"/>
      <c r="J100" s="19">
        <v>305.00130000000001</v>
      </c>
      <c r="K100" s="20">
        <v>31.138500000000001</v>
      </c>
      <c r="L100" s="20">
        <v>38.093400000000003</v>
      </c>
      <c r="M100" s="20">
        <v>38.8215</v>
      </c>
      <c r="N100" s="20">
        <v>13.1218</v>
      </c>
      <c r="O100" s="20">
        <f t="shared" si="7"/>
        <v>32.968237500000001</v>
      </c>
      <c r="P100" s="7"/>
      <c r="Q100" s="13"/>
      <c r="R100" s="14"/>
      <c r="S100" s="14"/>
      <c r="T100" s="27"/>
      <c r="U100" s="28">
        <f t="shared" si="8"/>
        <v>1.0156374807987711</v>
      </c>
    </row>
    <row r="101" spans="2:21" x14ac:dyDescent="0.25">
      <c r="B101" s="6" t="s">
        <v>105</v>
      </c>
      <c r="C101" s="15">
        <v>1509.67</v>
      </c>
      <c r="D101" s="16">
        <v>38.631999999999998</v>
      </c>
      <c r="E101" s="16">
        <v>43.71</v>
      </c>
      <c r="F101" s="16">
        <v>45.487000000000002</v>
      </c>
      <c r="G101" s="16">
        <v>3.07</v>
      </c>
      <c r="H101" s="16">
        <f t="shared" si="6"/>
        <v>40.123624999999997</v>
      </c>
      <c r="I101" s="5"/>
      <c r="J101" s="15">
        <v>1510.3141000000001</v>
      </c>
      <c r="K101" s="16">
        <v>38.606299999999997</v>
      </c>
      <c r="L101" s="16">
        <v>44.560699999999997</v>
      </c>
      <c r="M101" s="16">
        <v>46.122300000000003</v>
      </c>
      <c r="N101" s="16">
        <v>4.2630999999999997</v>
      </c>
      <c r="O101" s="16">
        <f t="shared" si="7"/>
        <v>40.290099999999995</v>
      </c>
      <c r="P101" s="7"/>
      <c r="Q101" s="8">
        <f>bdrate(C101:C104,D101:D104,J101:J104,K101:K104)</f>
        <v>1.8660396880429531E-2</v>
      </c>
      <c r="R101" s="8">
        <f>bdrate(C101:C104,E101:E104,J101:J104,L101:L104)</f>
        <v>-0.38075906213288935</v>
      </c>
      <c r="S101" s="8">
        <f>bdrate(C101:C104,F101:F104,J101:J104,M101:M104)</f>
        <v>-0.30367602957321882</v>
      </c>
      <c r="T101" s="25">
        <f>bdrate(C101:C104,H101:H104,J101:J104,O101:O104)</f>
        <v>-6.5679534764720993E-2</v>
      </c>
      <c r="U101" s="28">
        <f t="shared" si="8"/>
        <v>0.38863192182410422</v>
      </c>
    </row>
    <row r="102" spans="2:21" x14ac:dyDescent="0.25">
      <c r="B102" s="9"/>
      <c r="C102" s="17">
        <v>1006.19</v>
      </c>
      <c r="D102" s="18">
        <v>37.143000000000001</v>
      </c>
      <c r="E102" s="18">
        <v>42.625999999999998</v>
      </c>
      <c r="F102" s="18">
        <v>44.320999999999998</v>
      </c>
      <c r="G102" s="18">
        <v>3.6</v>
      </c>
      <c r="H102" s="18">
        <f t="shared" si="6"/>
        <v>38.725624999999994</v>
      </c>
      <c r="I102" s="5"/>
      <c r="J102" s="17">
        <v>1007.2403</v>
      </c>
      <c r="K102" s="18">
        <v>37.101900000000001</v>
      </c>
      <c r="L102" s="18">
        <v>43.621299999999998</v>
      </c>
      <c r="M102" s="18">
        <v>45.121000000000002</v>
      </c>
      <c r="N102" s="18">
        <v>5.2859999999999996</v>
      </c>
      <c r="O102" s="18">
        <f t="shared" si="7"/>
        <v>38.9192125</v>
      </c>
      <c r="P102" s="7"/>
      <c r="Q102" s="10"/>
      <c r="R102" s="11"/>
      <c r="S102" s="11"/>
      <c r="T102" s="26"/>
      <c r="U102" s="28">
        <f t="shared" si="8"/>
        <v>0.46833333333333316</v>
      </c>
    </row>
    <row r="103" spans="2:21" x14ac:dyDescent="0.25">
      <c r="B103" s="9"/>
      <c r="C103" s="17">
        <v>603.82000000000005</v>
      </c>
      <c r="D103" s="18">
        <v>35.39</v>
      </c>
      <c r="E103" s="18">
        <v>41.283000000000001</v>
      </c>
      <c r="F103" s="18">
        <v>42.872</v>
      </c>
      <c r="G103" s="18">
        <v>4.49</v>
      </c>
      <c r="H103" s="18">
        <f t="shared" si="6"/>
        <v>37.061875000000001</v>
      </c>
      <c r="I103" s="5"/>
      <c r="J103" s="17">
        <v>604.00890000000004</v>
      </c>
      <c r="K103" s="18">
        <v>35.337299999999999</v>
      </c>
      <c r="L103" s="18">
        <v>42.506900000000002</v>
      </c>
      <c r="M103" s="18">
        <v>43.894300000000001</v>
      </c>
      <c r="N103" s="18">
        <v>6.9965999999999999</v>
      </c>
      <c r="O103" s="18">
        <f t="shared" si="7"/>
        <v>37.303125000000001</v>
      </c>
      <c r="P103" s="7"/>
      <c r="Q103" s="10"/>
      <c r="R103" s="11"/>
      <c r="S103" s="11"/>
      <c r="T103" s="26"/>
      <c r="U103" s="28">
        <f t="shared" si="8"/>
        <v>0.55826280623608004</v>
      </c>
    </row>
    <row r="104" spans="2:21" ht="16.5" thickBot="1" x14ac:dyDescent="0.3">
      <c r="B104" s="12"/>
      <c r="C104" s="19">
        <v>302.07</v>
      </c>
      <c r="D104" s="20">
        <v>33.210999999999999</v>
      </c>
      <c r="E104" s="20">
        <v>39.674999999999997</v>
      </c>
      <c r="F104" s="20">
        <v>41.008000000000003</v>
      </c>
      <c r="G104" s="20">
        <v>5.92</v>
      </c>
      <c r="H104" s="20">
        <f t="shared" si="6"/>
        <v>34.993624999999994</v>
      </c>
      <c r="I104" s="5"/>
      <c r="J104" s="19">
        <v>300.2176</v>
      </c>
      <c r="K104" s="20">
        <v>33.0488</v>
      </c>
      <c r="L104" s="20">
        <v>41.019799999999996</v>
      </c>
      <c r="M104" s="20">
        <v>42.2224</v>
      </c>
      <c r="N104" s="20">
        <v>10.491199999999999</v>
      </c>
      <c r="O104" s="20">
        <f t="shared" si="7"/>
        <v>35.191875000000003</v>
      </c>
      <c r="P104" s="7"/>
      <c r="Q104" s="13"/>
      <c r="R104" s="14"/>
      <c r="S104" s="14"/>
      <c r="T104" s="27"/>
      <c r="U104" s="28">
        <f t="shared" si="8"/>
        <v>0.77216216216216205</v>
      </c>
    </row>
    <row r="105" spans="2:21" x14ac:dyDescent="0.25">
      <c r="B105" s="6" t="s">
        <v>106</v>
      </c>
      <c r="C105" s="15">
        <v>1618.41</v>
      </c>
      <c r="D105" s="16">
        <v>50.488</v>
      </c>
      <c r="E105" s="16">
        <v>55.286999999999999</v>
      </c>
      <c r="F105" s="16">
        <v>56.558999999999997</v>
      </c>
      <c r="G105" s="16">
        <v>3.75</v>
      </c>
      <c r="H105" s="16">
        <f t="shared" si="6"/>
        <v>51.84675</v>
      </c>
      <c r="I105" s="5"/>
      <c r="J105" s="15">
        <v>1492.2949000000001</v>
      </c>
      <c r="K105" s="16">
        <v>50.646599999999999</v>
      </c>
      <c r="L105" s="16">
        <v>55.359499999999997</v>
      </c>
      <c r="M105" s="16">
        <v>56.711399999999998</v>
      </c>
      <c r="N105" s="16">
        <v>5.3716999999999997</v>
      </c>
      <c r="O105" s="16">
        <f t="shared" si="7"/>
        <v>51.993812500000004</v>
      </c>
      <c r="P105" s="7"/>
      <c r="Q105" s="8">
        <f>bdrate(C105:C108,D105:D108,J105:J108,K105:K108)</f>
        <v>-0.13224147260016728</v>
      </c>
      <c r="R105" s="8">
        <f>bdrate(C105:C108,E105:E108,J105:J108,L105:L108)</f>
        <v>-0.14124904875307243</v>
      </c>
      <c r="S105" s="8">
        <f>bdrate(C105:C108,F105:F108,J105:J108,M105:M108)</f>
        <v>-0.15677764617828327</v>
      </c>
      <c r="T105" s="25">
        <f>bdrate(C105:C108,H105:H108,J105:J108,O105:O108)</f>
        <v>-0.13624487995161894</v>
      </c>
      <c r="U105" s="28">
        <f t="shared" si="8"/>
        <v>0.43245333333333325</v>
      </c>
    </row>
    <row r="106" spans="2:21" x14ac:dyDescent="0.25">
      <c r="B106" s="9"/>
      <c r="C106" s="17">
        <v>1074.1199999999999</v>
      </c>
      <c r="D106" s="18">
        <v>48.726999999999997</v>
      </c>
      <c r="E106" s="18">
        <v>53.765000000000001</v>
      </c>
      <c r="F106" s="18">
        <v>55.145000000000003</v>
      </c>
      <c r="G106" s="18">
        <v>4.53</v>
      </c>
      <c r="H106" s="18">
        <f t="shared" si="6"/>
        <v>50.158999999999992</v>
      </c>
      <c r="I106" s="5"/>
      <c r="J106" s="17">
        <v>997.98350000000005</v>
      </c>
      <c r="K106" s="18">
        <v>49.016500000000001</v>
      </c>
      <c r="L106" s="18">
        <v>53.9482</v>
      </c>
      <c r="M106" s="18">
        <v>55.415799999999997</v>
      </c>
      <c r="N106" s="18">
        <v>6.6673999999999998</v>
      </c>
      <c r="O106" s="18">
        <f t="shared" si="7"/>
        <v>50.432874999999996</v>
      </c>
      <c r="P106" s="7"/>
      <c r="Q106" s="10"/>
      <c r="R106" s="11"/>
      <c r="S106" s="11"/>
      <c r="T106" s="26"/>
      <c r="U106" s="28">
        <f t="shared" si="8"/>
        <v>0.4718322295805738</v>
      </c>
    </row>
    <row r="107" spans="2:21" x14ac:dyDescent="0.25">
      <c r="B107" s="9"/>
      <c r="C107" s="17">
        <v>640.59</v>
      </c>
      <c r="D107" s="18">
        <v>46.484999999999999</v>
      </c>
      <c r="E107" s="18">
        <v>51.805999999999997</v>
      </c>
      <c r="F107" s="18">
        <v>53.268999999999998</v>
      </c>
      <c r="G107" s="18">
        <v>5.63</v>
      </c>
      <c r="H107" s="18">
        <f t="shared" si="6"/>
        <v>47.998124999999995</v>
      </c>
      <c r="I107" s="5"/>
      <c r="J107" s="17">
        <v>601.26030000000003</v>
      </c>
      <c r="K107" s="18">
        <v>46.893900000000002</v>
      </c>
      <c r="L107" s="18">
        <v>52.205399999999997</v>
      </c>
      <c r="M107" s="18">
        <v>53.709699999999998</v>
      </c>
      <c r="N107" s="18">
        <v>8.9498999999999995</v>
      </c>
      <c r="O107" s="18">
        <f t="shared" si="7"/>
        <v>48.409812500000001</v>
      </c>
      <c r="P107" s="7"/>
      <c r="Q107" s="10"/>
      <c r="R107" s="11"/>
      <c r="S107" s="11"/>
      <c r="T107" s="26"/>
      <c r="U107" s="28">
        <f t="shared" si="8"/>
        <v>0.58968028419182938</v>
      </c>
    </row>
    <row r="108" spans="2:21" ht="16.5" thickBot="1" x14ac:dyDescent="0.3">
      <c r="B108" s="12"/>
      <c r="C108" s="19">
        <v>318.95999999999998</v>
      </c>
      <c r="D108" s="20">
        <v>43.505000000000003</v>
      </c>
      <c r="E108" s="20">
        <v>48.951999999999998</v>
      </c>
      <c r="F108" s="20">
        <v>50.408999999999999</v>
      </c>
      <c r="G108" s="20">
        <v>7.18</v>
      </c>
      <c r="H108" s="20">
        <f t="shared" si="6"/>
        <v>45.048875000000002</v>
      </c>
      <c r="I108" s="5"/>
      <c r="J108" s="19">
        <v>300.84809999999999</v>
      </c>
      <c r="K108" s="20">
        <v>43.714199999999998</v>
      </c>
      <c r="L108" s="20">
        <v>49.453600000000002</v>
      </c>
      <c r="M108" s="20">
        <v>50.946100000000001</v>
      </c>
      <c r="N108" s="20">
        <v>13.9307</v>
      </c>
      <c r="O108" s="20">
        <f t="shared" si="7"/>
        <v>45.335612499999996</v>
      </c>
      <c r="P108" s="7"/>
      <c r="Q108" s="13"/>
      <c r="R108" s="14"/>
      <c r="S108" s="14"/>
      <c r="T108" s="27"/>
      <c r="U108" s="28">
        <f t="shared" si="8"/>
        <v>0.94020891364902515</v>
      </c>
    </row>
    <row r="109" spans="2:21" x14ac:dyDescent="0.25">
      <c r="B109" s="6" t="s">
        <v>107</v>
      </c>
      <c r="C109" s="15">
        <v>1465.76</v>
      </c>
      <c r="D109" s="16">
        <v>33.789000000000001</v>
      </c>
      <c r="E109" s="16">
        <v>40.877000000000002</v>
      </c>
      <c r="F109" s="16">
        <v>40.393000000000001</v>
      </c>
      <c r="G109" s="16">
        <v>2.93</v>
      </c>
      <c r="H109" s="16">
        <f t="shared" si="6"/>
        <v>35.500500000000002</v>
      </c>
      <c r="I109" s="5"/>
      <c r="J109" s="15">
        <v>1495.8583000000001</v>
      </c>
      <c r="K109" s="16">
        <v>33.629300000000001</v>
      </c>
      <c r="L109" s="16">
        <v>41.906399999999998</v>
      </c>
      <c r="M109" s="16">
        <v>41.3491</v>
      </c>
      <c r="N109" s="16">
        <v>3.7237</v>
      </c>
      <c r="O109" s="16">
        <f t="shared" si="7"/>
        <v>35.628912499999998</v>
      </c>
      <c r="P109" s="7"/>
      <c r="Q109" s="8">
        <f>bdrate(C109:C112,D109:D112,J109:J112,K109:K112)</f>
        <v>-1.7202340571454422E-2</v>
      </c>
      <c r="R109" s="8">
        <f>bdrate(C109:C112,E109:E112,J109:J112,L109:L112)</f>
        <v>-0.41372714232604269</v>
      </c>
      <c r="S109" s="8">
        <f>bdrate(C109:C112,F109:F112,J109:J112,M109:M112)</f>
        <v>-0.40324564900025395</v>
      </c>
      <c r="T109" s="25">
        <f>bdrate(C109:C112,H109:H112,J109:J112,O109:O112)</f>
        <v>-9.8695160900771239E-2</v>
      </c>
      <c r="U109" s="28">
        <f t="shared" si="8"/>
        <v>0.27088737201365182</v>
      </c>
    </row>
    <row r="110" spans="2:21" x14ac:dyDescent="0.25">
      <c r="B110" s="9"/>
      <c r="C110" s="17">
        <v>974.87</v>
      </c>
      <c r="D110" s="18">
        <v>32.036999999999999</v>
      </c>
      <c r="E110" s="18">
        <v>39.630000000000003</v>
      </c>
      <c r="F110" s="18">
        <v>39.094999999999999</v>
      </c>
      <c r="G110" s="18">
        <v>3.5</v>
      </c>
      <c r="H110" s="18">
        <f t="shared" si="6"/>
        <v>33.868375</v>
      </c>
      <c r="I110" s="5"/>
      <c r="J110" s="17">
        <v>996.33010000000002</v>
      </c>
      <c r="K110" s="18">
        <v>31.947800000000001</v>
      </c>
      <c r="L110" s="18">
        <v>40.982500000000002</v>
      </c>
      <c r="M110" s="18">
        <v>40.425699999999999</v>
      </c>
      <c r="N110" s="18">
        <v>4.5434000000000001</v>
      </c>
      <c r="O110" s="18">
        <f t="shared" si="7"/>
        <v>34.136875000000003</v>
      </c>
      <c r="P110" s="7"/>
      <c r="Q110" s="10"/>
      <c r="R110" s="11"/>
      <c r="S110" s="11"/>
      <c r="T110" s="26"/>
      <c r="U110" s="28">
        <f t="shared" si="8"/>
        <v>0.29811428571428572</v>
      </c>
    </row>
    <row r="111" spans="2:21" x14ac:dyDescent="0.25">
      <c r="B111" s="9"/>
      <c r="C111" s="17">
        <v>584.86</v>
      </c>
      <c r="D111" s="18">
        <v>29.736999999999998</v>
      </c>
      <c r="E111" s="18">
        <v>38.009</v>
      </c>
      <c r="F111" s="18">
        <v>37.417000000000002</v>
      </c>
      <c r="G111" s="18">
        <v>4.3600000000000003</v>
      </c>
      <c r="H111" s="18">
        <f t="shared" si="6"/>
        <v>31.730999999999998</v>
      </c>
      <c r="I111" s="5"/>
      <c r="J111" s="17">
        <v>597.29679999999996</v>
      </c>
      <c r="K111" s="18">
        <v>29.745799999999999</v>
      </c>
      <c r="L111" s="18">
        <v>39.7575</v>
      </c>
      <c r="M111" s="18">
        <v>39.168100000000003</v>
      </c>
      <c r="N111" s="18">
        <v>6.0084999999999997</v>
      </c>
      <c r="O111" s="18">
        <f t="shared" si="7"/>
        <v>32.175049999999999</v>
      </c>
      <c r="P111" s="7"/>
      <c r="Q111" s="10"/>
      <c r="R111" s="11"/>
      <c r="S111" s="11"/>
      <c r="T111" s="26"/>
      <c r="U111" s="28">
        <f t="shared" si="8"/>
        <v>0.37809633027522921</v>
      </c>
    </row>
    <row r="112" spans="2:21" ht="16.5" thickBot="1" x14ac:dyDescent="0.3">
      <c r="B112" s="12"/>
      <c r="C112" s="19">
        <v>323.18</v>
      </c>
      <c r="D112" s="20">
        <v>24.952999999999999</v>
      </c>
      <c r="E112" s="20">
        <v>34.014000000000003</v>
      </c>
      <c r="F112" s="20">
        <v>33.520000000000003</v>
      </c>
      <c r="G112" s="20">
        <v>6.05</v>
      </c>
      <c r="H112" s="20">
        <f t="shared" si="6"/>
        <v>27.156500000000001</v>
      </c>
      <c r="I112" s="5"/>
      <c r="J112" s="19">
        <v>298.58150000000001</v>
      </c>
      <c r="K112" s="20">
        <v>26.8492</v>
      </c>
      <c r="L112" s="20">
        <v>37.719700000000003</v>
      </c>
      <c r="M112" s="20">
        <v>37.101599999999998</v>
      </c>
      <c r="N112" s="20">
        <v>9.0953999999999997</v>
      </c>
      <c r="O112" s="20">
        <f t="shared" si="7"/>
        <v>29.489562500000002</v>
      </c>
      <c r="P112" s="7"/>
      <c r="Q112" s="13"/>
      <c r="R112" s="14"/>
      <c r="S112" s="14"/>
      <c r="T112" s="27"/>
      <c r="U112" s="28">
        <f t="shared" si="8"/>
        <v>0.50337190082644623</v>
      </c>
    </row>
    <row r="113" spans="2:21" x14ac:dyDescent="0.25">
      <c r="B113" s="6" t="s">
        <v>108</v>
      </c>
      <c r="C113" s="15">
        <v>1663.34</v>
      </c>
      <c r="D113" s="16">
        <v>47.97</v>
      </c>
      <c r="E113" s="16">
        <v>48.600999999999999</v>
      </c>
      <c r="F113" s="16">
        <v>48.572000000000003</v>
      </c>
      <c r="G113" s="16">
        <v>4</v>
      </c>
      <c r="H113" s="16">
        <f t="shared" si="6"/>
        <v>48.124124999999999</v>
      </c>
      <c r="I113" s="5"/>
      <c r="J113" s="15">
        <v>1405.7864</v>
      </c>
      <c r="K113" s="16">
        <v>47.430100000000003</v>
      </c>
      <c r="L113" s="16">
        <v>48.664000000000001</v>
      </c>
      <c r="M113" s="16">
        <v>48.5608</v>
      </c>
      <c r="N113" s="16">
        <v>5.7636000000000003</v>
      </c>
      <c r="O113" s="16">
        <f t="shared" si="7"/>
        <v>47.725674999999995</v>
      </c>
      <c r="P113" s="7"/>
      <c r="Q113" s="8">
        <f>bdrate(C113:C116,D113:D116,J113:J116,K113:K116)</f>
        <v>-8.1820247520500433E-2</v>
      </c>
      <c r="R113" s="8">
        <f>bdrate(C113:C116,E113:E116,J113:J116,L113:L116)</f>
        <v>-0.23298580828467808</v>
      </c>
      <c r="S113" s="8">
        <f>bdrate(C113:C116,F113:F116,J113:J116,M113:M116)</f>
        <v>-0.22578553583782535</v>
      </c>
      <c r="T113" s="25">
        <f>bdrate(C113:C116,H113:H116,J113:J116,O113:O116)</f>
        <v>-0.11602770916526184</v>
      </c>
      <c r="U113" s="28">
        <f t="shared" si="8"/>
        <v>0.44090000000000007</v>
      </c>
    </row>
    <row r="114" spans="2:21" x14ac:dyDescent="0.25">
      <c r="B114" s="9"/>
      <c r="C114" s="17">
        <v>1099.4100000000001</v>
      </c>
      <c r="D114" s="18">
        <v>46.033000000000001</v>
      </c>
      <c r="E114" s="18">
        <v>46.781999999999996</v>
      </c>
      <c r="F114" s="18">
        <v>46.698</v>
      </c>
      <c r="G114" s="18">
        <v>4.63</v>
      </c>
      <c r="H114" s="18">
        <f t="shared" si="6"/>
        <v>46.209749999999993</v>
      </c>
      <c r="I114" s="5"/>
      <c r="J114" s="17">
        <v>950.60350000000005</v>
      </c>
      <c r="K114" s="18">
        <v>45.933700000000002</v>
      </c>
      <c r="L114" s="18">
        <v>47.2943</v>
      </c>
      <c r="M114" s="18">
        <v>47.175199999999997</v>
      </c>
      <c r="N114" s="18">
        <v>6.9287999999999998</v>
      </c>
      <c r="O114" s="18">
        <f t="shared" si="7"/>
        <v>46.25896250000001</v>
      </c>
      <c r="P114" s="7"/>
      <c r="Q114" s="10"/>
      <c r="R114" s="11"/>
      <c r="S114" s="11"/>
      <c r="T114" s="26"/>
      <c r="U114" s="28">
        <f t="shared" si="8"/>
        <v>0.49650107991360692</v>
      </c>
    </row>
    <row r="115" spans="2:21" x14ac:dyDescent="0.25">
      <c r="B115" s="9"/>
      <c r="C115" s="17">
        <v>654.26</v>
      </c>
      <c r="D115" s="18">
        <v>43.366</v>
      </c>
      <c r="E115" s="18">
        <v>44.341999999999999</v>
      </c>
      <c r="F115" s="18">
        <v>44.213999999999999</v>
      </c>
      <c r="G115" s="18">
        <v>5.58</v>
      </c>
      <c r="H115" s="18">
        <f t="shared" si="6"/>
        <v>43.594000000000001</v>
      </c>
      <c r="I115" s="5"/>
      <c r="J115" s="17">
        <v>591.34490000000005</v>
      </c>
      <c r="K115" s="18">
        <v>43.344299999999997</v>
      </c>
      <c r="L115" s="18">
        <v>45.234200000000001</v>
      </c>
      <c r="M115" s="18">
        <v>45.090200000000003</v>
      </c>
      <c r="N115" s="18">
        <v>8.9342000000000006</v>
      </c>
      <c r="O115" s="18">
        <f t="shared" si="7"/>
        <v>43.798774999999992</v>
      </c>
      <c r="P115" s="7"/>
      <c r="Q115" s="10"/>
      <c r="R115" s="11"/>
      <c r="S115" s="11"/>
      <c r="T115" s="26"/>
      <c r="U115" s="28">
        <f t="shared" si="8"/>
        <v>0.60111111111111115</v>
      </c>
    </row>
    <row r="116" spans="2:21" ht="16.5" thickBot="1" x14ac:dyDescent="0.3">
      <c r="B116" s="12"/>
      <c r="C116" s="19">
        <v>323.16000000000003</v>
      </c>
      <c r="D116" s="20">
        <v>39.095999999999997</v>
      </c>
      <c r="E116" s="20">
        <v>40.710999999999999</v>
      </c>
      <c r="F116" s="20">
        <v>40.512999999999998</v>
      </c>
      <c r="G116" s="20">
        <v>7.05</v>
      </c>
      <c r="H116" s="20">
        <f t="shared" si="6"/>
        <v>39.474999999999994</v>
      </c>
      <c r="I116" s="5"/>
      <c r="J116" s="19">
        <v>301.36689999999999</v>
      </c>
      <c r="K116" s="20">
        <v>38.729999999999997</v>
      </c>
      <c r="L116" s="20">
        <v>41.613399999999999</v>
      </c>
      <c r="M116" s="20">
        <v>41.381799999999998</v>
      </c>
      <c r="N116" s="20">
        <v>12.929600000000001</v>
      </c>
      <c r="O116" s="20">
        <f t="shared" si="7"/>
        <v>39.421900000000001</v>
      </c>
      <c r="P116" s="7"/>
      <c r="Q116" s="13"/>
      <c r="R116" s="14"/>
      <c r="S116" s="14"/>
      <c r="T116" s="27"/>
      <c r="U116" s="28">
        <f t="shared" si="8"/>
        <v>0.83398581560283702</v>
      </c>
    </row>
    <row r="117" spans="2:21" x14ac:dyDescent="0.25">
      <c r="B117" s="6" t="s">
        <v>109</v>
      </c>
      <c r="C117" s="15">
        <v>1943.89</v>
      </c>
      <c r="D117" s="16">
        <v>47.683999999999997</v>
      </c>
      <c r="E117" s="16">
        <v>49.5</v>
      </c>
      <c r="F117" s="16">
        <v>49.744999999999997</v>
      </c>
      <c r="G117" s="16">
        <v>3.76</v>
      </c>
      <c r="H117" s="16">
        <f t="shared" si="6"/>
        <v>48.168624999999999</v>
      </c>
      <c r="I117" s="5"/>
      <c r="J117" s="15">
        <v>1417.2143000000001</v>
      </c>
      <c r="K117" s="16">
        <v>47.6267</v>
      </c>
      <c r="L117" s="16">
        <v>50.258600000000001</v>
      </c>
      <c r="M117" s="16">
        <v>50.329900000000002</v>
      </c>
      <c r="N117" s="16">
        <v>7.4913999999999996</v>
      </c>
      <c r="O117" s="16">
        <f t="shared" si="7"/>
        <v>48.293587500000001</v>
      </c>
      <c r="P117" s="7"/>
      <c r="Q117" s="8">
        <f>bdrate(C117:C120,D117:D120,J117:J120,K117:K120)</f>
        <v>-0.27458307565787343</v>
      </c>
      <c r="R117" s="8">
        <f>bdrate(C117:C120,E117:E120,J117:J120,L117:L120)</f>
        <v>-0.4182091421278572</v>
      </c>
      <c r="S117" s="8">
        <f>bdrate(C117:C120,F117:F120,J117:J120,M117:M120)</f>
        <v>-0.41658334504667316</v>
      </c>
      <c r="T117" s="25">
        <f>bdrate(C117:C120,H117:H120,J117:J120,O117:O120)</f>
        <v>-0.31215702076878704</v>
      </c>
      <c r="U117" s="28">
        <f t="shared" si="8"/>
        <v>0.9923936170212766</v>
      </c>
    </row>
    <row r="118" spans="2:21" x14ac:dyDescent="0.25">
      <c r="B118" s="9"/>
      <c r="C118" s="17">
        <v>1267.5999999999999</v>
      </c>
      <c r="D118" s="18">
        <v>45.131</v>
      </c>
      <c r="E118" s="18">
        <v>47.061</v>
      </c>
      <c r="F118" s="18">
        <v>47.298999999999999</v>
      </c>
      <c r="G118" s="18">
        <v>4.42</v>
      </c>
      <c r="H118" s="18">
        <f t="shared" si="6"/>
        <v>45.643249999999995</v>
      </c>
      <c r="I118" s="5"/>
      <c r="J118" s="17">
        <v>978.71849999999995</v>
      </c>
      <c r="K118" s="18">
        <v>46.364699999999999</v>
      </c>
      <c r="L118" s="18">
        <v>49.246600000000001</v>
      </c>
      <c r="M118" s="18">
        <v>49.346899999999998</v>
      </c>
      <c r="N118" s="18">
        <v>9.0831</v>
      </c>
      <c r="O118" s="18">
        <f t="shared" si="7"/>
        <v>47.0977125</v>
      </c>
      <c r="P118" s="7"/>
      <c r="Q118" s="10"/>
      <c r="R118" s="11"/>
      <c r="S118" s="11"/>
      <c r="T118" s="26"/>
      <c r="U118" s="28">
        <f t="shared" si="8"/>
        <v>1.0549999999999999</v>
      </c>
    </row>
    <row r="119" spans="2:21" x14ac:dyDescent="0.25">
      <c r="B119" s="9"/>
      <c r="C119" s="17">
        <v>742.18</v>
      </c>
      <c r="D119" s="18">
        <v>42.338999999999999</v>
      </c>
      <c r="E119" s="18">
        <v>44.320999999999998</v>
      </c>
      <c r="F119" s="18">
        <v>44.594999999999999</v>
      </c>
      <c r="G119" s="18">
        <v>5.4</v>
      </c>
      <c r="H119" s="18">
        <f t="shared" si="6"/>
        <v>42.868750000000006</v>
      </c>
      <c r="I119" s="5"/>
      <c r="J119" s="17">
        <v>640.01430000000005</v>
      </c>
      <c r="K119" s="18">
        <v>43.269399999999997</v>
      </c>
      <c r="L119" s="18">
        <v>46.322099999999999</v>
      </c>
      <c r="M119" s="18">
        <v>46.589599999999997</v>
      </c>
      <c r="N119" s="18">
        <v>11.083299999999999</v>
      </c>
      <c r="O119" s="18">
        <f t="shared" si="7"/>
        <v>44.066012499999999</v>
      </c>
      <c r="P119" s="7"/>
      <c r="Q119" s="10"/>
      <c r="R119" s="11"/>
      <c r="S119" s="11"/>
      <c r="T119" s="26"/>
      <c r="U119" s="28">
        <f t="shared" si="8"/>
        <v>1.0524629629629627</v>
      </c>
    </row>
    <row r="120" spans="2:21" ht="16.5" thickBot="1" x14ac:dyDescent="0.3">
      <c r="B120" s="12"/>
      <c r="C120" s="19">
        <v>356.05</v>
      </c>
      <c r="D120" s="20">
        <v>38.603000000000002</v>
      </c>
      <c r="E120" s="20">
        <v>40.822000000000003</v>
      </c>
      <c r="F120" s="20">
        <v>41.173999999999999</v>
      </c>
      <c r="G120" s="20">
        <v>6.94</v>
      </c>
      <c r="H120" s="20">
        <f t="shared" si="6"/>
        <v>39.201749999999997</v>
      </c>
      <c r="I120" s="5"/>
      <c r="J120" s="19">
        <v>355.70839999999998</v>
      </c>
      <c r="K120" s="20">
        <v>39.135300000000001</v>
      </c>
      <c r="L120" s="20">
        <v>42.719700000000003</v>
      </c>
      <c r="M120" s="20">
        <v>43.0227</v>
      </c>
      <c r="N120" s="20">
        <v>16.738700000000001</v>
      </c>
      <c r="O120" s="20">
        <f t="shared" si="7"/>
        <v>40.069274999999998</v>
      </c>
      <c r="P120" s="7"/>
      <c r="Q120" s="13"/>
      <c r="R120" s="14"/>
      <c r="S120" s="14"/>
      <c r="T120" s="27"/>
      <c r="U120" s="28">
        <f t="shared" si="8"/>
        <v>1.4119164265129682</v>
      </c>
    </row>
    <row r="121" spans="2:21" x14ac:dyDescent="0.25">
      <c r="B121" s="6" t="s">
        <v>110</v>
      </c>
      <c r="C121" s="15">
        <v>1535.49</v>
      </c>
      <c r="D121" s="16">
        <v>34.287999999999997</v>
      </c>
      <c r="E121" s="16">
        <v>37.357999999999997</v>
      </c>
      <c r="F121" s="16">
        <v>36.262</v>
      </c>
      <c r="G121" s="16">
        <v>3.26</v>
      </c>
      <c r="H121" s="16">
        <f t="shared" si="6"/>
        <v>34.918499999999995</v>
      </c>
      <c r="I121" s="5"/>
      <c r="J121" s="29">
        <v>1511.9802999999999</v>
      </c>
      <c r="K121" s="30">
        <v>33.836500000000001</v>
      </c>
      <c r="L121" s="30">
        <v>38.058300000000003</v>
      </c>
      <c r="M121" s="30">
        <v>36.892200000000003</v>
      </c>
      <c r="N121" s="16">
        <v>4.5822000000000003</v>
      </c>
      <c r="O121" s="16">
        <f t="shared" si="7"/>
        <v>34.746187500000005</v>
      </c>
      <c r="P121" s="7"/>
      <c r="Q121" s="8">
        <f>bdrate(C121:C124,D121:D124,J121:J124,K121:K124)</f>
        <v>5.722579156554386E-2</v>
      </c>
      <c r="R121" s="8">
        <f>bdrate(C121:C124,E121:E124,J121:J124,L121:L124)</f>
        <v>-0.34820513257712582</v>
      </c>
      <c r="S121" s="8">
        <f>bdrate(C121:C124,F121:F124,J121:J124,M121:M124)</f>
        <v>-0.32568193998651962</v>
      </c>
      <c r="T121" s="25">
        <f>bdrate(C121:C124,H121:H124,J121:J124,O121:O124)</f>
        <v>-2.7985594406574443E-2</v>
      </c>
      <c r="U121" s="28">
        <f t="shared" si="8"/>
        <v>0.40558282208588975</v>
      </c>
    </row>
    <row r="122" spans="2:21" x14ac:dyDescent="0.25">
      <c r="B122" s="9"/>
      <c r="C122" s="17">
        <v>1019.88</v>
      </c>
      <c r="D122" s="18">
        <v>32.340000000000003</v>
      </c>
      <c r="E122" s="18">
        <v>35.99</v>
      </c>
      <c r="F122" s="18">
        <v>34.814999999999998</v>
      </c>
      <c r="G122" s="18">
        <v>3.84</v>
      </c>
      <c r="H122" s="18">
        <f t="shared" si="6"/>
        <v>33.105625000000003</v>
      </c>
      <c r="I122" s="5"/>
      <c r="J122" s="31">
        <v>1008.6315</v>
      </c>
      <c r="K122" s="32">
        <v>31.923100000000002</v>
      </c>
      <c r="L122" s="32">
        <v>36.9816</v>
      </c>
      <c r="M122" s="32">
        <v>35.764699999999998</v>
      </c>
      <c r="N122" s="18">
        <v>5.5807000000000002</v>
      </c>
      <c r="O122" s="18">
        <f t="shared" si="7"/>
        <v>33.035612499999999</v>
      </c>
      <c r="P122" s="7"/>
      <c r="Q122" s="10"/>
      <c r="R122" s="11"/>
      <c r="S122" s="11"/>
      <c r="T122" s="26"/>
      <c r="U122" s="28">
        <f t="shared" si="8"/>
        <v>0.45330729166666678</v>
      </c>
    </row>
    <row r="123" spans="2:21" x14ac:dyDescent="0.25">
      <c r="B123" s="9"/>
      <c r="C123" s="17">
        <v>608.33000000000004</v>
      </c>
      <c r="D123" s="18">
        <v>30</v>
      </c>
      <c r="E123" s="18">
        <v>34.414000000000001</v>
      </c>
      <c r="F123" s="18">
        <v>33.134999999999998</v>
      </c>
      <c r="G123" s="18">
        <v>4.7300000000000004</v>
      </c>
      <c r="H123" s="18">
        <f t="shared" si="6"/>
        <v>30.943624999999997</v>
      </c>
      <c r="I123" s="5"/>
      <c r="J123" s="31">
        <v>605.14530000000002</v>
      </c>
      <c r="K123" s="32">
        <v>29.6553</v>
      </c>
      <c r="L123" s="32">
        <v>35.713799999999999</v>
      </c>
      <c r="M123" s="32">
        <v>34.4178</v>
      </c>
      <c r="N123" s="18">
        <v>7.1864999999999997</v>
      </c>
      <c r="O123" s="18">
        <f t="shared" si="7"/>
        <v>31.007925</v>
      </c>
      <c r="P123" s="7"/>
      <c r="Q123" s="10"/>
      <c r="R123" s="11"/>
      <c r="S123" s="11"/>
      <c r="T123" s="26"/>
      <c r="U123" s="28">
        <f t="shared" si="8"/>
        <v>0.51934460887949241</v>
      </c>
    </row>
    <row r="124" spans="2:21" ht="16.5" thickBot="1" x14ac:dyDescent="0.3">
      <c r="B124" s="12"/>
      <c r="C124" s="19">
        <v>287.42</v>
      </c>
      <c r="D124" s="20">
        <v>26.506</v>
      </c>
      <c r="E124" s="20">
        <v>31.706</v>
      </c>
      <c r="F124" s="20">
        <v>30.396999999999998</v>
      </c>
      <c r="G124" s="20">
        <v>6.4</v>
      </c>
      <c r="H124" s="20">
        <f t="shared" si="6"/>
        <v>27.642374999999998</v>
      </c>
      <c r="I124" s="5"/>
      <c r="J124" s="33">
        <v>304.23399999999998</v>
      </c>
      <c r="K124" s="34">
        <v>27.029800000000002</v>
      </c>
      <c r="L124" s="34">
        <v>34.041400000000003</v>
      </c>
      <c r="M124" s="34">
        <v>32.631700000000002</v>
      </c>
      <c r="N124" s="20">
        <v>10.4475</v>
      </c>
      <c r="O124" s="20">
        <f t="shared" si="7"/>
        <v>28.606487500000004</v>
      </c>
      <c r="P124" s="7"/>
      <c r="Q124" s="13"/>
      <c r="R124" s="14"/>
      <c r="S124" s="14"/>
      <c r="T124" s="27"/>
      <c r="U124" s="28">
        <f t="shared" si="8"/>
        <v>0.63242187499999991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-3.1713938076089271E-2</v>
      </c>
      <c r="R125" s="21">
        <f>AVERAGE(R9:R124)</f>
        <v>-0.37021113366051639</v>
      </c>
      <c r="S125" s="21">
        <f>AVERAGE(S9:S124)</f>
        <v>-0.35637277102550713</v>
      </c>
      <c r="T125" s="21">
        <f>AVERAGE(T9:T124)</f>
        <v>-0.10209009426125656</v>
      </c>
      <c r="U125" s="21">
        <f>AVERAGE(U9:U124)</f>
        <v>0.86498896504716327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61" priority="337" operator="greaterThan">
      <formula>0.03</formula>
    </cfRule>
    <cfRule type="cellIs" dxfId="460" priority="338" stopIfTrue="1" operator="lessThan">
      <formula>-0.03</formula>
    </cfRule>
  </conditionalFormatting>
  <conditionalFormatting sqref="Q33:T36">
    <cfRule type="cellIs" dxfId="459" priority="335" operator="greaterThan">
      <formula>0.03</formula>
    </cfRule>
    <cfRule type="cellIs" dxfId="458" priority="336" stopIfTrue="1" operator="lessThan">
      <formula>-0.03</formula>
    </cfRule>
  </conditionalFormatting>
  <conditionalFormatting sqref="Q45:T48 Q61:T64">
    <cfRule type="cellIs" dxfId="457" priority="333" operator="greaterThan">
      <formula>0.03</formula>
    </cfRule>
    <cfRule type="cellIs" dxfId="456" priority="334" stopIfTrue="1" operator="lessThan">
      <formula>-0.03</formula>
    </cfRule>
  </conditionalFormatting>
  <conditionalFormatting sqref="Q49:T60">
    <cfRule type="cellIs" dxfId="455" priority="331" operator="greaterThan">
      <formula>0.03</formula>
    </cfRule>
    <cfRule type="cellIs" dxfId="454" priority="332" stopIfTrue="1" operator="lessThan">
      <formula>-0.03</formula>
    </cfRule>
  </conditionalFormatting>
  <conditionalFormatting sqref="Q69:T76">
    <cfRule type="cellIs" dxfId="453" priority="329" operator="greaterThan">
      <formula>0.03</formula>
    </cfRule>
    <cfRule type="cellIs" dxfId="452" priority="330" stopIfTrue="1" operator="lessThan">
      <formula>-0.03</formula>
    </cfRule>
  </conditionalFormatting>
  <conditionalFormatting sqref="Q65:T68">
    <cfRule type="cellIs" dxfId="451" priority="327" operator="greaterThan">
      <formula>0.03</formula>
    </cfRule>
    <cfRule type="cellIs" dxfId="450" priority="328" stopIfTrue="1" operator="lessThan">
      <formula>-0.03</formula>
    </cfRule>
  </conditionalFormatting>
  <conditionalFormatting sqref="Q77:T80">
    <cfRule type="cellIs" dxfId="449" priority="325" operator="greaterThan">
      <formula>0.03</formula>
    </cfRule>
    <cfRule type="cellIs" dxfId="448" priority="326" stopIfTrue="1" operator="lessThan">
      <formula>-0.03</formula>
    </cfRule>
  </conditionalFormatting>
  <conditionalFormatting sqref="Q21:T28">
    <cfRule type="cellIs" dxfId="447" priority="323" operator="greaterThan">
      <formula>0.03</formula>
    </cfRule>
    <cfRule type="cellIs" dxfId="446" priority="324" stopIfTrue="1" operator="lessThan">
      <formula>-0.03</formula>
    </cfRule>
  </conditionalFormatting>
  <conditionalFormatting sqref="Q117:T117">
    <cfRule type="cellIs" dxfId="445" priority="33" operator="greaterThan">
      <formula>0.03</formula>
    </cfRule>
    <cfRule type="cellIs" dxfId="444" priority="34" stopIfTrue="1" operator="lessThan">
      <formula>-0.03</formula>
    </cfRule>
  </conditionalFormatting>
  <conditionalFormatting sqref="Q93:T96 Q101:T108 Q81:T84">
    <cfRule type="cellIs" dxfId="443" priority="47" operator="greaterThan">
      <formula>0.03</formula>
    </cfRule>
    <cfRule type="cellIs" dxfId="442" priority="48" stopIfTrue="1" operator="lessThan">
      <formula>-0.03</formula>
    </cfRule>
  </conditionalFormatting>
  <conditionalFormatting sqref="Q97:T100">
    <cfRule type="cellIs" dxfId="441" priority="45" operator="greaterThan">
      <formula>0.03</formula>
    </cfRule>
    <cfRule type="cellIs" dxfId="440" priority="46" stopIfTrue="1" operator="lessThan">
      <formula>-0.03</formula>
    </cfRule>
  </conditionalFormatting>
  <conditionalFormatting sqref="Q110:T112 Q122:T124">
    <cfRule type="cellIs" dxfId="439" priority="43" operator="greaterThan">
      <formula>0.03</formula>
    </cfRule>
    <cfRule type="cellIs" dxfId="438" priority="44" stopIfTrue="1" operator="lessThan">
      <formula>-0.03</formula>
    </cfRule>
  </conditionalFormatting>
  <conditionalFormatting sqref="Q114:T116 Q118:T120">
    <cfRule type="cellIs" dxfId="437" priority="41" operator="greaterThan">
      <formula>0.03</formula>
    </cfRule>
    <cfRule type="cellIs" dxfId="436" priority="42" stopIfTrue="1" operator="lessThan">
      <formula>-0.03</formula>
    </cfRule>
  </conditionalFormatting>
  <conditionalFormatting sqref="Q85:T92">
    <cfRule type="cellIs" dxfId="435" priority="39" operator="greaterThan">
      <formula>0.03</formula>
    </cfRule>
    <cfRule type="cellIs" dxfId="434" priority="40" stopIfTrue="1" operator="lessThan">
      <formula>-0.03</formula>
    </cfRule>
  </conditionalFormatting>
  <conditionalFormatting sqref="Q109:T109">
    <cfRule type="cellIs" dxfId="433" priority="37" operator="greaterThan">
      <formula>0.03</formula>
    </cfRule>
    <cfRule type="cellIs" dxfId="432" priority="38" stopIfTrue="1" operator="lessThan">
      <formula>-0.03</formula>
    </cfRule>
  </conditionalFormatting>
  <conditionalFormatting sqref="Q113:T113">
    <cfRule type="cellIs" dxfId="431" priority="35" operator="greaterThan">
      <formula>0.03</formula>
    </cfRule>
    <cfRule type="cellIs" dxfId="430" priority="36" stopIfTrue="1" operator="lessThan">
      <formula>-0.03</formula>
    </cfRule>
  </conditionalFormatting>
  <conditionalFormatting sqref="Q121:T121">
    <cfRule type="cellIs" dxfId="429" priority="31" operator="greaterThan">
      <formula>0.03</formula>
    </cfRule>
    <cfRule type="cellIs" dxfId="428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125</v>
      </c>
    </row>
    <row r="2" spans="1:21" x14ac:dyDescent="0.25">
      <c r="A2" t="s">
        <v>83</v>
      </c>
    </row>
    <row r="3" spans="1:21" x14ac:dyDescent="0.25">
      <c r="A3" t="s">
        <v>131</v>
      </c>
    </row>
    <row r="4" spans="1:21" x14ac:dyDescent="0.25">
      <c r="A4" t="s">
        <v>83</v>
      </c>
    </row>
    <row r="5" spans="1:21" s="35" customFormat="1" ht="15.75" customHeight="1" x14ac:dyDescent="0.25">
      <c r="B5" s="61" t="s">
        <v>29</v>
      </c>
      <c r="C5" s="63" t="s">
        <v>195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121</v>
      </c>
      <c r="D7" s="70"/>
      <c r="E7" s="70"/>
      <c r="F7" s="70"/>
      <c r="G7" s="70"/>
      <c r="H7" s="70"/>
      <c r="I7" s="5"/>
      <c r="J7" s="69" t="s">
        <v>176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4240.2294921875</v>
      </c>
      <c r="D9" s="16">
        <v>36.122</v>
      </c>
      <c r="E9" s="16">
        <v>38.588000000000001</v>
      </c>
      <c r="F9" s="16">
        <v>40.881</v>
      </c>
      <c r="G9" s="16">
        <v>14.23</v>
      </c>
      <c r="H9" s="16">
        <f t="shared" ref="H9:H80" si="0">(6*D9+E9+F9)/8</f>
        <v>37.025125000000003</v>
      </c>
      <c r="I9" s="5"/>
      <c r="J9" s="15">
        <v>4021.6336000000001</v>
      </c>
      <c r="K9" s="16">
        <v>37.587800000000001</v>
      </c>
      <c r="L9" s="16">
        <v>39.352699999999999</v>
      </c>
      <c r="M9" s="16">
        <v>41.827800000000003</v>
      </c>
      <c r="N9" s="16">
        <v>22.730699999999999</v>
      </c>
      <c r="O9" s="16">
        <f t="shared" ref="O9:O80" si="1">(6*K9+L9+M9)/8</f>
        <v>38.338412500000004</v>
      </c>
      <c r="P9" s="7"/>
      <c r="Q9" s="8">
        <f>bdrate(C9:C12,D9:D12,J9:J12,K9:K12)</f>
        <v>-0.33730049314035593</v>
      </c>
      <c r="R9" s="8">
        <f>bdrate(C9:C12,E9:E12,J9:J12,L9:L12)</f>
        <v>-0.43816834859362785</v>
      </c>
      <c r="S9" s="8">
        <f>bdrate(C9:C12,F9:F12,J9:J12,M9:M12)</f>
        <v>-0.45387441600925538</v>
      </c>
      <c r="T9" s="25">
        <f>bdrate(C9:C12,H9:H12,J9:J12,O9:O12)</f>
        <v>-0.35637262559438532</v>
      </c>
      <c r="U9" s="28">
        <f t="shared" ref="U9:U72" si="2">(N9-G9)/G9</f>
        <v>0.59737877723120159</v>
      </c>
    </row>
    <row r="10" spans="1:21" x14ac:dyDescent="0.25">
      <c r="A10" s="9" t="s">
        <v>36</v>
      </c>
      <c r="B10" s="9"/>
      <c r="C10" s="17">
        <v>3170.7421875</v>
      </c>
      <c r="D10" s="18">
        <v>35.216000000000001</v>
      </c>
      <c r="E10" s="18">
        <v>38.058</v>
      </c>
      <c r="F10" s="18">
        <v>40.283999999999999</v>
      </c>
      <c r="G10" s="18">
        <v>14.68</v>
      </c>
      <c r="H10" s="18">
        <f t="shared" si="0"/>
        <v>36.204749999999997</v>
      </c>
      <c r="I10" s="5"/>
      <c r="J10" s="17">
        <v>2915.1568000000002</v>
      </c>
      <c r="K10" s="18">
        <v>36.592100000000002</v>
      </c>
      <c r="L10" s="18">
        <v>38.794600000000003</v>
      </c>
      <c r="M10" s="18">
        <v>41.144300000000001</v>
      </c>
      <c r="N10" s="18">
        <v>20.6327</v>
      </c>
      <c r="O10" s="18">
        <f t="shared" si="1"/>
        <v>37.436437500000004</v>
      </c>
      <c r="P10" s="7"/>
      <c r="Q10" s="10"/>
      <c r="R10" s="11"/>
      <c r="S10" s="11"/>
      <c r="T10" s="26"/>
      <c r="U10" s="28">
        <f t="shared" si="2"/>
        <v>0.40549727520435969</v>
      </c>
    </row>
    <row r="11" spans="1:21" x14ac:dyDescent="0.25">
      <c r="B11" s="9"/>
      <c r="C11" s="17">
        <v>2137.521484375</v>
      </c>
      <c r="D11" s="18">
        <v>33.895000000000003</v>
      </c>
      <c r="E11" s="18">
        <v>37.265999999999998</v>
      </c>
      <c r="F11" s="18">
        <v>39.402999999999999</v>
      </c>
      <c r="G11" s="18">
        <v>15.59</v>
      </c>
      <c r="H11" s="18">
        <f t="shared" si="0"/>
        <v>35.004874999999998</v>
      </c>
      <c r="I11" s="5"/>
      <c r="J11" s="17">
        <v>1950.0239999999999</v>
      </c>
      <c r="K11" s="18">
        <v>35.0351</v>
      </c>
      <c r="L11" s="18">
        <v>38.154499999999999</v>
      </c>
      <c r="M11" s="18">
        <v>40.431800000000003</v>
      </c>
      <c r="N11" s="18">
        <v>30.235800000000001</v>
      </c>
      <c r="O11" s="18">
        <f t="shared" si="1"/>
        <v>36.099612499999999</v>
      </c>
      <c r="P11" s="7"/>
      <c r="Q11" s="10"/>
      <c r="R11" s="11"/>
      <c r="S11" s="11"/>
      <c r="T11" s="26"/>
      <c r="U11" s="28">
        <f t="shared" si="2"/>
        <v>0.93943553559974347</v>
      </c>
    </row>
    <row r="12" spans="1:21" ht="16.5" thickBot="1" x14ac:dyDescent="0.3">
      <c r="B12" s="12"/>
      <c r="C12" s="19">
        <v>1096.005859375</v>
      </c>
      <c r="D12" s="20">
        <v>31.102</v>
      </c>
      <c r="E12" s="20">
        <v>35.744999999999997</v>
      </c>
      <c r="F12" s="20">
        <v>37.673999999999999</v>
      </c>
      <c r="G12" s="20">
        <v>18.36</v>
      </c>
      <c r="H12" s="20">
        <f t="shared" si="0"/>
        <v>32.503875000000001</v>
      </c>
      <c r="I12" s="5"/>
      <c r="J12" s="19">
        <v>920.58240000000001</v>
      </c>
      <c r="K12" s="20">
        <v>32.114699999999999</v>
      </c>
      <c r="L12" s="20">
        <v>36.8733</v>
      </c>
      <c r="M12" s="20">
        <v>39.096699999999998</v>
      </c>
      <c r="N12" s="20">
        <v>39.4011</v>
      </c>
      <c r="O12" s="20">
        <f t="shared" si="1"/>
        <v>33.582274999999996</v>
      </c>
      <c r="P12" s="7"/>
      <c r="Q12" s="13"/>
      <c r="R12" s="14"/>
      <c r="S12" s="14"/>
      <c r="T12" s="27"/>
      <c r="U12" s="28">
        <f t="shared" si="2"/>
        <v>1.1460294117647059</v>
      </c>
    </row>
    <row r="13" spans="1:21" x14ac:dyDescent="0.25">
      <c r="B13" s="6" t="s">
        <v>47</v>
      </c>
      <c r="C13" s="15">
        <v>4762.2294921875</v>
      </c>
      <c r="D13" s="16">
        <v>28.03</v>
      </c>
      <c r="E13" s="16">
        <v>38.781999999999996</v>
      </c>
      <c r="F13" s="16">
        <v>39.816000000000003</v>
      </c>
      <c r="G13" s="16">
        <v>12.3</v>
      </c>
      <c r="H13" s="16">
        <f t="shared" si="0"/>
        <v>30.847249999999999</v>
      </c>
      <c r="I13" s="5"/>
      <c r="J13" s="15">
        <v>4070.1887999999999</v>
      </c>
      <c r="K13" s="16">
        <v>29.102599999999999</v>
      </c>
      <c r="L13" s="16">
        <v>39.2254</v>
      </c>
      <c r="M13" s="16">
        <v>40.195399999999999</v>
      </c>
      <c r="N13" s="16">
        <v>14.1403</v>
      </c>
      <c r="O13" s="16">
        <f t="shared" si="1"/>
        <v>31.754550000000002</v>
      </c>
      <c r="P13" s="7"/>
      <c r="Q13" s="8">
        <f>bdrate(C13:C16,D13:D16,J13:J16,K13:K16)</f>
        <v>-0.23287630939176296</v>
      </c>
      <c r="R13" s="8">
        <f>bdrate(C13:C16,E13:E16,J13:J16,L13:L16)</f>
        <v>-0.50684009110719042</v>
      </c>
      <c r="S13" s="8">
        <f>bdrate(C13:C16,F13:F16,J13:J16,M13:M16)</f>
        <v>-0.52501743826179226</v>
      </c>
      <c r="T13" s="25">
        <f>bdrate(C13:C16,H13:H16,J13:J16,O13:O16)</f>
        <v>-0.28034121908963427</v>
      </c>
      <c r="U13" s="28">
        <f t="shared" si="2"/>
        <v>0.14961788617886171</v>
      </c>
    </row>
    <row r="14" spans="1:21" x14ac:dyDescent="0.25">
      <c r="B14" s="9"/>
      <c r="C14" s="17">
        <v>4095.2666015625</v>
      </c>
      <c r="D14" s="18">
        <v>27.666</v>
      </c>
      <c r="E14" s="18">
        <v>38.234000000000002</v>
      </c>
      <c r="F14" s="18">
        <v>39.261000000000003</v>
      </c>
      <c r="G14" s="18">
        <v>12.62</v>
      </c>
      <c r="H14" s="18">
        <f t="shared" si="0"/>
        <v>30.436375000000002</v>
      </c>
      <c r="I14" s="5"/>
      <c r="J14" s="17">
        <v>3032.2703999999999</v>
      </c>
      <c r="K14" s="18">
        <v>27.757000000000001</v>
      </c>
      <c r="L14" s="18">
        <v>38.751100000000001</v>
      </c>
      <c r="M14" s="18">
        <v>39.752200000000002</v>
      </c>
      <c r="N14" s="18">
        <v>20.0749</v>
      </c>
      <c r="O14" s="18">
        <f t="shared" si="1"/>
        <v>30.6306625</v>
      </c>
      <c r="P14" s="7"/>
      <c r="Q14" s="10"/>
      <c r="R14" s="11"/>
      <c r="S14" s="11"/>
      <c r="T14" s="26"/>
      <c r="U14" s="28">
        <f t="shared" si="2"/>
        <v>0.59072107765451665</v>
      </c>
    </row>
    <row r="15" spans="1:21" x14ac:dyDescent="0.25">
      <c r="B15" s="9"/>
      <c r="C15" s="17">
        <v>3409.58203125</v>
      </c>
      <c r="D15" s="18">
        <v>27.236000000000001</v>
      </c>
      <c r="E15" s="18">
        <v>37.610999999999997</v>
      </c>
      <c r="F15" s="18">
        <v>38.527999999999999</v>
      </c>
      <c r="G15" s="18">
        <v>12.29</v>
      </c>
      <c r="H15" s="18">
        <f t="shared" si="0"/>
        <v>29.944374999999997</v>
      </c>
      <c r="I15" s="5"/>
      <c r="J15" s="17">
        <v>2017.5616</v>
      </c>
      <c r="K15" s="18">
        <v>25.970199999999998</v>
      </c>
      <c r="L15" s="18">
        <v>38.021000000000001</v>
      </c>
      <c r="M15" s="18">
        <v>39.132800000000003</v>
      </c>
      <c r="N15" s="18">
        <v>25.640999999999998</v>
      </c>
      <c r="O15" s="18">
        <f t="shared" si="1"/>
        <v>29.121874999999999</v>
      </c>
      <c r="P15" s="7"/>
      <c r="Q15" s="10"/>
      <c r="R15" s="11"/>
      <c r="S15" s="11"/>
      <c r="T15" s="26"/>
      <c r="U15" s="28">
        <f t="shared" si="2"/>
        <v>1.0863303498779495</v>
      </c>
    </row>
    <row r="16" spans="1:21" ht="16.5" thickBot="1" x14ac:dyDescent="0.3">
      <c r="B16" s="12"/>
      <c r="C16" s="19">
        <v>2870.1015625</v>
      </c>
      <c r="D16" s="20">
        <v>26.567</v>
      </c>
      <c r="E16" s="20">
        <v>36.459000000000003</v>
      </c>
      <c r="F16" s="20">
        <v>37.225999999999999</v>
      </c>
      <c r="G16" s="20">
        <v>12.65</v>
      </c>
      <c r="H16" s="20">
        <f t="shared" si="0"/>
        <v>29.135874999999999</v>
      </c>
      <c r="I16" s="5"/>
      <c r="J16" s="19">
        <v>1118.8271999999999</v>
      </c>
      <c r="K16" s="20">
        <v>23.9071</v>
      </c>
      <c r="L16" s="20">
        <v>36.535699999999999</v>
      </c>
      <c r="M16" s="20">
        <v>37.784100000000002</v>
      </c>
      <c r="N16" s="20">
        <v>32.265000000000001</v>
      </c>
      <c r="O16" s="20">
        <f t="shared" si="1"/>
        <v>27.220299999999998</v>
      </c>
      <c r="P16" s="7"/>
      <c r="Q16" s="13"/>
      <c r="R16" s="14"/>
      <c r="S16" s="14"/>
      <c r="T16" s="27"/>
      <c r="U16" s="28">
        <f t="shared" si="2"/>
        <v>1.5505928853754942</v>
      </c>
    </row>
    <row r="17" spans="1:21" x14ac:dyDescent="0.25">
      <c r="A17" s="6" t="s">
        <v>37</v>
      </c>
      <c r="B17" s="6" t="s">
        <v>48</v>
      </c>
      <c r="C17" s="15">
        <v>2016.111328125</v>
      </c>
      <c r="D17" s="16">
        <v>36.972999999999999</v>
      </c>
      <c r="E17" s="16">
        <v>40.981999999999999</v>
      </c>
      <c r="F17" s="16">
        <v>42.165999999999997</v>
      </c>
      <c r="G17" s="16">
        <v>24.02</v>
      </c>
      <c r="H17" s="16">
        <f t="shared" si="0"/>
        <v>38.123249999999999</v>
      </c>
      <c r="I17" s="5"/>
      <c r="J17" s="15">
        <v>2384.3751999999999</v>
      </c>
      <c r="K17" s="16">
        <v>38.934699999999999</v>
      </c>
      <c r="L17" s="16">
        <v>41.839399999999998</v>
      </c>
      <c r="M17" s="16">
        <v>43.183300000000003</v>
      </c>
      <c r="N17" s="16">
        <v>44.717700000000001</v>
      </c>
      <c r="O17" s="16">
        <f t="shared" si="1"/>
        <v>39.8288625</v>
      </c>
      <c r="P17" s="7"/>
      <c r="Q17" s="8">
        <f>bdrate(C17:C20,D17:D20,J17:J20,K17:K20)</f>
        <v>-0.41557816613842269</v>
      </c>
      <c r="R17" s="8">
        <f>bdrate(C17:C20,E17:E20,J17:J20,L17:L20)</f>
        <v>-0.36891835321409172</v>
      </c>
      <c r="S17" s="8">
        <f>bdrate(C17:C20,F17:F20,J17:J20,M17:M20)</f>
        <v>-0.37482117017692484</v>
      </c>
      <c r="T17" s="25">
        <f>bdrate(C17:C20,H17:H20,J17:J20,O17:O20)</f>
        <v>-0.40998746590951307</v>
      </c>
      <c r="U17" s="28">
        <f t="shared" si="2"/>
        <v>0.86168609492089931</v>
      </c>
    </row>
    <row r="18" spans="1:21" x14ac:dyDescent="0.25">
      <c r="A18" s="9" t="s">
        <v>38</v>
      </c>
      <c r="B18" s="9"/>
      <c r="C18" s="17">
        <v>1416.314453125</v>
      </c>
      <c r="D18" s="18">
        <v>35.607999999999997</v>
      </c>
      <c r="E18" s="18">
        <v>40.335000000000001</v>
      </c>
      <c r="F18" s="18">
        <v>41.488</v>
      </c>
      <c r="G18" s="18">
        <v>26.23</v>
      </c>
      <c r="H18" s="18">
        <f t="shared" si="0"/>
        <v>36.933875</v>
      </c>
      <c r="I18" s="5"/>
      <c r="J18" s="17">
        <v>1572.2072000000001</v>
      </c>
      <c r="K18" s="18">
        <v>37.688699999999997</v>
      </c>
      <c r="L18" s="18">
        <v>41.1691</v>
      </c>
      <c r="M18" s="18">
        <v>42.4039</v>
      </c>
      <c r="N18" s="18">
        <v>50.611600000000003</v>
      </c>
      <c r="O18" s="18">
        <f t="shared" si="1"/>
        <v>38.713149999999999</v>
      </c>
      <c r="P18" s="7"/>
      <c r="Q18" s="10"/>
      <c r="R18" s="11"/>
      <c r="S18" s="11"/>
      <c r="T18" s="26"/>
      <c r="U18" s="28">
        <f t="shared" si="2"/>
        <v>0.9295310712924133</v>
      </c>
    </row>
    <row r="19" spans="1:21" x14ac:dyDescent="0.25">
      <c r="B19" s="9"/>
      <c r="C19" s="17">
        <v>958.91015625</v>
      </c>
      <c r="D19" s="18">
        <v>33.926000000000002</v>
      </c>
      <c r="E19" s="18">
        <v>39.448999999999998</v>
      </c>
      <c r="F19" s="18">
        <v>40.609000000000002</v>
      </c>
      <c r="G19" s="18">
        <v>28.5</v>
      </c>
      <c r="H19" s="18">
        <f t="shared" si="0"/>
        <v>35.451749999999997</v>
      </c>
      <c r="I19" s="5"/>
      <c r="J19" s="17">
        <v>957.84479999999996</v>
      </c>
      <c r="K19" s="18">
        <v>36.078499999999998</v>
      </c>
      <c r="L19" s="18">
        <v>40.400500000000001</v>
      </c>
      <c r="M19" s="18">
        <v>41.571899999999999</v>
      </c>
      <c r="N19" s="18">
        <v>58.939100000000003</v>
      </c>
      <c r="O19" s="18">
        <f t="shared" si="1"/>
        <v>37.305425</v>
      </c>
      <c r="P19" s="7"/>
      <c r="Q19" s="10"/>
      <c r="R19" s="11"/>
      <c r="S19" s="11"/>
      <c r="T19" s="26"/>
      <c r="U19" s="28">
        <f t="shared" si="2"/>
        <v>1.0680385964912282</v>
      </c>
    </row>
    <row r="20" spans="1:21" ht="16.5" thickBot="1" x14ac:dyDescent="0.3">
      <c r="B20" s="12"/>
      <c r="C20" s="19">
        <v>591.73046875</v>
      </c>
      <c r="D20" s="20">
        <v>31.788</v>
      </c>
      <c r="E20" s="20">
        <v>38.286000000000001</v>
      </c>
      <c r="F20" s="20">
        <v>39.418999999999997</v>
      </c>
      <c r="G20" s="20">
        <v>31.68</v>
      </c>
      <c r="H20" s="20">
        <f t="shared" si="0"/>
        <v>33.554124999999999</v>
      </c>
      <c r="I20" s="5"/>
      <c r="J20" s="19">
        <v>553.07280000000003</v>
      </c>
      <c r="K20" s="20">
        <v>34.211599999999997</v>
      </c>
      <c r="L20" s="20">
        <v>39.609200000000001</v>
      </c>
      <c r="M20" s="20">
        <v>40.835099999999997</v>
      </c>
      <c r="N20" s="20">
        <v>69.930099999999996</v>
      </c>
      <c r="O20" s="20">
        <f t="shared" si="1"/>
        <v>35.714237499999996</v>
      </c>
      <c r="P20" s="7"/>
      <c r="Q20" s="13"/>
      <c r="R20" s="14"/>
      <c r="S20" s="14"/>
      <c r="T20" s="27"/>
      <c r="U20" s="28">
        <f t="shared" si="2"/>
        <v>1.2073895202020202</v>
      </c>
    </row>
    <row r="21" spans="1:21" x14ac:dyDescent="0.25">
      <c r="B21" s="6" t="s">
        <v>49</v>
      </c>
      <c r="C21" s="15">
        <v>2483.6513671875</v>
      </c>
      <c r="D21" s="16">
        <v>34.587000000000003</v>
      </c>
      <c r="E21" s="16">
        <v>38.743000000000002</v>
      </c>
      <c r="F21" s="16">
        <v>39.991</v>
      </c>
      <c r="G21" s="16">
        <v>24.2</v>
      </c>
      <c r="H21" s="16">
        <f t="shared" si="0"/>
        <v>35.782000000000004</v>
      </c>
      <c r="I21" s="5"/>
      <c r="J21" s="15">
        <v>2442.2055999999998</v>
      </c>
      <c r="K21" s="16">
        <v>35.755499999999998</v>
      </c>
      <c r="L21" s="16">
        <v>39.794400000000003</v>
      </c>
      <c r="M21" s="16">
        <v>41.020600000000002</v>
      </c>
      <c r="N21" s="16">
        <v>39.754800000000003</v>
      </c>
      <c r="O21" s="16">
        <f t="shared" si="1"/>
        <v>36.918499999999995</v>
      </c>
      <c r="P21" s="7"/>
      <c r="Q21" s="8">
        <f>bdrate(C21:C24,D21:D24,J21:J24,K21:K24)</f>
        <v>-0.29550156213734557</v>
      </c>
      <c r="R21" s="8">
        <f>bdrate(C21:C24,E21:E24,J21:J24,L21:L24)</f>
        <v>-0.45248200884930878</v>
      </c>
      <c r="S21" s="8">
        <f>bdrate(C21:C24,F21:F24,J21:J24,M21:M24)</f>
        <v>-0.44713366017805967</v>
      </c>
      <c r="T21" s="25">
        <f>bdrate(C21:C24,H21:H24,J21:J24,O21:O24)</f>
        <v>-0.32336100743265439</v>
      </c>
      <c r="U21" s="28">
        <f t="shared" si="2"/>
        <v>0.64276033057851256</v>
      </c>
    </row>
    <row r="22" spans="1:21" x14ac:dyDescent="0.25">
      <c r="B22" s="9"/>
      <c r="C22" s="17">
        <v>1678.5498046875</v>
      </c>
      <c r="D22" s="18">
        <v>33.509</v>
      </c>
      <c r="E22" s="18">
        <v>38.015999999999998</v>
      </c>
      <c r="F22" s="18">
        <v>39.377000000000002</v>
      </c>
      <c r="G22" s="18">
        <v>25.38</v>
      </c>
      <c r="H22" s="18">
        <f t="shared" si="0"/>
        <v>34.805875</v>
      </c>
      <c r="I22" s="5"/>
      <c r="J22" s="17">
        <v>1627.0663999999999</v>
      </c>
      <c r="K22" s="18">
        <v>34.506</v>
      </c>
      <c r="L22" s="18">
        <v>39.053699999999999</v>
      </c>
      <c r="M22" s="18">
        <v>40.289499999999997</v>
      </c>
      <c r="N22" s="18">
        <v>47.188400000000001</v>
      </c>
      <c r="O22" s="18">
        <f t="shared" si="1"/>
        <v>35.797399999999996</v>
      </c>
      <c r="P22" s="7"/>
      <c r="Q22" s="10"/>
      <c r="R22" s="11"/>
      <c r="S22" s="11"/>
      <c r="T22" s="26"/>
      <c r="U22" s="28">
        <f t="shared" si="2"/>
        <v>0.85927501970055176</v>
      </c>
    </row>
    <row r="23" spans="1:21" x14ac:dyDescent="0.25">
      <c r="B23" s="9"/>
      <c r="C23" s="17">
        <v>1042.265625</v>
      </c>
      <c r="D23" s="18">
        <v>32.146000000000001</v>
      </c>
      <c r="E23" s="18">
        <v>37.091000000000001</v>
      </c>
      <c r="F23" s="18">
        <v>38.646000000000001</v>
      </c>
      <c r="G23" s="18">
        <v>27.19</v>
      </c>
      <c r="H23" s="18">
        <f t="shared" si="0"/>
        <v>33.576625</v>
      </c>
      <c r="I23" s="5"/>
      <c r="J23" s="17">
        <v>1004.6496</v>
      </c>
      <c r="K23" s="18">
        <v>33.026400000000002</v>
      </c>
      <c r="L23" s="18">
        <v>38.153399999999998</v>
      </c>
      <c r="M23" s="18">
        <v>39.466999999999999</v>
      </c>
      <c r="N23" s="18">
        <v>56.3645</v>
      </c>
      <c r="O23" s="18">
        <f t="shared" si="1"/>
        <v>34.472350000000006</v>
      </c>
      <c r="P23" s="7"/>
      <c r="Q23" s="10"/>
      <c r="R23" s="11"/>
      <c r="S23" s="11"/>
      <c r="T23" s="26"/>
      <c r="U23" s="28">
        <f t="shared" si="2"/>
        <v>1.0729863920559028</v>
      </c>
    </row>
    <row r="24" spans="1:21" ht="16.5" thickBot="1" x14ac:dyDescent="0.3">
      <c r="B24" s="12"/>
      <c r="C24" s="19">
        <v>625.6708984375</v>
      </c>
      <c r="D24" s="20">
        <v>30.579000000000001</v>
      </c>
      <c r="E24" s="20">
        <v>36.159999999999997</v>
      </c>
      <c r="F24" s="20">
        <v>37.936</v>
      </c>
      <c r="G24" s="20">
        <v>29.75</v>
      </c>
      <c r="H24" s="20">
        <f t="shared" si="0"/>
        <v>32.196249999999999</v>
      </c>
      <c r="I24" s="5"/>
      <c r="J24" s="19">
        <v>589.84879999999998</v>
      </c>
      <c r="K24" s="20">
        <v>31.448899999999998</v>
      </c>
      <c r="L24" s="20">
        <v>37.250700000000002</v>
      </c>
      <c r="M24" s="20">
        <v>38.777999999999999</v>
      </c>
      <c r="N24" s="20">
        <v>67.170400000000001</v>
      </c>
      <c r="O24" s="20">
        <f t="shared" si="1"/>
        <v>33.090262500000001</v>
      </c>
      <c r="P24" s="7"/>
      <c r="Q24" s="13"/>
      <c r="R24" s="14"/>
      <c r="S24" s="14"/>
      <c r="T24" s="27"/>
      <c r="U24" s="28">
        <f t="shared" si="2"/>
        <v>1.2578285714285715</v>
      </c>
    </row>
    <row r="25" spans="1:21" x14ac:dyDescent="0.25">
      <c r="B25" s="6" t="s">
        <v>50</v>
      </c>
      <c r="C25" s="15">
        <v>2443.83203125</v>
      </c>
      <c r="D25" s="16">
        <v>32.697000000000003</v>
      </c>
      <c r="E25" s="16">
        <v>37.456000000000003</v>
      </c>
      <c r="F25" s="16">
        <v>38.76</v>
      </c>
      <c r="G25" s="16">
        <v>30.99</v>
      </c>
      <c r="H25" s="16">
        <f t="shared" si="0"/>
        <v>34.049750000000003</v>
      </c>
      <c r="I25" s="5"/>
      <c r="J25" s="15">
        <v>2413.8663999999999</v>
      </c>
      <c r="K25" s="16">
        <v>33.851500000000001</v>
      </c>
      <c r="L25" s="16">
        <v>38.039200000000001</v>
      </c>
      <c r="M25" s="16">
        <v>40.011600000000001</v>
      </c>
      <c r="N25" s="16">
        <v>44.1462</v>
      </c>
      <c r="O25" s="16">
        <f t="shared" si="1"/>
        <v>35.144975000000002</v>
      </c>
      <c r="P25" s="7"/>
      <c r="Q25" s="8">
        <f>bdrate(C25:C28,D25:D28,J25:J28,K25:K28)</f>
        <v>-0.33306632065790831</v>
      </c>
      <c r="R25" s="8">
        <f>bdrate(C25:C28,E25:E28,J25:J28,L25:L28)</f>
        <v>-0.49435246662041576</v>
      </c>
      <c r="S25" s="8">
        <f>bdrate(C25:C28,F25:F28,J25:J28,M25:M28)</f>
        <v>-0.51496179857126378</v>
      </c>
      <c r="T25" s="25">
        <f>bdrate(C25:C28,H25:H28,J25:J28,O25:O28)</f>
        <v>-0.36689611103473185</v>
      </c>
      <c r="U25" s="28">
        <f t="shared" si="2"/>
        <v>0.42453049370764773</v>
      </c>
    </row>
    <row r="26" spans="1:21" x14ac:dyDescent="0.25">
      <c r="B26" s="9"/>
      <c r="C26" s="17">
        <v>1638.05859375</v>
      </c>
      <c r="D26" s="18">
        <v>31.349</v>
      </c>
      <c r="E26" s="18">
        <v>36.707000000000001</v>
      </c>
      <c r="F26" s="18">
        <v>37.566000000000003</v>
      </c>
      <c r="G26" s="18">
        <v>33.14</v>
      </c>
      <c r="H26" s="18">
        <f t="shared" si="0"/>
        <v>32.795874999999995</v>
      </c>
      <c r="I26" s="5"/>
      <c r="J26" s="17">
        <v>1605.452</v>
      </c>
      <c r="K26" s="18">
        <v>32.619300000000003</v>
      </c>
      <c r="L26" s="18">
        <v>37.616</v>
      </c>
      <c r="M26" s="18">
        <v>39.184800000000003</v>
      </c>
      <c r="N26" s="18">
        <v>52.203000000000003</v>
      </c>
      <c r="O26" s="18">
        <f t="shared" si="1"/>
        <v>34.064574999999998</v>
      </c>
      <c r="P26" s="7"/>
      <c r="Q26" s="10"/>
      <c r="R26" s="11"/>
      <c r="S26" s="11"/>
      <c r="T26" s="26"/>
      <c r="U26" s="28">
        <f t="shared" si="2"/>
        <v>0.57522631261315638</v>
      </c>
    </row>
    <row r="27" spans="1:21" x14ac:dyDescent="0.25">
      <c r="B27" s="9"/>
      <c r="C27" s="17">
        <v>1050.5712890625</v>
      </c>
      <c r="D27" s="18">
        <v>29.584</v>
      </c>
      <c r="E27" s="18">
        <v>35.676000000000002</v>
      </c>
      <c r="F27" s="18">
        <v>36.015000000000001</v>
      </c>
      <c r="G27" s="18">
        <v>37.450000000000003</v>
      </c>
      <c r="H27" s="18">
        <f t="shared" si="0"/>
        <v>31.149374999999999</v>
      </c>
      <c r="I27" s="5"/>
      <c r="J27" s="17">
        <v>1002.1888</v>
      </c>
      <c r="K27" s="18">
        <v>30.943300000000001</v>
      </c>
      <c r="L27" s="18">
        <v>37.008899999999997</v>
      </c>
      <c r="M27" s="18">
        <v>38.153700000000001</v>
      </c>
      <c r="N27" s="18">
        <v>77.041600000000003</v>
      </c>
      <c r="O27" s="18">
        <f t="shared" si="1"/>
        <v>32.602800000000002</v>
      </c>
      <c r="P27" s="7"/>
      <c r="Q27" s="10"/>
      <c r="R27" s="11"/>
      <c r="S27" s="11"/>
      <c r="T27" s="26"/>
      <c r="U27" s="28">
        <f t="shared" si="2"/>
        <v>1.0571855807743658</v>
      </c>
    </row>
    <row r="28" spans="1:21" ht="16.5" thickBot="1" x14ac:dyDescent="0.3">
      <c r="B28" s="12"/>
      <c r="C28" s="19">
        <v>822.51171875</v>
      </c>
      <c r="D28" s="20">
        <v>28.585999999999999</v>
      </c>
      <c r="E28" s="20">
        <v>34.831000000000003</v>
      </c>
      <c r="F28" s="20">
        <v>34.781999999999996</v>
      </c>
      <c r="G28" s="20">
        <v>36.380000000000003</v>
      </c>
      <c r="H28" s="20">
        <f t="shared" si="0"/>
        <v>30.141124999999995</v>
      </c>
      <c r="I28" s="5"/>
      <c r="J28" s="19">
        <v>594.74159999999995</v>
      </c>
      <c r="K28" s="20">
        <v>29.209499999999998</v>
      </c>
      <c r="L28" s="20">
        <v>36.359000000000002</v>
      </c>
      <c r="M28" s="20">
        <v>37.085299999999997</v>
      </c>
      <c r="N28" s="20">
        <v>90.285300000000007</v>
      </c>
      <c r="O28" s="20">
        <f t="shared" si="1"/>
        <v>31.0876625</v>
      </c>
      <c r="P28" s="7"/>
      <c r="Q28" s="13"/>
      <c r="R28" s="14"/>
      <c r="S28" s="14"/>
      <c r="T28" s="27"/>
      <c r="U28" s="28">
        <f t="shared" si="2"/>
        <v>1.4817289719626168</v>
      </c>
    </row>
    <row r="29" spans="1:21" x14ac:dyDescent="0.25">
      <c r="B29" s="6" t="s">
        <v>51</v>
      </c>
      <c r="C29" s="29">
        <v>2254.8193359375</v>
      </c>
      <c r="D29" s="30">
        <v>31.608000000000001</v>
      </c>
      <c r="E29" s="30">
        <v>38.442</v>
      </c>
      <c r="F29" s="30">
        <v>37.198999999999998</v>
      </c>
      <c r="G29" s="16">
        <v>29.63</v>
      </c>
      <c r="H29" s="16">
        <f t="shared" si="0"/>
        <v>33.161124999999998</v>
      </c>
      <c r="I29" s="5"/>
      <c r="J29" s="29">
        <v>2417.9704000000002</v>
      </c>
      <c r="K29" s="30">
        <v>33.807200000000002</v>
      </c>
      <c r="L29" s="30">
        <v>40.178199999999997</v>
      </c>
      <c r="M29" s="30">
        <v>39.767200000000003</v>
      </c>
      <c r="N29" s="16">
        <v>45.917900000000003</v>
      </c>
      <c r="O29" s="16">
        <f t="shared" si="1"/>
        <v>35.348575000000004</v>
      </c>
      <c r="P29" s="7"/>
      <c r="Q29" s="8">
        <f>bdrate(C29:C32,D29:D32,J29:J32,K29:K32)</f>
        <v>-0.45631350599948639</v>
      </c>
      <c r="R29" s="8">
        <f>bdrate(C29:C32,E29:E32,J29:J32,L29:L32)</f>
        <v>-0.57365672870220363</v>
      </c>
      <c r="S29" s="8">
        <f>bdrate(C29:C32,F29:F32,J29:J32,M29:M32)</f>
        <v>-0.62985347202973019</v>
      </c>
      <c r="T29" s="25">
        <f>bdrate(C29:C32,H29:H32,J29:J32,O29:O32)</f>
        <v>-0.49260235441870759</v>
      </c>
      <c r="U29" s="28">
        <f t="shared" si="2"/>
        <v>0.54970975362807983</v>
      </c>
    </row>
    <row r="30" spans="1:21" x14ac:dyDescent="0.25">
      <c r="B30" s="9"/>
      <c r="C30" s="31">
        <v>1648.83984375</v>
      </c>
      <c r="D30" s="32">
        <v>30.27</v>
      </c>
      <c r="E30" s="32">
        <v>37.439</v>
      </c>
      <c r="F30" s="32">
        <v>35.948999999999998</v>
      </c>
      <c r="G30" s="18">
        <v>32.119999999999997</v>
      </c>
      <c r="H30" s="18">
        <f t="shared" si="0"/>
        <v>31.875999999999998</v>
      </c>
      <c r="I30" s="5"/>
      <c r="J30" s="31">
        <v>1606.1704</v>
      </c>
      <c r="K30" s="32">
        <v>32.407600000000002</v>
      </c>
      <c r="L30" s="32">
        <v>39.404200000000003</v>
      </c>
      <c r="M30" s="32">
        <v>38.795499999999997</v>
      </c>
      <c r="N30" s="18">
        <v>56.427</v>
      </c>
      <c r="O30" s="18">
        <f t="shared" si="1"/>
        <v>34.080662500000003</v>
      </c>
      <c r="P30" s="7"/>
      <c r="Q30" s="10"/>
      <c r="R30" s="11"/>
      <c r="S30" s="11"/>
      <c r="T30" s="26"/>
      <c r="U30" s="28">
        <f t="shared" si="2"/>
        <v>0.75675591531755926</v>
      </c>
    </row>
    <row r="31" spans="1:21" x14ac:dyDescent="0.25">
      <c r="B31" s="9"/>
      <c r="C31" s="31">
        <v>1261.32421875</v>
      </c>
      <c r="D31" s="32">
        <v>29.193000000000001</v>
      </c>
      <c r="E31" s="32">
        <v>36.334000000000003</v>
      </c>
      <c r="F31" s="32">
        <v>34.857999999999997</v>
      </c>
      <c r="G31" s="18">
        <v>33.4</v>
      </c>
      <c r="H31" s="18">
        <f t="shared" si="0"/>
        <v>30.793750000000003</v>
      </c>
      <c r="I31" s="5"/>
      <c r="J31" s="31">
        <v>1003.948</v>
      </c>
      <c r="K31" s="32">
        <v>30.6783</v>
      </c>
      <c r="L31" s="32">
        <v>38.436700000000002</v>
      </c>
      <c r="M31" s="32">
        <v>37.601500000000001</v>
      </c>
      <c r="N31" s="18">
        <v>67.476399999999998</v>
      </c>
      <c r="O31" s="18">
        <f t="shared" si="1"/>
        <v>32.513500000000001</v>
      </c>
      <c r="P31" s="7"/>
      <c r="Q31" s="10"/>
      <c r="R31" s="11"/>
      <c r="S31" s="11"/>
      <c r="T31" s="26"/>
      <c r="U31" s="28">
        <f t="shared" si="2"/>
        <v>1.0202514970059882</v>
      </c>
    </row>
    <row r="32" spans="1:21" ht="16.5" thickBot="1" x14ac:dyDescent="0.3">
      <c r="B32" s="12"/>
      <c r="C32" s="33">
        <v>1137.3134765625</v>
      </c>
      <c r="D32" s="34">
        <v>28.753</v>
      </c>
      <c r="E32" s="34">
        <v>35.685000000000002</v>
      </c>
      <c r="F32" s="34">
        <v>34.293999999999997</v>
      </c>
      <c r="G32" s="20">
        <v>32.520000000000003</v>
      </c>
      <c r="H32" s="20">
        <f t="shared" si="0"/>
        <v>30.312125000000002</v>
      </c>
      <c r="I32" s="5"/>
      <c r="J32" s="33">
        <v>587.44159999999999</v>
      </c>
      <c r="K32" s="34">
        <v>28.7532</v>
      </c>
      <c r="L32" s="34">
        <v>36.878999999999998</v>
      </c>
      <c r="M32" s="34">
        <v>35.924999999999997</v>
      </c>
      <c r="N32" s="20">
        <v>80.528300000000002</v>
      </c>
      <c r="O32" s="20">
        <f t="shared" si="1"/>
        <v>30.665399999999998</v>
      </c>
      <c r="P32" s="7"/>
      <c r="Q32" s="13"/>
      <c r="R32" s="14"/>
      <c r="S32" s="14"/>
      <c r="T32" s="27"/>
      <c r="U32" s="28">
        <f t="shared" si="2"/>
        <v>1.4762699876998768</v>
      </c>
    </row>
    <row r="33" spans="1:21" x14ac:dyDescent="0.25">
      <c r="B33" s="6" t="s">
        <v>52</v>
      </c>
      <c r="C33" s="15">
        <v>2493.087890625</v>
      </c>
      <c r="D33" s="16">
        <v>31.408999999999999</v>
      </c>
      <c r="E33" s="16">
        <v>38.481000000000002</v>
      </c>
      <c r="F33" s="16">
        <v>41.033000000000001</v>
      </c>
      <c r="G33" s="16">
        <v>29.02</v>
      </c>
      <c r="H33" s="16">
        <f t="shared" si="0"/>
        <v>33.496000000000002</v>
      </c>
      <c r="I33" s="5"/>
      <c r="J33" s="15">
        <v>2425.8512000000001</v>
      </c>
      <c r="K33" s="16">
        <v>33.371499999999997</v>
      </c>
      <c r="L33" s="16">
        <v>39.704900000000002</v>
      </c>
      <c r="M33" s="16">
        <v>42.198099999999997</v>
      </c>
      <c r="N33" s="16">
        <v>60.096200000000003</v>
      </c>
      <c r="O33" s="16">
        <f t="shared" si="1"/>
        <v>35.266500000000001</v>
      </c>
      <c r="P33" s="7"/>
      <c r="Q33" s="8">
        <f>bdrate(C33:C36,D33:D36,J33:J36,K33:K36)</f>
        <v>-0.6001600111553278</v>
      </c>
      <c r="R33" s="8">
        <f>bdrate(C33:C36,E33:E36,J33:J36,L33:L36)</f>
        <v>-0.65185297351266036</v>
      </c>
      <c r="S33" s="8">
        <f>bdrate(C33:C36,F33:F36,J33:J36,M33:M36)</f>
        <v>-0.64405535859392438</v>
      </c>
      <c r="T33" s="25">
        <f>bdrate(C33:C36,H33:H36,J33:J36,O33:O36)</f>
        <v>-0.60827500099805432</v>
      </c>
      <c r="U33" s="28">
        <f t="shared" si="2"/>
        <v>1.0708545830461751</v>
      </c>
    </row>
    <row r="34" spans="1:21" x14ac:dyDescent="0.25">
      <c r="B34" s="9"/>
      <c r="C34" s="17">
        <v>1664.498046875</v>
      </c>
      <c r="D34" s="18">
        <v>30.427</v>
      </c>
      <c r="E34" s="18">
        <v>37.857999999999997</v>
      </c>
      <c r="F34" s="18">
        <v>40.374000000000002</v>
      </c>
      <c r="G34" s="18">
        <v>31.1</v>
      </c>
      <c r="H34" s="18">
        <f t="shared" si="0"/>
        <v>32.599250000000005</v>
      </c>
      <c r="I34" s="5"/>
      <c r="J34" s="17">
        <v>1633.704</v>
      </c>
      <c r="K34" s="18">
        <v>32.6935</v>
      </c>
      <c r="L34" s="18">
        <v>39.261400000000002</v>
      </c>
      <c r="M34" s="18">
        <v>41.798400000000001</v>
      </c>
      <c r="N34" s="18">
        <v>68.197299999999998</v>
      </c>
      <c r="O34" s="18">
        <f t="shared" si="1"/>
        <v>34.6526</v>
      </c>
      <c r="P34" s="7"/>
      <c r="Q34" s="10"/>
      <c r="R34" s="11"/>
      <c r="S34" s="11"/>
      <c r="T34" s="26"/>
      <c r="U34" s="28">
        <f t="shared" si="2"/>
        <v>1.1928392282958198</v>
      </c>
    </row>
    <row r="35" spans="1:21" x14ac:dyDescent="0.25">
      <c r="B35" s="9"/>
      <c r="C35" s="17">
        <v>1050.4501953125</v>
      </c>
      <c r="D35" s="18">
        <v>28.981999999999999</v>
      </c>
      <c r="E35" s="18">
        <v>37.04</v>
      </c>
      <c r="F35" s="18">
        <v>39.33</v>
      </c>
      <c r="G35" s="18">
        <v>34.03</v>
      </c>
      <c r="H35" s="18">
        <f t="shared" si="0"/>
        <v>31.28275</v>
      </c>
      <c r="I35" s="5"/>
      <c r="J35" s="17">
        <v>1027.8696</v>
      </c>
      <c r="K35" s="18">
        <v>31.575900000000001</v>
      </c>
      <c r="L35" s="18">
        <v>38.597700000000003</v>
      </c>
      <c r="M35" s="18">
        <v>41.100700000000003</v>
      </c>
      <c r="N35" s="18">
        <v>78.175899999999999</v>
      </c>
      <c r="O35" s="18">
        <f t="shared" si="1"/>
        <v>33.644224999999999</v>
      </c>
      <c r="P35" s="7"/>
      <c r="Q35" s="10"/>
      <c r="R35" s="11"/>
      <c r="S35" s="11"/>
      <c r="T35" s="26"/>
      <c r="U35" s="28">
        <f t="shared" si="2"/>
        <v>1.2972641786658829</v>
      </c>
    </row>
    <row r="36" spans="1:21" ht="16.5" thickBot="1" x14ac:dyDescent="0.3">
      <c r="B36" s="12"/>
      <c r="C36" s="19">
        <v>749.2080078125</v>
      </c>
      <c r="D36" s="20">
        <v>27.54</v>
      </c>
      <c r="E36" s="20">
        <v>36.212000000000003</v>
      </c>
      <c r="F36" s="20">
        <v>38.137999999999998</v>
      </c>
      <c r="G36" s="20">
        <v>35.729999999999997</v>
      </c>
      <c r="H36" s="20">
        <f t="shared" si="0"/>
        <v>29.94875</v>
      </c>
      <c r="I36" s="5"/>
      <c r="J36" s="19">
        <v>600.87519999999995</v>
      </c>
      <c r="K36" s="20">
        <v>30.0822</v>
      </c>
      <c r="L36" s="20">
        <v>38.056600000000003</v>
      </c>
      <c r="M36" s="20">
        <v>40.609400000000001</v>
      </c>
      <c r="N36" s="20">
        <v>88.417299999999997</v>
      </c>
      <c r="O36" s="20">
        <f t="shared" si="1"/>
        <v>32.3949</v>
      </c>
      <c r="P36" s="7"/>
      <c r="Q36" s="13"/>
      <c r="R36" s="14"/>
      <c r="S36" s="14"/>
      <c r="T36" s="27"/>
      <c r="U36" s="28">
        <f t="shared" si="2"/>
        <v>1.4745955779457041</v>
      </c>
    </row>
    <row r="37" spans="1:21" x14ac:dyDescent="0.25">
      <c r="A37" s="6" t="s">
        <v>39</v>
      </c>
      <c r="B37" s="6" t="s">
        <v>53</v>
      </c>
      <c r="C37" s="15">
        <v>1241.1337890625</v>
      </c>
      <c r="D37" s="16">
        <v>33.451000000000001</v>
      </c>
      <c r="E37" s="16">
        <v>37.723999999999997</v>
      </c>
      <c r="F37" s="16">
        <v>37.186</v>
      </c>
      <c r="G37" s="16">
        <v>136.47999999999999</v>
      </c>
      <c r="H37" s="16">
        <f t="shared" si="0"/>
        <v>34.451999999999998</v>
      </c>
      <c r="I37" s="5"/>
      <c r="J37" s="15">
        <v>1215.3232</v>
      </c>
      <c r="K37" s="16">
        <v>34.709000000000003</v>
      </c>
      <c r="L37" s="16">
        <v>38.818199999999997</v>
      </c>
      <c r="M37" s="16">
        <v>38.591700000000003</v>
      </c>
      <c r="N37" s="16">
        <v>180.0504</v>
      </c>
      <c r="O37" s="16">
        <f t="shared" si="1"/>
        <v>35.707987500000002</v>
      </c>
      <c r="P37" s="7"/>
      <c r="Q37" s="8">
        <f>bdrate(C37:C40,D37:D40,J37:J40,K37:K40)</f>
        <v>-0.27709746871737584</v>
      </c>
      <c r="R37" s="8">
        <f>bdrate(C37:C40,E37:E40,J37:J40,L37:L40)</f>
        <v>-0.38072131751799587</v>
      </c>
      <c r="S37" s="8">
        <f>bdrate(C37:C40,F37:F40,J37:J40,M37:M40)</f>
        <v>-0.41679884245236598</v>
      </c>
      <c r="T37" s="25">
        <f>bdrate(C37:C40,H37:H40,J37:J40,O37:O40)</f>
        <v>-0.30648728227160205</v>
      </c>
      <c r="U37" s="28">
        <f t="shared" si="2"/>
        <v>0.31924384525205163</v>
      </c>
    </row>
    <row r="38" spans="1:21" x14ac:dyDescent="0.25">
      <c r="A38" s="9" t="s">
        <v>40</v>
      </c>
      <c r="B38" s="9"/>
      <c r="C38" s="17">
        <v>835.7138671875</v>
      </c>
      <c r="D38" s="18">
        <v>32.061</v>
      </c>
      <c r="E38" s="18">
        <v>36.558</v>
      </c>
      <c r="F38" s="18">
        <v>35.883000000000003</v>
      </c>
      <c r="G38" s="18">
        <v>149.47</v>
      </c>
      <c r="H38" s="18">
        <f t="shared" si="0"/>
        <v>33.100874999999995</v>
      </c>
      <c r="I38" s="5"/>
      <c r="J38" s="17">
        <v>811.05039999999997</v>
      </c>
      <c r="K38" s="18">
        <v>33.194000000000003</v>
      </c>
      <c r="L38" s="18">
        <v>37.692599999999999</v>
      </c>
      <c r="M38" s="18">
        <v>37.335299999999997</v>
      </c>
      <c r="N38" s="18">
        <v>212.22409999999999</v>
      </c>
      <c r="O38" s="18">
        <f t="shared" si="1"/>
        <v>34.273987500000004</v>
      </c>
      <c r="P38" s="7"/>
      <c r="Q38" s="10"/>
      <c r="R38" s="11"/>
      <c r="S38" s="11"/>
      <c r="T38" s="26"/>
      <c r="U38" s="28">
        <f t="shared" si="2"/>
        <v>0.41984411587609549</v>
      </c>
    </row>
    <row r="39" spans="1:21" x14ac:dyDescent="0.25">
      <c r="B39" s="9"/>
      <c r="C39" s="17">
        <v>522.380859375</v>
      </c>
      <c r="D39" s="18">
        <v>30.417999999999999</v>
      </c>
      <c r="E39" s="18">
        <v>35.171999999999997</v>
      </c>
      <c r="F39" s="18">
        <v>34.308999999999997</v>
      </c>
      <c r="G39" s="18">
        <v>167.66</v>
      </c>
      <c r="H39" s="18">
        <f t="shared" si="0"/>
        <v>31.498624999999997</v>
      </c>
      <c r="I39" s="5"/>
      <c r="J39" s="17">
        <v>506.72399999999999</v>
      </c>
      <c r="K39" s="18">
        <v>31.4512</v>
      </c>
      <c r="L39" s="18">
        <v>36.4923</v>
      </c>
      <c r="M39" s="18">
        <v>35.986800000000002</v>
      </c>
      <c r="N39" s="18">
        <v>258.39789999999999</v>
      </c>
      <c r="O39" s="18">
        <f t="shared" si="1"/>
        <v>32.648287500000002</v>
      </c>
      <c r="P39" s="7"/>
      <c r="Q39" s="10"/>
      <c r="R39" s="11"/>
      <c r="S39" s="11"/>
      <c r="T39" s="26"/>
      <c r="U39" s="28">
        <f t="shared" si="2"/>
        <v>0.54120183705117497</v>
      </c>
    </row>
    <row r="40" spans="1:21" ht="16.5" thickBot="1" x14ac:dyDescent="0.3">
      <c r="B40" s="12"/>
      <c r="C40" s="19">
        <v>323.890625</v>
      </c>
      <c r="D40" s="20">
        <v>28.629000000000001</v>
      </c>
      <c r="E40" s="20">
        <v>33.552999999999997</v>
      </c>
      <c r="F40" s="20">
        <v>32.539000000000001</v>
      </c>
      <c r="G40" s="20">
        <v>191.46</v>
      </c>
      <c r="H40" s="20">
        <f t="shared" si="0"/>
        <v>29.733249999999998</v>
      </c>
      <c r="I40" s="5"/>
      <c r="J40" s="19">
        <v>303.536</v>
      </c>
      <c r="K40" s="20">
        <v>29.506599999999999</v>
      </c>
      <c r="L40" s="20">
        <v>35.212600000000002</v>
      </c>
      <c r="M40" s="20">
        <v>34.555</v>
      </c>
      <c r="N40" s="20">
        <v>323.62459999999999</v>
      </c>
      <c r="O40" s="20">
        <f t="shared" si="1"/>
        <v>30.850900000000003</v>
      </c>
      <c r="P40" s="7"/>
      <c r="Q40" s="13"/>
      <c r="R40" s="14"/>
      <c r="S40" s="14"/>
      <c r="T40" s="27"/>
      <c r="U40" s="28">
        <f t="shared" si="2"/>
        <v>0.69029875692050546</v>
      </c>
    </row>
    <row r="41" spans="1:21" x14ac:dyDescent="0.25">
      <c r="B41" s="6" t="s">
        <v>54</v>
      </c>
      <c r="C41" s="15">
        <v>1229.83984375</v>
      </c>
      <c r="D41" s="16">
        <v>32.732999999999997</v>
      </c>
      <c r="E41" s="16">
        <v>38.936</v>
      </c>
      <c r="F41" s="16">
        <v>39.54</v>
      </c>
      <c r="G41" s="16">
        <v>138.4</v>
      </c>
      <c r="H41" s="16">
        <f t="shared" si="0"/>
        <v>34.359249999999996</v>
      </c>
      <c r="I41" s="5"/>
      <c r="J41" s="15">
        <v>1248.9472000000001</v>
      </c>
      <c r="K41" s="16">
        <v>34.917700000000004</v>
      </c>
      <c r="L41" s="16">
        <v>40.3431</v>
      </c>
      <c r="M41" s="16">
        <v>41.1646</v>
      </c>
      <c r="N41" s="16">
        <v>185.816</v>
      </c>
      <c r="O41" s="16">
        <f t="shared" si="1"/>
        <v>36.376737500000004</v>
      </c>
      <c r="P41" s="7"/>
      <c r="Q41" s="8">
        <f>bdrate(C41:C44,D41:D44,J41:J44,K41:K44)</f>
        <v>-0.40147526089375252</v>
      </c>
      <c r="R41" s="8">
        <f>bdrate(C41:C44,E41:E44,J41:J44,L41:L44)</f>
        <v>-0.4966311779176682</v>
      </c>
      <c r="S41" s="8">
        <f>bdrate(C41:C44,F41:F44,J41:J44,M41:M44)</f>
        <v>-0.50549249466441926</v>
      </c>
      <c r="T41" s="25">
        <f>bdrate(C41:C44,H41:H44,J41:J44,O41:O44)</f>
        <v>-0.42228985930312535</v>
      </c>
      <c r="U41" s="28">
        <f t="shared" si="2"/>
        <v>0.34260115606936414</v>
      </c>
    </row>
    <row r="42" spans="1:21" x14ac:dyDescent="0.25">
      <c r="B42" s="9"/>
      <c r="C42" s="17">
        <v>821.720703125</v>
      </c>
      <c r="D42" s="18">
        <v>31.314</v>
      </c>
      <c r="E42" s="18">
        <v>37.890999999999998</v>
      </c>
      <c r="F42" s="18">
        <v>38.375</v>
      </c>
      <c r="G42" s="18">
        <v>149.72999999999999</v>
      </c>
      <c r="H42" s="18">
        <f t="shared" si="0"/>
        <v>33.018749999999997</v>
      </c>
      <c r="I42" s="5"/>
      <c r="J42" s="17">
        <v>830.40719999999999</v>
      </c>
      <c r="K42" s="18">
        <v>33.356099999999998</v>
      </c>
      <c r="L42" s="18">
        <v>39.417200000000001</v>
      </c>
      <c r="M42" s="18">
        <v>40.1434</v>
      </c>
      <c r="N42" s="18">
        <v>217.3126</v>
      </c>
      <c r="O42" s="18">
        <f t="shared" si="1"/>
        <v>34.962150000000001</v>
      </c>
      <c r="P42" s="7"/>
      <c r="Q42" s="10"/>
      <c r="R42" s="11"/>
      <c r="S42" s="11"/>
      <c r="T42" s="26"/>
      <c r="U42" s="28">
        <f t="shared" si="2"/>
        <v>0.45136312028317649</v>
      </c>
    </row>
    <row r="43" spans="1:21" x14ac:dyDescent="0.25">
      <c r="B43" s="9"/>
      <c r="C43" s="17">
        <v>524.2470703125</v>
      </c>
      <c r="D43" s="18">
        <v>29.611000000000001</v>
      </c>
      <c r="E43" s="18">
        <v>36.686</v>
      </c>
      <c r="F43" s="18">
        <v>36.997999999999998</v>
      </c>
      <c r="G43" s="18">
        <v>163.81</v>
      </c>
      <c r="H43" s="18">
        <f t="shared" si="0"/>
        <v>31.418749999999999</v>
      </c>
      <c r="I43" s="5"/>
      <c r="J43" s="17">
        <v>519.33600000000001</v>
      </c>
      <c r="K43" s="18">
        <v>31.5336</v>
      </c>
      <c r="L43" s="18">
        <v>38.413800000000002</v>
      </c>
      <c r="M43" s="18">
        <v>39.006500000000003</v>
      </c>
      <c r="N43" s="18">
        <v>265.25200000000001</v>
      </c>
      <c r="O43" s="18">
        <f t="shared" si="1"/>
        <v>33.327737499999998</v>
      </c>
      <c r="P43" s="7"/>
      <c r="Q43" s="10"/>
      <c r="R43" s="11"/>
      <c r="S43" s="11"/>
      <c r="T43" s="26"/>
      <c r="U43" s="28">
        <f t="shared" si="2"/>
        <v>0.61926622306330503</v>
      </c>
    </row>
    <row r="44" spans="1:21" ht="16.5" thickBot="1" x14ac:dyDescent="0.3">
      <c r="B44" s="12"/>
      <c r="C44" s="19">
        <v>357.025390625</v>
      </c>
      <c r="D44" s="20">
        <v>28.006</v>
      </c>
      <c r="E44" s="20">
        <v>35.609000000000002</v>
      </c>
      <c r="F44" s="20">
        <v>35.787999999999997</v>
      </c>
      <c r="G44" s="20">
        <v>172.44</v>
      </c>
      <c r="H44" s="20">
        <f t="shared" si="0"/>
        <v>29.929124999999999</v>
      </c>
      <c r="I44" s="5"/>
      <c r="J44" s="19">
        <v>311.46080000000001</v>
      </c>
      <c r="K44" s="20">
        <v>29.477</v>
      </c>
      <c r="L44" s="20">
        <v>37.354500000000002</v>
      </c>
      <c r="M44" s="20">
        <v>37.810899999999997</v>
      </c>
      <c r="N44" s="20">
        <v>331.49169999999998</v>
      </c>
      <c r="O44" s="20">
        <f t="shared" si="1"/>
        <v>31.503425</v>
      </c>
      <c r="P44" s="7"/>
      <c r="Q44" s="13"/>
      <c r="R44" s="14"/>
      <c r="S44" s="14"/>
      <c r="T44" s="27"/>
      <c r="U44" s="28">
        <f t="shared" si="2"/>
        <v>0.92235966133147751</v>
      </c>
    </row>
    <row r="45" spans="1:21" x14ac:dyDescent="0.25">
      <c r="B45" s="6" t="s">
        <v>55</v>
      </c>
      <c r="C45" s="15">
        <v>1326.212890625</v>
      </c>
      <c r="D45" s="16">
        <v>28.44</v>
      </c>
      <c r="E45" s="16">
        <v>35.277000000000001</v>
      </c>
      <c r="F45" s="16">
        <v>36.091999999999999</v>
      </c>
      <c r="G45" s="16">
        <v>110.82</v>
      </c>
      <c r="H45" s="16">
        <f t="shared" si="0"/>
        <v>30.251125000000002</v>
      </c>
      <c r="I45" s="5"/>
      <c r="J45" s="15">
        <v>1231.6576</v>
      </c>
      <c r="K45" s="16">
        <v>30.023099999999999</v>
      </c>
      <c r="L45" s="16">
        <v>36.589799999999997</v>
      </c>
      <c r="M45" s="16">
        <v>37.373800000000003</v>
      </c>
      <c r="N45" s="16">
        <v>166.05779999999999</v>
      </c>
      <c r="O45" s="16">
        <f t="shared" si="1"/>
        <v>31.762774999999998</v>
      </c>
      <c r="P45" s="7"/>
      <c r="Q45" s="8">
        <f>bdrate(C45:C48,D45:D48,J45:J48,K45:K48)</f>
        <v>-0.40329425757045634</v>
      </c>
      <c r="R45" s="8">
        <f>bdrate(C45:C48,E45:E48,J45:J48,L45:L48)</f>
        <v>-0.56493804048191665</v>
      </c>
      <c r="S45" s="8">
        <f>bdrate(C45:C48,F45:F48,J45:J48,M45:M48)</f>
        <v>-0.53980050872214458</v>
      </c>
      <c r="T45" s="25">
        <f>bdrate(C45:C48,H45:H48,J45:J48,O45:O48)</f>
        <v>-0.43464178537392051</v>
      </c>
      <c r="U45" s="28">
        <f t="shared" si="2"/>
        <v>0.49844612885760692</v>
      </c>
    </row>
    <row r="46" spans="1:21" x14ac:dyDescent="0.25">
      <c r="B46" s="9"/>
      <c r="C46" s="17">
        <v>905.3251953125</v>
      </c>
      <c r="D46" s="18">
        <v>27.382999999999999</v>
      </c>
      <c r="E46" s="18">
        <v>34.518999999999998</v>
      </c>
      <c r="F46" s="18">
        <v>35.341000000000001</v>
      </c>
      <c r="G46" s="18">
        <v>117.63</v>
      </c>
      <c r="H46" s="18">
        <f t="shared" si="0"/>
        <v>29.269750000000002</v>
      </c>
      <c r="I46" s="5"/>
      <c r="J46" s="17">
        <v>815.37440000000004</v>
      </c>
      <c r="K46" s="18">
        <v>28.686499999999999</v>
      </c>
      <c r="L46" s="18">
        <v>35.79</v>
      </c>
      <c r="M46" s="18">
        <v>36.559399999999997</v>
      </c>
      <c r="N46" s="18">
        <v>201.5316</v>
      </c>
      <c r="O46" s="18">
        <f t="shared" si="1"/>
        <v>30.558549999999997</v>
      </c>
      <c r="P46" s="7"/>
      <c r="Q46" s="10"/>
      <c r="R46" s="11"/>
      <c r="S46" s="11"/>
      <c r="T46" s="26"/>
      <c r="U46" s="28">
        <f t="shared" si="2"/>
        <v>0.7132670237184392</v>
      </c>
    </row>
    <row r="47" spans="1:21" x14ac:dyDescent="0.25">
      <c r="B47" s="9"/>
      <c r="C47" s="17">
        <v>568.490234375</v>
      </c>
      <c r="D47" s="18">
        <v>26.164999999999999</v>
      </c>
      <c r="E47" s="18">
        <v>33.625</v>
      </c>
      <c r="F47" s="18">
        <v>34.369999999999997</v>
      </c>
      <c r="G47" s="18">
        <v>126.65</v>
      </c>
      <c r="H47" s="18">
        <f t="shared" si="0"/>
        <v>28.123125000000002</v>
      </c>
      <c r="I47" s="5"/>
      <c r="J47" s="17">
        <v>516.62</v>
      </c>
      <c r="K47" s="18">
        <v>27.2925</v>
      </c>
      <c r="L47" s="18">
        <v>35.000500000000002</v>
      </c>
      <c r="M47" s="18">
        <v>35.7104</v>
      </c>
      <c r="N47" s="18">
        <v>250.37559999999999</v>
      </c>
      <c r="O47" s="18">
        <f t="shared" si="1"/>
        <v>29.308237499999997</v>
      </c>
      <c r="P47" s="7"/>
      <c r="Q47" s="10"/>
      <c r="R47" s="11"/>
      <c r="S47" s="11"/>
      <c r="T47" s="26"/>
      <c r="U47" s="28">
        <f t="shared" si="2"/>
        <v>0.97690959336754823</v>
      </c>
    </row>
    <row r="48" spans="1:21" ht="16.5" thickBot="1" x14ac:dyDescent="0.3">
      <c r="B48" s="12"/>
      <c r="C48" s="19">
        <v>366.2333984375</v>
      </c>
      <c r="D48" s="20">
        <v>24.989000000000001</v>
      </c>
      <c r="E48" s="20">
        <v>32.651000000000003</v>
      </c>
      <c r="F48" s="20">
        <v>33.463000000000001</v>
      </c>
      <c r="G48" s="20">
        <v>134.76</v>
      </c>
      <c r="H48" s="20">
        <f t="shared" si="0"/>
        <v>27.006</v>
      </c>
      <c r="I48" s="5"/>
      <c r="J48" s="19">
        <v>308.13920000000002</v>
      </c>
      <c r="K48" s="20">
        <v>25.768999999999998</v>
      </c>
      <c r="L48" s="20">
        <v>34.153799999999997</v>
      </c>
      <c r="M48" s="20">
        <v>34.891300000000001</v>
      </c>
      <c r="N48" s="20">
        <v>308.26139999999998</v>
      </c>
      <c r="O48" s="20">
        <f t="shared" si="1"/>
        <v>27.957387499999996</v>
      </c>
      <c r="P48" s="7"/>
      <c r="Q48" s="13"/>
      <c r="R48" s="14"/>
      <c r="S48" s="14"/>
      <c r="T48" s="27"/>
      <c r="U48" s="28">
        <f t="shared" si="2"/>
        <v>1.2874844167408728</v>
      </c>
    </row>
    <row r="49" spans="1:21" x14ac:dyDescent="0.25">
      <c r="B49" s="6" t="s">
        <v>56</v>
      </c>
      <c r="C49" s="15">
        <v>1162.6240234375</v>
      </c>
      <c r="D49" s="16">
        <v>30.82</v>
      </c>
      <c r="E49" s="16">
        <v>35.447000000000003</v>
      </c>
      <c r="F49" s="16">
        <v>37.020000000000003</v>
      </c>
      <c r="G49" s="16">
        <v>105.33</v>
      </c>
      <c r="H49" s="16">
        <f t="shared" si="0"/>
        <v>32.173375</v>
      </c>
      <c r="I49" s="5"/>
      <c r="J49" s="15">
        <v>1215.4495999999999</v>
      </c>
      <c r="K49" s="16">
        <v>32.012700000000002</v>
      </c>
      <c r="L49" s="16">
        <v>36.660800000000002</v>
      </c>
      <c r="M49" s="16">
        <v>38.218699999999998</v>
      </c>
      <c r="N49" s="16">
        <v>120.1923</v>
      </c>
      <c r="O49" s="16">
        <f t="shared" si="1"/>
        <v>33.369462500000004</v>
      </c>
      <c r="P49" s="7"/>
      <c r="Q49" s="8">
        <f>bdrate(C49:C52,D49:D52,J49:J52,K49:K52)</f>
        <v>-0.25829418779186364</v>
      </c>
      <c r="R49" s="8">
        <f>bdrate(C49:C52,E49:E52,J49:J52,L49:L52)</f>
        <v>-0.49540862886265047</v>
      </c>
      <c r="S49" s="8">
        <f>bdrate(C49:C52,F49:F52,J49:J52,M49:M52)</f>
        <v>-0.48699351561809112</v>
      </c>
      <c r="T49" s="25">
        <f>bdrate(C49:C52,H49:H52,J49:J52,O49:O52)</f>
        <v>-0.31079624886909851</v>
      </c>
      <c r="U49" s="28">
        <f t="shared" si="2"/>
        <v>0.14110225007120483</v>
      </c>
    </row>
    <row r="50" spans="1:21" x14ac:dyDescent="0.25">
      <c r="B50" s="9"/>
      <c r="C50" s="17">
        <v>835.6748046875</v>
      </c>
      <c r="D50" s="18">
        <v>29.667999999999999</v>
      </c>
      <c r="E50" s="18">
        <v>34.594000000000001</v>
      </c>
      <c r="F50" s="18">
        <v>36.136000000000003</v>
      </c>
      <c r="G50" s="18">
        <v>113.98</v>
      </c>
      <c r="H50" s="18">
        <f t="shared" si="0"/>
        <v>31.092249999999996</v>
      </c>
      <c r="I50" s="5"/>
      <c r="J50" s="17">
        <v>809.31759999999997</v>
      </c>
      <c r="K50" s="18">
        <v>30.519500000000001</v>
      </c>
      <c r="L50" s="18">
        <v>35.813899999999997</v>
      </c>
      <c r="M50" s="18">
        <v>37.362900000000003</v>
      </c>
      <c r="N50" s="18">
        <v>144.57830000000001</v>
      </c>
      <c r="O50" s="18">
        <f t="shared" si="1"/>
        <v>32.036725000000004</v>
      </c>
      <c r="P50" s="7"/>
      <c r="Q50" s="10"/>
      <c r="R50" s="11"/>
      <c r="S50" s="11"/>
      <c r="T50" s="26"/>
      <c r="U50" s="28">
        <f t="shared" si="2"/>
        <v>0.26845323741007199</v>
      </c>
    </row>
    <row r="51" spans="1:21" x14ac:dyDescent="0.25">
      <c r="B51" s="9"/>
      <c r="C51" s="17">
        <v>558.33203125</v>
      </c>
      <c r="D51" s="18">
        <v>28.263999999999999</v>
      </c>
      <c r="E51" s="18">
        <v>33.500999999999998</v>
      </c>
      <c r="F51" s="18">
        <v>34.899000000000001</v>
      </c>
      <c r="G51" s="18">
        <v>125.24</v>
      </c>
      <c r="H51" s="18">
        <f t="shared" si="0"/>
        <v>29.748000000000001</v>
      </c>
      <c r="I51" s="5"/>
      <c r="J51" s="17">
        <v>505.34640000000002</v>
      </c>
      <c r="K51" s="18">
        <v>28.957699999999999</v>
      </c>
      <c r="L51" s="18">
        <v>34.968600000000002</v>
      </c>
      <c r="M51" s="18">
        <v>36.4878</v>
      </c>
      <c r="N51" s="18">
        <v>179.7484</v>
      </c>
      <c r="O51" s="18">
        <f t="shared" si="1"/>
        <v>30.650324999999999</v>
      </c>
      <c r="P51" s="7"/>
      <c r="Q51" s="10"/>
      <c r="R51" s="11"/>
      <c r="S51" s="11"/>
      <c r="T51" s="26"/>
      <c r="U51" s="28">
        <f t="shared" si="2"/>
        <v>0.43523155541360597</v>
      </c>
    </row>
    <row r="52" spans="1:21" ht="16.5" thickBot="1" x14ac:dyDescent="0.3">
      <c r="B52" s="12"/>
      <c r="C52" s="19">
        <v>361.3974609375</v>
      </c>
      <c r="D52" s="20">
        <v>26.954999999999998</v>
      </c>
      <c r="E52" s="20">
        <v>32.399000000000001</v>
      </c>
      <c r="F52" s="20">
        <v>33.656999999999996</v>
      </c>
      <c r="G52" s="20">
        <v>135.41999999999999</v>
      </c>
      <c r="H52" s="20">
        <f t="shared" si="0"/>
        <v>28.47325</v>
      </c>
      <c r="I52" s="5"/>
      <c r="J52" s="19">
        <v>303.24560000000002</v>
      </c>
      <c r="K52" s="20">
        <v>27.366099999999999</v>
      </c>
      <c r="L52" s="20">
        <v>34.022399999999998</v>
      </c>
      <c r="M52" s="20">
        <v>35.454099999999997</v>
      </c>
      <c r="N52" s="20">
        <v>231.6602</v>
      </c>
      <c r="O52" s="20">
        <f t="shared" si="1"/>
        <v>29.209137499999997</v>
      </c>
      <c r="P52" s="7"/>
      <c r="Q52" s="13"/>
      <c r="R52" s="14"/>
      <c r="S52" s="14"/>
      <c r="T52" s="27"/>
      <c r="U52" s="28">
        <f t="shared" si="2"/>
        <v>0.71067936789248287</v>
      </c>
    </row>
    <row r="53" spans="1:21" x14ac:dyDescent="0.25">
      <c r="A53" s="6" t="s">
        <v>41</v>
      </c>
      <c r="B53" s="6" t="s">
        <v>57</v>
      </c>
      <c r="C53" s="15">
        <v>580.1328125</v>
      </c>
      <c r="D53" s="16">
        <v>32.665999999999997</v>
      </c>
      <c r="E53" s="16">
        <v>38.325000000000003</v>
      </c>
      <c r="F53" s="16">
        <v>36.042999999999999</v>
      </c>
      <c r="G53" s="16">
        <v>436.2</v>
      </c>
      <c r="H53" s="16">
        <f t="shared" si="0"/>
        <v>33.795499999999997</v>
      </c>
      <c r="I53" s="5"/>
      <c r="J53" s="15">
        <v>605.57600000000002</v>
      </c>
      <c r="K53" s="16">
        <v>34.0107</v>
      </c>
      <c r="L53" s="16">
        <v>39.375999999999998</v>
      </c>
      <c r="M53" s="16">
        <v>37.838500000000003</v>
      </c>
      <c r="N53" s="16">
        <v>485.43689999999998</v>
      </c>
      <c r="O53" s="16">
        <f t="shared" si="1"/>
        <v>35.159837500000002</v>
      </c>
      <c r="P53" s="7"/>
      <c r="Q53" s="8">
        <f>bdrate(C53:C56,D53:D56,J53:J56,K53:K56)</f>
        <v>-0.20260160842241814</v>
      </c>
      <c r="R53" s="8">
        <f>bdrate(C53:C56,E53:E56,J53:J56,L53:L56)</f>
        <v>-0.36564188531956887</v>
      </c>
      <c r="S53" s="8">
        <f>bdrate(C53:C56,F53:F56,J53:J56,M53:M56)</f>
        <v>-0.50052583583640176</v>
      </c>
      <c r="T53" s="25">
        <f>bdrate(C53:C56,H53:H56,J53:J56,O53:O56)</f>
        <v>-0.25687989563836955</v>
      </c>
      <c r="U53" s="28">
        <f t="shared" si="2"/>
        <v>0.11287689133425033</v>
      </c>
    </row>
    <row r="54" spans="1:21" x14ac:dyDescent="0.25">
      <c r="A54" s="9" t="s">
        <v>42</v>
      </c>
      <c r="B54" s="9"/>
      <c r="C54" s="17">
        <v>403.4228515625</v>
      </c>
      <c r="D54" s="18">
        <v>31.222999999999999</v>
      </c>
      <c r="E54" s="18">
        <v>37.334000000000003</v>
      </c>
      <c r="F54" s="18">
        <v>34.86</v>
      </c>
      <c r="G54" s="18">
        <v>465.47</v>
      </c>
      <c r="H54" s="18">
        <f t="shared" si="0"/>
        <v>32.441499999999998</v>
      </c>
      <c r="I54" s="5"/>
      <c r="J54" s="17">
        <v>404.15519999999998</v>
      </c>
      <c r="K54" s="18">
        <v>32.230899999999998</v>
      </c>
      <c r="L54" s="18">
        <v>38.271099999999997</v>
      </c>
      <c r="M54" s="18">
        <v>36.617100000000001</v>
      </c>
      <c r="N54" s="18">
        <v>562.42970000000003</v>
      </c>
      <c r="O54" s="18">
        <f t="shared" si="1"/>
        <v>33.534199999999998</v>
      </c>
      <c r="P54" s="7"/>
      <c r="Q54" s="10"/>
      <c r="R54" s="11"/>
      <c r="S54" s="11"/>
      <c r="T54" s="26"/>
      <c r="U54" s="28">
        <f t="shared" si="2"/>
        <v>0.20830493909381914</v>
      </c>
    </row>
    <row r="55" spans="1:21" x14ac:dyDescent="0.25">
      <c r="B55" s="9"/>
      <c r="C55" s="17">
        <v>258.79296875</v>
      </c>
      <c r="D55" s="18">
        <v>29.582999999999998</v>
      </c>
      <c r="E55" s="18">
        <v>36.131999999999998</v>
      </c>
      <c r="F55" s="18">
        <v>33.456000000000003</v>
      </c>
      <c r="G55" s="18">
        <v>511.97</v>
      </c>
      <c r="H55" s="18">
        <f t="shared" si="0"/>
        <v>30.885750000000002</v>
      </c>
      <c r="I55" s="5"/>
      <c r="J55" s="17">
        <v>253.82640000000001</v>
      </c>
      <c r="K55" s="18">
        <v>30.3508</v>
      </c>
      <c r="L55" s="18">
        <v>37.241599999999998</v>
      </c>
      <c r="M55" s="18">
        <v>35.439500000000002</v>
      </c>
      <c r="N55" s="18">
        <v>682.12819999999999</v>
      </c>
      <c r="O55" s="18">
        <f t="shared" si="1"/>
        <v>31.848237500000003</v>
      </c>
      <c r="P55" s="7"/>
      <c r="Q55" s="10"/>
      <c r="R55" s="11"/>
      <c r="S55" s="11"/>
      <c r="T55" s="26"/>
      <c r="U55" s="28">
        <f t="shared" si="2"/>
        <v>0.33235970857667435</v>
      </c>
    </row>
    <row r="56" spans="1:21" ht="16.5" thickBot="1" x14ac:dyDescent="0.3">
      <c r="B56" s="12"/>
      <c r="C56" s="19">
        <v>139.201171875</v>
      </c>
      <c r="D56" s="20">
        <v>27.431999999999999</v>
      </c>
      <c r="E56" s="20">
        <v>34.439</v>
      </c>
      <c r="F56" s="20">
        <v>31.608000000000001</v>
      </c>
      <c r="G56" s="20">
        <v>571.04999999999995</v>
      </c>
      <c r="H56" s="20">
        <f t="shared" si="0"/>
        <v>28.829874999999998</v>
      </c>
      <c r="I56" s="5"/>
      <c r="J56" s="19">
        <v>122.81359999999999</v>
      </c>
      <c r="K56" s="20">
        <v>27.644400000000001</v>
      </c>
      <c r="L56" s="20">
        <v>35.7395</v>
      </c>
      <c r="M56" s="20">
        <v>33.6128</v>
      </c>
      <c r="N56" s="20">
        <v>970.87379999999996</v>
      </c>
      <c r="O56" s="20">
        <f t="shared" si="1"/>
        <v>29.402337499999998</v>
      </c>
      <c r="P56" s="7"/>
      <c r="Q56" s="13"/>
      <c r="R56" s="14"/>
      <c r="S56" s="14"/>
      <c r="T56" s="27"/>
      <c r="U56" s="28">
        <f t="shared" si="2"/>
        <v>0.70015550302075136</v>
      </c>
    </row>
    <row r="57" spans="1:21" x14ac:dyDescent="0.25">
      <c r="B57" s="6" t="s">
        <v>58</v>
      </c>
      <c r="C57" s="15">
        <v>639.7802734375</v>
      </c>
      <c r="D57" s="16">
        <v>29.722999999999999</v>
      </c>
      <c r="E57" s="16">
        <v>39.828000000000003</v>
      </c>
      <c r="F57" s="16">
        <v>40.57</v>
      </c>
      <c r="G57" s="16">
        <v>399.05</v>
      </c>
      <c r="H57" s="16">
        <f t="shared" si="0"/>
        <v>32.341999999999999</v>
      </c>
      <c r="I57" s="5"/>
      <c r="J57" s="15">
        <v>604.95839999999998</v>
      </c>
      <c r="K57" s="16">
        <v>33.276899999999998</v>
      </c>
      <c r="L57" s="16">
        <v>41.119399999999999</v>
      </c>
      <c r="M57" s="16">
        <v>41.898499999999999</v>
      </c>
      <c r="N57" s="16">
        <v>549.45050000000003</v>
      </c>
      <c r="O57" s="16">
        <f t="shared" si="1"/>
        <v>35.334912500000002</v>
      </c>
      <c r="P57" s="7"/>
      <c r="Q57" s="8">
        <f>bdrate(C57:C60,D57:D60,J57:J60,K57:K60)</f>
        <v>-0.66688017803823563</v>
      </c>
      <c r="R57" s="8">
        <f>bdrate(C57:C60,E57:E60,J57:J60,L57:L60)</f>
        <v>-0.46844594707522269</v>
      </c>
      <c r="S57" s="8">
        <f>bdrate(C57:C60,F57:F60,J57:J60,M57:M60)</f>
        <v>-0.48381947633462075</v>
      </c>
      <c r="T57" s="25">
        <f>bdrate(C57:C60,H57:H60,J57:J60,O57:O60)</f>
        <v>-0.64078255476592316</v>
      </c>
      <c r="U57" s="28">
        <f t="shared" si="2"/>
        <v>0.37689637889988725</v>
      </c>
    </row>
    <row r="58" spans="1:21" x14ac:dyDescent="0.25">
      <c r="B58" s="9"/>
      <c r="C58" s="17">
        <v>436.140625</v>
      </c>
      <c r="D58" s="18">
        <v>28.638999999999999</v>
      </c>
      <c r="E58" s="18">
        <v>39.195</v>
      </c>
      <c r="F58" s="18">
        <v>39.831000000000003</v>
      </c>
      <c r="G58" s="18">
        <v>424.36</v>
      </c>
      <c r="H58" s="18">
        <f t="shared" si="0"/>
        <v>31.357500000000002</v>
      </c>
      <c r="I58" s="5"/>
      <c r="J58" s="17">
        <v>402.7688</v>
      </c>
      <c r="K58" s="18">
        <v>31.993400000000001</v>
      </c>
      <c r="L58" s="18">
        <v>40.283299999999997</v>
      </c>
      <c r="M58" s="18">
        <v>41.061</v>
      </c>
      <c r="N58" s="18">
        <v>674.15729999999996</v>
      </c>
      <c r="O58" s="18">
        <f t="shared" si="1"/>
        <v>34.163087499999996</v>
      </c>
      <c r="P58" s="7"/>
      <c r="Q58" s="10"/>
      <c r="R58" s="11"/>
      <c r="S58" s="11"/>
      <c r="T58" s="26"/>
      <c r="U58" s="28">
        <f t="shared" si="2"/>
        <v>0.58864478273164278</v>
      </c>
    </row>
    <row r="59" spans="1:21" x14ac:dyDescent="0.25">
      <c r="B59" s="9"/>
      <c r="C59" s="17">
        <v>272.6572265625</v>
      </c>
      <c r="D59" s="18">
        <v>27.41</v>
      </c>
      <c r="E59" s="18">
        <v>38.424999999999997</v>
      </c>
      <c r="F59" s="18">
        <v>38.987000000000002</v>
      </c>
      <c r="G59" s="18">
        <v>446.05</v>
      </c>
      <c r="H59" s="18">
        <f t="shared" si="0"/>
        <v>30.233999999999998</v>
      </c>
      <c r="I59" s="5"/>
      <c r="J59" s="17">
        <v>252.66560000000001</v>
      </c>
      <c r="K59" s="18">
        <v>30.467199999999998</v>
      </c>
      <c r="L59" s="18">
        <v>39.377899999999997</v>
      </c>
      <c r="M59" s="18">
        <v>40.0854</v>
      </c>
      <c r="N59" s="18">
        <v>854.70090000000005</v>
      </c>
      <c r="O59" s="18">
        <f t="shared" si="1"/>
        <v>32.783312500000001</v>
      </c>
      <c r="P59" s="7"/>
      <c r="Q59" s="10"/>
      <c r="R59" s="11"/>
      <c r="S59" s="11"/>
      <c r="T59" s="26"/>
      <c r="U59" s="28">
        <f t="shared" si="2"/>
        <v>0.91615491536823235</v>
      </c>
    </row>
    <row r="60" spans="1:21" ht="16.5" thickBot="1" x14ac:dyDescent="0.3">
      <c r="B60" s="12"/>
      <c r="C60" s="19">
        <v>131.091796875</v>
      </c>
      <c r="D60" s="20">
        <v>25.457999999999998</v>
      </c>
      <c r="E60" s="20">
        <v>37.393999999999998</v>
      </c>
      <c r="F60" s="20">
        <v>37.57</v>
      </c>
      <c r="G60" s="20">
        <v>502.48</v>
      </c>
      <c r="H60" s="20">
        <f t="shared" si="0"/>
        <v>28.463999999999999</v>
      </c>
      <c r="I60" s="5"/>
      <c r="J60" s="19">
        <v>121.04</v>
      </c>
      <c r="K60" s="20">
        <v>27.974399999999999</v>
      </c>
      <c r="L60" s="20">
        <v>38.062199999999997</v>
      </c>
      <c r="M60" s="20">
        <v>38.652200000000001</v>
      </c>
      <c r="N60" s="20">
        <v>1129.9435000000001</v>
      </c>
      <c r="O60" s="20">
        <f t="shared" si="1"/>
        <v>30.570099999999996</v>
      </c>
      <c r="P60" s="7"/>
      <c r="Q60" s="13"/>
      <c r="R60" s="14"/>
      <c r="S60" s="14"/>
      <c r="T60" s="27"/>
      <c r="U60" s="28">
        <f t="shared" si="2"/>
        <v>1.248733282916733</v>
      </c>
    </row>
    <row r="61" spans="1:21" x14ac:dyDescent="0.25">
      <c r="B61" s="6" t="s">
        <v>59</v>
      </c>
      <c r="C61" s="29">
        <v>648.056640625</v>
      </c>
      <c r="D61" s="30">
        <v>30.600999999999999</v>
      </c>
      <c r="E61" s="30">
        <v>36.307000000000002</v>
      </c>
      <c r="F61" s="30">
        <v>37.051000000000002</v>
      </c>
      <c r="G61" s="16">
        <v>391.17</v>
      </c>
      <c r="H61" s="16">
        <f t="shared" si="0"/>
        <v>32.1205</v>
      </c>
      <c r="I61" s="5"/>
      <c r="J61" s="29">
        <v>643.49120000000005</v>
      </c>
      <c r="K61" s="30">
        <v>32.8643</v>
      </c>
      <c r="L61" s="30">
        <v>37.951099999999997</v>
      </c>
      <c r="M61" s="30">
        <v>38.706499999999998</v>
      </c>
      <c r="N61" s="16">
        <v>501.00200000000001</v>
      </c>
      <c r="O61" s="16">
        <f t="shared" si="1"/>
        <v>34.230424999999997</v>
      </c>
      <c r="P61" s="7"/>
      <c r="Q61" s="8">
        <f>bdrate(C61:C64,D61:D64,J61:J64,K61:K64)</f>
        <v>-0.42196920290720552</v>
      </c>
      <c r="R61" s="8">
        <f>bdrate(C61:C64,E61:E64,J61:J64,L61:L64)</f>
        <v>-0.513680435820973</v>
      </c>
      <c r="S61" s="8">
        <f>bdrate(C61:C64,F61:F64,J61:J64,M61:M64)</f>
        <v>-0.52378059138950495</v>
      </c>
      <c r="T61" s="25">
        <f>bdrate(C61:C64,H61:H64,J61:J64,O61:O64)</f>
        <v>-0.44405843460712036</v>
      </c>
      <c r="U61" s="28">
        <f t="shared" si="2"/>
        <v>0.28077817828565582</v>
      </c>
    </row>
    <row r="62" spans="1:21" x14ac:dyDescent="0.25">
      <c r="B62" s="9"/>
      <c r="C62" s="31">
        <v>441.921875</v>
      </c>
      <c r="D62" s="32">
        <v>29.454999999999998</v>
      </c>
      <c r="E62" s="32">
        <v>35.328000000000003</v>
      </c>
      <c r="F62" s="32">
        <v>36.031999999999996</v>
      </c>
      <c r="G62" s="18">
        <v>410.2</v>
      </c>
      <c r="H62" s="18">
        <f t="shared" si="0"/>
        <v>31.011249999999997</v>
      </c>
      <c r="I62" s="5"/>
      <c r="J62" s="31">
        <v>426.46960000000001</v>
      </c>
      <c r="K62" s="32">
        <v>31.340900000000001</v>
      </c>
      <c r="L62" s="32">
        <v>36.934399999999997</v>
      </c>
      <c r="M62" s="32">
        <v>37.648499999999999</v>
      </c>
      <c r="N62" s="18">
        <v>604.59490000000005</v>
      </c>
      <c r="O62" s="18">
        <f t="shared" si="1"/>
        <v>32.828537500000003</v>
      </c>
      <c r="P62" s="7"/>
      <c r="Q62" s="10"/>
      <c r="R62" s="11"/>
      <c r="S62" s="11"/>
      <c r="T62" s="26"/>
      <c r="U62" s="28">
        <f t="shared" si="2"/>
        <v>0.4739027303754268</v>
      </c>
    </row>
    <row r="63" spans="1:21" x14ac:dyDescent="0.25">
      <c r="B63" s="9"/>
      <c r="C63" s="31">
        <v>279.0693359375</v>
      </c>
      <c r="D63" s="32">
        <v>28.202999999999999</v>
      </c>
      <c r="E63" s="32">
        <v>34.328000000000003</v>
      </c>
      <c r="F63" s="32">
        <v>35</v>
      </c>
      <c r="G63" s="18">
        <v>436.44</v>
      </c>
      <c r="H63" s="18">
        <f t="shared" si="0"/>
        <v>29.818249999999999</v>
      </c>
      <c r="I63" s="5"/>
      <c r="J63" s="31">
        <v>266.61759999999998</v>
      </c>
      <c r="K63" s="32">
        <v>29.705300000000001</v>
      </c>
      <c r="L63" s="32">
        <v>35.805599999999998</v>
      </c>
      <c r="M63" s="32">
        <v>36.561599999999999</v>
      </c>
      <c r="N63" s="18">
        <v>782.47260000000006</v>
      </c>
      <c r="O63" s="18">
        <f t="shared" si="1"/>
        <v>31.324875000000002</v>
      </c>
      <c r="P63" s="7"/>
      <c r="Q63" s="10"/>
      <c r="R63" s="11"/>
      <c r="S63" s="11"/>
      <c r="T63" s="26"/>
      <c r="U63" s="28">
        <f t="shared" si="2"/>
        <v>0.79285262579048676</v>
      </c>
    </row>
    <row r="64" spans="1:21" ht="16.5" thickBot="1" x14ac:dyDescent="0.3">
      <c r="B64" s="12"/>
      <c r="C64" s="33">
        <v>134.6240234375</v>
      </c>
      <c r="D64" s="34">
        <v>26.349</v>
      </c>
      <c r="E64" s="34">
        <v>32.901000000000003</v>
      </c>
      <c r="F64" s="34">
        <v>33.56</v>
      </c>
      <c r="G64" s="20">
        <v>485.99</v>
      </c>
      <c r="H64" s="20">
        <f t="shared" si="0"/>
        <v>28.069375000000001</v>
      </c>
      <c r="I64" s="5"/>
      <c r="J64" s="33">
        <v>129.63200000000001</v>
      </c>
      <c r="K64" s="34">
        <v>27.375</v>
      </c>
      <c r="L64" s="34">
        <v>34.310099999999998</v>
      </c>
      <c r="M64" s="34">
        <v>35.049100000000003</v>
      </c>
      <c r="N64" s="20">
        <v>1068.3761</v>
      </c>
      <c r="O64" s="20">
        <f t="shared" si="1"/>
        <v>29.201150000000002</v>
      </c>
      <c r="P64" s="7"/>
      <c r="Q64" s="13"/>
      <c r="R64" s="14"/>
      <c r="S64" s="14"/>
      <c r="T64" s="27"/>
      <c r="U64" s="28">
        <f t="shared" si="2"/>
        <v>1.198349966048684</v>
      </c>
    </row>
    <row r="65" spans="1:21" x14ac:dyDescent="0.25">
      <c r="B65" s="6" t="s">
        <v>60</v>
      </c>
      <c r="C65" s="15">
        <v>589.5283203125</v>
      </c>
      <c r="D65" s="16">
        <v>32.191000000000003</v>
      </c>
      <c r="E65" s="16">
        <v>36.058</v>
      </c>
      <c r="F65" s="16">
        <v>37.139000000000003</v>
      </c>
      <c r="G65" s="16">
        <v>348.5</v>
      </c>
      <c r="H65" s="16">
        <f t="shared" si="0"/>
        <v>33.292875000000002</v>
      </c>
      <c r="I65" s="5"/>
      <c r="J65" s="15">
        <v>609.94719999999995</v>
      </c>
      <c r="K65" s="16">
        <v>33.410499999999999</v>
      </c>
      <c r="L65" s="16">
        <v>37.404499999999999</v>
      </c>
      <c r="M65" s="16">
        <v>38.465000000000003</v>
      </c>
      <c r="N65" s="16">
        <v>349.65030000000002</v>
      </c>
      <c r="O65" s="16">
        <f t="shared" si="1"/>
        <v>34.541562499999998</v>
      </c>
      <c r="P65" s="7"/>
      <c r="Q65" s="8">
        <f>bdrate(C65:C68,D65:D68,J65:J68,K65:K68)</f>
        <v>-0.21015925284637882</v>
      </c>
      <c r="R65" s="8">
        <f>bdrate(C65:C68,E65:E68,J65:J68,L65:L68)</f>
        <v>-0.44530176181039605</v>
      </c>
      <c r="S65" s="8">
        <f>bdrate(C65:C68,F65:F68,J65:J68,M65:M68)</f>
        <v>-0.42460499680681008</v>
      </c>
      <c r="T65" s="25">
        <f>bdrate(C65:C68,H65:H68,J65:J68,O65:O68)</f>
        <v>-0.26073991970162502</v>
      </c>
      <c r="U65" s="28">
        <f t="shared" si="2"/>
        <v>3.3007173601148224E-3</v>
      </c>
    </row>
    <row r="66" spans="1:21" x14ac:dyDescent="0.25">
      <c r="B66" s="9"/>
      <c r="C66" s="17">
        <v>423.3896484375</v>
      </c>
      <c r="D66" s="18">
        <v>30.899000000000001</v>
      </c>
      <c r="E66" s="18">
        <v>35.106999999999999</v>
      </c>
      <c r="F66" s="18">
        <v>36.218000000000004</v>
      </c>
      <c r="G66" s="18">
        <v>376.65</v>
      </c>
      <c r="H66" s="18">
        <f t="shared" si="0"/>
        <v>32.089874999999999</v>
      </c>
      <c r="I66" s="5"/>
      <c r="J66" s="17">
        <v>404.512</v>
      </c>
      <c r="K66" s="18">
        <v>31.653500000000001</v>
      </c>
      <c r="L66" s="18">
        <v>36.366</v>
      </c>
      <c r="M66" s="18">
        <v>37.4026</v>
      </c>
      <c r="N66" s="18">
        <v>436.68119999999999</v>
      </c>
      <c r="O66" s="18">
        <f t="shared" si="1"/>
        <v>32.961199999999998</v>
      </c>
      <c r="P66" s="7"/>
      <c r="Q66" s="10"/>
      <c r="R66" s="11"/>
      <c r="S66" s="11"/>
      <c r="T66" s="26"/>
      <c r="U66" s="28">
        <f t="shared" si="2"/>
        <v>0.15938191955396261</v>
      </c>
    </row>
    <row r="67" spans="1:21" x14ac:dyDescent="0.25">
      <c r="B67" s="9"/>
      <c r="C67" s="17">
        <v>281.4755859375</v>
      </c>
      <c r="D67" s="18">
        <v>29.41</v>
      </c>
      <c r="E67" s="18">
        <v>33.979999999999997</v>
      </c>
      <c r="F67" s="18">
        <v>35.069000000000003</v>
      </c>
      <c r="G67" s="18">
        <v>401.82</v>
      </c>
      <c r="H67" s="18">
        <f t="shared" si="0"/>
        <v>30.688625000000002</v>
      </c>
      <c r="I67" s="5"/>
      <c r="J67" s="17">
        <v>253.00800000000001</v>
      </c>
      <c r="K67" s="18">
        <v>29.850999999999999</v>
      </c>
      <c r="L67" s="18">
        <v>35.191899999999997</v>
      </c>
      <c r="M67" s="18">
        <v>36.217199999999998</v>
      </c>
      <c r="N67" s="18">
        <v>533.80780000000004</v>
      </c>
      <c r="O67" s="18">
        <f t="shared" si="1"/>
        <v>31.314387499999999</v>
      </c>
      <c r="P67" s="7"/>
      <c r="Q67" s="10"/>
      <c r="R67" s="11"/>
      <c r="S67" s="11"/>
      <c r="T67" s="26"/>
      <c r="U67" s="28">
        <f t="shared" si="2"/>
        <v>0.32847493902742536</v>
      </c>
    </row>
    <row r="68" spans="1:21" ht="16.5" thickBot="1" x14ac:dyDescent="0.3">
      <c r="B68" s="12"/>
      <c r="C68" s="19">
        <v>140.935546875</v>
      </c>
      <c r="D68" s="20">
        <v>27.11</v>
      </c>
      <c r="E68" s="20">
        <v>32.149000000000001</v>
      </c>
      <c r="F68" s="20">
        <v>33.097000000000001</v>
      </c>
      <c r="G68" s="20">
        <v>462.99</v>
      </c>
      <c r="H68" s="20">
        <f t="shared" si="0"/>
        <v>28.488250000000001</v>
      </c>
      <c r="I68" s="5"/>
      <c r="J68" s="19">
        <v>121.71599999999999</v>
      </c>
      <c r="K68" s="20">
        <v>27.4209</v>
      </c>
      <c r="L68" s="20">
        <v>33.712400000000002</v>
      </c>
      <c r="M68" s="20">
        <v>34.616399999999999</v>
      </c>
      <c r="N68" s="20">
        <v>769.23080000000004</v>
      </c>
      <c r="O68" s="20">
        <f t="shared" si="1"/>
        <v>29.106774999999999</v>
      </c>
      <c r="P68" s="7"/>
      <c r="Q68" s="13"/>
      <c r="R68" s="14"/>
      <c r="S68" s="14"/>
      <c r="T68" s="27"/>
      <c r="U68" s="28">
        <f t="shared" si="2"/>
        <v>0.66144149981641076</v>
      </c>
    </row>
    <row r="69" spans="1:21" x14ac:dyDescent="0.25">
      <c r="A69" s="6" t="s">
        <v>43</v>
      </c>
      <c r="B69" s="6" t="s">
        <v>61</v>
      </c>
      <c r="C69" s="15">
        <v>1497.3505859375</v>
      </c>
      <c r="D69" s="16">
        <v>39.994</v>
      </c>
      <c r="E69" s="16">
        <v>45.09</v>
      </c>
      <c r="F69" s="16">
        <v>46.256</v>
      </c>
      <c r="G69" s="16">
        <v>85.85</v>
      </c>
      <c r="H69" s="16">
        <f t="shared" si="0"/>
        <v>41.413749999999993</v>
      </c>
      <c r="I69" s="5"/>
      <c r="J69" s="15">
        <v>1495.0888</v>
      </c>
      <c r="K69" s="16">
        <v>41.1492</v>
      </c>
      <c r="L69" s="16">
        <v>45.513500000000001</v>
      </c>
      <c r="M69" s="16">
        <v>46.694699999999997</v>
      </c>
      <c r="N69" s="16">
        <v>144.05760000000001</v>
      </c>
      <c r="O69" s="16">
        <f t="shared" si="1"/>
        <v>42.387925000000003</v>
      </c>
      <c r="P69" s="7"/>
      <c r="Q69" s="8">
        <f>bdrate(C69:C72,D69:D72,J69:J72,K69:K72)</f>
        <v>-0.33026444826894596</v>
      </c>
      <c r="R69" s="8">
        <f>bdrate(C69:C72,E69:E72,J69:J72,L69:L72)</f>
        <v>-0.26136010458727565</v>
      </c>
      <c r="S69" s="8">
        <f>bdrate(C69:C72,F69:F72,J69:J72,M69:M72)</f>
        <v>-0.25149666099837298</v>
      </c>
      <c r="T69" s="25">
        <f>bdrate(C69:C72,H69:H72,J69:J72,O69:O72)</f>
        <v>-0.31784780572043592</v>
      </c>
      <c r="U69" s="28">
        <f t="shared" si="2"/>
        <v>0.67801514269073981</v>
      </c>
    </row>
    <row r="70" spans="1:21" x14ac:dyDescent="0.25">
      <c r="A70" s="9" t="s">
        <v>44</v>
      </c>
      <c r="B70" s="9"/>
      <c r="C70" s="17">
        <v>1001.3349609375</v>
      </c>
      <c r="D70" s="18">
        <v>38.713000000000001</v>
      </c>
      <c r="E70" s="18">
        <v>44.073</v>
      </c>
      <c r="F70" s="18">
        <v>45.215000000000003</v>
      </c>
      <c r="G70" s="18">
        <v>89.99</v>
      </c>
      <c r="H70" s="18">
        <f t="shared" si="0"/>
        <v>40.195750000000004</v>
      </c>
      <c r="I70" s="5"/>
      <c r="J70" s="17">
        <v>986.42079999999999</v>
      </c>
      <c r="K70" s="18">
        <v>40.0242</v>
      </c>
      <c r="L70" s="18">
        <v>44.6479</v>
      </c>
      <c r="M70" s="18">
        <v>45.768099999999997</v>
      </c>
      <c r="N70" s="18">
        <v>161.59440000000001</v>
      </c>
      <c r="O70" s="18">
        <f t="shared" si="1"/>
        <v>41.320149999999998</v>
      </c>
      <c r="P70" s="7"/>
      <c r="Q70" s="10"/>
      <c r="R70" s="11"/>
      <c r="S70" s="11"/>
      <c r="T70" s="26"/>
      <c r="U70" s="28">
        <f t="shared" si="2"/>
        <v>0.79569285476164031</v>
      </c>
    </row>
    <row r="71" spans="1:21" x14ac:dyDescent="0.25">
      <c r="B71" s="9"/>
      <c r="C71" s="17">
        <v>601.8681640625</v>
      </c>
      <c r="D71" s="18">
        <v>36.634999999999998</v>
      </c>
      <c r="E71" s="18">
        <v>42.488999999999997</v>
      </c>
      <c r="F71" s="18">
        <v>43.558</v>
      </c>
      <c r="G71" s="18">
        <v>94.96</v>
      </c>
      <c r="H71" s="18">
        <f t="shared" si="0"/>
        <v>38.232124999999996</v>
      </c>
      <c r="I71" s="5"/>
      <c r="J71" s="17">
        <v>573.16399999999999</v>
      </c>
      <c r="K71" s="18">
        <v>38.069299999999998</v>
      </c>
      <c r="L71" s="18">
        <v>43.231900000000003</v>
      </c>
      <c r="M71" s="18">
        <v>44.290999999999997</v>
      </c>
      <c r="N71" s="18">
        <v>186.6833</v>
      </c>
      <c r="O71" s="18">
        <f t="shared" si="1"/>
        <v>39.492337499999998</v>
      </c>
      <c r="P71" s="7"/>
      <c r="Q71" s="10"/>
      <c r="R71" s="11"/>
      <c r="S71" s="11"/>
      <c r="T71" s="26"/>
      <c r="U71" s="28">
        <f t="shared" si="2"/>
        <v>0.96591512215669773</v>
      </c>
    </row>
    <row r="72" spans="1:21" ht="16.5" thickBot="1" x14ac:dyDescent="0.3">
      <c r="B72" s="12"/>
      <c r="C72" s="19">
        <v>302.0390625</v>
      </c>
      <c r="D72" s="20">
        <v>33.006</v>
      </c>
      <c r="E72" s="20">
        <v>39.960999999999999</v>
      </c>
      <c r="F72" s="20">
        <v>40.743000000000002</v>
      </c>
      <c r="G72" s="20">
        <v>102.44</v>
      </c>
      <c r="H72" s="20">
        <f t="shared" si="0"/>
        <v>34.842500000000001</v>
      </c>
      <c r="I72" s="5"/>
      <c r="J72" s="19">
        <v>281.01760000000002</v>
      </c>
      <c r="K72" s="20">
        <v>34.960299999999997</v>
      </c>
      <c r="L72" s="20">
        <v>41.508299999999998</v>
      </c>
      <c r="M72" s="20">
        <v>42.487499999999997</v>
      </c>
      <c r="N72" s="20">
        <v>224.88759999999999</v>
      </c>
      <c r="O72" s="20">
        <f t="shared" si="1"/>
        <v>36.719699999999996</v>
      </c>
      <c r="P72" s="7"/>
      <c r="Q72" s="13"/>
      <c r="R72" s="14"/>
      <c r="S72" s="14"/>
      <c r="T72" s="27"/>
      <c r="U72" s="28">
        <f t="shared" si="2"/>
        <v>1.195310425614994</v>
      </c>
    </row>
    <row r="73" spans="1:21" x14ac:dyDescent="0.25">
      <c r="B73" s="6" t="s">
        <v>62</v>
      </c>
      <c r="C73" s="15">
        <v>1506.7958984375</v>
      </c>
      <c r="D73" s="16">
        <v>41.268999999999998</v>
      </c>
      <c r="E73" s="16">
        <v>47.134</v>
      </c>
      <c r="F73" s="16">
        <v>47.774000000000001</v>
      </c>
      <c r="G73" s="16">
        <v>82.83</v>
      </c>
      <c r="H73" s="16">
        <f t="shared" si="0"/>
        <v>42.815249999999999</v>
      </c>
      <c r="I73" s="5"/>
      <c r="J73" s="15">
        <v>1489.2632000000001</v>
      </c>
      <c r="K73" s="16">
        <v>42.495600000000003</v>
      </c>
      <c r="L73" s="16">
        <v>47.5899</v>
      </c>
      <c r="M73" s="16">
        <v>48.215800000000002</v>
      </c>
      <c r="N73" s="16">
        <v>158.2696</v>
      </c>
      <c r="O73" s="16">
        <f t="shared" si="1"/>
        <v>43.847412500000004</v>
      </c>
      <c r="P73" s="7"/>
      <c r="Q73" s="8">
        <f>bdrate(C73:C76,D73:D76,J73:J76,K73:K76)</f>
        <v>-0.52456949908464101</v>
      </c>
      <c r="R73" s="8">
        <f>bdrate(C73:C76,E73:E76,J73:J76,L73:L76)</f>
        <v>-0.38216051594378886</v>
      </c>
      <c r="S73" s="8">
        <f>bdrate(C73:C76,F73:F76,J73:J76,M73:M76)</f>
        <v>-0.36673872997924151</v>
      </c>
      <c r="T73" s="25">
        <f>bdrate(C73:C76,H73:H76,J73:J76,O73:O76)</f>
        <v>-0.49117598874244262</v>
      </c>
      <c r="U73" s="28">
        <f t="shared" ref="U73:U124" si="3">(N73-G73)/G73</f>
        <v>0.91077628878425687</v>
      </c>
    </row>
    <row r="74" spans="1:21" x14ac:dyDescent="0.25">
      <c r="B74" s="9"/>
      <c r="C74" s="17">
        <v>999.5673828125</v>
      </c>
      <c r="D74" s="18">
        <v>40.593000000000004</v>
      </c>
      <c r="E74" s="18">
        <v>46.487000000000002</v>
      </c>
      <c r="F74" s="18">
        <v>47.093000000000004</v>
      </c>
      <c r="G74" s="18">
        <v>89</v>
      </c>
      <c r="H74" s="18">
        <f t="shared" si="0"/>
        <v>42.142250000000004</v>
      </c>
      <c r="I74" s="5"/>
      <c r="J74" s="17">
        <v>978.17200000000003</v>
      </c>
      <c r="K74" s="18">
        <v>41.926699999999997</v>
      </c>
      <c r="L74" s="18">
        <v>47.110900000000001</v>
      </c>
      <c r="M74" s="18">
        <v>47.775500000000001</v>
      </c>
      <c r="N74" s="18">
        <v>183.15020000000001</v>
      </c>
      <c r="O74" s="18">
        <f t="shared" si="1"/>
        <v>43.305824999999999</v>
      </c>
      <c r="P74" s="7"/>
      <c r="Q74" s="10"/>
      <c r="R74" s="11"/>
      <c r="S74" s="11"/>
      <c r="T74" s="26"/>
      <c r="U74" s="28">
        <f t="shared" si="3"/>
        <v>1.0578674157303372</v>
      </c>
    </row>
    <row r="75" spans="1:21" x14ac:dyDescent="0.25">
      <c r="B75" s="9"/>
      <c r="C75" s="17">
        <v>603.232421875</v>
      </c>
      <c r="D75" s="18">
        <v>39.481000000000002</v>
      </c>
      <c r="E75" s="18">
        <v>45.271000000000001</v>
      </c>
      <c r="F75" s="18">
        <v>45.871000000000002</v>
      </c>
      <c r="G75" s="18">
        <v>93.15</v>
      </c>
      <c r="H75" s="18">
        <f t="shared" si="0"/>
        <v>41.003500000000003</v>
      </c>
      <c r="I75" s="5"/>
      <c r="J75" s="17">
        <v>581.53599999999994</v>
      </c>
      <c r="K75" s="18">
        <v>41.0428</v>
      </c>
      <c r="L75" s="18">
        <v>46.288499999999999</v>
      </c>
      <c r="M75" s="18">
        <v>46.861499999999999</v>
      </c>
      <c r="N75" s="18">
        <v>205.6908</v>
      </c>
      <c r="O75" s="18">
        <f t="shared" si="1"/>
        <v>42.425849999999997</v>
      </c>
      <c r="P75" s="7"/>
      <c r="Q75" s="10"/>
      <c r="R75" s="11"/>
      <c r="S75" s="11"/>
      <c r="T75" s="26"/>
      <c r="U75" s="28">
        <f t="shared" si="3"/>
        <v>1.2081674718196456</v>
      </c>
    </row>
    <row r="76" spans="1:21" ht="16.5" thickBot="1" x14ac:dyDescent="0.3">
      <c r="B76" s="12"/>
      <c r="C76" s="19">
        <v>296.3916015625</v>
      </c>
      <c r="D76" s="20">
        <v>37.203000000000003</v>
      </c>
      <c r="E76" s="20">
        <v>43.01</v>
      </c>
      <c r="F76" s="20">
        <v>43.469000000000001</v>
      </c>
      <c r="G76" s="20">
        <v>100.43</v>
      </c>
      <c r="H76" s="20">
        <f t="shared" si="0"/>
        <v>38.712125</v>
      </c>
      <c r="I76" s="5"/>
      <c r="J76" s="19">
        <v>282.23039999999997</v>
      </c>
      <c r="K76" s="20">
        <v>39.269500000000001</v>
      </c>
      <c r="L76" s="20">
        <v>44.686799999999998</v>
      </c>
      <c r="M76" s="20">
        <v>45.073399999999999</v>
      </c>
      <c r="N76" s="20">
        <v>235.9418</v>
      </c>
      <c r="O76" s="20">
        <f t="shared" si="1"/>
        <v>40.672150000000002</v>
      </c>
      <c r="P76" s="7"/>
      <c r="Q76" s="13"/>
      <c r="R76" s="14"/>
      <c r="S76" s="14"/>
      <c r="T76" s="27"/>
      <c r="U76" s="28">
        <f t="shared" si="3"/>
        <v>1.3493159414517573</v>
      </c>
    </row>
    <row r="77" spans="1:21" x14ac:dyDescent="0.25">
      <c r="B77" s="6" t="s">
        <v>63</v>
      </c>
      <c r="C77" s="15">
        <v>1500.056640625</v>
      </c>
      <c r="D77" s="16">
        <v>41.063000000000002</v>
      </c>
      <c r="E77" s="16">
        <v>46.079000000000001</v>
      </c>
      <c r="F77" s="16">
        <v>46.933999999999997</v>
      </c>
      <c r="G77" s="16">
        <v>81</v>
      </c>
      <c r="H77" s="16">
        <f t="shared" si="0"/>
        <v>42.423874999999995</v>
      </c>
      <c r="I77" s="5"/>
      <c r="J77" s="15">
        <v>1533.5840000000001</v>
      </c>
      <c r="K77" s="16">
        <v>42.365499999999997</v>
      </c>
      <c r="L77" s="16">
        <v>46.6676</v>
      </c>
      <c r="M77" s="16">
        <v>47.529800000000002</v>
      </c>
      <c r="N77" s="16">
        <v>139.37280000000001</v>
      </c>
      <c r="O77" s="16">
        <f t="shared" si="1"/>
        <v>43.5488</v>
      </c>
      <c r="P77" s="7"/>
      <c r="Q77" s="8">
        <f>bdrate(C77:C80,D77:D80,J77:J80,K77:K80)</f>
        <v>-0.4304646538678748</v>
      </c>
      <c r="R77" s="8">
        <f>bdrate(C77:C80,E77:E80,J77:J80,L77:L80)</f>
        <v>-0.30994376629074738</v>
      </c>
      <c r="S77" s="8">
        <f>bdrate(C77:C80,F77:F80,J77:J80,M77:M80)</f>
        <v>-0.30857638620425221</v>
      </c>
      <c r="T77" s="25">
        <f>bdrate(C77:C80,H77:H80,J77:J80,O77:O80)</f>
        <v>-0.40614280862414587</v>
      </c>
      <c r="U77" s="28">
        <f t="shared" si="3"/>
        <v>0.72065185185185199</v>
      </c>
    </row>
    <row r="78" spans="1:21" x14ac:dyDescent="0.25">
      <c r="B78" s="9"/>
      <c r="C78" s="17">
        <v>1003.35546875</v>
      </c>
      <c r="D78" s="18">
        <v>39.994999999999997</v>
      </c>
      <c r="E78" s="18">
        <v>45.212000000000003</v>
      </c>
      <c r="F78" s="18">
        <v>46.029000000000003</v>
      </c>
      <c r="G78" s="18">
        <v>86.51</v>
      </c>
      <c r="H78" s="18">
        <f t="shared" si="0"/>
        <v>41.401374999999994</v>
      </c>
      <c r="I78" s="5"/>
      <c r="J78" s="17">
        <v>1015.1448</v>
      </c>
      <c r="K78" s="18">
        <v>41.539499999999997</v>
      </c>
      <c r="L78" s="18">
        <v>45.952300000000001</v>
      </c>
      <c r="M78" s="18">
        <v>46.790599999999998</v>
      </c>
      <c r="N78" s="18">
        <v>160.25640000000001</v>
      </c>
      <c r="O78" s="18">
        <f t="shared" si="1"/>
        <v>42.747487499999991</v>
      </c>
      <c r="P78" s="7"/>
      <c r="Q78" s="10"/>
      <c r="R78" s="11"/>
      <c r="S78" s="11"/>
      <c r="T78" s="26"/>
      <c r="U78" s="28">
        <f t="shared" si="3"/>
        <v>0.85246098716911345</v>
      </c>
    </row>
    <row r="79" spans="1:21" x14ac:dyDescent="0.25">
      <c r="B79" s="9"/>
      <c r="C79" s="17">
        <v>606.22265625</v>
      </c>
      <c r="D79" s="18">
        <v>38.238999999999997</v>
      </c>
      <c r="E79" s="18">
        <v>43.698</v>
      </c>
      <c r="F79" s="18">
        <v>44.500999999999998</v>
      </c>
      <c r="G79" s="18">
        <v>91.91</v>
      </c>
      <c r="H79" s="18">
        <f t="shared" si="0"/>
        <v>39.704124999999991</v>
      </c>
      <c r="I79" s="5"/>
      <c r="J79" s="17">
        <v>607.14480000000003</v>
      </c>
      <c r="K79" s="18">
        <v>40.185600000000001</v>
      </c>
      <c r="L79" s="18">
        <v>44.791699999999999</v>
      </c>
      <c r="M79" s="18">
        <v>45.599200000000003</v>
      </c>
      <c r="N79" s="18">
        <v>182.31540000000001</v>
      </c>
      <c r="O79" s="18">
        <f t="shared" si="1"/>
        <v>41.438062500000001</v>
      </c>
      <c r="P79" s="7"/>
      <c r="Q79" s="10"/>
      <c r="R79" s="11"/>
      <c r="S79" s="11"/>
      <c r="T79" s="26"/>
      <c r="U79" s="28">
        <f t="shared" si="3"/>
        <v>0.98362963768904377</v>
      </c>
    </row>
    <row r="80" spans="1:21" ht="16.5" thickBot="1" x14ac:dyDescent="0.3">
      <c r="B80" s="12"/>
      <c r="C80" s="19">
        <v>303.068359375</v>
      </c>
      <c r="D80" s="20">
        <v>35.055999999999997</v>
      </c>
      <c r="E80" s="20">
        <v>41.009</v>
      </c>
      <c r="F80" s="20">
        <v>41.789000000000001</v>
      </c>
      <c r="G80" s="20">
        <v>104.83</v>
      </c>
      <c r="H80" s="20">
        <f t="shared" si="0"/>
        <v>36.641749999999995</v>
      </c>
      <c r="I80" s="5"/>
      <c r="J80" s="19">
        <v>295.36</v>
      </c>
      <c r="K80" s="20">
        <v>37.505000000000003</v>
      </c>
      <c r="L80" s="20">
        <v>42.6785</v>
      </c>
      <c r="M80" s="20">
        <v>43.482599999999998</v>
      </c>
      <c r="N80" s="20">
        <v>217.3126</v>
      </c>
      <c r="O80" s="20">
        <f t="shared" si="1"/>
        <v>38.898887500000001</v>
      </c>
      <c r="P80" s="7"/>
      <c r="Q80" s="13"/>
      <c r="R80" s="14"/>
      <c r="S80" s="14"/>
      <c r="T80" s="27"/>
      <c r="U80" s="28">
        <f t="shared" si="3"/>
        <v>1.0730000953925403</v>
      </c>
    </row>
    <row r="81" spans="1:21" x14ac:dyDescent="0.25">
      <c r="A81" s="6" t="s">
        <v>99</v>
      </c>
      <c r="B81" s="6" t="s">
        <v>100</v>
      </c>
      <c r="C81" s="15">
        <v>1458.4326171875</v>
      </c>
      <c r="D81" s="16">
        <v>44.305</v>
      </c>
      <c r="E81" s="16">
        <v>49.655000000000001</v>
      </c>
      <c r="F81" s="16">
        <v>50.122</v>
      </c>
      <c r="G81" s="16">
        <v>65.239999999999995</v>
      </c>
      <c r="H81" s="16">
        <f t="shared" ref="H81:H124" si="4">(6*D81+E81+F81)/8</f>
        <v>45.700875000000003</v>
      </c>
      <c r="I81" s="5"/>
      <c r="J81" s="15">
        <v>1297.1221</v>
      </c>
      <c r="K81" s="16">
        <v>42.944200000000002</v>
      </c>
      <c r="L81" s="16">
        <v>48.268700000000003</v>
      </c>
      <c r="M81" s="16">
        <v>49.5762</v>
      </c>
      <c r="N81" s="16">
        <v>87.809200000000004</v>
      </c>
      <c r="O81" s="16">
        <f t="shared" ref="O81:O124" si="5">(6*K81+L81+M81)/8</f>
        <v>44.43876250000001</v>
      </c>
      <c r="P81" s="7"/>
      <c r="Q81" s="8">
        <f>bdrate(C81:C84,D81:D84,J81:J84,K81:K84)</f>
        <v>-0.15887648783477148</v>
      </c>
      <c r="R81" s="8">
        <f>bdrate(C81:C84,E81:E84,J81:J84,L81:L84)</f>
        <v>-0.15747722415929377</v>
      </c>
      <c r="S81" s="8">
        <f>bdrate(C81:C84,F81:F84,J81:J84,M81:M84)</f>
        <v>-0.26705975551017791</v>
      </c>
      <c r="T81" s="25">
        <f>bdrate(C81:C84,H81:H84,J81:J84,O81:O84)</f>
        <v>-0.16938518111449408</v>
      </c>
      <c r="U81" s="28">
        <f t="shared" si="3"/>
        <v>0.3459411404046599</v>
      </c>
    </row>
    <row r="82" spans="1:21" x14ac:dyDescent="0.25">
      <c r="A82" s="9" t="s">
        <v>77</v>
      </c>
      <c r="B82" s="9"/>
      <c r="C82" s="17">
        <v>1025.666015625</v>
      </c>
      <c r="D82" s="18">
        <v>42.235999999999997</v>
      </c>
      <c r="E82" s="18">
        <v>47.847999999999999</v>
      </c>
      <c r="F82" s="18">
        <v>48.381</v>
      </c>
      <c r="G82" s="18">
        <v>70.77</v>
      </c>
      <c r="H82" s="18">
        <f t="shared" si="4"/>
        <v>43.705624999999998</v>
      </c>
      <c r="I82" s="5"/>
      <c r="J82" s="17">
        <v>894.16160000000002</v>
      </c>
      <c r="K82" s="18">
        <v>41.520099999999999</v>
      </c>
      <c r="L82" s="18">
        <v>47.692399999999999</v>
      </c>
      <c r="M82" s="18">
        <v>48.504600000000003</v>
      </c>
      <c r="N82" s="18">
        <v>103.02200000000001</v>
      </c>
      <c r="O82" s="18">
        <f t="shared" si="5"/>
        <v>43.164699999999996</v>
      </c>
      <c r="P82" s="7"/>
      <c r="Q82" s="10"/>
      <c r="R82" s="11"/>
      <c r="S82" s="11"/>
      <c r="T82" s="26"/>
      <c r="U82" s="28">
        <f t="shared" si="3"/>
        <v>0.45572982902359771</v>
      </c>
    </row>
    <row r="83" spans="1:21" x14ac:dyDescent="0.25">
      <c r="B83" s="9"/>
      <c r="C83" s="17">
        <v>679.900390625</v>
      </c>
      <c r="D83" s="18">
        <v>39.457000000000001</v>
      </c>
      <c r="E83" s="18">
        <v>45.625999999999998</v>
      </c>
      <c r="F83" s="18">
        <v>46.271999999999998</v>
      </c>
      <c r="G83" s="18">
        <v>77.75</v>
      </c>
      <c r="H83" s="18">
        <f t="shared" si="4"/>
        <v>41.08</v>
      </c>
      <c r="I83" s="5"/>
      <c r="J83" s="17">
        <v>554.78809999999999</v>
      </c>
      <c r="K83" s="18">
        <v>39.314</v>
      </c>
      <c r="L83" s="18">
        <v>45.173499999999997</v>
      </c>
      <c r="M83" s="18">
        <v>46.970999999999997</v>
      </c>
      <c r="N83" s="18">
        <v>124.602</v>
      </c>
      <c r="O83" s="18">
        <f t="shared" si="5"/>
        <v>41.003562500000001</v>
      </c>
      <c r="P83" s="7"/>
      <c r="Q83" s="10"/>
      <c r="R83" s="11"/>
      <c r="S83" s="11"/>
      <c r="T83" s="26"/>
      <c r="U83" s="28">
        <f t="shared" si="3"/>
        <v>0.60259807073954985</v>
      </c>
    </row>
    <row r="84" spans="1:21" ht="16.5" thickBot="1" x14ac:dyDescent="0.3">
      <c r="B84" s="12"/>
      <c r="C84" s="19">
        <v>453.0390625</v>
      </c>
      <c r="D84" s="20">
        <v>35.972000000000001</v>
      </c>
      <c r="E84" s="20">
        <v>42.774000000000001</v>
      </c>
      <c r="F84" s="20">
        <v>43.664999999999999</v>
      </c>
      <c r="G84" s="20">
        <v>80.900000000000006</v>
      </c>
      <c r="H84" s="20">
        <f t="shared" si="4"/>
        <v>37.783875000000002</v>
      </c>
      <c r="I84" s="5"/>
      <c r="J84" s="19">
        <v>287.1952</v>
      </c>
      <c r="K84" s="20">
        <v>36.445799999999998</v>
      </c>
      <c r="L84" s="20">
        <v>43.585299999999997</v>
      </c>
      <c r="M84" s="20">
        <v>44.997100000000003</v>
      </c>
      <c r="N84" s="20">
        <v>162.0454</v>
      </c>
      <c r="O84" s="20">
        <f t="shared" si="5"/>
        <v>38.407150000000001</v>
      </c>
      <c r="P84" s="7"/>
      <c r="Q84" s="13"/>
      <c r="R84" s="14"/>
      <c r="S84" s="14"/>
      <c r="T84" s="27"/>
      <c r="U84" s="28">
        <f t="shared" si="3"/>
        <v>1.0030333745364646</v>
      </c>
    </row>
    <row r="85" spans="1:21" x14ac:dyDescent="0.25">
      <c r="B85" s="6" t="s">
        <v>101</v>
      </c>
      <c r="C85" s="15">
        <v>1625.017578125</v>
      </c>
      <c r="D85" s="16">
        <v>50.427</v>
      </c>
      <c r="E85" s="16">
        <v>51.241999999999997</v>
      </c>
      <c r="F85" s="16">
        <v>51.607999999999997</v>
      </c>
      <c r="G85" s="16">
        <v>131.77000000000001</v>
      </c>
      <c r="H85" s="16">
        <f t="shared" si="4"/>
        <v>50.676500000000004</v>
      </c>
      <c r="I85" s="5"/>
      <c r="J85" s="15">
        <v>1444.1076</v>
      </c>
      <c r="K85" s="16">
        <v>51.512799999999999</v>
      </c>
      <c r="L85" s="16">
        <v>51.985500000000002</v>
      </c>
      <c r="M85" s="16">
        <v>52.438600000000001</v>
      </c>
      <c r="N85" s="16">
        <v>121.976</v>
      </c>
      <c r="O85" s="16">
        <f t="shared" si="5"/>
        <v>51.6876125</v>
      </c>
      <c r="P85" s="7"/>
      <c r="Q85" s="8">
        <f>bdrate(C85:C88,D85:D88,J85:J88,K85:K88)</f>
        <v>-0.3108725445902274</v>
      </c>
      <c r="R85" s="8">
        <f>bdrate(C85:C88,E85:E88,J85:J88,L85:L88)</f>
        <v>-0.31610990904836256</v>
      </c>
      <c r="S85" s="8">
        <f>bdrate(C85:C88,F85:F88,J85:J88,M85:M88)</f>
        <v>-0.32927301137150555</v>
      </c>
      <c r="T85" s="25">
        <f>bdrate(C85:C88,H85:H88,J85:J88,O85:O88)</f>
        <v>-0.31373956364023325</v>
      </c>
      <c r="U85" s="28">
        <f t="shared" si="3"/>
        <v>-7.4326477954010858E-2</v>
      </c>
    </row>
    <row r="86" spans="1:21" x14ac:dyDescent="0.25">
      <c r="B86" s="9"/>
      <c r="C86" s="17">
        <v>1138.873046875</v>
      </c>
      <c r="D86" s="18">
        <v>48.231000000000002</v>
      </c>
      <c r="E86" s="18">
        <v>49.192999999999998</v>
      </c>
      <c r="F86" s="18">
        <v>49.595999999999997</v>
      </c>
      <c r="G86" s="18">
        <v>138.29</v>
      </c>
      <c r="H86" s="18">
        <f t="shared" si="4"/>
        <v>48.521875000000001</v>
      </c>
      <c r="I86" s="5"/>
      <c r="J86" s="17">
        <v>979.04359999999997</v>
      </c>
      <c r="K86" s="18">
        <v>49.460799999999999</v>
      </c>
      <c r="L86" s="18">
        <v>50.2089</v>
      </c>
      <c r="M86" s="18">
        <v>50.703400000000002</v>
      </c>
      <c r="N86" s="18">
        <v>174.5539</v>
      </c>
      <c r="O86" s="18">
        <f t="shared" si="5"/>
        <v>49.709637499999999</v>
      </c>
      <c r="P86" s="7"/>
      <c r="Q86" s="10"/>
      <c r="R86" s="11"/>
      <c r="S86" s="11"/>
      <c r="T86" s="26"/>
      <c r="U86" s="28">
        <f t="shared" si="3"/>
        <v>0.26223081929279057</v>
      </c>
    </row>
    <row r="87" spans="1:21" x14ac:dyDescent="0.25">
      <c r="B87" s="9"/>
      <c r="C87" s="17">
        <v>717.3173828125</v>
      </c>
      <c r="D87" s="18">
        <v>45.372999999999998</v>
      </c>
      <c r="E87" s="18">
        <v>46.552</v>
      </c>
      <c r="F87" s="18">
        <v>46.976999999999997</v>
      </c>
      <c r="G87" s="18">
        <v>146.43</v>
      </c>
      <c r="H87" s="18">
        <f t="shared" si="4"/>
        <v>45.720874999999999</v>
      </c>
      <c r="I87" s="5"/>
      <c r="J87" s="17">
        <v>596.30399999999997</v>
      </c>
      <c r="K87" s="18">
        <v>46.563499999999998</v>
      </c>
      <c r="L87" s="18">
        <v>47.719700000000003</v>
      </c>
      <c r="M87" s="18">
        <v>48.228999999999999</v>
      </c>
      <c r="N87" s="18">
        <v>202.06559999999999</v>
      </c>
      <c r="O87" s="18">
        <f t="shared" si="5"/>
        <v>46.916212499999993</v>
      </c>
      <c r="P87" s="7"/>
      <c r="Q87" s="10"/>
      <c r="R87" s="11"/>
      <c r="S87" s="11"/>
      <c r="T87" s="26"/>
      <c r="U87" s="28">
        <f t="shared" si="3"/>
        <v>0.37994673222700254</v>
      </c>
    </row>
    <row r="88" spans="1:21" ht="16.5" thickBot="1" x14ac:dyDescent="0.3">
      <c r="B88" s="12"/>
      <c r="C88" s="19">
        <v>397.3798828125</v>
      </c>
      <c r="D88" s="20">
        <v>41.73</v>
      </c>
      <c r="E88" s="20">
        <v>43.246000000000002</v>
      </c>
      <c r="F88" s="20">
        <v>43.640999999999998</v>
      </c>
      <c r="G88" s="20">
        <v>152.85</v>
      </c>
      <c r="H88" s="20">
        <f t="shared" si="4"/>
        <v>42.158374999999999</v>
      </c>
      <c r="I88" s="5"/>
      <c r="J88" s="19">
        <v>299.80880000000002</v>
      </c>
      <c r="K88" s="20">
        <v>42.355699999999999</v>
      </c>
      <c r="L88" s="20">
        <v>44.025799999999997</v>
      </c>
      <c r="M88" s="20">
        <v>44.560299999999998</v>
      </c>
      <c r="N88" s="20">
        <v>228.48439999999999</v>
      </c>
      <c r="O88" s="20">
        <f t="shared" si="5"/>
        <v>42.840037499999994</v>
      </c>
      <c r="P88" s="7"/>
      <c r="Q88" s="13"/>
      <c r="R88" s="14"/>
      <c r="S88" s="14"/>
      <c r="T88" s="27"/>
      <c r="U88" s="28">
        <f t="shared" si="3"/>
        <v>0.49482760876676479</v>
      </c>
    </row>
    <row r="89" spans="1:21" x14ac:dyDescent="0.25">
      <c r="B89" s="6" t="s">
        <v>102</v>
      </c>
      <c r="C89" s="15">
        <v>1806.998046875</v>
      </c>
      <c r="D89" s="16">
        <v>40.75</v>
      </c>
      <c r="E89" s="16">
        <v>43.576000000000001</v>
      </c>
      <c r="F89" s="16">
        <v>43.966999999999999</v>
      </c>
      <c r="G89" s="16">
        <v>74.010000000000005</v>
      </c>
      <c r="H89" s="16">
        <f t="shared" si="4"/>
        <v>41.505375000000001</v>
      </c>
      <c r="I89" s="5"/>
      <c r="J89" s="15">
        <v>1494.6523999999999</v>
      </c>
      <c r="K89" s="16">
        <v>42.216900000000003</v>
      </c>
      <c r="L89" s="16">
        <v>44.532499999999999</v>
      </c>
      <c r="M89" s="16">
        <v>44.949599999999997</v>
      </c>
      <c r="N89" s="16">
        <v>95.597200000000001</v>
      </c>
      <c r="O89" s="16">
        <f t="shared" si="5"/>
        <v>42.847937499999993</v>
      </c>
      <c r="P89" s="7"/>
      <c r="Q89" s="8">
        <f>bdrate(C89:C92,D89:D92,J89:J92,K89:K92)</f>
        <v>-0.41605822118252644</v>
      </c>
      <c r="R89" s="8">
        <f>bdrate(C89:C92,E89:E92,J89:J92,L89:L92)</f>
        <v>-0.45633933640921276</v>
      </c>
      <c r="S89" s="8">
        <f>bdrate(C89:C92,F89:F92,J89:J92,M89:M92)</f>
        <v>-0.46039267775473092</v>
      </c>
      <c r="T89" s="25">
        <f>bdrate(C89:C92,H89:H92,J89:J92,O89:O92)</f>
        <v>-0.42556269531371937</v>
      </c>
      <c r="U89" s="28">
        <f t="shared" si="3"/>
        <v>0.2916795027698959</v>
      </c>
    </row>
    <row r="90" spans="1:21" x14ac:dyDescent="0.25">
      <c r="B90" s="9"/>
      <c r="C90" s="17">
        <v>1277.310546875</v>
      </c>
      <c r="D90" s="18">
        <v>38.912999999999997</v>
      </c>
      <c r="E90" s="18">
        <v>42.048000000000002</v>
      </c>
      <c r="F90" s="18">
        <v>42.47</v>
      </c>
      <c r="G90" s="18">
        <v>78.989999999999995</v>
      </c>
      <c r="H90" s="18">
        <f t="shared" si="4"/>
        <v>39.749499999999998</v>
      </c>
      <c r="I90" s="5"/>
      <c r="J90" s="17">
        <v>996.88720000000001</v>
      </c>
      <c r="K90" s="18">
        <v>40.240099999999998</v>
      </c>
      <c r="L90" s="18">
        <v>43.122100000000003</v>
      </c>
      <c r="M90" s="18">
        <v>43.546599999999998</v>
      </c>
      <c r="N90" s="18">
        <v>127.36150000000001</v>
      </c>
      <c r="O90" s="18">
        <f t="shared" si="5"/>
        <v>41.013662500000002</v>
      </c>
      <c r="P90" s="7"/>
      <c r="Q90" s="10"/>
      <c r="R90" s="11"/>
      <c r="S90" s="11"/>
      <c r="T90" s="26"/>
      <c r="U90" s="28">
        <f t="shared" si="3"/>
        <v>0.61237498417521219</v>
      </c>
    </row>
    <row r="91" spans="1:21" x14ac:dyDescent="0.25">
      <c r="B91" s="9"/>
      <c r="C91" s="17">
        <v>834.0654296875</v>
      </c>
      <c r="D91" s="18">
        <v>36.640999999999998</v>
      </c>
      <c r="E91" s="18">
        <v>40.207999999999998</v>
      </c>
      <c r="F91" s="18">
        <v>40.619999999999997</v>
      </c>
      <c r="G91" s="18">
        <v>83.01</v>
      </c>
      <c r="H91" s="18">
        <f t="shared" si="4"/>
        <v>37.584249999999997</v>
      </c>
      <c r="I91" s="5"/>
      <c r="J91" s="17">
        <v>600.81989999999996</v>
      </c>
      <c r="K91" s="18">
        <v>37.759</v>
      </c>
      <c r="L91" s="18">
        <v>41.401200000000003</v>
      </c>
      <c r="M91" s="18">
        <v>41.845399999999998</v>
      </c>
      <c r="N91" s="18">
        <v>149.452</v>
      </c>
      <c r="O91" s="18">
        <f t="shared" si="5"/>
        <v>38.725074999999997</v>
      </c>
      <c r="P91" s="7"/>
      <c r="Q91" s="10"/>
      <c r="R91" s="11"/>
      <c r="S91" s="11"/>
      <c r="T91" s="26"/>
      <c r="U91" s="28">
        <f t="shared" si="3"/>
        <v>0.8004095892061196</v>
      </c>
    </row>
    <row r="92" spans="1:21" ht="16.5" thickBot="1" x14ac:dyDescent="0.3">
      <c r="B92" s="12"/>
      <c r="C92" s="19">
        <v>498.79296875</v>
      </c>
      <c r="D92" s="20">
        <v>33.728000000000002</v>
      </c>
      <c r="E92" s="20">
        <v>37.898000000000003</v>
      </c>
      <c r="F92" s="20">
        <v>38.402000000000001</v>
      </c>
      <c r="G92" s="20">
        <v>86.76</v>
      </c>
      <c r="H92" s="20">
        <f t="shared" si="4"/>
        <v>34.833500000000001</v>
      </c>
      <c r="I92" s="5"/>
      <c r="J92" s="19">
        <v>304.15249999999997</v>
      </c>
      <c r="K92" s="20">
        <v>34.2423</v>
      </c>
      <c r="L92" s="20">
        <v>39.131700000000002</v>
      </c>
      <c r="M92" s="20">
        <v>39.596699999999998</v>
      </c>
      <c r="N92" s="20">
        <v>181.4333</v>
      </c>
      <c r="O92" s="20">
        <f t="shared" si="5"/>
        <v>35.522774999999996</v>
      </c>
      <c r="P92" s="7"/>
      <c r="Q92" s="13"/>
      <c r="R92" s="14"/>
      <c r="S92" s="14"/>
      <c r="T92" s="27"/>
      <c r="U92" s="28">
        <f t="shared" si="3"/>
        <v>1.0912090825265097</v>
      </c>
    </row>
    <row r="93" spans="1:21" x14ac:dyDescent="0.25">
      <c r="B93" s="6" t="s">
        <v>103</v>
      </c>
      <c r="C93" s="29">
        <v>1677.7998046875</v>
      </c>
      <c r="D93" s="30">
        <v>37.116999999999997</v>
      </c>
      <c r="E93" s="30">
        <v>42.008000000000003</v>
      </c>
      <c r="F93" s="30">
        <v>42.006</v>
      </c>
      <c r="G93" s="16">
        <v>62.95</v>
      </c>
      <c r="H93" s="16">
        <f t="shared" si="4"/>
        <v>38.339500000000001</v>
      </c>
      <c r="I93" s="5"/>
      <c r="J93" s="29">
        <v>1507.0818999999999</v>
      </c>
      <c r="K93" s="30">
        <v>38.645899999999997</v>
      </c>
      <c r="L93" s="30">
        <v>43.205100000000002</v>
      </c>
      <c r="M93" s="30">
        <v>43.157200000000003</v>
      </c>
      <c r="N93" s="16">
        <v>90.216499999999996</v>
      </c>
      <c r="O93" s="16">
        <f t="shared" si="5"/>
        <v>39.779712499999995</v>
      </c>
      <c r="P93" s="7"/>
      <c r="Q93" s="8">
        <f>bdrate(C93:C96,D93:D96,J93:J96,K93:K96)</f>
        <v>-0.39734675612672143</v>
      </c>
      <c r="R93" s="8">
        <f>bdrate(C93:C96,E93:E96,J93:J96,L93:L96)</f>
        <v>-0.50064230646811392</v>
      </c>
      <c r="S93" s="8">
        <f>bdrate(C93:C96,F93:F96,J93:J96,M93:M96)</f>
        <v>-0.49887675937629394</v>
      </c>
      <c r="T93" s="25">
        <f>bdrate(C93:C96,H93:H96,J93:J96,O93:O96)</f>
        <v>-0.42037621243156043</v>
      </c>
      <c r="U93" s="28">
        <f t="shared" si="3"/>
        <v>0.43314535345512301</v>
      </c>
    </row>
    <row r="94" spans="1:21" x14ac:dyDescent="0.25">
      <c r="B94" s="9"/>
      <c r="C94" s="31">
        <v>1175.52734375</v>
      </c>
      <c r="D94" s="32">
        <v>35.341000000000001</v>
      </c>
      <c r="E94" s="32">
        <v>40.496000000000002</v>
      </c>
      <c r="F94" s="32">
        <v>40.502000000000002</v>
      </c>
      <c r="G94" s="18">
        <v>66.430000000000007</v>
      </c>
      <c r="H94" s="18">
        <f t="shared" si="4"/>
        <v>36.630499999999998</v>
      </c>
      <c r="I94" s="5"/>
      <c r="J94" s="31">
        <v>1001.9956</v>
      </c>
      <c r="K94" s="32">
        <v>36.785699999999999</v>
      </c>
      <c r="L94" s="32">
        <v>42.007599999999996</v>
      </c>
      <c r="M94" s="32">
        <v>41.985399999999998</v>
      </c>
      <c r="N94" s="18">
        <v>101.0385</v>
      </c>
      <c r="O94" s="18">
        <f t="shared" si="5"/>
        <v>38.088400000000007</v>
      </c>
      <c r="P94" s="7"/>
      <c r="Q94" s="10"/>
      <c r="R94" s="11"/>
      <c r="S94" s="11"/>
      <c r="T94" s="26"/>
      <c r="U94" s="28">
        <f t="shared" si="3"/>
        <v>0.52097696823724204</v>
      </c>
    </row>
    <row r="95" spans="1:21" x14ac:dyDescent="0.25">
      <c r="B95" s="9"/>
      <c r="C95" s="31">
        <v>724.0390625</v>
      </c>
      <c r="D95" s="32">
        <v>33.058999999999997</v>
      </c>
      <c r="E95" s="32">
        <v>38.651000000000003</v>
      </c>
      <c r="F95" s="32">
        <v>38.628999999999998</v>
      </c>
      <c r="G95" s="18">
        <v>72.64</v>
      </c>
      <c r="H95" s="18">
        <f t="shared" si="4"/>
        <v>34.454250000000002</v>
      </c>
      <c r="I95" s="5"/>
      <c r="J95" s="31">
        <v>600.79930000000002</v>
      </c>
      <c r="K95" s="32">
        <v>34.5501</v>
      </c>
      <c r="L95" s="32">
        <v>40.518000000000001</v>
      </c>
      <c r="M95" s="32">
        <v>40.517899999999997</v>
      </c>
      <c r="N95" s="18">
        <v>128.77379999999999</v>
      </c>
      <c r="O95" s="18">
        <f t="shared" si="5"/>
        <v>36.0420625</v>
      </c>
      <c r="P95" s="7"/>
      <c r="Q95" s="10"/>
      <c r="R95" s="11"/>
      <c r="S95" s="11"/>
      <c r="T95" s="26"/>
      <c r="U95" s="28">
        <f t="shared" si="3"/>
        <v>0.77276707048458138</v>
      </c>
    </row>
    <row r="96" spans="1:21" ht="16.5" thickBot="1" x14ac:dyDescent="0.3">
      <c r="B96" s="12"/>
      <c r="C96" s="33">
        <v>426.232421875</v>
      </c>
      <c r="D96" s="34">
        <v>30.484000000000002</v>
      </c>
      <c r="E96" s="34">
        <v>36.433</v>
      </c>
      <c r="F96" s="34">
        <v>36.338999999999999</v>
      </c>
      <c r="G96" s="20">
        <v>76.739999999999995</v>
      </c>
      <c r="H96" s="20">
        <f t="shared" si="4"/>
        <v>31.959499999999998</v>
      </c>
      <c r="I96" s="5"/>
      <c r="J96" s="33">
        <v>300.90199999999999</v>
      </c>
      <c r="K96" s="34">
        <v>31.565799999999999</v>
      </c>
      <c r="L96" s="34">
        <v>38.622900000000001</v>
      </c>
      <c r="M96" s="34">
        <v>38.521099999999997</v>
      </c>
      <c r="N96" s="20">
        <v>163.90459999999999</v>
      </c>
      <c r="O96" s="20">
        <f t="shared" si="5"/>
        <v>33.317349999999998</v>
      </c>
      <c r="P96" s="7"/>
      <c r="Q96" s="13"/>
      <c r="R96" s="14"/>
      <c r="S96" s="14"/>
      <c r="T96" s="27"/>
      <c r="U96" s="28">
        <f t="shared" si="3"/>
        <v>1.1358431065936929</v>
      </c>
    </row>
    <row r="97" spans="2:21" x14ac:dyDescent="0.25">
      <c r="B97" s="6" t="s">
        <v>104</v>
      </c>
      <c r="C97" s="15">
        <v>1570.998046875</v>
      </c>
      <c r="D97" s="16">
        <v>34.725999999999999</v>
      </c>
      <c r="E97" s="16">
        <v>39.396000000000001</v>
      </c>
      <c r="F97" s="16">
        <v>40.158999999999999</v>
      </c>
      <c r="G97" s="16">
        <v>69.319999999999993</v>
      </c>
      <c r="H97" s="16">
        <f t="shared" si="4"/>
        <v>35.988875</v>
      </c>
      <c r="I97" s="5"/>
      <c r="J97" s="15">
        <v>1501.2375999999999</v>
      </c>
      <c r="K97" s="16">
        <v>36.503900000000002</v>
      </c>
      <c r="L97" s="16">
        <v>41.102800000000002</v>
      </c>
      <c r="M97" s="16">
        <v>41.687899999999999</v>
      </c>
      <c r="N97" s="16">
        <v>94.577600000000004</v>
      </c>
      <c r="O97" s="16">
        <f t="shared" si="5"/>
        <v>37.726762500000007</v>
      </c>
      <c r="P97" s="7"/>
      <c r="Q97" s="8">
        <f>bdrate(C97:C100,D97:D100,J97:J100,K97:K100)</f>
        <v>-0.32910194151887784</v>
      </c>
      <c r="R97" s="8">
        <f>bdrate(C97:C100,E97:E100,J97:J100,L97:L100)</f>
        <v>-0.48787517819799842</v>
      </c>
      <c r="S97" s="8">
        <f>bdrate(C97:C100,F97:F100,J97:J100,M97:M100)</f>
        <v>-0.4640303263010227</v>
      </c>
      <c r="T97" s="25">
        <f>bdrate(C97:C100,H97:H100,J97:J100,O97:O100)</f>
        <v>-0.36462943387258395</v>
      </c>
      <c r="U97" s="28">
        <f t="shared" si="3"/>
        <v>0.36436237738026561</v>
      </c>
    </row>
    <row r="98" spans="2:21" x14ac:dyDescent="0.25">
      <c r="B98" s="9"/>
      <c r="C98" s="17">
        <v>1074.0390625</v>
      </c>
      <c r="D98" s="18">
        <v>33.055999999999997</v>
      </c>
      <c r="E98" s="18">
        <v>37.9</v>
      </c>
      <c r="F98" s="18">
        <v>38.729999999999997</v>
      </c>
      <c r="G98" s="18">
        <v>71.27</v>
      </c>
      <c r="H98" s="18">
        <f t="shared" si="4"/>
        <v>34.370750000000001</v>
      </c>
      <c r="I98" s="5"/>
      <c r="J98" s="17">
        <v>1004.2205</v>
      </c>
      <c r="K98" s="18">
        <v>34.567799999999998</v>
      </c>
      <c r="L98" s="18">
        <v>39.725000000000001</v>
      </c>
      <c r="M98" s="18">
        <v>40.366599999999998</v>
      </c>
      <c r="N98" s="18">
        <v>109.8901</v>
      </c>
      <c r="O98" s="18">
        <f t="shared" si="5"/>
        <v>35.937299999999993</v>
      </c>
      <c r="P98" s="7"/>
      <c r="Q98" s="10"/>
      <c r="R98" s="11"/>
      <c r="S98" s="11"/>
      <c r="T98" s="26"/>
      <c r="U98" s="28">
        <f t="shared" si="3"/>
        <v>0.54188438333099498</v>
      </c>
    </row>
    <row r="99" spans="2:21" x14ac:dyDescent="0.25">
      <c r="B99" s="9"/>
      <c r="C99" s="17">
        <v>660.611328125</v>
      </c>
      <c r="D99" s="18">
        <v>30.885000000000002</v>
      </c>
      <c r="E99" s="18">
        <v>35.97</v>
      </c>
      <c r="F99" s="18">
        <v>36.89</v>
      </c>
      <c r="G99" s="18">
        <v>76.849999999999994</v>
      </c>
      <c r="H99" s="18">
        <f t="shared" si="4"/>
        <v>32.271250000000002</v>
      </c>
      <c r="I99" s="5"/>
      <c r="J99" s="17">
        <v>596.04759999999999</v>
      </c>
      <c r="K99" s="18">
        <v>32.229300000000002</v>
      </c>
      <c r="L99" s="18">
        <v>38.085900000000002</v>
      </c>
      <c r="M99" s="18">
        <v>38.750900000000001</v>
      </c>
      <c r="N99" s="18">
        <v>131.27189999999999</v>
      </c>
      <c r="O99" s="18">
        <f t="shared" si="5"/>
        <v>33.776575000000008</v>
      </c>
      <c r="P99" s="7"/>
      <c r="Q99" s="10"/>
      <c r="R99" s="11"/>
      <c r="S99" s="11"/>
      <c r="T99" s="26"/>
      <c r="U99" s="28">
        <f t="shared" si="3"/>
        <v>0.70815744957709825</v>
      </c>
    </row>
    <row r="100" spans="2:21" ht="16.5" thickBot="1" x14ac:dyDescent="0.3">
      <c r="B100" s="12"/>
      <c r="C100" s="19">
        <v>408.3720703125</v>
      </c>
      <c r="D100" s="20">
        <v>28.818000000000001</v>
      </c>
      <c r="E100" s="20">
        <v>34.142000000000003</v>
      </c>
      <c r="F100" s="20">
        <v>35.043999999999997</v>
      </c>
      <c r="G100" s="20">
        <v>79.45</v>
      </c>
      <c r="H100" s="20">
        <f t="shared" si="4"/>
        <v>30.261749999999999</v>
      </c>
      <c r="I100" s="5"/>
      <c r="J100" s="19">
        <v>298.94889999999998</v>
      </c>
      <c r="K100" s="20">
        <v>29.079799999999999</v>
      </c>
      <c r="L100" s="20">
        <v>36.030799999999999</v>
      </c>
      <c r="M100" s="20">
        <v>36.807000000000002</v>
      </c>
      <c r="N100" s="20">
        <v>165.7764</v>
      </c>
      <c r="O100" s="20">
        <f t="shared" si="5"/>
        <v>30.914574999999999</v>
      </c>
      <c r="P100" s="7"/>
      <c r="Q100" s="13"/>
      <c r="R100" s="14"/>
      <c r="S100" s="14"/>
      <c r="T100" s="27"/>
      <c r="U100" s="28">
        <f t="shared" si="3"/>
        <v>1.086550031466331</v>
      </c>
    </row>
    <row r="101" spans="2:21" x14ac:dyDescent="0.25">
      <c r="B101" s="6" t="s">
        <v>105</v>
      </c>
      <c r="C101" s="15">
        <v>1618.66015625</v>
      </c>
      <c r="D101" s="16">
        <v>35.786000000000001</v>
      </c>
      <c r="E101" s="16">
        <v>41.58</v>
      </c>
      <c r="F101" s="16">
        <v>43.192999999999998</v>
      </c>
      <c r="G101" s="16">
        <v>57.44</v>
      </c>
      <c r="H101" s="16">
        <f t="shared" si="4"/>
        <v>37.436124999999997</v>
      </c>
      <c r="I101" s="5"/>
      <c r="J101" s="15">
        <v>1506.1333</v>
      </c>
      <c r="K101" s="16">
        <v>36.770000000000003</v>
      </c>
      <c r="L101" s="16">
        <v>42.726500000000001</v>
      </c>
      <c r="M101" s="16">
        <v>44.107700000000001</v>
      </c>
      <c r="N101" s="16">
        <v>90.785300000000007</v>
      </c>
      <c r="O101" s="16">
        <f t="shared" si="5"/>
        <v>38.431775000000002</v>
      </c>
      <c r="P101" s="7"/>
      <c r="Q101" s="8">
        <f>bdrate(C101:C104,D101:D104,J101:J104,K101:K104)</f>
        <v>-0.36712288059014975</v>
      </c>
      <c r="R101" s="8">
        <f>bdrate(C101:C104,E101:E104,J101:J104,L101:L104)</f>
        <v>-0.53906829922677124</v>
      </c>
      <c r="S101" s="8">
        <f>bdrate(C101:C104,F101:F104,J101:J104,M101:M104)</f>
        <v>-0.47081954254045577</v>
      </c>
      <c r="T101" s="25">
        <f>bdrate(C101:C104,H101:H104,J101:J104,O101:O104)</f>
        <v>-0.4004341933241482</v>
      </c>
      <c r="U101" s="28">
        <f t="shared" si="3"/>
        <v>0.58052402506963807</v>
      </c>
    </row>
    <row r="102" spans="2:21" x14ac:dyDescent="0.25">
      <c r="B102" s="9"/>
      <c r="C102" s="17">
        <v>1094.7587890625</v>
      </c>
      <c r="D102" s="18">
        <v>34.338000000000001</v>
      </c>
      <c r="E102" s="18">
        <v>40.399000000000001</v>
      </c>
      <c r="F102" s="18">
        <v>41.814999999999998</v>
      </c>
      <c r="G102" s="18">
        <v>61.44</v>
      </c>
      <c r="H102" s="18">
        <f t="shared" si="4"/>
        <v>36.030250000000002</v>
      </c>
      <c r="I102" s="5"/>
      <c r="J102" s="17">
        <v>1002.3924</v>
      </c>
      <c r="K102" s="18">
        <v>35.419199999999996</v>
      </c>
      <c r="L102" s="18">
        <v>41.8521</v>
      </c>
      <c r="M102" s="18">
        <v>43.092599999999997</v>
      </c>
      <c r="N102" s="18">
        <v>106.4396</v>
      </c>
      <c r="O102" s="18">
        <f t="shared" si="5"/>
        <v>37.182487500000001</v>
      </c>
      <c r="P102" s="7"/>
      <c r="Q102" s="10"/>
      <c r="R102" s="11"/>
      <c r="S102" s="11"/>
      <c r="T102" s="26"/>
      <c r="U102" s="28">
        <f t="shared" si="3"/>
        <v>0.73241536458333334</v>
      </c>
    </row>
    <row r="103" spans="2:21" x14ac:dyDescent="0.25">
      <c r="B103" s="9"/>
      <c r="C103" s="17">
        <v>658.6806640625</v>
      </c>
      <c r="D103" s="18">
        <v>32.488</v>
      </c>
      <c r="E103" s="18">
        <v>38.844000000000001</v>
      </c>
      <c r="F103" s="18">
        <v>39.917999999999999</v>
      </c>
      <c r="G103" s="18">
        <v>69.39</v>
      </c>
      <c r="H103" s="18">
        <f t="shared" si="4"/>
        <v>34.21125</v>
      </c>
      <c r="I103" s="5"/>
      <c r="J103" s="17">
        <v>601.94809999999995</v>
      </c>
      <c r="K103" s="18">
        <v>33.797699999999999</v>
      </c>
      <c r="L103" s="18">
        <v>40.790399999999998</v>
      </c>
      <c r="M103" s="18">
        <v>41.859400000000001</v>
      </c>
      <c r="N103" s="18">
        <v>125.9622</v>
      </c>
      <c r="O103" s="18">
        <f t="shared" si="5"/>
        <v>35.679500000000004</v>
      </c>
      <c r="P103" s="7"/>
      <c r="Q103" s="10"/>
      <c r="R103" s="11"/>
      <c r="S103" s="11"/>
      <c r="T103" s="26"/>
      <c r="U103" s="28">
        <f t="shared" si="3"/>
        <v>0.81527885862516203</v>
      </c>
    </row>
    <row r="104" spans="2:21" ht="16.5" thickBot="1" x14ac:dyDescent="0.3">
      <c r="B104" s="12"/>
      <c r="C104" s="19">
        <v>360.1376953125</v>
      </c>
      <c r="D104" s="20">
        <v>30.533000000000001</v>
      </c>
      <c r="E104" s="20">
        <v>36.963999999999999</v>
      </c>
      <c r="F104" s="20">
        <v>37.536000000000001</v>
      </c>
      <c r="G104" s="20">
        <v>78.260000000000005</v>
      </c>
      <c r="H104" s="20">
        <f t="shared" si="4"/>
        <v>32.212249999999997</v>
      </c>
      <c r="I104" s="5"/>
      <c r="J104" s="19">
        <v>301.84160000000003</v>
      </c>
      <c r="K104" s="20">
        <v>31.7239</v>
      </c>
      <c r="L104" s="20">
        <v>39.313299999999998</v>
      </c>
      <c r="M104" s="20">
        <v>40.1569</v>
      </c>
      <c r="N104" s="20">
        <v>160.0427</v>
      </c>
      <c r="O104" s="20">
        <f t="shared" si="5"/>
        <v>33.726700000000001</v>
      </c>
      <c r="P104" s="7"/>
      <c r="Q104" s="13"/>
      <c r="R104" s="14"/>
      <c r="S104" s="14"/>
      <c r="T104" s="27"/>
      <c r="U104" s="28">
        <f t="shared" si="3"/>
        <v>1.0450127779197544</v>
      </c>
    </row>
    <row r="105" spans="2:21" x14ac:dyDescent="0.25">
      <c r="B105" s="6" t="s">
        <v>106</v>
      </c>
      <c r="C105" s="15">
        <v>1403.8125</v>
      </c>
      <c r="D105" s="16">
        <v>44.003</v>
      </c>
      <c r="E105" s="16">
        <v>48.750999999999998</v>
      </c>
      <c r="F105" s="16">
        <v>50.404000000000003</v>
      </c>
      <c r="G105" s="16">
        <v>81.14</v>
      </c>
      <c r="H105" s="16">
        <f t="shared" si="4"/>
        <v>45.396625</v>
      </c>
      <c r="I105" s="5"/>
      <c r="J105" s="15">
        <v>1498.8607</v>
      </c>
      <c r="K105" s="16">
        <v>46.7044</v>
      </c>
      <c r="L105" s="16">
        <v>51.436700000000002</v>
      </c>
      <c r="M105" s="16">
        <v>52.938400000000001</v>
      </c>
      <c r="N105" s="16">
        <v>111.2073</v>
      </c>
      <c r="O105" s="16">
        <f t="shared" si="5"/>
        <v>48.075187499999998</v>
      </c>
      <c r="P105" s="7"/>
      <c r="Q105" s="8">
        <f>bdrate(C105:C108,D105:D108,J105:J108,K105:K108)</f>
        <v>-0.42861001014487443</v>
      </c>
      <c r="R105" s="8">
        <f>bdrate(C105:C108,E105:E108,J105:J108,L105:L108)</f>
        <v>-0.52682008340968156</v>
      </c>
      <c r="S105" s="8">
        <f>bdrate(C105:C108,F105:F108,J105:J108,M105:M108)</f>
        <v>-0.49604146608605348</v>
      </c>
      <c r="T105" s="25">
        <f>bdrate(C105:C108,H105:H108,J105:J108,O105:O108)</f>
        <v>-0.4495680669255161</v>
      </c>
      <c r="U105" s="28">
        <f t="shared" si="3"/>
        <v>0.37056075918166137</v>
      </c>
    </row>
    <row r="106" spans="2:21" x14ac:dyDescent="0.25">
      <c r="B106" s="9"/>
      <c r="C106" s="17">
        <v>1006.4443359375</v>
      </c>
      <c r="D106" s="18">
        <v>42.47</v>
      </c>
      <c r="E106" s="18">
        <v>47.372</v>
      </c>
      <c r="F106" s="18">
        <v>49.088000000000001</v>
      </c>
      <c r="G106" s="18">
        <v>87.67</v>
      </c>
      <c r="H106" s="18">
        <f t="shared" si="4"/>
        <v>43.910000000000004</v>
      </c>
      <c r="I106" s="5"/>
      <c r="J106" s="17">
        <v>1006.168</v>
      </c>
      <c r="K106" s="18">
        <v>44.961199999999998</v>
      </c>
      <c r="L106" s="18">
        <v>50.216999999999999</v>
      </c>
      <c r="M106" s="18">
        <v>51.638399999999997</v>
      </c>
      <c r="N106" s="18">
        <v>131.79490000000001</v>
      </c>
      <c r="O106" s="18">
        <f t="shared" si="5"/>
        <v>46.452824999999997</v>
      </c>
      <c r="P106" s="7"/>
      <c r="Q106" s="10"/>
      <c r="R106" s="11"/>
      <c r="S106" s="11"/>
      <c r="T106" s="26"/>
      <c r="U106" s="28">
        <f t="shared" si="3"/>
        <v>0.50330671837572727</v>
      </c>
    </row>
    <row r="107" spans="2:21" x14ac:dyDescent="0.25">
      <c r="B107" s="9"/>
      <c r="C107" s="17">
        <v>622.7744140625</v>
      </c>
      <c r="D107" s="18">
        <v>40.448999999999998</v>
      </c>
      <c r="E107" s="18">
        <v>45.433999999999997</v>
      </c>
      <c r="F107" s="18">
        <v>47.078000000000003</v>
      </c>
      <c r="G107" s="18">
        <v>97.5</v>
      </c>
      <c r="H107" s="18">
        <f t="shared" si="4"/>
        <v>41.900750000000002</v>
      </c>
      <c r="I107" s="5"/>
      <c r="J107" s="17">
        <v>602.45839999999998</v>
      </c>
      <c r="K107" s="18">
        <v>42.74</v>
      </c>
      <c r="L107" s="18">
        <v>48.325099999999999</v>
      </c>
      <c r="M107" s="18">
        <v>49.756</v>
      </c>
      <c r="N107" s="18">
        <v>155.4212</v>
      </c>
      <c r="O107" s="18">
        <f t="shared" si="5"/>
        <v>44.315137500000006</v>
      </c>
      <c r="P107" s="7"/>
      <c r="Q107" s="10"/>
      <c r="R107" s="11"/>
      <c r="S107" s="11"/>
      <c r="T107" s="26"/>
      <c r="U107" s="28">
        <f t="shared" si="3"/>
        <v>0.59406358974358975</v>
      </c>
    </row>
    <row r="108" spans="2:21" ht="16.5" thickBot="1" x14ac:dyDescent="0.3">
      <c r="B108" s="12"/>
      <c r="C108" s="19">
        <v>316.3583984375</v>
      </c>
      <c r="D108" s="20">
        <v>37.837000000000003</v>
      </c>
      <c r="E108" s="20">
        <v>42.817</v>
      </c>
      <c r="F108" s="20">
        <v>44.503999999999998</v>
      </c>
      <c r="G108" s="20">
        <v>110.74</v>
      </c>
      <c r="H108" s="20">
        <f t="shared" si="4"/>
        <v>39.292875000000002</v>
      </c>
      <c r="I108" s="5"/>
      <c r="J108" s="19">
        <v>302.3682</v>
      </c>
      <c r="K108" s="20">
        <v>39.637700000000002</v>
      </c>
      <c r="L108" s="20">
        <v>45.481999999999999</v>
      </c>
      <c r="M108" s="20">
        <v>46.912199999999999</v>
      </c>
      <c r="N108" s="20">
        <v>191.2406</v>
      </c>
      <c r="O108" s="20">
        <f t="shared" si="5"/>
        <v>41.277550000000005</v>
      </c>
      <c r="P108" s="7"/>
      <c r="Q108" s="13"/>
      <c r="R108" s="14"/>
      <c r="S108" s="14"/>
      <c r="T108" s="27"/>
      <c r="U108" s="28">
        <f t="shared" si="3"/>
        <v>0.72693335741376208</v>
      </c>
    </row>
    <row r="109" spans="2:21" x14ac:dyDescent="0.25">
      <c r="B109" s="6" t="s">
        <v>107</v>
      </c>
      <c r="C109" s="15">
        <v>1529.75</v>
      </c>
      <c r="D109" s="16">
        <v>29.802</v>
      </c>
      <c r="E109" s="16">
        <v>38.110999999999997</v>
      </c>
      <c r="F109" s="16">
        <v>37.517000000000003</v>
      </c>
      <c r="G109" s="16">
        <v>53.33</v>
      </c>
      <c r="H109" s="16">
        <f t="shared" si="4"/>
        <v>31.805</v>
      </c>
      <c r="I109" s="5"/>
      <c r="J109" s="15">
        <v>1494.1513</v>
      </c>
      <c r="K109" s="16">
        <v>31.4084</v>
      </c>
      <c r="L109" s="16">
        <v>39.875599999999999</v>
      </c>
      <c r="M109" s="16">
        <v>39.220799999999997</v>
      </c>
      <c r="N109" s="16">
        <v>71.890699999999995</v>
      </c>
      <c r="O109" s="16">
        <f t="shared" si="5"/>
        <v>33.443349999999995</v>
      </c>
      <c r="P109" s="7"/>
      <c r="Q109" s="8">
        <f>bdrate(C109:C112,D109:D112,J109:J112,K109:K112)</f>
        <v>-0.31846174418911677</v>
      </c>
      <c r="R109" s="8">
        <f>bdrate(C109:C112,E109:E112,J109:J112,L109:L112)</f>
        <v>-0.58198047032864886</v>
      </c>
      <c r="S109" s="8">
        <f>bdrate(C109:C112,F109:F112,J109:J112,M109:M112)</f>
        <v>-0.561294942007043</v>
      </c>
      <c r="T109" s="25">
        <f>bdrate(C109:C112,H109:H112,J109:J112,O109:O112)</f>
        <v>-0.37996510899780733</v>
      </c>
      <c r="U109" s="28">
        <f t="shared" si="3"/>
        <v>0.34803487717982368</v>
      </c>
    </row>
    <row r="110" spans="2:21" x14ac:dyDescent="0.25">
      <c r="B110" s="9"/>
      <c r="C110" s="17">
        <v>1114.9189453125</v>
      </c>
      <c r="D110" s="18">
        <v>28.47</v>
      </c>
      <c r="E110" s="18">
        <v>36.863999999999997</v>
      </c>
      <c r="F110" s="18">
        <v>36.317999999999998</v>
      </c>
      <c r="G110" s="18">
        <v>57.73</v>
      </c>
      <c r="H110" s="18">
        <f t="shared" si="4"/>
        <v>30.500250000000001</v>
      </c>
      <c r="I110" s="5"/>
      <c r="J110" s="17">
        <v>995.1336</v>
      </c>
      <c r="K110" s="18">
        <v>29.686900000000001</v>
      </c>
      <c r="L110" s="18">
        <v>38.934800000000003</v>
      </c>
      <c r="M110" s="18">
        <v>38.252200000000002</v>
      </c>
      <c r="N110" s="18">
        <v>87.146000000000001</v>
      </c>
      <c r="O110" s="18">
        <f t="shared" si="5"/>
        <v>31.913550000000001</v>
      </c>
      <c r="P110" s="7"/>
      <c r="Q110" s="10"/>
      <c r="R110" s="11"/>
      <c r="S110" s="11"/>
      <c r="T110" s="26"/>
      <c r="U110" s="28">
        <f t="shared" si="3"/>
        <v>0.50954443097176516</v>
      </c>
    </row>
    <row r="111" spans="2:21" x14ac:dyDescent="0.25">
      <c r="B111" s="9"/>
      <c r="C111" s="17">
        <v>847.54296875</v>
      </c>
      <c r="D111" s="18">
        <v>27.555</v>
      </c>
      <c r="E111" s="18">
        <v>35.863</v>
      </c>
      <c r="F111" s="18">
        <v>35.311</v>
      </c>
      <c r="G111" s="18">
        <v>59.86</v>
      </c>
      <c r="H111" s="18">
        <f t="shared" si="4"/>
        <v>29.562999999999999</v>
      </c>
      <c r="I111" s="5"/>
      <c r="J111" s="17">
        <v>597.36689999999999</v>
      </c>
      <c r="K111" s="18">
        <v>27.569199999999999</v>
      </c>
      <c r="L111" s="18">
        <v>37.6404</v>
      </c>
      <c r="M111" s="18">
        <v>36.895400000000002</v>
      </c>
      <c r="N111" s="18">
        <v>109.3693</v>
      </c>
      <c r="O111" s="18">
        <f t="shared" si="5"/>
        <v>29.993874999999999</v>
      </c>
      <c r="P111" s="7"/>
      <c r="Q111" s="10"/>
      <c r="R111" s="11"/>
      <c r="S111" s="11"/>
      <c r="T111" s="26"/>
      <c r="U111" s="28">
        <f t="shared" si="3"/>
        <v>0.82708486468426323</v>
      </c>
    </row>
    <row r="112" spans="2:21" ht="16.5" thickBot="1" x14ac:dyDescent="0.3">
      <c r="B112" s="12"/>
      <c r="C112" s="19">
        <v>669.427734375</v>
      </c>
      <c r="D112" s="20">
        <v>26.614999999999998</v>
      </c>
      <c r="E112" s="20">
        <v>34.654000000000003</v>
      </c>
      <c r="F112" s="20">
        <v>34.19</v>
      </c>
      <c r="G112" s="20">
        <v>60.55</v>
      </c>
      <c r="H112" s="20">
        <f t="shared" si="4"/>
        <v>28.566749999999999</v>
      </c>
      <c r="I112" s="5"/>
      <c r="J112" s="19">
        <v>299.26159999999999</v>
      </c>
      <c r="K112" s="20">
        <v>24.906199999999998</v>
      </c>
      <c r="L112" s="20">
        <v>35.342399999999998</v>
      </c>
      <c r="M112" s="20">
        <v>34.736800000000002</v>
      </c>
      <c r="N112" s="20">
        <v>143.3349</v>
      </c>
      <c r="O112" s="20">
        <f t="shared" si="5"/>
        <v>27.439549999999997</v>
      </c>
      <c r="P112" s="7"/>
      <c r="Q112" s="13"/>
      <c r="R112" s="14"/>
      <c r="S112" s="14"/>
      <c r="T112" s="27"/>
      <c r="U112" s="28">
        <f t="shared" si="3"/>
        <v>1.3672155243600332</v>
      </c>
    </row>
    <row r="113" spans="2:21" x14ac:dyDescent="0.25">
      <c r="B113" s="6" t="s">
        <v>108</v>
      </c>
      <c r="C113" s="15">
        <v>1982.09765625</v>
      </c>
      <c r="D113" s="16">
        <v>44.127000000000002</v>
      </c>
      <c r="E113" s="16">
        <v>45.351999999999997</v>
      </c>
      <c r="F113" s="16">
        <v>45.225000000000001</v>
      </c>
      <c r="G113" s="16">
        <v>73.56</v>
      </c>
      <c r="H113" s="16">
        <f t="shared" si="4"/>
        <v>44.417375</v>
      </c>
      <c r="I113" s="5"/>
      <c r="J113" s="15">
        <v>1416.7467999999999</v>
      </c>
      <c r="K113" s="16">
        <v>44.356400000000001</v>
      </c>
      <c r="L113" s="16">
        <v>45.328499999999998</v>
      </c>
      <c r="M113" s="16">
        <v>45.240499999999997</v>
      </c>
      <c r="N113" s="16">
        <v>96.883600000000001</v>
      </c>
      <c r="O113" s="16">
        <f t="shared" si="5"/>
        <v>44.588425000000001</v>
      </c>
      <c r="P113" s="7"/>
      <c r="Q113" s="8">
        <f>bdrate(C113:C116,D113:D116,J113:J116,K113:K116)</f>
        <v>-0.3714994341045279</v>
      </c>
      <c r="R113" s="8">
        <f>bdrate(C113:C116,E113:E116,J113:J116,L113:L116)</f>
        <v>-0.39040475735999181</v>
      </c>
      <c r="S113" s="8">
        <f>bdrate(C113:C116,F113:F116,J113:J116,M113:M116)</f>
        <v>-0.39034859881176687</v>
      </c>
      <c r="T113" s="25">
        <f>bdrate(C113:C116,H113:H116,J113:J116,O113:O116)</f>
        <v>-0.37602546891369026</v>
      </c>
      <c r="U113" s="28">
        <f t="shared" si="3"/>
        <v>0.3170690592713431</v>
      </c>
    </row>
    <row r="114" spans="2:21" x14ac:dyDescent="0.25">
      <c r="B114" s="9"/>
      <c r="C114" s="17">
        <v>1405.853515625</v>
      </c>
      <c r="D114" s="18">
        <v>41.957000000000001</v>
      </c>
      <c r="E114" s="18">
        <v>43.462000000000003</v>
      </c>
      <c r="F114" s="18">
        <v>43.304000000000002</v>
      </c>
      <c r="G114" s="18">
        <v>81.709999999999994</v>
      </c>
      <c r="H114" s="18">
        <f t="shared" si="4"/>
        <v>42.313500000000005</v>
      </c>
      <c r="I114" s="5"/>
      <c r="J114" s="17">
        <v>960.29150000000004</v>
      </c>
      <c r="K114" s="18">
        <v>42.450800000000001</v>
      </c>
      <c r="L114" s="18">
        <v>43.751899999999999</v>
      </c>
      <c r="M114" s="18">
        <v>43.624099999999999</v>
      </c>
      <c r="N114" s="18">
        <v>125.55800000000001</v>
      </c>
      <c r="O114" s="18">
        <f t="shared" si="5"/>
        <v>42.760100000000001</v>
      </c>
      <c r="P114" s="7"/>
      <c r="Q114" s="10"/>
      <c r="R114" s="11"/>
      <c r="S114" s="11"/>
      <c r="T114" s="26"/>
      <c r="U114" s="28">
        <f t="shared" si="3"/>
        <v>0.53662954350752679</v>
      </c>
    </row>
    <row r="115" spans="2:21" x14ac:dyDescent="0.25">
      <c r="B115" s="9"/>
      <c r="C115" s="17">
        <v>903.5712890625</v>
      </c>
      <c r="D115" s="18">
        <v>39.216999999999999</v>
      </c>
      <c r="E115" s="18">
        <v>41.034999999999997</v>
      </c>
      <c r="F115" s="18">
        <v>40.859000000000002</v>
      </c>
      <c r="G115" s="18">
        <v>89.34</v>
      </c>
      <c r="H115" s="18">
        <f t="shared" si="4"/>
        <v>39.649499999999996</v>
      </c>
      <c r="I115" s="5"/>
      <c r="J115" s="17">
        <v>586.65909999999997</v>
      </c>
      <c r="K115" s="18">
        <v>39.429400000000001</v>
      </c>
      <c r="L115" s="18">
        <v>41.421999999999997</v>
      </c>
      <c r="M115" s="18">
        <v>41.225099999999998</v>
      </c>
      <c r="N115" s="18">
        <v>151.8219</v>
      </c>
      <c r="O115" s="18">
        <f t="shared" si="5"/>
        <v>39.9029375</v>
      </c>
      <c r="P115" s="7"/>
      <c r="Q115" s="10"/>
      <c r="R115" s="11"/>
      <c r="S115" s="11"/>
      <c r="T115" s="26"/>
      <c r="U115" s="28">
        <f t="shared" si="3"/>
        <v>0.69937206178643374</v>
      </c>
    </row>
    <row r="116" spans="2:21" ht="16.5" thickBot="1" x14ac:dyDescent="0.3">
      <c r="B116" s="12"/>
      <c r="C116" s="19">
        <v>528.53515625</v>
      </c>
      <c r="D116" s="20">
        <v>35.722999999999999</v>
      </c>
      <c r="E116" s="20">
        <v>37.881</v>
      </c>
      <c r="F116" s="20">
        <v>37.658000000000001</v>
      </c>
      <c r="G116" s="20">
        <v>94.39</v>
      </c>
      <c r="H116" s="20">
        <f t="shared" si="4"/>
        <v>36.234625000000001</v>
      </c>
      <c r="I116" s="5"/>
      <c r="J116" s="19">
        <v>294.50439999999998</v>
      </c>
      <c r="K116" s="20">
        <v>35.163400000000003</v>
      </c>
      <c r="L116" s="20">
        <v>38.227600000000002</v>
      </c>
      <c r="M116" s="20">
        <v>38.0443</v>
      </c>
      <c r="N116" s="20">
        <v>185.4905</v>
      </c>
      <c r="O116" s="20">
        <f t="shared" si="5"/>
        <v>35.906537500000006</v>
      </c>
      <c r="P116" s="7"/>
      <c r="Q116" s="13"/>
      <c r="R116" s="14"/>
      <c r="S116" s="14"/>
      <c r="T116" s="27"/>
      <c r="U116" s="28">
        <f t="shared" si="3"/>
        <v>0.96514990994808769</v>
      </c>
    </row>
    <row r="117" spans="2:21" x14ac:dyDescent="0.25">
      <c r="B117" s="6" t="s">
        <v>109</v>
      </c>
      <c r="C117" s="15">
        <v>2141.20703125</v>
      </c>
      <c r="D117" s="16">
        <v>45.381999999999998</v>
      </c>
      <c r="E117" s="16">
        <v>46.844999999999999</v>
      </c>
      <c r="F117" s="16">
        <v>47.076999999999998</v>
      </c>
      <c r="G117" s="16">
        <v>76.92</v>
      </c>
      <c r="H117" s="16">
        <f t="shared" si="4"/>
        <v>45.776749999999993</v>
      </c>
      <c r="I117" s="5"/>
      <c r="J117" s="15">
        <v>1403.9253000000001</v>
      </c>
      <c r="K117" s="16">
        <v>45.344700000000003</v>
      </c>
      <c r="L117" s="16">
        <v>47.569200000000002</v>
      </c>
      <c r="M117" s="16">
        <v>47.822800000000001</v>
      </c>
      <c r="N117" s="16">
        <v>91.213099999999997</v>
      </c>
      <c r="O117" s="16">
        <f t="shared" si="5"/>
        <v>45.932525000000012</v>
      </c>
      <c r="P117" s="7"/>
      <c r="Q117" s="8">
        <f>bdrate(C117:C120,D117:D120,J117:J120,K117:K120)</f>
        <v>-0.26653670290897624</v>
      </c>
      <c r="R117" s="8">
        <f>bdrate(C117:C120,E117:E120,J117:J120,L117:L120)</f>
        <v>-0.35704477115509847</v>
      </c>
      <c r="S117" s="8">
        <f>bdrate(C117:C120,F117:F120,J117:J120,M117:M120)</f>
        <v>-0.36050957503376946</v>
      </c>
      <c r="T117" s="25">
        <f>bdrate(C117:C120,H117:H120,J117:J120,O117:O120)</f>
        <v>-0.28993836902604708</v>
      </c>
      <c r="U117" s="28">
        <f t="shared" si="3"/>
        <v>0.18581773270930832</v>
      </c>
    </row>
    <row r="118" spans="2:21" x14ac:dyDescent="0.25">
      <c r="B118" s="9"/>
      <c r="C118" s="17">
        <v>1618.609375</v>
      </c>
      <c r="D118" s="18">
        <v>44.411000000000001</v>
      </c>
      <c r="E118" s="18">
        <v>46.021000000000001</v>
      </c>
      <c r="F118" s="18">
        <v>46.250999999999998</v>
      </c>
      <c r="G118" s="18">
        <v>80.87</v>
      </c>
      <c r="H118" s="18">
        <f t="shared" si="4"/>
        <v>44.84225</v>
      </c>
      <c r="I118" s="5"/>
      <c r="J118" s="17">
        <v>973.79409999999996</v>
      </c>
      <c r="K118" s="18">
        <v>43.975999999999999</v>
      </c>
      <c r="L118" s="18">
        <v>46.487099999999998</v>
      </c>
      <c r="M118" s="18">
        <v>46.749499999999998</v>
      </c>
      <c r="N118" s="18">
        <v>101.3913</v>
      </c>
      <c r="O118" s="18">
        <f t="shared" si="5"/>
        <v>44.636575000000001</v>
      </c>
      <c r="P118" s="7"/>
      <c r="Q118" s="10"/>
      <c r="R118" s="11"/>
      <c r="S118" s="11"/>
      <c r="T118" s="26"/>
      <c r="U118" s="28">
        <f t="shared" si="3"/>
        <v>0.25375664646964258</v>
      </c>
    </row>
    <row r="119" spans="2:21" x14ac:dyDescent="0.25">
      <c r="B119" s="9"/>
      <c r="C119" s="17">
        <v>939.1728515625</v>
      </c>
      <c r="D119" s="18">
        <v>41.802</v>
      </c>
      <c r="E119" s="18">
        <v>43.906999999999996</v>
      </c>
      <c r="F119" s="18">
        <v>44.149000000000001</v>
      </c>
      <c r="G119" s="18">
        <v>84.07</v>
      </c>
      <c r="H119" s="18">
        <f t="shared" si="4"/>
        <v>42.358499999999999</v>
      </c>
      <c r="I119" s="5"/>
      <c r="J119" s="17">
        <v>633.69889999999998</v>
      </c>
      <c r="K119" s="18">
        <v>41.221400000000003</v>
      </c>
      <c r="L119" s="18">
        <v>44.033200000000001</v>
      </c>
      <c r="M119" s="18">
        <v>44.305599999999998</v>
      </c>
      <c r="N119" s="18">
        <v>113.343</v>
      </c>
      <c r="O119" s="18">
        <f t="shared" si="5"/>
        <v>41.958399999999997</v>
      </c>
      <c r="P119" s="7"/>
      <c r="Q119" s="10"/>
      <c r="R119" s="11"/>
      <c r="S119" s="11"/>
      <c r="T119" s="26"/>
      <c r="U119" s="28">
        <f t="shared" si="3"/>
        <v>0.3481979302961819</v>
      </c>
    </row>
    <row r="120" spans="2:21" ht="16.5" thickBot="1" x14ac:dyDescent="0.3">
      <c r="B120" s="12"/>
      <c r="C120" s="19">
        <v>501.2119140625</v>
      </c>
      <c r="D120" s="20">
        <v>38.503999999999998</v>
      </c>
      <c r="E120" s="20">
        <v>40.975000000000001</v>
      </c>
      <c r="F120" s="20">
        <v>41.207000000000001</v>
      </c>
      <c r="G120" s="20">
        <v>91.17</v>
      </c>
      <c r="H120" s="20">
        <f t="shared" si="4"/>
        <v>39.150750000000002</v>
      </c>
      <c r="I120" s="5"/>
      <c r="J120" s="19">
        <v>343.2457</v>
      </c>
      <c r="K120" s="20">
        <v>37.042400000000001</v>
      </c>
      <c r="L120" s="20">
        <v>40.348799999999997</v>
      </c>
      <c r="M120" s="20">
        <v>40.610900000000001</v>
      </c>
      <c r="N120" s="20">
        <v>177.23509999999999</v>
      </c>
      <c r="O120" s="20">
        <f t="shared" si="5"/>
        <v>37.901762500000004</v>
      </c>
      <c r="P120" s="7"/>
      <c r="Q120" s="13"/>
      <c r="R120" s="14"/>
      <c r="S120" s="14"/>
      <c r="T120" s="27"/>
      <c r="U120" s="28">
        <f t="shared" si="3"/>
        <v>0.94400680048261476</v>
      </c>
    </row>
    <row r="121" spans="2:21" x14ac:dyDescent="0.25">
      <c r="B121" s="6" t="s">
        <v>110</v>
      </c>
      <c r="C121" s="29">
        <v>1706.587890625</v>
      </c>
      <c r="D121" s="30">
        <v>31.315999999999999</v>
      </c>
      <c r="E121" s="30">
        <v>35.030999999999999</v>
      </c>
      <c r="F121" s="30">
        <v>33.764000000000003</v>
      </c>
      <c r="G121" s="16">
        <v>58.71</v>
      </c>
      <c r="H121" s="16">
        <f t="shared" si="4"/>
        <v>32.086374999999997</v>
      </c>
      <c r="I121" s="5"/>
      <c r="J121" s="29">
        <v>1507.5804000000001</v>
      </c>
      <c r="K121" s="30">
        <v>31.965499999999999</v>
      </c>
      <c r="L121" s="30">
        <v>36.3125</v>
      </c>
      <c r="M121" s="30">
        <v>35.209000000000003</v>
      </c>
      <c r="N121" s="16">
        <v>81.714200000000005</v>
      </c>
      <c r="O121" s="16">
        <f t="shared" si="5"/>
        <v>32.914312500000001</v>
      </c>
      <c r="P121" s="7"/>
      <c r="Q121" s="8">
        <f>bdrate(C121:C124,D121:D124,J121:J124,K121:K124)</f>
        <v>-0.21652023695687483</v>
      </c>
      <c r="R121" s="8">
        <f>bdrate(C121:C124,E121:E124,J121:J124,L121:L124)</f>
        <v>-0.54202774039108759</v>
      </c>
      <c r="S121" s="8">
        <f>bdrate(C121:C124,F121:F124,J121:J124,M121:M124)</f>
        <v>-0.5404535161220263</v>
      </c>
      <c r="T121" s="25">
        <f>bdrate(C121:C124,H121:H124,J121:J124,O121:O124)</f>
        <v>-0.29258821692406378</v>
      </c>
      <c r="U121" s="28">
        <f t="shared" si="3"/>
        <v>0.39182762732072907</v>
      </c>
    </row>
    <row r="122" spans="2:21" x14ac:dyDescent="0.25">
      <c r="B122" s="9"/>
      <c r="C122" s="31">
        <v>1177.84375</v>
      </c>
      <c r="D122" s="32">
        <v>29.77</v>
      </c>
      <c r="E122" s="32">
        <v>33.835999999999999</v>
      </c>
      <c r="F122" s="32">
        <v>32.540999999999997</v>
      </c>
      <c r="G122" s="18">
        <v>62.56</v>
      </c>
      <c r="H122" s="18">
        <f t="shared" si="4"/>
        <v>30.624625000000002</v>
      </c>
      <c r="I122" s="5"/>
      <c r="J122" s="31">
        <v>1007.8599</v>
      </c>
      <c r="K122" s="32">
        <v>30.164899999999999</v>
      </c>
      <c r="L122" s="32">
        <v>35.342199999999998</v>
      </c>
      <c r="M122" s="32">
        <v>34.169600000000003</v>
      </c>
      <c r="N122" s="18">
        <v>97.703999999999994</v>
      </c>
      <c r="O122" s="18">
        <f t="shared" si="5"/>
        <v>31.312649999999998</v>
      </c>
      <c r="P122" s="7"/>
      <c r="Q122" s="10"/>
      <c r="R122" s="11"/>
      <c r="S122" s="11"/>
      <c r="T122" s="26"/>
      <c r="U122" s="28">
        <f t="shared" si="3"/>
        <v>0.56176470588235283</v>
      </c>
    </row>
    <row r="123" spans="2:21" x14ac:dyDescent="0.25">
      <c r="B123" s="9"/>
      <c r="C123" s="31">
        <v>807.1904296875</v>
      </c>
      <c r="D123" s="32">
        <v>28.29</v>
      </c>
      <c r="E123" s="32">
        <v>32.625999999999998</v>
      </c>
      <c r="F123" s="32">
        <v>31.324999999999999</v>
      </c>
      <c r="G123" s="18">
        <v>65.45</v>
      </c>
      <c r="H123" s="18">
        <f t="shared" si="4"/>
        <v>29.211375</v>
      </c>
      <c r="I123" s="5"/>
      <c r="J123" s="31">
        <v>606.33889999999997</v>
      </c>
      <c r="K123" s="32">
        <v>28.045999999999999</v>
      </c>
      <c r="L123" s="32">
        <v>34.108800000000002</v>
      </c>
      <c r="M123" s="32">
        <v>32.830100000000002</v>
      </c>
      <c r="N123" s="18">
        <v>121.58880000000001</v>
      </c>
      <c r="O123" s="18">
        <f t="shared" si="5"/>
        <v>29.4018625</v>
      </c>
      <c r="P123" s="7"/>
      <c r="Q123" s="10"/>
      <c r="R123" s="11"/>
      <c r="S123" s="11"/>
      <c r="T123" s="26"/>
      <c r="U123" s="28">
        <f t="shared" si="3"/>
        <v>0.85773567608861723</v>
      </c>
    </row>
    <row r="124" spans="2:21" ht="16.5" thickBot="1" x14ac:dyDescent="0.3">
      <c r="B124" s="12"/>
      <c r="C124" s="33">
        <v>561.96875</v>
      </c>
      <c r="D124" s="34">
        <v>26.759</v>
      </c>
      <c r="E124" s="34">
        <v>31.294</v>
      </c>
      <c r="F124" s="34">
        <v>30.024999999999999</v>
      </c>
      <c r="G124" s="20">
        <v>65.81</v>
      </c>
      <c r="H124" s="20">
        <f t="shared" si="4"/>
        <v>27.734125000000002</v>
      </c>
      <c r="I124" s="5"/>
      <c r="J124" s="33">
        <v>303.25959999999998</v>
      </c>
      <c r="K124" s="34">
        <v>25.571300000000001</v>
      </c>
      <c r="L124" s="34">
        <v>32.334099999999999</v>
      </c>
      <c r="M124" s="34">
        <v>30.920200000000001</v>
      </c>
      <c r="N124" s="20">
        <v>160.69990000000001</v>
      </c>
      <c r="O124" s="20">
        <f t="shared" si="5"/>
        <v>27.085262499999999</v>
      </c>
      <c r="P124" s="7"/>
      <c r="Q124" s="13"/>
      <c r="R124" s="14"/>
      <c r="S124" s="14"/>
      <c r="T124" s="27"/>
      <c r="U124" s="28">
        <f t="shared" si="3"/>
        <v>1.4418766144962774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-0.35789218438542764</v>
      </c>
      <c r="R125" s="21">
        <f>AVERAGE(R9:R124)</f>
        <v>-0.44918257339248152</v>
      </c>
      <c r="S125" s="21">
        <f>AVERAGE(S9:S124)</f>
        <v>-0.45646363874972495</v>
      </c>
      <c r="T125" s="21">
        <f>AVERAGE(T9:T124)</f>
        <v>-0.37972037512342582</v>
      </c>
      <c r="U125" s="21">
        <f>AVERAGE(U9:U124)</f>
        <v>0.72418961923671599</v>
      </c>
    </row>
    <row r="127" spans="2:21" s="35" customFormat="1" ht="15.75" customHeight="1" x14ac:dyDescent="0.25">
      <c r="B127" s="61" t="s">
        <v>29</v>
      </c>
      <c r="C127" s="63" t="s">
        <v>196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122</v>
      </c>
      <c r="D129" s="70"/>
      <c r="E129" s="70"/>
      <c r="F129" s="70"/>
      <c r="G129" s="70"/>
      <c r="H129" s="70"/>
      <c r="I129" s="5"/>
      <c r="J129" s="69" t="s">
        <v>178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4240.2294921875</v>
      </c>
      <c r="D131" s="16">
        <v>36.122</v>
      </c>
      <c r="E131" s="16">
        <v>38.588000000000001</v>
      </c>
      <c r="F131" s="16">
        <v>40.881</v>
      </c>
      <c r="G131" s="16">
        <v>37.67</v>
      </c>
      <c r="H131" s="16">
        <f t="shared" ref="H131:H202" si="6">(6*D131+E131+F131)/8</f>
        <v>37.025125000000003</v>
      </c>
      <c r="I131" s="5"/>
      <c r="J131" s="15">
        <v>3994.2464</v>
      </c>
      <c r="K131" s="16">
        <v>37.534399999999998</v>
      </c>
      <c r="L131" s="16">
        <v>39.344999999999999</v>
      </c>
      <c r="M131" s="16">
        <v>41.805</v>
      </c>
      <c r="N131" s="16">
        <v>61.224499999999999</v>
      </c>
      <c r="O131" s="16">
        <f t="shared" ref="O131:O202" si="7">(6*K131+L131+M131)/8</f>
        <v>38.294549999999994</v>
      </c>
      <c r="P131" s="7"/>
      <c r="Q131" s="8">
        <f>bdrate(C131:C134,D131:D134,J131:J134,K131:K134)</f>
        <v>-0.3255388258502151</v>
      </c>
      <c r="R131" s="8">
        <f>bdrate(C131:C134,E131:E134,J131:J134,L131:L134)</f>
        <v>-0.42967551803105875</v>
      </c>
      <c r="S131" s="8">
        <f>bdrate(C131:C134,F131:F134,J131:J134,M131:M134)</f>
        <v>-0.44803762272238712</v>
      </c>
      <c r="T131" s="25">
        <f>bdrate(C131:C134,H131:H134,J131:J134,O131:O134)</f>
        <v>-0.34538046476382689</v>
      </c>
      <c r="U131" s="28">
        <f t="shared" ref="U131:U194" si="8">(N131-G131)/G131</f>
        <v>0.62528537297584275</v>
      </c>
    </row>
    <row r="132" spans="1:21" x14ac:dyDescent="0.25">
      <c r="A132" s="9" t="s">
        <v>36</v>
      </c>
      <c r="B132" s="9"/>
      <c r="C132" s="17">
        <v>3170.7421875</v>
      </c>
      <c r="D132" s="18">
        <v>35.216000000000001</v>
      </c>
      <c r="E132" s="18">
        <v>38.058</v>
      </c>
      <c r="F132" s="18">
        <v>40.283999999999999</v>
      </c>
      <c r="G132" s="18">
        <v>40.729999999999997</v>
      </c>
      <c r="H132" s="18">
        <f t="shared" si="6"/>
        <v>36.204749999999997</v>
      </c>
      <c r="I132" s="5"/>
      <c r="J132" s="17">
        <v>2958.4112</v>
      </c>
      <c r="K132" s="18">
        <v>36.5807</v>
      </c>
      <c r="L132" s="18">
        <v>38.803100000000001</v>
      </c>
      <c r="M132" s="18">
        <v>41.154699999999998</v>
      </c>
      <c r="N132" s="18">
        <v>66.785399999999996</v>
      </c>
      <c r="O132" s="18">
        <f t="shared" si="7"/>
        <v>37.430249999999994</v>
      </c>
      <c r="P132" s="7"/>
      <c r="Q132" s="10"/>
      <c r="R132" s="11"/>
      <c r="S132" s="11"/>
      <c r="T132" s="26"/>
      <c r="U132" s="28">
        <f t="shared" si="8"/>
        <v>0.63971028725754975</v>
      </c>
    </row>
    <row r="133" spans="1:21" x14ac:dyDescent="0.25">
      <c r="B133" s="9"/>
      <c r="C133" s="17">
        <v>2137.521484375</v>
      </c>
      <c r="D133" s="18">
        <v>33.895000000000003</v>
      </c>
      <c r="E133" s="18">
        <v>37.265999999999998</v>
      </c>
      <c r="F133" s="18">
        <v>39.402999999999999</v>
      </c>
      <c r="G133" s="18">
        <v>41.76</v>
      </c>
      <c r="H133" s="18">
        <f t="shared" si="6"/>
        <v>35.004874999999998</v>
      </c>
      <c r="I133" s="5"/>
      <c r="J133" s="17">
        <v>1924.2272</v>
      </c>
      <c r="K133" s="18">
        <v>34.932400000000001</v>
      </c>
      <c r="L133" s="18">
        <v>38.105899999999998</v>
      </c>
      <c r="M133" s="18">
        <v>40.400599999999997</v>
      </c>
      <c r="N133" s="18">
        <v>76.296999999999997</v>
      </c>
      <c r="O133" s="18">
        <f t="shared" si="7"/>
        <v>36.012612500000003</v>
      </c>
      <c r="P133" s="7"/>
      <c r="Q133" s="10"/>
      <c r="R133" s="11"/>
      <c r="S133" s="11"/>
      <c r="T133" s="26"/>
      <c r="U133" s="28">
        <f t="shared" si="8"/>
        <v>0.82703544061302681</v>
      </c>
    </row>
    <row r="134" spans="1:21" ht="16.5" thickBot="1" x14ac:dyDescent="0.3">
      <c r="B134" s="12"/>
      <c r="C134" s="19">
        <v>1096.005859375</v>
      </c>
      <c r="D134" s="20">
        <v>31.102</v>
      </c>
      <c r="E134" s="20">
        <v>35.744999999999997</v>
      </c>
      <c r="F134" s="20">
        <v>37.673999999999999</v>
      </c>
      <c r="G134" s="20">
        <v>49.91</v>
      </c>
      <c r="H134" s="20">
        <f t="shared" si="6"/>
        <v>32.503875000000001</v>
      </c>
      <c r="I134" s="5"/>
      <c r="J134" s="19">
        <v>919.71199999999999</v>
      </c>
      <c r="K134" s="20">
        <v>32.001399999999997</v>
      </c>
      <c r="L134" s="20">
        <v>36.8461</v>
      </c>
      <c r="M134" s="20">
        <v>39.017499999999998</v>
      </c>
      <c r="N134" s="20">
        <v>87.412599999999998</v>
      </c>
      <c r="O134" s="20">
        <f t="shared" si="7"/>
        <v>33.484000000000002</v>
      </c>
      <c r="P134" s="7"/>
      <c r="Q134" s="13"/>
      <c r="R134" s="14"/>
      <c r="S134" s="14"/>
      <c r="T134" s="27"/>
      <c r="U134" s="28">
        <f t="shared" si="8"/>
        <v>0.75140452815067127</v>
      </c>
    </row>
    <row r="135" spans="1:21" x14ac:dyDescent="0.25">
      <c r="B135" s="6" t="s">
        <v>47</v>
      </c>
      <c r="C135" s="15">
        <v>4762.2294921875</v>
      </c>
      <c r="D135" s="16">
        <v>28.03</v>
      </c>
      <c r="E135" s="16">
        <v>38.781999999999996</v>
      </c>
      <c r="F135" s="16">
        <v>39.816000000000003</v>
      </c>
      <c r="G135" s="16">
        <v>34.119999999999997</v>
      </c>
      <c r="H135" s="16">
        <f t="shared" si="6"/>
        <v>30.847249999999999</v>
      </c>
      <c r="I135" s="5"/>
      <c r="J135" s="15">
        <v>4057.3696</v>
      </c>
      <c r="K135" s="16">
        <v>28.990300000000001</v>
      </c>
      <c r="L135" s="16">
        <v>39.206099999999999</v>
      </c>
      <c r="M135" s="16">
        <v>40.174999999999997</v>
      </c>
      <c r="N135" s="16">
        <v>50.864699999999999</v>
      </c>
      <c r="O135" s="16">
        <f t="shared" si="7"/>
        <v>31.665362500000001</v>
      </c>
      <c r="P135" s="7"/>
      <c r="Q135" s="8">
        <f>bdrate(C135:C138,D135:D138,J135:J138,K135:K138)</f>
        <v>-0.21590194479221436</v>
      </c>
      <c r="R135" s="8">
        <f>bdrate(C135:C138,E135:E138,J135:J138,L135:L138)</f>
        <v>-0.50071140149067417</v>
      </c>
      <c r="S135" s="8">
        <f>bdrate(C135:C138,F135:F138,J135:J138,M135:M138)</f>
        <v>-0.52543051837999388</v>
      </c>
      <c r="T135" s="25">
        <f>bdrate(C135:C138,H135:H138,J135:J138,O135:O138)</f>
        <v>-0.26691731340156266</v>
      </c>
      <c r="U135" s="28">
        <f t="shared" si="8"/>
        <v>0.4907590855803049</v>
      </c>
    </row>
    <row r="136" spans="1:21" x14ac:dyDescent="0.25">
      <c r="B136" s="9"/>
      <c r="C136" s="17">
        <v>4095.2666015625</v>
      </c>
      <c r="D136" s="18">
        <v>27.666</v>
      </c>
      <c r="E136" s="18">
        <v>38.234000000000002</v>
      </c>
      <c r="F136" s="18">
        <v>39.261000000000003</v>
      </c>
      <c r="G136" s="18">
        <v>34.729999999999997</v>
      </c>
      <c r="H136" s="18">
        <f t="shared" si="6"/>
        <v>30.436375000000002</v>
      </c>
      <c r="I136" s="5"/>
      <c r="J136" s="17">
        <v>3041.7936</v>
      </c>
      <c r="K136" s="18">
        <v>27.6675</v>
      </c>
      <c r="L136" s="18">
        <v>38.747900000000001</v>
      </c>
      <c r="M136" s="18">
        <v>39.772599999999997</v>
      </c>
      <c r="N136" s="18">
        <v>58.616599999999998</v>
      </c>
      <c r="O136" s="18">
        <f t="shared" si="7"/>
        <v>30.565687500000003</v>
      </c>
      <c r="P136" s="7"/>
      <c r="Q136" s="10"/>
      <c r="R136" s="11"/>
      <c r="S136" s="11"/>
      <c r="T136" s="26"/>
      <c r="U136" s="28">
        <f t="shared" si="8"/>
        <v>0.68778001727613025</v>
      </c>
    </row>
    <row r="137" spans="1:21" x14ac:dyDescent="0.25">
      <c r="B137" s="9"/>
      <c r="C137" s="17">
        <v>3409.58203125</v>
      </c>
      <c r="D137" s="18">
        <v>27.236000000000001</v>
      </c>
      <c r="E137" s="18">
        <v>37.610999999999997</v>
      </c>
      <c r="F137" s="18">
        <v>38.527999999999999</v>
      </c>
      <c r="G137" s="18">
        <v>35.07</v>
      </c>
      <c r="H137" s="18">
        <f t="shared" si="6"/>
        <v>29.944374999999997</v>
      </c>
      <c r="I137" s="5"/>
      <c r="J137" s="17">
        <v>2020.9872</v>
      </c>
      <c r="K137" s="18">
        <v>25.8947</v>
      </c>
      <c r="L137" s="18">
        <v>38.012799999999999</v>
      </c>
      <c r="M137" s="18">
        <v>39.158099999999997</v>
      </c>
      <c r="N137" s="18">
        <v>68.181799999999996</v>
      </c>
      <c r="O137" s="18">
        <f t="shared" si="7"/>
        <v>29.067387499999999</v>
      </c>
      <c r="P137" s="7"/>
      <c r="Q137" s="10"/>
      <c r="R137" s="11"/>
      <c r="S137" s="11"/>
      <c r="T137" s="26"/>
      <c r="U137" s="28">
        <f t="shared" si="8"/>
        <v>0.94416310236669498</v>
      </c>
    </row>
    <row r="138" spans="1:21" ht="16.5" thickBot="1" x14ac:dyDescent="0.3">
      <c r="B138" s="12"/>
      <c r="C138" s="19">
        <v>2870.1015625</v>
      </c>
      <c r="D138" s="20">
        <v>26.567</v>
      </c>
      <c r="E138" s="20">
        <v>36.459000000000003</v>
      </c>
      <c r="F138" s="20">
        <v>37.225999999999999</v>
      </c>
      <c r="G138" s="20">
        <v>35.26</v>
      </c>
      <c r="H138" s="20">
        <f t="shared" si="6"/>
        <v>29.135874999999999</v>
      </c>
      <c r="I138" s="5"/>
      <c r="J138" s="19">
        <v>1156.4975999999999</v>
      </c>
      <c r="K138" s="20">
        <v>23.8948</v>
      </c>
      <c r="L138" s="20">
        <v>36.513399999999997</v>
      </c>
      <c r="M138" s="20">
        <v>37.7759</v>
      </c>
      <c r="N138" s="20">
        <v>78.822900000000004</v>
      </c>
      <c r="O138" s="20">
        <f t="shared" si="7"/>
        <v>27.207262499999999</v>
      </c>
      <c r="P138" s="7"/>
      <c r="Q138" s="13"/>
      <c r="R138" s="14"/>
      <c r="S138" s="14"/>
      <c r="T138" s="27"/>
      <c r="U138" s="28">
        <f t="shared" si="8"/>
        <v>1.2354764605785595</v>
      </c>
    </row>
    <row r="139" spans="1:21" x14ac:dyDescent="0.25">
      <c r="A139" s="6" t="s">
        <v>37</v>
      </c>
      <c r="B139" s="6" t="s">
        <v>48</v>
      </c>
      <c r="C139" s="15">
        <v>2016.111328125</v>
      </c>
      <c r="D139" s="16">
        <v>36.972999999999999</v>
      </c>
      <c r="E139" s="16">
        <v>40.981999999999999</v>
      </c>
      <c r="F139" s="16">
        <v>42.165999999999997</v>
      </c>
      <c r="G139" s="16">
        <v>65.33</v>
      </c>
      <c r="H139" s="16">
        <f t="shared" si="6"/>
        <v>38.123249999999999</v>
      </c>
      <c r="I139" s="5"/>
      <c r="J139" s="15">
        <v>2370.2975999999999</v>
      </c>
      <c r="K139" s="16">
        <v>38.901699999999998</v>
      </c>
      <c r="L139" s="16">
        <v>41.822000000000003</v>
      </c>
      <c r="M139" s="16">
        <v>43.1646</v>
      </c>
      <c r="N139" s="16">
        <v>125.0651</v>
      </c>
      <c r="O139" s="16">
        <f t="shared" si="7"/>
        <v>39.799599999999998</v>
      </c>
      <c r="P139" s="7"/>
      <c r="Q139" s="8">
        <f>bdrate(C139:C142,D139:D142,J139:J142,K139:K142)</f>
        <v>-0.40739482486921952</v>
      </c>
      <c r="R139" s="8">
        <f>bdrate(C139:C142,E139:E142,J139:J142,L139:L142)</f>
        <v>-0.35944825779312328</v>
      </c>
      <c r="S139" s="8">
        <f>bdrate(C139:C142,F139:F142,J139:J142,M139:M142)</f>
        <v>-0.36897993462393464</v>
      </c>
      <c r="T139" s="25">
        <f>bdrate(C139:C142,H139:H142,J139:J142,O139:O142)</f>
        <v>-0.40186140941501225</v>
      </c>
      <c r="U139" s="28">
        <f t="shared" si="8"/>
        <v>0.91435940609214761</v>
      </c>
    </row>
    <row r="140" spans="1:21" x14ac:dyDescent="0.25">
      <c r="A140" s="9" t="s">
        <v>38</v>
      </c>
      <c r="B140" s="9"/>
      <c r="C140" s="17">
        <v>1416.314453125</v>
      </c>
      <c r="D140" s="18">
        <v>35.607999999999997</v>
      </c>
      <c r="E140" s="18">
        <v>40.335000000000001</v>
      </c>
      <c r="F140" s="18">
        <v>41.488</v>
      </c>
      <c r="G140" s="18">
        <v>71.61</v>
      </c>
      <c r="H140" s="18">
        <f t="shared" si="6"/>
        <v>36.933875</v>
      </c>
      <c r="I140" s="5"/>
      <c r="J140" s="17">
        <v>1569.1744000000001</v>
      </c>
      <c r="K140" s="18">
        <v>37.649799999999999</v>
      </c>
      <c r="L140" s="18">
        <v>41.158799999999999</v>
      </c>
      <c r="M140" s="18">
        <v>42.3932</v>
      </c>
      <c r="N140" s="18">
        <v>139.86009999999999</v>
      </c>
      <c r="O140" s="18">
        <f t="shared" si="7"/>
        <v>38.681349999999995</v>
      </c>
      <c r="P140" s="7"/>
      <c r="Q140" s="10"/>
      <c r="R140" s="11"/>
      <c r="S140" s="11"/>
      <c r="T140" s="26"/>
      <c r="U140" s="28">
        <f t="shared" si="8"/>
        <v>0.95308057533863966</v>
      </c>
    </row>
    <row r="141" spans="1:21" x14ac:dyDescent="0.25">
      <c r="B141" s="9"/>
      <c r="C141" s="17">
        <v>958.91015625</v>
      </c>
      <c r="D141" s="18">
        <v>33.926000000000002</v>
      </c>
      <c r="E141" s="18">
        <v>39.448999999999998</v>
      </c>
      <c r="F141" s="18">
        <v>40.609000000000002</v>
      </c>
      <c r="G141" s="18">
        <v>76.64</v>
      </c>
      <c r="H141" s="18">
        <f t="shared" si="6"/>
        <v>35.451749999999997</v>
      </c>
      <c r="I141" s="5"/>
      <c r="J141" s="17">
        <v>957.04240000000004</v>
      </c>
      <c r="K141" s="18">
        <v>36.0321</v>
      </c>
      <c r="L141" s="18">
        <v>40.371899999999997</v>
      </c>
      <c r="M141" s="18">
        <v>41.556199999999997</v>
      </c>
      <c r="N141" s="18">
        <v>152.381</v>
      </c>
      <c r="O141" s="18">
        <f t="shared" si="7"/>
        <v>37.2650875</v>
      </c>
      <c r="P141" s="7"/>
      <c r="Q141" s="10"/>
      <c r="R141" s="11"/>
      <c r="S141" s="11"/>
      <c r="T141" s="26"/>
      <c r="U141" s="28">
        <f t="shared" si="8"/>
        <v>0.98826983298538618</v>
      </c>
    </row>
    <row r="142" spans="1:21" ht="16.5" thickBot="1" x14ac:dyDescent="0.3">
      <c r="B142" s="12"/>
      <c r="C142" s="19">
        <v>591.73046875</v>
      </c>
      <c r="D142" s="20">
        <v>31.788</v>
      </c>
      <c r="E142" s="20">
        <v>38.286000000000001</v>
      </c>
      <c r="F142" s="20">
        <v>39.418999999999997</v>
      </c>
      <c r="G142" s="20">
        <v>84.76</v>
      </c>
      <c r="H142" s="20">
        <f t="shared" si="6"/>
        <v>33.554124999999999</v>
      </c>
      <c r="I142" s="5"/>
      <c r="J142" s="19">
        <v>557.88639999999998</v>
      </c>
      <c r="K142" s="20">
        <v>34.169199999999996</v>
      </c>
      <c r="L142" s="20">
        <v>39.599899999999998</v>
      </c>
      <c r="M142" s="20">
        <v>40.817900000000002</v>
      </c>
      <c r="N142" s="20">
        <v>167.2474</v>
      </c>
      <c r="O142" s="20">
        <f t="shared" si="7"/>
        <v>35.679124999999999</v>
      </c>
      <c r="P142" s="7"/>
      <c r="Q142" s="13"/>
      <c r="R142" s="14"/>
      <c r="S142" s="14"/>
      <c r="T142" s="27"/>
      <c r="U142" s="28">
        <f t="shared" si="8"/>
        <v>0.97318782444549301</v>
      </c>
    </row>
    <row r="143" spans="1:21" x14ac:dyDescent="0.25">
      <c r="B143" s="6" t="s">
        <v>49</v>
      </c>
      <c r="C143" s="15">
        <v>2483.6513671875</v>
      </c>
      <c r="D143" s="16">
        <v>34.587000000000003</v>
      </c>
      <c r="E143" s="16">
        <v>38.743000000000002</v>
      </c>
      <c r="F143" s="16">
        <v>39.991</v>
      </c>
      <c r="G143" s="16">
        <v>64.459999999999994</v>
      </c>
      <c r="H143" s="16">
        <f t="shared" si="6"/>
        <v>35.782000000000004</v>
      </c>
      <c r="I143" s="5"/>
      <c r="J143" s="15">
        <v>2446.2568000000001</v>
      </c>
      <c r="K143" s="16">
        <v>35.718800000000002</v>
      </c>
      <c r="L143" s="16">
        <v>39.777500000000003</v>
      </c>
      <c r="M143" s="16">
        <v>41.002600000000001</v>
      </c>
      <c r="N143" s="16">
        <v>113.9601</v>
      </c>
      <c r="O143" s="16">
        <f t="shared" si="7"/>
        <v>36.886612499999998</v>
      </c>
      <c r="P143" s="7"/>
      <c r="Q143" s="8">
        <f>bdrate(C143:C146,D143:D146,J143:J146,K143:K146)</f>
        <v>-0.27545440722485248</v>
      </c>
      <c r="R143" s="8">
        <f>bdrate(C143:C146,E143:E146,J143:J146,L143:L146)</f>
        <v>-0.44016867977503604</v>
      </c>
      <c r="S143" s="8">
        <f>bdrate(C143:C146,F143:F146,J143:J146,M143:M146)</f>
        <v>-0.4379090508938922</v>
      </c>
      <c r="T143" s="25">
        <f>bdrate(C143:C146,H143:H146,J143:J146,O143:O146)</f>
        <v>-0.30490005682370691</v>
      </c>
      <c r="U143" s="28">
        <f t="shared" si="8"/>
        <v>0.76791964008687574</v>
      </c>
    </row>
    <row r="144" spans="1:21" x14ac:dyDescent="0.25">
      <c r="B144" s="9"/>
      <c r="C144" s="17">
        <v>1678.5498046875</v>
      </c>
      <c r="D144" s="18">
        <v>33.509</v>
      </c>
      <c r="E144" s="18">
        <v>38.015999999999998</v>
      </c>
      <c r="F144" s="18">
        <v>39.377000000000002</v>
      </c>
      <c r="G144" s="18">
        <v>68.180000000000007</v>
      </c>
      <c r="H144" s="18">
        <f t="shared" si="6"/>
        <v>34.805875</v>
      </c>
      <c r="I144" s="5"/>
      <c r="J144" s="17">
        <v>1663.6872000000001</v>
      </c>
      <c r="K144" s="18">
        <v>34.495699999999999</v>
      </c>
      <c r="L144" s="18">
        <v>39.053600000000003</v>
      </c>
      <c r="M144" s="18">
        <v>40.290700000000001</v>
      </c>
      <c r="N144" s="18">
        <v>130.4348</v>
      </c>
      <c r="O144" s="18">
        <f t="shared" si="7"/>
        <v>35.789812500000004</v>
      </c>
      <c r="P144" s="7"/>
      <c r="Q144" s="10"/>
      <c r="R144" s="11"/>
      <c r="S144" s="11"/>
      <c r="T144" s="26"/>
      <c r="U144" s="28">
        <f t="shared" si="8"/>
        <v>0.91309474919331157</v>
      </c>
    </row>
    <row r="145" spans="1:21" x14ac:dyDescent="0.25">
      <c r="B145" s="9"/>
      <c r="C145" s="17">
        <v>1042.265625</v>
      </c>
      <c r="D145" s="18">
        <v>32.146000000000001</v>
      </c>
      <c r="E145" s="18">
        <v>37.091000000000001</v>
      </c>
      <c r="F145" s="18">
        <v>38.646000000000001</v>
      </c>
      <c r="G145" s="18">
        <v>73.180000000000007</v>
      </c>
      <c r="H145" s="18">
        <f t="shared" si="6"/>
        <v>33.576625</v>
      </c>
      <c r="I145" s="5"/>
      <c r="J145" s="17">
        <v>1022.9912</v>
      </c>
      <c r="K145" s="18">
        <v>32.993299999999998</v>
      </c>
      <c r="L145" s="18">
        <v>38.140500000000003</v>
      </c>
      <c r="M145" s="18">
        <v>39.464399999999998</v>
      </c>
      <c r="N145" s="18">
        <v>145.19059999999999</v>
      </c>
      <c r="O145" s="18">
        <f t="shared" si="7"/>
        <v>34.445587499999995</v>
      </c>
      <c r="P145" s="7"/>
      <c r="Q145" s="10"/>
      <c r="R145" s="11"/>
      <c r="S145" s="11"/>
      <c r="T145" s="26"/>
      <c r="U145" s="28">
        <f t="shared" si="8"/>
        <v>0.98402022410494638</v>
      </c>
    </row>
    <row r="146" spans="1:21" ht="16.5" thickBot="1" x14ac:dyDescent="0.3">
      <c r="B146" s="12"/>
      <c r="C146" s="19">
        <v>625.6708984375</v>
      </c>
      <c r="D146" s="20">
        <v>30.579000000000001</v>
      </c>
      <c r="E146" s="20">
        <v>36.159999999999997</v>
      </c>
      <c r="F146" s="20">
        <v>37.936</v>
      </c>
      <c r="G146" s="20">
        <v>78.66</v>
      </c>
      <c r="H146" s="20">
        <f t="shared" si="6"/>
        <v>32.196249999999999</v>
      </c>
      <c r="I146" s="5"/>
      <c r="J146" s="19">
        <v>581.18880000000001</v>
      </c>
      <c r="K146" s="20">
        <v>31.335799999999999</v>
      </c>
      <c r="L146" s="20">
        <v>37.1935</v>
      </c>
      <c r="M146" s="20">
        <v>38.749099999999999</v>
      </c>
      <c r="N146" s="20">
        <v>165.4032</v>
      </c>
      <c r="O146" s="20">
        <f t="shared" si="7"/>
        <v>32.994675000000001</v>
      </c>
      <c r="P146" s="7"/>
      <c r="Q146" s="13"/>
      <c r="R146" s="14"/>
      <c r="S146" s="14"/>
      <c r="T146" s="27"/>
      <c r="U146" s="28">
        <f t="shared" si="8"/>
        <v>1.1027612509534708</v>
      </c>
    </row>
    <row r="147" spans="1:21" x14ac:dyDescent="0.25">
      <c r="B147" s="6" t="s">
        <v>50</v>
      </c>
      <c r="C147" s="15">
        <v>2443.83203125</v>
      </c>
      <c r="D147" s="16">
        <v>32.697000000000003</v>
      </c>
      <c r="E147" s="16">
        <v>37.456000000000003</v>
      </c>
      <c r="F147" s="16">
        <v>38.76</v>
      </c>
      <c r="G147" s="16">
        <v>68.62</v>
      </c>
      <c r="H147" s="16">
        <f t="shared" si="6"/>
        <v>34.049750000000003</v>
      </c>
      <c r="I147" s="5"/>
      <c r="J147" s="15">
        <v>2409.2800000000002</v>
      </c>
      <c r="K147" s="16">
        <v>33.780799999999999</v>
      </c>
      <c r="L147" s="16">
        <v>38.031799999999997</v>
      </c>
      <c r="M147" s="16">
        <v>39.981299999999997</v>
      </c>
      <c r="N147" s="16">
        <v>78.939099999999996</v>
      </c>
      <c r="O147" s="16">
        <f t="shared" si="7"/>
        <v>35.087237500000001</v>
      </c>
      <c r="P147" s="7"/>
      <c r="Q147" s="8">
        <f>bdrate(C147:C150,D147:D150,J147:J150,K147:K150)</f>
        <v>-0.32341345952385503</v>
      </c>
      <c r="R147" s="8">
        <f>bdrate(C147:C150,E147:E150,J147:J150,L147:L150)</f>
        <v>-0.48910556586106069</v>
      </c>
      <c r="S147" s="8">
        <f>bdrate(C147:C150,F147:F150,J147:J150,M147:M150)</f>
        <v>-0.50759119986878232</v>
      </c>
      <c r="T147" s="25">
        <f>bdrate(C147:C150,H147:H150,J147:J150,O147:O150)</f>
        <v>-0.35835685510209936</v>
      </c>
      <c r="U147" s="28">
        <f t="shared" si="8"/>
        <v>0.15038035558146301</v>
      </c>
    </row>
    <row r="148" spans="1:21" x14ac:dyDescent="0.25">
      <c r="B148" s="9"/>
      <c r="C148" s="17">
        <v>1638.05859375</v>
      </c>
      <c r="D148" s="18">
        <v>31.349</v>
      </c>
      <c r="E148" s="18">
        <v>36.707000000000001</v>
      </c>
      <c r="F148" s="18">
        <v>37.566000000000003</v>
      </c>
      <c r="G148" s="18">
        <v>74.290000000000006</v>
      </c>
      <c r="H148" s="18">
        <f t="shared" si="6"/>
        <v>32.795874999999995</v>
      </c>
      <c r="I148" s="5"/>
      <c r="J148" s="17">
        <v>1605.5504000000001</v>
      </c>
      <c r="K148" s="18">
        <v>32.539700000000003</v>
      </c>
      <c r="L148" s="18">
        <v>37.603099999999998</v>
      </c>
      <c r="M148" s="18">
        <v>39.167299999999997</v>
      </c>
      <c r="N148" s="18">
        <v>164.3655</v>
      </c>
      <c r="O148" s="18">
        <f t="shared" si="7"/>
        <v>34.001075</v>
      </c>
      <c r="P148" s="7"/>
      <c r="Q148" s="10"/>
      <c r="R148" s="11"/>
      <c r="S148" s="11"/>
      <c r="T148" s="26"/>
      <c r="U148" s="28">
        <f t="shared" si="8"/>
        <v>1.2124848566428859</v>
      </c>
    </row>
    <row r="149" spans="1:21" x14ac:dyDescent="0.25">
      <c r="B149" s="9"/>
      <c r="C149" s="17">
        <v>1050.5712890625</v>
      </c>
      <c r="D149" s="18">
        <v>29.584</v>
      </c>
      <c r="E149" s="18">
        <v>35.676000000000002</v>
      </c>
      <c r="F149" s="18">
        <v>36.015000000000001</v>
      </c>
      <c r="G149" s="18">
        <v>81.61</v>
      </c>
      <c r="H149" s="18">
        <f t="shared" si="6"/>
        <v>31.149374999999999</v>
      </c>
      <c r="I149" s="5"/>
      <c r="J149" s="17">
        <v>1000.6584</v>
      </c>
      <c r="K149" s="18">
        <v>30.920100000000001</v>
      </c>
      <c r="L149" s="18">
        <v>36.996299999999998</v>
      </c>
      <c r="M149" s="18">
        <v>38.122300000000003</v>
      </c>
      <c r="N149" s="18">
        <v>179.0831</v>
      </c>
      <c r="O149" s="18">
        <f t="shared" si="7"/>
        <v>32.579900000000002</v>
      </c>
      <c r="P149" s="7"/>
      <c r="Q149" s="10"/>
      <c r="R149" s="11"/>
      <c r="S149" s="11"/>
      <c r="T149" s="26"/>
      <c r="U149" s="28">
        <f t="shared" si="8"/>
        <v>1.1943769145937999</v>
      </c>
    </row>
    <row r="150" spans="1:21" ht="16.5" thickBot="1" x14ac:dyDescent="0.3">
      <c r="B150" s="12"/>
      <c r="C150" s="19">
        <v>822.51171875</v>
      </c>
      <c r="D150" s="20">
        <v>28.585999999999999</v>
      </c>
      <c r="E150" s="20">
        <v>34.831000000000003</v>
      </c>
      <c r="F150" s="20">
        <v>34.781999999999996</v>
      </c>
      <c r="G150" s="20">
        <v>82.74</v>
      </c>
      <c r="H150" s="20">
        <f t="shared" si="6"/>
        <v>30.141124999999995</v>
      </c>
      <c r="I150" s="5"/>
      <c r="J150" s="19">
        <v>597.8288</v>
      </c>
      <c r="K150" s="20">
        <v>29.078099999999999</v>
      </c>
      <c r="L150" s="20">
        <v>36.290599999999998</v>
      </c>
      <c r="M150" s="20">
        <v>36.981099999999998</v>
      </c>
      <c r="N150" s="20">
        <v>190.76689999999999</v>
      </c>
      <c r="O150" s="20">
        <f t="shared" si="7"/>
        <v>30.967537499999995</v>
      </c>
      <c r="P150" s="7"/>
      <c r="Q150" s="13"/>
      <c r="R150" s="14"/>
      <c r="S150" s="14"/>
      <c r="T150" s="27"/>
      <c r="U150" s="28">
        <f t="shared" si="8"/>
        <v>1.3056188058979938</v>
      </c>
    </row>
    <row r="151" spans="1:21" x14ac:dyDescent="0.25">
      <c r="B151" s="6" t="s">
        <v>51</v>
      </c>
      <c r="C151" s="29">
        <v>2254.8193359375</v>
      </c>
      <c r="D151" s="30">
        <v>31.608000000000001</v>
      </c>
      <c r="E151" s="30">
        <v>38.442</v>
      </c>
      <c r="F151" s="30">
        <v>37.198999999999998</v>
      </c>
      <c r="G151" s="16">
        <v>75</v>
      </c>
      <c r="H151" s="16">
        <f t="shared" si="6"/>
        <v>33.161124999999998</v>
      </c>
      <c r="I151" s="5"/>
      <c r="J151" s="29">
        <v>2414.9911999999999</v>
      </c>
      <c r="K151" s="30">
        <v>33.735199999999999</v>
      </c>
      <c r="L151" s="30">
        <v>40.145600000000002</v>
      </c>
      <c r="M151" s="30">
        <v>39.7149</v>
      </c>
      <c r="N151" s="16">
        <v>126.7106</v>
      </c>
      <c r="O151" s="16">
        <f t="shared" si="7"/>
        <v>35.283962500000001</v>
      </c>
      <c r="P151" s="7"/>
      <c r="Q151" s="8">
        <f>bdrate(C151:C154,D151:D154,J151:J154,K151:K154)</f>
        <v>-0.43222710163881883</v>
      </c>
      <c r="R151" s="8">
        <f>bdrate(C151:C154,E151:E154,J151:J154,L151:L154)</f>
        <v>-0.56020641612917754</v>
      </c>
      <c r="S151" s="8">
        <f>bdrate(C151:C154,F151:F154,J151:J154,M151:M154)</f>
        <v>-0.61138749937728754</v>
      </c>
      <c r="T151" s="25">
        <f>bdrate(C151:C154,H151:H154,J151:J154,O151:O154)</f>
        <v>-0.47128966169239583</v>
      </c>
      <c r="U151" s="28">
        <f t="shared" si="8"/>
        <v>0.68947466666666668</v>
      </c>
    </row>
    <row r="152" spans="1:21" x14ac:dyDescent="0.25">
      <c r="B152" s="9"/>
      <c r="C152" s="31">
        <v>1648.83984375</v>
      </c>
      <c r="D152" s="32">
        <v>30.27</v>
      </c>
      <c r="E152" s="32">
        <v>37.439</v>
      </c>
      <c r="F152" s="32">
        <v>35.948999999999998</v>
      </c>
      <c r="G152" s="18">
        <v>81.209999999999994</v>
      </c>
      <c r="H152" s="18">
        <f t="shared" si="6"/>
        <v>31.875999999999998</v>
      </c>
      <c r="I152" s="5"/>
      <c r="J152" s="31">
        <v>1609.4344000000001</v>
      </c>
      <c r="K152" s="32">
        <v>32.315899999999999</v>
      </c>
      <c r="L152" s="32">
        <v>39.371600000000001</v>
      </c>
      <c r="M152" s="32">
        <v>38.7288</v>
      </c>
      <c r="N152" s="18">
        <v>148.41200000000001</v>
      </c>
      <c r="O152" s="18">
        <f t="shared" si="7"/>
        <v>33.999474999999997</v>
      </c>
      <c r="P152" s="7"/>
      <c r="Q152" s="10"/>
      <c r="R152" s="11"/>
      <c r="S152" s="11"/>
      <c r="T152" s="26"/>
      <c r="U152" s="28">
        <f t="shared" si="8"/>
        <v>0.82750892747198646</v>
      </c>
    </row>
    <row r="153" spans="1:21" x14ac:dyDescent="0.25">
      <c r="B153" s="9"/>
      <c r="C153" s="31">
        <v>1261.32421875</v>
      </c>
      <c r="D153" s="32">
        <v>29.193000000000001</v>
      </c>
      <c r="E153" s="32">
        <v>36.334000000000003</v>
      </c>
      <c r="F153" s="32">
        <v>34.857999999999997</v>
      </c>
      <c r="G153" s="18">
        <v>83.84</v>
      </c>
      <c r="H153" s="18">
        <f t="shared" si="6"/>
        <v>30.793750000000003</v>
      </c>
      <c r="I153" s="5"/>
      <c r="J153" s="31">
        <v>1001.4832</v>
      </c>
      <c r="K153" s="32">
        <v>30.530200000000001</v>
      </c>
      <c r="L153" s="32">
        <v>38.3384</v>
      </c>
      <c r="M153" s="32">
        <v>37.468299999999999</v>
      </c>
      <c r="N153" s="18">
        <v>163.559</v>
      </c>
      <c r="O153" s="18">
        <f t="shared" si="7"/>
        <v>32.373487499999996</v>
      </c>
      <c r="P153" s="7"/>
      <c r="Q153" s="10"/>
      <c r="R153" s="11"/>
      <c r="S153" s="11"/>
      <c r="T153" s="26"/>
      <c r="U153" s="28">
        <f t="shared" si="8"/>
        <v>0.95084685114503809</v>
      </c>
    </row>
    <row r="154" spans="1:21" ht="16.5" thickBot="1" x14ac:dyDescent="0.3">
      <c r="B154" s="12"/>
      <c r="C154" s="33">
        <v>1137.3134765625</v>
      </c>
      <c r="D154" s="34">
        <v>28.753</v>
      </c>
      <c r="E154" s="34">
        <v>35.685000000000002</v>
      </c>
      <c r="F154" s="34">
        <v>34.293999999999997</v>
      </c>
      <c r="G154" s="20">
        <v>83.86</v>
      </c>
      <c r="H154" s="20">
        <f t="shared" si="6"/>
        <v>30.312125000000002</v>
      </c>
      <c r="I154" s="5"/>
      <c r="J154" s="33">
        <v>601.13199999999995</v>
      </c>
      <c r="K154" s="34">
        <v>28.6052</v>
      </c>
      <c r="L154" s="34">
        <v>36.915599999999998</v>
      </c>
      <c r="M154" s="34">
        <v>35.8127</v>
      </c>
      <c r="N154" s="20">
        <v>179.01900000000001</v>
      </c>
      <c r="O154" s="20">
        <f t="shared" si="7"/>
        <v>30.544937500000003</v>
      </c>
      <c r="P154" s="7"/>
      <c r="Q154" s="13"/>
      <c r="R154" s="14"/>
      <c r="S154" s="14"/>
      <c r="T154" s="27"/>
      <c r="U154" s="28">
        <f t="shared" si="8"/>
        <v>1.1347364655378012</v>
      </c>
    </row>
    <row r="155" spans="1:21" x14ac:dyDescent="0.25">
      <c r="B155" s="6" t="s">
        <v>52</v>
      </c>
      <c r="C155" s="15">
        <v>2493.087890625</v>
      </c>
      <c r="D155" s="16">
        <v>31.408999999999999</v>
      </c>
      <c r="E155" s="16">
        <v>38.481000000000002</v>
      </c>
      <c r="F155" s="16">
        <v>41.033000000000001</v>
      </c>
      <c r="G155" s="16">
        <v>77.900000000000006</v>
      </c>
      <c r="H155" s="16">
        <f t="shared" si="6"/>
        <v>33.496000000000002</v>
      </c>
      <c r="I155" s="5"/>
      <c r="J155" s="15">
        <v>2416.0111999999999</v>
      </c>
      <c r="K155" s="16">
        <v>33.341999999999999</v>
      </c>
      <c r="L155" s="16">
        <v>39.682600000000001</v>
      </c>
      <c r="M155" s="16">
        <v>42.180100000000003</v>
      </c>
      <c r="N155" s="16">
        <v>130.80439999999999</v>
      </c>
      <c r="O155" s="16">
        <f t="shared" si="7"/>
        <v>35.239337499999998</v>
      </c>
      <c r="P155" s="7"/>
      <c r="Q155" s="8">
        <f>bdrate(C155:C158,D155:D158,J155:J158,K155:K158)</f>
        <v>-0.58617319676593149</v>
      </c>
      <c r="R155" s="8">
        <f>bdrate(C155:C158,E155:E158,J155:J158,L155:L158)</f>
        <v>-0.64809220018526004</v>
      </c>
      <c r="S155" s="8">
        <f>bdrate(C155:C158,F155:F158,J155:J158,M155:M158)</f>
        <v>-0.64636369012578077</v>
      </c>
      <c r="T155" s="25">
        <f>bdrate(C155:C158,H155:H158,J155:J158,O155:O158)</f>
        <v>-0.59659337717602057</v>
      </c>
      <c r="U155" s="28">
        <f t="shared" si="8"/>
        <v>0.67913222079589186</v>
      </c>
    </row>
    <row r="156" spans="1:21" x14ac:dyDescent="0.25">
      <c r="B156" s="9"/>
      <c r="C156" s="17">
        <v>1664.498046875</v>
      </c>
      <c r="D156" s="18">
        <v>30.427</v>
      </c>
      <c r="E156" s="18">
        <v>37.857999999999997</v>
      </c>
      <c r="F156" s="18">
        <v>40.374000000000002</v>
      </c>
      <c r="G156" s="18">
        <v>83.56</v>
      </c>
      <c r="H156" s="18">
        <f t="shared" si="6"/>
        <v>32.599250000000005</v>
      </c>
      <c r="I156" s="5"/>
      <c r="J156" s="17">
        <v>1617.7031999999999</v>
      </c>
      <c r="K156" s="18">
        <v>32.625500000000002</v>
      </c>
      <c r="L156" s="18">
        <v>39.209699999999998</v>
      </c>
      <c r="M156" s="18">
        <v>41.770499999999998</v>
      </c>
      <c r="N156" s="18">
        <v>167.97309999999999</v>
      </c>
      <c r="O156" s="18">
        <f t="shared" si="7"/>
        <v>34.591650000000001</v>
      </c>
      <c r="P156" s="7"/>
      <c r="Q156" s="10"/>
      <c r="R156" s="11"/>
      <c r="S156" s="11"/>
      <c r="T156" s="26"/>
      <c r="U156" s="28">
        <f t="shared" si="8"/>
        <v>1.0102094303494493</v>
      </c>
    </row>
    <row r="157" spans="1:21" x14ac:dyDescent="0.25">
      <c r="B157" s="9"/>
      <c r="C157" s="17">
        <v>1050.4501953125</v>
      </c>
      <c r="D157" s="18">
        <v>28.981999999999999</v>
      </c>
      <c r="E157" s="18">
        <v>37.04</v>
      </c>
      <c r="F157" s="18">
        <v>39.33</v>
      </c>
      <c r="G157" s="18">
        <v>89.78</v>
      </c>
      <c r="H157" s="18">
        <f t="shared" si="6"/>
        <v>31.28275</v>
      </c>
      <c r="I157" s="5"/>
      <c r="J157" s="17">
        <v>1027.4287999999999</v>
      </c>
      <c r="K157" s="18">
        <v>31.508199999999999</v>
      </c>
      <c r="L157" s="18">
        <v>38.612299999999998</v>
      </c>
      <c r="M157" s="18">
        <v>41.145899999999997</v>
      </c>
      <c r="N157" s="18">
        <v>178.09440000000001</v>
      </c>
      <c r="O157" s="18">
        <f t="shared" si="7"/>
        <v>33.600924999999997</v>
      </c>
      <c r="P157" s="7"/>
      <c r="Q157" s="10"/>
      <c r="R157" s="11"/>
      <c r="S157" s="11"/>
      <c r="T157" s="26"/>
      <c r="U157" s="28">
        <f t="shared" si="8"/>
        <v>0.98367565159278236</v>
      </c>
    </row>
    <row r="158" spans="1:21" ht="16.5" thickBot="1" x14ac:dyDescent="0.3">
      <c r="B158" s="12"/>
      <c r="C158" s="19">
        <v>749.2080078125</v>
      </c>
      <c r="D158" s="20">
        <v>27.54</v>
      </c>
      <c r="E158" s="20">
        <v>36.212000000000003</v>
      </c>
      <c r="F158" s="20">
        <v>38.137999999999998</v>
      </c>
      <c r="G158" s="20">
        <v>93.59</v>
      </c>
      <c r="H158" s="20">
        <f t="shared" si="6"/>
        <v>29.94875</v>
      </c>
      <c r="I158" s="5"/>
      <c r="J158" s="19">
        <v>598.86800000000005</v>
      </c>
      <c r="K158" s="20">
        <v>29.952300000000001</v>
      </c>
      <c r="L158" s="20">
        <v>37.994399999999999</v>
      </c>
      <c r="M158" s="20">
        <v>40.549999999999997</v>
      </c>
      <c r="N158" s="20">
        <v>187.6173</v>
      </c>
      <c r="O158" s="20">
        <f t="shared" si="7"/>
        <v>32.282274999999998</v>
      </c>
      <c r="P158" s="7"/>
      <c r="Q158" s="13"/>
      <c r="R158" s="14"/>
      <c r="S158" s="14"/>
      <c r="T158" s="27"/>
      <c r="U158" s="28">
        <f t="shared" si="8"/>
        <v>1.0046725077465541</v>
      </c>
    </row>
    <row r="159" spans="1:21" x14ac:dyDescent="0.25">
      <c r="A159" s="6" t="s">
        <v>39</v>
      </c>
      <c r="B159" s="6" t="s">
        <v>53</v>
      </c>
      <c r="C159" s="15">
        <v>1241.1337890625</v>
      </c>
      <c r="D159" s="16">
        <v>33.451000000000001</v>
      </c>
      <c r="E159" s="16">
        <v>37.723999999999997</v>
      </c>
      <c r="F159" s="16">
        <v>37.186</v>
      </c>
      <c r="G159" s="16">
        <v>221.65</v>
      </c>
      <c r="H159" s="16">
        <f t="shared" si="6"/>
        <v>34.451999999999998</v>
      </c>
      <c r="I159" s="5"/>
      <c r="J159" s="15">
        <v>1218.4983999999999</v>
      </c>
      <c r="K159" s="16">
        <v>34.626199999999997</v>
      </c>
      <c r="L159" s="16">
        <v>38.858800000000002</v>
      </c>
      <c r="M159" s="16">
        <v>38.609400000000001</v>
      </c>
      <c r="N159" s="16">
        <v>457.87549999999999</v>
      </c>
      <c r="O159" s="16">
        <f t="shared" si="7"/>
        <v>35.653174999999997</v>
      </c>
      <c r="P159" s="7"/>
      <c r="Q159" s="8">
        <f>bdrate(C159:C162,D159:D162,J159:J162,K159:K162)</f>
        <v>-0.24983293167371712</v>
      </c>
      <c r="R159" s="8">
        <f>bdrate(C159:C162,E159:E162,J159:J162,L159:L162)</f>
        <v>-0.3654307149718643</v>
      </c>
      <c r="S159" s="8">
        <f>bdrate(C159:C162,F159:F162,J159:J162,M159:M162)</f>
        <v>-0.40185340962473381</v>
      </c>
      <c r="T159" s="25">
        <f>bdrate(C159:C162,H159:H162,J159:J162,O159:O162)</f>
        <v>-0.2823542358609773</v>
      </c>
      <c r="U159" s="28">
        <f t="shared" si="8"/>
        <v>1.0657590796300473</v>
      </c>
    </row>
    <row r="160" spans="1:21" x14ac:dyDescent="0.25">
      <c r="A160" s="9" t="s">
        <v>40</v>
      </c>
      <c r="B160" s="9"/>
      <c r="C160" s="17">
        <v>835.7138671875</v>
      </c>
      <c r="D160" s="18">
        <v>32.061</v>
      </c>
      <c r="E160" s="18">
        <v>36.558</v>
      </c>
      <c r="F160" s="18">
        <v>35.883000000000003</v>
      </c>
      <c r="G160" s="18">
        <v>241.29</v>
      </c>
      <c r="H160" s="18">
        <f t="shared" si="6"/>
        <v>33.100874999999995</v>
      </c>
      <c r="I160" s="5"/>
      <c r="J160" s="17">
        <v>805.01679999999999</v>
      </c>
      <c r="K160" s="18">
        <v>33.069699999999997</v>
      </c>
      <c r="L160" s="18">
        <v>37.640099999999997</v>
      </c>
      <c r="M160" s="18">
        <v>37.2791</v>
      </c>
      <c r="N160" s="18">
        <v>593.11980000000005</v>
      </c>
      <c r="O160" s="18">
        <f t="shared" si="7"/>
        <v>34.167175</v>
      </c>
      <c r="P160" s="7"/>
      <c r="Q160" s="10"/>
      <c r="R160" s="11"/>
      <c r="S160" s="11"/>
      <c r="T160" s="26"/>
      <c r="U160" s="28">
        <f t="shared" si="8"/>
        <v>1.4581201044386427</v>
      </c>
    </row>
    <row r="161" spans="1:21" x14ac:dyDescent="0.25">
      <c r="B161" s="9"/>
      <c r="C161" s="17">
        <v>522.380859375</v>
      </c>
      <c r="D161" s="18">
        <v>30.417999999999999</v>
      </c>
      <c r="E161" s="18">
        <v>35.171999999999997</v>
      </c>
      <c r="F161" s="18">
        <v>34.308999999999997</v>
      </c>
      <c r="G161" s="18">
        <v>271.86</v>
      </c>
      <c r="H161" s="18">
        <f t="shared" si="6"/>
        <v>31.498624999999997</v>
      </c>
      <c r="I161" s="5"/>
      <c r="J161" s="17">
        <v>503.10079999999999</v>
      </c>
      <c r="K161" s="18">
        <v>31.291499999999999</v>
      </c>
      <c r="L161" s="18">
        <v>36.405500000000004</v>
      </c>
      <c r="M161" s="18">
        <v>35.884099999999997</v>
      </c>
      <c r="N161" s="18">
        <v>682.12819999999999</v>
      </c>
      <c r="O161" s="18">
        <f t="shared" si="7"/>
        <v>32.504824999999997</v>
      </c>
      <c r="P161" s="7"/>
      <c r="Q161" s="10"/>
      <c r="R161" s="11"/>
      <c r="S161" s="11"/>
      <c r="T161" s="26"/>
      <c r="U161" s="28">
        <f t="shared" si="8"/>
        <v>1.5091157213271535</v>
      </c>
    </row>
    <row r="162" spans="1:21" ht="16.5" thickBot="1" x14ac:dyDescent="0.3">
      <c r="B162" s="12"/>
      <c r="C162" s="19">
        <v>323.890625</v>
      </c>
      <c r="D162" s="20">
        <v>28.629000000000001</v>
      </c>
      <c r="E162" s="20">
        <v>33.552999999999997</v>
      </c>
      <c r="F162" s="20">
        <v>32.539000000000001</v>
      </c>
      <c r="G162" s="20">
        <v>308.11</v>
      </c>
      <c r="H162" s="20">
        <f t="shared" si="6"/>
        <v>29.733249999999998</v>
      </c>
      <c r="I162" s="5"/>
      <c r="J162" s="19">
        <v>301.9624</v>
      </c>
      <c r="K162" s="20">
        <v>29.297499999999999</v>
      </c>
      <c r="L162" s="20">
        <v>35.081699999999998</v>
      </c>
      <c r="M162" s="20">
        <v>34.425899999999999</v>
      </c>
      <c r="N162" s="20">
        <v>781.25</v>
      </c>
      <c r="O162" s="20">
        <f t="shared" si="7"/>
        <v>30.661574999999999</v>
      </c>
      <c r="P162" s="7"/>
      <c r="Q162" s="13"/>
      <c r="R162" s="14"/>
      <c r="S162" s="14"/>
      <c r="T162" s="27"/>
      <c r="U162" s="28">
        <f t="shared" si="8"/>
        <v>1.535620395313362</v>
      </c>
    </row>
    <row r="163" spans="1:21" x14ac:dyDescent="0.25">
      <c r="B163" s="6" t="s">
        <v>54</v>
      </c>
      <c r="C163" s="15">
        <v>1229.83984375</v>
      </c>
      <c r="D163" s="16">
        <v>32.732999999999997</v>
      </c>
      <c r="E163" s="16">
        <v>38.936</v>
      </c>
      <c r="F163" s="16">
        <v>39.54</v>
      </c>
      <c r="G163" s="16">
        <v>233.43</v>
      </c>
      <c r="H163" s="16">
        <f t="shared" si="6"/>
        <v>34.359249999999996</v>
      </c>
      <c r="I163" s="5"/>
      <c r="J163" s="15">
        <v>1237.1016</v>
      </c>
      <c r="K163" s="16">
        <v>34.843499999999999</v>
      </c>
      <c r="L163" s="16">
        <v>40.342399999999998</v>
      </c>
      <c r="M163" s="16">
        <v>41.136000000000003</v>
      </c>
      <c r="N163" s="16">
        <v>512.82050000000004</v>
      </c>
      <c r="O163" s="16">
        <f t="shared" si="7"/>
        <v>36.317425</v>
      </c>
      <c r="P163" s="7"/>
      <c r="Q163" s="8">
        <f>bdrate(C163:C166,D163:D166,J163:J166,K163:K166)</f>
        <v>-0.3840433157854255</v>
      </c>
      <c r="R163" s="8">
        <f>bdrate(C163:C166,E163:E166,J163:J166,L163:L166)</f>
        <v>-0.4970341935772159</v>
      </c>
      <c r="S163" s="8">
        <f>bdrate(C163:C166,F163:F166,J163:J166,M163:M166)</f>
        <v>-0.49671368917532055</v>
      </c>
      <c r="T163" s="25">
        <f>bdrate(C163:C166,H163:H166,J163:J166,O163:O166)</f>
        <v>-0.40754434236062764</v>
      </c>
      <c r="U163" s="28">
        <f t="shared" si="8"/>
        <v>1.1968920018849334</v>
      </c>
    </row>
    <row r="164" spans="1:21" x14ac:dyDescent="0.25">
      <c r="B164" s="9"/>
      <c r="C164" s="17">
        <v>821.720703125</v>
      </c>
      <c r="D164" s="18">
        <v>31.314</v>
      </c>
      <c r="E164" s="18">
        <v>37.890999999999998</v>
      </c>
      <c r="F164" s="18">
        <v>38.375</v>
      </c>
      <c r="G164" s="18">
        <v>254.4</v>
      </c>
      <c r="H164" s="18">
        <f t="shared" si="6"/>
        <v>33.018749999999997</v>
      </c>
      <c r="I164" s="5"/>
      <c r="J164" s="17">
        <v>824.20719999999994</v>
      </c>
      <c r="K164" s="18">
        <v>33.250100000000003</v>
      </c>
      <c r="L164" s="18">
        <v>39.437199999999997</v>
      </c>
      <c r="M164" s="18">
        <v>40.110500000000002</v>
      </c>
      <c r="N164" s="18">
        <v>600.60059999999999</v>
      </c>
      <c r="O164" s="18">
        <f t="shared" si="7"/>
        <v>34.881037500000005</v>
      </c>
      <c r="P164" s="7"/>
      <c r="Q164" s="10"/>
      <c r="R164" s="11"/>
      <c r="S164" s="11"/>
      <c r="T164" s="26"/>
      <c r="U164" s="28">
        <f t="shared" si="8"/>
        <v>1.3608514150943396</v>
      </c>
    </row>
    <row r="165" spans="1:21" x14ac:dyDescent="0.25">
      <c r="B165" s="9"/>
      <c r="C165" s="17">
        <v>524.2470703125</v>
      </c>
      <c r="D165" s="18">
        <v>29.611000000000001</v>
      </c>
      <c r="E165" s="18">
        <v>36.686</v>
      </c>
      <c r="F165" s="18">
        <v>36.997999999999998</v>
      </c>
      <c r="G165" s="18">
        <v>277.38</v>
      </c>
      <c r="H165" s="18">
        <f t="shared" si="6"/>
        <v>31.418749999999999</v>
      </c>
      <c r="I165" s="5"/>
      <c r="J165" s="17">
        <v>514.59280000000001</v>
      </c>
      <c r="K165" s="18">
        <v>31.3931</v>
      </c>
      <c r="L165" s="18">
        <v>38.393999999999998</v>
      </c>
      <c r="M165" s="18">
        <v>38.951000000000001</v>
      </c>
      <c r="N165" s="18">
        <v>674.91560000000004</v>
      </c>
      <c r="O165" s="18">
        <f t="shared" si="7"/>
        <v>33.212949999999999</v>
      </c>
      <c r="P165" s="7"/>
      <c r="Q165" s="10"/>
      <c r="R165" s="11"/>
      <c r="S165" s="11"/>
      <c r="T165" s="26"/>
      <c r="U165" s="28">
        <f t="shared" si="8"/>
        <v>1.4331804744393974</v>
      </c>
    </row>
    <row r="166" spans="1:21" ht="16.5" thickBot="1" x14ac:dyDescent="0.3">
      <c r="B166" s="12"/>
      <c r="C166" s="19">
        <v>357.025390625</v>
      </c>
      <c r="D166" s="20">
        <v>28.006</v>
      </c>
      <c r="E166" s="20">
        <v>35.609000000000002</v>
      </c>
      <c r="F166" s="20">
        <v>35.787999999999997</v>
      </c>
      <c r="G166" s="20">
        <v>294.35000000000002</v>
      </c>
      <c r="H166" s="20">
        <f t="shared" si="6"/>
        <v>29.929124999999999</v>
      </c>
      <c r="I166" s="5"/>
      <c r="J166" s="19">
        <v>308.67680000000001</v>
      </c>
      <c r="K166" s="20">
        <v>29.308800000000002</v>
      </c>
      <c r="L166" s="20">
        <v>37.330800000000004</v>
      </c>
      <c r="M166" s="20">
        <v>37.673200000000001</v>
      </c>
      <c r="N166" s="20">
        <v>784.31370000000004</v>
      </c>
      <c r="O166" s="20">
        <f t="shared" si="7"/>
        <v>31.357100000000003</v>
      </c>
      <c r="P166" s="7"/>
      <c r="Q166" s="13"/>
      <c r="R166" s="14"/>
      <c r="S166" s="14"/>
      <c r="T166" s="27"/>
      <c r="U166" s="28">
        <f t="shared" si="8"/>
        <v>1.6645615763546797</v>
      </c>
    </row>
    <row r="167" spans="1:21" x14ac:dyDescent="0.25">
      <c r="B167" s="6" t="s">
        <v>55</v>
      </c>
      <c r="C167" s="15">
        <v>1326.212890625</v>
      </c>
      <c r="D167" s="16">
        <v>28.44</v>
      </c>
      <c r="E167" s="16">
        <v>35.277000000000001</v>
      </c>
      <c r="F167" s="16">
        <v>36.091999999999999</v>
      </c>
      <c r="G167" s="16">
        <v>188.31</v>
      </c>
      <c r="H167" s="16">
        <f t="shared" si="6"/>
        <v>30.251125000000002</v>
      </c>
      <c r="I167" s="5"/>
      <c r="J167" s="15">
        <v>1216.9431999999999</v>
      </c>
      <c r="K167" s="16">
        <v>29.9392</v>
      </c>
      <c r="L167" s="16">
        <v>36.545299999999997</v>
      </c>
      <c r="M167" s="16">
        <v>37.316499999999998</v>
      </c>
      <c r="N167" s="16">
        <v>478.46890000000002</v>
      </c>
      <c r="O167" s="16">
        <f t="shared" si="7"/>
        <v>31.687124999999998</v>
      </c>
      <c r="P167" s="7"/>
      <c r="Q167" s="8">
        <f>bdrate(C167:C170,D167:D170,J167:J170,K167:K170)</f>
        <v>-0.38645423097990073</v>
      </c>
      <c r="R167" s="8">
        <f>bdrate(C167:C170,E167:E170,J167:J170,L167:L170)</f>
        <v>-0.55999095853799707</v>
      </c>
      <c r="S167" s="8">
        <f>bdrate(C167:C170,F167:F170,J167:J170,M167:M170)</f>
        <v>-0.53447503683060305</v>
      </c>
      <c r="T167" s="25">
        <f>bdrate(C167:C170,H167:H170,J167:J170,O167:O170)</f>
        <v>-0.42014545467409936</v>
      </c>
      <c r="U167" s="28">
        <f t="shared" si="8"/>
        <v>1.5408576283787372</v>
      </c>
    </row>
    <row r="168" spans="1:21" x14ac:dyDescent="0.25">
      <c r="B168" s="9"/>
      <c r="C168" s="17">
        <v>905.3251953125</v>
      </c>
      <c r="D168" s="18">
        <v>27.382999999999999</v>
      </c>
      <c r="E168" s="18">
        <v>34.518999999999998</v>
      </c>
      <c r="F168" s="18">
        <v>35.341000000000001</v>
      </c>
      <c r="G168" s="18">
        <v>200.81</v>
      </c>
      <c r="H168" s="18">
        <f t="shared" si="6"/>
        <v>29.269750000000002</v>
      </c>
      <c r="I168" s="5"/>
      <c r="J168" s="17">
        <v>810.87519999999995</v>
      </c>
      <c r="K168" s="18">
        <v>28.613499999999998</v>
      </c>
      <c r="L168" s="18">
        <v>35.754100000000001</v>
      </c>
      <c r="M168" s="18">
        <v>36.492199999999997</v>
      </c>
      <c r="N168" s="18">
        <v>561.79780000000005</v>
      </c>
      <c r="O168" s="18">
        <f t="shared" si="7"/>
        <v>30.490912499999997</v>
      </c>
      <c r="P168" s="7"/>
      <c r="Q168" s="10"/>
      <c r="R168" s="11"/>
      <c r="S168" s="11"/>
      <c r="T168" s="26"/>
      <c r="U168" s="28">
        <f t="shared" si="8"/>
        <v>1.79765848314327</v>
      </c>
    </row>
    <row r="169" spans="1:21" x14ac:dyDescent="0.25">
      <c r="B169" s="9"/>
      <c r="C169" s="17">
        <v>568.490234375</v>
      </c>
      <c r="D169" s="18">
        <v>26.164999999999999</v>
      </c>
      <c r="E169" s="18">
        <v>33.625</v>
      </c>
      <c r="F169" s="18">
        <v>34.369999999999997</v>
      </c>
      <c r="G169" s="18">
        <v>217</v>
      </c>
      <c r="H169" s="18">
        <f t="shared" si="6"/>
        <v>28.123125000000002</v>
      </c>
      <c r="I169" s="5"/>
      <c r="J169" s="17">
        <v>508.8064</v>
      </c>
      <c r="K169" s="18">
        <v>27.1753</v>
      </c>
      <c r="L169" s="18">
        <v>34.966900000000003</v>
      </c>
      <c r="M169" s="18">
        <v>35.679200000000002</v>
      </c>
      <c r="N169" s="18">
        <v>666.66669999999999</v>
      </c>
      <c r="O169" s="18">
        <f t="shared" si="7"/>
        <v>29.212237500000004</v>
      </c>
      <c r="P169" s="7"/>
      <c r="Q169" s="10"/>
      <c r="R169" s="11"/>
      <c r="S169" s="11"/>
      <c r="T169" s="26"/>
      <c r="U169" s="28">
        <f t="shared" si="8"/>
        <v>2.0721967741935483</v>
      </c>
    </row>
    <row r="170" spans="1:21" ht="16.5" thickBot="1" x14ac:dyDescent="0.3">
      <c r="B170" s="12"/>
      <c r="C170" s="19">
        <v>366.2333984375</v>
      </c>
      <c r="D170" s="20">
        <v>24.989000000000001</v>
      </c>
      <c r="E170" s="20">
        <v>32.651000000000003</v>
      </c>
      <c r="F170" s="20">
        <v>33.463000000000001</v>
      </c>
      <c r="G170" s="20">
        <v>232.63</v>
      </c>
      <c r="H170" s="20">
        <f t="shared" si="6"/>
        <v>27.006</v>
      </c>
      <c r="I170" s="5"/>
      <c r="J170" s="19">
        <v>305.66079999999999</v>
      </c>
      <c r="K170" s="20">
        <v>25.644600000000001</v>
      </c>
      <c r="L170" s="20">
        <v>34.076599999999999</v>
      </c>
      <c r="M170" s="20">
        <v>34.7883</v>
      </c>
      <c r="N170" s="20">
        <v>745.15650000000005</v>
      </c>
      <c r="O170" s="20">
        <f t="shared" si="7"/>
        <v>27.841562500000002</v>
      </c>
      <c r="P170" s="7"/>
      <c r="Q170" s="13"/>
      <c r="R170" s="14"/>
      <c r="S170" s="14"/>
      <c r="T170" s="27"/>
      <c r="U170" s="28">
        <f t="shared" si="8"/>
        <v>2.2031831664015824</v>
      </c>
    </row>
    <row r="171" spans="1:21" x14ac:dyDescent="0.25">
      <c r="B171" s="6" t="s">
        <v>56</v>
      </c>
      <c r="C171" s="15">
        <v>1162.6240234375</v>
      </c>
      <c r="D171" s="16">
        <v>30.82</v>
      </c>
      <c r="E171" s="16">
        <v>35.447000000000003</v>
      </c>
      <c r="F171" s="16">
        <v>37.020000000000003</v>
      </c>
      <c r="G171" s="16">
        <v>173.25</v>
      </c>
      <c r="H171" s="16">
        <f t="shared" si="6"/>
        <v>32.173375</v>
      </c>
      <c r="I171" s="5"/>
      <c r="J171" s="15">
        <v>1201.0232000000001</v>
      </c>
      <c r="K171" s="16">
        <v>31.892199999999999</v>
      </c>
      <c r="L171" s="16">
        <v>36.604700000000001</v>
      </c>
      <c r="M171" s="16">
        <v>38.168999999999997</v>
      </c>
      <c r="N171" s="16">
        <v>356.29450000000003</v>
      </c>
      <c r="O171" s="16">
        <f t="shared" si="7"/>
        <v>33.265862499999997</v>
      </c>
      <c r="P171" s="7"/>
      <c r="Q171" s="8">
        <f>bdrate(C171:C174,D171:D174,J171:J174,K171:K174)</f>
        <v>-0.23203264849407479</v>
      </c>
      <c r="R171" s="8">
        <f>bdrate(C171:C174,E171:E174,J171:J174,L171:L174)</f>
        <v>-0.48030206765955141</v>
      </c>
      <c r="S171" s="8">
        <f>bdrate(C171:C174,F171:F174,J171:J174,M171:M174)</f>
        <v>-0.46612627589825362</v>
      </c>
      <c r="T171" s="25">
        <f>bdrate(C171:C174,H171:H174,J171:J174,O171:O174)</f>
        <v>-0.28720291329443925</v>
      </c>
      <c r="U171" s="28">
        <f t="shared" si="8"/>
        <v>1.0565339105339107</v>
      </c>
    </row>
    <row r="172" spans="1:21" x14ac:dyDescent="0.25">
      <c r="B172" s="9"/>
      <c r="C172" s="17">
        <v>835.6748046875</v>
      </c>
      <c r="D172" s="18">
        <v>29.667999999999999</v>
      </c>
      <c r="E172" s="18">
        <v>34.594000000000001</v>
      </c>
      <c r="F172" s="18">
        <v>36.136000000000003</v>
      </c>
      <c r="G172" s="18">
        <v>187.61</v>
      </c>
      <c r="H172" s="18">
        <f t="shared" si="6"/>
        <v>31.092249999999996</v>
      </c>
      <c r="I172" s="5"/>
      <c r="J172" s="17">
        <v>795.93119999999999</v>
      </c>
      <c r="K172" s="18">
        <v>30.382100000000001</v>
      </c>
      <c r="L172" s="18">
        <v>35.747199999999999</v>
      </c>
      <c r="M172" s="18">
        <v>37.281399999999998</v>
      </c>
      <c r="N172" s="18">
        <v>418.41</v>
      </c>
      <c r="O172" s="18">
        <f t="shared" si="7"/>
        <v>31.915149999999997</v>
      </c>
      <c r="P172" s="7"/>
      <c r="Q172" s="10"/>
      <c r="R172" s="11"/>
      <c r="S172" s="11"/>
      <c r="T172" s="26"/>
      <c r="U172" s="28">
        <f t="shared" si="8"/>
        <v>1.2302116091892756</v>
      </c>
    </row>
    <row r="173" spans="1:21" x14ac:dyDescent="0.25">
      <c r="B173" s="9"/>
      <c r="C173" s="17">
        <v>558.33203125</v>
      </c>
      <c r="D173" s="18">
        <v>28.263999999999999</v>
      </c>
      <c r="E173" s="18">
        <v>33.500999999999998</v>
      </c>
      <c r="F173" s="18">
        <v>34.899000000000001</v>
      </c>
      <c r="G173" s="18">
        <v>207.77</v>
      </c>
      <c r="H173" s="18">
        <f t="shared" si="6"/>
        <v>29.748000000000001</v>
      </c>
      <c r="I173" s="5"/>
      <c r="J173" s="17">
        <v>497.56959999999998</v>
      </c>
      <c r="K173" s="18">
        <v>28.79</v>
      </c>
      <c r="L173" s="18">
        <v>34.877699999999997</v>
      </c>
      <c r="M173" s="18">
        <v>36.362200000000001</v>
      </c>
      <c r="N173" s="18">
        <v>533.80780000000004</v>
      </c>
      <c r="O173" s="18">
        <f t="shared" si="7"/>
        <v>30.497487500000002</v>
      </c>
      <c r="P173" s="7"/>
      <c r="Q173" s="10"/>
      <c r="R173" s="11"/>
      <c r="S173" s="11"/>
      <c r="T173" s="26"/>
      <c r="U173" s="28">
        <f t="shared" si="8"/>
        <v>1.5692246233816241</v>
      </c>
    </row>
    <row r="174" spans="1:21" ht="16.5" thickBot="1" x14ac:dyDescent="0.3">
      <c r="B174" s="12"/>
      <c r="C174" s="19">
        <v>361.3974609375</v>
      </c>
      <c r="D174" s="20">
        <v>26.954999999999998</v>
      </c>
      <c r="E174" s="20">
        <v>32.399000000000001</v>
      </c>
      <c r="F174" s="20">
        <v>33.656999999999996</v>
      </c>
      <c r="G174" s="20">
        <v>225.97</v>
      </c>
      <c r="H174" s="20">
        <f t="shared" si="6"/>
        <v>28.47325</v>
      </c>
      <c r="I174" s="5"/>
      <c r="J174" s="19">
        <v>299.65519999999998</v>
      </c>
      <c r="K174" s="20">
        <v>27.1631</v>
      </c>
      <c r="L174" s="20">
        <v>33.8748</v>
      </c>
      <c r="M174" s="20">
        <v>35.2746</v>
      </c>
      <c r="N174" s="20">
        <v>619.8347</v>
      </c>
      <c r="O174" s="20">
        <f t="shared" si="7"/>
        <v>29.015999999999998</v>
      </c>
      <c r="P174" s="7"/>
      <c r="Q174" s="13"/>
      <c r="R174" s="14"/>
      <c r="S174" s="14"/>
      <c r="T174" s="27"/>
      <c r="U174" s="28">
        <f t="shared" si="8"/>
        <v>1.7429955303801388</v>
      </c>
    </row>
    <row r="175" spans="1:21" x14ac:dyDescent="0.25">
      <c r="A175" s="6" t="s">
        <v>41</v>
      </c>
      <c r="B175" s="6" t="s">
        <v>57</v>
      </c>
      <c r="C175" s="15">
        <v>580.1328125</v>
      </c>
      <c r="D175" s="16">
        <v>32.665999999999997</v>
      </c>
      <c r="E175" s="16">
        <v>38.325000000000003</v>
      </c>
      <c r="F175" s="16">
        <v>36.042999999999999</v>
      </c>
      <c r="G175" s="16">
        <v>433.47</v>
      </c>
      <c r="H175" s="16">
        <f t="shared" si="6"/>
        <v>33.795499999999997</v>
      </c>
      <c r="I175" s="5"/>
      <c r="J175" s="15">
        <v>603.23760000000004</v>
      </c>
      <c r="K175" s="16">
        <v>33.941800000000001</v>
      </c>
      <c r="L175" s="16">
        <v>39.345999999999997</v>
      </c>
      <c r="M175" s="16">
        <v>37.813299999999998</v>
      </c>
      <c r="N175" s="16">
        <v>1187.6485</v>
      </c>
      <c r="O175" s="16">
        <f t="shared" si="7"/>
        <v>35.101262500000004</v>
      </c>
      <c r="P175" s="7"/>
      <c r="Q175" s="8">
        <f>bdrate(C175:C178,D175:D178,J175:J178,K175:K178)</f>
        <v>-0.18282783126224877</v>
      </c>
      <c r="R175" s="8">
        <f>bdrate(C175:C178,E175:E178,J175:J178,L175:L178)</f>
        <v>-0.35127033426011722</v>
      </c>
      <c r="S175" s="8">
        <f>bdrate(C175:C178,F175:F178,J175:J178,M175:M178)</f>
        <v>-0.48752018238602468</v>
      </c>
      <c r="T175" s="25">
        <f>bdrate(C175:C178,H175:H178,J175:J178,O175:O178)</f>
        <v>-0.23891717940690937</v>
      </c>
      <c r="U175" s="28">
        <f t="shared" si="8"/>
        <v>1.7398631969917178</v>
      </c>
    </row>
    <row r="176" spans="1:21" x14ac:dyDescent="0.25">
      <c r="A176" s="9" t="s">
        <v>42</v>
      </c>
      <c r="B176" s="9"/>
      <c r="C176" s="17">
        <v>403.4228515625</v>
      </c>
      <c r="D176" s="18">
        <v>31.222999999999999</v>
      </c>
      <c r="E176" s="18">
        <v>37.334000000000003</v>
      </c>
      <c r="F176" s="18">
        <v>34.86</v>
      </c>
      <c r="G176" s="18">
        <v>466.6</v>
      </c>
      <c r="H176" s="18">
        <f t="shared" si="6"/>
        <v>32.441499999999998</v>
      </c>
      <c r="I176" s="5"/>
      <c r="J176" s="17">
        <v>402.93759999999997</v>
      </c>
      <c r="K176" s="18">
        <v>32.166400000000003</v>
      </c>
      <c r="L176" s="18">
        <v>38.2363</v>
      </c>
      <c r="M176" s="18">
        <v>36.573900000000002</v>
      </c>
      <c r="N176" s="18">
        <v>1457.7258999999999</v>
      </c>
      <c r="O176" s="18">
        <f t="shared" si="7"/>
        <v>33.476075000000002</v>
      </c>
      <c r="P176" s="7"/>
      <c r="Q176" s="10"/>
      <c r="R176" s="11"/>
      <c r="S176" s="11"/>
      <c r="T176" s="26"/>
      <c r="U176" s="28">
        <f t="shared" si="8"/>
        <v>2.1241446635233601</v>
      </c>
    </row>
    <row r="177" spans="1:21" x14ac:dyDescent="0.25">
      <c r="B177" s="9"/>
      <c r="C177" s="17">
        <v>258.79296875</v>
      </c>
      <c r="D177" s="18">
        <v>29.582999999999998</v>
      </c>
      <c r="E177" s="18">
        <v>36.131999999999998</v>
      </c>
      <c r="F177" s="18">
        <v>33.456000000000003</v>
      </c>
      <c r="G177" s="18">
        <v>510.56</v>
      </c>
      <c r="H177" s="18">
        <f t="shared" si="6"/>
        <v>30.885750000000002</v>
      </c>
      <c r="I177" s="5"/>
      <c r="J177" s="17">
        <v>253.49039999999999</v>
      </c>
      <c r="K177" s="18">
        <v>30.259</v>
      </c>
      <c r="L177" s="18">
        <v>37.174599999999998</v>
      </c>
      <c r="M177" s="18">
        <v>35.367199999999997</v>
      </c>
      <c r="N177" s="18">
        <v>1779.3594000000001</v>
      </c>
      <c r="O177" s="18">
        <f t="shared" si="7"/>
        <v>31.761975</v>
      </c>
      <c r="P177" s="7"/>
      <c r="Q177" s="10"/>
      <c r="R177" s="11"/>
      <c r="S177" s="11"/>
      <c r="T177" s="26"/>
      <c r="U177" s="28">
        <f t="shared" si="8"/>
        <v>2.4851132090253842</v>
      </c>
    </row>
    <row r="178" spans="1:21" ht="16.5" thickBot="1" x14ac:dyDescent="0.3">
      <c r="B178" s="12"/>
      <c r="C178" s="19">
        <v>139.201171875</v>
      </c>
      <c r="D178" s="20">
        <v>27.431999999999999</v>
      </c>
      <c r="E178" s="20">
        <v>34.439</v>
      </c>
      <c r="F178" s="20">
        <v>31.608000000000001</v>
      </c>
      <c r="G178" s="20">
        <v>569.82000000000005</v>
      </c>
      <c r="H178" s="20">
        <f t="shared" si="6"/>
        <v>28.829874999999998</v>
      </c>
      <c r="I178" s="5"/>
      <c r="J178" s="19">
        <v>121.5176</v>
      </c>
      <c r="K178" s="20">
        <v>27.474699999999999</v>
      </c>
      <c r="L178" s="20">
        <v>35.662399999999998</v>
      </c>
      <c r="M178" s="20">
        <v>33.4955</v>
      </c>
      <c r="N178" s="20">
        <v>2000</v>
      </c>
      <c r="O178" s="20">
        <f t="shared" si="7"/>
        <v>29.250762499999997</v>
      </c>
      <c r="P178" s="7"/>
      <c r="Q178" s="13"/>
      <c r="R178" s="14"/>
      <c r="S178" s="14"/>
      <c r="T178" s="27"/>
      <c r="U178" s="28">
        <f t="shared" si="8"/>
        <v>2.5098803130813234</v>
      </c>
    </row>
    <row r="179" spans="1:21" x14ac:dyDescent="0.25">
      <c r="B179" s="6" t="s">
        <v>58</v>
      </c>
      <c r="C179" s="15">
        <v>639.7802734375</v>
      </c>
      <c r="D179" s="16">
        <v>29.722999999999999</v>
      </c>
      <c r="E179" s="16">
        <v>39.828000000000003</v>
      </c>
      <c r="F179" s="16">
        <v>40.57</v>
      </c>
      <c r="G179" s="16">
        <v>400.34</v>
      </c>
      <c r="H179" s="16">
        <f t="shared" si="6"/>
        <v>32.341999999999999</v>
      </c>
      <c r="I179" s="5"/>
      <c r="J179" s="15">
        <v>600.02800000000002</v>
      </c>
      <c r="K179" s="16">
        <v>33.215699999999998</v>
      </c>
      <c r="L179" s="16">
        <v>41.142400000000002</v>
      </c>
      <c r="M179" s="16">
        <v>41.910200000000003</v>
      </c>
      <c r="N179" s="16">
        <v>1425.1781000000001</v>
      </c>
      <c r="O179" s="16">
        <f t="shared" si="7"/>
        <v>35.293350000000004</v>
      </c>
      <c r="P179" s="7"/>
      <c r="Q179" s="8">
        <f>bdrate(C179:C182,D179:D182,J179:J182,K179:K182)</f>
        <v>-0.65516288874555473</v>
      </c>
      <c r="R179" s="8">
        <f>bdrate(C179:C182,E179:E182,J179:J182,L179:L182)</f>
        <v>-0.46497729233862106</v>
      </c>
      <c r="S179" s="8">
        <f>bdrate(C179:C182,F179:F182,J179:J182,M179:M182)</f>
        <v>-0.47589205161275727</v>
      </c>
      <c r="T179" s="25">
        <f>bdrate(C179:C182,H179:H182,J179:J182,O179:O182)</f>
        <v>-0.63008864690139621</v>
      </c>
      <c r="U179" s="28">
        <f t="shared" si="8"/>
        <v>2.5599193185792082</v>
      </c>
    </row>
    <row r="180" spans="1:21" x14ac:dyDescent="0.25">
      <c r="B180" s="9"/>
      <c r="C180" s="17">
        <v>436.140625</v>
      </c>
      <c r="D180" s="18">
        <v>28.638999999999999</v>
      </c>
      <c r="E180" s="18">
        <v>39.195</v>
      </c>
      <c r="F180" s="18">
        <v>39.831000000000003</v>
      </c>
      <c r="G180" s="18">
        <v>422.09</v>
      </c>
      <c r="H180" s="18">
        <f t="shared" si="6"/>
        <v>31.357500000000002</v>
      </c>
      <c r="I180" s="5"/>
      <c r="J180" s="17">
        <v>399.29360000000003</v>
      </c>
      <c r="K180" s="18">
        <v>31.921500000000002</v>
      </c>
      <c r="L180" s="18">
        <v>40.258899999999997</v>
      </c>
      <c r="M180" s="18">
        <v>41.048400000000001</v>
      </c>
      <c r="N180" s="18">
        <v>1749.2710999999999</v>
      </c>
      <c r="O180" s="18">
        <f t="shared" si="7"/>
        <v>34.104537499999999</v>
      </c>
      <c r="P180" s="7"/>
      <c r="Q180" s="10"/>
      <c r="R180" s="11"/>
      <c r="S180" s="11"/>
      <c r="T180" s="26"/>
      <c r="U180" s="28">
        <f t="shared" si="8"/>
        <v>3.1443083228695303</v>
      </c>
    </row>
    <row r="181" spans="1:21" x14ac:dyDescent="0.25">
      <c r="B181" s="9"/>
      <c r="C181" s="17">
        <v>272.6572265625</v>
      </c>
      <c r="D181" s="18">
        <v>27.41</v>
      </c>
      <c r="E181" s="18">
        <v>38.424999999999997</v>
      </c>
      <c r="F181" s="18">
        <v>38.987000000000002</v>
      </c>
      <c r="G181" s="18">
        <v>446.27</v>
      </c>
      <c r="H181" s="18">
        <f t="shared" si="6"/>
        <v>30.233999999999998</v>
      </c>
      <c r="I181" s="5"/>
      <c r="J181" s="17">
        <v>249.4632</v>
      </c>
      <c r="K181" s="18">
        <v>30.3809</v>
      </c>
      <c r="L181" s="18">
        <v>39.340600000000002</v>
      </c>
      <c r="M181" s="18">
        <v>40.0182</v>
      </c>
      <c r="N181" s="18">
        <v>1834.8624</v>
      </c>
      <c r="O181" s="18">
        <f t="shared" si="7"/>
        <v>32.705525000000002</v>
      </c>
      <c r="P181" s="7"/>
      <c r="Q181" s="10"/>
      <c r="R181" s="11"/>
      <c r="S181" s="11"/>
      <c r="T181" s="26"/>
      <c r="U181" s="28">
        <f t="shared" si="8"/>
        <v>3.1115521993412063</v>
      </c>
    </row>
    <row r="182" spans="1:21" ht="16.5" thickBot="1" x14ac:dyDescent="0.3">
      <c r="B182" s="12"/>
      <c r="C182" s="19">
        <v>131.091796875</v>
      </c>
      <c r="D182" s="20">
        <v>25.457999999999998</v>
      </c>
      <c r="E182" s="20">
        <v>37.393999999999998</v>
      </c>
      <c r="F182" s="20">
        <v>37.57</v>
      </c>
      <c r="G182" s="20">
        <v>501.28</v>
      </c>
      <c r="H182" s="20">
        <f t="shared" si="6"/>
        <v>28.463999999999999</v>
      </c>
      <c r="I182" s="5"/>
      <c r="J182" s="19">
        <v>120.04640000000001</v>
      </c>
      <c r="K182" s="20">
        <v>27.803899999999999</v>
      </c>
      <c r="L182" s="20">
        <v>38.045499999999997</v>
      </c>
      <c r="M182" s="20">
        <v>38.638399999999997</v>
      </c>
      <c r="N182" s="20">
        <v>2027.027</v>
      </c>
      <c r="O182" s="20">
        <f t="shared" si="7"/>
        <v>30.438412499999998</v>
      </c>
      <c r="P182" s="7"/>
      <c r="Q182" s="13"/>
      <c r="R182" s="14"/>
      <c r="S182" s="14"/>
      <c r="T182" s="27"/>
      <c r="U182" s="28">
        <f t="shared" si="8"/>
        <v>3.0437021225662306</v>
      </c>
    </row>
    <row r="183" spans="1:21" x14ac:dyDescent="0.25">
      <c r="B183" s="6" t="s">
        <v>59</v>
      </c>
      <c r="C183" s="29">
        <v>648.056640625</v>
      </c>
      <c r="D183" s="30">
        <v>30.600999999999999</v>
      </c>
      <c r="E183" s="30">
        <v>36.307000000000002</v>
      </c>
      <c r="F183" s="30">
        <v>37.051000000000002</v>
      </c>
      <c r="G183" s="16">
        <v>391.9</v>
      </c>
      <c r="H183" s="16">
        <f t="shared" si="6"/>
        <v>32.1205</v>
      </c>
      <c r="I183" s="5"/>
      <c r="J183" s="29">
        <v>642.43039999999996</v>
      </c>
      <c r="K183" s="30">
        <v>32.762799999999999</v>
      </c>
      <c r="L183" s="30">
        <v>37.858899999999998</v>
      </c>
      <c r="M183" s="30">
        <v>38.6233</v>
      </c>
      <c r="N183" s="16">
        <v>1282.0513000000001</v>
      </c>
      <c r="O183" s="16">
        <f t="shared" si="7"/>
        <v>34.132374999999996</v>
      </c>
      <c r="P183" s="7"/>
      <c r="Q183" s="8">
        <f>bdrate(C183:C186,D183:D186,J183:J186,K183:K186)</f>
        <v>-0.41390745427921372</v>
      </c>
      <c r="R183" s="8">
        <f>bdrate(C183:C186,E183:E186,J183:J186,L183:L186)</f>
        <v>-0.50648946978256648</v>
      </c>
      <c r="S183" s="8">
        <f>bdrate(C183:C186,F183:F186,J183:J186,M183:M186)</f>
        <v>-0.51992284834307834</v>
      </c>
      <c r="T183" s="25">
        <f>bdrate(C183:C186,H183:H186,J183:J186,O183:O186)</f>
        <v>-0.43680924043800651</v>
      </c>
      <c r="U183" s="28">
        <f t="shared" si="8"/>
        <v>2.2713735646848692</v>
      </c>
    </row>
    <row r="184" spans="1:21" x14ac:dyDescent="0.25">
      <c r="B184" s="9"/>
      <c r="C184" s="31">
        <v>441.921875</v>
      </c>
      <c r="D184" s="32">
        <v>29.454999999999998</v>
      </c>
      <c r="E184" s="32">
        <v>35.328000000000003</v>
      </c>
      <c r="F184" s="32">
        <v>36.031999999999996</v>
      </c>
      <c r="G184" s="18">
        <v>411.92</v>
      </c>
      <c r="H184" s="18">
        <f t="shared" si="6"/>
        <v>31.011249999999997</v>
      </c>
      <c r="I184" s="5"/>
      <c r="J184" s="31">
        <v>426.18720000000002</v>
      </c>
      <c r="K184" s="32">
        <v>31.265499999999999</v>
      </c>
      <c r="L184" s="32">
        <v>36.893799999999999</v>
      </c>
      <c r="M184" s="32">
        <v>37.643900000000002</v>
      </c>
      <c r="N184" s="18">
        <v>1333.3333</v>
      </c>
      <c r="O184" s="18">
        <f t="shared" si="7"/>
        <v>32.766337499999999</v>
      </c>
      <c r="P184" s="7"/>
      <c r="Q184" s="10"/>
      <c r="R184" s="11"/>
      <c r="S184" s="11"/>
      <c r="T184" s="26"/>
      <c r="U184" s="28">
        <f t="shared" si="8"/>
        <v>2.236874393086036</v>
      </c>
    </row>
    <row r="185" spans="1:21" x14ac:dyDescent="0.25">
      <c r="B185" s="9"/>
      <c r="C185" s="31">
        <v>279.0693359375</v>
      </c>
      <c r="D185" s="32">
        <v>28.202999999999999</v>
      </c>
      <c r="E185" s="32">
        <v>34.328000000000003</v>
      </c>
      <c r="F185" s="32">
        <v>35</v>
      </c>
      <c r="G185" s="18">
        <v>436.15</v>
      </c>
      <c r="H185" s="18">
        <f t="shared" si="6"/>
        <v>29.818249999999999</v>
      </c>
      <c r="I185" s="5"/>
      <c r="J185" s="31">
        <v>263.74880000000002</v>
      </c>
      <c r="K185" s="32">
        <v>29.632400000000001</v>
      </c>
      <c r="L185" s="32">
        <v>35.720500000000001</v>
      </c>
      <c r="M185" s="32">
        <v>36.511099999999999</v>
      </c>
      <c r="N185" s="18">
        <v>1602.5641000000001</v>
      </c>
      <c r="O185" s="18">
        <f t="shared" si="7"/>
        <v>31.253250000000001</v>
      </c>
      <c r="P185" s="7"/>
      <c r="Q185" s="10"/>
      <c r="R185" s="11"/>
      <c r="S185" s="11"/>
      <c r="T185" s="26"/>
      <c r="U185" s="28">
        <f t="shared" si="8"/>
        <v>2.6743416255875272</v>
      </c>
    </row>
    <row r="186" spans="1:21" ht="16.5" thickBot="1" x14ac:dyDescent="0.3">
      <c r="B186" s="12"/>
      <c r="C186" s="33">
        <v>134.6240234375</v>
      </c>
      <c r="D186" s="34">
        <v>26.349</v>
      </c>
      <c r="E186" s="34">
        <v>32.901000000000003</v>
      </c>
      <c r="F186" s="34">
        <v>33.56</v>
      </c>
      <c r="G186" s="20">
        <v>484.68</v>
      </c>
      <c r="H186" s="20">
        <f t="shared" si="6"/>
        <v>28.069375000000001</v>
      </c>
      <c r="I186" s="5"/>
      <c r="J186" s="33">
        <v>126.6896</v>
      </c>
      <c r="K186" s="34">
        <v>27.270499999999998</v>
      </c>
      <c r="L186" s="34">
        <v>34.299300000000002</v>
      </c>
      <c r="M186" s="34">
        <v>35.000100000000003</v>
      </c>
      <c r="N186" s="20">
        <v>2136.7521000000002</v>
      </c>
      <c r="O186" s="20">
        <f t="shared" si="7"/>
        <v>29.115300000000001</v>
      </c>
      <c r="P186" s="7"/>
      <c r="Q186" s="13"/>
      <c r="R186" s="14"/>
      <c r="S186" s="14"/>
      <c r="T186" s="27"/>
      <c r="U186" s="28">
        <f t="shared" si="8"/>
        <v>3.4085831889081457</v>
      </c>
    </row>
    <row r="187" spans="1:21" x14ac:dyDescent="0.25">
      <c r="B187" s="6" t="s">
        <v>60</v>
      </c>
      <c r="C187" s="15">
        <v>589.5283203125</v>
      </c>
      <c r="D187" s="16">
        <v>32.191000000000003</v>
      </c>
      <c r="E187" s="16">
        <v>36.058</v>
      </c>
      <c r="F187" s="16">
        <v>37.139000000000003</v>
      </c>
      <c r="G187" s="16">
        <v>350.75</v>
      </c>
      <c r="H187" s="16">
        <f t="shared" si="6"/>
        <v>33.292875000000002</v>
      </c>
      <c r="I187" s="5"/>
      <c r="J187" s="15">
        <v>602.5</v>
      </c>
      <c r="K187" s="16">
        <v>33.286900000000003</v>
      </c>
      <c r="L187" s="16">
        <v>37.315800000000003</v>
      </c>
      <c r="M187" s="16">
        <v>38.388100000000001</v>
      </c>
      <c r="N187" s="16">
        <v>914.63409999999999</v>
      </c>
      <c r="O187" s="16">
        <f t="shared" si="7"/>
        <v>34.428162499999999</v>
      </c>
      <c r="P187" s="7"/>
      <c r="Q187" s="8">
        <f>bdrate(C187:C190,D187:D190,J187:J190,K187:K190)</f>
        <v>-0.1909245217304536</v>
      </c>
      <c r="R187" s="8">
        <f>bdrate(C187:C190,E187:E190,J187:J190,L187:L190)</f>
        <v>-0.43444301872052948</v>
      </c>
      <c r="S187" s="8">
        <f>bdrate(C187:C190,F187:F190,J187:J190,M187:M190)</f>
        <v>-0.41360853606958803</v>
      </c>
      <c r="T187" s="25">
        <f>bdrate(C187:C190,H187:H190,J187:J190,O187:O190)</f>
        <v>-0.24349117653683383</v>
      </c>
      <c r="U187" s="28">
        <f t="shared" si="8"/>
        <v>1.6076524590163934</v>
      </c>
    </row>
    <row r="188" spans="1:21" x14ac:dyDescent="0.25">
      <c r="B188" s="9"/>
      <c r="C188" s="17">
        <v>423.3896484375</v>
      </c>
      <c r="D188" s="18">
        <v>30.899000000000001</v>
      </c>
      <c r="E188" s="18">
        <v>35.106999999999999</v>
      </c>
      <c r="F188" s="18">
        <v>36.218000000000004</v>
      </c>
      <c r="G188" s="18">
        <v>371.79</v>
      </c>
      <c r="H188" s="18">
        <f t="shared" si="6"/>
        <v>32.089874999999999</v>
      </c>
      <c r="I188" s="5"/>
      <c r="J188" s="17">
        <v>401.81439999999998</v>
      </c>
      <c r="K188" s="18">
        <v>31.548200000000001</v>
      </c>
      <c r="L188" s="18">
        <v>36.279000000000003</v>
      </c>
      <c r="M188" s="18">
        <v>37.320900000000002</v>
      </c>
      <c r="N188" s="18">
        <v>961.5385</v>
      </c>
      <c r="O188" s="18">
        <f t="shared" si="7"/>
        <v>32.861137499999998</v>
      </c>
      <c r="P188" s="7"/>
      <c r="Q188" s="10"/>
      <c r="R188" s="11"/>
      <c r="S188" s="11"/>
      <c r="T188" s="26"/>
      <c r="U188" s="28">
        <f t="shared" si="8"/>
        <v>1.5862408886737134</v>
      </c>
    </row>
    <row r="189" spans="1:21" x14ac:dyDescent="0.25">
      <c r="B189" s="9"/>
      <c r="C189" s="17">
        <v>281.4755859375</v>
      </c>
      <c r="D189" s="18">
        <v>29.41</v>
      </c>
      <c r="E189" s="18">
        <v>33.979999999999997</v>
      </c>
      <c r="F189" s="18">
        <v>35.069000000000003</v>
      </c>
      <c r="G189" s="18">
        <v>403.05</v>
      </c>
      <c r="H189" s="18">
        <f t="shared" si="6"/>
        <v>30.688625000000002</v>
      </c>
      <c r="I189" s="5"/>
      <c r="J189" s="17">
        <v>250.79040000000001</v>
      </c>
      <c r="K189" s="18">
        <v>29.7392</v>
      </c>
      <c r="L189" s="18">
        <v>35.126899999999999</v>
      </c>
      <c r="M189" s="18">
        <v>36.144799999999996</v>
      </c>
      <c r="N189" s="18">
        <v>1376.1468</v>
      </c>
      <c r="O189" s="18">
        <f t="shared" si="7"/>
        <v>31.213362500000002</v>
      </c>
      <c r="P189" s="7"/>
      <c r="Q189" s="10"/>
      <c r="R189" s="11"/>
      <c r="S189" s="11"/>
      <c r="T189" s="26"/>
      <c r="U189" s="28">
        <f t="shared" si="8"/>
        <v>2.4143327130628953</v>
      </c>
    </row>
    <row r="190" spans="1:21" ht="16.5" thickBot="1" x14ac:dyDescent="0.3">
      <c r="B190" s="12"/>
      <c r="C190" s="19">
        <v>140.935546875</v>
      </c>
      <c r="D190" s="20">
        <v>27.11</v>
      </c>
      <c r="E190" s="20">
        <v>32.149000000000001</v>
      </c>
      <c r="F190" s="20">
        <v>33.097000000000001</v>
      </c>
      <c r="G190" s="20">
        <v>459.53</v>
      </c>
      <c r="H190" s="20">
        <f t="shared" si="6"/>
        <v>28.488250000000001</v>
      </c>
      <c r="I190" s="5"/>
      <c r="J190" s="19">
        <v>120.5856</v>
      </c>
      <c r="K190" s="20">
        <v>27.279299999999999</v>
      </c>
      <c r="L190" s="20">
        <v>33.622799999999998</v>
      </c>
      <c r="M190" s="20">
        <v>34.553699999999999</v>
      </c>
      <c r="N190" s="20">
        <v>1604.2781</v>
      </c>
      <c r="O190" s="20">
        <f t="shared" si="7"/>
        <v>28.981537499999995</v>
      </c>
      <c r="P190" s="7"/>
      <c r="Q190" s="13"/>
      <c r="R190" s="14"/>
      <c r="S190" s="14"/>
      <c r="T190" s="27"/>
      <c r="U190" s="28">
        <f t="shared" si="8"/>
        <v>2.4911281091550066</v>
      </c>
    </row>
    <row r="191" spans="1:21" x14ac:dyDescent="0.25">
      <c r="A191" s="6" t="s">
        <v>43</v>
      </c>
      <c r="B191" s="6" t="s">
        <v>61</v>
      </c>
      <c r="C191" s="15">
        <v>1497.3505859375</v>
      </c>
      <c r="D191" s="16">
        <v>39.994</v>
      </c>
      <c r="E191" s="16">
        <v>45.09</v>
      </c>
      <c r="F191" s="16">
        <v>46.256</v>
      </c>
      <c r="G191" s="16">
        <v>205.97</v>
      </c>
      <c r="H191" s="16">
        <f t="shared" si="6"/>
        <v>41.413749999999993</v>
      </c>
      <c r="I191" s="5"/>
      <c r="J191" s="15">
        <v>1498.3743999999999</v>
      </c>
      <c r="K191" s="16">
        <v>41.109099999999998</v>
      </c>
      <c r="L191" s="16">
        <v>45.4711</v>
      </c>
      <c r="M191" s="16">
        <v>46.662599999999998</v>
      </c>
      <c r="N191" s="16">
        <v>300.45069999999998</v>
      </c>
      <c r="O191" s="16">
        <f t="shared" si="7"/>
        <v>42.348537499999999</v>
      </c>
      <c r="P191" s="7"/>
      <c r="Q191" s="8">
        <f>bdrate(C191:C194,D191:D194,J191:J194,K191:K194)</f>
        <v>-0.30308766436672652</v>
      </c>
      <c r="R191" s="8">
        <f>bdrate(C191:C194,E191:E194,J191:J194,L191:L194)</f>
        <v>-0.23632203181599931</v>
      </c>
      <c r="S191" s="8">
        <f>bdrate(C191:C194,F191:F194,J191:J194,M191:M194)</f>
        <v>-0.22807224053505759</v>
      </c>
      <c r="T191" s="25">
        <f>bdrate(C191:C194,H191:H194,J191:J194,O191:O194)</f>
        <v>-0.29118746064549783</v>
      </c>
      <c r="U191" s="28">
        <f t="shared" si="8"/>
        <v>0.45871097732679511</v>
      </c>
    </row>
    <row r="192" spans="1:21" x14ac:dyDescent="0.25">
      <c r="A192" s="9" t="s">
        <v>44</v>
      </c>
      <c r="B192" s="9"/>
      <c r="C192" s="17">
        <v>1001.3349609375</v>
      </c>
      <c r="D192" s="18">
        <v>38.713000000000001</v>
      </c>
      <c r="E192" s="18">
        <v>44.073</v>
      </c>
      <c r="F192" s="18">
        <v>45.215000000000003</v>
      </c>
      <c r="G192" s="18">
        <v>218.74</v>
      </c>
      <c r="H192" s="18">
        <f t="shared" si="6"/>
        <v>40.195750000000004</v>
      </c>
      <c r="I192" s="5"/>
      <c r="J192" s="17">
        <v>987.92160000000001</v>
      </c>
      <c r="K192" s="18">
        <v>39.964799999999997</v>
      </c>
      <c r="L192" s="18">
        <v>44.606900000000003</v>
      </c>
      <c r="M192" s="18">
        <v>45.734900000000003</v>
      </c>
      <c r="N192" s="18">
        <v>376.88440000000003</v>
      </c>
      <c r="O192" s="18">
        <f t="shared" si="7"/>
        <v>41.266324999999995</v>
      </c>
      <c r="P192" s="7"/>
      <c r="Q192" s="10"/>
      <c r="R192" s="11"/>
      <c r="S192" s="11"/>
      <c r="T192" s="26"/>
      <c r="U192" s="28">
        <f t="shared" si="8"/>
        <v>0.72297887903447022</v>
      </c>
    </row>
    <row r="193" spans="1:21" x14ac:dyDescent="0.25">
      <c r="B193" s="9"/>
      <c r="C193" s="17">
        <v>601.8681640625</v>
      </c>
      <c r="D193" s="18">
        <v>36.634999999999998</v>
      </c>
      <c r="E193" s="18">
        <v>42.488999999999997</v>
      </c>
      <c r="F193" s="18">
        <v>43.558</v>
      </c>
      <c r="G193" s="18">
        <v>228.94</v>
      </c>
      <c r="H193" s="18">
        <f t="shared" si="6"/>
        <v>38.232124999999996</v>
      </c>
      <c r="I193" s="5"/>
      <c r="J193" s="17">
        <v>575.84640000000002</v>
      </c>
      <c r="K193" s="18">
        <v>37.9499</v>
      </c>
      <c r="L193" s="18">
        <v>43.138199999999998</v>
      </c>
      <c r="M193" s="18">
        <v>44.2029</v>
      </c>
      <c r="N193" s="18">
        <v>400.53399999999999</v>
      </c>
      <c r="O193" s="18">
        <f t="shared" si="7"/>
        <v>39.380062500000001</v>
      </c>
      <c r="P193" s="7"/>
      <c r="Q193" s="10"/>
      <c r="R193" s="11"/>
      <c r="S193" s="11"/>
      <c r="T193" s="26"/>
      <c r="U193" s="28">
        <f t="shared" si="8"/>
        <v>0.74951515680964442</v>
      </c>
    </row>
    <row r="194" spans="1:21" ht="16.5" thickBot="1" x14ac:dyDescent="0.3">
      <c r="B194" s="12"/>
      <c r="C194" s="19">
        <v>302.0390625</v>
      </c>
      <c r="D194" s="20">
        <v>33.006</v>
      </c>
      <c r="E194" s="20">
        <v>39.960999999999999</v>
      </c>
      <c r="F194" s="20">
        <v>40.743000000000002</v>
      </c>
      <c r="G194" s="20">
        <v>254.7</v>
      </c>
      <c r="H194" s="20">
        <f t="shared" si="6"/>
        <v>34.842500000000001</v>
      </c>
      <c r="I194" s="5"/>
      <c r="J194" s="19">
        <v>282.27199999999999</v>
      </c>
      <c r="K194" s="20">
        <v>34.663699999999999</v>
      </c>
      <c r="L194" s="20">
        <v>41.337499999999999</v>
      </c>
      <c r="M194" s="20">
        <v>42.270099999999999</v>
      </c>
      <c r="N194" s="20">
        <v>442.15179999999998</v>
      </c>
      <c r="O194" s="20">
        <f t="shared" si="7"/>
        <v>36.448724999999996</v>
      </c>
      <c r="P194" s="7"/>
      <c r="Q194" s="13"/>
      <c r="R194" s="14"/>
      <c r="S194" s="14"/>
      <c r="T194" s="27"/>
      <c r="U194" s="28">
        <f t="shared" si="8"/>
        <v>0.73597094621122894</v>
      </c>
    </row>
    <row r="195" spans="1:21" x14ac:dyDescent="0.25">
      <c r="B195" s="6" t="s">
        <v>62</v>
      </c>
      <c r="C195" s="15">
        <v>1506.7958984375</v>
      </c>
      <c r="D195" s="16">
        <v>41.268999999999998</v>
      </c>
      <c r="E195" s="16">
        <v>47.134</v>
      </c>
      <c r="F195" s="16">
        <v>47.774000000000001</v>
      </c>
      <c r="G195" s="16">
        <v>172.12</v>
      </c>
      <c r="H195" s="16">
        <f t="shared" si="6"/>
        <v>42.815249999999999</v>
      </c>
      <c r="I195" s="5"/>
      <c r="J195" s="15">
        <v>1480.44</v>
      </c>
      <c r="K195" s="16">
        <v>42.4604</v>
      </c>
      <c r="L195" s="16">
        <v>47.547199999999997</v>
      </c>
      <c r="M195" s="16">
        <v>48.237299999999998</v>
      </c>
      <c r="N195" s="16">
        <v>307.53460000000001</v>
      </c>
      <c r="O195" s="16">
        <f t="shared" si="7"/>
        <v>43.818362499999999</v>
      </c>
      <c r="P195" s="7"/>
      <c r="Q195" s="8">
        <f>bdrate(C195:C198,D195:D198,J195:J198,K195:K198)</f>
        <v>-0.50743865329352578</v>
      </c>
      <c r="R195" s="8">
        <f>bdrate(C195:C198,E195:E198,J195:J198,L195:L198)</f>
        <v>-0.35466540100757715</v>
      </c>
      <c r="S195" s="8">
        <f>bdrate(C195:C198,F195:F198,J195:J198,M195:M198)</f>
        <v>-0.3635511335093724</v>
      </c>
      <c r="T195" s="25">
        <f>bdrate(C195:C198,H195:H198,J195:J198,O195:O198)</f>
        <v>-0.47580211049783028</v>
      </c>
      <c r="U195" s="28">
        <f t="shared" ref="U195:U246" si="9">(N195-G195)/G195</f>
        <v>0.78674529398094351</v>
      </c>
    </row>
    <row r="196" spans="1:21" x14ac:dyDescent="0.25">
      <c r="B196" s="9"/>
      <c r="C196" s="17">
        <v>999.5673828125</v>
      </c>
      <c r="D196" s="18">
        <v>40.593000000000004</v>
      </c>
      <c r="E196" s="18">
        <v>46.487000000000002</v>
      </c>
      <c r="F196" s="18">
        <v>47.093000000000004</v>
      </c>
      <c r="G196" s="18">
        <v>200.53</v>
      </c>
      <c r="H196" s="18">
        <f t="shared" si="6"/>
        <v>42.142250000000004</v>
      </c>
      <c r="I196" s="5"/>
      <c r="J196" s="17">
        <v>976.25919999999996</v>
      </c>
      <c r="K196" s="18">
        <v>41.896000000000001</v>
      </c>
      <c r="L196" s="18">
        <v>47.044699999999999</v>
      </c>
      <c r="M196" s="18">
        <v>47.688000000000002</v>
      </c>
      <c r="N196" s="18">
        <v>373.1343</v>
      </c>
      <c r="O196" s="18">
        <f t="shared" si="7"/>
        <v>43.2635875</v>
      </c>
      <c r="P196" s="7"/>
      <c r="Q196" s="10"/>
      <c r="R196" s="11"/>
      <c r="S196" s="11"/>
      <c r="T196" s="26"/>
      <c r="U196" s="28">
        <f t="shared" si="9"/>
        <v>0.86074053757542512</v>
      </c>
    </row>
    <row r="197" spans="1:21" x14ac:dyDescent="0.25">
      <c r="B197" s="9"/>
      <c r="C197" s="17">
        <v>603.232421875</v>
      </c>
      <c r="D197" s="18">
        <v>39.481000000000002</v>
      </c>
      <c r="E197" s="18">
        <v>45.271000000000001</v>
      </c>
      <c r="F197" s="18">
        <v>45.871000000000002</v>
      </c>
      <c r="G197" s="18">
        <v>216.83</v>
      </c>
      <c r="H197" s="18">
        <f t="shared" si="6"/>
        <v>41.003500000000003</v>
      </c>
      <c r="I197" s="5"/>
      <c r="J197" s="17">
        <v>577.60080000000005</v>
      </c>
      <c r="K197" s="18">
        <v>40.985500000000002</v>
      </c>
      <c r="L197" s="18">
        <v>46.186700000000002</v>
      </c>
      <c r="M197" s="18">
        <v>46.8476</v>
      </c>
      <c r="N197" s="18">
        <v>417.82729999999998</v>
      </c>
      <c r="O197" s="18">
        <f t="shared" si="7"/>
        <v>42.368412499999998</v>
      </c>
      <c r="P197" s="7"/>
      <c r="Q197" s="10"/>
      <c r="R197" s="11"/>
      <c r="S197" s="11"/>
      <c r="T197" s="26"/>
      <c r="U197" s="28">
        <f t="shared" si="9"/>
        <v>0.92698104505834045</v>
      </c>
    </row>
    <row r="198" spans="1:21" ht="16.5" thickBot="1" x14ac:dyDescent="0.3">
      <c r="B198" s="12"/>
      <c r="C198" s="19">
        <v>296.3916015625</v>
      </c>
      <c r="D198" s="20">
        <v>37.203000000000003</v>
      </c>
      <c r="E198" s="20">
        <v>43.01</v>
      </c>
      <c r="F198" s="20">
        <v>43.469000000000001</v>
      </c>
      <c r="G198" s="20">
        <v>239.34</v>
      </c>
      <c r="H198" s="20">
        <f t="shared" si="6"/>
        <v>38.712125</v>
      </c>
      <c r="I198" s="5"/>
      <c r="J198" s="19">
        <v>280.512</v>
      </c>
      <c r="K198" s="20">
        <v>39.109299999999998</v>
      </c>
      <c r="L198" s="20">
        <v>44.549799999999998</v>
      </c>
      <c r="M198" s="20">
        <v>45.055399999999999</v>
      </c>
      <c r="N198" s="20">
        <v>452.48869999999999</v>
      </c>
      <c r="O198" s="20">
        <f t="shared" si="7"/>
        <v>40.532625000000003</v>
      </c>
      <c r="P198" s="7"/>
      <c r="Q198" s="13"/>
      <c r="R198" s="14"/>
      <c r="S198" s="14"/>
      <c r="T198" s="27"/>
      <c r="U198" s="28">
        <f t="shared" si="9"/>
        <v>0.89056864711289374</v>
      </c>
    </row>
    <row r="199" spans="1:21" x14ac:dyDescent="0.25">
      <c r="B199" s="6" t="s">
        <v>63</v>
      </c>
      <c r="C199" s="15">
        <v>1500.056640625</v>
      </c>
      <c r="D199" s="16">
        <v>41.063000000000002</v>
      </c>
      <c r="E199" s="16">
        <v>46.079000000000001</v>
      </c>
      <c r="F199" s="16">
        <v>46.933999999999997</v>
      </c>
      <c r="G199" s="16">
        <v>198.92</v>
      </c>
      <c r="H199" s="16">
        <f t="shared" si="6"/>
        <v>42.423874999999995</v>
      </c>
      <c r="I199" s="5"/>
      <c r="J199" s="15">
        <v>1542.2439999999999</v>
      </c>
      <c r="K199" s="16">
        <v>42.346800000000002</v>
      </c>
      <c r="L199" s="16">
        <v>46.675800000000002</v>
      </c>
      <c r="M199" s="16">
        <v>47.524999999999999</v>
      </c>
      <c r="N199" s="16">
        <v>295.858</v>
      </c>
      <c r="O199" s="16">
        <f t="shared" si="7"/>
        <v>43.535199999999996</v>
      </c>
      <c r="P199" s="7"/>
      <c r="Q199" s="8">
        <f>bdrate(C199:C202,D199:D202,J199:J202,K199:K202)</f>
        <v>-0.41757542379174095</v>
      </c>
      <c r="R199" s="8">
        <f>bdrate(C199:C202,E199:E202,J199:J202,L199:L202)</f>
        <v>-0.30392459251579595</v>
      </c>
      <c r="S199" s="8">
        <f>bdrate(C199:C202,F199:F202,J199:J202,M199:M202)</f>
        <v>-0.30084386668704677</v>
      </c>
      <c r="T199" s="25">
        <f>bdrate(C199:C202,H199:H202,J199:J202,O199:O202)</f>
        <v>-0.39481905202384615</v>
      </c>
      <c r="U199" s="28">
        <f t="shared" si="9"/>
        <v>0.4873215362959985</v>
      </c>
    </row>
    <row r="200" spans="1:21" x14ac:dyDescent="0.25">
      <c r="B200" s="9"/>
      <c r="C200" s="17">
        <v>1003.35546875</v>
      </c>
      <c r="D200" s="18">
        <v>39.994999999999997</v>
      </c>
      <c r="E200" s="18">
        <v>45.212000000000003</v>
      </c>
      <c r="F200" s="18">
        <v>46.029000000000003</v>
      </c>
      <c r="G200" s="18">
        <v>211.54</v>
      </c>
      <c r="H200" s="18">
        <f t="shared" si="6"/>
        <v>41.401374999999994</v>
      </c>
      <c r="I200" s="5"/>
      <c r="J200" s="17">
        <v>1013.8536</v>
      </c>
      <c r="K200" s="18">
        <v>41.496099999999998</v>
      </c>
      <c r="L200" s="18">
        <v>45.9253</v>
      </c>
      <c r="M200" s="18">
        <v>46.744700000000002</v>
      </c>
      <c r="N200" s="18">
        <v>340.32900000000001</v>
      </c>
      <c r="O200" s="18">
        <f t="shared" si="7"/>
        <v>42.705825000000004</v>
      </c>
      <c r="P200" s="7"/>
      <c r="Q200" s="10"/>
      <c r="R200" s="11"/>
      <c r="S200" s="11"/>
      <c r="T200" s="26"/>
      <c r="U200" s="28">
        <f t="shared" si="9"/>
        <v>0.60881629951782179</v>
      </c>
    </row>
    <row r="201" spans="1:21" x14ac:dyDescent="0.25">
      <c r="B201" s="9"/>
      <c r="C201" s="17">
        <v>606.22265625</v>
      </c>
      <c r="D201" s="18">
        <v>38.238999999999997</v>
      </c>
      <c r="E201" s="18">
        <v>43.698</v>
      </c>
      <c r="F201" s="18">
        <v>44.500999999999998</v>
      </c>
      <c r="G201" s="18">
        <v>224.52</v>
      </c>
      <c r="H201" s="18">
        <f t="shared" si="6"/>
        <v>39.704124999999991</v>
      </c>
      <c r="I201" s="5"/>
      <c r="J201" s="17">
        <v>605.16719999999998</v>
      </c>
      <c r="K201" s="18">
        <v>40.1145</v>
      </c>
      <c r="L201" s="18">
        <v>44.753599999999999</v>
      </c>
      <c r="M201" s="18">
        <v>45.554099999999998</v>
      </c>
      <c r="N201" s="18">
        <v>396.56310000000002</v>
      </c>
      <c r="O201" s="18">
        <f t="shared" si="7"/>
        <v>41.374337500000003</v>
      </c>
      <c r="P201" s="7"/>
      <c r="Q201" s="10"/>
      <c r="R201" s="11"/>
      <c r="S201" s="11"/>
      <c r="T201" s="26"/>
      <c r="U201" s="28">
        <f t="shared" si="9"/>
        <v>0.76627071084981291</v>
      </c>
    </row>
    <row r="202" spans="1:21" ht="16.5" thickBot="1" x14ac:dyDescent="0.3">
      <c r="B202" s="12"/>
      <c r="C202" s="19">
        <v>303.068359375</v>
      </c>
      <c r="D202" s="20">
        <v>35.055999999999997</v>
      </c>
      <c r="E202" s="20">
        <v>41.009</v>
      </c>
      <c r="F202" s="20">
        <v>41.789000000000001</v>
      </c>
      <c r="G202" s="20">
        <v>254.05</v>
      </c>
      <c r="H202" s="20">
        <f t="shared" si="6"/>
        <v>36.641749999999995</v>
      </c>
      <c r="I202" s="5"/>
      <c r="J202" s="19">
        <v>297.53199999999998</v>
      </c>
      <c r="K202" s="20">
        <v>37.422499999999999</v>
      </c>
      <c r="L202" s="20">
        <v>42.725299999999997</v>
      </c>
      <c r="M202" s="20">
        <v>43.538200000000003</v>
      </c>
      <c r="N202" s="20">
        <v>436.99930000000001</v>
      </c>
      <c r="O202" s="20">
        <f t="shared" si="7"/>
        <v>38.849812499999999</v>
      </c>
      <c r="P202" s="7"/>
      <c r="Q202" s="13"/>
      <c r="R202" s="14"/>
      <c r="S202" s="14"/>
      <c r="T202" s="27"/>
      <c r="U202" s="28">
        <f t="shared" si="9"/>
        <v>0.7201310765597323</v>
      </c>
    </row>
    <row r="203" spans="1:21" x14ac:dyDescent="0.25">
      <c r="A203" s="6" t="s">
        <v>99</v>
      </c>
      <c r="B203" s="6" t="s">
        <v>100</v>
      </c>
      <c r="C203" s="15">
        <v>1458.4326171875</v>
      </c>
      <c r="D203" s="16">
        <v>44.305</v>
      </c>
      <c r="E203" s="16">
        <v>49.655000000000001</v>
      </c>
      <c r="F203" s="16">
        <v>50.122</v>
      </c>
      <c r="G203" s="16">
        <v>160.29</v>
      </c>
      <c r="H203" s="16">
        <f t="shared" ref="H203:H246" si="10">(6*D203+E203+F203)/8</f>
        <v>45.700875000000003</v>
      </c>
      <c r="I203" s="5"/>
      <c r="J203" s="15">
        <v>1296.0145</v>
      </c>
      <c r="K203" s="16">
        <v>42.8919</v>
      </c>
      <c r="L203" s="16">
        <v>47.994999999999997</v>
      </c>
      <c r="M203" s="16">
        <v>49.555900000000001</v>
      </c>
      <c r="N203" s="16">
        <v>243.40770000000001</v>
      </c>
      <c r="O203" s="16">
        <f t="shared" ref="O203:O246" si="11">(6*K203+L203+M203)/8</f>
        <v>44.362787500000003</v>
      </c>
      <c r="P203" s="7"/>
      <c r="Q203" s="8">
        <f>bdrate(C203:C206,D203:D206,J203:J206,K203:K206)</f>
        <v>-0.16457004374578843</v>
      </c>
      <c r="R203" s="8">
        <f>bdrate(C203:C206,E203:E206,J203:J206,L203:L206)</f>
        <v>-0.2148978141672363</v>
      </c>
      <c r="S203" s="8">
        <f>bdrate(C203:C206,F203:F206,J203:J206,M203:M206)</f>
        <v>-0.26921097361414792</v>
      </c>
      <c r="T203" s="25">
        <f>bdrate(C203:C206,H203:H206,J203:J206,O203:O206)</f>
        <v>-0.17976874720706926</v>
      </c>
      <c r="U203" s="28">
        <f t="shared" si="9"/>
        <v>0.51854576080853465</v>
      </c>
    </row>
    <row r="204" spans="1:21" x14ac:dyDescent="0.25">
      <c r="A204" s="9" t="s">
        <v>77</v>
      </c>
      <c r="B204" s="9"/>
      <c r="C204" s="17">
        <v>1025.666015625</v>
      </c>
      <c r="D204" s="18">
        <v>42.235999999999997</v>
      </c>
      <c r="E204" s="18">
        <v>47.847999999999999</v>
      </c>
      <c r="F204" s="18">
        <v>48.381</v>
      </c>
      <c r="G204" s="18">
        <v>174.51</v>
      </c>
      <c r="H204" s="18">
        <f t="shared" si="10"/>
        <v>43.705624999999998</v>
      </c>
      <c r="I204" s="5"/>
      <c r="J204" s="17">
        <v>893.22609999999997</v>
      </c>
      <c r="K204" s="18">
        <v>41.4313</v>
      </c>
      <c r="L204" s="18">
        <v>47.6327</v>
      </c>
      <c r="M204" s="18">
        <v>48.479599999999998</v>
      </c>
      <c r="N204" s="18">
        <v>289.94850000000002</v>
      </c>
      <c r="O204" s="18">
        <f t="shared" si="11"/>
        <v>43.087512500000003</v>
      </c>
      <c r="P204" s="7"/>
      <c r="Q204" s="10"/>
      <c r="R204" s="11"/>
      <c r="S204" s="11"/>
      <c r="T204" s="26"/>
      <c r="U204" s="28">
        <f t="shared" si="9"/>
        <v>0.66150077359463666</v>
      </c>
    </row>
    <row r="205" spans="1:21" x14ac:dyDescent="0.25">
      <c r="B205" s="9"/>
      <c r="C205" s="17">
        <v>679.900390625</v>
      </c>
      <c r="D205" s="18">
        <v>39.457000000000001</v>
      </c>
      <c r="E205" s="18">
        <v>45.625999999999998</v>
      </c>
      <c r="F205" s="18">
        <v>46.271999999999998</v>
      </c>
      <c r="G205" s="18">
        <v>182.43</v>
      </c>
      <c r="H205" s="18">
        <f t="shared" si="10"/>
        <v>41.08</v>
      </c>
      <c r="I205" s="5"/>
      <c r="J205" s="17">
        <v>558.76679999999999</v>
      </c>
      <c r="K205" s="18">
        <v>39.430900000000001</v>
      </c>
      <c r="L205" s="18">
        <v>45.648200000000003</v>
      </c>
      <c r="M205" s="18">
        <v>47.026499999999999</v>
      </c>
      <c r="N205" s="18">
        <v>331.6139</v>
      </c>
      <c r="O205" s="18">
        <f t="shared" si="11"/>
        <v>41.157512500000003</v>
      </c>
      <c r="P205" s="7"/>
      <c r="Q205" s="10"/>
      <c r="R205" s="11"/>
      <c r="S205" s="11"/>
      <c r="T205" s="26"/>
      <c r="U205" s="28">
        <f t="shared" si="9"/>
        <v>0.81775968864770043</v>
      </c>
    </row>
    <row r="206" spans="1:21" ht="16.5" thickBot="1" x14ac:dyDescent="0.3">
      <c r="B206" s="12"/>
      <c r="C206" s="19">
        <v>453.0390625</v>
      </c>
      <c r="D206" s="20">
        <v>35.972000000000001</v>
      </c>
      <c r="E206" s="20">
        <v>42.774000000000001</v>
      </c>
      <c r="F206" s="20">
        <v>43.664999999999999</v>
      </c>
      <c r="G206" s="20">
        <v>198.52</v>
      </c>
      <c r="H206" s="20">
        <f t="shared" si="10"/>
        <v>37.783875000000002</v>
      </c>
      <c r="I206" s="5"/>
      <c r="J206" s="19">
        <v>289.29910000000001</v>
      </c>
      <c r="K206" s="20">
        <v>36.139299999999999</v>
      </c>
      <c r="L206" s="20">
        <v>43.230899999999998</v>
      </c>
      <c r="M206" s="20">
        <v>44.978099999999998</v>
      </c>
      <c r="N206" s="20">
        <v>388.5172</v>
      </c>
      <c r="O206" s="20">
        <f t="shared" si="11"/>
        <v>38.130600000000001</v>
      </c>
      <c r="P206" s="7"/>
      <c r="Q206" s="13"/>
      <c r="R206" s="14"/>
      <c r="S206" s="14"/>
      <c r="T206" s="27"/>
      <c r="U206" s="28">
        <f t="shared" si="9"/>
        <v>0.95706830546040689</v>
      </c>
    </row>
    <row r="207" spans="1:21" x14ac:dyDescent="0.25">
      <c r="B207" s="6" t="s">
        <v>101</v>
      </c>
      <c r="C207" s="15">
        <v>1625.017578125</v>
      </c>
      <c r="D207" s="16">
        <v>50.427</v>
      </c>
      <c r="E207" s="16">
        <v>51.241999999999997</v>
      </c>
      <c r="F207" s="16">
        <v>51.607999999999997</v>
      </c>
      <c r="G207" s="16">
        <v>222.65</v>
      </c>
      <c r="H207" s="16">
        <f t="shared" si="10"/>
        <v>50.676500000000004</v>
      </c>
      <c r="I207" s="5"/>
      <c r="J207" s="15">
        <v>1440.4663</v>
      </c>
      <c r="K207" s="16">
        <v>51.320799999999998</v>
      </c>
      <c r="L207" s="16">
        <v>51.790700000000001</v>
      </c>
      <c r="M207" s="16">
        <v>52.244100000000003</v>
      </c>
      <c r="N207" s="16">
        <v>321.37119999999999</v>
      </c>
      <c r="O207" s="16">
        <f t="shared" si="11"/>
        <v>51.494950000000003</v>
      </c>
      <c r="P207" s="7"/>
      <c r="Q207" s="8">
        <f>bdrate(C207:C210,D207:D210,J207:J210,K207:K210)</f>
        <v>-0.28810827343374734</v>
      </c>
      <c r="R207" s="8">
        <f>bdrate(C207:C210,E207:E210,J207:J210,L207:L210)</f>
        <v>-0.29276291648132047</v>
      </c>
      <c r="S207" s="8">
        <f>bdrate(C207:C210,F207:F210,J207:J210,M207:M210)</f>
        <v>-0.30617099924038038</v>
      </c>
      <c r="T207" s="25">
        <f>bdrate(C207:C210,H207:H210,J207:J210,O207:O210)</f>
        <v>-0.29088093479713173</v>
      </c>
      <c r="U207" s="28">
        <f t="shared" si="9"/>
        <v>0.4433918706490006</v>
      </c>
    </row>
    <row r="208" spans="1:21" x14ac:dyDescent="0.25">
      <c r="B208" s="9"/>
      <c r="C208" s="17">
        <v>1138.873046875</v>
      </c>
      <c r="D208" s="18">
        <v>48.231000000000002</v>
      </c>
      <c r="E208" s="18">
        <v>49.192999999999998</v>
      </c>
      <c r="F208" s="18">
        <v>49.595999999999997</v>
      </c>
      <c r="G208" s="18">
        <v>255.09</v>
      </c>
      <c r="H208" s="18">
        <f t="shared" si="10"/>
        <v>48.521875000000001</v>
      </c>
      <c r="I208" s="5"/>
      <c r="J208" s="17">
        <v>971.17190000000005</v>
      </c>
      <c r="K208" s="18">
        <v>49.328400000000002</v>
      </c>
      <c r="L208" s="18">
        <v>50.070900000000002</v>
      </c>
      <c r="M208" s="18">
        <v>50.566400000000002</v>
      </c>
      <c r="N208" s="18">
        <v>393.7869</v>
      </c>
      <c r="O208" s="18">
        <f t="shared" si="11"/>
        <v>49.575962500000003</v>
      </c>
      <c r="P208" s="7"/>
      <c r="Q208" s="10"/>
      <c r="R208" s="11"/>
      <c r="S208" s="11"/>
      <c r="T208" s="26"/>
      <c r="U208" s="28">
        <f t="shared" si="9"/>
        <v>0.54371751146654124</v>
      </c>
    </row>
    <row r="209" spans="2:21" x14ac:dyDescent="0.25">
      <c r="B209" s="9"/>
      <c r="C209" s="17">
        <v>717.3173828125</v>
      </c>
      <c r="D209" s="18">
        <v>45.372999999999998</v>
      </c>
      <c r="E209" s="18">
        <v>46.552</v>
      </c>
      <c r="F209" s="18">
        <v>46.976999999999997</v>
      </c>
      <c r="G209" s="18">
        <v>273.14</v>
      </c>
      <c r="H209" s="18">
        <f t="shared" si="10"/>
        <v>45.720874999999999</v>
      </c>
      <c r="I209" s="5"/>
      <c r="J209" s="17">
        <v>596.95600000000002</v>
      </c>
      <c r="K209" s="18">
        <v>46.394399999999997</v>
      </c>
      <c r="L209" s="18">
        <v>47.563200000000002</v>
      </c>
      <c r="M209" s="18">
        <v>48.077300000000001</v>
      </c>
      <c r="N209" s="18">
        <v>421.15109999999999</v>
      </c>
      <c r="O209" s="18">
        <f t="shared" si="11"/>
        <v>46.750862499999997</v>
      </c>
      <c r="P209" s="7"/>
      <c r="Q209" s="10"/>
      <c r="R209" s="11"/>
      <c r="S209" s="11"/>
      <c r="T209" s="26"/>
      <c r="U209" s="28">
        <f t="shared" si="9"/>
        <v>0.54188731053672112</v>
      </c>
    </row>
    <row r="210" spans="2:21" ht="16.5" thickBot="1" x14ac:dyDescent="0.3">
      <c r="B210" s="12"/>
      <c r="C210" s="19">
        <v>397.3798828125</v>
      </c>
      <c r="D210" s="20">
        <v>41.73</v>
      </c>
      <c r="E210" s="20">
        <v>43.246000000000002</v>
      </c>
      <c r="F210" s="20">
        <v>43.640999999999998</v>
      </c>
      <c r="G210" s="20">
        <v>276.14999999999998</v>
      </c>
      <c r="H210" s="20">
        <f t="shared" si="10"/>
        <v>42.158374999999999</v>
      </c>
      <c r="I210" s="5"/>
      <c r="J210" s="19">
        <v>299.94200000000001</v>
      </c>
      <c r="K210" s="20">
        <v>41.965800000000002</v>
      </c>
      <c r="L210" s="20">
        <v>43.671300000000002</v>
      </c>
      <c r="M210" s="20">
        <v>44.184800000000003</v>
      </c>
      <c r="N210" s="20">
        <v>442.04320000000001</v>
      </c>
      <c r="O210" s="20">
        <f t="shared" si="11"/>
        <v>42.456362499999997</v>
      </c>
      <c r="P210" s="7"/>
      <c r="Q210" s="13"/>
      <c r="R210" s="14"/>
      <c r="S210" s="14"/>
      <c r="T210" s="27"/>
      <c r="U210" s="28">
        <f t="shared" si="9"/>
        <v>0.60073583197537583</v>
      </c>
    </row>
    <row r="211" spans="2:21" x14ac:dyDescent="0.25">
      <c r="B211" s="6" t="s">
        <v>102</v>
      </c>
      <c r="C211" s="15">
        <v>1806.998046875</v>
      </c>
      <c r="D211" s="16">
        <v>40.75</v>
      </c>
      <c r="E211" s="16">
        <v>43.576000000000001</v>
      </c>
      <c r="F211" s="16">
        <v>43.966999999999999</v>
      </c>
      <c r="G211" s="16">
        <v>163.21</v>
      </c>
      <c r="H211" s="16">
        <f t="shared" si="10"/>
        <v>41.505375000000001</v>
      </c>
      <c r="I211" s="5"/>
      <c r="J211" s="15">
        <v>1492.9935</v>
      </c>
      <c r="K211" s="16">
        <v>42.173699999999997</v>
      </c>
      <c r="L211" s="16">
        <v>44.489100000000001</v>
      </c>
      <c r="M211" s="16">
        <v>44.905799999999999</v>
      </c>
      <c r="N211" s="16">
        <v>281.42590000000001</v>
      </c>
      <c r="O211" s="16">
        <f t="shared" si="11"/>
        <v>42.804637499999998</v>
      </c>
      <c r="P211" s="7"/>
      <c r="Q211" s="8">
        <f>bdrate(C211:C214,D211:D214,J211:J214,K211:K214)</f>
        <v>-0.40102285029944273</v>
      </c>
      <c r="R211" s="8">
        <f>bdrate(C211:C214,E211:E214,J211:J214,L211:L214)</f>
        <v>-0.44417247548452621</v>
      </c>
      <c r="S211" s="8">
        <f>bdrate(C211:C214,F211:F214,J211:J214,M211:M214)</f>
        <v>-0.44793550587826547</v>
      </c>
      <c r="T211" s="25">
        <f>bdrate(C211:C214,H211:H214,J211:J214,O211:O214)</f>
        <v>-0.41109382090133628</v>
      </c>
      <c r="U211" s="28">
        <f t="shared" si="9"/>
        <v>0.72431775013785915</v>
      </c>
    </row>
    <row r="212" spans="2:21" x14ac:dyDescent="0.25">
      <c r="B212" s="9"/>
      <c r="C212" s="17">
        <v>1277.310546875</v>
      </c>
      <c r="D212" s="18">
        <v>38.912999999999997</v>
      </c>
      <c r="E212" s="18">
        <v>42.048000000000002</v>
      </c>
      <c r="F212" s="18">
        <v>42.47</v>
      </c>
      <c r="G212" s="18">
        <v>186.9</v>
      </c>
      <c r="H212" s="18">
        <f t="shared" si="10"/>
        <v>39.749499999999998</v>
      </c>
      <c r="I212" s="5"/>
      <c r="J212" s="17">
        <v>996.43050000000005</v>
      </c>
      <c r="K212" s="18">
        <v>40.251800000000003</v>
      </c>
      <c r="L212" s="18">
        <v>43.133400000000002</v>
      </c>
      <c r="M212" s="18">
        <v>43.546599999999998</v>
      </c>
      <c r="N212" s="18">
        <v>324.14909999999998</v>
      </c>
      <c r="O212" s="18">
        <f t="shared" si="11"/>
        <v>41.023850000000003</v>
      </c>
      <c r="P212" s="7"/>
      <c r="Q212" s="10"/>
      <c r="R212" s="11"/>
      <c r="S212" s="11"/>
      <c r="T212" s="26"/>
      <c r="U212" s="28">
        <f t="shared" si="9"/>
        <v>0.73434510433386824</v>
      </c>
    </row>
    <row r="213" spans="2:21" x14ac:dyDescent="0.25">
      <c r="B213" s="9"/>
      <c r="C213" s="17">
        <v>834.0654296875</v>
      </c>
      <c r="D213" s="18">
        <v>36.640999999999998</v>
      </c>
      <c r="E213" s="18">
        <v>40.207999999999998</v>
      </c>
      <c r="F213" s="18">
        <v>40.619999999999997</v>
      </c>
      <c r="G213" s="18">
        <v>201.32</v>
      </c>
      <c r="H213" s="18">
        <f t="shared" si="10"/>
        <v>37.584249999999997</v>
      </c>
      <c r="I213" s="5"/>
      <c r="J213" s="17">
        <v>599.39850000000001</v>
      </c>
      <c r="K213" s="18">
        <v>37.579000000000001</v>
      </c>
      <c r="L213" s="18">
        <v>41.275199999999998</v>
      </c>
      <c r="M213" s="18">
        <v>41.720199999999998</v>
      </c>
      <c r="N213" s="18">
        <v>358.35160000000002</v>
      </c>
      <c r="O213" s="18">
        <f t="shared" si="11"/>
        <v>38.558674999999994</v>
      </c>
      <c r="P213" s="7"/>
      <c r="Q213" s="10"/>
      <c r="R213" s="11"/>
      <c r="S213" s="11"/>
      <c r="T213" s="26"/>
      <c r="U213" s="28">
        <f t="shared" si="9"/>
        <v>0.78000993443274402</v>
      </c>
    </row>
    <row r="214" spans="2:21" ht="16.5" thickBot="1" x14ac:dyDescent="0.3">
      <c r="B214" s="12"/>
      <c r="C214" s="19">
        <v>498.79296875</v>
      </c>
      <c r="D214" s="20">
        <v>33.728000000000002</v>
      </c>
      <c r="E214" s="20">
        <v>37.898000000000003</v>
      </c>
      <c r="F214" s="20">
        <v>38.402000000000001</v>
      </c>
      <c r="G214" s="20">
        <v>214.98</v>
      </c>
      <c r="H214" s="20">
        <f t="shared" si="10"/>
        <v>34.833500000000001</v>
      </c>
      <c r="I214" s="5"/>
      <c r="J214" s="19">
        <v>303.84010000000001</v>
      </c>
      <c r="K214" s="20">
        <v>34.0242</v>
      </c>
      <c r="L214" s="20">
        <v>38.965699999999998</v>
      </c>
      <c r="M214" s="20">
        <v>39.448900000000002</v>
      </c>
      <c r="N214" s="20">
        <v>401.96519999999998</v>
      </c>
      <c r="O214" s="20">
        <f t="shared" si="11"/>
        <v>35.319974999999999</v>
      </c>
      <c r="P214" s="7"/>
      <c r="Q214" s="13"/>
      <c r="R214" s="14"/>
      <c r="S214" s="14"/>
      <c r="T214" s="27"/>
      <c r="U214" s="28">
        <f t="shared" si="9"/>
        <v>0.86977951437343004</v>
      </c>
    </row>
    <row r="215" spans="2:21" x14ac:dyDescent="0.25">
      <c r="B215" s="6" t="s">
        <v>103</v>
      </c>
      <c r="C215" s="29">
        <v>1677.7998046875</v>
      </c>
      <c r="D215" s="30">
        <v>37.116999999999997</v>
      </c>
      <c r="E215" s="30">
        <v>42.008000000000003</v>
      </c>
      <c r="F215" s="30">
        <v>42.006</v>
      </c>
      <c r="G215" s="16">
        <v>153.30000000000001</v>
      </c>
      <c r="H215" s="16">
        <f t="shared" si="10"/>
        <v>38.339500000000001</v>
      </c>
      <c r="I215" s="5"/>
      <c r="J215" s="29">
        <v>1507.7456999999999</v>
      </c>
      <c r="K215" s="30">
        <v>38.577199999999998</v>
      </c>
      <c r="L215" s="30">
        <v>43.142299999999999</v>
      </c>
      <c r="M215" s="30">
        <v>43.0991</v>
      </c>
      <c r="N215" s="16">
        <v>258.69499999999999</v>
      </c>
      <c r="O215" s="16">
        <f t="shared" si="11"/>
        <v>39.713074999999996</v>
      </c>
      <c r="P215" s="7"/>
      <c r="Q215" s="8">
        <f>bdrate(C215:C218,D215:D218,J215:J218,K215:K218)</f>
        <v>-0.38462386865773024</v>
      </c>
      <c r="R215" s="8">
        <f>bdrate(C215:C218,E215:E218,J215:J218,L215:L218)</f>
        <v>-0.49141515858199902</v>
      </c>
      <c r="S215" s="8">
        <f>bdrate(C215:C218,F215:F218,J215:J218,M215:M218)</f>
        <v>-0.48890223184173842</v>
      </c>
      <c r="T215" s="25">
        <f>bdrate(C215:C218,H215:H218,J215:J218,O215:O218)</f>
        <v>-0.40849471495271816</v>
      </c>
      <c r="U215" s="28">
        <f t="shared" si="9"/>
        <v>0.68750815394650999</v>
      </c>
    </row>
    <row r="216" spans="2:21" x14ac:dyDescent="0.25">
      <c r="B216" s="9"/>
      <c r="C216" s="31">
        <v>1175.52734375</v>
      </c>
      <c r="D216" s="32">
        <v>35.341000000000001</v>
      </c>
      <c r="E216" s="32">
        <v>40.496000000000002</v>
      </c>
      <c r="F216" s="32">
        <v>40.502000000000002</v>
      </c>
      <c r="G216" s="18">
        <v>167.65</v>
      </c>
      <c r="H216" s="18">
        <f t="shared" si="10"/>
        <v>36.630499999999998</v>
      </c>
      <c r="I216" s="5"/>
      <c r="J216" s="31">
        <v>1002.8847</v>
      </c>
      <c r="K216" s="32">
        <v>36.726300000000002</v>
      </c>
      <c r="L216" s="32">
        <v>41.946399999999997</v>
      </c>
      <c r="M216" s="32">
        <v>41.935600000000001</v>
      </c>
      <c r="N216" s="18">
        <v>295.858</v>
      </c>
      <c r="O216" s="18">
        <f t="shared" si="11"/>
        <v>38.029975</v>
      </c>
      <c r="P216" s="7"/>
      <c r="Q216" s="10"/>
      <c r="R216" s="11"/>
      <c r="S216" s="11"/>
      <c r="T216" s="26"/>
      <c r="U216" s="28">
        <f t="shared" si="9"/>
        <v>0.76473605726215321</v>
      </c>
    </row>
    <row r="217" spans="2:21" x14ac:dyDescent="0.25">
      <c r="B217" s="9"/>
      <c r="C217" s="31">
        <v>724.0390625</v>
      </c>
      <c r="D217" s="32">
        <v>33.058999999999997</v>
      </c>
      <c r="E217" s="32">
        <v>38.651000000000003</v>
      </c>
      <c r="F217" s="32">
        <v>38.628999999999998</v>
      </c>
      <c r="G217" s="18">
        <v>182.4</v>
      </c>
      <c r="H217" s="18">
        <f t="shared" si="10"/>
        <v>34.454250000000002</v>
      </c>
      <c r="I217" s="5"/>
      <c r="J217" s="31">
        <v>600.30399999999997</v>
      </c>
      <c r="K217" s="32">
        <v>34.457700000000003</v>
      </c>
      <c r="L217" s="32">
        <v>40.453699999999998</v>
      </c>
      <c r="M217" s="32">
        <v>40.453299999999999</v>
      </c>
      <c r="N217" s="18">
        <v>333.45679999999999</v>
      </c>
      <c r="O217" s="18">
        <f t="shared" si="11"/>
        <v>35.956650000000003</v>
      </c>
      <c r="P217" s="7"/>
      <c r="Q217" s="10"/>
      <c r="R217" s="11"/>
      <c r="S217" s="11"/>
      <c r="T217" s="26"/>
      <c r="U217" s="28">
        <f t="shared" si="9"/>
        <v>0.82816228070175424</v>
      </c>
    </row>
    <row r="218" spans="2:21" ht="16.5" thickBot="1" x14ac:dyDescent="0.3">
      <c r="B218" s="12"/>
      <c r="C218" s="33">
        <v>426.232421875</v>
      </c>
      <c r="D218" s="34">
        <v>30.484000000000002</v>
      </c>
      <c r="E218" s="34">
        <v>36.433</v>
      </c>
      <c r="F218" s="34">
        <v>36.338999999999999</v>
      </c>
      <c r="G218" s="20">
        <v>192.76</v>
      </c>
      <c r="H218" s="20">
        <f t="shared" si="10"/>
        <v>31.959499999999998</v>
      </c>
      <c r="I218" s="5"/>
      <c r="J218" s="33">
        <v>300.95310000000001</v>
      </c>
      <c r="K218" s="34">
        <v>31.4056</v>
      </c>
      <c r="L218" s="34">
        <v>38.5839</v>
      </c>
      <c r="M218" s="34">
        <v>38.407200000000003</v>
      </c>
      <c r="N218" s="20">
        <v>387.18</v>
      </c>
      <c r="O218" s="20">
        <f t="shared" si="11"/>
        <v>33.178087500000004</v>
      </c>
      <c r="P218" s="7"/>
      <c r="Q218" s="13"/>
      <c r="R218" s="14"/>
      <c r="S218" s="14"/>
      <c r="T218" s="27"/>
      <c r="U218" s="28">
        <f t="shared" si="9"/>
        <v>1.0086117451753478</v>
      </c>
    </row>
    <row r="219" spans="2:21" x14ac:dyDescent="0.25">
      <c r="B219" s="6" t="s">
        <v>104</v>
      </c>
      <c r="C219" s="15">
        <v>1570.998046875</v>
      </c>
      <c r="D219" s="16">
        <v>34.725999999999999</v>
      </c>
      <c r="E219" s="16">
        <v>39.396000000000001</v>
      </c>
      <c r="F219" s="16">
        <v>40.158999999999999</v>
      </c>
      <c r="G219" s="16">
        <v>169.63</v>
      </c>
      <c r="H219" s="16">
        <f t="shared" si="10"/>
        <v>35.988875</v>
      </c>
      <c r="I219" s="5"/>
      <c r="J219" s="15">
        <v>1500.7913000000001</v>
      </c>
      <c r="K219" s="16">
        <v>36.436500000000002</v>
      </c>
      <c r="L219" s="16">
        <v>41.047499999999999</v>
      </c>
      <c r="M219" s="16">
        <v>41.6235</v>
      </c>
      <c r="N219" s="16">
        <v>267.1019</v>
      </c>
      <c r="O219" s="16">
        <f t="shared" si="11"/>
        <v>37.661250000000003</v>
      </c>
      <c r="P219" s="7"/>
      <c r="Q219" s="8">
        <f>bdrate(C219:C222,D219:D222,J219:J222,K219:K222)</f>
        <v>-0.31551674331377744</v>
      </c>
      <c r="R219" s="8">
        <f>bdrate(C219:C222,E219:E222,J219:J222,L219:L222)</f>
        <v>-0.48155548589916453</v>
      </c>
      <c r="S219" s="8">
        <f>bdrate(C219:C222,F219:F222,J219:J222,M219:M222)</f>
        <v>-0.46236538825312057</v>
      </c>
      <c r="T219" s="25">
        <f>bdrate(C219:C222,H219:H222,J219:J222,O219:O222)</f>
        <v>-0.35341456211989675</v>
      </c>
      <c r="U219" s="28">
        <f t="shared" si="9"/>
        <v>0.5746147497494547</v>
      </c>
    </row>
    <row r="220" spans="2:21" x14ac:dyDescent="0.25">
      <c r="B220" s="9"/>
      <c r="C220" s="17">
        <v>1074.0390625</v>
      </c>
      <c r="D220" s="18">
        <v>33.055999999999997</v>
      </c>
      <c r="E220" s="18">
        <v>37.9</v>
      </c>
      <c r="F220" s="18">
        <v>38.729999999999997</v>
      </c>
      <c r="G220" s="18">
        <v>173.06</v>
      </c>
      <c r="H220" s="18">
        <f t="shared" si="10"/>
        <v>34.370750000000001</v>
      </c>
      <c r="I220" s="5"/>
      <c r="J220" s="17">
        <v>991.19929999999999</v>
      </c>
      <c r="K220" s="18">
        <v>34.501199999999997</v>
      </c>
      <c r="L220" s="18">
        <v>39.6997</v>
      </c>
      <c r="M220" s="18">
        <v>40.3401</v>
      </c>
      <c r="N220" s="18">
        <v>307.69229999999999</v>
      </c>
      <c r="O220" s="18">
        <f t="shared" si="11"/>
        <v>35.880874999999996</v>
      </c>
      <c r="P220" s="7"/>
      <c r="Q220" s="10"/>
      <c r="R220" s="11"/>
      <c r="S220" s="11"/>
      <c r="T220" s="26"/>
      <c r="U220" s="28">
        <f t="shared" si="9"/>
        <v>0.77795157748757648</v>
      </c>
    </row>
    <row r="221" spans="2:21" x14ac:dyDescent="0.25">
      <c r="B221" s="9"/>
      <c r="C221" s="17">
        <v>660.611328125</v>
      </c>
      <c r="D221" s="18">
        <v>30.885000000000002</v>
      </c>
      <c r="E221" s="18">
        <v>35.97</v>
      </c>
      <c r="F221" s="18">
        <v>36.89</v>
      </c>
      <c r="G221" s="18">
        <v>195.08</v>
      </c>
      <c r="H221" s="18">
        <f t="shared" si="10"/>
        <v>32.271250000000002</v>
      </c>
      <c r="I221" s="5"/>
      <c r="J221" s="17">
        <v>595.19929999999999</v>
      </c>
      <c r="K221" s="18">
        <v>32.121499999999997</v>
      </c>
      <c r="L221" s="18">
        <v>38.036700000000003</v>
      </c>
      <c r="M221" s="18">
        <v>38.737200000000001</v>
      </c>
      <c r="N221" s="18">
        <v>341.4264</v>
      </c>
      <c r="O221" s="18">
        <f t="shared" si="11"/>
        <v>33.687862499999994</v>
      </c>
      <c r="P221" s="7"/>
      <c r="Q221" s="10"/>
      <c r="R221" s="11"/>
      <c r="S221" s="11"/>
      <c r="T221" s="26"/>
      <c r="U221" s="28">
        <f t="shared" si="9"/>
        <v>0.75018659011687505</v>
      </c>
    </row>
    <row r="222" spans="2:21" ht="16.5" thickBot="1" x14ac:dyDescent="0.3">
      <c r="B222" s="12"/>
      <c r="C222" s="19">
        <v>408.3720703125</v>
      </c>
      <c r="D222" s="20">
        <v>28.818000000000001</v>
      </c>
      <c r="E222" s="20">
        <v>34.142000000000003</v>
      </c>
      <c r="F222" s="20">
        <v>35.043999999999997</v>
      </c>
      <c r="G222" s="20">
        <v>202.06</v>
      </c>
      <c r="H222" s="20">
        <f t="shared" si="10"/>
        <v>30.261749999999999</v>
      </c>
      <c r="I222" s="5"/>
      <c r="J222" s="19">
        <v>300.67079999999999</v>
      </c>
      <c r="K222" s="20">
        <v>28.9771</v>
      </c>
      <c r="L222" s="20">
        <v>35.978299999999997</v>
      </c>
      <c r="M222" s="20">
        <v>36.783299999999997</v>
      </c>
      <c r="N222" s="20">
        <v>391.1343</v>
      </c>
      <c r="O222" s="20">
        <f t="shared" si="11"/>
        <v>30.828024999999997</v>
      </c>
      <c r="P222" s="7"/>
      <c r="Q222" s="13"/>
      <c r="R222" s="14"/>
      <c r="S222" s="14"/>
      <c r="T222" s="27"/>
      <c r="U222" s="28">
        <f t="shared" si="9"/>
        <v>0.93573344551123427</v>
      </c>
    </row>
    <row r="223" spans="2:21" x14ac:dyDescent="0.25">
      <c r="B223" s="6" t="s">
        <v>105</v>
      </c>
      <c r="C223" s="15">
        <v>1618.66015625</v>
      </c>
      <c r="D223" s="16">
        <v>35.786000000000001</v>
      </c>
      <c r="E223" s="16">
        <v>41.58</v>
      </c>
      <c r="F223" s="16">
        <v>43.192999999999998</v>
      </c>
      <c r="G223" s="16">
        <v>149.46</v>
      </c>
      <c r="H223" s="16">
        <f t="shared" si="10"/>
        <v>37.436124999999997</v>
      </c>
      <c r="I223" s="5"/>
      <c r="J223" s="15">
        <v>1504.0335</v>
      </c>
      <c r="K223" s="16">
        <v>36.7136</v>
      </c>
      <c r="L223" s="16">
        <v>42.6706</v>
      </c>
      <c r="M223" s="16">
        <v>44.028199999999998</v>
      </c>
      <c r="N223" s="16">
        <v>253.05779999999999</v>
      </c>
      <c r="O223" s="16">
        <f t="shared" si="11"/>
        <v>38.372550000000004</v>
      </c>
      <c r="P223" s="7"/>
      <c r="Q223" s="8">
        <f>bdrate(C223:C226,D223:D226,J223:J226,K223:K226)</f>
        <v>-0.35057300266403102</v>
      </c>
      <c r="R223" s="8">
        <f>bdrate(C223:C226,E223:E226,J223:J226,L223:L226)</f>
        <v>-0.52362141657495465</v>
      </c>
      <c r="S223" s="8">
        <f>bdrate(C223:C226,F223:F226,J223:J226,M223:M226)</f>
        <v>-0.4581318520521328</v>
      </c>
      <c r="T223" s="25">
        <f>bdrate(C223:C226,H223:H226,J223:J226,O223:O226)</f>
        <v>-0.38464940250978907</v>
      </c>
      <c r="U223" s="28">
        <f t="shared" si="9"/>
        <v>0.69314733038940168</v>
      </c>
    </row>
    <row r="224" spans="2:21" x14ac:dyDescent="0.25">
      <c r="B224" s="9"/>
      <c r="C224" s="17">
        <v>1094.7587890625</v>
      </c>
      <c r="D224" s="18">
        <v>34.338000000000001</v>
      </c>
      <c r="E224" s="18">
        <v>40.399000000000001</v>
      </c>
      <c r="F224" s="18">
        <v>41.814999999999998</v>
      </c>
      <c r="G224" s="18">
        <v>161.85</v>
      </c>
      <c r="H224" s="18">
        <f t="shared" si="10"/>
        <v>36.030250000000002</v>
      </c>
      <c r="I224" s="5"/>
      <c r="J224" s="17">
        <v>1001.9175</v>
      </c>
      <c r="K224" s="18">
        <v>35.343200000000003</v>
      </c>
      <c r="L224" s="18">
        <v>41.793799999999997</v>
      </c>
      <c r="M224" s="18">
        <v>43.022500000000001</v>
      </c>
      <c r="N224" s="18">
        <v>298.904</v>
      </c>
      <c r="O224" s="18">
        <f t="shared" si="11"/>
        <v>37.109437500000006</v>
      </c>
      <c r="P224" s="7"/>
      <c r="Q224" s="10"/>
      <c r="R224" s="11"/>
      <c r="S224" s="11"/>
      <c r="T224" s="26"/>
      <c r="U224" s="28">
        <f t="shared" si="9"/>
        <v>0.84679641643497072</v>
      </c>
    </row>
    <row r="225" spans="2:21" x14ac:dyDescent="0.25">
      <c r="B225" s="9"/>
      <c r="C225" s="17">
        <v>658.6806640625</v>
      </c>
      <c r="D225" s="18">
        <v>32.488</v>
      </c>
      <c r="E225" s="18">
        <v>38.844000000000001</v>
      </c>
      <c r="F225" s="18">
        <v>39.917999999999999</v>
      </c>
      <c r="G225" s="18">
        <v>179.79</v>
      </c>
      <c r="H225" s="18">
        <f t="shared" si="10"/>
        <v>34.21125</v>
      </c>
      <c r="I225" s="5"/>
      <c r="J225" s="17">
        <v>602.71730000000002</v>
      </c>
      <c r="K225" s="18">
        <v>33.701700000000002</v>
      </c>
      <c r="L225" s="18">
        <v>40.700000000000003</v>
      </c>
      <c r="M225" s="18">
        <v>41.787999999999997</v>
      </c>
      <c r="N225" s="18">
        <v>334.44819999999999</v>
      </c>
      <c r="O225" s="18">
        <f t="shared" si="11"/>
        <v>35.587275000000005</v>
      </c>
      <c r="P225" s="7"/>
      <c r="Q225" s="10"/>
      <c r="R225" s="11"/>
      <c r="S225" s="11"/>
      <c r="T225" s="26"/>
      <c r="U225" s="28">
        <f t="shared" si="9"/>
        <v>0.86021580733077485</v>
      </c>
    </row>
    <row r="226" spans="2:21" ht="16.5" thickBot="1" x14ac:dyDescent="0.3">
      <c r="B226" s="12"/>
      <c r="C226" s="19">
        <v>360.1376953125</v>
      </c>
      <c r="D226" s="20">
        <v>30.533000000000001</v>
      </c>
      <c r="E226" s="20">
        <v>36.963999999999999</v>
      </c>
      <c r="F226" s="20">
        <v>37.536000000000001</v>
      </c>
      <c r="G226" s="20">
        <v>195.52</v>
      </c>
      <c r="H226" s="20">
        <f t="shared" si="10"/>
        <v>32.212249999999997</v>
      </c>
      <c r="I226" s="5"/>
      <c r="J226" s="19">
        <v>301.16250000000002</v>
      </c>
      <c r="K226" s="20">
        <v>31.665900000000001</v>
      </c>
      <c r="L226" s="20">
        <v>39.286499999999997</v>
      </c>
      <c r="M226" s="20">
        <v>40.127800000000001</v>
      </c>
      <c r="N226" s="20">
        <v>385.9348</v>
      </c>
      <c r="O226" s="20">
        <f t="shared" si="11"/>
        <v>33.676212499999998</v>
      </c>
      <c r="P226" s="7"/>
      <c r="Q226" s="13"/>
      <c r="R226" s="14"/>
      <c r="S226" s="14"/>
      <c r="T226" s="27"/>
      <c r="U226" s="28">
        <f t="shared" si="9"/>
        <v>0.97388911620294583</v>
      </c>
    </row>
    <row r="227" spans="2:21" x14ac:dyDescent="0.25">
      <c r="B227" s="6" t="s">
        <v>106</v>
      </c>
      <c r="C227" s="15">
        <v>1403.8125</v>
      </c>
      <c r="D227" s="16">
        <v>44.003</v>
      </c>
      <c r="E227" s="16">
        <v>48.750999999999998</v>
      </c>
      <c r="F227" s="16">
        <v>50.404000000000003</v>
      </c>
      <c r="G227" s="16">
        <v>185.76</v>
      </c>
      <c r="H227" s="16">
        <f t="shared" si="10"/>
        <v>45.396625</v>
      </c>
      <c r="I227" s="5"/>
      <c r="J227" s="15">
        <v>1498.5435</v>
      </c>
      <c r="K227" s="16">
        <v>46.640799999999999</v>
      </c>
      <c r="L227" s="16">
        <v>51.409300000000002</v>
      </c>
      <c r="M227" s="16">
        <v>52.883200000000002</v>
      </c>
      <c r="N227" s="16">
        <v>218.0078</v>
      </c>
      <c r="O227" s="16">
        <f t="shared" si="11"/>
        <v>48.017162499999998</v>
      </c>
      <c r="P227" s="7"/>
      <c r="Q227" s="8">
        <f>bdrate(C227:C230,D227:D230,J227:J230,K227:K230)</f>
        <v>-0.40207561445180184</v>
      </c>
      <c r="R227" s="8">
        <f>bdrate(C227:C230,E227:E230,J227:J230,L227:L230)</f>
        <v>-0.49007926373604938</v>
      </c>
      <c r="S227" s="8">
        <f>bdrate(C227:C230,F227:F230,J227:J230,M227:M230)</f>
        <v>-0.46582638494239703</v>
      </c>
      <c r="T227" s="25">
        <f>bdrate(C227:C230,H227:H230,J227:J230,O227:O230)</f>
        <v>-0.42112822737271793</v>
      </c>
      <c r="U227" s="28">
        <f t="shared" si="9"/>
        <v>0.17359926787252375</v>
      </c>
    </row>
    <row r="228" spans="2:21" x14ac:dyDescent="0.25">
      <c r="B228" s="9"/>
      <c r="C228" s="17">
        <v>1006.4443359375</v>
      </c>
      <c r="D228" s="18">
        <v>42.47</v>
      </c>
      <c r="E228" s="18">
        <v>47.372</v>
      </c>
      <c r="F228" s="18">
        <v>49.088000000000001</v>
      </c>
      <c r="G228" s="18">
        <v>198.41</v>
      </c>
      <c r="H228" s="18">
        <f t="shared" si="10"/>
        <v>43.910000000000004</v>
      </c>
      <c r="I228" s="5"/>
      <c r="J228" s="17">
        <v>1004.7956</v>
      </c>
      <c r="K228" s="18">
        <v>44.848100000000002</v>
      </c>
      <c r="L228" s="18">
        <v>49.996000000000002</v>
      </c>
      <c r="M228" s="18">
        <v>51.413699999999999</v>
      </c>
      <c r="N228" s="18">
        <v>285.4196</v>
      </c>
      <c r="O228" s="18">
        <f t="shared" si="11"/>
        <v>46.312287500000004</v>
      </c>
      <c r="P228" s="7"/>
      <c r="Q228" s="10"/>
      <c r="R228" s="11"/>
      <c r="S228" s="11"/>
      <c r="T228" s="26"/>
      <c r="U228" s="28">
        <f t="shared" si="9"/>
        <v>0.43853434806713376</v>
      </c>
    </row>
    <row r="229" spans="2:21" x14ac:dyDescent="0.25">
      <c r="B229" s="9"/>
      <c r="C229" s="17">
        <v>622.7744140625</v>
      </c>
      <c r="D229" s="18">
        <v>40.448999999999998</v>
      </c>
      <c r="E229" s="18">
        <v>45.433999999999997</v>
      </c>
      <c r="F229" s="18">
        <v>47.078000000000003</v>
      </c>
      <c r="G229" s="18">
        <v>229.32</v>
      </c>
      <c r="H229" s="18">
        <f t="shared" si="10"/>
        <v>41.900750000000002</v>
      </c>
      <c r="I229" s="5"/>
      <c r="J229" s="17">
        <v>604.25369999999998</v>
      </c>
      <c r="K229" s="18">
        <v>42.610999999999997</v>
      </c>
      <c r="L229" s="18">
        <v>48.088900000000002</v>
      </c>
      <c r="M229" s="18">
        <v>49.5411</v>
      </c>
      <c r="N229" s="18">
        <v>374.40170000000001</v>
      </c>
      <c r="O229" s="18">
        <f t="shared" si="11"/>
        <v>44.162000000000006</v>
      </c>
      <c r="P229" s="7"/>
      <c r="Q229" s="10"/>
      <c r="R229" s="11"/>
      <c r="S229" s="11"/>
      <c r="T229" s="26"/>
      <c r="U229" s="28">
        <f t="shared" si="9"/>
        <v>0.63266047444618878</v>
      </c>
    </row>
    <row r="230" spans="2:21" ht="16.5" thickBot="1" x14ac:dyDescent="0.3">
      <c r="B230" s="12"/>
      <c r="C230" s="19">
        <v>316.3583984375</v>
      </c>
      <c r="D230" s="20">
        <v>37.837000000000003</v>
      </c>
      <c r="E230" s="20">
        <v>42.817</v>
      </c>
      <c r="F230" s="20">
        <v>44.503999999999998</v>
      </c>
      <c r="G230" s="20">
        <v>263.83999999999997</v>
      </c>
      <c r="H230" s="20">
        <f t="shared" si="10"/>
        <v>39.292875000000002</v>
      </c>
      <c r="I230" s="5"/>
      <c r="J230" s="19">
        <v>302.43720000000002</v>
      </c>
      <c r="K230" s="20">
        <v>39.326300000000003</v>
      </c>
      <c r="L230" s="20">
        <v>45.0839</v>
      </c>
      <c r="M230" s="20">
        <v>46.664299999999997</v>
      </c>
      <c r="N230" s="20">
        <v>411.7647</v>
      </c>
      <c r="O230" s="20">
        <f t="shared" si="11"/>
        <v>40.963250000000002</v>
      </c>
      <c r="P230" s="7"/>
      <c r="Q230" s="13"/>
      <c r="R230" s="14"/>
      <c r="S230" s="14"/>
      <c r="T230" s="27"/>
      <c r="U230" s="28">
        <f t="shared" si="9"/>
        <v>0.5606606276531233</v>
      </c>
    </row>
    <row r="231" spans="2:21" x14ac:dyDescent="0.25">
      <c r="B231" s="6" t="s">
        <v>107</v>
      </c>
      <c r="C231" s="15">
        <v>1529.75</v>
      </c>
      <c r="D231" s="16">
        <v>29.802</v>
      </c>
      <c r="E231" s="16">
        <v>38.110999999999997</v>
      </c>
      <c r="F231" s="16">
        <v>37.517000000000003</v>
      </c>
      <c r="G231" s="16">
        <v>134.56</v>
      </c>
      <c r="H231" s="16">
        <f t="shared" si="10"/>
        <v>31.805</v>
      </c>
      <c r="I231" s="5"/>
      <c r="J231" s="15">
        <v>1494.5518999999999</v>
      </c>
      <c r="K231" s="16">
        <v>31.360900000000001</v>
      </c>
      <c r="L231" s="16">
        <v>39.832799999999999</v>
      </c>
      <c r="M231" s="16">
        <v>39.191899999999997</v>
      </c>
      <c r="N231" s="16">
        <v>143.3349</v>
      </c>
      <c r="O231" s="16">
        <f t="shared" si="11"/>
        <v>33.398762499999997</v>
      </c>
      <c r="P231" s="7"/>
      <c r="Q231" s="8">
        <f>bdrate(C231:C234,D231:D234,J231:J234,K231:K234)</f>
        <v>-0.30357760415565715</v>
      </c>
      <c r="R231" s="8">
        <f>bdrate(C231:C234,E231:E234,J231:J234,L231:L234)</f>
        <v>-0.56810279455100399</v>
      </c>
      <c r="S231" s="8">
        <f>bdrate(C231:C234,F231:F234,J231:J234,M231:M234)</f>
        <v>-0.54866886601403686</v>
      </c>
      <c r="T231" s="25">
        <f>bdrate(C231:C234,H231:H234,J231:J234,O231:O234)</f>
        <v>-0.36479964079317539</v>
      </c>
      <c r="U231" s="28">
        <f t="shared" si="9"/>
        <v>6.5211801426872787E-2</v>
      </c>
    </row>
    <row r="232" spans="2:21" x14ac:dyDescent="0.25">
      <c r="B232" s="9"/>
      <c r="C232" s="17">
        <v>1114.9189453125</v>
      </c>
      <c r="D232" s="18">
        <v>28.47</v>
      </c>
      <c r="E232" s="18">
        <v>36.863999999999997</v>
      </c>
      <c r="F232" s="18">
        <v>36.317999999999998</v>
      </c>
      <c r="G232" s="18">
        <v>144.66</v>
      </c>
      <c r="H232" s="18">
        <f t="shared" si="10"/>
        <v>30.500250000000001</v>
      </c>
      <c r="I232" s="5"/>
      <c r="J232" s="17">
        <v>995.19449999999995</v>
      </c>
      <c r="K232" s="18">
        <v>29.6206</v>
      </c>
      <c r="L232" s="18">
        <v>38.917000000000002</v>
      </c>
      <c r="M232" s="18">
        <v>38.198399999999999</v>
      </c>
      <c r="N232" s="18">
        <v>225.36619999999999</v>
      </c>
      <c r="O232" s="18">
        <f t="shared" si="11"/>
        <v>31.854875</v>
      </c>
      <c r="P232" s="7"/>
      <c r="Q232" s="10"/>
      <c r="R232" s="11"/>
      <c r="S232" s="11"/>
      <c r="T232" s="26"/>
      <c r="U232" s="28">
        <f t="shared" si="9"/>
        <v>0.55790266832572932</v>
      </c>
    </row>
    <row r="233" spans="2:21" x14ac:dyDescent="0.25">
      <c r="B233" s="9"/>
      <c r="C233" s="17">
        <v>847.54296875</v>
      </c>
      <c r="D233" s="18">
        <v>27.555</v>
      </c>
      <c r="E233" s="18">
        <v>35.863</v>
      </c>
      <c r="F233" s="18">
        <v>35.311</v>
      </c>
      <c r="G233" s="18">
        <v>146.53</v>
      </c>
      <c r="H233" s="18">
        <f t="shared" si="10"/>
        <v>29.562999999999999</v>
      </c>
      <c r="I233" s="5"/>
      <c r="J233" s="17">
        <v>597.14589999999998</v>
      </c>
      <c r="K233" s="18">
        <v>27.468</v>
      </c>
      <c r="L233" s="18">
        <v>37.552900000000001</v>
      </c>
      <c r="M233" s="18">
        <v>36.820500000000003</v>
      </c>
      <c r="N233" s="18">
        <v>309.33150000000001</v>
      </c>
      <c r="O233" s="18">
        <f t="shared" si="11"/>
        <v>29.897675</v>
      </c>
      <c r="P233" s="7"/>
      <c r="Q233" s="10"/>
      <c r="R233" s="11"/>
      <c r="S233" s="11"/>
      <c r="T233" s="26"/>
      <c r="U233" s="28">
        <f t="shared" si="9"/>
        <v>1.1110455196888009</v>
      </c>
    </row>
    <row r="234" spans="2:21" ht="16.5" thickBot="1" x14ac:dyDescent="0.3">
      <c r="B234" s="12"/>
      <c r="C234" s="19">
        <v>669.427734375</v>
      </c>
      <c r="D234" s="20">
        <v>26.614999999999998</v>
      </c>
      <c r="E234" s="20">
        <v>34.654000000000003</v>
      </c>
      <c r="F234" s="20">
        <v>34.19</v>
      </c>
      <c r="G234" s="20">
        <v>155.36000000000001</v>
      </c>
      <c r="H234" s="20">
        <f t="shared" si="10"/>
        <v>28.566749999999999</v>
      </c>
      <c r="I234" s="5"/>
      <c r="J234" s="19">
        <v>299.7731</v>
      </c>
      <c r="K234" s="20">
        <v>24.745999999999999</v>
      </c>
      <c r="L234" s="20">
        <v>35.185899999999997</v>
      </c>
      <c r="M234" s="20">
        <v>34.566699999999997</v>
      </c>
      <c r="N234" s="20">
        <v>368.70139999999998</v>
      </c>
      <c r="O234" s="20">
        <f t="shared" si="11"/>
        <v>27.278575</v>
      </c>
      <c r="P234" s="7"/>
      <c r="Q234" s="13"/>
      <c r="R234" s="14"/>
      <c r="S234" s="14"/>
      <c r="T234" s="27"/>
      <c r="U234" s="28">
        <f t="shared" si="9"/>
        <v>1.3732067456230685</v>
      </c>
    </row>
    <row r="235" spans="2:21" x14ac:dyDescent="0.25">
      <c r="B235" s="6" t="s">
        <v>108</v>
      </c>
      <c r="C235" s="15">
        <v>1982.09765625</v>
      </c>
      <c r="D235" s="16">
        <v>44.127000000000002</v>
      </c>
      <c r="E235" s="16">
        <v>45.351999999999997</v>
      </c>
      <c r="F235" s="16">
        <v>45.225000000000001</v>
      </c>
      <c r="G235" s="16">
        <v>166.52</v>
      </c>
      <c r="H235" s="16">
        <f t="shared" si="10"/>
        <v>44.417375</v>
      </c>
      <c r="I235" s="5"/>
      <c r="J235" s="15">
        <v>1420.7855</v>
      </c>
      <c r="K235" s="16">
        <v>44.299500000000002</v>
      </c>
      <c r="L235" s="16">
        <v>45.314900000000002</v>
      </c>
      <c r="M235" s="16">
        <v>45.215000000000003</v>
      </c>
      <c r="N235" s="16">
        <v>264.04579999999999</v>
      </c>
      <c r="O235" s="16">
        <f t="shared" si="11"/>
        <v>44.540862500000003</v>
      </c>
      <c r="P235" s="7"/>
      <c r="Q235" s="8">
        <f>bdrate(C235:C238,D235:D238,J235:J238,K235:K238)</f>
        <v>-0.35869120344504202</v>
      </c>
      <c r="R235" s="8">
        <f>bdrate(C235:C238,E235:E238,J235:J238,L235:L238)</f>
        <v>-0.37965171500777128</v>
      </c>
      <c r="S235" s="8">
        <f>bdrate(C235:C238,F235:F238,J235:J238,M235:M238)</f>
        <v>-0.3806839344439723</v>
      </c>
      <c r="T235" s="25">
        <f>bdrate(C235:C238,H235:H238,J235:J238,O235:O238)</f>
        <v>-0.3633512759918105</v>
      </c>
      <c r="U235" s="28">
        <f t="shared" si="9"/>
        <v>0.58567018976699481</v>
      </c>
    </row>
    <row r="236" spans="2:21" x14ac:dyDescent="0.25">
      <c r="B236" s="9"/>
      <c r="C236" s="17">
        <v>1405.853515625</v>
      </c>
      <c r="D236" s="18">
        <v>41.957000000000001</v>
      </c>
      <c r="E236" s="18">
        <v>43.462000000000003</v>
      </c>
      <c r="F236" s="18">
        <v>43.304000000000002</v>
      </c>
      <c r="G236" s="18">
        <v>191.1</v>
      </c>
      <c r="H236" s="18">
        <f t="shared" si="10"/>
        <v>42.313500000000005</v>
      </c>
      <c r="I236" s="5"/>
      <c r="J236" s="17">
        <v>960.65480000000002</v>
      </c>
      <c r="K236" s="18">
        <v>42.3703</v>
      </c>
      <c r="L236" s="18">
        <v>43.742400000000004</v>
      </c>
      <c r="M236" s="18">
        <v>43.610599999999998</v>
      </c>
      <c r="N236" s="18">
        <v>323.15980000000002</v>
      </c>
      <c r="O236" s="18">
        <f t="shared" si="11"/>
        <v>42.696849999999998</v>
      </c>
      <c r="P236" s="7"/>
      <c r="Q236" s="10"/>
      <c r="R236" s="11"/>
      <c r="S236" s="11"/>
      <c r="T236" s="26"/>
      <c r="U236" s="28">
        <f t="shared" si="9"/>
        <v>0.69105075876504463</v>
      </c>
    </row>
    <row r="237" spans="2:21" x14ac:dyDescent="0.25">
      <c r="B237" s="9"/>
      <c r="C237" s="17">
        <v>903.5712890625</v>
      </c>
      <c r="D237" s="18">
        <v>39.216999999999999</v>
      </c>
      <c r="E237" s="18">
        <v>41.034999999999997</v>
      </c>
      <c r="F237" s="18">
        <v>40.859000000000002</v>
      </c>
      <c r="G237" s="18">
        <v>215.35</v>
      </c>
      <c r="H237" s="18">
        <f t="shared" si="10"/>
        <v>39.649499999999996</v>
      </c>
      <c r="I237" s="5"/>
      <c r="J237" s="17">
        <v>584.90959999999995</v>
      </c>
      <c r="K237" s="18">
        <v>39.278399999999998</v>
      </c>
      <c r="L237" s="18">
        <v>41.266599999999997</v>
      </c>
      <c r="M237" s="18">
        <v>41.088999999999999</v>
      </c>
      <c r="N237" s="18">
        <v>361.3732</v>
      </c>
      <c r="O237" s="18">
        <f t="shared" si="11"/>
        <v>39.753249999999994</v>
      </c>
      <c r="P237" s="7"/>
      <c r="Q237" s="10"/>
      <c r="R237" s="11"/>
      <c r="S237" s="11"/>
      <c r="T237" s="26"/>
      <c r="U237" s="28">
        <f t="shared" si="9"/>
        <v>0.67807383329463666</v>
      </c>
    </row>
    <row r="238" spans="2:21" ht="16.5" thickBot="1" x14ac:dyDescent="0.3">
      <c r="B238" s="12"/>
      <c r="C238" s="19">
        <v>528.53515625</v>
      </c>
      <c r="D238" s="20">
        <v>35.722999999999999</v>
      </c>
      <c r="E238" s="20">
        <v>37.881</v>
      </c>
      <c r="F238" s="20">
        <v>37.658000000000001</v>
      </c>
      <c r="G238" s="20">
        <v>229.26</v>
      </c>
      <c r="H238" s="20">
        <f t="shared" si="10"/>
        <v>36.234625000000001</v>
      </c>
      <c r="I238" s="5"/>
      <c r="J238" s="19">
        <v>294.98050000000001</v>
      </c>
      <c r="K238" s="20">
        <v>34.9895</v>
      </c>
      <c r="L238" s="20">
        <v>38.106099999999998</v>
      </c>
      <c r="M238" s="20">
        <v>37.925400000000003</v>
      </c>
      <c r="N238" s="20">
        <v>402.05489999999998</v>
      </c>
      <c r="O238" s="20">
        <f t="shared" si="11"/>
        <v>35.746062500000001</v>
      </c>
      <c r="P238" s="7"/>
      <c r="Q238" s="13"/>
      <c r="R238" s="14"/>
      <c r="S238" s="14"/>
      <c r="T238" s="27"/>
      <c r="U238" s="28">
        <f t="shared" si="9"/>
        <v>0.75370714472651135</v>
      </c>
    </row>
    <row r="239" spans="2:21" x14ac:dyDescent="0.25">
      <c r="B239" s="6" t="s">
        <v>109</v>
      </c>
      <c r="C239" s="15">
        <v>2141.20703125</v>
      </c>
      <c r="D239" s="16">
        <v>45.381999999999998</v>
      </c>
      <c r="E239" s="16">
        <v>46.844999999999999</v>
      </c>
      <c r="F239" s="16">
        <v>47.076999999999998</v>
      </c>
      <c r="G239" s="16">
        <v>182.53</v>
      </c>
      <c r="H239" s="16">
        <f t="shared" si="10"/>
        <v>45.776749999999993</v>
      </c>
      <c r="I239" s="5"/>
      <c r="J239" s="15">
        <v>1405.8264999999999</v>
      </c>
      <c r="K239" s="16">
        <v>45.284599999999998</v>
      </c>
      <c r="L239" s="16">
        <v>47.535600000000002</v>
      </c>
      <c r="M239" s="16">
        <v>47.7883</v>
      </c>
      <c r="N239" s="16">
        <v>254.12960000000001</v>
      </c>
      <c r="O239" s="16">
        <f t="shared" si="11"/>
        <v>45.878937499999992</v>
      </c>
      <c r="P239" s="7"/>
      <c r="Q239" s="8">
        <f>bdrate(C239:C242,D239:D242,J239:J242,K239:K242)</f>
        <v>-0.23894386898467845</v>
      </c>
      <c r="R239" s="8">
        <f>bdrate(C239:C242,E239:E242,J239:J242,L239:L242)</f>
        <v>-0.33231483373893334</v>
      </c>
      <c r="S239" s="8">
        <f>bdrate(C239:C242,F239:F242,J239:J242,M239:M242)</f>
        <v>-0.33619197076176766</v>
      </c>
      <c r="T239" s="25">
        <f>bdrate(C239:C242,H239:H242,J239:J242,O239:O242)</f>
        <v>-0.26337422754985884</v>
      </c>
      <c r="U239" s="28">
        <f t="shared" si="9"/>
        <v>0.39226209390237227</v>
      </c>
    </row>
    <row r="240" spans="2:21" x14ac:dyDescent="0.25">
      <c r="B240" s="9"/>
      <c r="C240" s="17">
        <v>1618.609375</v>
      </c>
      <c r="D240" s="18">
        <v>44.411000000000001</v>
      </c>
      <c r="E240" s="18">
        <v>46.021000000000001</v>
      </c>
      <c r="F240" s="18">
        <v>46.250999999999998</v>
      </c>
      <c r="G240" s="18">
        <v>196.74</v>
      </c>
      <c r="H240" s="18">
        <f t="shared" si="10"/>
        <v>44.84225</v>
      </c>
      <c r="I240" s="5"/>
      <c r="J240" s="17">
        <v>976.26110000000006</v>
      </c>
      <c r="K240" s="18">
        <v>43.749200000000002</v>
      </c>
      <c r="L240" s="18">
        <v>46.259399999999999</v>
      </c>
      <c r="M240" s="18">
        <v>46.525599999999997</v>
      </c>
      <c r="N240" s="18">
        <v>285.62360000000001</v>
      </c>
      <c r="O240" s="18">
        <f t="shared" si="11"/>
        <v>44.410024999999997</v>
      </c>
      <c r="P240" s="7"/>
      <c r="Q240" s="10"/>
      <c r="R240" s="11"/>
      <c r="S240" s="11"/>
      <c r="T240" s="26"/>
      <c r="U240" s="28">
        <f t="shared" si="9"/>
        <v>0.45178204737216632</v>
      </c>
    </row>
    <row r="241" spans="2:21" x14ac:dyDescent="0.25">
      <c r="B241" s="9"/>
      <c r="C241" s="17">
        <v>939.1728515625</v>
      </c>
      <c r="D241" s="18">
        <v>41.802</v>
      </c>
      <c r="E241" s="18">
        <v>43.906999999999996</v>
      </c>
      <c r="F241" s="18">
        <v>44.149000000000001</v>
      </c>
      <c r="G241" s="18">
        <v>207.24</v>
      </c>
      <c r="H241" s="18">
        <f t="shared" si="10"/>
        <v>42.358499999999999</v>
      </c>
      <c r="I241" s="5"/>
      <c r="J241" s="17">
        <v>638.12710000000004</v>
      </c>
      <c r="K241" s="18">
        <v>41.014200000000002</v>
      </c>
      <c r="L241" s="18">
        <v>43.8185</v>
      </c>
      <c r="M241" s="18">
        <v>44.085799999999999</v>
      </c>
      <c r="N241" s="18">
        <v>309.22519999999997</v>
      </c>
      <c r="O241" s="18">
        <f t="shared" si="11"/>
        <v>41.748687500000003</v>
      </c>
      <c r="P241" s="7"/>
      <c r="Q241" s="10"/>
      <c r="R241" s="11"/>
      <c r="S241" s="11"/>
      <c r="T241" s="26"/>
      <c r="U241" s="28">
        <f t="shared" si="9"/>
        <v>0.4921115614746186</v>
      </c>
    </row>
    <row r="242" spans="2:21" ht="16.5" thickBot="1" x14ac:dyDescent="0.3">
      <c r="B242" s="12"/>
      <c r="C242" s="19">
        <v>501.2119140625</v>
      </c>
      <c r="D242" s="20">
        <v>38.503999999999998</v>
      </c>
      <c r="E242" s="20">
        <v>40.975000000000001</v>
      </c>
      <c r="F242" s="20">
        <v>41.207000000000001</v>
      </c>
      <c r="G242" s="20">
        <v>230.16</v>
      </c>
      <c r="H242" s="20">
        <f t="shared" si="10"/>
        <v>39.150750000000002</v>
      </c>
      <c r="I242" s="5"/>
      <c r="J242" s="19">
        <v>338.02409999999998</v>
      </c>
      <c r="K242" s="20">
        <v>37.0351</v>
      </c>
      <c r="L242" s="20">
        <v>40.360199999999999</v>
      </c>
      <c r="M242" s="20">
        <v>40.642400000000002</v>
      </c>
      <c r="N242" s="20">
        <v>395.08339999999998</v>
      </c>
      <c r="O242" s="20">
        <f t="shared" si="11"/>
        <v>37.901650000000004</v>
      </c>
      <c r="P242" s="7"/>
      <c r="Q242" s="13"/>
      <c r="R242" s="14"/>
      <c r="S242" s="14"/>
      <c r="T242" s="27"/>
      <c r="U242" s="28">
        <f t="shared" si="9"/>
        <v>0.7165597844977406</v>
      </c>
    </row>
    <row r="243" spans="2:21" x14ac:dyDescent="0.25">
      <c r="B243" s="6" t="s">
        <v>110</v>
      </c>
      <c r="C243" s="29">
        <v>1706.587890625</v>
      </c>
      <c r="D243" s="30">
        <v>31.315999999999999</v>
      </c>
      <c r="E243" s="30">
        <v>35.030999999999999</v>
      </c>
      <c r="F243" s="30">
        <v>33.764000000000003</v>
      </c>
      <c r="G243" s="16">
        <v>144.35</v>
      </c>
      <c r="H243" s="16">
        <f t="shared" si="10"/>
        <v>32.086374999999997</v>
      </c>
      <c r="I243" s="5"/>
      <c r="J243" s="29">
        <v>1506.8119999999999</v>
      </c>
      <c r="K243" s="30">
        <v>31.950900000000001</v>
      </c>
      <c r="L243" s="30">
        <v>36.303800000000003</v>
      </c>
      <c r="M243" s="30">
        <v>35.198900000000002</v>
      </c>
      <c r="N243" s="16">
        <v>234.03980000000001</v>
      </c>
      <c r="O243" s="16">
        <f t="shared" si="11"/>
        <v>32.9010125</v>
      </c>
      <c r="P243" s="7"/>
      <c r="Q243" s="8">
        <f>bdrate(C243:C246,D243:D246,J243:J246,K243:K246)</f>
        <v>-0.20170058981449102</v>
      </c>
      <c r="R243" s="8">
        <f>bdrate(C243:C246,E243:E246,J243:J246,L243:L246)</f>
        <v>-0.5280752029123772</v>
      </c>
      <c r="S243" s="8">
        <f>bdrate(C243:C246,F243:F246,J243:J246,M243:M246)</f>
        <v>-0.52652539434004852</v>
      </c>
      <c r="T243" s="25">
        <f>bdrate(C243:C246,H243:H246,J243:J246,O243:O246)</f>
        <v>-0.27650373048769195</v>
      </c>
      <c r="U243" s="28">
        <f t="shared" si="9"/>
        <v>0.62133564253550411</v>
      </c>
    </row>
    <row r="244" spans="2:21" x14ac:dyDescent="0.25">
      <c r="B244" s="9"/>
      <c r="C244" s="31">
        <v>1177.84375</v>
      </c>
      <c r="D244" s="32">
        <v>29.77</v>
      </c>
      <c r="E244" s="32">
        <v>33.835999999999999</v>
      </c>
      <c r="F244" s="32">
        <v>32.540999999999997</v>
      </c>
      <c r="G244" s="18">
        <v>157.72999999999999</v>
      </c>
      <c r="H244" s="18">
        <f t="shared" si="10"/>
        <v>30.624625000000002</v>
      </c>
      <c r="I244" s="5"/>
      <c r="J244" s="31">
        <v>1007.0780999999999</v>
      </c>
      <c r="K244" s="32">
        <v>30.092300000000002</v>
      </c>
      <c r="L244" s="32">
        <v>35.2654</v>
      </c>
      <c r="M244" s="32">
        <v>34.101100000000002</v>
      </c>
      <c r="N244" s="18">
        <v>278.63780000000003</v>
      </c>
      <c r="O244" s="18">
        <f t="shared" si="11"/>
        <v>31.240037500000003</v>
      </c>
      <c r="P244" s="7"/>
      <c r="Q244" s="10"/>
      <c r="R244" s="11"/>
      <c r="S244" s="11"/>
      <c r="T244" s="26"/>
      <c r="U244" s="28">
        <f t="shared" si="9"/>
        <v>0.76654916629683667</v>
      </c>
    </row>
    <row r="245" spans="2:21" x14ac:dyDescent="0.25">
      <c r="B245" s="9"/>
      <c r="C245" s="31">
        <v>807.1904296875</v>
      </c>
      <c r="D245" s="32">
        <v>28.29</v>
      </c>
      <c r="E245" s="32">
        <v>32.625999999999998</v>
      </c>
      <c r="F245" s="32">
        <v>31.324999999999999</v>
      </c>
      <c r="G245" s="18">
        <v>159.81</v>
      </c>
      <c r="H245" s="18">
        <f t="shared" si="10"/>
        <v>29.211375</v>
      </c>
      <c r="I245" s="5"/>
      <c r="J245" s="31">
        <v>602.26930000000004</v>
      </c>
      <c r="K245" s="32">
        <v>27.936800000000002</v>
      </c>
      <c r="L245" s="32">
        <v>34.023600000000002</v>
      </c>
      <c r="M245" s="32">
        <v>32.739800000000002</v>
      </c>
      <c r="N245" s="18">
        <v>325.02710000000002</v>
      </c>
      <c r="O245" s="18">
        <f t="shared" si="11"/>
        <v>29.298025000000003</v>
      </c>
      <c r="P245" s="7"/>
      <c r="Q245" s="10"/>
      <c r="R245" s="11"/>
      <c r="S245" s="11"/>
      <c r="T245" s="26"/>
      <c r="U245" s="28">
        <f t="shared" si="9"/>
        <v>1.0338345535323197</v>
      </c>
    </row>
    <row r="246" spans="2:21" ht="16.5" thickBot="1" x14ac:dyDescent="0.3">
      <c r="B246" s="12"/>
      <c r="C246" s="33">
        <v>561.96875</v>
      </c>
      <c r="D246" s="34">
        <v>26.759</v>
      </c>
      <c r="E246" s="34">
        <v>31.294</v>
      </c>
      <c r="F246" s="34">
        <v>30.024999999999999</v>
      </c>
      <c r="G246" s="20">
        <v>167.85</v>
      </c>
      <c r="H246" s="20">
        <f t="shared" si="10"/>
        <v>27.734125000000002</v>
      </c>
      <c r="I246" s="5"/>
      <c r="J246" s="33">
        <v>303.90910000000002</v>
      </c>
      <c r="K246" s="34">
        <v>25.415299999999998</v>
      </c>
      <c r="L246" s="34">
        <v>32.18</v>
      </c>
      <c r="M246" s="34">
        <v>30.771999999999998</v>
      </c>
      <c r="N246" s="20">
        <v>388.5172</v>
      </c>
      <c r="O246" s="20">
        <f t="shared" si="11"/>
        <v>26.930474999999998</v>
      </c>
      <c r="P246" s="7"/>
      <c r="Q246" s="13"/>
      <c r="R246" s="14"/>
      <c r="S246" s="14"/>
      <c r="T246" s="27"/>
      <c r="U246" s="28">
        <f t="shared" si="9"/>
        <v>1.3146690497467979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-0.34133775820806472</v>
      </c>
      <c r="R247" s="21">
        <f>AVERAGE(R131:R246)</f>
        <v>-0.43892783419270914</v>
      </c>
      <c r="S247" s="21">
        <f>AVERAGE(S131:S246)</f>
        <v>-0.44568594096710012</v>
      </c>
      <c r="T247" s="21">
        <f>AVERAGE(T131:T246)</f>
        <v>-0.36452138743787177</v>
      </c>
      <c r="U247" s="21">
        <f>AVERAGE(U131:U246)</f>
        <v>1.1104068038476933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27" priority="85" operator="greaterThan">
      <formula>0.03</formula>
    </cfRule>
    <cfRule type="cellIs" dxfId="426" priority="86" stopIfTrue="1" operator="lessThan">
      <formula>-0.03</formula>
    </cfRule>
  </conditionalFormatting>
  <conditionalFormatting sqref="Q33:T36">
    <cfRule type="cellIs" dxfId="425" priority="83" operator="greaterThan">
      <formula>0.03</formula>
    </cfRule>
    <cfRule type="cellIs" dxfId="424" priority="84" stopIfTrue="1" operator="lessThan">
      <formula>-0.03</formula>
    </cfRule>
  </conditionalFormatting>
  <conditionalFormatting sqref="Q46:T48 Q62:T64">
    <cfRule type="cellIs" dxfId="423" priority="81" operator="greaterThan">
      <formula>0.03</formula>
    </cfRule>
    <cfRule type="cellIs" dxfId="422" priority="82" stopIfTrue="1" operator="lessThan">
      <formula>-0.03</formula>
    </cfRule>
  </conditionalFormatting>
  <conditionalFormatting sqref="Q50:T52 Q54:T56 Q58:T60">
    <cfRule type="cellIs" dxfId="421" priority="79" operator="greaterThan">
      <formula>0.03</formula>
    </cfRule>
    <cfRule type="cellIs" dxfId="420" priority="80" stopIfTrue="1" operator="lessThan">
      <formula>-0.03</formula>
    </cfRule>
  </conditionalFormatting>
  <conditionalFormatting sqref="Q70:T72 Q74:T76">
    <cfRule type="cellIs" dxfId="419" priority="77" operator="greaterThan">
      <formula>0.03</formula>
    </cfRule>
    <cfRule type="cellIs" dxfId="418" priority="78" stopIfTrue="1" operator="lessThan">
      <formula>-0.03</formula>
    </cfRule>
  </conditionalFormatting>
  <conditionalFormatting sqref="Q66:T68">
    <cfRule type="cellIs" dxfId="417" priority="75" operator="greaterThan">
      <formula>0.03</formula>
    </cfRule>
    <cfRule type="cellIs" dxfId="416" priority="76" stopIfTrue="1" operator="lessThan">
      <formula>-0.03</formula>
    </cfRule>
  </conditionalFormatting>
  <conditionalFormatting sqref="Q78:T80">
    <cfRule type="cellIs" dxfId="415" priority="73" operator="greaterThan">
      <formula>0.03</formula>
    </cfRule>
    <cfRule type="cellIs" dxfId="414" priority="74" stopIfTrue="1" operator="lessThan">
      <formula>-0.03</formula>
    </cfRule>
  </conditionalFormatting>
  <conditionalFormatting sqref="Q21:T28">
    <cfRule type="cellIs" dxfId="413" priority="71" operator="greaterThan">
      <formula>0.03</formula>
    </cfRule>
    <cfRule type="cellIs" dxfId="412" priority="72" stopIfTrue="1" operator="lessThan">
      <formula>-0.03</formula>
    </cfRule>
  </conditionalFormatting>
  <conditionalFormatting sqref="Q151:T154 Q159:T166 Q131:T142">
    <cfRule type="cellIs" dxfId="411" priority="69" operator="greaterThan">
      <formula>0.03</formula>
    </cfRule>
    <cfRule type="cellIs" dxfId="410" priority="70" stopIfTrue="1" operator="lessThan">
      <formula>-0.03</formula>
    </cfRule>
  </conditionalFormatting>
  <conditionalFormatting sqref="Q155:T158">
    <cfRule type="cellIs" dxfId="409" priority="67" operator="greaterThan">
      <formula>0.03</formula>
    </cfRule>
    <cfRule type="cellIs" dxfId="408" priority="68" stopIfTrue="1" operator="lessThan">
      <formula>-0.03</formula>
    </cfRule>
  </conditionalFormatting>
  <conditionalFormatting sqref="Q167:T170 Q183:T186">
    <cfRule type="cellIs" dxfId="407" priority="65" operator="greaterThan">
      <formula>0.03</formula>
    </cfRule>
    <cfRule type="cellIs" dxfId="406" priority="66" stopIfTrue="1" operator="lessThan">
      <formula>-0.03</formula>
    </cfRule>
  </conditionalFormatting>
  <conditionalFormatting sqref="Q171:T182">
    <cfRule type="cellIs" dxfId="405" priority="63" operator="greaterThan">
      <formula>0.03</formula>
    </cfRule>
    <cfRule type="cellIs" dxfId="404" priority="64" stopIfTrue="1" operator="lessThan">
      <formula>-0.03</formula>
    </cfRule>
  </conditionalFormatting>
  <conditionalFormatting sqref="Q191:T198">
    <cfRule type="cellIs" dxfId="403" priority="61" operator="greaterThan">
      <formula>0.03</formula>
    </cfRule>
    <cfRule type="cellIs" dxfId="402" priority="62" stopIfTrue="1" operator="lessThan">
      <formula>-0.03</formula>
    </cfRule>
  </conditionalFormatting>
  <conditionalFormatting sqref="Q187:T190">
    <cfRule type="cellIs" dxfId="401" priority="59" operator="greaterThan">
      <formula>0.03</formula>
    </cfRule>
    <cfRule type="cellIs" dxfId="400" priority="60" stopIfTrue="1" operator="lessThan">
      <formula>-0.03</formula>
    </cfRule>
  </conditionalFormatting>
  <conditionalFormatting sqref="Q199:T202">
    <cfRule type="cellIs" dxfId="399" priority="57" operator="greaterThan">
      <formula>0.03</formula>
    </cfRule>
    <cfRule type="cellIs" dxfId="398" priority="58" stopIfTrue="1" operator="lessThan">
      <formula>-0.03</formula>
    </cfRule>
  </conditionalFormatting>
  <conditionalFormatting sqref="Q143:T150">
    <cfRule type="cellIs" dxfId="397" priority="55" operator="greaterThan">
      <formula>0.03</formula>
    </cfRule>
    <cfRule type="cellIs" dxfId="396" priority="56" stopIfTrue="1" operator="lessThan">
      <formula>-0.03</formula>
    </cfRule>
  </conditionalFormatting>
  <conditionalFormatting sqref="Q45:T45">
    <cfRule type="cellIs" dxfId="395" priority="53" operator="greaterThan">
      <formula>0.03</formula>
    </cfRule>
    <cfRule type="cellIs" dxfId="394" priority="54" stopIfTrue="1" operator="lessThan">
      <formula>-0.03</formula>
    </cfRule>
  </conditionalFormatting>
  <conditionalFormatting sqref="Q49:T49">
    <cfRule type="cellIs" dxfId="393" priority="51" operator="greaterThan">
      <formula>0.03</formula>
    </cfRule>
    <cfRule type="cellIs" dxfId="392" priority="52" stopIfTrue="1" operator="lessThan">
      <formula>-0.03</formula>
    </cfRule>
  </conditionalFormatting>
  <conditionalFormatting sqref="Q53:T53">
    <cfRule type="cellIs" dxfId="391" priority="49" operator="greaterThan">
      <formula>0.03</formula>
    </cfRule>
    <cfRule type="cellIs" dxfId="390" priority="50" stopIfTrue="1" operator="lessThan">
      <formula>-0.03</formula>
    </cfRule>
  </conditionalFormatting>
  <conditionalFormatting sqref="Q57:T57">
    <cfRule type="cellIs" dxfId="389" priority="47" operator="greaterThan">
      <formula>0.03</formula>
    </cfRule>
    <cfRule type="cellIs" dxfId="388" priority="48" stopIfTrue="1" operator="lessThan">
      <formula>-0.03</formula>
    </cfRule>
  </conditionalFormatting>
  <conditionalFormatting sqref="Q61:T61">
    <cfRule type="cellIs" dxfId="387" priority="45" operator="greaterThan">
      <formula>0.03</formula>
    </cfRule>
    <cfRule type="cellIs" dxfId="386" priority="46" stopIfTrue="1" operator="lessThan">
      <formula>-0.03</formula>
    </cfRule>
  </conditionalFormatting>
  <conditionalFormatting sqref="Q65:T65">
    <cfRule type="cellIs" dxfId="385" priority="43" operator="greaterThan">
      <formula>0.03</formula>
    </cfRule>
    <cfRule type="cellIs" dxfId="384" priority="44" stopIfTrue="1" operator="lessThan">
      <formula>-0.03</formula>
    </cfRule>
  </conditionalFormatting>
  <conditionalFormatting sqref="Q69:T69">
    <cfRule type="cellIs" dxfId="383" priority="41" operator="greaterThan">
      <formula>0.03</formula>
    </cfRule>
    <cfRule type="cellIs" dxfId="382" priority="42" stopIfTrue="1" operator="lessThan">
      <formula>-0.03</formula>
    </cfRule>
  </conditionalFormatting>
  <conditionalFormatting sqref="Q73:T73">
    <cfRule type="cellIs" dxfId="381" priority="39" operator="greaterThan">
      <formula>0.03</formula>
    </cfRule>
    <cfRule type="cellIs" dxfId="380" priority="40" stopIfTrue="1" operator="lessThan">
      <formula>-0.03</formula>
    </cfRule>
  </conditionalFormatting>
  <conditionalFormatting sqref="Q77:T77">
    <cfRule type="cellIs" dxfId="379" priority="37" operator="greaterThan">
      <formula>0.03</formula>
    </cfRule>
    <cfRule type="cellIs" dxfId="378" priority="38" stopIfTrue="1" operator="lessThan">
      <formula>-0.03</formula>
    </cfRule>
  </conditionalFormatting>
  <conditionalFormatting sqref="Q117:T117">
    <cfRule type="cellIs" dxfId="377" priority="21" operator="greaterThan">
      <formula>0.03</formula>
    </cfRule>
    <cfRule type="cellIs" dxfId="376" priority="22" stopIfTrue="1" operator="lessThan">
      <formula>-0.03</formula>
    </cfRule>
  </conditionalFormatting>
  <conditionalFormatting sqref="Q93:T96 Q101:T108 Q81:T84">
    <cfRule type="cellIs" dxfId="375" priority="35" operator="greaterThan">
      <formula>0.03</formula>
    </cfRule>
    <cfRule type="cellIs" dxfId="374" priority="36" stopIfTrue="1" operator="lessThan">
      <formula>-0.03</formula>
    </cfRule>
  </conditionalFormatting>
  <conditionalFormatting sqref="Q97:T100">
    <cfRule type="cellIs" dxfId="373" priority="33" operator="greaterThan">
      <formula>0.03</formula>
    </cfRule>
    <cfRule type="cellIs" dxfId="372" priority="34" stopIfTrue="1" operator="lessThan">
      <formula>-0.03</formula>
    </cfRule>
  </conditionalFormatting>
  <conditionalFormatting sqref="Q110:T112 Q122:T124">
    <cfRule type="cellIs" dxfId="371" priority="31" operator="greaterThan">
      <formula>0.03</formula>
    </cfRule>
    <cfRule type="cellIs" dxfId="370" priority="32" stopIfTrue="1" operator="lessThan">
      <formula>-0.03</formula>
    </cfRule>
  </conditionalFormatting>
  <conditionalFormatting sqref="Q114:T116 Q118:T120">
    <cfRule type="cellIs" dxfId="369" priority="29" operator="greaterThan">
      <formula>0.03</formula>
    </cfRule>
    <cfRule type="cellIs" dxfId="368" priority="30" stopIfTrue="1" operator="lessThan">
      <formula>-0.03</formula>
    </cfRule>
  </conditionalFormatting>
  <conditionalFormatting sqref="Q85:T92">
    <cfRule type="cellIs" dxfId="367" priority="27" operator="greaterThan">
      <formula>0.03</formula>
    </cfRule>
    <cfRule type="cellIs" dxfId="366" priority="28" stopIfTrue="1" operator="lessThan">
      <formula>-0.03</formula>
    </cfRule>
  </conditionalFormatting>
  <conditionalFormatting sqref="Q109:T109">
    <cfRule type="cellIs" dxfId="365" priority="25" operator="greaterThan">
      <formula>0.03</formula>
    </cfRule>
    <cfRule type="cellIs" dxfId="364" priority="26" stopIfTrue="1" operator="lessThan">
      <formula>-0.03</formula>
    </cfRule>
  </conditionalFormatting>
  <conditionalFormatting sqref="Q113:T113">
    <cfRule type="cellIs" dxfId="363" priority="23" operator="greaterThan">
      <formula>0.03</formula>
    </cfRule>
    <cfRule type="cellIs" dxfId="362" priority="24" stopIfTrue="1" operator="lessThan">
      <formula>-0.03</formula>
    </cfRule>
  </conditionalFormatting>
  <conditionalFormatting sqref="Q121:T121">
    <cfRule type="cellIs" dxfId="361" priority="19" operator="greaterThan">
      <formula>0.03</formula>
    </cfRule>
    <cfRule type="cellIs" dxfId="360" priority="20" stopIfTrue="1" operator="lessThan">
      <formula>-0.03</formula>
    </cfRule>
  </conditionalFormatting>
  <conditionalFormatting sqref="Q239:T239">
    <cfRule type="cellIs" dxfId="359" priority="3" operator="greaterThan">
      <formula>0.03</formula>
    </cfRule>
    <cfRule type="cellIs" dxfId="358" priority="4" stopIfTrue="1" operator="lessThan">
      <formula>-0.03</formula>
    </cfRule>
  </conditionalFormatting>
  <conditionalFormatting sqref="Q215:T218 Q223:T230 Q203:T206">
    <cfRule type="cellIs" dxfId="357" priority="17" operator="greaterThan">
      <formula>0.03</formula>
    </cfRule>
    <cfRule type="cellIs" dxfId="356" priority="18" stopIfTrue="1" operator="lessThan">
      <formula>-0.03</formula>
    </cfRule>
  </conditionalFormatting>
  <conditionalFormatting sqref="Q219:T222">
    <cfRule type="cellIs" dxfId="355" priority="15" operator="greaterThan">
      <formula>0.03</formula>
    </cfRule>
    <cfRule type="cellIs" dxfId="354" priority="16" stopIfTrue="1" operator="lessThan">
      <formula>-0.03</formula>
    </cfRule>
  </conditionalFormatting>
  <conditionalFormatting sqref="Q232:T234 Q244:T246">
    <cfRule type="cellIs" dxfId="353" priority="13" operator="greaterThan">
      <formula>0.03</formula>
    </cfRule>
    <cfRule type="cellIs" dxfId="352" priority="14" stopIfTrue="1" operator="lessThan">
      <formula>-0.03</formula>
    </cfRule>
  </conditionalFormatting>
  <conditionalFormatting sqref="Q236:T238 Q240:T242">
    <cfRule type="cellIs" dxfId="351" priority="11" operator="greaterThan">
      <formula>0.03</formula>
    </cfRule>
    <cfRule type="cellIs" dxfId="350" priority="12" stopIfTrue="1" operator="lessThan">
      <formula>-0.03</formula>
    </cfRule>
  </conditionalFormatting>
  <conditionalFormatting sqref="Q207:T214">
    <cfRule type="cellIs" dxfId="349" priority="9" operator="greaterThan">
      <formula>0.03</formula>
    </cfRule>
    <cfRule type="cellIs" dxfId="348" priority="10" stopIfTrue="1" operator="lessThan">
      <formula>-0.03</formula>
    </cfRule>
  </conditionalFormatting>
  <conditionalFormatting sqref="Q231:T231">
    <cfRule type="cellIs" dxfId="347" priority="7" operator="greaterThan">
      <formula>0.03</formula>
    </cfRule>
    <cfRule type="cellIs" dxfId="346" priority="8" stopIfTrue="1" operator="lessThan">
      <formula>-0.03</formula>
    </cfRule>
  </conditionalFormatting>
  <conditionalFormatting sqref="Q235:T235">
    <cfRule type="cellIs" dxfId="345" priority="5" operator="greaterThan">
      <formula>0.03</formula>
    </cfRule>
    <cfRule type="cellIs" dxfId="344" priority="6" stopIfTrue="1" operator="lessThan">
      <formula>-0.03</formula>
    </cfRule>
  </conditionalFormatting>
  <conditionalFormatting sqref="Q243:T243">
    <cfRule type="cellIs" dxfId="343" priority="1" operator="greaterThan">
      <formula>0.03</formula>
    </cfRule>
    <cfRule type="cellIs" dxfId="342" priority="2" stopIfTrue="1" operator="lessThan">
      <formula>-0.03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125</v>
      </c>
    </row>
    <row r="2" spans="1:21" x14ac:dyDescent="0.25">
      <c r="A2" t="s">
        <v>123</v>
      </c>
    </row>
    <row r="3" spans="1:21" x14ac:dyDescent="0.25">
      <c r="A3" t="s">
        <v>87</v>
      </c>
    </row>
    <row r="4" spans="1:21" x14ac:dyDescent="0.25">
      <c r="A4" t="s">
        <v>83</v>
      </c>
    </row>
    <row r="5" spans="1:21" s="35" customFormat="1" ht="15.75" customHeight="1" x14ac:dyDescent="0.25">
      <c r="B5" s="61" t="s">
        <v>29</v>
      </c>
      <c r="C5" s="63" t="s">
        <v>197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121</v>
      </c>
      <c r="D7" s="70"/>
      <c r="E7" s="70"/>
      <c r="F7" s="70"/>
      <c r="G7" s="70"/>
      <c r="H7" s="70"/>
      <c r="I7" s="5"/>
      <c r="J7" s="69" t="s">
        <v>180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4240.2294921875</v>
      </c>
      <c r="D9" s="16">
        <v>36.122</v>
      </c>
      <c r="E9" s="16">
        <v>38.588000000000001</v>
      </c>
      <c r="F9" s="16">
        <v>40.881</v>
      </c>
      <c r="G9" s="16">
        <v>14.23</v>
      </c>
      <c r="H9" s="16">
        <f t="shared" ref="H9:H80" si="0">(6*D9+E9+F9)/8</f>
        <v>37.025125000000003</v>
      </c>
      <c r="I9" s="5"/>
      <c r="J9" s="15">
        <v>3996.5727999999999</v>
      </c>
      <c r="K9" s="16">
        <v>37.901400000000002</v>
      </c>
      <c r="L9" s="16">
        <v>39.451599999999999</v>
      </c>
      <c r="M9" s="16">
        <v>41.927100000000003</v>
      </c>
      <c r="N9" s="16">
        <v>14.2019</v>
      </c>
      <c r="O9" s="16">
        <f t="shared" ref="O9:O80" si="1">(6*K9+L9+M9)/8</f>
        <v>38.598387500000001</v>
      </c>
      <c r="P9" s="7"/>
      <c r="Q9" s="8">
        <f>bdrate(C9:C12,D9:D12,J9:J12,K9:K12)</f>
        <v>-0.39904101507061973</v>
      </c>
      <c r="R9" s="8">
        <f>bdrate(C9:C12,E9:E12,J9:J12,L9:L12)</f>
        <v>-0.45954819884553655</v>
      </c>
      <c r="S9" s="8">
        <f>bdrate(C9:C12,F9:F12,J9:J12,M9:M12)</f>
        <v>-0.47739510010473551</v>
      </c>
      <c r="T9" s="25">
        <f>bdrate(C9:C12,H9:H12,J9:J12,O9:O12)</f>
        <v>-0.41137894936317088</v>
      </c>
      <c r="U9" s="28">
        <f t="shared" ref="U9:U72" si="2">(N9-G9)/G9</f>
        <v>-1.9747013352073252E-3</v>
      </c>
    </row>
    <row r="10" spans="1:21" x14ac:dyDescent="0.25">
      <c r="A10" s="9" t="s">
        <v>36</v>
      </c>
      <c r="B10" s="9"/>
      <c r="C10" s="17">
        <v>3170.7421875</v>
      </c>
      <c r="D10" s="18">
        <v>35.216000000000001</v>
      </c>
      <c r="E10" s="18">
        <v>38.058</v>
      </c>
      <c r="F10" s="18">
        <v>40.283999999999999</v>
      </c>
      <c r="G10" s="18">
        <v>14.68</v>
      </c>
      <c r="H10" s="18">
        <f t="shared" si="0"/>
        <v>36.204749999999997</v>
      </c>
      <c r="I10" s="5"/>
      <c r="J10" s="17">
        <v>2901.0864000000001</v>
      </c>
      <c r="K10" s="18">
        <v>36.9054</v>
      </c>
      <c r="L10" s="18">
        <v>38.872300000000003</v>
      </c>
      <c r="M10" s="18">
        <v>41.210500000000003</v>
      </c>
      <c r="N10" s="18">
        <v>18.7453</v>
      </c>
      <c r="O10" s="18">
        <f t="shared" si="1"/>
        <v>37.689400000000006</v>
      </c>
      <c r="P10" s="7"/>
      <c r="Q10" s="10"/>
      <c r="R10" s="11"/>
      <c r="S10" s="11"/>
      <c r="T10" s="26"/>
      <c r="U10" s="28">
        <f t="shared" si="2"/>
        <v>0.27692779291553138</v>
      </c>
    </row>
    <row r="11" spans="1:21" x14ac:dyDescent="0.25">
      <c r="B11" s="9"/>
      <c r="C11" s="17">
        <v>2137.521484375</v>
      </c>
      <c r="D11" s="18">
        <v>33.895000000000003</v>
      </c>
      <c r="E11" s="18">
        <v>37.265999999999998</v>
      </c>
      <c r="F11" s="18">
        <v>39.402999999999999</v>
      </c>
      <c r="G11" s="18">
        <v>15.59</v>
      </c>
      <c r="H11" s="18">
        <f t="shared" si="0"/>
        <v>35.004874999999998</v>
      </c>
      <c r="I11" s="5"/>
      <c r="J11" s="17">
        <v>1939.912</v>
      </c>
      <c r="K11" s="18">
        <v>35.383899999999997</v>
      </c>
      <c r="L11" s="18">
        <v>38.226199999999999</v>
      </c>
      <c r="M11" s="18">
        <v>40.5227</v>
      </c>
      <c r="N11" s="18">
        <v>21.901</v>
      </c>
      <c r="O11" s="18">
        <f t="shared" si="1"/>
        <v>36.3815375</v>
      </c>
      <c r="P11" s="7"/>
      <c r="Q11" s="10"/>
      <c r="R11" s="11"/>
      <c r="S11" s="11"/>
      <c r="T11" s="26"/>
      <c r="U11" s="28">
        <f t="shared" si="2"/>
        <v>0.40481077613855038</v>
      </c>
    </row>
    <row r="12" spans="1:21" ht="16.5" thickBot="1" x14ac:dyDescent="0.3">
      <c r="B12" s="12"/>
      <c r="C12" s="19">
        <v>1096.005859375</v>
      </c>
      <c r="D12" s="20">
        <v>31.102</v>
      </c>
      <c r="E12" s="20">
        <v>35.744999999999997</v>
      </c>
      <c r="F12" s="20">
        <v>37.673999999999999</v>
      </c>
      <c r="G12" s="20">
        <v>18.36</v>
      </c>
      <c r="H12" s="20">
        <f t="shared" si="0"/>
        <v>32.503875000000001</v>
      </c>
      <c r="I12" s="5"/>
      <c r="J12" s="19">
        <v>923.71199999999999</v>
      </c>
      <c r="K12" s="20">
        <v>32.498100000000001</v>
      </c>
      <c r="L12" s="20">
        <v>36.923999999999999</v>
      </c>
      <c r="M12" s="20">
        <v>39.136800000000001</v>
      </c>
      <c r="N12" s="20">
        <v>28.785299999999999</v>
      </c>
      <c r="O12" s="20">
        <f t="shared" si="1"/>
        <v>33.881175000000006</v>
      </c>
      <c r="P12" s="7"/>
      <c r="Q12" s="13"/>
      <c r="R12" s="14"/>
      <c r="S12" s="14"/>
      <c r="T12" s="27"/>
      <c r="U12" s="28">
        <f t="shared" si="2"/>
        <v>0.56782679738562092</v>
      </c>
    </row>
    <row r="13" spans="1:21" x14ac:dyDescent="0.25">
      <c r="B13" s="6" t="s">
        <v>47</v>
      </c>
      <c r="C13" s="15">
        <v>4762.2294921875</v>
      </c>
      <c r="D13" s="16">
        <v>28.03</v>
      </c>
      <c r="E13" s="16">
        <v>38.781999999999996</v>
      </c>
      <c r="F13" s="16">
        <v>39.816000000000003</v>
      </c>
      <c r="G13" s="16">
        <v>12.3</v>
      </c>
      <c r="H13" s="16">
        <f t="shared" si="0"/>
        <v>30.847249999999999</v>
      </c>
      <c r="I13" s="5"/>
      <c r="J13" s="15">
        <v>4038.4863999999998</v>
      </c>
      <c r="K13" s="16">
        <v>29.4847</v>
      </c>
      <c r="L13" s="16">
        <v>39.3401</v>
      </c>
      <c r="M13" s="16">
        <v>40.259700000000002</v>
      </c>
      <c r="N13" s="16">
        <v>12.0038</v>
      </c>
      <c r="O13" s="16">
        <f t="shared" si="1"/>
        <v>32.063499999999998</v>
      </c>
      <c r="P13" s="7"/>
      <c r="Q13" s="8">
        <f>bdrate(C13:C16,D13:D16,J13:J16,K13:K16)</f>
        <v>-0.30321687805785058</v>
      </c>
      <c r="R13" s="8">
        <f>bdrate(C13:C16,E13:E16,J13:J16,L13:L16)</f>
        <v>-0.53420544976112916</v>
      </c>
      <c r="S13" s="8">
        <f>bdrate(C13:C16,F13:F16,J13:J16,M13:M16)</f>
        <v>-0.55348407616633721</v>
      </c>
      <c r="T13" s="25">
        <f>bdrate(C13:C16,H13:H16,J13:J16,O13:O16)</f>
        <v>-0.34619830503337423</v>
      </c>
      <c r="U13" s="28">
        <f t="shared" si="2"/>
        <v>-2.4081300813008185E-2</v>
      </c>
    </row>
    <row r="14" spans="1:21" x14ac:dyDescent="0.25">
      <c r="B14" s="9"/>
      <c r="C14" s="17">
        <v>4095.2666015625</v>
      </c>
      <c r="D14" s="18">
        <v>27.666</v>
      </c>
      <c r="E14" s="18">
        <v>38.234000000000002</v>
      </c>
      <c r="F14" s="18">
        <v>39.261000000000003</v>
      </c>
      <c r="G14" s="18">
        <v>12.62</v>
      </c>
      <c r="H14" s="18">
        <f t="shared" si="0"/>
        <v>30.436375000000002</v>
      </c>
      <c r="I14" s="5"/>
      <c r="J14" s="17">
        <v>3049.6</v>
      </c>
      <c r="K14" s="18">
        <v>28.211600000000001</v>
      </c>
      <c r="L14" s="18">
        <v>38.883499999999998</v>
      </c>
      <c r="M14" s="18">
        <v>39.850499999999997</v>
      </c>
      <c r="N14" s="18">
        <v>13.9353</v>
      </c>
      <c r="O14" s="18">
        <f t="shared" si="1"/>
        <v>31.000450000000001</v>
      </c>
      <c r="P14" s="7"/>
      <c r="Q14" s="10"/>
      <c r="R14" s="11"/>
      <c r="S14" s="11"/>
      <c r="T14" s="26"/>
      <c r="U14" s="28">
        <f t="shared" si="2"/>
        <v>0.10422345483359752</v>
      </c>
    </row>
    <row r="15" spans="1:21" x14ac:dyDescent="0.25">
      <c r="B15" s="9"/>
      <c r="C15" s="17">
        <v>3409.58203125</v>
      </c>
      <c r="D15" s="18">
        <v>27.236000000000001</v>
      </c>
      <c r="E15" s="18">
        <v>37.610999999999997</v>
      </c>
      <c r="F15" s="18">
        <v>38.527999999999999</v>
      </c>
      <c r="G15" s="18">
        <v>12.29</v>
      </c>
      <c r="H15" s="18">
        <f t="shared" si="0"/>
        <v>29.944374999999997</v>
      </c>
      <c r="I15" s="5"/>
      <c r="J15" s="17">
        <v>2019.6464000000001</v>
      </c>
      <c r="K15" s="18">
        <v>26.395399999999999</v>
      </c>
      <c r="L15" s="18">
        <v>38.172899999999998</v>
      </c>
      <c r="M15" s="18">
        <v>39.279299999999999</v>
      </c>
      <c r="N15" s="18">
        <v>17.5459</v>
      </c>
      <c r="O15" s="18">
        <f t="shared" si="1"/>
        <v>29.478075</v>
      </c>
      <c r="P15" s="7"/>
      <c r="Q15" s="10"/>
      <c r="R15" s="11"/>
      <c r="S15" s="11"/>
      <c r="T15" s="26"/>
      <c r="U15" s="28">
        <f t="shared" si="2"/>
        <v>0.42765663140764854</v>
      </c>
    </row>
    <row r="16" spans="1:21" ht="16.5" thickBot="1" x14ac:dyDescent="0.3">
      <c r="B16" s="12"/>
      <c r="C16" s="19">
        <v>2870.1015625</v>
      </c>
      <c r="D16" s="20">
        <v>26.567</v>
      </c>
      <c r="E16" s="20">
        <v>36.459000000000003</v>
      </c>
      <c r="F16" s="20">
        <v>37.225999999999999</v>
      </c>
      <c r="G16" s="20">
        <v>12.65</v>
      </c>
      <c r="H16" s="20">
        <f t="shared" si="0"/>
        <v>29.135874999999999</v>
      </c>
      <c r="I16" s="5"/>
      <c r="J16" s="19">
        <v>1103.0527999999999</v>
      </c>
      <c r="K16" s="20">
        <v>24.1691</v>
      </c>
      <c r="L16" s="20">
        <v>36.587000000000003</v>
      </c>
      <c r="M16" s="20">
        <v>37.904800000000002</v>
      </c>
      <c r="N16" s="20">
        <v>22.893799999999999</v>
      </c>
      <c r="O16" s="20">
        <f t="shared" si="1"/>
        <v>27.438300000000002</v>
      </c>
      <c r="P16" s="7"/>
      <c r="Q16" s="13"/>
      <c r="R16" s="14"/>
      <c r="S16" s="14"/>
      <c r="T16" s="27"/>
      <c r="U16" s="28">
        <f t="shared" si="2"/>
        <v>0.80978656126482196</v>
      </c>
    </row>
    <row r="17" spans="1:21" x14ac:dyDescent="0.25">
      <c r="A17" s="6" t="s">
        <v>37</v>
      </c>
      <c r="B17" s="6" t="s">
        <v>48</v>
      </c>
      <c r="C17" s="15">
        <v>2016.111328125</v>
      </c>
      <c r="D17" s="16">
        <v>36.972999999999999</v>
      </c>
      <c r="E17" s="16">
        <v>40.981999999999999</v>
      </c>
      <c r="F17" s="16">
        <v>42.165999999999997</v>
      </c>
      <c r="G17" s="16">
        <v>24.02</v>
      </c>
      <c r="H17" s="16">
        <f t="shared" si="0"/>
        <v>38.123249999999999</v>
      </c>
      <c r="I17" s="5"/>
      <c r="J17" s="15">
        <v>2398.7352000000001</v>
      </c>
      <c r="K17" s="16">
        <v>39.0854</v>
      </c>
      <c r="L17" s="16">
        <v>41.890799999999999</v>
      </c>
      <c r="M17" s="16">
        <v>43.240099999999998</v>
      </c>
      <c r="N17" s="16">
        <v>31.6539</v>
      </c>
      <c r="O17" s="16">
        <f t="shared" si="1"/>
        <v>39.955412500000001</v>
      </c>
      <c r="P17" s="7"/>
      <c r="Q17" s="8">
        <f>bdrate(C17:C20,D17:D20,J17:J20,K17:K20)</f>
        <v>-0.44562368401989449</v>
      </c>
      <c r="R17" s="8">
        <f>bdrate(C17:C20,E17:E20,J17:J20,L17:L20)</f>
        <v>-0.37182110389582279</v>
      </c>
      <c r="S17" s="8">
        <f>bdrate(C17:C20,F17:F20,J17:J20,M17:M20)</f>
        <v>-0.38077682093985155</v>
      </c>
      <c r="T17" s="25">
        <f>bdrate(C17:C20,H17:H20,J17:J20,O17:O20)</f>
        <v>-0.43664320870289186</v>
      </c>
      <c r="U17" s="28">
        <f t="shared" si="2"/>
        <v>0.31781432139883431</v>
      </c>
    </row>
    <row r="18" spans="1:21" x14ac:dyDescent="0.25">
      <c r="A18" s="9" t="s">
        <v>38</v>
      </c>
      <c r="B18" s="9"/>
      <c r="C18" s="17">
        <v>1416.314453125</v>
      </c>
      <c r="D18" s="18">
        <v>35.607999999999997</v>
      </c>
      <c r="E18" s="18">
        <v>40.335000000000001</v>
      </c>
      <c r="F18" s="18">
        <v>41.488</v>
      </c>
      <c r="G18" s="18">
        <v>26.23</v>
      </c>
      <c r="H18" s="18">
        <f t="shared" si="0"/>
        <v>36.933875</v>
      </c>
      <c r="I18" s="5"/>
      <c r="J18" s="17">
        <v>1570.4015999999999</v>
      </c>
      <c r="K18" s="18">
        <v>37.851999999999997</v>
      </c>
      <c r="L18" s="18">
        <v>41.205300000000001</v>
      </c>
      <c r="M18" s="18">
        <v>42.441699999999997</v>
      </c>
      <c r="N18" s="18">
        <v>35.529200000000003</v>
      </c>
      <c r="O18" s="18">
        <f t="shared" si="1"/>
        <v>38.844875000000002</v>
      </c>
      <c r="P18" s="7"/>
      <c r="Q18" s="10"/>
      <c r="R18" s="11"/>
      <c r="S18" s="11"/>
      <c r="T18" s="26"/>
      <c r="U18" s="28">
        <f t="shared" si="2"/>
        <v>0.35452535264963791</v>
      </c>
    </row>
    <row r="19" spans="1:21" x14ac:dyDescent="0.25">
      <c r="B19" s="9"/>
      <c r="C19" s="17">
        <v>958.91015625</v>
      </c>
      <c r="D19" s="18">
        <v>33.926000000000002</v>
      </c>
      <c r="E19" s="18">
        <v>39.448999999999998</v>
      </c>
      <c r="F19" s="18">
        <v>40.609000000000002</v>
      </c>
      <c r="G19" s="18">
        <v>28.5</v>
      </c>
      <c r="H19" s="18">
        <f t="shared" si="0"/>
        <v>35.451749999999997</v>
      </c>
      <c r="I19" s="5"/>
      <c r="J19" s="17">
        <v>962.68719999999996</v>
      </c>
      <c r="K19" s="18">
        <v>36.287700000000001</v>
      </c>
      <c r="L19" s="18">
        <v>40.410200000000003</v>
      </c>
      <c r="M19" s="18">
        <v>41.594700000000003</v>
      </c>
      <c r="N19" s="18">
        <v>41.695599999999999</v>
      </c>
      <c r="O19" s="18">
        <f t="shared" si="1"/>
        <v>37.466387499999996</v>
      </c>
      <c r="P19" s="7"/>
      <c r="Q19" s="10"/>
      <c r="R19" s="11"/>
      <c r="S19" s="11"/>
      <c r="T19" s="26"/>
      <c r="U19" s="28">
        <f t="shared" si="2"/>
        <v>0.46300350877192981</v>
      </c>
    </row>
    <row r="20" spans="1:21" ht="16.5" thickBot="1" x14ac:dyDescent="0.3">
      <c r="B20" s="12"/>
      <c r="C20" s="19">
        <v>591.73046875</v>
      </c>
      <c r="D20" s="20">
        <v>31.788</v>
      </c>
      <c r="E20" s="20">
        <v>38.286000000000001</v>
      </c>
      <c r="F20" s="20">
        <v>39.418999999999997</v>
      </c>
      <c r="G20" s="20">
        <v>31.68</v>
      </c>
      <c r="H20" s="20">
        <f t="shared" si="0"/>
        <v>33.554124999999999</v>
      </c>
      <c r="I20" s="5"/>
      <c r="J20" s="19">
        <v>554.31679999999994</v>
      </c>
      <c r="K20" s="20">
        <v>34.429200000000002</v>
      </c>
      <c r="L20" s="20">
        <v>39.6511</v>
      </c>
      <c r="M20" s="20">
        <v>40.857799999999997</v>
      </c>
      <c r="N20" s="20">
        <v>50.772199999999998</v>
      </c>
      <c r="O20" s="20">
        <f t="shared" si="1"/>
        <v>35.885512499999997</v>
      </c>
      <c r="P20" s="7"/>
      <c r="Q20" s="13"/>
      <c r="R20" s="14"/>
      <c r="S20" s="14"/>
      <c r="T20" s="27"/>
      <c r="U20" s="28">
        <f t="shared" si="2"/>
        <v>0.60265782828282821</v>
      </c>
    </row>
    <row r="21" spans="1:21" x14ac:dyDescent="0.25">
      <c r="B21" s="6" t="s">
        <v>49</v>
      </c>
      <c r="C21" s="15">
        <v>2483.6513671875</v>
      </c>
      <c r="D21" s="16">
        <v>34.587000000000003</v>
      </c>
      <c r="E21" s="16">
        <v>38.743000000000002</v>
      </c>
      <c r="F21" s="16">
        <v>39.991</v>
      </c>
      <c r="G21" s="16">
        <v>24.2</v>
      </c>
      <c r="H21" s="16">
        <f t="shared" si="0"/>
        <v>35.782000000000004</v>
      </c>
      <c r="I21" s="5"/>
      <c r="J21" s="15">
        <v>2445.0632000000001</v>
      </c>
      <c r="K21" s="16">
        <v>36.016599999999997</v>
      </c>
      <c r="L21" s="16">
        <v>39.927999999999997</v>
      </c>
      <c r="M21" s="16">
        <v>41.136699999999998</v>
      </c>
      <c r="N21" s="16">
        <v>28.439399999999999</v>
      </c>
      <c r="O21" s="16">
        <f t="shared" si="1"/>
        <v>37.145537500000003</v>
      </c>
      <c r="P21" s="7"/>
      <c r="Q21" s="8">
        <f>bdrate(C21:C24,D21:D24,J21:J24,K21:K24)</f>
        <v>-0.34440187318034521</v>
      </c>
      <c r="R21" s="8">
        <f>bdrate(C21:C24,E21:E24,J21:J24,L21:L24)</f>
        <v>-0.47095113217570439</v>
      </c>
      <c r="S21" s="8">
        <f>bdrate(C21:C24,F21:F24,J21:J24,M21:M24)</f>
        <v>-0.46527490165117047</v>
      </c>
      <c r="T21" s="25">
        <f>bdrate(C21:C24,H21:H24,J21:J24,O21:O24)</f>
        <v>-0.36660889876432212</v>
      </c>
      <c r="U21" s="28">
        <f t="shared" si="2"/>
        <v>0.17518181818181819</v>
      </c>
    </row>
    <row r="22" spans="1:21" x14ac:dyDescent="0.25">
      <c r="B22" s="9"/>
      <c r="C22" s="17">
        <v>1678.5498046875</v>
      </c>
      <c r="D22" s="18">
        <v>33.509</v>
      </c>
      <c r="E22" s="18">
        <v>38.015999999999998</v>
      </c>
      <c r="F22" s="18">
        <v>39.377000000000002</v>
      </c>
      <c r="G22" s="18">
        <v>25.38</v>
      </c>
      <c r="H22" s="18">
        <f t="shared" si="0"/>
        <v>34.805875</v>
      </c>
      <c r="I22" s="5"/>
      <c r="J22" s="17">
        <v>1633.9007999999999</v>
      </c>
      <c r="K22" s="18">
        <v>34.7547</v>
      </c>
      <c r="L22" s="18">
        <v>39.174199999999999</v>
      </c>
      <c r="M22" s="18">
        <v>40.3752</v>
      </c>
      <c r="N22" s="18">
        <v>34.339700000000001</v>
      </c>
      <c r="O22" s="18">
        <f t="shared" si="1"/>
        <v>36.009700000000002</v>
      </c>
      <c r="P22" s="7"/>
      <c r="Q22" s="10"/>
      <c r="R22" s="11"/>
      <c r="S22" s="11"/>
      <c r="T22" s="26"/>
      <c r="U22" s="28">
        <f t="shared" si="2"/>
        <v>0.35302206461780938</v>
      </c>
    </row>
    <row r="23" spans="1:21" x14ac:dyDescent="0.25">
      <c r="B23" s="9"/>
      <c r="C23" s="17">
        <v>1042.265625</v>
      </c>
      <c r="D23" s="18">
        <v>32.146000000000001</v>
      </c>
      <c r="E23" s="18">
        <v>37.091000000000001</v>
      </c>
      <c r="F23" s="18">
        <v>38.646000000000001</v>
      </c>
      <c r="G23" s="18">
        <v>27.19</v>
      </c>
      <c r="H23" s="18">
        <f t="shared" si="0"/>
        <v>33.576625</v>
      </c>
      <c r="I23" s="5"/>
      <c r="J23" s="17">
        <v>1002.3504</v>
      </c>
      <c r="K23" s="18">
        <v>33.235900000000001</v>
      </c>
      <c r="L23" s="18">
        <v>38.2121</v>
      </c>
      <c r="M23" s="18">
        <v>39.522199999999998</v>
      </c>
      <c r="N23" s="18">
        <v>41.357900000000001</v>
      </c>
      <c r="O23" s="18">
        <f t="shared" si="1"/>
        <v>34.643712499999999</v>
      </c>
      <c r="P23" s="7"/>
      <c r="Q23" s="10"/>
      <c r="R23" s="11"/>
      <c r="S23" s="11"/>
      <c r="T23" s="26"/>
      <c r="U23" s="28">
        <f t="shared" si="2"/>
        <v>0.52107024641412281</v>
      </c>
    </row>
    <row r="24" spans="1:21" ht="16.5" thickBot="1" x14ac:dyDescent="0.3">
      <c r="B24" s="12"/>
      <c r="C24" s="19">
        <v>625.6708984375</v>
      </c>
      <c r="D24" s="20">
        <v>30.579000000000001</v>
      </c>
      <c r="E24" s="20">
        <v>36.159999999999997</v>
      </c>
      <c r="F24" s="20">
        <v>37.936</v>
      </c>
      <c r="G24" s="20">
        <v>29.75</v>
      </c>
      <c r="H24" s="20">
        <f t="shared" si="0"/>
        <v>32.196249999999999</v>
      </c>
      <c r="I24" s="5"/>
      <c r="J24" s="19">
        <v>588.62480000000005</v>
      </c>
      <c r="K24" s="20">
        <v>31.6374</v>
      </c>
      <c r="L24" s="20">
        <v>37.3065</v>
      </c>
      <c r="M24" s="20">
        <v>38.7986</v>
      </c>
      <c r="N24" s="20">
        <v>49.792499999999997</v>
      </c>
      <c r="O24" s="20">
        <f t="shared" si="1"/>
        <v>33.241187500000002</v>
      </c>
      <c r="P24" s="7"/>
      <c r="Q24" s="13"/>
      <c r="R24" s="14"/>
      <c r="S24" s="14"/>
      <c r="T24" s="27"/>
      <c r="U24" s="28">
        <f t="shared" si="2"/>
        <v>0.67369747899159649</v>
      </c>
    </row>
    <row r="25" spans="1:21" x14ac:dyDescent="0.25">
      <c r="B25" s="6" t="s">
        <v>50</v>
      </c>
      <c r="C25" s="15">
        <v>2443.83203125</v>
      </c>
      <c r="D25" s="16">
        <v>32.697000000000003</v>
      </c>
      <c r="E25" s="16">
        <v>37.456000000000003</v>
      </c>
      <c r="F25" s="16">
        <v>38.76</v>
      </c>
      <c r="G25" s="16">
        <v>30.99</v>
      </c>
      <c r="H25" s="16">
        <f t="shared" si="0"/>
        <v>34.049750000000003</v>
      </c>
      <c r="I25" s="5"/>
      <c r="J25" s="15">
        <v>2409.2815999999998</v>
      </c>
      <c r="K25" s="16">
        <v>34.112499999999997</v>
      </c>
      <c r="L25" s="16">
        <v>38.1098</v>
      </c>
      <c r="M25" s="16">
        <v>40.109099999999998</v>
      </c>
      <c r="N25" s="16">
        <v>39.866100000000003</v>
      </c>
      <c r="O25" s="16">
        <f t="shared" si="1"/>
        <v>35.361737499999997</v>
      </c>
      <c r="P25" s="7"/>
      <c r="Q25" s="8">
        <f>bdrate(C25:C28,D25:D28,J25:J28,K25:K28)</f>
        <v>-0.4036664597300974</v>
      </c>
      <c r="R25" s="8">
        <f>bdrate(C25:C28,E25:E28,J25:J28,L25:L28)</f>
        <v>-0.52394790498639021</v>
      </c>
      <c r="S25" s="8">
        <f>bdrate(C25:C28,F25:F28,J25:J28,M25:M28)</f>
        <v>-0.54652221996549299</v>
      </c>
      <c r="T25" s="25">
        <f>bdrate(C25:C28,H25:H28,J25:J28,O25:O28)</f>
        <v>-0.42934597228806171</v>
      </c>
      <c r="U25" s="28">
        <f t="shared" si="2"/>
        <v>0.28641819941916763</v>
      </c>
    </row>
    <row r="26" spans="1:21" x14ac:dyDescent="0.25">
      <c r="B26" s="9"/>
      <c r="C26" s="17">
        <v>1638.05859375</v>
      </c>
      <c r="D26" s="18">
        <v>31.349</v>
      </c>
      <c r="E26" s="18">
        <v>36.707000000000001</v>
      </c>
      <c r="F26" s="18">
        <v>37.566000000000003</v>
      </c>
      <c r="G26" s="18">
        <v>33.14</v>
      </c>
      <c r="H26" s="18">
        <f t="shared" si="0"/>
        <v>32.795874999999995</v>
      </c>
      <c r="I26" s="5"/>
      <c r="J26" s="17">
        <v>1604.2439999999999</v>
      </c>
      <c r="K26" s="18">
        <v>32.917400000000001</v>
      </c>
      <c r="L26" s="18">
        <v>37.667900000000003</v>
      </c>
      <c r="M26" s="18">
        <v>39.304099999999998</v>
      </c>
      <c r="N26" s="18">
        <v>46.926299999999998</v>
      </c>
      <c r="O26" s="18">
        <f t="shared" si="1"/>
        <v>34.309550000000002</v>
      </c>
      <c r="P26" s="7"/>
      <c r="Q26" s="10"/>
      <c r="R26" s="11"/>
      <c r="S26" s="11"/>
      <c r="T26" s="26"/>
      <c r="U26" s="28">
        <f t="shared" si="2"/>
        <v>0.41600181050090518</v>
      </c>
    </row>
    <row r="27" spans="1:21" x14ac:dyDescent="0.25">
      <c r="B27" s="9"/>
      <c r="C27" s="17">
        <v>1050.5712890625</v>
      </c>
      <c r="D27" s="18">
        <v>29.584</v>
      </c>
      <c r="E27" s="18">
        <v>35.676000000000002</v>
      </c>
      <c r="F27" s="18">
        <v>36.015000000000001</v>
      </c>
      <c r="G27" s="18">
        <v>37.450000000000003</v>
      </c>
      <c r="H27" s="18">
        <f t="shared" si="0"/>
        <v>31.149374999999999</v>
      </c>
      <c r="I27" s="5"/>
      <c r="J27" s="17">
        <v>998.58320000000003</v>
      </c>
      <c r="K27" s="18">
        <v>31.3521</v>
      </c>
      <c r="L27" s="18">
        <v>37.094000000000001</v>
      </c>
      <c r="M27" s="18">
        <v>38.303899999999999</v>
      </c>
      <c r="N27" s="18">
        <v>55.934699999999999</v>
      </c>
      <c r="O27" s="18">
        <f t="shared" si="1"/>
        <v>32.938812499999997</v>
      </c>
      <c r="P27" s="7"/>
      <c r="Q27" s="10"/>
      <c r="R27" s="11"/>
      <c r="S27" s="11"/>
      <c r="T27" s="26"/>
      <c r="U27" s="28">
        <f t="shared" si="2"/>
        <v>0.49358344459279024</v>
      </c>
    </row>
    <row r="28" spans="1:21" ht="16.5" thickBot="1" x14ac:dyDescent="0.3">
      <c r="B28" s="12"/>
      <c r="C28" s="19">
        <v>822.51171875</v>
      </c>
      <c r="D28" s="20">
        <v>28.585999999999999</v>
      </c>
      <c r="E28" s="20">
        <v>34.831000000000003</v>
      </c>
      <c r="F28" s="20">
        <v>34.781999999999996</v>
      </c>
      <c r="G28" s="20">
        <v>36.380000000000003</v>
      </c>
      <c r="H28" s="20">
        <f t="shared" si="0"/>
        <v>30.141124999999995</v>
      </c>
      <c r="I28" s="5"/>
      <c r="J28" s="19">
        <v>583.20000000000005</v>
      </c>
      <c r="K28" s="20">
        <v>29.580400000000001</v>
      </c>
      <c r="L28" s="20">
        <v>36.449599999999997</v>
      </c>
      <c r="M28" s="20">
        <v>37.235300000000002</v>
      </c>
      <c r="N28" s="20">
        <v>67.476399999999998</v>
      </c>
      <c r="O28" s="20">
        <f t="shared" si="1"/>
        <v>31.395912500000001</v>
      </c>
      <c r="P28" s="7"/>
      <c r="Q28" s="13"/>
      <c r="R28" s="14"/>
      <c r="S28" s="14"/>
      <c r="T28" s="27"/>
      <c r="U28" s="28">
        <f t="shared" si="2"/>
        <v>0.85476635514018673</v>
      </c>
    </row>
    <row r="29" spans="1:21" x14ac:dyDescent="0.25">
      <c r="B29" s="6" t="s">
        <v>51</v>
      </c>
      <c r="C29" s="29">
        <v>2254.8193359375</v>
      </c>
      <c r="D29" s="30">
        <v>31.608000000000001</v>
      </c>
      <c r="E29" s="30">
        <v>38.442</v>
      </c>
      <c r="F29" s="30">
        <v>37.198999999999998</v>
      </c>
      <c r="G29" s="16">
        <v>29.63</v>
      </c>
      <c r="H29" s="16">
        <f t="shared" si="0"/>
        <v>33.161124999999998</v>
      </c>
      <c r="I29" s="5"/>
      <c r="J29" s="29">
        <v>2415.4128000000001</v>
      </c>
      <c r="K29" s="30">
        <v>34.057600000000001</v>
      </c>
      <c r="L29" s="30">
        <v>40.283999999999999</v>
      </c>
      <c r="M29" s="30">
        <v>39.888100000000001</v>
      </c>
      <c r="N29" s="16">
        <v>35.3782</v>
      </c>
      <c r="O29" s="16">
        <f t="shared" si="1"/>
        <v>35.564712499999999</v>
      </c>
      <c r="P29" s="7"/>
      <c r="Q29" s="8">
        <f>bdrate(C29:C32,D29:D32,J29:J32,K29:K32)</f>
        <v>-0.49868586013550664</v>
      </c>
      <c r="R29" s="8">
        <f>bdrate(C29:C32,E29:E32,J29:J32,L29:L32)</f>
        <v>-0.58786873287633545</v>
      </c>
      <c r="S29" s="8">
        <f>bdrate(C29:C32,F29:F32,J29:J32,M29:M32)</f>
        <v>-0.64458598508642595</v>
      </c>
      <c r="T29" s="25">
        <f>bdrate(C29:C32,H29:H32,J29:J32,O29:O32)</f>
        <v>-0.52811361801823653</v>
      </c>
      <c r="U29" s="28">
        <f t="shared" si="2"/>
        <v>0.19399932500843742</v>
      </c>
    </row>
    <row r="30" spans="1:21" x14ac:dyDescent="0.25">
      <c r="B30" s="9"/>
      <c r="C30" s="31">
        <v>1648.83984375</v>
      </c>
      <c r="D30" s="32">
        <v>30.27</v>
      </c>
      <c r="E30" s="32">
        <v>37.439</v>
      </c>
      <c r="F30" s="32">
        <v>35.948999999999998</v>
      </c>
      <c r="G30" s="18">
        <v>32.119999999999997</v>
      </c>
      <c r="H30" s="18">
        <f t="shared" si="0"/>
        <v>31.875999999999998</v>
      </c>
      <c r="I30" s="5"/>
      <c r="J30" s="31">
        <v>1606.9232</v>
      </c>
      <c r="K30" s="32">
        <v>32.689599999999999</v>
      </c>
      <c r="L30" s="32">
        <v>39.553199999999997</v>
      </c>
      <c r="M30" s="32">
        <v>38.9621</v>
      </c>
      <c r="N30" s="18">
        <v>41.788499999999999</v>
      </c>
      <c r="O30" s="18">
        <f t="shared" si="1"/>
        <v>34.331612499999999</v>
      </c>
      <c r="P30" s="7"/>
      <c r="Q30" s="10"/>
      <c r="R30" s="11"/>
      <c r="S30" s="11"/>
      <c r="T30" s="26"/>
      <c r="U30" s="28">
        <f t="shared" si="2"/>
        <v>0.30101183063511838</v>
      </c>
    </row>
    <row r="31" spans="1:21" x14ac:dyDescent="0.25">
      <c r="B31" s="9"/>
      <c r="C31" s="31">
        <v>1261.32421875</v>
      </c>
      <c r="D31" s="32">
        <v>29.193000000000001</v>
      </c>
      <c r="E31" s="32">
        <v>36.334000000000003</v>
      </c>
      <c r="F31" s="32">
        <v>34.857999999999997</v>
      </c>
      <c r="G31" s="18">
        <v>33.4</v>
      </c>
      <c r="H31" s="18">
        <f t="shared" si="0"/>
        <v>30.793750000000003</v>
      </c>
      <c r="I31" s="5"/>
      <c r="J31" s="31">
        <v>1001.5096</v>
      </c>
      <c r="K31" s="32">
        <v>30.976299999999998</v>
      </c>
      <c r="L31" s="32">
        <v>38.557899999999997</v>
      </c>
      <c r="M31" s="32">
        <v>37.757399999999997</v>
      </c>
      <c r="N31" s="18">
        <v>49.845500000000001</v>
      </c>
      <c r="O31" s="18">
        <f t="shared" si="1"/>
        <v>32.771637499999997</v>
      </c>
      <c r="P31" s="7"/>
      <c r="Q31" s="10"/>
      <c r="R31" s="11"/>
      <c r="S31" s="11"/>
      <c r="T31" s="26"/>
      <c r="U31" s="28">
        <f t="shared" si="2"/>
        <v>0.49238023952095816</v>
      </c>
    </row>
    <row r="32" spans="1:21" ht="16.5" thickBot="1" x14ac:dyDescent="0.3">
      <c r="B32" s="12"/>
      <c r="C32" s="33">
        <v>1137.3134765625</v>
      </c>
      <c r="D32" s="34">
        <v>28.753</v>
      </c>
      <c r="E32" s="34">
        <v>35.685000000000002</v>
      </c>
      <c r="F32" s="34">
        <v>34.293999999999997</v>
      </c>
      <c r="G32" s="20">
        <v>32.520000000000003</v>
      </c>
      <c r="H32" s="20">
        <f t="shared" si="0"/>
        <v>30.312125000000002</v>
      </c>
      <c r="I32" s="5"/>
      <c r="J32" s="33">
        <v>589.35040000000004</v>
      </c>
      <c r="K32" s="34">
        <v>29.0975</v>
      </c>
      <c r="L32" s="34">
        <v>36.967700000000001</v>
      </c>
      <c r="M32" s="34">
        <v>36.061100000000003</v>
      </c>
      <c r="N32" s="20">
        <v>60.819899999999997</v>
      </c>
      <c r="O32" s="20">
        <f t="shared" si="1"/>
        <v>30.951725000000003</v>
      </c>
      <c r="P32" s="7"/>
      <c r="Q32" s="13"/>
      <c r="R32" s="14"/>
      <c r="S32" s="14"/>
      <c r="T32" s="27"/>
      <c r="U32" s="28">
        <f t="shared" si="2"/>
        <v>0.87023062730627276</v>
      </c>
    </row>
    <row r="33" spans="1:21" x14ac:dyDescent="0.25">
      <c r="B33" s="6" t="s">
        <v>52</v>
      </c>
      <c r="C33" s="15">
        <v>2493.087890625</v>
      </c>
      <c r="D33" s="16">
        <v>31.408999999999999</v>
      </c>
      <c r="E33" s="16">
        <v>38.481000000000002</v>
      </c>
      <c r="F33" s="16">
        <v>41.033000000000001</v>
      </c>
      <c r="G33" s="16">
        <v>29.02</v>
      </c>
      <c r="H33" s="16">
        <f t="shared" si="0"/>
        <v>33.496000000000002</v>
      </c>
      <c r="I33" s="5"/>
      <c r="J33" s="15">
        <v>2429.7280000000001</v>
      </c>
      <c r="K33" s="16">
        <v>33.611699999999999</v>
      </c>
      <c r="L33" s="16">
        <v>39.757100000000001</v>
      </c>
      <c r="M33" s="16">
        <v>42.173099999999998</v>
      </c>
      <c r="N33" s="16">
        <v>43.956000000000003</v>
      </c>
      <c r="O33" s="16">
        <f t="shared" si="1"/>
        <v>35.450049999999997</v>
      </c>
      <c r="P33" s="7"/>
      <c r="Q33" s="8">
        <f>bdrate(C33:C36,D33:D36,J33:J36,K33:K36)</f>
        <v>-0.64917377258135844</v>
      </c>
      <c r="R33" s="8">
        <f>bdrate(C33:C36,E33:E36,J33:J36,L33:L36)</f>
        <v>-0.65843819867099906</v>
      </c>
      <c r="S33" s="8">
        <f>bdrate(C33:C36,F33:F36,J33:J36,M33:M36)</f>
        <v>-0.64749774331409971</v>
      </c>
      <c r="T33" s="25">
        <f>bdrate(C33:C36,H33:H36,J33:J36,O33:O36)</f>
        <v>-0.65048052083519803</v>
      </c>
      <c r="U33" s="28">
        <f t="shared" si="2"/>
        <v>0.51467953135768452</v>
      </c>
    </row>
    <row r="34" spans="1:21" x14ac:dyDescent="0.25">
      <c r="B34" s="9"/>
      <c r="C34" s="17">
        <v>1664.498046875</v>
      </c>
      <c r="D34" s="18">
        <v>30.427</v>
      </c>
      <c r="E34" s="18">
        <v>37.857999999999997</v>
      </c>
      <c r="F34" s="18">
        <v>40.374000000000002</v>
      </c>
      <c r="G34" s="18">
        <v>31.1</v>
      </c>
      <c r="H34" s="18">
        <f t="shared" si="0"/>
        <v>32.599250000000005</v>
      </c>
      <c r="I34" s="5"/>
      <c r="J34" s="17">
        <v>1595.5047999999999</v>
      </c>
      <c r="K34" s="18">
        <v>32.892299999999999</v>
      </c>
      <c r="L34" s="18">
        <v>39.291800000000002</v>
      </c>
      <c r="M34" s="18">
        <v>41.758000000000003</v>
      </c>
      <c r="N34" s="18">
        <v>50.8733</v>
      </c>
      <c r="O34" s="18">
        <f t="shared" si="1"/>
        <v>34.800449999999998</v>
      </c>
      <c r="P34" s="7"/>
      <c r="Q34" s="10"/>
      <c r="R34" s="11"/>
      <c r="S34" s="11"/>
      <c r="T34" s="26"/>
      <c r="U34" s="28">
        <f t="shared" si="2"/>
        <v>0.63579742765273306</v>
      </c>
    </row>
    <row r="35" spans="1:21" x14ac:dyDescent="0.25">
      <c r="B35" s="9"/>
      <c r="C35" s="17">
        <v>1050.4501953125</v>
      </c>
      <c r="D35" s="18">
        <v>28.981999999999999</v>
      </c>
      <c r="E35" s="18">
        <v>37.04</v>
      </c>
      <c r="F35" s="18">
        <v>39.33</v>
      </c>
      <c r="G35" s="18">
        <v>34.03</v>
      </c>
      <c r="H35" s="18">
        <f t="shared" si="0"/>
        <v>31.28275</v>
      </c>
      <c r="I35" s="5"/>
      <c r="J35" s="17">
        <v>1021.936</v>
      </c>
      <c r="K35" s="18">
        <v>31.87</v>
      </c>
      <c r="L35" s="18">
        <v>38.626899999999999</v>
      </c>
      <c r="M35" s="18">
        <v>41.106499999999997</v>
      </c>
      <c r="N35" s="18">
        <v>57.926200000000001</v>
      </c>
      <c r="O35" s="18">
        <f t="shared" si="1"/>
        <v>33.869174999999998</v>
      </c>
      <c r="P35" s="7"/>
      <c r="Q35" s="10"/>
      <c r="R35" s="11"/>
      <c r="S35" s="11"/>
      <c r="T35" s="26"/>
      <c r="U35" s="28">
        <f t="shared" si="2"/>
        <v>0.70220981486923306</v>
      </c>
    </row>
    <row r="36" spans="1:21" ht="16.5" thickBot="1" x14ac:dyDescent="0.3">
      <c r="B36" s="12"/>
      <c r="C36" s="19">
        <v>749.2080078125</v>
      </c>
      <c r="D36" s="20">
        <v>27.54</v>
      </c>
      <c r="E36" s="20">
        <v>36.212000000000003</v>
      </c>
      <c r="F36" s="20">
        <v>38.137999999999998</v>
      </c>
      <c r="G36" s="20">
        <v>35.729999999999997</v>
      </c>
      <c r="H36" s="20">
        <f t="shared" si="0"/>
        <v>29.94875</v>
      </c>
      <c r="I36" s="5"/>
      <c r="J36" s="19">
        <v>599.37840000000006</v>
      </c>
      <c r="K36" s="20">
        <v>30.441500000000001</v>
      </c>
      <c r="L36" s="20">
        <v>38.067</v>
      </c>
      <c r="M36" s="20">
        <v>40.615099999999998</v>
      </c>
      <c r="N36" s="20">
        <v>66.540999999999997</v>
      </c>
      <c r="O36" s="20">
        <f t="shared" si="1"/>
        <v>32.666387499999999</v>
      </c>
      <c r="P36" s="7"/>
      <c r="Q36" s="13"/>
      <c r="R36" s="14"/>
      <c r="S36" s="14"/>
      <c r="T36" s="27"/>
      <c r="U36" s="28">
        <f t="shared" si="2"/>
        <v>0.86232857542681229</v>
      </c>
    </row>
    <row r="37" spans="1:21" x14ac:dyDescent="0.25">
      <c r="A37" s="6" t="s">
        <v>39</v>
      </c>
      <c r="B37" s="6" t="s">
        <v>53</v>
      </c>
      <c r="C37" s="15">
        <v>1241.1337890625</v>
      </c>
      <c r="D37" s="16">
        <v>33.451000000000001</v>
      </c>
      <c r="E37" s="16">
        <v>37.723999999999997</v>
      </c>
      <c r="F37" s="16">
        <v>37.186</v>
      </c>
      <c r="G37" s="16">
        <v>136.47999999999999</v>
      </c>
      <c r="H37" s="16">
        <f t="shared" si="0"/>
        <v>34.451999999999998</v>
      </c>
      <c r="I37" s="5"/>
      <c r="J37" s="15">
        <v>1214.752</v>
      </c>
      <c r="K37" s="16">
        <v>35.065100000000001</v>
      </c>
      <c r="L37" s="16">
        <v>39.060200000000002</v>
      </c>
      <c r="M37" s="16">
        <v>38.918500000000002</v>
      </c>
      <c r="N37" s="16">
        <v>128.20509999999999</v>
      </c>
      <c r="O37" s="16">
        <f t="shared" si="1"/>
        <v>36.046162500000001</v>
      </c>
      <c r="P37" s="7"/>
      <c r="Q37" s="8">
        <f>bdrate(C37:C40,D37:D40,J37:J40,K37:K40)</f>
        <v>-0.3367108610279127</v>
      </c>
      <c r="R37" s="8">
        <f>bdrate(C37:C40,E37:E40,J37:J40,L37:L40)</f>
        <v>-0.41938307167102673</v>
      </c>
      <c r="S37" s="8">
        <f>bdrate(C37:C40,F37:F40,J37:J40,M37:M40)</f>
        <v>-0.45630317386546504</v>
      </c>
      <c r="T37" s="25">
        <f>bdrate(C37:C40,H37:H40,J37:J40,O37:O40)</f>
        <v>-0.36104410630198314</v>
      </c>
      <c r="U37" s="28">
        <f t="shared" si="2"/>
        <v>-6.06308616647128E-2</v>
      </c>
    </row>
    <row r="38" spans="1:21" x14ac:dyDescent="0.25">
      <c r="A38" s="9" t="s">
        <v>40</v>
      </c>
      <c r="B38" s="9"/>
      <c r="C38" s="17">
        <v>835.7138671875</v>
      </c>
      <c r="D38" s="18">
        <v>32.061</v>
      </c>
      <c r="E38" s="18">
        <v>36.558</v>
      </c>
      <c r="F38" s="18">
        <v>35.883000000000003</v>
      </c>
      <c r="G38" s="18">
        <v>149.47</v>
      </c>
      <c r="H38" s="18">
        <f t="shared" si="0"/>
        <v>33.100874999999995</v>
      </c>
      <c r="I38" s="5"/>
      <c r="J38" s="17">
        <v>810.93359999999996</v>
      </c>
      <c r="K38" s="18">
        <v>33.5246</v>
      </c>
      <c r="L38" s="18">
        <v>37.897100000000002</v>
      </c>
      <c r="M38" s="18">
        <v>37.570799999999998</v>
      </c>
      <c r="N38" s="18">
        <v>153.3742</v>
      </c>
      <c r="O38" s="18">
        <f t="shared" si="1"/>
        <v>34.5769375</v>
      </c>
      <c r="P38" s="7"/>
      <c r="Q38" s="10"/>
      <c r="R38" s="11"/>
      <c r="S38" s="11"/>
      <c r="T38" s="26"/>
      <c r="U38" s="28">
        <f t="shared" si="2"/>
        <v>2.6120291697330589E-2</v>
      </c>
    </row>
    <row r="39" spans="1:21" x14ac:dyDescent="0.25">
      <c r="B39" s="9"/>
      <c r="C39" s="17">
        <v>522.380859375</v>
      </c>
      <c r="D39" s="18">
        <v>30.417999999999999</v>
      </c>
      <c r="E39" s="18">
        <v>35.171999999999997</v>
      </c>
      <c r="F39" s="18">
        <v>34.308999999999997</v>
      </c>
      <c r="G39" s="18">
        <v>167.66</v>
      </c>
      <c r="H39" s="18">
        <f t="shared" si="0"/>
        <v>31.498624999999997</v>
      </c>
      <c r="I39" s="5"/>
      <c r="J39" s="17">
        <v>506.56799999999998</v>
      </c>
      <c r="K39" s="18">
        <v>31.761399999999998</v>
      </c>
      <c r="L39" s="18">
        <v>36.667499999999997</v>
      </c>
      <c r="M39" s="18">
        <v>36.194800000000001</v>
      </c>
      <c r="N39" s="18">
        <v>189.68129999999999</v>
      </c>
      <c r="O39" s="18">
        <f t="shared" si="1"/>
        <v>32.9288375</v>
      </c>
      <c r="P39" s="7"/>
      <c r="Q39" s="10"/>
      <c r="R39" s="11"/>
      <c r="S39" s="11"/>
      <c r="T39" s="26"/>
      <c r="U39" s="28">
        <f t="shared" si="2"/>
        <v>0.13134498389597993</v>
      </c>
    </row>
    <row r="40" spans="1:21" ht="16.5" thickBot="1" x14ac:dyDescent="0.3">
      <c r="B40" s="12"/>
      <c r="C40" s="19">
        <v>323.890625</v>
      </c>
      <c r="D40" s="20">
        <v>28.629000000000001</v>
      </c>
      <c r="E40" s="20">
        <v>33.552999999999997</v>
      </c>
      <c r="F40" s="20">
        <v>32.539000000000001</v>
      </c>
      <c r="G40" s="20">
        <v>191.46</v>
      </c>
      <c r="H40" s="20">
        <f t="shared" si="0"/>
        <v>29.733249999999998</v>
      </c>
      <c r="I40" s="5"/>
      <c r="J40" s="19">
        <v>303.5496</v>
      </c>
      <c r="K40" s="20">
        <v>29.815100000000001</v>
      </c>
      <c r="L40" s="20">
        <v>35.364100000000001</v>
      </c>
      <c r="M40" s="20">
        <v>34.793100000000003</v>
      </c>
      <c r="N40" s="20">
        <v>240.9639</v>
      </c>
      <c r="O40" s="20">
        <f t="shared" si="1"/>
        <v>31.130975000000003</v>
      </c>
      <c r="P40" s="7"/>
      <c r="Q40" s="13"/>
      <c r="R40" s="14"/>
      <c r="S40" s="14"/>
      <c r="T40" s="27"/>
      <c r="U40" s="28">
        <f t="shared" si="2"/>
        <v>0.25856001253525535</v>
      </c>
    </row>
    <row r="41" spans="1:21" x14ac:dyDescent="0.25">
      <c r="B41" s="6" t="s">
        <v>54</v>
      </c>
      <c r="C41" s="15">
        <v>1229.83984375</v>
      </c>
      <c r="D41" s="16">
        <v>32.732999999999997</v>
      </c>
      <c r="E41" s="16">
        <v>38.936</v>
      </c>
      <c r="F41" s="16">
        <v>39.54</v>
      </c>
      <c r="G41" s="16">
        <v>138.4</v>
      </c>
      <c r="H41" s="16">
        <f t="shared" si="0"/>
        <v>34.359249999999996</v>
      </c>
      <c r="I41" s="5"/>
      <c r="J41" s="15">
        <v>1244.8664000000001</v>
      </c>
      <c r="K41" s="16">
        <v>35.249000000000002</v>
      </c>
      <c r="L41" s="16">
        <v>40.472799999999999</v>
      </c>
      <c r="M41" s="16">
        <v>41.294400000000003</v>
      </c>
      <c r="N41" s="16">
        <v>135.90029999999999</v>
      </c>
      <c r="O41" s="16">
        <f t="shared" si="1"/>
        <v>36.657650000000004</v>
      </c>
      <c r="P41" s="7"/>
      <c r="Q41" s="8">
        <f>bdrate(C41:C44,D41:D44,J41:J44,K41:K44)</f>
        <v>-0.44866384488824773</v>
      </c>
      <c r="R41" s="8">
        <f>bdrate(C41:C44,E41:E44,J41:J44,L41:L44)</f>
        <v>-0.51132408354339587</v>
      </c>
      <c r="S41" s="8">
        <f>bdrate(C41:C44,F41:F44,J41:J44,M41:M44)</f>
        <v>-0.51751504435920059</v>
      </c>
      <c r="T41" s="25">
        <f>bdrate(C41:C44,H41:H44,J41:J44,O41:O44)</f>
        <v>-0.46259736975540577</v>
      </c>
      <c r="U41" s="28">
        <f t="shared" si="2"/>
        <v>-1.806141618497123E-2</v>
      </c>
    </row>
    <row r="42" spans="1:21" x14ac:dyDescent="0.25">
      <c r="B42" s="9"/>
      <c r="C42" s="17">
        <v>821.720703125</v>
      </c>
      <c r="D42" s="18">
        <v>31.314</v>
      </c>
      <c r="E42" s="18">
        <v>37.890999999999998</v>
      </c>
      <c r="F42" s="18">
        <v>38.375</v>
      </c>
      <c r="G42" s="18">
        <v>149.72999999999999</v>
      </c>
      <c r="H42" s="18">
        <f t="shared" si="0"/>
        <v>33.018749999999997</v>
      </c>
      <c r="I42" s="5"/>
      <c r="J42" s="17">
        <v>829.85839999999996</v>
      </c>
      <c r="K42" s="18">
        <v>33.7042</v>
      </c>
      <c r="L42" s="18">
        <v>39.476900000000001</v>
      </c>
      <c r="M42" s="18">
        <v>40.228099999999998</v>
      </c>
      <c r="N42" s="18">
        <v>159.5745</v>
      </c>
      <c r="O42" s="18">
        <f t="shared" si="1"/>
        <v>35.241275000000002</v>
      </c>
      <c r="P42" s="7"/>
      <c r="Q42" s="10"/>
      <c r="R42" s="11"/>
      <c r="S42" s="11"/>
      <c r="T42" s="26"/>
      <c r="U42" s="28">
        <f t="shared" si="2"/>
        <v>6.5748347024644438E-2</v>
      </c>
    </row>
    <row r="43" spans="1:21" x14ac:dyDescent="0.25">
      <c r="B43" s="9"/>
      <c r="C43" s="17">
        <v>524.2470703125</v>
      </c>
      <c r="D43" s="18">
        <v>29.611000000000001</v>
      </c>
      <c r="E43" s="18">
        <v>36.686</v>
      </c>
      <c r="F43" s="18">
        <v>36.997999999999998</v>
      </c>
      <c r="G43" s="18">
        <v>163.81</v>
      </c>
      <c r="H43" s="18">
        <f t="shared" si="0"/>
        <v>31.418749999999999</v>
      </c>
      <c r="I43" s="5"/>
      <c r="J43" s="17">
        <v>518.3184</v>
      </c>
      <c r="K43" s="18">
        <v>31.849399999999999</v>
      </c>
      <c r="L43" s="18">
        <v>38.478700000000003</v>
      </c>
      <c r="M43" s="18">
        <v>39.0657</v>
      </c>
      <c r="N43" s="18">
        <v>195.24889999999999</v>
      </c>
      <c r="O43" s="18">
        <f t="shared" si="1"/>
        <v>33.580100000000002</v>
      </c>
      <c r="P43" s="7"/>
      <c r="Q43" s="10"/>
      <c r="R43" s="11"/>
      <c r="S43" s="11"/>
      <c r="T43" s="26"/>
      <c r="U43" s="28">
        <f t="shared" si="2"/>
        <v>0.19192295952628038</v>
      </c>
    </row>
    <row r="44" spans="1:21" ht="16.5" thickBot="1" x14ac:dyDescent="0.3">
      <c r="B44" s="12"/>
      <c r="C44" s="19">
        <v>357.025390625</v>
      </c>
      <c r="D44" s="20">
        <v>28.006</v>
      </c>
      <c r="E44" s="20">
        <v>35.609000000000002</v>
      </c>
      <c r="F44" s="20">
        <v>35.787999999999997</v>
      </c>
      <c r="G44" s="20">
        <v>172.44</v>
      </c>
      <c r="H44" s="20">
        <f t="shared" si="0"/>
        <v>29.929124999999999</v>
      </c>
      <c r="I44" s="5"/>
      <c r="J44" s="19">
        <v>310.64960000000002</v>
      </c>
      <c r="K44" s="20">
        <v>29.7653</v>
      </c>
      <c r="L44" s="20">
        <v>37.418599999999998</v>
      </c>
      <c r="M44" s="20">
        <v>37.874099999999999</v>
      </c>
      <c r="N44" s="20">
        <v>243.40770000000001</v>
      </c>
      <c r="O44" s="20">
        <f t="shared" si="1"/>
        <v>31.7355625</v>
      </c>
      <c r="P44" s="7"/>
      <c r="Q44" s="13"/>
      <c r="R44" s="14"/>
      <c r="S44" s="14"/>
      <c r="T44" s="27"/>
      <c r="U44" s="28">
        <f t="shared" si="2"/>
        <v>0.41155010438413364</v>
      </c>
    </row>
    <row r="45" spans="1:21" x14ac:dyDescent="0.25">
      <c r="B45" s="6" t="s">
        <v>55</v>
      </c>
      <c r="C45" s="15">
        <v>1326.212890625</v>
      </c>
      <c r="D45" s="16">
        <v>28.44</v>
      </c>
      <c r="E45" s="16">
        <v>35.277000000000001</v>
      </c>
      <c r="F45" s="16">
        <v>36.091999999999999</v>
      </c>
      <c r="G45" s="16">
        <v>110.82</v>
      </c>
      <c r="H45" s="16">
        <f t="shared" si="0"/>
        <v>30.251125000000002</v>
      </c>
      <c r="I45" s="5"/>
      <c r="J45" s="15">
        <v>1227.3535999999999</v>
      </c>
      <c r="K45" s="16">
        <v>30.374300000000002</v>
      </c>
      <c r="L45" s="16">
        <v>36.723100000000002</v>
      </c>
      <c r="M45" s="16">
        <v>37.487400000000001</v>
      </c>
      <c r="N45" s="16">
        <v>119.1611</v>
      </c>
      <c r="O45" s="16">
        <f t="shared" si="1"/>
        <v>32.0570375</v>
      </c>
      <c r="P45" s="7"/>
      <c r="Q45" s="8">
        <f>bdrate(C45:C48,D45:D48,J45:J48,K45:K48)</f>
        <v>-0.45585867787790335</v>
      </c>
      <c r="R45" s="8">
        <f>bdrate(C45:C48,E45:E48,J45:J48,L45:L48)</f>
        <v>-0.58429795146260355</v>
      </c>
      <c r="S45" s="8">
        <f>bdrate(C45:C48,F45:F48,J45:J48,M45:M48)</f>
        <v>-0.55584548326079108</v>
      </c>
      <c r="T45" s="25">
        <f>bdrate(C45:C48,H45:H48,J45:J48,O45:O48)</f>
        <v>-0.47926526217077015</v>
      </c>
      <c r="U45" s="28">
        <f t="shared" si="2"/>
        <v>7.5267099801479984E-2</v>
      </c>
    </row>
    <row r="46" spans="1:21" x14ac:dyDescent="0.25">
      <c r="B46" s="9"/>
      <c r="C46" s="17">
        <v>905.3251953125</v>
      </c>
      <c r="D46" s="18">
        <v>27.382999999999999</v>
      </c>
      <c r="E46" s="18">
        <v>34.518999999999998</v>
      </c>
      <c r="F46" s="18">
        <v>35.341000000000001</v>
      </c>
      <c r="G46" s="18">
        <v>117.63</v>
      </c>
      <c r="H46" s="18">
        <f t="shared" si="0"/>
        <v>29.269750000000002</v>
      </c>
      <c r="I46" s="5"/>
      <c r="J46" s="17">
        <v>814.67520000000002</v>
      </c>
      <c r="K46" s="18">
        <v>29.026800000000001</v>
      </c>
      <c r="L46" s="18">
        <v>35.895899999999997</v>
      </c>
      <c r="M46" s="18">
        <v>36.6404</v>
      </c>
      <c r="N46" s="18">
        <v>141.84399999999999</v>
      </c>
      <c r="O46" s="18">
        <f t="shared" si="1"/>
        <v>30.837137499999997</v>
      </c>
      <c r="P46" s="7"/>
      <c r="Q46" s="10"/>
      <c r="R46" s="11"/>
      <c r="S46" s="11"/>
      <c r="T46" s="26"/>
      <c r="U46" s="28">
        <f t="shared" si="2"/>
        <v>0.20584884808297202</v>
      </c>
    </row>
    <row r="47" spans="1:21" x14ac:dyDescent="0.25">
      <c r="B47" s="9"/>
      <c r="C47" s="17">
        <v>568.490234375</v>
      </c>
      <c r="D47" s="18">
        <v>26.164999999999999</v>
      </c>
      <c r="E47" s="18">
        <v>33.625</v>
      </c>
      <c r="F47" s="18">
        <v>34.369999999999997</v>
      </c>
      <c r="G47" s="18">
        <v>126.65</v>
      </c>
      <c r="H47" s="18">
        <f t="shared" si="0"/>
        <v>28.123125000000002</v>
      </c>
      <c r="I47" s="5"/>
      <c r="J47" s="17">
        <v>513.85760000000005</v>
      </c>
      <c r="K47" s="18">
        <v>27.546399999999998</v>
      </c>
      <c r="L47" s="18">
        <v>35.089199999999998</v>
      </c>
      <c r="M47" s="18">
        <v>35.792999999999999</v>
      </c>
      <c r="N47" s="18">
        <v>181.09379999999999</v>
      </c>
      <c r="O47" s="18">
        <f t="shared" si="1"/>
        <v>29.520074999999999</v>
      </c>
      <c r="P47" s="7"/>
      <c r="Q47" s="10"/>
      <c r="R47" s="11"/>
      <c r="S47" s="11"/>
      <c r="T47" s="26"/>
      <c r="U47" s="28">
        <f t="shared" si="2"/>
        <v>0.42987603632056831</v>
      </c>
    </row>
    <row r="48" spans="1:21" ht="16.5" thickBot="1" x14ac:dyDescent="0.3">
      <c r="B48" s="12"/>
      <c r="C48" s="19">
        <v>366.2333984375</v>
      </c>
      <c r="D48" s="20">
        <v>24.989000000000001</v>
      </c>
      <c r="E48" s="20">
        <v>32.651000000000003</v>
      </c>
      <c r="F48" s="20">
        <v>33.463000000000001</v>
      </c>
      <c r="G48" s="20">
        <v>134.76</v>
      </c>
      <c r="H48" s="20">
        <f t="shared" si="0"/>
        <v>27.006</v>
      </c>
      <c r="I48" s="5"/>
      <c r="J48" s="19">
        <v>308.86079999999998</v>
      </c>
      <c r="K48" s="20">
        <v>25.999199999999998</v>
      </c>
      <c r="L48" s="20">
        <v>34.202500000000001</v>
      </c>
      <c r="M48" s="20">
        <v>34.880499999999998</v>
      </c>
      <c r="N48" s="20">
        <v>227.27269999999999</v>
      </c>
      <c r="O48" s="20">
        <f t="shared" si="1"/>
        <v>28.134774999999998</v>
      </c>
      <c r="P48" s="7"/>
      <c r="Q48" s="13"/>
      <c r="R48" s="14"/>
      <c r="S48" s="14"/>
      <c r="T48" s="27"/>
      <c r="U48" s="28">
        <f t="shared" si="2"/>
        <v>0.68649970317601661</v>
      </c>
    </row>
    <row r="49" spans="1:21" x14ac:dyDescent="0.25">
      <c r="B49" s="6" t="s">
        <v>56</v>
      </c>
      <c r="C49" s="15">
        <v>1162.6240234375</v>
      </c>
      <c r="D49" s="16">
        <v>30.82</v>
      </c>
      <c r="E49" s="16">
        <v>35.447000000000003</v>
      </c>
      <c r="F49" s="16">
        <v>37.020000000000003</v>
      </c>
      <c r="G49" s="16">
        <v>105.33</v>
      </c>
      <c r="H49" s="16">
        <f t="shared" si="0"/>
        <v>32.173375</v>
      </c>
      <c r="I49" s="5"/>
      <c r="J49" s="15">
        <v>1208.9367999999999</v>
      </c>
      <c r="K49" s="16">
        <v>32.453699999999998</v>
      </c>
      <c r="L49" s="16">
        <v>36.885199999999998</v>
      </c>
      <c r="M49" s="16">
        <v>38.4634</v>
      </c>
      <c r="N49" s="16">
        <v>86.231700000000004</v>
      </c>
      <c r="O49" s="16">
        <f t="shared" si="1"/>
        <v>33.758849999999995</v>
      </c>
      <c r="P49" s="7"/>
      <c r="Q49" s="8">
        <f>bdrate(C49:C52,D49:D52,J49:J52,K49:K52)</f>
        <v>-0.32882102731027307</v>
      </c>
      <c r="R49" s="8">
        <f>bdrate(C49:C52,E49:E52,J49:J52,L49:L52)</f>
        <v>-0.53527250144130711</v>
      </c>
      <c r="S49" s="8">
        <f>bdrate(C49:C52,F49:F52,J49:J52,M49:M52)</f>
        <v>-0.52837859841088131</v>
      </c>
      <c r="T49" s="25">
        <f>bdrate(C49:C52,H49:H52,J49:J52,O49:O52)</f>
        <v>-0.37325901272200446</v>
      </c>
      <c r="U49" s="28">
        <f t="shared" si="2"/>
        <v>-0.18131871261748786</v>
      </c>
    </row>
    <row r="50" spans="1:21" x14ac:dyDescent="0.25">
      <c r="B50" s="9"/>
      <c r="C50" s="17">
        <v>835.6748046875</v>
      </c>
      <c r="D50" s="18">
        <v>29.667999999999999</v>
      </c>
      <c r="E50" s="18">
        <v>34.594000000000001</v>
      </c>
      <c r="F50" s="18">
        <v>36.136000000000003</v>
      </c>
      <c r="G50" s="18">
        <v>113.98</v>
      </c>
      <c r="H50" s="18">
        <f t="shared" si="0"/>
        <v>31.092249999999996</v>
      </c>
      <c r="I50" s="5"/>
      <c r="J50" s="17">
        <v>805.56320000000005</v>
      </c>
      <c r="K50" s="18">
        <v>30.9053</v>
      </c>
      <c r="L50" s="18">
        <v>35.977899999999998</v>
      </c>
      <c r="M50" s="18">
        <v>37.525399999999998</v>
      </c>
      <c r="N50" s="18">
        <v>104.4932</v>
      </c>
      <c r="O50" s="18">
        <f t="shared" si="1"/>
        <v>32.366887500000004</v>
      </c>
      <c r="P50" s="7"/>
      <c r="Q50" s="10"/>
      <c r="R50" s="11"/>
      <c r="S50" s="11"/>
      <c r="T50" s="26"/>
      <c r="U50" s="28">
        <f t="shared" si="2"/>
        <v>-8.323214599052467E-2</v>
      </c>
    </row>
    <row r="51" spans="1:21" x14ac:dyDescent="0.25">
      <c r="B51" s="9"/>
      <c r="C51" s="17">
        <v>558.33203125</v>
      </c>
      <c r="D51" s="18">
        <v>28.263999999999999</v>
      </c>
      <c r="E51" s="18">
        <v>33.500999999999998</v>
      </c>
      <c r="F51" s="18">
        <v>34.899000000000001</v>
      </c>
      <c r="G51" s="18">
        <v>125.24</v>
      </c>
      <c r="H51" s="18">
        <f t="shared" si="0"/>
        <v>29.748000000000001</v>
      </c>
      <c r="I51" s="5"/>
      <c r="J51" s="17">
        <v>503.96159999999998</v>
      </c>
      <c r="K51" s="18">
        <v>29.267299999999999</v>
      </c>
      <c r="L51" s="18">
        <v>35.134900000000002</v>
      </c>
      <c r="M51" s="18">
        <v>36.670200000000001</v>
      </c>
      <c r="N51" s="18">
        <v>130.833</v>
      </c>
      <c r="O51" s="18">
        <f t="shared" si="1"/>
        <v>30.926112499999999</v>
      </c>
      <c r="P51" s="7"/>
      <c r="Q51" s="10"/>
      <c r="R51" s="11"/>
      <c r="S51" s="11"/>
      <c r="T51" s="26"/>
      <c r="U51" s="28">
        <f t="shared" si="2"/>
        <v>4.4658256148195498E-2</v>
      </c>
    </row>
    <row r="52" spans="1:21" ht="16.5" thickBot="1" x14ac:dyDescent="0.3">
      <c r="B52" s="12"/>
      <c r="C52" s="19">
        <v>361.3974609375</v>
      </c>
      <c r="D52" s="20">
        <v>26.954999999999998</v>
      </c>
      <c r="E52" s="20">
        <v>32.399000000000001</v>
      </c>
      <c r="F52" s="20">
        <v>33.656999999999996</v>
      </c>
      <c r="G52" s="20">
        <v>135.41999999999999</v>
      </c>
      <c r="H52" s="20">
        <f t="shared" si="0"/>
        <v>28.47325</v>
      </c>
      <c r="I52" s="5"/>
      <c r="J52" s="19">
        <v>301.9624</v>
      </c>
      <c r="K52" s="20">
        <v>27.655999999999999</v>
      </c>
      <c r="L52" s="20">
        <v>34.215200000000003</v>
      </c>
      <c r="M52" s="20">
        <v>35.6678</v>
      </c>
      <c r="N52" s="20">
        <v>168.63409999999999</v>
      </c>
      <c r="O52" s="20">
        <f t="shared" si="1"/>
        <v>29.477374999999999</v>
      </c>
      <c r="P52" s="7"/>
      <c r="Q52" s="13"/>
      <c r="R52" s="14"/>
      <c r="S52" s="14"/>
      <c r="T52" s="27"/>
      <c r="U52" s="28">
        <f t="shared" si="2"/>
        <v>0.24526731649682473</v>
      </c>
    </row>
    <row r="53" spans="1:21" x14ac:dyDescent="0.25">
      <c r="A53" s="6" t="s">
        <v>41</v>
      </c>
      <c r="B53" s="6" t="s">
        <v>57</v>
      </c>
      <c r="C53" s="15">
        <v>580.1328125</v>
      </c>
      <c r="D53" s="16">
        <v>32.665999999999997</v>
      </c>
      <c r="E53" s="16">
        <v>38.325000000000003</v>
      </c>
      <c r="F53" s="16">
        <v>36.042999999999999</v>
      </c>
      <c r="G53" s="16">
        <v>436.2</v>
      </c>
      <c r="H53" s="16">
        <f t="shared" si="0"/>
        <v>33.795499999999997</v>
      </c>
      <c r="I53" s="5"/>
      <c r="J53" s="15">
        <v>604.78719999999998</v>
      </c>
      <c r="K53" s="16">
        <v>34.3994</v>
      </c>
      <c r="L53" s="16">
        <v>39.6569</v>
      </c>
      <c r="M53" s="16">
        <v>38.191299999999998</v>
      </c>
      <c r="N53" s="16">
        <v>340.83159999999998</v>
      </c>
      <c r="O53" s="16">
        <f t="shared" si="1"/>
        <v>35.530574999999999</v>
      </c>
      <c r="P53" s="7"/>
      <c r="Q53" s="8">
        <f>bdrate(C53:C56,D53:D56,J53:J56,K53:K56)</f>
        <v>-0.26287781316730108</v>
      </c>
      <c r="R53" s="8">
        <f>bdrate(C53:C56,E53:E56,J53:J56,L53:L56)</f>
        <v>-0.40504044004035078</v>
      </c>
      <c r="S53" s="8">
        <f>bdrate(C53:C56,F53:F56,J53:J56,M53:M56)</f>
        <v>-0.5340024537572996</v>
      </c>
      <c r="T53" s="25">
        <f>bdrate(C53:C56,H53:H56,J53:J56,O53:O56)</f>
        <v>-0.31136390894176103</v>
      </c>
      <c r="U53" s="28">
        <f t="shared" si="2"/>
        <v>-0.21863457129756994</v>
      </c>
    </row>
    <row r="54" spans="1:21" x14ac:dyDescent="0.25">
      <c r="A54" s="9" t="s">
        <v>42</v>
      </c>
      <c r="B54" s="9"/>
      <c r="C54" s="17">
        <v>403.4228515625</v>
      </c>
      <c r="D54" s="18">
        <v>31.222999999999999</v>
      </c>
      <c r="E54" s="18">
        <v>37.334000000000003</v>
      </c>
      <c r="F54" s="18">
        <v>34.86</v>
      </c>
      <c r="G54" s="18">
        <v>465.47</v>
      </c>
      <c r="H54" s="18">
        <f t="shared" si="0"/>
        <v>32.441499999999998</v>
      </c>
      <c r="I54" s="5"/>
      <c r="J54" s="17">
        <v>404.87119999999999</v>
      </c>
      <c r="K54" s="18">
        <v>32.598399999999998</v>
      </c>
      <c r="L54" s="18">
        <v>38.511699999999998</v>
      </c>
      <c r="M54" s="18">
        <v>36.869700000000002</v>
      </c>
      <c r="N54" s="18">
        <v>405.51499999999999</v>
      </c>
      <c r="O54" s="18">
        <f t="shared" si="1"/>
        <v>33.871474999999997</v>
      </c>
      <c r="P54" s="7"/>
      <c r="Q54" s="10"/>
      <c r="R54" s="11"/>
      <c r="S54" s="11"/>
      <c r="T54" s="26"/>
      <c r="U54" s="28">
        <f t="shared" si="2"/>
        <v>-0.12880529357423687</v>
      </c>
    </row>
    <row r="55" spans="1:21" x14ac:dyDescent="0.25">
      <c r="B55" s="9"/>
      <c r="C55" s="17">
        <v>258.79296875</v>
      </c>
      <c r="D55" s="18">
        <v>29.582999999999998</v>
      </c>
      <c r="E55" s="18">
        <v>36.131999999999998</v>
      </c>
      <c r="F55" s="18">
        <v>33.456000000000003</v>
      </c>
      <c r="G55" s="18">
        <v>511.97</v>
      </c>
      <c r="H55" s="18">
        <f t="shared" si="0"/>
        <v>30.885750000000002</v>
      </c>
      <c r="I55" s="5"/>
      <c r="J55" s="17">
        <v>254.61439999999999</v>
      </c>
      <c r="K55" s="18">
        <v>30.668399999999998</v>
      </c>
      <c r="L55" s="18">
        <v>37.404600000000002</v>
      </c>
      <c r="M55" s="18">
        <v>35.655999999999999</v>
      </c>
      <c r="N55" s="18">
        <v>493.09660000000002</v>
      </c>
      <c r="O55" s="18">
        <f t="shared" si="1"/>
        <v>32.133875000000003</v>
      </c>
      <c r="P55" s="7"/>
      <c r="Q55" s="10"/>
      <c r="R55" s="11"/>
      <c r="S55" s="11"/>
      <c r="T55" s="26"/>
      <c r="U55" s="28">
        <f t="shared" si="2"/>
        <v>-3.6864269390784625E-2</v>
      </c>
    </row>
    <row r="56" spans="1:21" ht="16.5" thickBot="1" x14ac:dyDescent="0.3">
      <c r="B56" s="12"/>
      <c r="C56" s="19">
        <v>139.201171875</v>
      </c>
      <c r="D56" s="20">
        <v>27.431999999999999</v>
      </c>
      <c r="E56" s="20">
        <v>34.439</v>
      </c>
      <c r="F56" s="20">
        <v>31.608000000000001</v>
      </c>
      <c r="G56" s="20">
        <v>571.04999999999995</v>
      </c>
      <c r="H56" s="20">
        <f t="shared" si="0"/>
        <v>28.829874999999998</v>
      </c>
      <c r="I56" s="5"/>
      <c r="J56" s="19">
        <v>122.9768</v>
      </c>
      <c r="K56" s="20">
        <v>27.895199999999999</v>
      </c>
      <c r="L56" s="20">
        <v>35.856000000000002</v>
      </c>
      <c r="M56" s="20">
        <v>33.788200000000003</v>
      </c>
      <c r="N56" s="20">
        <v>697.3501</v>
      </c>
      <c r="O56" s="20">
        <f t="shared" si="1"/>
        <v>29.626925</v>
      </c>
      <c r="P56" s="7"/>
      <c r="Q56" s="13"/>
      <c r="R56" s="14"/>
      <c r="S56" s="14"/>
      <c r="T56" s="27"/>
      <c r="U56" s="28">
        <f t="shared" si="2"/>
        <v>0.22117170125207961</v>
      </c>
    </row>
    <row r="57" spans="1:21" x14ac:dyDescent="0.25">
      <c r="B57" s="6" t="s">
        <v>58</v>
      </c>
      <c r="C57" s="15">
        <v>639.7802734375</v>
      </c>
      <c r="D57" s="16">
        <v>29.722999999999999</v>
      </c>
      <c r="E57" s="16">
        <v>39.828000000000003</v>
      </c>
      <c r="F57" s="16">
        <v>40.57</v>
      </c>
      <c r="G57" s="16">
        <v>399.05</v>
      </c>
      <c r="H57" s="16">
        <f t="shared" si="0"/>
        <v>32.341999999999999</v>
      </c>
      <c r="I57" s="5"/>
      <c r="J57" s="15">
        <v>604.35440000000006</v>
      </c>
      <c r="K57" s="16">
        <v>33.662700000000001</v>
      </c>
      <c r="L57" s="16">
        <v>41.256900000000002</v>
      </c>
      <c r="M57" s="16">
        <v>42.063400000000001</v>
      </c>
      <c r="N57" s="16">
        <v>404.85829999999999</v>
      </c>
      <c r="O57" s="16">
        <f t="shared" si="1"/>
        <v>35.662062500000005</v>
      </c>
      <c r="P57" s="7"/>
      <c r="Q57" s="8">
        <f>bdrate(C57:C60,D57:D60,J57:J60,K57:K60)</f>
        <v>-0.70817504654019858</v>
      </c>
      <c r="R57" s="8">
        <f>bdrate(C57:C60,E57:E60,J57:J60,L57:L60)</f>
        <v>-0.48961966345299412</v>
      </c>
      <c r="S57" s="8">
        <f>bdrate(C57:C60,F57:F60,J57:J60,M57:M60)</f>
        <v>-0.48477436368107807</v>
      </c>
      <c r="T57" s="25">
        <f>bdrate(C57:C60,H57:H60,J57:J60,O57:O60)</f>
        <v>-0.67958380003885654</v>
      </c>
      <c r="U57" s="28">
        <f t="shared" si="2"/>
        <v>1.4555318882345505E-2</v>
      </c>
    </row>
    <row r="58" spans="1:21" x14ac:dyDescent="0.25">
      <c r="B58" s="9"/>
      <c r="C58" s="17">
        <v>436.140625</v>
      </c>
      <c r="D58" s="18">
        <v>28.638999999999999</v>
      </c>
      <c r="E58" s="18">
        <v>39.195</v>
      </c>
      <c r="F58" s="18">
        <v>39.831000000000003</v>
      </c>
      <c r="G58" s="18">
        <v>424.36</v>
      </c>
      <c r="H58" s="18">
        <f t="shared" si="0"/>
        <v>31.357500000000002</v>
      </c>
      <c r="I58" s="5"/>
      <c r="J58" s="17">
        <v>403.31760000000003</v>
      </c>
      <c r="K58" s="18">
        <v>32.394799999999996</v>
      </c>
      <c r="L58" s="18">
        <v>40.384700000000002</v>
      </c>
      <c r="M58" s="18">
        <v>41.197000000000003</v>
      </c>
      <c r="N58" s="18">
        <v>512.82050000000004</v>
      </c>
      <c r="O58" s="18">
        <f t="shared" si="1"/>
        <v>34.493812499999997</v>
      </c>
      <c r="P58" s="7"/>
      <c r="Q58" s="10"/>
      <c r="R58" s="11"/>
      <c r="S58" s="11"/>
      <c r="T58" s="26"/>
      <c r="U58" s="28">
        <f t="shared" si="2"/>
        <v>0.20845626354981625</v>
      </c>
    </row>
    <row r="59" spans="1:21" x14ac:dyDescent="0.25">
      <c r="B59" s="9"/>
      <c r="C59" s="17">
        <v>272.6572265625</v>
      </c>
      <c r="D59" s="18">
        <v>27.41</v>
      </c>
      <c r="E59" s="18">
        <v>38.424999999999997</v>
      </c>
      <c r="F59" s="18">
        <v>38.987000000000002</v>
      </c>
      <c r="G59" s="18">
        <v>446.05</v>
      </c>
      <c r="H59" s="18">
        <f t="shared" si="0"/>
        <v>30.233999999999998</v>
      </c>
      <c r="I59" s="5"/>
      <c r="J59" s="17">
        <v>251.9032</v>
      </c>
      <c r="K59" s="18">
        <v>30.897099999999998</v>
      </c>
      <c r="L59" s="18">
        <v>39.426600000000001</v>
      </c>
      <c r="M59" s="18">
        <v>40.117400000000004</v>
      </c>
      <c r="N59" s="18">
        <v>641.02560000000005</v>
      </c>
      <c r="O59" s="18">
        <f t="shared" si="1"/>
        <v>33.115825000000001</v>
      </c>
      <c r="P59" s="7"/>
      <c r="Q59" s="10"/>
      <c r="R59" s="11"/>
      <c r="S59" s="11"/>
      <c r="T59" s="26"/>
      <c r="U59" s="28">
        <f t="shared" si="2"/>
        <v>0.43711601838358938</v>
      </c>
    </row>
    <row r="60" spans="1:21" ht="16.5" thickBot="1" x14ac:dyDescent="0.3">
      <c r="B60" s="12"/>
      <c r="C60" s="19">
        <v>131.091796875</v>
      </c>
      <c r="D60" s="20">
        <v>25.457999999999998</v>
      </c>
      <c r="E60" s="20">
        <v>37.393999999999998</v>
      </c>
      <c r="F60" s="20">
        <v>37.57</v>
      </c>
      <c r="G60" s="20">
        <v>502.48</v>
      </c>
      <c r="H60" s="20">
        <f t="shared" si="0"/>
        <v>28.463999999999999</v>
      </c>
      <c r="I60" s="5"/>
      <c r="J60" s="19">
        <v>121.0432</v>
      </c>
      <c r="K60" s="20">
        <v>28.3431</v>
      </c>
      <c r="L60" s="20">
        <v>38.164999999999999</v>
      </c>
      <c r="M60" s="20">
        <v>38.604199999999999</v>
      </c>
      <c r="N60" s="20">
        <v>873.36239999999998</v>
      </c>
      <c r="O60" s="20">
        <f t="shared" si="1"/>
        <v>30.853475</v>
      </c>
      <c r="P60" s="7"/>
      <c r="Q60" s="13"/>
      <c r="R60" s="14"/>
      <c r="S60" s="14"/>
      <c r="T60" s="27"/>
      <c r="U60" s="28">
        <f t="shared" si="2"/>
        <v>0.73810380512657214</v>
      </c>
    </row>
    <row r="61" spans="1:21" x14ac:dyDescent="0.25">
      <c r="B61" s="6" t="s">
        <v>59</v>
      </c>
      <c r="C61" s="29">
        <v>648.056640625</v>
      </c>
      <c r="D61" s="30">
        <v>30.600999999999999</v>
      </c>
      <c r="E61" s="30">
        <v>36.307000000000002</v>
      </c>
      <c r="F61" s="30">
        <v>37.051000000000002</v>
      </c>
      <c r="G61" s="16">
        <v>391.17</v>
      </c>
      <c r="H61" s="16">
        <f t="shared" si="0"/>
        <v>32.1205</v>
      </c>
      <c r="I61" s="5"/>
      <c r="J61" s="29">
        <v>644.05999999999995</v>
      </c>
      <c r="K61" s="30">
        <v>33.212699999999998</v>
      </c>
      <c r="L61" s="30">
        <v>38.172899999999998</v>
      </c>
      <c r="M61" s="30">
        <v>38.936</v>
      </c>
      <c r="N61" s="16">
        <v>368.45979999999997</v>
      </c>
      <c r="O61" s="16">
        <f t="shared" si="1"/>
        <v>34.548137499999996</v>
      </c>
      <c r="P61" s="7"/>
      <c r="Q61" s="8">
        <f>bdrate(C61:C64,D61:D64,J61:J64,K61:K64)</f>
        <v>-0.47002845846844155</v>
      </c>
      <c r="R61" s="8">
        <f>bdrate(C61:C64,E61:E64,J61:J64,L61:L64)</f>
        <v>-0.54719769889231751</v>
      </c>
      <c r="S61" s="8">
        <f>bdrate(C61:C64,F61:F64,J61:J64,M61:M64)</f>
        <v>-0.54835591168891573</v>
      </c>
      <c r="T61" s="25">
        <f>bdrate(C61:C64,H61:H64,J61:J64,O61:O64)</f>
        <v>-0.48773391602245597</v>
      </c>
      <c r="U61" s="28">
        <f t="shared" si="2"/>
        <v>-5.8057110719124783E-2</v>
      </c>
    </row>
    <row r="62" spans="1:21" x14ac:dyDescent="0.25">
      <c r="B62" s="9"/>
      <c r="C62" s="31">
        <v>441.921875</v>
      </c>
      <c r="D62" s="32">
        <v>29.454999999999998</v>
      </c>
      <c r="E62" s="32">
        <v>35.328000000000003</v>
      </c>
      <c r="F62" s="32">
        <v>36.031999999999996</v>
      </c>
      <c r="G62" s="18">
        <v>410.2</v>
      </c>
      <c r="H62" s="18">
        <f t="shared" si="0"/>
        <v>31.011249999999997</v>
      </c>
      <c r="I62" s="5"/>
      <c r="J62" s="31">
        <v>427.37360000000001</v>
      </c>
      <c r="K62" s="32">
        <v>31.674399999999999</v>
      </c>
      <c r="L62" s="32">
        <v>37.095300000000002</v>
      </c>
      <c r="M62" s="32">
        <v>37.826300000000003</v>
      </c>
      <c r="N62" s="18">
        <v>439.3673</v>
      </c>
      <c r="O62" s="18">
        <f t="shared" si="1"/>
        <v>33.121000000000002</v>
      </c>
      <c r="P62" s="7"/>
      <c r="Q62" s="10"/>
      <c r="R62" s="11"/>
      <c r="S62" s="11"/>
      <c r="T62" s="26"/>
      <c r="U62" s="28">
        <f t="shared" si="2"/>
        <v>7.1105070697220898E-2</v>
      </c>
    </row>
    <row r="63" spans="1:21" x14ac:dyDescent="0.25">
      <c r="B63" s="9"/>
      <c r="C63" s="31">
        <v>279.0693359375</v>
      </c>
      <c r="D63" s="32">
        <v>28.202999999999999</v>
      </c>
      <c r="E63" s="32">
        <v>34.328000000000003</v>
      </c>
      <c r="F63" s="32">
        <v>35</v>
      </c>
      <c r="G63" s="18">
        <v>436.44</v>
      </c>
      <c r="H63" s="18">
        <f t="shared" si="0"/>
        <v>29.818249999999999</v>
      </c>
      <c r="I63" s="5"/>
      <c r="J63" s="31">
        <v>266.7944</v>
      </c>
      <c r="K63" s="32">
        <v>29.9938</v>
      </c>
      <c r="L63" s="32">
        <v>35.978099999999998</v>
      </c>
      <c r="M63" s="32">
        <v>36.695799999999998</v>
      </c>
      <c r="N63" s="18">
        <v>543.47829999999999</v>
      </c>
      <c r="O63" s="18">
        <f t="shared" si="1"/>
        <v>31.579587499999999</v>
      </c>
      <c r="P63" s="7"/>
      <c r="Q63" s="10"/>
      <c r="R63" s="11"/>
      <c r="S63" s="11"/>
      <c r="T63" s="26"/>
      <c r="U63" s="28">
        <f t="shared" si="2"/>
        <v>0.24525318485931627</v>
      </c>
    </row>
    <row r="64" spans="1:21" ht="16.5" thickBot="1" x14ac:dyDescent="0.3">
      <c r="B64" s="12"/>
      <c r="C64" s="33">
        <v>134.6240234375</v>
      </c>
      <c r="D64" s="34">
        <v>26.349</v>
      </c>
      <c r="E64" s="34">
        <v>32.901000000000003</v>
      </c>
      <c r="F64" s="34">
        <v>33.56</v>
      </c>
      <c r="G64" s="20">
        <v>485.99</v>
      </c>
      <c r="H64" s="20">
        <f t="shared" si="0"/>
        <v>28.069375000000001</v>
      </c>
      <c r="I64" s="5"/>
      <c r="J64" s="33">
        <v>128.61840000000001</v>
      </c>
      <c r="K64" s="34">
        <v>27.5792</v>
      </c>
      <c r="L64" s="34">
        <v>34.422699999999999</v>
      </c>
      <c r="M64" s="34">
        <v>35.129800000000003</v>
      </c>
      <c r="N64" s="20">
        <v>782.47260000000006</v>
      </c>
      <c r="O64" s="20">
        <f t="shared" si="1"/>
        <v>29.378462499999998</v>
      </c>
      <c r="P64" s="7"/>
      <c r="Q64" s="13"/>
      <c r="R64" s="14"/>
      <c r="S64" s="14"/>
      <c r="T64" s="27"/>
      <c r="U64" s="28">
        <f t="shared" si="2"/>
        <v>0.61005905471305999</v>
      </c>
    </row>
    <row r="65" spans="1:21" x14ac:dyDescent="0.25">
      <c r="B65" s="6" t="s">
        <v>60</v>
      </c>
      <c r="C65" s="15">
        <v>589.5283203125</v>
      </c>
      <c r="D65" s="16">
        <v>32.191000000000003</v>
      </c>
      <c r="E65" s="16">
        <v>36.058</v>
      </c>
      <c r="F65" s="16">
        <v>37.139000000000003</v>
      </c>
      <c r="G65" s="16">
        <v>348.5</v>
      </c>
      <c r="H65" s="16">
        <f t="shared" si="0"/>
        <v>33.292875000000002</v>
      </c>
      <c r="I65" s="5"/>
      <c r="J65" s="15">
        <v>605.97519999999997</v>
      </c>
      <c r="K65" s="16">
        <v>33.987099999999998</v>
      </c>
      <c r="L65" s="16">
        <v>37.743899999999996</v>
      </c>
      <c r="M65" s="16">
        <v>38.834699999999998</v>
      </c>
      <c r="N65" s="16">
        <v>240.38460000000001</v>
      </c>
      <c r="O65" s="16">
        <f t="shared" si="1"/>
        <v>35.062649999999998</v>
      </c>
      <c r="P65" s="7"/>
      <c r="Q65" s="8">
        <f>bdrate(C65:C68,D65:D68,J65:J68,K65:K68)</f>
        <v>-0.2969945307648949</v>
      </c>
      <c r="R65" s="8">
        <f>bdrate(C65:C68,E65:E68,J65:J68,L65:L68)</f>
        <v>-0.48937612143560127</v>
      </c>
      <c r="S65" s="8">
        <f>bdrate(C65:C68,F65:F68,J65:J68,M65:M68)</f>
        <v>-0.47311129880877389</v>
      </c>
      <c r="T65" s="25">
        <f>bdrate(C65:C68,H65:H68,J65:J68,O65:O68)</f>
        <v>-0.33789533970165708</v>
      </c>
      <c r="U65" s="28">
        <f t="shared" si="2"/>
        <v>-0.31023070301291245</v>
      </c>
    </row>
    <row r="66" spans="1:21" x14ac:dyDescent="0.25">
      <c r="B66" s="9"/>
      <c r="C66" s="17">
        <v>423.3896484375</v>
      </c>
      <c r="D66" s="18">
        <v>30.899000000000001</v>
      </c>
      <c r="E66" s="18">
        <v>35.106999999999999</v>
      </c>
      <c r="F66" s="18">
        <v>36.218000000000004</v>
      </c>
      <c r="G66" s="18">
        <v>376.65</v>
      </c>
      <c r="H66" s="18">
        <f t="shared" si="0"/>
        <v>32.089874999999999</v>
      </c>
      <c r="I66" s="5"/>
      <c r="J66" s="17">
        <v>403.8888</v>
      </c>
      <c r="K66" s="18">
        <v>32.1678</v>
      </c>
      <c r="L66" s="18">
        <v>36.606400000000001</v>
      </c>
      <c r="M66" s="18">
        <v>37.706099999999999</v>
      </c>
      <c r="N66" s="18">
        <v>295.858</v>
      </c>
      <c r="O66" s="18">
        <f t="shared" si="1"/>
        <v>33.4149125</v>
      </c>
      <c r="P66" s="7"/>
      <c r="Q66" s="10"/>
      <c r="R66" s="11"/>
      <c r="S66" s="11"/>
      <c r="T66" s="26"/>
      <c r="U66" s="28">
        <f t="shared" si="2"/>
        <v>-0.2145015266162219</v>
      </c>
    </row>
    <row r="67" spans="1:21" x14ac:dyDescent="0.25">
      <c r="B67" s="9"/>
      <c r="C67" s="17">
        <v>281.4755859375</v>
      </c>
      <c r="D67" s="18">
        <v>29.41</v>
      </c>
      <c r="E67" s="18">
        <v>33.979999999999997</v>
      </c>
      <c r="F67" s="18">
        <v>35.069000000000003</v>
      </c>
      <c r="G67" s="18">
        <v>401.82</v>
      </c>
      <c r="H67" s="18">
        <f t="shared" si="0"/>
        <v>30.688625000000002</v>
      </c>
      <c r="I67" s="5"/>
      <c r="J67" s="17">
        <v>252.94560000000001</v>
      </c>
      <c r="K67" s="18">
        <v>30.2729</v>
      </c>
      <c r="L67" s="18">
        <v>35.393599999999999</v>
      </c>
      <c r="M67" s="18">
        <v>36.433900000000001</v>
      </c>
      <c r="N67" s="18">
        <v>369.91370000000001</v>
      </c>
      <c r="O67" s="18">
        <f t="shared" si="1"/>
        <v>31.6831125</v>
      </c>
      <c r="P67" s="7"/>
      <c r="Q67" s="10"/>
      <c r="R67" s="11"/>
      <c r="S67" s="11"/>
      <c r="T67" s="26"/>
      <c r="U67" s="28">
        <f t="shared" si="2"/>
        <v>-7.9404459708327088E-2</v>
      </c>
    </row>
    <row r="68" spans="1:21" ht="16.5" thickBot="1" x14ac:dyDescent="0.3">
      <c r="B68" s="12"/>
      <c r="C68" s="19">
        <v>140.935546875</v>
      </c>
      <c r="D68" s="20">
        <v>27.11</v>
      </c>
      <c r="E68" s="20">
        <v>32.149000000000001</v>
      </c>
      <c r="F68" s="20">
        <v>33.097000000000001</v>
      </c>
      <c r="G68" s="20">
        <v>462.99</v>
      </c>
      <c r="H68" s="20">
        <f t="shared" si="0"/>
        <v>28.488250000000001</v>
      </c>
      <c r="I68" s="5"/>
      <c r="J68" s="19">
        <v>122.30800000000001</v>
      </c>
      <c r="K68" s="20">
        <v>27.795000000000002</v>
      </c>
      <c r="L68" s="20">
        <v>33.964700000000001</v>
      </c>
      <c r="M68" s="20">
        <v>34.902900000000002</v>
      </c>
      <c r="N68" s="20">
        <v>533.80780000000004</v>
      </c>
      <c r="O68" s="20">
        <f t="shared" si="1"/>
        <v>29.454700000000003</v>
      </c>
      <c r="P68" s="7"/>
      <c r="Q68" s="13"/>
      <c r="R68" s="14"/>
      <c r="S68" s="14"/>
      <c r="T68" s="27"/>
      <c r="U68" s="28">
        <f t="shared" si="2"/>
        <v>0.15295751528110765</v>
      </c>
    </row>
    <row r="69" spans="1:21" x14ac:dyDescent="0.25">
      <c r="A69" s="6" t="s">
        <v>43</v>
      </c>
      <c r="B69" s="6" t="s">
        <v>61</v>
      </c>
      <c r="C69" s="15">
        <v>1497.3505859375</v>
      </c>
      <c r="D69" s="16">
        <v>39.994</v>
      </c>
      <c r="E69" s="16">
        <v>45.09</v>
      </c>
      <c r="F69" s="16">
        <v>46.256</v>
      </c>
      <c r="G69" s="16">
        <v>85.85</v>
      </c>
      <c r="H69" s="16">
        <f t="shared" si="0"/>
        <v>41.413749999999993</v>
      </c>
      <c r="I69" s="5"/>
      <c r="J69" s="15">
        <v>1491.2647999999999</v>
      </c>
      <c r="K69" s="16">
        <v>41.363</v>
      </c>
      <c r="L69" s="16">
        <v>45.620399999999997</v>
      </c>
      <c r="M69" s="16">
        <v>46.805900000000001</v>
      </c>
      <c r="N69" s="16">
        <v>105.3741</v>
      </c>
      <c r="O69" s="16">
        <f t="shared" si="1"/>
        <v>42.575537500000003</v>
      </c>
      <c r="P69" s="7"/>
      <c r="Q69" s="8">
        <f>bdrate(C69:C72,D69:D72,J69:J72,K69:K72)</f>
        <v>-0.375910256700279</v>
      </c>
      <c r="R69" s="8">
        <f>bdrate(C69:C72,E69:E72,J69:J72,L69:L72)</f>
        <v>-0.26957136158336348</v>
      </c>
      <c r="S69" s="8">
        <f>bdrate(C69:C72,F69:F72,J69:J72,M69:M72)</f>
        <v>-0.27210638641634488</v>
      </c>
      <c r="T69" s="25">
        <f>bdrate(C69:C72,H69:H72,J69:J72,O69:O72)</f>
        <v>-0.35766739265932979</v>
      </c>
      <c r="U69" s="28">
        <f t="shared" si="2"/>
        <v>0.22742108328479912</v>
      </c>
    </row>
    <row r="70" spans="1:21" x14ac:dyDescent="0.25">
      <c r="A70" s="9" t="s">
        <v>44</v>
      </c>
      <c r="B70" s="9"/>
      <c r="C70" s="17">
        <v>1001.3349609375</v>
      </c>
      <c r="D70" s="18">
        <v>38.713000000000001</v>
      </c>
      <c r="E70" s="18">
        <v>44.073</v>
      </c>
      <c r="F70" s="18">
        <v>45.215000000000003</v>
      </c>
      <c r="G70" s="18">
        <v>89.99</v>
      </c>
      <c r="H70" s="18">
        <f t="shared" si="0"/>
        <v>40.195750000000004</v>
      </c>
      <c r="I70" s="5"/>
      <c r="J70" s="17">
        <v>984.8528</v>
      </c>
      <c r="K70" s="18">
        <v>40.243699999999997</v>
      </c>
      <c r="L70" s="18">
        <v>44.6633</v>
      </c>
      <c r="M70" s="18">
        <v>45.837899999999998</v>
      </c>
      <c r="N70" s="18">
        <v>120.9434</v>
      </c>
      <c r="O70" s="18">
        <f t="shared" si="1"/>
        <v>41.495424999999997</v>
      </c>
      <c r="P70" s="7"/>
      <c r="Q70" s="10"/>
      <c r="R70" s="11"/>
      <c r="S70" s="11"/>
      <c r="T70" s="26"/>
      <c r="U70" s="28">
        <f t="shared" si="2"/>
        <v>0.34396488498722083</v>
      </c>
    </row>
    <row r="71" spans="1:21" x14ac:dyDescent="0.25">
      <c r="B71" s="9"/>
      <c r="C71" s="17">
        <v>601.8681640625</v>
      </c>
      <c r="D71" s="18">
        <v>36.634999999999998</v>
      </c>
      <c r="E71" s="18">
        <v>42.488999999999997</v>
      </c>
      <c r="F71" s="18">
        <v>43.558</v>
      </c>
      <c r="G71" s="18">
        <v>94.96</v>
      </c>
      <c r="H71" s="18">
        <f t="shared" si="0"/>
        <v>38.232124999999996</v>
      </c>
      <c r="I71" s="5"/>
      <c r="J71" s="17">
        <v>574.95519999999999</v>
      </c>
      <c r="K71" s="18">
        <v>38.364899999999999</v>
      </c>
      <c r="L71" s="18">
        <v>43.274500000000003</v>
      </c>
      <c r="M71" s="18">
        <v>44.390500000000003</v>
      </c>
      <c r="N71" s="18">
        <v>138.34450000000001</v>
      </c>
      <c r="O71" s="18">
        <f t="shared" si="1"/>
        <v>39.731799999999993</v>
      </c>
      <c r="P71" s="7"/>
      <c r="Q71" s="10"/>
      <c r="R71" s="11"/>
      <c r="S71" s="11"/>
      <c r="T71" s="26"/>
      <c r="U71" s="28">
        <f t="shared" si="2"/>
        <v>0.45687131423757393</v>
      </c>
    </row>
    <row r="72" spans="1:21" ht="16.5" thickBot="1" x14ac:dyDescent="0.3">
      <c r="B72" s="12"/>
      <c r="C72" s="19">
        <v>302.0390625</v>
      </c>
      <c r="D72" s="20">
        <v>33.006</v>
      </c>
      <c r="E72" s="20">
        <v>39.960999999999999</v>
      </c>
      <c r="F72" s="20">
        <v>40.743000000000002</v>
      </c>
      <c r="G72" s="20">
        <v>102.44</v>
      </c>
      <c r="H72" s="20">
        <f t="shared" si="0"/>
        <v>34.842500000000001</v>
      </c>
      <c r="I72" s="5"/>
      <c r="J72" s="19">
        <v>278.60320000000002</v>
      </c>
      <c r="K72" s="20">
        <v>35.244399999999999</v>
      </c>
      <c r="L72" s="20">
        <v>41.513300000000001</v>
      </c>
      <c r="M72" s="20">
        <v>42.485799999999998</v>
      </c>
      <c r="N72" s="20">
        <v>171.72300000000001</v>
      </c>
      <c r="O72" s="20">
        <f t="shared" si="1"/>
        <v>36.933187499999995</v>
      </c>
      <c r="P72" s="7"/>
      <c r="Q72" s="13"/>
      <c r="R72" s="14"/>
      <c r="S72" s="14"/>
      <c r="T72" s="27"/>
      <c r="U72" s="28">
        <f t="shared" si="2"/>
        <v>0.67632760640374867</v>
      </c>
    </row>
    <row r="73" spans="1:21" x14ac:dyDescent="0.25">
      <c r="B73" s="6" t="s">
        <v>62</v>
      </c>
      <c r="C73" s="15">
        <v>1506.7958984375</v>
      </c>
      <c r="D73" s="16">
        <v>41.268999999999998</v>
      </c>
      <c r="E73" s="16">
        <v>47.134</v>
      </c>
      <c r="F73" s="16">
        <v>47.774000000000001</v>
      </c>
      <c r="G73" s="16">
        <v>82.83</v>
      </c>
      <c r="H73" s="16">
        <f t="shared" si="0"/>
        <v>42.815249999999999</v>
      </c>
      <c r="I73" s="5"/>
      <c r="J73" s="15">
        <v>1469.3440000000001</v>
      </c>
      <c r="K73" s="16">
        <v>42.62</v>
      </c>
      <c r="L73" s="16">
        <v>47.650399999999998</v>
      </c>
      <c r="M73" s="16">
        <v>48.2652</v>
      </c>
      <c r="N73" s="16">
        <v>118.3432</v>
      </c>
      <c r="O73" s="16">
        <f t="shared" si="1"/>
        <v>43.954449999999994</v>
      </c>
      <c r="P73" s="7"/>
      <c r="Q73" s="8">
        <f>bdrate(C73:C76,D73:D76,J73:J76,K73:K76)</f>
        <v>-0.5650971103011887</v>
      </c>
      <c r="R73" s="8">
        <f>bdrate(C73:C76,E73:E76,J73:J76,L73:L76)</f>
        <v>-0.40037190351067076</v>
      </c>
      <c r="S73" s="8">
        <f>bdrate(C73:C76,F73:F76,J73:J76,M73:M76)</f>
        <v>-0.38842294741539163</v>
      </c>
      <c r="T73" s="25">
        <f>bdrate(C73:C76,H73:H76,J73:J76,O73:O76)</f>
        <v>-0.52692569206287987</v>
      </c>
      <c r="U73" s="28">
        <f t="shared" ref="U73:U124" si="3">(N73-G73)/G73</f>
        <v>0.42874803815042856</v>
      </c>
    </row>
    <row r="74" spans="1:21" x14ac:dyDescent="0.25">
      <c r="B74" s="9"/>
      <c r="C74" s="17">
        <v>999.5673828125</v>
      </c>
      <c r="D74" s="18">
        <v>40.593000000000004</v>
      </c>
      <c r="E74" s="18">
        <v>46.487000000000002</v>
      </c>
      <c r="F74" s="18">
        <v>47.093000000000004</v>
      </c>
      <c r="G74" s="18">
        <v>89</v>
      </c>
      <c r="H74" s="18">
        <f t="shared" si="0"/>
        <v>42.142250000000004</v>
      </c>
      <c r="I74" s="5"/>
      <c r="J74" s="17">
        <v>973.91520000000003</v>
      </c>
      <c r="K74" s="18">
        <v>42.095500000000001</v>
      </c>
      <c r="L74" s="18">
        <v>47.204500000000003</v>
      </c>
      <c r="M74" s="18">
        <v>47.851300000000002</v>
      </c>
      <c r="N74" s="18">
        <v>137.36259999999999</v>
      </c>
      <c r="O74" s="18">
        <f t="shared" si="1"/>
        <v>43.453600000000002</v>
      </c>
      <c r="P74" s="7"/>
      <c r="Q74" s="10"/>
      <c r="R74" s="11"/>
      <c r="S74" s="11"/>
      <c r="T74" s="26"/>
      <c r="U74" s="28">
        <f t="shared" si="3"/>
        <v>0.54339999999999988</v>
      </c>
    </row>
    <row r="75" spans="1:21" x14ac:dyDescent="0.25">
      <c r="B75" s="9"/>
      <c r="C75" s="17">
        <v>603.232421875</v>
      </c>
      <c r="D75" s="18">
        <v>39.481000000000002</v>
      </c>
      <c r="E75" s="18">
        <v>45.271000000000001</v>
      </c>
      <c r="F75" s="18">
        <v>45.871000000000002</v>
      </c>
      <c r="G75" s="18">
        <v>93.15</v>
      </c>
      <c r="H75" s="18">
        <f t="shared" si="0"/>
        <v>41.003500000000003</v>
      </c>
      <c r="I75" s="5"/>
      <c r="J75" s="17">
        <v>578.66079999999999</v>
      </c>
      <c r="K75" s="18">
        <v>41.234000000000002</v>
      </c>
      <c r="L75" s="18">
        <v>46.368499999999997</v>
      </c>
      <c r="M75" s="18">
        <v>46.933199999999999</v>
      </c>
      <c r="N75" s="18">
        <v>155.0788</v>
      </c>
      <c r="O75" s="18">
        <f t="shared" si="1"/>
        <v>42.588212499999997</v>
      </c>
      <c r="P75" s="7"/>
      <c r="Q75" s="10"/>
      <c r="R75" s="11"/>
      <c r="S75" s="11"/>
      <c r="T75" s="26"/>
      <c r="U75" s="28">
        <f t="shared" si="3"/>
        <v>0.6648287707997852</v>
      </c>
    </row>
    <row r="76" spans="1:21" ht="16.5" thickBot="1" x14ac:dyDescent="0.3">
      <c r="B76" s="12"/>
      <c r="C76" s="19">
        <v>296.3916015625</v>
      </c>
      <c r="D76" s="20">
        <v>37.203000000000003</v>
      </c>
      <c r="E76" s="20">
        <v>43.01</v>
      </c>
      <c r="F76" s="20">
        <v>43.469000000000001</v>
      </c>
      <c r="G76" s="20">
        <v>100.43</v>
      </c>
      <c r="H76" s="20">
        <f t="shared" si="0"/>
        <v>38.712125</v>
      </c>
      <c r="I76" s="5"/>
      <c r="J76" s="19">
        <v>281.61439999999999</v>
      </c>
      <c r="K76" s="20">
        <v>39.438299999999998</v>
      </c>
      <c r="L76" s="20">
        <v>44.5854</v>
      </c>
      <c r="M76" s="20">
        <v>45.122900000000001</v>
      </c>
      <c r="N76" s="20">
        <v>180.55969999999999</v>
      </c>
      <c r="O76" s="20">
        <f t="shared" si="1"/>
        <v>40.7922625</v>
      </c>
      <c r="P76" s="7"/>
      <c r="Q76" s="13"/>
      <c r="R76" s="14"/>
      <c r="S76" s="14"/>
      <c r="T76" s="27"/>
      <c r="U76" s="28">
        <f t="shared" si="3"/>
        <v>0.7978661754455838</v>
      </c>
    </row>
    <row r="77" spans="1:21" x14ac:dyDescent="0.25">
      <c r="B77" s="6" t="s">
        <v>63</v>
      </c>
      <c r="C77" s="15">
        <v>1500.056640625</v>
      </c>
      <c r="D77" s="16">
        <v>41.063000000000002</v>
      </c>
      <c r="E77" s="16">
        <v>46.079000000000001</v>
      </c>
      <c r="F77" s="16">
        <v>46.933999999999997</v>
      </c>
      <c r="G77" s="16">
        <v>81</v>
      </c>
      <c r="H77" s="16">
        <f t="shared" si="0"/>
        <v>42.423874999999995</v>
      </c>
      <c r="I77" s="5"/>
      <c r="J77" s="15">
        <v>1534.556</v>
      </c>
      <c r="K77" s="16">
        <v>42.498699999999999</v>
      </c>
      <c r="L77" s="16">
        <v>46.739100000000001</v>
      </c>
      <c r="M77" s="16">
        <v>47.615299999999998</v>
      </c>
      <c r="N77" s="16">
        <v>105.0972</v>
      </c>
      <c r="O77" s="16">
        <f t="shared" si="1"/>
        <v>43.668324999999996</v>
      </c>
      <c r="P77" s="7"/>
      <c r="Q77" s="8">
        <f>bdrate(C77:C80,D77:D80,J77:J80,K77:K80)</f>
        <v>-0.4652444087036024</v>
      </c>
      <c r="R77" s="8">
        <f>bdrate(C77:C80,E77:E80,J77:J80,L77:L80)</f>
        <v>-0.32056687449158361</v>
      </c>
      <c r="S77" s="8">
        <f>bdrate(C77:C80,F77:F80,J77:J80,M77:M80)</f>
        <v>-0.31982457360915484</v>
      </c>
      <c r="T77" s="25">
        <f>bdrate(C77:C80,H77:H80,J77:J80,O77:O80)</f>
        <v>-0.43659053742821763</v>
      </c>
      <c r="U77" s="28">
        <f t="shared" si="3"/>
        <v>0.29749629629629631</v>
      </c>
    </row>
    <row r="78" spans="1:21" x14ac:dyDescent="0.25">
      <c r="B78" s="9"/>
      <c r="C78" s="17">
        <v>1003.35546875</v>
      </c>
      <c r="D78" s="18">
        <v>39.994999999999997</v>
      </c>
      <c r="E78" s="18">
        <v>45.212000000000003</v>
      </c>
      <c r="F78" s="18">
        <v>46.029000000000003</v>
      </c>
      <c r="G78" s="18">
        <v>86.51</v>
      </c>
      <c r="H78" s="18">
        <f t="shared" si="0"/>
        <v>41.401374999999994</v>
      </c>
      <c r="I78" s="5"/>
      <c r="J78" s="17">
        <v>1011.9088</v>
      </c>
      <c r="K78" s="18">
        <v>41.670200000000001</v>
      </c>
      <c r="L78" s="18">
        <v>45.9681</v>
      </c>
      <c r="M78" s="18">
        <v>46.803600000000003</v>
      </c>
      <c r="N78" s="18">
        <v>121.7039</v>
      </c>
      <c r="O78" s="18">
        <f t="shared" si="1"/>
        <v>42.849112500000004</v>
      </c>
      <c r="P78" s="7"/>
      <c r="Q78" s="10"/>
      <c r="R78" s="11"/>
      <c r="S78" s="11"/>
      <c r="T78" s="26"/>
      <c r="U78" s="28">
        <f t="shared" si="3"/>
        <v>0.40681886487111313</v>
      </c>
    </row>
    <row r="79" spans="1:21" x14ac:dyDescent="0.25">
      <c r="B79" s="9"/>
      <c r="C79" s="17">
        <v>606.22265625</v>
      </c>
      <c r="D79" s="18">
        <v>38.238999999999997</v>
      </c>
      <c r="E79" s="18">
        <v>43.698</v>
      </c>
      <c r="F79" s="18">
        <v>44.500999999999998</v>
      </c>
      <c r="G79" s="18">
        <v>91.91</v>
      </c>
      <c r="H79" s="18">
        <f t="shared" si="0"/>
        <v>39.704124999999991</v>
      </c>
      <c r="I79" s="5"/>
      <c r="J79" s="17">
        <v>606.48320000000001</v>
      </c>
      <c r="K79" s="18">
        <v>40.3491</v>
      </c>
      <c r="L79" s="18">
        <v>44.813200000000002</v>
      </c>
      <c r="M79" s="18">
        <v>45.621099999999998</v>
      </c>
      <c r="N79" s="18">
        <v>138.85669999999999</v>
      </c>
      <c r="O79" s="18">
        <f t="shared" si="1"/>
        <v>41.566112500000003</v>
      </c>
      <c r="P79" s="7"/>
      <c r="Q79" s="10"/>
      <c r="R79" s="11"/>
      <c r="S79" s="11"/>
      <c r="T79" s="26"/>
      <c r="U79" s="28">
        <f t="shared" si="3"/>
        <v>0.5107899031661407</v>
      </c>
    </row>
    <row r="80" spans="1:21" ht="16.5" thickBot="1" x14ac:dyDescent="0.3">
      <c r="B80" s="12"/>
      <c r="C80" s="19">
        <v>303.068359375</v>
      </c>
      <c r="D80" s="20">
        <v>35.055999999999997</v>
      </c>
      <c r="E80" s="20">
        <v>41.009</v>
      </c>
      <c r="F80" s="20">
        <v>41.789000000000001</v>
      </c>
      <c r="G80" s="20">
        <v>104.83</v>
      </c>
      <c r="H80" s="20">
        <f t="shared" si="0"/>
        <v>36.641749999999995</v>
      </c>
      <c r="I80" s="5"/>
      <c r="J80" s="19">
        <v>296.06400000000002</v>
      </c>
      <c r="K80" s="20">
        <v>37.845100000000002</v>
      </c>
      <c r="L80" s="20">
        <v>42.853700000000003</v>
      </c>
      <c r="M80" s="20">
        <v>43.685299999999998</v>
      </c>
      <c r="N80" s="20">
        <v>167.92609999999999</v>
      </c>
      <c r="O80" s="20">
        <f t="shared" si="1"/>
        <v>39.2012</v>
      </c>
      <c r="P80" s="7"/>
      <c r="Q80" s="13"/>
      <c r="R80" s="14"/>
      <c r="S80" s="14"/>
      <c r="T80" s="27"/>
      <c r="U80" s="28">
        <f t="shared" si="3"/>
        <v>0.6018897262234093</v>
      </c>
    </row>
    <row r="81" spans="1:21" x14ac:dyDescent="0.25">
      <c r="A81" s="6" t="s">
        <v>99</v>
      </c>
      <c r="B81" s="6" t="s">
        <v>100</v>
      </c>
      <c r="C81" s="15">
        <v>1458.4326171875</v>
      </c>
      <c r="D81" s="16">
        <v>44.305</v>
      </c>
      <c r="E81" s="16">
        <v>49.655000000000001</v>
      </c>
      <c r="F81" s="16">
        <v>50.122</v>
      </c>
      <c r="G81" s="16">
        <v>65.239999999999995</v>
      </c>
      <c r="H81" s="16">
        <f t="shared" ref="H81:H124" si="4">(6*D81+E81+F81)/8</f>
        <v>45.700875000000003</v>
      </c>
      <c r="I81" s="5"/>
      <c r="J81" s="15">
        <v>1284.4647</v>
      </c>
      <c r="K81" s="16">
        <v>43.5306</v>
      </c>
      <c r="L81" s="16">
        <v>49.320300000000003</v>
      </c>
      <c r="M81" s="16">
        <v>50.169600000000003</v>
      </c>
      <c r="N81" s="16">
        <v>61.538499999999999</v>
      </c>
      <c r="O81" s="16">
        <f t="shared" ref="O81:O124" si="5">(6*K81+L81+M81)/8</f>
        <v>45.084187500000006</v>
      </c>
      <c r="P81" s="7"/>
      <c r="Q81" s="8">
        <f>bdrate(C81:C84,D81:D84,J81:J84,K81:K84)</f>
        <v>-0.22210191460477369</v>
      </c>
      <c r="R81" s="8">
        <f>bdrate(C81:C84,E81:E84,J81:J84,L81:L84)</f>
        <v>-0.26366815683224798</v>
      </c>
      <c r="S81" s="8">
        <f>bdrate(C81:C84,F81:F84,J81:J84,M81:M84)</f>
        <v>-0.34644026701775443</v>
      </c>
      <c r="T81" s="25">
        <f>bdrate(C81:C84,H81:H84,J81:J84,O81:O84)</f>
        <v>-0.23961674570738301</v>
      </c>
      <c r="U81" s="28">
        <f t="shared" si="3"/>
        <v>-5.6736664622930658E-2</v>
      </c>
    </row>
    <row r="82" spans="1:21" x14ac:dyDescent="0.25">
      <c r="A82" s="9" t="s">
        <v>77</v>
      </c>
      <c r="B82" s="9"/>
      <c r="C82" s="17">
        <v>1025.666015625</v>
      </c>
      <c r="D82" s="18">
        <v>42.235999999999997</v>
      </c>
      <c r="E82" s="18">
        <v>47.847999999999999</v>
      </c>
      <c r="F82" s="18">
        <v>48.381</v>
      </c>
      <c r="G82" s="18">
        <v>70.77</v>
      </c>
      <c r="H82" s="18">
        <f t="shared" si="4"/>
        <v>43.705624999999998</v>
      </c>
      <c r="I82" s="5"/>
      <c r="J82" s="17">
        <v>879.48929999999996</v>
      </c>
      <c r="K82" s="18">
        <v>41.948799999999999</v>
      </c>
      <c r="L82" s="18">
        <v>48.056399999999996</v>
      </c>
      <c r="M82" s="18">
        <v>49.049799999999998</v>
      </c>
      <c r="N82" s="18">
        <v>71.890699999999995</v>
      </c>
      <c r="O82" s="18">
        <f t="shared" si="5"/>
        <v>43.599874999999997</v>
      </c>
      <c r="P82" s="7"/>
      <c r="Q82" s="10"/>
      <c r="R82" s="11"/>
      <c r="S82" s="11"/>
      <c r="T82" s="26"/>
      <c r="U82" s="28">
        <f t="shared" si="3"/>
        <v>1.583580613254203E-2</v>
      </c>
    </row>
    <row r="83" spans="1:21" x14ac:dyDescent="0.25">
      <c r="B83" s="9"/>
      <c r="C83" s="17">
        <v>679.900390625</v>
      </c>
      <c r="D83" s="18">
        <v>39.457000000000001</v>
      </c>
      <c r="E83" s="18">
        <v>45.625999999999998</v>
      </c>
      <c r="F83" s="18">
        <v>46.271999999999998</v>
      </c>
      <c r="G83" s="18">
        <v>77.75</v>
      </c>
      <c r="H83" s="18">
        <f t="shared" si="4"/>
        <v>41.08</v>
      </c>
      <c r="I83" s="5"/>
      <c r="J83" s="17">
        <v>545.35910000000001</v>
      </c>
      <c r="K83" s="18">
        <v>39.795099999999998</v>
      </c>
      <c r="L83" s="18">
        <v>46.178600000000003</v>
      </c>
      <c r="M83" s="18">
        <v>47.460299999999997</v>
      </c>
      <c r="N83" s="18">
        <v>89.029600000000002</v>
      </c>
      <c r="O83" s="18">
        <f t="shared" si="5"/>
        <v>41.551187500000005</v>
      </c>
      <c r="P83" s="7"/>
      <c r="Q83" s="10"/>
      <c r="R83" s="11"/>
      <c r="S83" s="11"/>
      <c r="T83" s="26"/>
      <c r="U83" s="28">
        <f t="shared" si="3"/>
        <v>0.1450752411575563</v>
      </c>
    </row>
    <row r="84" spans="1:21" ht="16.5" thickBot="1" x14ac:dyDescent="0.3">
      <c r="B84" s="12"/>
      <c r="C84" s="19">
        <v>453.0390625</v>
      </c>
      <c r="D84" s="20">
        <v>35.972000000000001</v>
      </c>
      <c r="E84" s="20">
        <v>42.774000000000001</v>
      </c>
      <c r="F84" s="20">
        <v>43.664999999999999</v>
      </c>
      <c r="G84" s="20">
        <v>80.900000000000006</v>
      </c>
      <c r="H84" s="20">
        <f t="shared" si="4"/>
        <v>37.783875000000002</v>
      </c>
      <c r="I84" s="5"/>
      <c r="J84" s="19">
        <v>282.40550000000002</v>
      </c>
      <c r="K84" s="20">
        <v>36.8446</v>
      </c>
      <c r="L84" s="20">
        <v>44.142499999999998</v>
      </c>
      <c r="M84" s="20">
        <v>45.454900000000002</v>
      </c>
      <c r="N84" s="20">
        <v>118.3432</v>
      </c>
      <c r="O84" s="20">
        <f t="shared" si="5"/>
        <v>38.833125000000003</v>
      </c>
      <c r="P84" s="7"/>
      <c r="Q84" s="13"/>
      <c r="R84" s="14"/>
      <c r="S84" s="14"/>
      <c r="T84" s="27"/>
      <c r="U84" s="28">
        <f t="shared" si="3"/>
        <v>0.46283312731767601</v>
      </c>
    </row>
    <row r="85" spans="1:21" x14ac:dyDescent="0.25">
      <c r="B85" s="6" t="s">
        <v>101</v>
      </c>
      <c r="C85" s="15">
        <v>1625.017578125</v>
      </c>
      <c r="D85" s="16">
        <v>50.427</v>
      </c>
      <c r="E85" s="16">
        <v>51.241999999999997</v>
      </c>
      <c r="F85" s="16">
        <v>51.607999999999997</v>
      </c>
      <c r="G85" s="16">
        <v>131.77000000000001</v>
      </c>
      <c r="H85" s="16">
        <f t="shared" si="4"/>
        <v>50.676500000000004</v>
      </c>
      <c r="I85" s="5"/>
      <c r="J85" s="15">
        <v>1450.0807</v>
      </c>
      <c r="K85" s="16">
        <v>51.507899999999999</v>
      </c>
      <c r="L85" s="16">
        <v>52.500399999999999</v>
      </c>
      <c r="M85" s="16">
        <v>52.997700000000002</v>
      </c>
      <c r="N85" s="16">
        <v>98.114000000000004</v>
      </c>
      <c r="O85" s="16">
        <f t="shared" si="5"/>
        <v>51.818187500000001</v>
      </c>
      <c r="P85" s="7"/>
      <c r="Q85" s="8">
        <f>bdrate(C85:C88,D85:D88,J85:J88,K85:K88)</f>
        <v>-0.30877805995505836</v>
      </c>
      <c r="R85" s="8">
        <f>bdrate(C85:C88,E85:E88,J85:J88,L85:L88)</f>
        <v>-0.33340449728992128</v>
      </c>
      <c r="S85" s="8">
        <f>bdrate(C85:C88,F85:F88,J85:J88,M85:M88)</f>
        <v>-0.3523518736335175</v>
      </c>
      <c r="T85" s="25">
        <f>bdrate(C85:C88,H85:H88,J85:J88,O85:O88)</f>
        <v>-0.31701614351884677</v>
      </c>
      <c r="U85" s="28">
        <f t="shared" si="3"/>
        <v>-0.25541473780071339</v>
      </c>
    </row>
    <row r="86" spans="1:21" x14ac:dyDescent="0.25">
      <c r="B86" s="9"/>
      <c r="C86" s="17">
        <v>1138.873046875</v>
      </c>
      <c r="D86" s="18">
        <v>48.231000000000002</v>
      </c>
      <c r="E86" s="18">
        <v>49.192999999999998</v>
      </c>
      <c r="F86" s="18">
        <v>49.595999999999997</v>
      </c>
      <c r="G86" s="18">
        <v>138.29</v>
      </c>
      <c r="H86" s="18">
        <f t="shared" si="4"/>
        <v>48.521875000000001</v>
      </c>
      <c r="I86" s="5"/>
      <c r="J86" s="17">
        <v>976.32950000000005</v>
      </c>
      <c r="K86" s="18">
        <v>49.613100000000003</v>
      </c>
      <c r="L86" s="18">
        <v>50.7087</v>
      </c>
      <c r="M86" s="18">
        <v>51.253100000000003</v>
      </c>
      <c r="N86" s="18">
        <v>135.583</v>
      </c>
      <c r="O86" s="18">
        <f t="shared" si="5"/>
        <v>49.955050000000007</v>
      </c>
      <c r="P86" s="7"/>
      <c r="Q86" s="10"/>
      <c r="R86" s="11"/>
      <c r="S86" s="11"/>
      <c r="T86" s="26"/>
      <c r="U86" s="28">
        <f t="shared" si="3"/>
        <v>-1.9574806565912168E-2</v>
      </c>
    </row>
    <row r="87" spans="1:21" x14ac:dyDescent="0.25">
      <c r="B87" s="9"/>
      <c r="C87" s="17">
        <v>717.3173828125</v>
      </c>
      <c r="D87" s="18">
        <v>45.372999999999998</v>
      </c>
      <c r="E87" s="18">
        <v>46.552</v>
      </c>
      <c r="F87" s="18">
        <v>46.976999999999997</v>
      </c>
      <c r="G87" s="18">
        <v>146.43</v>
      </c>
      <c r="H87" s="18">
        <f t="shared" si="4"/>
        <v>45.720874999999999</v>
      </c>
      <c r="I87" s="5"/>
      <c r="J87" s="17">
        <v>592.02679999999998</v>
      </c>
      <c r="K87" s="18">
        <v>46.379800000000003</v>
      </c>
      <c r="L87" s="18">
        <v>47.723500000000001</v>
      </c>
      <c r="M87" s="18">
        <v>48.2849</v>
      </c>
      <c r="N87" s="18">
        <v>157.20519999999999</v>
      </c>
      <c r="O87" s="18">
        <f t="shared" si="5"/>
        <v>46.785900000000005</v>
      </c>
      <c r="P87" s="7"/>
      <c r="Q87" s="10"/>
      <c r="R87" s="11"/>
      <c r="S87" s="11"/>
      <c r="T87" s="26"/>
      <c r="U87" s="28">
        <f t="shared" si="3"/>
        <v>7.3586013794987248E-2</v>
      </c>
    </row>
    <row r="88" spans="1:21" ht="16.5" thickBot="1" x14ac:dyDescent="0.3">
      <c r="B88" s="12"/>
      <c r="C88" s="19">
        <v>397.3798828125</v>
      </c>
      <c r="D88" s="20">
        <v>41.73</v>
      </c>
      <c r="E88" s="20">
        <v>43.246000000000002</v>
      </c>
      <c r="F88" s="20">
        <v>43.640999999999998</v>
      </c>
      <c r="G88" s="20">
        <v>152.85</v>
      </c>
      <c r="H88" s="20">
        <f t="shared" si="4"/>
        <v>42.158374999999999</v>
      </c>
      <c r="I88" s="5"/>
      <c r="J88" s="19">
        <v>299.8784</v>
      </c>
      <c r="K88" s="20">
        <v>42.425800000000002</v>
      </c>
      <c r="L88" s="20">
        <v>43.935600000000001</v>
      </c>
      <c r="M88" s="20">
        <v>44.562600000000003</v>
      </c>
      <c r="N88" s="20">
        <v>177.51480000000001</v>
      </c>
      <c r="O88" s="20">
        <f t="shared" si="5"/>
        <v>42.881625</v>
      </c>
      <c r="P88" s="7"/>
      <c r="Q88" s="13"/>
      <c r="R88" s="14"/>
      <c r="S88" s="14"/>
      <c r="T88" s="27"/>
      <c r="U88" s="28">
        <f t="shared" si="3"/>
        <v>0.16136604514229647</v>
      </c>
    </row>
    <row r="89" spans="1:21" x14ac:dyDescent="0.25">
      <c r="B89" s="6" t="s">
        <v>102</v>
      </c>
      <c r="C89" s="15">
        <v>1806.998046875</v>
      </c>
      <c r="D89" s="16">
        <v>40.75</v>
      </c>
      <c r="E89" s="16">
        <v>43.576000000000001</v>
      </c>
      <c r="F89" s="16">
        <v>43.966999999999999</v>
      </c>
      <c r="G89" s="16">
        <v>74.010000000000005</v>
      </c>
      <c r="H89" s="16">
        <f t="shared" si="4"/>
        <v>41.505375000000001</v>
      </c>
      <c r="I89" s="5"/>
      <c r="J89" s="15">
        <v>1492.1165000000001</v>
      </c>
      <c r="K89" s="16">
        <v>42.7438</v>
      </c>
      <c r="L89" s="16">
        <v>45.086300000000001</v>
      </c>
      <c r="M89" s="16">
        <v>45.512</v>
      </c>
      <c r="N89" s="16">
        <v>67.319900000000004</v>
      </c>
      <c r="O89" s="16">
        <f t="shared" si="5"/>
        <v>43.382637500000001</v>
      </c>
      <c r="P89" s="7"/>
      <c r="Q89" s="8">
        <f>bdrate(C89:C92,D89:D92,J89:J92,K89:K92)</f>
        <v>-0.46683098325803707</v>
      </c>
      <c r="R89" s="8">
        <f>bdrate(C89:C92,E89:E92,J89:J92,L89:L92)</f>
        <v>-0.5022287847396274</v>
      </c>
      <c r="S89" s="8">
        <f>bdrate(C89:C92,F89:F92,J89:J92,M89:M92)</f>
        <v>-0.50592611685072608</v>
      </c>
      <c r="T89" s="25">
        <f>bdrate(C89:C92,H89:H92,J89:J92,O89:O92)</f>
        <v>-0.4749433783072603</v>
      </c>
      <c r="U89" s="28">
        <f t="shared" si="3"/>
        <v>-9.0394541278205662E-2</v>
      </c>
    </row>
    <row r="90" spans="1:21" x14ac:dyDescent="0.25">
      <c r="B90" s="9"/>
      <c r="C90" s="17">
        <v>1277.310546875</v>
      </c>
      <c r="D90" s="18">
        <v>38.912999999999997</v>
      </c>
      <c r="E90" s="18">
        <v>42.048000000000002</v>
      </c>
      <c r="F90" s="18">
        <v>42.47</v>
      </c>
      <c r="G90" s="18">
        <v>78.989999999999995</v>
      </c>
      <c r="H90" s="18">
        <f t="shared" si="4"/>
        <v>39.749499999999998</v>
      </c>
      <c r="I90" s="5"/>
      <c r="J90" s="17">
        <v>996.19849999999997</v>
      </c>
      <c r="K90" s="18">
        <v>40.787100000000002</v>
      </c>
      <c r="L90" s="18">
        <v>43.570099999999996</v>
      </c>
      <c r="M90" s="18">
        <v>43.997999999999998</v>
      </c>
      <c r="N90" s="18">
        <v>93.201499999999996</v>
      </c>
      <c r="O90" s="18">
        <f t="shared" si="5"/>
        <v>41.536337499999995</v>
      </c>
      <c r="P90" s="7"/>
      <c r="Q90" s="10"/>
      <c r="R90" s="11"/>
      <c r="S90" s="11"/>
      <c r="T90" s="26"/>
      <c r="U90" s="28">
        <f t="shared" si="3"/>
        <v>0.1799151791365996</v>
      </c>
    </row>
    <row r="91" spans="1:21" x14ac:dyDescent="0.25">
      <c r="B91" s="9"/>
      <c r="C91" s="17">
        <v>834.0654296875</v>
      </c>
      <c r="D91" s="18">
        <v>36.640999999999998</v>
      </c>
      <c r="E91" s="18">
        <v>40.207999999999998</v>
      </c>
      <c r="F91" s="18">
        <v>40.619999999999997</v>
      </c>
      <c r="G91" s="18">
        <v>83.01</v>
      </c>
      <c r="H91" s="18">
        <f t="shared" si="4"/>
        <v>37.584249999999997</v>
      </c>
      <c r="I91" s="5"/>
      <c r="J91" s="17">
        <v>598.95360000000005</v>
      </c>
      <c r="K91" s="18">
        <v>38.256300000000003</v>
      </c>
      <c r="L91" s="18">
        <v>41.760300000000001</v>
      </c>
      <c r="M91" s="18">
        <v>42.1935</v>
      </c>
      <c r="N91" s="18">
        <v>110.1996</v>
      </c>
      <c r="O91" s="18">
        <f t="shared" si="5"/>
        <v>39.186449999999994</v>
      </c>
      <c r="P91" s="7"/>
      <c r="Q91" s="10"/>
      <c r="R91" s="11"/>
      <c r="S91" s="11"/>
      <c r="T91" s="26"/>
      <c r="U91" s="28">
        <f t="shared" si="3"/>
        <v>0.32754607878568842</v>
      </c>
    </row>
    <row r="92" spans="1:21" ht="16.5" thickBot="1" x14ac:dyDescent="0.3">
      <c r="B92" s="12"/>
      <c r="C92" s="19">
        <v>498.79296875</v>
      </c>
      <c r="D92" s="20">
        <v>33.728000000000002</v>
      </c>
      <c r="E92" s="20">
        <v>37.898000000000003</v>
      </c>
      <c r="F92" s="20">
        <v>38.402000000000001</v>
      </c>
      <c r="G92" s="20">
        <v>86.76</v>
      </c>
      <c r="H92" s="20">
        <f t="shared" si="4"/>
        <v>34.833500000000001</v>
      </c>
      <c r="I92" s="5"/>
      <c r="J92" s="19">
        <v>299.65050000000002</v>
      </c>
      <c r="K92" s="20">
        <v>34.445700000000002</v>
      </c>
      <c r="L92" s="20">
        <v>39.090699999999998</v>
      </c>
      <c r="M92" s="20">
        <v>39.5884</v>
      </c>
      <c r="N92" s="20">
        <v>135.43</v>
      </c>
      <c r="O92" s="20">
        <f t="shared" si="5"/>
        <v>35.669162499999999</v>
      </c>
      <c r="P92" s="7"/>
      <c r="Q92" s="13"/>
      <c r="R92" s="14"/>
      <c r="S92" s="14"/>
      <c r="T92" s="27"/>
      <c r="U92" s="28">
        <f t="shared" si="3"/>
        <v>0.56097279852466575</v>
      </c>
    </row>
    <row r="93" spans="1:21" x14ac:dyDescent="0.25">
      <c r="B93" s="6" t="s">
        <v>103</v>
      </c>
      <c r="C93" s="29">
        <v>1677.7998046875</v>
      </c>
      <c r="D93" s="30">
        <v>37.116999999999997</v>
      </c>
      <c r="E93" s="30">
        <v>42.008000000000003</v>
      </c>
      <c r="F93" s="30">
        <v>42.006</v>
      </c>
      <c r="G93" s="16">
        <v>62.95</v>
      </c>
      <c r="H93" s="16">
        <f t="shared" si="4"/>
        <v>38.339500000000001</v>
      </c>
      <c r="I93" s="5"/>
      <c r="J93" s="29">
        <v>1497.2303999999999</v>
      </c>
      <c r="K93" s="30">
        <v>39.035800000000002</v>
      </c>
      <c r="L93" s="30">
        <v>43.499299999999998</v>
      </c>
      <c r="M93" s="30">
        <v>43.509599999999999</v>
      </c>
      <c r="N93" s="16">
        <v>63.8185</v>
      </c>
      <c r="O93" s="16">
        <f t="shared" si="5"/>
        <v>40.152962500000001</v>
      </c>
      <c r="P93" s="7"/>
      <c r="Q93" s="8">
        <f>bdrate(C93:C96,D93:D96,J93:J96,K93:K96)</f>
        <v>-0.44522570540061268</v>
      </c>
      <c r="R93" s="8">
        <f>bdrate(C93:C96,E93:E96,J93:J96,L93:L96)</f>
        <v>-0.52410383991500575</v>
      </c>
      <c r="S93" s="8">
        <f>bdrate(C93:C96,F93:F96,J93:J96,M93:M96)</f>
        <v>-0.52612919239605427</v>
      </c>
      <c r="T93" s="25">
        <f>bdrate(C93:C96,H93:H96,J93:J96,O93:O96)</f>
        <v>-0.46315663207177415</v>
      </c>
      <c r="U93" s="28">
        <f t="shared" si="3"/>
        <v>1.3796664019062706E-2</v>
      </c>
    </row>
    <row r="94" spans="1:21" x14ac:dyDescent="0.25">
      <c r="B94" s="9"/>
      <c r="C94" s="31">
        <v>1175.52734375</v>
      </c>
      <c r="D94" s="32">
        <v>35.341000000000001</v>
      </c>
      <c r="E94" s="32">
        <v>40.496000000000002</v>
      </c>
      <c r="F94" s="32">
        <v>40.502000000000002</v>
      </c>
      <c r="G94" s="18">
        <v>66.430000000000007</v>
      </c>
      <c r="H94" s="18">
        <f t="shared" si="4"/>
        <v>36.630499999999998</v>
      </c>
      <c r="I94" s="5"/>
      <c r="J94" s="31">
        <v>1000.9473</v>
      </c>
      <c r="K94" s="32">
        <v>37.204500000000003</v>
      </c>
      <c r="L94" s="32">
        <v>42.235900000000001</v>
      </c>
      <c r="M94" s="32">
        <v>42.220199999999998</v>
      </c>
      <c r="N94" s="18">
        <v>79.519300000000001</v>
      </c>
      <c r="O94" s="18">
        <f t="shared" si="5"/>
        <v>38.460387500000003</v>
      </c>
      <c r="P94" s="7"/>
      <c r="Q94" s="10"/>
      <c r="R94" s="11"/>
      <c r="S94" s="11"/>
      <c r="T94" s="26"/>
      <c r="U94" s="28">
        <f t="shared" si="3"/>
        <v>0.19703898840885131</v>
      </c>
    </row>
    <row r="95" spans="1:21" x14ac:dyDescent="0.25">
      <c r="B95" s="9"/>
      <c r="C95" s="31">
        <v>724.0390625</v>
      </c>
      <c r="D95" s="32">
        <v>33.058999999999997</v>
      </c>
      <c r="E95" s="32">
        <v>38.651000000000003</v>
      </c>
      <c r="F95" s="32">
        <v>38.628999999999998</v>
      </c>
      <c r="G95" s="18">
        <v>72.64</v>
      </c>
      <c r="H95" s="18">
        <f t="shared" si="4"/>
        <v>34.454250000000002</v>
      </c>
      <c r="I95" s="5"/>
      <c r="J95" s="31">
        <v>600.63570000000004</v>
      </c>
      <c r="K95" s="32">
        <v>34.933399999999999</v>
      </c>
      <c r="L95" s="32">
        <v>40.6708</v>
      </c>
      <c r="M95" s="32">
        <v>40.707299999999996</v>
      </c>
      <c r="N95" s="18">
        <v>95.912999999999997</v>
      </c>
      <c r="O95" s="18">
        <f t="shared" si="5"/>
        <v>36.372312499999992</v>
      </c>
      <c r="P95" s="7"/>
      <c r="Q95" s="10"/>
      <c r="R95" s="11"/>
      <c r="S95" s="11"/>
      <c r="T95" s="26"/>
      <c r="U95" s="28">
        <f t="shared" si="3"/>
        <v>0.32038821585903077</v>
      </c>
    </row>
    <row r="96" spans="1:21" ht="16.5" thickBot="1" x14ac:dyDescent="0.3">
      <c r="B96" s="12"/>
      <c r="C96" s="33">
        <v>426.232421875</v>
      </c>
      <c r="D96" s="34">
        <v>30.484000000000002</v>
      </c>
      <c r="E96" s="34">
        <v>36.433</v>
      </c>
      <c r="F96" s="34">
        <v>36.338999999999999</v>
      </c>
      <c r="G96" s="20">
        <v>76.739999999999995</v>
      </c>
      <c r="H96" s="20">
        <f t="shared" si="4"/>
        <v>31.959499999999998</v>
      </c>
      <c r="I96" s="5"/>
      <c r="J96" s="33">
        <v>301.35430000000002</v>
      </c>
      <c r="K96" s="34">
        <v>31.894300000000001</v>
      </c>
      <c r="L96" s="34">
        <v>38.762900000000002</v>
      </c>
      <c r="M96" s="34">
        <v>38.667299999999997</v>
      </c>
      <c r="N96" s="20">
        <v>123.6688</v>
      </c>
      <c r="O96" s="20">
        <f t="shared" si="5"/>
        <v>33.599499999999999</v>
      </c>
      <c r="P96" s="7"/>
      <c r="Q96" s="13"/>
      <c r="R96" s="14"/>
      <c r="S96" s="14"/>
      <c r="T96" s="27"/>
      <c r="U96" s="28">
        <f t="shared" si="3"/>
        <v>0.61152984102163166</v>
      </c>
    </row>
    <row r="97" spans="2:21" x14ac:dyDescent="0.25">
      <c r="B97" s="6" t="s">
        <v>104</v>
      </c>
      <c r="C97" s="15">
        <v>1570.998046875</v>
      </c>
      <c r="D97" s="16">
        <v>34.725999999999999</v>
      </c>
      <c r="E97" s="16">
        <v>39.396000000000001</v>
      </c>
      <c r="F97" s="16">
        <v>40.158999999999999</v>
      </c>
      <c r="G97" s="16">
        <v>69.319999999999993</v>
      </c>
      <c r="H97" s="16">
        <f t="shared" si="4"/>
        <v>35.988875</v>
      </c>
      <c r="I97" s="5"/>
      <c r="J97" s="15">
        <v>1501.104</v>
      </c>
      <c r="K97" s="16">
        <v>36.958599999999997</v>
      </c>
      <c r="L97" s="16">
        <v>41.437600000000003</v>
      </c>
      <c r="M97" s="16">
        <v>41.97</v>
      </c>
      <c r="N97" s="16">
        <v>68.274900000000002</v>
      </c>
      <c r="O97" s="16">
        <f t="shared" si="5"/>
        <v>38.144900000000007</v>
      </c>
      <c r="P97" s="7"/>
      <c r="Q97" s="8">
        <f>bdrate(C97:C100,D97:D100,J97:J100,K97:K100)</f>
        <v>-0.39454491317414664</v>
      </c>
      <c r="R97" s="8">
        <f>bdrate(C97:C100,E97:E100,J97:J100,L97:L100)</f>
        <v>-0.529309306603992</v>
      </c>
      <c r="S97" s="8">
        <f>bdrate(C97:C100,F97:F100,J97:J100,M97:M100)</f>
        <v>-0.50490280447131808</v>
      </c>
      <c r="T97" s="25">
        <f>bdrate(C97:C100,H97:H100,J97:J100,O97:O100)</f>
        <v>-0.4238322786678631</v>
      </c>
      <c r="U97" s="28">
        <f t="shared" si="3"/>
        <v>-1.5076457010963516E-2</v>
      </c>
    </row>
    <row r="98" spans="2:21" x14ac:dyDescent="0.25">
      <c r="B98" s="9"/>
      <c r="C98" s="17">
        <v>1074.0390625</v>
      </c>
      <c r="D98" s="18">
        <v>33.055999999999997</v>
      </c>
      <c r="E98" s="18">
        <v>37.9</v>
      </c>
      <c r="F98" s="18">
        <v>38.729999999999997</v>
      </c>
      <c r="G98" s="18">
        <v>71.27</v>
      </c>
      <c r="H98" s="18">
        <f t="shared" si="4"/>
        <v>34.370750000000001</v>
      </c>
      <c r="I98" s="5"/>
      <c r="J98" s="17">
        <v>1003.5619</v>
      </c>
      <c r="K98" s="18">
        <v>35.055599999999998</v>
      </c>
      <c r="L98" s="18">
        <v>40.040300000000002</v>
      </c>
      <c r="M98" s="18">
        <v>40.634999999999998</v>
      </c>
      <c r="N98" s="18">
        <v>79.575599999999994</v>
      </c>
      <c r="O98" s="18">
        <f t="shared" si="5"/>
        <v>36.376112499999998</v>
      </c>
      <c r="P98" s="7"/>
      <c r="Q98" s="10"/>
      <c r="R98" s="11"/>
      <c r="S98" s="11"/>
      <c r="T98" s="26"/>
      <c r="U98" s="28">
        <f t="shared" si="3"/>
        <v>0.11653711238950468</v>
      </c>
    </row>
    <row r="99" spans="2:21" x14ac:dyDescent="0.25">
      <c r="B99" s="9"/>
      <c r="C99" s="17">
        <v>660.611328125</v>
      </c>
      <c r="D99" s="18">
        <v>30.885000000000002</v>
      </c>
      <c r="E99" s="18">
        <v>35.97</v>
      </c>
      <c r="F99" s="18">
        <v>36.89</v>
      </c>
      <c r="G99" s="18">
        <v>76.849999999999994</v>
      </c>
      <c r="H99" s="18">
        <f t="shared" si="4"/>
        <v>32.271250000000002</v>
      </c>
      <c r="I99" s="5"/>
      <c r="J99" s="17">
        <v>602.41719999999998</v>
      </c>
      <c r="K99" s="18">
        <v>32.7455</v>
      </c>
      <c r="L99" s="18">
        <v>38.423299999999998</v>
      </c>
      <c r="M99" s="18">
        <v>39.064999999999998</v>
      </c>
      <c r="N99" s="18">
        <v>94.4238</v>
      </c>
      <c r="O99" s="18">
        <f t="shared" si="5"/>
        <v>34.245162499999999</v>
      </c>
      <c r="P99" s="7"/>
      <c r="Q99" s="10"/>
      <c r="R99" s="11"/>
      <c r="S99" s="11"/>
      <c r="T99" s="26"/>
      <c r="U99" s="28">
        <f t="shared" si="3"/>
        <v>0.22867664281067024</v>
      </c>
    </row>
    <row r="100" spans="2:21" ht="16.5" thickBot="1" x14ac:dyDescent="0.3">
      <c r="B100" s="12"/>
      <c r="C100" s="19">
        <v>408.3720703125</v>
      </c>
      <c r="D100" s="20">
        <v>28.818000000000001</v>
      </c>
      <c r="E100" s="20">
        <v>34.142000000000003</v>
      </c>
      <c r="F100" s="20">
        <v>35.043999999999997</v>
      </c>
      <c r="G100" s="20">
        <v>79.45</v>
      </c>
      <c r="H100" s="20">
        <f t="shared" si="4"/>
        <v>30.261749999999999</v>
      </c>
      <c r="I100" s="5"/>
      <c r="J100" s="19">
        <v>298.27120000000002</v>
      </c>
      <c r="K100" s="20">
        <v>29.479099999999999</v>
      </c>
      <c r="L100" s="20">
        <v>36.251100000000001</v>
      </c>
      <c r="M100" s="20">
        <v>36.978400000000001</v>
      </c>
      <c r="N100" s="20">
        <v>121.20399999999999</v>
      </c>
      <c r="O100" s="20">
        <f t="shared" si="5"/>
        <v>31.263012499999999</v>
      </c>
      <c r="P100" s="7"/>
      <c r="Q100" s="13"/>
      <c r="R100" s="14"/>
      <c r="S100" s="14"/>
      <c r="T100" s="27"/>
      <c r="U100" s="28">
        <f t="shared" si="3"/>
        <v>0.52553807426054111</v>
      </c>
    </row>
    <row r="101" spans="2:21" x14ac:dyDescent="0.25">
      <c r="B101" s="6" t="s">
        <v>105</v>
      </c>
      <c r="C101" s="15">
        <v>1618.66015625</v>
      </c>
      <c r="D101" s="16">
        <v>35.786000000000001</v>
      </c>
      <c r="E101" s="16">
        <v>41.58</v>
      </c>
      <c r="F101" s="16">
        <v>43.192999999999998</v>
      </c>
      <c r="G101" s="16">
        <v>57.44</v>
      </c>
      <c r="H101" s="16">
        <f t="shared" si="4"/>
        <v>37.436124999999997</v>
      </c>
      <c r="I101" s="5"/>
      <c r="J101" s="15">
        <v>1506.6112000000001</v>
      </c>
      <c r="K101" s="16">
        <v>37.189100000000003</v>
      </c>
      <c r="L101" s="16">
        <v>43.0501</v>
      </c>
      <c r="M101" s="16">
        <v>44.443899999999999</v>
      </c>
      <c r="N101" s="16">
        <v>65.115899999999996</v>
      </c>
      <c r="O101" s="16">
        <f t="shared" si="5"/>
        <v>38.828575000000001</v>
      </c>
      <c r="P101" s="7"/>
      <c r="Q101" s="8">
        <f>bdrate(C101:C104,D101:D104,J101:J104,K101:K104)</f>
        <v>-0.4289587174150854</v>
      </c>
      <c r="R101" s="8">
        <f>bdrate(C101:C104,E101:E104,J101:J104,L101:L104)</f>
        <v>-0.56179210132637736</v>
      </c>
      <c r="S101" s="8">
        <f>bdrate(C101:C104,F101:F104,J101:J104,M101:M104)</f>
        <v>-0.50178344672803021</v>
      </c>
      <c r="T101" s="25">
        <f>bdrate(C101:C104,H101:H104,J101:J104,O101:O104)</f>
        <v>-0.45347183551989068</v>
      </c>
      <c r="U101" s="28">
        <f t="shared" si="3"/>
        <v>0.13363335654596098</v>
      </c>
    </row>
    <row r="102" spans="2:21" x14ac:dyDescent="0.25">
      <c r="B102" s="9"/>
      <c r="C102" s="17">
        <v>1094.7587890625</v>
      </c>
      <c r="D102" s="18">
        <v>34.338000000000001</v>
      </c>
      <c r="E102" s="18">
        <v>40.399000000000001</v>
      </c>
      <c r="F102" s="18">
        <v>41.814999999999998</v>
      </c>
      <c r="G102" s="18">
        <v>61.44</v>
      </c>
      <c r="H102" s="18">
        <f t="shared" si="4"/>
        <v>36.030250000000002</v>
      </c>
      <c r="I102" s="5"/>
      <c r="J102" s="17">
        <v>1006.7127</v>
      </c>
      <c r="K102" s="18">
        <v>35.811</v>
      </c>
      <c r="L102" s="18">
        <v>42.086300000000001</v>
      </c>
      <c r="M102" s="18">
        <v>43.381100000000004</v>
      </c>
      <c r="N102" s="18">
        <v>76.615300000000005</v>
      </c>
      <c r="O102" s="18">
        <f t="shared" si="5"/>
        <v>37.541674999999998</v>
      </c>
      <c r="P102" s="7"/>
      <c r="Q102" s="10"/>
      <c r="R102" s="11"/>
      <c r="S102" s="11"/>
      <c r="T102" s="26"/>
      <c r="U102" s="28">
        <f t="shared" si="3"/>
        <v>0.24699381510416679</v>
      </c>
    </row>
    <row r="103" spans="2:21" x14ac:dyDescent="0.25">
      <c r="B103" s="9"/>
      <c r="C103" s="17">
        <v>658.6806640625</v>
      </c>
      <c r="D103" s="18">
        <v>32.488</v>
      </c>
      <c r="E103" s="18">
        <v>38.844000000000001</v>
      </c>
      <c r="F103" s="18">
        <v>39.917999999999999</v>
      </c>
      <c r="G103" s="18">
        <v>69.39</v>
      </c>
      <c r="H103" s="18">
        <f t="shared" si="4"/>
        <v>34.21125</v>
      </c>
      <c r="I103" s="5"/>
      <c r="J103" s="17">
        <v>604.09490000000005</v>
      </c>
      <c r="K103" s="18">
        <v>34.142299999999999</v>
      </c>
      <c r="L103" s="18">
        <v>40.920099999999998</v>
      </c>
      <c r="M103" s="18">
        <v>42.028100000000002</v>
      </c>
      <c r="N103" s="18">
        <v>91.649699999999996</v>
      </c>
      <c r="O103" s="18">
        <f t="shared" si="5"/>
        <v>35.975249999999996</v>
      </c>
      <c r="P103" s="7"/>
      <c r="Q103" s="10"/>
      <c r="R103" s="11"/>
      <c r="S103" s="11"/>
      <c r="T103" s="26"/>
      <c r="U103" s="28">
        <f t="shared" si="3"/>
        <v>0.32079118028534365</v>
      </c>
    </row>
    <row r="104" spans="2:21" ht="16.5" thickBot="1" x14ac:dyDescent="0.3">
      <c r="B104" s="12"/>
      <c r="C104" s="19">
        <v>360.1376953125</v>
      </c>
      <c r="D104" s="20">
        <v>30.533000000000001</v>
      </c>
      <c r="E104" s="20">
        <v>36.963999999999999</v>
      </c>
      <c r="F104" s="20">
        <v>37.536000000000001</v>
      </c>
      <c r="G104" s="20">
        <v>78.260000000000005</v>
      </c>
      <c r="H104" s="20">
        <f t="shared" si="4"/>
        <v>32.212249999999997</v>
      </c>
      <c r="I104" s="5"/>
      <c r="J104" s="19">
        <v>302.91370000000001</v>
      </c>
      <c r="K104" s="20">
        <v>32.097000000000001</v>
      </c>
      <c r="L104" s="20">
        <v>39.484099999999998</v>
      </c>
      <c r="M104" s="20">
        <v>40.381900000000002</v>
      </c>
      <c r="N104" s="20">
        <v>118.0947</v>
      </c>
      <c r="O104" s="20">
        <f t="shared" si="5"/>
        <v>34.055999999999997</v>
      </c>
      <c r="P104" s="7"/>
      <c r="Q104" s="13"/>
      <c r="R104" s="14"/>
      <c r="S104" s="14"/>
      <c r="T104" s="27"/>
      <c r="U104" s="28">
        <f t="shared" si="3"/>
        <v>0.50900460005111159</v>
      </c>
    </row>
    <row r="105" spans="2:21" x14ac:dyDescent="0.25">
      <c r="B105" s="6" t="s">
        <v>106</v>
      </c>
      <c r="C105" s="15">
        <v>1403.8125</v>
      </c>
      <c r="D105" s="16">
        <v>44.003</v>
      </c>
      <c r="E105" s="16">
        <v>48.750999999999998</v>
      </c>
      <c r="F105" s="16">
        <v>50.404000000000003</v>
      </c>
      <c r="G105" s="16">
        <v>81.14</v>
      </c>
      <c r="H105" s="16">
        <f t="shared" si="4"/>
        <v>45.396625</v>
      </c>
      <c r="I105" s="5"/>
      <c r="J105" s="15">
        <v>1500.4631999999999</v>
      </c>
      <c r="K105" s="16">
        <v>47.454500000000003</v>
      </c>
      <c r="L105" s="16">
        <v>52.731000000000002</v>
      </c>
      <c r="M105" s="16">
        <v>54.069299999999998</v>
      </c>
      <c r="N105" s="16">
        <v>80.362700000000004</v>
      </c>
      <c r="O105" s="16">
        <f t="shared" si="5"/>
        <v>48.940912500000003</v>
      </c>
      <c r="P105" s="7"/>
      <c r="Q105" s="8">
        <f>bdrate(C105:C108,D105:D108,J105:J108,K105:K108)</f>
        <v>-0.4995743577082703</v>
      </c>
      <c r="R105" s="8">
        <f>bdrate(C105:C108,E105:E108,J105:J108,L105:L108)</f>
        <v>-0.59174697797514497</v>
      </c>
      <c r="S105" s="8">
        <f>bdrate(C105:C108,F105:F108,J105:J108,M105:M108)</f>
        <v>-0.55860006551885566</v>
      </c>
      <c r="T105" s="25">
        <f>bdrate(C105:C108,H105:H108,J105:J108,O105:O108)</f>
        <v>-0.51900309765345398</v>
      </c>
      <c r="U105" s="28">
        <f t="shared" si="3"/>
        <v>-9.5797387231944392E-3</v>
      </c>
    </row>
    <row r="106" spans="2:21" x14ac:dyDescent="0.25">
      <c r="B106" s="9"/>
      <c r="C106" s="17">
        <v>1006.4443359375</v>
      </c>
      <c r="D106" s="18">
        <v>42.47</v>
      </c>
      <c r="E106" s="18">
        <v>47.372</v>
      </c>
      <c r="F106" s="18">
        <v>49.088000000000001</v>
      </c>
      <c r="G106" s="18">
        <v>87.67</v>
      </c>
      <c r="H106" s="18">
        <f t="shared" si="4"/>
        <v>43.910000000000004</v>
      </c>
      <c r="I106" s="5"/>
      <c r="J106" s="17">
        <v>1001.8679</v>
      </c>
      <c r="K106" s="18">
        <v>45.643900000000002</v>
      </c>
      <c r="L106" s="18">
        <v>51.103000000000002</v>
      </c>
      <c r="M106" s="18">
        <v>52.455100000000002</v>
      </c>
      <c r="N106" s="18">
        <v>96.424899999999994</v>
      </c>
      <c r="O106" s="18">
        <f t="shared" si="5"/>
        <v>47.177687500000005</v>
      </c>
      <c r="P106" s="7"/>
      <c r="Q106" s="10"/>
      <c r="R106" s="11"/>
      <c r="S106" s="11"/>
      <c r="T106" s="26"/>
      <c r="U106" s="28">
        <f t="shared" si="3"/>
        <v>9.9861982434127888E-2</v>
      </c>
    </row>
    <row r="107" spans="2:21" x14ac:dyDescent="0.25">
      <c r="B107" s="9"/>
      <c r="C107" s="17">
        <v>622.7744140625</v>
      </c>
      <c r="D107" s="18">
        <v>40.448999999999998</v>
      </c>
      <c r="E107" s="18">
        <v>45.433999999999997</v>
      </c>
      <c r="F107" s="18">
        <v>47.078000000000003</v>
      </c>
      <c r="G107" s="18">
        <v>97.5</v>
      </c>
      <c r="H107" s="18">
        <f t="shared" si="4"/>
        <v>41.900750000000002</v>
      </c>
      <c r="I107" s="5"/>
      <c r="J107" s="17">
        <v>601.41189999999995</v>
      </c>
      <c r="K107" s="18">
        <v>43.317500000000003</v>
      </c>
      <c r="L107" s="18">
        <v>48.994100000000003</v>
      </c>
      <c r="M107" s="18">
        <v>50.347200000000001</v>
      </c>
      <c r="N107" s="18">
        <v>116.7197</v>
      </c>
      <c r="O107" s="18">
        <f t="shared" si="5"/>
        <v>44.905787500000002</v>
      </c>
      <c r="P107" s="7"/>
      <c r="Q107" s="10"/>
      <c r="R107" s="11"/>
      <c r="S107" s="11"/>
      <c r="T107" s="26"/>
      <c r="U107" s="28">
        <f t="shared" si="3"/>
        <v>0.19712512820512823</v>
      </c>
    </row>
    <row r="108" spans="2:21" ht="16.5" thickBot="1" x14ac:dyDescent="0.3">
      <c r="B108" s="12"/>
      <c r="C108" s="19">
        <v>316.3583984375</v>
      </c>
      <c r="D108" s="20">
        <v>37.837000000000003</v>
      </c>
      <c r="E108" s="20">
        <v>42.817</v>
      </c>
      <c r="F108" s="20">
        <v>44.503999999999998</v>
      </c>
      <c r="G108" s="20">
        <v>110.74</v>
      </c>
      <c r="H108" s="20">
        <f t="shared" si="4"/>
        <v>39.292875000000002</v>
      </c>
      <c r="I108" s="5"/>
      <c r="J108" s="19">
        <v>301.69240000000002</v>
      </c>
      <c r="K108" s="20">
        <v>40.197000000000003</v>
      </c>
      <c r="L108" s="20">
        <v>46.045000000000002</v>
      </c>
      <c r="M108" s="20">
        <v>47.433</v>
      </c>
      <c r="N108" s="20">
        <v>146.1532</v>
      </c>
      <c r="O108" s="20">
        <f t="shared" si="5"/>
        <v>41.832500000000003</v>
      </c>
      <c r="P108" s="7"/>
      <c r="Q108" s="13"/>
      <c r="R108" s="14"/>
      <c r="S108" s="14"/>
      <c r="T108" s="27"/>
      <c r="U108" s="28">
        <f t="shared" si="3"/>
        <v>0.31978688820661011</v>
      </c>
    </row>
    <row r="109" spans="2:21" x14ac:dyDescent="0.25">
      <c r="B109" s="6" t="s">
        <v>107</v>
      </c>
      <c r="C109" s="15">
        <v>1529.75</v>
      </c>
      <c r="D109" s="16">
        <v>29.802</v>
      </c>
      <c r="E109" s="16">
        <v>38.110999999999997</v>
      </c>
      <c r="F109" s="16">
        <v>37.517000000000003</v>
      </c>
      <c r="G109" s="16">
        <v>53.33</v>
      </c>
      <c r="H109" s="16">
        <f t="shared" si="4"/>
        <v>31.805</v>
      </c>
      <c r="I109" s="5"/>
      <c r="J109" s="15">
        <v>1496.6615999999999</v>
      </c>
      <c r="K109" s="16">
        <v>32.0002</v>
      </c>
      <c r="L109" s="16">
        <v>40.169199999999996</v>
      </c>
      <c r="M109" s="16">
        <v>39.538499999999999</v>
      </c>
      <c r="N109" s="16">
        <v>49.457299999999996</v>
      </c>
      <c r="O109" s="16">
        <f t="shared" si="5"/>
        <v>33.963612499999996</v>
      </c>
      <c r="P109" s="7"/>
      <c r="Q109" s="8">
        <f>bdrate(C109:C112,D109:D112,J109:J112,K109:K112)</f>
        <v>-0.39287469093140692</v>
      </c>
      <c r="R109" s="8">
        <f>bdrate(C109:C112,E109:E112,J109:J112,L109:L112)</f>
        <v>-0.61793125658688752</v>
      </c>
      <c r="S109" s="8">
        <f>bdrate(C109:C112,F109:F112,J109:J112,M109:M112)</f>
        <v>-0.59923652438715713</v>
      </c>
      <c r="T109" s="25">
        <f>bdrate(C109:C112,H109:H112,J109:J112,O109:O112)</f>
        <v>-0.44541115498090955</v>
      </c>
      <c r="U109" s="28">
        <f t="shared" si="3"/>
        <v>-7.2617663603975285E-2</v>
      </c>
    </row>
    <row r="110" spans="2:21" x14ac:dyDescent="0.25">
      <c r="B110" s="9"/>
      <c r="C110" s="17">
        <v>1114.9189453125</v>
      </c>
      <c r="D110" s="18">
        <v>28.47</v>
      </c>
      <c r="E110" s="18">
        <v>36.863999999999997</v>
      </c>
      <c r="F110" s="18">
        <v>36.317999999999998</v>
      </c>
      <c r="G110" s="18">
        <v>57.73</v>
      </c>
      <c r="H110" s="18">
        <f t="shared" si="4"/>
        <v>30.500250000000001</v>
      </c>
      <c r="I110" s="5"/>
      <c r="J110" s="17">
        <v>996.12189999999998</v>
      </c>
      <c r="K110" s="18">
        <v>30.224599999999999</v>
      </c>
      <c r="L110" s="18">
        <v>39.198900000000002</v>
      </c>
      <c r="M110" s="18">
        <v>38.531999999999996</v>
      </c>
      <c r="N110" s="18">
        <v>57.405299999999997</v>
      </c>
      <c r="O110" s="18">
        <f t="shared" si="5"/>
        <v>32.384812500000002</v>
      </c>
      <c r="P110" s="7"/>
      <c r="Q110" s="10"/>
      <c r="R110" s="11"/>
      <c r="S110" s="11"/>
      <c r="T110" s="26"/>
      <c r="U110" s="28">
        <f t="shared" si="3"/>
        <v>-5.6244586869911659E-3</v>
      </c>
    </row>
    <row r="111" spans="2:21" x14ac:dyDescent="0.25">
      <c r="B111" s="9"/>
      <c r="C111" s="17">
        <v>847.54296875</v>
      </c>
      <c r="D111" s="18">
        <v>27.555</v>
      </c>
      <c r="E111" s="18">
        <v>35.863</v>
      </c>
      <c r="F111" s="18">
        <v>35.311</v>
      </c>
      <c r="G111" s="18">
        <v>59.86</v>
      </c>
      <c r="H111" s="18">
        <f t="shared" si="4"/>
        <v>29.562999999999999</v>
      </c>
      <c r="I111" s="5"/>
      <c r="J111" s="17">
        <v>597.71310000000005</v>
      </c>
      <c r="K111" s="18">
        <v>28.037800000000001</v>
      </c>
      <c r="L111" s="18">
        <v>37.933900000000001</v>
      </c>
      <c r="M111" s="18">
        <v>37.192500000000003</v>
      </c>
      <c r="N111" s="18">
        <v>71.667500000000004</v>
      </c>
      <c r="O111" s="18">
        <f t="shared" si="5"/>
        <v>30.419149999999998</v>
      </c>
      <c r="P111" s="7"/>
      <c r="Q111" s="10"/>
      <c r="R111" s="11"/>
      <c r="S111" s="11"/>
      <c r="T111" s="26"/>
      <c r="U111" s="28">
        <f t="shared" si="3"/>
        <v>0.19725192114934856</v>
      </c>
    </row>
    <row r="112" spans="2:21" ht="16.5" thickBot="1" x14ac:dyDescent="0.3">
      <c r="B112" s="12"/>
      <c r="C112" s="19">
        <v>669.427734375</v>
      </c>
      <c r="D112" s="20">
        <v>26.614999999999998</v>
      </c>
      <c r="E112" s="20">
        <v>34.654000000000003</v>
      </c>
      <c r="F112" s="20">
        <v>34.19</v>
      </c>
      <c r="G112" s="20">
        <v>60.55</v>
      </c>
      <c r="H112" s="20">
        <f t="shared" si="4"/>
        <v>28.566749999999999</v>
      </c>
      <c r="I112" s="5"/>
      <c r="J112" s="19">
        <v>299.06670000000003</v>
      </c>
      <c r="K112" s="20">
        <v>25.2727</v>
      </c>
      <c r="L112" s="20">
        <v>35.665799999999997</v>
      </c>
      <c r="M112" s="20">
        <v>35.048099999999998</v>
      </c>
      <c r="N112" s="20">
        <v>102.1103</v>
      </c>
      <c r="O112" s="20">
        <f t="shared" si="5"/>
        <v>27.7937625</v>
      </c>
      <c r="P112" s="7"/>
      <c r="Q112" s="13"/>
      <c r="R112" s="14"/>
      <c r="S112" s="14"/>
      <c r="T112" s="27"/>
      <c r="U112" s="28">
        <f t="shared" si="3"/>
        <v>0.68637985136251034</v>
      </c>
    </row>
    <row r="113" spans="2:21" x14ac:dyDescent="0.25">
      <c r="B113" s="6" t="s">
        <v>108</v>
      </c>
      <c r="C113" s="15">
        <v>1982.09765625</v>
      </c>
      <c r="D113" s="16">
        <v>44.127000000000002</v>
      </c>
      <c r="E113" s="16">
        <v>45.351999999999997</v>
      </c>
      <c r="F113" s="16">
        <v>45.225000000000001</v>
      </c>
      <c r="G113" s="16">
        <v>73.56</v>
      </c>
      <c r="H113" s="16">
        <f t="shared" si="4"/>
        <v>44.417375</v>
      </c>
      <c r="I113" s="5"/>
      <c r="J113" s="15">
        <v>1426.7881</v>
      </c>
      <c r="K113" s="16">
        <v>45.045099999999998</v>
      </c>
      <c r="L113" s="16">
        <v>46.120600000000003</v>
      </c>
      <c r="M113" s="16">
        <v>46.0259</v>
      </c>
      <c r="N113" s="16">
        <v>71.713099999999997</v>
      </c>
      <c r="O113" s="16">
        <f t="shared" si="5"/>
        <v>45.302137500000001</v>
      </c>
      <c r="P113" s="7"/>
      <c r="Q113" s="8">
        <f>bdrate(C113:C116,D113:D116,J113:J116,K113:K116)</f>
        <v>-0.44815699663507447</v>
      </c>
      <c r="R113" s="8">
        <f>bdrate(C113:C116,E113:E116,J113:J116,L113:L116)</f>
        <v>-0.46453776272458469</v>
      </c>
      <c r="S113" s="8">
        <f>bdrate(C113:C116,F113:F116,J113:J116,M113:M116)</f>
        <v>-0.46509467689147921</v>
      </c>
      <c r="T113" s="25">
        <f>bdrate(C113:C116,H113:H116,J113:J116,O113:O116)</f>
        <v>-0.45213525025832613</v>
      </c>
      <c r="U113" s="28">
        <f t="shared" si="3"/>
        <v>-2.5107395323545473E-2</v>
      </c>
    </row>
    <row r="114" spans="2:21" x14ac:dyDescent="0.25">
      <c r="B114" s="9"/>
      <c r="C114" s="17">
        <v>1405.853515625</v>
      </c>
      <c r="D114" s="18">
        <v>41.957000000000001</v>
      </c>
      <c r="E114" s="18">
        <v>43.462000000000003</v>
      </c>
      <c r="F114" s="18">
        <v>43.304000000000002</v>
      </c>
      <c r="G114" s="18">
        <v>81.709999999999994</v>
      </c>
      <c r="H114" s="18">
        <f t="shared" si="4"/>
        <v>42.313500000000005</v>
      </c>
      <c r="I114" s="5"/>
      <c r="J114" s="17">
        <v>965.39189999999996</v>
      </c>
      <c r="K114" s="18">
        <v>43.239400000000003</v>
      </c>
      <c r="L114" s="18">
        <v>44.613199999999999</v>
      </c>
      <c r="M114" s="18">
        <v>44.491100000000003</v>
      </c>
      <c r="N114" s="18">
        <v>90.004499999999993</v>
      </c>
      <c r="O114" s="18">
        <f t="shared" si="5"/>
        <v>43.567587500000009</v>
      </c>
      <c r="P114" s="7"/>
      <c r="Q114" s="10"/>
      <c r="R114" s="11"/>
      <c r="S114" s="11"/>
      <c r="T114" s="26"/>
      <c r="U114" s="28">
        <f t="shared" si="3"/>
        <v>0.10151144290784482</v>
      </c>
    </row>
    <row r="115" spans="2:21" x14ac:dyDescent="0.25">
      <c r="B115" s="9"/>
      <c r="C115" s="17">
        <v>903.5712890625</v>
      </c>
      <c r="D115" s="18">
        <v>39.216999999999999</v>
      </c>
      <c r="E115" s="18">
        <v>41.034999999999997</v>
      </c>
      <c r="F115" s="18">
        <v>40.859000000000002</v>
      </c>
      <c r="G115" s="18">
        <v>89.34</v>
      </c>
      <c r="H115" s="18">
        <f t="shared" si="4"/>
        <v>39.649499999999996</v>
      </c>
      <c r="I115" s="5"/>
      <c r="J115" s="17">
        <v>588.9828</v>
      </c>
      <c r="K115" s="18">
        <v>40.255200000000002</v>
      </c>
      <c r="L115" s="18">
        <v>42.058300000000003</v>
      </c>
      <c r="M115" s="18">
        <v>41.893999999999998</v>
      </c>
      <c r="N115" s="18">
        <v>111.05629999999999</v>
      </c>
      <c r="O115" s="18">
        <f t="shared" si="5"/>
        <v>40.685437500000006</v>
      </c>
      <c r="P115" s="7"/>
      <c r="Q115" s="10"/>
      <c r="R115" s="11"/>
      <c r="S115" s="11"/>
      <c r="T115" s="26"/>
      <c r="U115" s="28">
        <f t="shared" si="3"/>
        <v>0.24307477053951185</v>
      </c>
    </row>
    <row r="116" spans="2:21" ht="16.5" thickBot="1" x14ac:dyDescent="0.3">
      <c r="B116" s="12"/>
      <c r="C116" s="19">
        <v>528.53515625</v>
      </c>
      <c r="D116" s="20">
        <v>35.722999999999999</v>
      </c>
      <c r="E116" s="20">
        <v>37.881</v>
      </c>
      <c r="F116" s="20">
        <v>37.658000000000001</v>
      </c>
      <c r="G116" s="20">
        <v>94.39</v>
      </c>
      <c r="H116" s="20">
        <f t="shared" si="4"/>
        <v>36.234625000000001</v>
      </c>
      <c r="I116" s="5"/>
      <c r="J116" s="19">
        <v>295.0856</v>
      </c>
      <c r="K116" s="20">
        <v>35.911499999999997</v>
      </c>
      <c r="L116" s="20">
        <v>38.628700000000002</v>
      </c>
      <c r="M116" s="20">
        <v>38.411299999999997</v>
      </c>
      <c r="N116" s="20">
        <v>137.0384</v>
      </c>
      <c r="O116" s="20">
        <f t="shared" si="5"/>
        <v>36.563625000000002</v>
      </c>
      <c r="P116" s="7"/>
      <c r="Q116" s="13"/>
      <c r="R116" s="14"/>
      <c r="S116" s="14"/>
      <c r="T116" s="27"/>
      <c r="U116" s="28">
        <f t="shared" si="3"/>
        <v>0.45183176183917784</v>
      </c>
    </row>
    <row r="117" spans="2:21" x14ac:dyDescent="0.25">
      <c r="B117" s="6" t="s">
        <v>109</v>
      </c>
      <c r="C117" s="15">
        <v>2141.20703125</v>
      </c>
      <c r="D117" s="16">
        <v>45.381999999999998</v>
      </c>
      <c r="E117" s="16">
        <v>46.844999999999999</v>
      </c>
      <c r="F117" s="16">
        <v>47.076999999999998</v>
      </c>
      <c r="G117" s="16">
        <v>76.92</v>
      </c>
      <c r="H117" s="16">
        <f t="shared" si="4"/>
        <v>45.776749999999993</v>
      </c>
      <c r="I117" s="5"/>
      <c r="J117" s="15">
        <v>1396.9183</v>
      </c>
      <c r="K117" s="16">
        <v>45.549199999999999</v>
      </c>
      <c r="L117" s="16">
        <v>47.799199999999999</v>
      </c>
      <c r="M117" s="16">
        <v>48.039299999999997</v>
      </c>
      <c r="N117" s="16">
        <v>67.242000000000004</v>
      </c>
      <c r="O117" s="16">
        <f t="shared" si="5"/>
        <v>46.141712499999997</v>
      </c>
      <c r="P117" s="7"/>
      <c r="Q117" s="8">
        <f>bdrate(C117:C120,D117:D120,J117:J120,K117:K120)</f>
        <v>-0.28790231383224685</v>
      </c>
      <c r="R117" s="8">
        <f>bdrate(C117:C120,E117:E120,J117:J120,L117:L120)</f>
        <v>-0.37193934888408331</v>
      </c>
      <c r="S117" s="8">
        <f>bdrate(C117:C120,F117:F120,J117:J120,M117:M120)</f>
        <v>-0.37619763814292628</v>
      </c>
      <c r="T117" s="25">
        <f>bdrate(C117:C120,H117:H120,J117:J120,O117:O120)</f>
        <v>-0.3091631674290245</v>
      </c>
      <c r="U117" s="28">
        <f t="shared" si="3"/>
        <v>-0.1258190327613104</v>
      </c>
    </row>
    <row r="118" spans="2:21" x14ac:dyDescent="0.25">
      <c r="B118" s="9"/>
      <c r="C118" s="17">
        <v>1618.609375</v>
      </c>
      <c r="D118" s="18">
        <v>44.411000000000001</v>
      </c>
      <c r="E118" s="18">
        <v>46.021000000000001</v>
      </c>
      <c r="F118" s="18">
        <v>46.250999999999998</v>
      </c>
      <c r="G118" s="18">
        <v>80.87</v>
      </c>
      <c r="H118" s="18">
        <f t="shared" si="4"/>
        <v>44.84225</v>
      </c>
      <c r="I118" s="5"/>
      <c r="J118" s="17">
        <v>972.96010000000001</v>
      </c>
      <c r="K118" s="18">
        <v>43.9392</v>
      </c>
      <c r="L118" s="18">
        <v>46.417000000000002</v>
      </c>
      <c r="M118" s="18">
        <v>46.653500000000001</v>
      </c>
      <c r="N118" s="18">
        <v>75.465400000000002</v>
      </c>
      <c r="O118" s="18">
        <f t="shared" si="5"/>
        <v>44.588212499999997</v>
      </c>
      <c r="P118" s="7"/>
      <c r="Q118" s="10"/>
      <c r="R118" s="11"/>
      <c r="S118" s="11"/>
      <c r="T118" s="26"/>
      <c r="U118" s="28">
        <f t="shared" si="3"/>
        <v>-6.6830715963892687E-2</v>
      </c>
    </row>
    <row r="119" spans="2:21" x14ac:dyDescent="0.25">
      <c r="B119" s="9"/>
      <c r="C119" s="17">
        <v>939.1728515625</v>
      </c>
      <c r="D119" s="18">
        <v>41.802</v>
      </c>
      <c r="E119" s="18">
        <v>43.906999999999996</v>
      </c>
      <c r="F119" s="18">
        <v>44.149000000000001</v>
      </c>
      <c r="G119" s="18">
        <v>84.07</v>
      </c>
      <c r="H119" s="18">
        <f t="shared" si="4"/>
        <v>42.358499999999999</v>
      </c>
      <c r="I119" s="5"/>
      <c r="J119" s="17">
        <v>630.25549999999998</v>
      </c>
      <c r="K119" s="18">
        <v>41.457999999999998</v>
      </c>
      <c r="L119" s="18">
        <v>44.203699999999998</v>
      </c>
      <c r="M119" s="18">
        <v>44.496099999999998</v>
      </c>
      <c r="N119" s="18">
        <v>87.877799999999993</v>
      </c>
      <c r="O119" s="18">
        <f t="shared" si="5"/>
        <v>42.180974999999997</v>
      </c>
      <c r="P119" s="7"/>
      <c r="Q119" s="10"/>
      <c r="R119" s="11"/>
      <c r="S119" s="11"/>
      <c r="T119" s="26"/>
      <c r="U119" s="28">
        <f t="shared" si="3"/>
        <v>4.5293208040918291E-2</v>
      </c>
    </row>
    <row r="120" spans="2:21" ht="16.5" thickBot="1" x14ac:dyDescent="0.3">
      <c r="B120" s="12"/>
      <c r="C120" s="19">
        <v>501.2119140625</v>
      </c>
      <c r="D120" s="20">
        <v>38.503999999999998</v>
      </c>
      <c r="E120" s="20">
        <v>40.975000000000001</v>
      </c>
      <c r="F120" s="20">
        <v>41.207000000000001</v>
      </c>
      <c r="G120" s="20">
        <v>91.17</v>
      </c>
      <c r="H120" s="20">
        <f t="shared" si="4"/>
        <v>39.150750000000002</v>
      </c>
      <c r="I120" s="5"/>
      <c r="J120" s="19">
        <v>343.34030000000001</v>
      </c>
      <c r="K120" s="20">
        <v>37.286000000000001</v>
      </c>
      <c r="L120" s="20">
        <v>40.5351</v>
      </c>
      <c r="M120" s="20">
        <v>40.788600000000002</v>
      </c>
      <c r="N120" s="20">
        <v>135.7466</v>
      </c>
      <c r="O120" s="20">
        <f t="shared" si="5"/>
        <v>38.129962500000005</v>
      </c>
      <c r="P120" s="7"/>
      <c r="Q120" s="13"/>
      <c r="R120" s="14"/>
      <c r="S120" s="14"/>
      <c r="T120" s="27"/>
      <c r="U120" s="28">
        <f t="shared" si="3"/>
        <v>0.48893934408248324</v>
      </c>
    </row>
    <row r="121" spans="2:21" x14ac:dyDescent="0.25">
      <c r="B121" s="6" t="s">
        <v>110</v>
      </c>
      <c r="C121" s="29">
        <v>1706.587890625</v>
      </c>
      <c r="D121" s="30">
        <v>31.315999999999999</v>
      </c>
      <c r="E121" s="30">
        <v>35.030999999999999</v>
      </c>
      <c r="F121" s="30">
        <v>33.764000000000003</v>
      </c>
      <c r="G121" s="16">
        <v>58.71</v>
      </c>
      <c r="H121" s="16">
        <f t="shared" si="4"/>
        <v>32.086374999999997</v>
      </c>
      <c r="I121" s="5"/>
      <c r="J121" s="29">
        <v>1504.8884</v>
      </c>
      <c r="K121" s="30">
        <v>32.379899999999999</v>
      </c>
      <c r="L121" s="30">
        <v>36.547199999999997</v>
      </c>
      <c r="M121" s="30">
        <v>35.4544</v>
      </c>
      <c r="N121" s="16">
        <v>59.111400000000003</v>
      </c>
      <c r="O121" s="16">
        <f t="shared" si="5"/>
        <v>33.285125000000001</v>
      </c>
      <c r="P121" s="7"/>
      <c r="Q121" s="8">
        <f>bdrate(C121:C124,D121:D124,J121:J124,K121:K124)</f>
        <v>-0.27631137816040852</v>
      </c>
      <c r="R121" s="8">
        <f>bdrate(C121:C124,E121:E124,J121:J124,L121:L124)</f>
        <v>-0.5713916565031445</v>
      </c>
      <c r="S121" s="8">
        <f>bdrate(C121:C124,F121:F124,J121:J124,M121:M124)</f>
        <v>-0.57372115840189664</v>
      </c>
      <c r="T121" s="25">
        <f>bdrate(C121:C124,H121:H124,J121:J124,O121:O124)</f>
        <v>-0.34602156367257308</v>
      </c>
      <c r="U121" s="28">
        <f t="shared" si="3"/>
        <v>6.8369954011242105E-3</v>
      </c>
    </row>
    <row r="122" spans="2:21" x14ac:dyDescent="0.25">
      <c r="B122" s="9"/>
      <c r="C122" s="31">
        <v>1177.84375</v>
      </c>
      <c r="D122" s="32">
        <v>29.77</v>
      </c>
      <c r="E122" s="32">
        <v>33.835999999999999</v>
      </c>
      <c r="F122" s="32">
        <v>32.540999999999997</v>
      </c>
      <c r="G122" s="18">
        <v>62.56</v>
      </c>
      <c r="H122" s="18">
        <f t="shared" si="4"/>
        <v>30.624625000000002</v>
      </c>
      <c r="I122" s="5"/>
      <c r="J122" s="31">
        <v>1003.1686999999999</v>
      </c>
      <c r="K122" s="32">
        <v>30.5029</v>
      </c>
      <c r="L122" s="32">
        <v>35.512099999999997</v>
      </c>
      <c r="M122" s="32">
        <v>34.356699999999996</v>
      </c>
      <c r="N122" s="18">
        <v>65.559399999999997</v>
      </c>
      <c r="O122" s="18">
        <f t="shared" si="5"/>
        <v>31.610775</v>
      </c>
      <c r="P122" s="7"/>
      <c r="Q122" s="10"/>
      <c r="R122" s="11"/>
      <c r="S122" s="11"/>
      <c r="T122" s="26"/>
      <c r="U122" s="28">
        <f t="shared" si="3"/>
        <v>4.7944373401534436E-2</v>
      </c>
    </row>
    <row r="123" spans="2:21" x14ac:dyDescent="0.25">
      <c r="B123" s="9"/>
      <c r="C123" s="31">
        <v>807.1904296875</v>
      </c>
      <c r="D123" s="32">
        <v>28.29</v>
      </c>
      <c r="E123" s="32">
        <v>32.625999999999998</v>
      </c>
      <c r="F123" s="32">
        <v>31.324999999999999</v>
      </c>
      <c r="G123" s="18">
        <v>65.45</v>
      </c>
      <c r="H123" s="18">
        <f t="shared" si="4"/>
        <v>29.211375</v>
      </c>
      <c r="I123" s="5"/>
      <c r="J123" s="31">
        <v>604.08360000000005</v>
      </c>
      <c r="K123" s="32">
        <v>28.3383</v>
      </c>
      <c r="L123" s="32">
        <v>34.282400000000003</v>
      </c>
      <c r="M123" s="32">
        <v>33.036200000000001</v>
      </c>
      <c r="N123" s="18">
        <v>88.010999999999996</v>
      </c>
      <c r="O123" s="18">
        <f t="shared" si="5"/>
        <v>29.66855</v>
      </c>
      <c r="P123" s="7"/>
      <c r="Q123" s="10"/>
      <c r="R123" s="11"/>
      <c r="S123" s="11"/>
      <c r="T123" s="26"/>
      <c r="U123" s="28">
        <f t="shared" si="3"/>
        <v>0.34470588235294103</v>
      </c>
    </row>
    <row r="124" spans="2:21" ht="16.5" thickBot="1" x14ac:dyDescent="0.3">
      <c r="B124" s="12"/>
      <c r="C124" s="33">
        <v>561.96875</v>
      </c>
      <c r="D124" s="34">
        <v>26.759</v>
      </c>
      <c r="E124" s="34">
        <v>31.294</v>
      </c>
      <c r="F124" s="34">
        <v>30.024999999999999</v>
      </c>
      <c r="G124" s="20">
        <v>65.81</v>
      </c>
      <c r="H124" s="20">
        <f t="shared" si="4"/>
        <v>27.734125000000002</v>
      </c>
      <c r="I124" s="5"/>
      <c r="J124" s="33">
        <v>303.32279999999997</v>
      </c>
      <c r="K124" s="34">
        <v>25.824300000000001</v>
      </c>
      <c r="L124" s="34">
        <v>32.542499999999997</v>
      </c>
      <c r="M124" s="34">
        <v>31.165800000000001</v>
      </c>
      <c r="N124" s="20">
        <v>118.4678</v>
      </c>
      <c r="O124" s="20">
        <f t="shared" si="5"/>
        <v>27.3317625</v>
      </c>
      <c r="P124" s="7"/>
      <c r="Q124" s="13"/>
      <c r="R124" s="14"/>
      <c r="S124" s="14"/>
      <c r="T124" s="27"/>
      <c r="U124" s="28">
        <f t="shared" si="3"/>
        <v>0.80014891353897577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-0.41136040033107019</v>
      </c>
      <c r="R125" s="21">
        <f>AVERAGE(R9:R124)</f>
        <v>-0.47968469248683254</v>
      </c>
      <c r="S125" s="21">
        <f>AVERAGE(S9:S124)</f>
        <v>-0.48636416713590086</v>
      </c>
      <c r="T125" s="21">
        <f>AVERAGE(T9:T124)</f>
        <v>-0.42849886408958221</v>
      </c>
      <c r="U125" s="21">
        <f>AVERAGE(U9:U124)</f>
        <v>0.26833322697697354</v>
      </c>
    </row>
    <row r="127" spans="2:21" s="35" customFormat="1" ht="15.75" customHeight="1" x14ac:dyDescent="0.25">
      <c r="B127" s="61" t="s">
        <v>29</v>
      </c>
      <c r="C127" s="63" t="s">
        <v>198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122</v>
      </c>
      <c r="D129" s="70"/>
      <c r="E129" s="70"/>
      <c r="F129" s="70"/>
      <c r="G129" s="70"/>
      <c r="H129" s="70"/>
      <c r="I129" s="5"/>
      <c r="J129" s="69" t="s">
        <v>182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4240.2294921875</v>
      </c>
      <c r="D131" s="16">
        <v>36.122</v>
      </c>
      <c r="E131" s="16">
        <v>38.588000000000001</v>
      </c>
      <c r="F131" s="16">
        <v>40.881</v>
      </c>
      <c r="G131" s="16">
        <v>37.67</v>
      </c>
      <c r="H131" s="16">
        <f t="shared" ref="H131:H202" si="6">(6*D131+E131+F131)/8</f>
        <v>37.025125000000003</v>
      </c>
      <c r="I131" s="5"/>
      <c r="J131" s="15">
        <v>4005.9056</v>
      </c>
      <c r="K131" s="16">
        <v>37.8626</v>
      </c>
      <c r="L131" s="16">
        <v>39.444499999999998</v>
      </c>
      <c r="M131" s="16">
        <v>41.921399999999998</v>
      </c>
      <c r="N131" s="16">
        <v>49.570399999999999</v>
      </c>
      <c r="O131" s="16">
        <f t="shared" ref="O131:O202" si="7">(6*K131+L131+M131)/8</f>
        <v>38.567687499999998</v>
      </c>
      <c r="P131" s="7"/>
      <c r="Q131" s="8">
        <f>bdrate(C131:C134,D131:D134,J131:J134,K131:K134)</f>
        <v>-0.38467283269179986</v>
      </c>
      <c r="R131" s="8">
        <f>bdrate(C131:C134,E131:E134,J131:J134,L131:L134)</f>
        <v>-0.45941603542457399</v>
      </c>
      <c r="S131" s="8">
        <f>bdrate(C131:C134,F131:F134,J131:J134,M131:M134)</f>
        <v>-0.47841695772795823</v>
      </c>
      <c r="T131" s="25">
        <f>bdrate(C131:C134,H131:H134,J131:J134,O131:O134)</f>
        <v>-0.3995735019190384</v>
      </c>
      <c r="U131" s="28">
        <f t="shared" ref="U131:U194" si="8">(N131-G131)/G131</f>
        <v>0.31591186620653033</v>
      </c>
    </row>
    <row r="132" spans="1:21" x14ac:dyDescent="0.25">
      <c r="A132" s="9" t="s">
        <v>36</v>
      </c>
      <c r="B132" s="9"/>
      <c r="C132" s="17">
        <v>3170.7421875</v>
      </c>
      <c r="D132" s="18">
        <v>35.216000000000001</v>
      </c>
      <c r="E132" s="18">
        <v>38.058</v>
      </c>
      <c r="F132" s="18">
        <v>40.283999999999999</v>
      </c>
      <c r="G132" s="18">
        <v>40.729999999999997</v>
      </c>
      <c r="H132" s="18">
        <f t="shared" si="6"/>
        <v>36.204749999999997</v>
      </c>
      <c r="I132" s="5"/>
      <c r="J132" s="17">
        <v>2921.8607999999999</v>
      </c>
      <c r="K132" s="18">
        <v>36.866900000000001</v>
      </c>
      <c r="L132" s="18">
        <v>38.861899999999999</v>
      </c>
      <c r="M132" s="18">
        <v>41.210599999999999</v>
      </c>
      <c r="N132" s="18">
        <v>54.945099999999996</v>
      </c>
      <c r="O132" s="18">
        <f t="shared" si="7"/>
        <v>37.659237500000003</v>
      </c>
      <c r="P132" s="7"/>
      <c r="Q132" s="10"/>
      <c r="R132" s="11"/>
      <c r="S132" s="11"/>
      <c r="T132" s="26"/>
      <c r="U132" s="28">
        <f t="shared" si="8"/>
        <v>0.34900810213601768</v>
      </c>
    </row>
    <row r="133" spans="1:21" x14ac:dyDescent="0.25">
      <c r="B133" s="9"/>
      <c r="C133" s="17">
        <v>2137.521484375</v>
      </c>
      <c r="D133" s="18">
        <v>33.895000000000003</v>
      </c>
      <c r="E133" s="18">
        <v>37.265999999999998</v>
      </c>
      <c r="F133" s="18">
        <v>39.402999999999999</v>
      </c>
      <c r="G133" s="18">
        <v>41.76</v>
      </c>
      <c r="H133" s="18">
        <f t="shared" si="6"/>
        <v>35.004874999999998</v>
      </c>
      <c r="I133" s="5"/>
      <c r="J133" s="17">
        <v>1902.6559999999999</v>
      </c>
      <c r="K133" s="18">
        <v>35.246200000000002</v>
      </c>
      <c r="L133" s="18">
        <v>38.186900000000001</v>
      </c>
      <c r="M133" s="18">
        <v>40.489600000000003</v>
      </c>
      <c r="N133" s="18">
        <v>62.448</v>
      </c>
      <c r="O133" s="18">
        <f t="shared" si="7"/>
        <v>36.269212500000002</v>
      </c>
      <c r="P133" s="7"/>
      <c r="Q133" s="10"/>
      <c r="R133" s="11"/>
      <c r="S133" s="11"/>
      <c r="T133" s="26"/>
      <c r="U133" s="28">
        <f t="shared" si="8"/>
        <v>0.4954022988505748</v>
      </c>
    </row>
    <row r="134" spans="1:21" ht="16.5" thickBot="1" x14ac:dyDescent="0.3">
      <c r="B134" s="12"/>
      <c r="C134" s="19">
        <v>1096.005859375</v>
      </c>
      <c r="D134" s="20">
        <v>31.102</v>
      </c>
      <c r="E134" s="20">
        <v>35.744999999999997</v>
      </c>
      <c r="F134" s="20">
        <v>37.673999999999999</v>
      </c>
      <c r="G134" s="20">
        <v>49.91</v>
      </c>
      <c r="H134" s="20">
        <f t="shared" si="6"/>
        <v>32.503875000000001</v>
      </c>
      <c r="I134" s="5"/>
      <c r="J134" s="19">
        <v>903.43359999999996</v>
      </c>
      <c r="K134" s="20">
        <v>32.271299999999997</v>
      </c>
      <c r="L134" s="20">
        <v>36.887300000000003</v>
      </c>
      <c r="M134" s="20">
        <v>39.083100000000002</v>
      </c>
      <c r="N134" s="20">
        <v>75.150300000000001</v>
      </c>
      <c r="O134" s="20">
        <f t="shared" si="7"/>
        <v>33.699775000000002</v>
      </c>
      <c r="P134" s="7"/>
      <c r="Q134" s="13"/>
      <c r="R134" s="14"/>
      <c r="S134" s="14"/>
      <c r="T134" s="27"/>
      <c r="U134" s="28">
        <f t="shared" si="8"/>
        <v>0.5057162893207775</v>
      </c>
    </row>
    <row r="135" spans="1:21" x14ac:dyDescent="0.25">
      <c r="B135" s="6" t="s">
        <v>47</v>
      </c>
      <c r="C135" s="15">
        <v>4762.2294921875</v>
      </c>
      <c r="D135" s="16">
        <v>28.03</v>
      </c>
      <c r="E135" s="16">
        <v>38.781999999999996</v>
      </c>
      <c r="F135" s="16">
        <v>39.816000000000003</v>
      </c>
      <c r="G135" s="16">
        <v>34.119999999999997</v>
      </c>
      <c r="H135" s="16">
        <f t="shared" si="6"/>
        <v>30.847249999999999</v>
      </c>
      <c r="I135" s="5"/>
      <c r="J135" s="15">
        <v>4057.8112000000001</v>
      </c>
      <c r="K135" s="16">
        <v>29.434899999999999</v>
      </c>
      <c r="L135" s="16">
        <v>39.3324</v>
      </c>
      <c r="M135" s="16">
        <v>40.259700000000002</v>
      </c>
      <c r="N135" s="16">
        <v>38.461500000000001</v>
      </c>
      <c r="O135" s="16">
        <f t="shared" si="7"/>
        <v>32.025187500000001</v>
      </c>
      <c r="P135" s="7"/>
      <c r="Q135" s="8">
        <f>bdrate(C135:C138,D135:D138,J135:J138,K135:K138)</f>
        <v>-0.28873742547927683</v>
      </c>
      <c r="R135" s="8">
        <f>bdrate(C135:C138,E135:E138,J135:J138,L135:L138)</f>
        <v>-0.52304612663853101</v>
      </c>
      <c r="S135" s="8">
        <f>bdrate(C135:C138,F135:F138,J135:J138,M135:M138)</f>
        <v>-0.54009451217839333</v>
      </c>
      <c r="T135" s="25">
        <f>bdrate(C135:C138,H135:H138,J135:J138,O135:O138)</f>
        <v>-0.33221275722562127</v>
      </c>
      <c r="U135" s="28">
        <f t="shared" si="8"/>
        <v>0.12724208675263787</v>
      </c>
    </row>
    <row r="136" spans="1:21" x14ac:dyDescent="0.25">
      <c r="B136" s="9"/>
      <c r="C136" s="17">
        <v>4095.2666015625</v>
      </c>
      <c r="D136" s="18">
        <v>27.666</v>
      </c>
      <c r="E136" s="18">
        <v>38.234000000000002</v>
      </c>
      <c r="F136" s="18">
        <v>39.261000000000003</v>
      </c>
      <c r="G136" s="18">
        <v>34.729999999999997</v>
      </c>
      <c r="H136" s="18">
        <f t="shared" si="6"/>
        <v>30.436375000000002</v>
      </c>
      <c r="I136" s="5"/>
      <c r="J136" s="17">
        <v>3024.7552000000001</v>
      </c>
      <c r="K136" s="18">
        <v>28.085799999999999</v>
      </c>
      <c r="L136" s="18">
        <v>38.857300000000002</v>
      </c>
      <c r="M136" s="18">
        <v>39.827800000000003</v>
      </c>
      <c r="N136" s="18">
        <v>43.516100000000002</v>
      </c>
      <c r="O136" s="18">
        <f t="shared" si="7"/>
        <v>30.899987499999998</v>
      </c>
      <c r="P136" s="7"/>
      <c r="Q136" s="10"/>
      <c r="R136" s="11"/>
      <c r="S136" s="11"/>
      <c r="T136" s="26"/>
      <c r="U136" s="28">
        <f t="shared" si="8"/>
        <v>0.25298301180535576</v>
      </c>
    </row>
    <row r="137" spans="1:21" x14ac:dyDescent="0.25">
      <c r="B137" s="9"/>
      <c r="C137" s="17">
        <v>3409.58203125</v>
      </c>
      <c r="D137" s="18">
        <v>27.236000000000001</v>
      </c>
      <c r="E137" s="18">
        <v>37.610999999999997</v>
      </c>
      <c r="F137" s="18">
        <v>38.527999999999999</v>
      </c>
      <c r="G137" s="18">
        <v>35.07</v>
      </c>
      <c r="H137" s="18">
        <f t="shared" si="6"/>
        <v>29.944374999999997</v>
      </c>
      <c r="I137" s="5"/>
      <c r="J137" s="17">
        <v>2013.2560000000001</v>
      </c>
      <c r="K137" s="18">
        <v>26.285799999999998</v>
      </c>
      <c r="L137" s="18">
        <v>38.126800000000003</v>
      </c>
      <c r="M137" s="18">
        <v>39.2239</v>
      </c>
      <c r="N137" s="18">
        <v>51.688499999999998</v>
      </c>
      <c r="O137" s="18">
        <f t="shared" si="7"/>
        <v>29.383187499999998</v>
      </c>
      <c r="P137" s="7"/>
      <c r="Q137" s="10"/>
      <c r="R137" s="11"/>
      <c r="S137" s="11"/>
      <c r="T137" s="26"/>
      <c r="U137" s="28">
        <f t="shared" si="8"/>
        <v>0.47386655260906752</v>
      </c>
    </row>
    <row r="138" spans="1:21" ht="16.5" thickBot="1" x14ac:dyDescent="0.3">
      <c r="B138" s="12"/>
      <c r="C138" s="19">
        <v>2870.1015625</v>
      </c>
      <c r="D138" s="20">
        <v>26.567</v>
      </c>
      <c r="E138" s="20">
        <v>36.459000000000003</v>
      </c>
      <c r="F138" s="20">
        <v>37.225999999999999</v>
      </c>
      <c r="G138" s="20">
        <v>35.26</v>
      </c>
      <c r="H138" s="20">
        <f t="shared" si="6"/>
        <v>29.135874999999999</v>
      </c>
      <c r="I138" s="5"/>
      <c r="J138" s="19">
        <v>1141.2175999999999</v>
      </c>
      <c r="K138" s="20">
        <v>24.154299999999999</v>
      </c>
      <c r="L138" s="20">
        <v>36.563499999999998</v>
      </c>
      <c r="M138" s="20">
        <v>37.840299999999999</v>
      </c>
      <c r="N138" s="20">
        <v>62.448</v>
      </c>
      <c r="O138" s="20">
        <f t="shared" si="7"/>
        <v>27.416199999999996</v>
      </c>
      <c r="P138" s="7"/>
      <c r="Q138" s="13"/>
      <c r="R138" s="14"/>
      <c r="S138" s="14"/>
      <c r="T138" s="27"/>
      <c r="U138" s="28">
        <f t="shared" si="8"/>
        <v>0.77107203630175847</v>
      </c>
    </row>
    <row r="139" spans="1:21" x14ac:dyDescent="0.25">
      <c r="A139" s="6" t="s">
        <v>37</v>
      </c>
      <c r="B139" s="6" t="s">
        <v>48</v>
      </c>
      <c r="C139" s="15">
        <v>2016.111328125</v>
      </c>
      <c r="D139" s="16">
        <v>36.972999999999999</v>
      </c>
      <c r="E139" s="16">
        <v>40.981999999999999</v>
      </c>
      <c r="F139" s="16">
        <v>42.165999999999997</v>
      </c>
      <c r="G139" s="16">
        <v>65.33</v>
      </c>
      <c r="H139" s="16">
        <f t="shared" si="6"/>
        <v>38.123249999999999</v>
      </c>
      <c r="I139" s="5"/>
      <c r="J139" s="15">
        <v>2372.8335999999999</v>
      </c>
      <c r="K139" s="16">
        <v>39.077800000000003</v>
      </c>
      <c r="L139" s="16">
        <v>41.903300000000002</v>
      </c>
      <c r="M139" s="16">
        <v>43.250900000000001</v>
      </c>
      <c r="N139" s="16">
        <v>96.153800000000004</v>
      </c>
      <c r="O139" s="16">
        <f t="shared" si="7"/>
        <v>39.952625000000005</v>
      </c>
      <c r="P139" s="7"/>
      <c r="Q139" s="8">
        <f>bdrate(C139:C142,D139:D142,J139:J142,K139:K142)</f>
        <v>-0.43582510830694099</v>
      </c>
      <c r="R139" s="8">
        <f>bdrate(C139:C142,E139:E142,J139:J142,L139:L142)</f>
        <v>-0.37168928133992896</v>
      </c>
      <c r="S139" s="8">
        <f>bdrate(C139:C142,F139:F142,J139:J142,M139:M142)</f>
        <v>-0.37853781958542998</v>
      </c>
      <c r="T139" s="25">
        <f>bdrate(C139:C142,H139:H142,J139:J142,O139:O142)</f>
        <v>-0.42810068593404582</v>
      </c>
      <c r="U139" s="28">
        <f t="shared" si="8"/>
        <v>0.47181692943517534</v>
      </c>
    </row>
    <row r="140" spans="1:21" x14ac:dyDescent="0.25">
      <c r="A140" s="9" t="s">
        <v>38</v>
      </c>
      <c r="B140" s="9"/>
      <c r="C140" s="17">
        <v>1416.314453125</v>
      </c>
      <c r="D140" s="18">
        <v>35.607999999999997</v>
      </c>
      <c r="E140" s="18">
        <v>40.335000000000001</v>
      </c>
      <c r="F140" s="18">
        <v>41.488</v>
      </c>
      <c r="G140" s="18">
        <v>71.61</v>
      </c>
      <c r="H140" s="18">
        <f t="shared" si="6"/>
        <v>36.933875</v>
      </c>
      <c r="I140" s="5"/>
      <c r="J140" s="17">
        <v>1566.864</v>
      </c>
      <c r="K140" s="18">
        <v>37.7988</v>
      </c>
      <c r="L140" s="18">
        <v>41.172699999999999</v>
      </c>
      <c r="M140" s="18">
        <v>42.403700000000001</v>
      </c>
      <c r="N140" s="18">
        <v>108.35209999999999</v>
      </c>
      <c r="O140" s="18">
        <f t="shared" si="7"/>
        <v>38.796150000000004</v>
      </c>
      <c r="P140" s="7"/>
      <c r="Q140" s="10"/>
      <c r="R140" s="11"/>
      <c r="S140" s="11"/>
      <c r="T140" s="26"/>
      <c r="U140" s="28">
        <f t="shared" si="8"/>
        <v>0.51308616115067718</v>
      </c>
    </row>
    <row r="141" spans="1:21" x14ac:dyDescent="0.25">
      <c r="B141" s="9"/>
      <c r="C141" s="17">
        <v>958.91015625</v>
      </c>
      <c r="D141" s="18">
        <v>33.926000000000002</v>
      </c>
      <c r="E141" s="18">
        <v>39.448999999999998</v>
      </c>
      <c r="F141" s="18">
        <v>40.609000000000002</v>
      </c>
      <c r="G141" s="18">
        <v>76.64</v>
      </c>
      <c r="H141" s="18">
        <f t="shared" si="6"/>
        <v>35.451749999999997</v>
      </c>
      <c r="I141" s="5"/>
      <c r="J141" s="17">
        <v>957.50400000000002</v>
      </c>
      <c r="K141" s="18">
        <v>36.212000000000003</v>
      </c>
      <c r="L141" s="18">
        <v>40.410200000000003</v>
      </c>
      <c r="M141" s="18">
        <v>41.588799999999999</v>
      </c>
      <c r="N141" s="18">
        <v>122.1374</v>
      </c>
      <c r="O141" s="18">
        <f t="shared" si="7"/>
        <v>37.408875000000002</v>
      </c>
      <c r="P141" s="7"/>
      <c r="Q141" s="10"/>
      <c r="R141" s="11"/>
      <c r="S141" s="11"/>
      <c r="T141" s="26"/>
      <c r="U141" s="28">
        <f t="shared" si="8"/>
        <v>0.59365083507306893</v>
      </c>
    </row>
    <row r="142" spans="1:21" ht="16.5" thickBot="1" x14ac:dyDescent="0.3">
      <c r="B142" s="12"/>
      <c r="C142" s="19">
        <v>591.73046875</v>
      </c>
      <c r="D142" s="20">
        <v>31.788</v>
      </c>
      <c r="E142" s="20">
        <v>38.286000000000001</v>
      </c>
      <c r="F142" s="20">
        <v>39.418999999999997</v>
      </c>
      <c r="G142" s="20">
        <v>84.76</v>
      </c>
      <c r="H142" s="20">
        <f t="shared" si="6"/>
        <v>33.554124999999999</v>
      </c>
      <c r="I142" s="5"/>
      <c r="J142" s="19">
        <v>558.56240000000003</v>
      </c>
      <c r="K142" s="20">
        <v>34.381999999999998</v>
      </c>
      <c r="L142" s="20">
        <v>39.661499999999997</v>
      </c>
      <c r="M142" s="20">
        <v>40.848500000000001</v>
      </c>
      <c r="N142" s="20">
        <v>139.86009999999999</v>
      </c>
      <c r="O142" s="20">
        <f t="shared" si="7"/>
        <v>35.850249999999996</v>
      </c>
      <c r="P142" s="7"/>
      <c r="Q142" s="13"/>
      <c r="R142" s="14"/>
      <c r="S142" s="14"/>
      <c r="T142" s="27"/>
      <c r="U142" s="28">
        <f t="shared" si="8"/>
        <v>0.65007196790939104</v>
      </c>
    </row>
    <row r="143" spans="1:21" x14ac:dyDescent="0.25">
      <c r="B143" s="6" t="s">
        <v>49</v>
      </c>
      <c r="C143" s="15">
        <v>2483.6513671875</v>
      </c>
      <c r="D143" s="16">
        <v>34.587000000000003</v>
      </c>
      <c r="E143" s="16">
        <v>38.743000000000002</v>
      </c>
      <c r="F143" s="16">
        <v>39.991</v>
      </c>
      <c r="G143" s="16">
        <v>64.459999999999994</v>
      </c>
      <c r="H143" s="16">
        <f t="shared" si="6"/>
        <v>35.782000000000004</v>
      </c>
      <c r="I143" s="5"/>
      <c r="J143" s="15">
        <v>2440.8175999999999</v>
      </c>
      <c r="K143" s="16">
        <v>35.988500000000002</v>
      </c>
      <c r="L143" s="16">
        <v>39.927900000000001</v>
      </c>
      <c r="M143" s="16">
        <v>41.1569</v>
      </c>
      <c r="N143" s="16">
        <v>88.2029</v>
      </c>
      <c r="O143" s="16">
        <f t="shared" si="7"/>
        <v>37.126975000000002</v>
      </c>
      <c r="P143" s="7"/>
      <c r="Q143" s="8">
        <f>bdrate(C143:C146,D143:D146,J143:J146,K143:K146)</f>
        <v>-0.32139053589917876</v>
      </c>
      <c r="R143" s="8">
        <f>bdrate(C143:C146,E143:E146,J143:J146,L143:L146)</f>
        <v>-0.45596241669293358</v>
      </c>
      <c r="S143" s="8">
        <f>bdrate(C143:C146,F143:F146,J143:J146,M143:M146)</f>
        <v>-0.44640341946017148</v>
      </c>
      <c r="T143" s="25">
        <f>bdrate(C143:C146,H143:H146,J143:J146,O143:O146)</f>
        <v>-0.34463236931138475</v>
      </c>
      <c r="U143" s="28">
        <f t="shared" si="8"/>
        <v>0.36833540179956575</v>
      </c>
    </row>
    <row r="144" spans="1:21" x14ac:dyDescent="0.25">
      <c r="B144" s="9"/>
      <c r="C144" s="17">
        <v>1678.5498046875</v>
      </c>
      <c r="D144" s="18">
        <v>33.509</v>
      </c>
      <c r="E144" s="18">
        <v>38.015999999999998</v>
      </c>
      <c r="F144" s="18">
        <v>39.377000000000002</v>
      </c>
      <c r="G144" s="18">
        <v>68.180000000000007</v>
      </c>
      <c r="H144" s="18">
        <f t="shared" si="6"/>
        <v>34.805875</v>
      </c>
      <c r="I144" s="5"/>
      <c r="J144" s="17">
        <v>1626.3592000000001</v>
      </c>
      <c r="K144" s="18">
        <v>34.7149</v>
      </c>
      <c r="L144" s="18">
        <v>39.148299999999999</v>
      </c>
      <c r="M144" s="18">
        <v>40.3566</v>
      </c>
      <c r="N144" s="18">
        <v>102.5641</v>
      </c>
      <c r="O144" s="18">
        <f t="shared" si="7"/>
        <v>35.974287500000003</v>
      </c>
      <c r="P144" s="7"/>
      <c r="Q144" s="10"/>
      <c r="R144" s="11"/>
      <c r="S144" s="11"/>
      <c r="T144" s="26"/>
      <c r="U144" s="28">
        <f t="shared" si="8"/>
        <v>0.50431358169551166</v>
      </c>
    </row>
    <row r="145" spans="1:21" x14ac:dyDescent="0.25">
      <c r="B145" s="9"/>
      <c r="C145" s="17">
        <v>1042.265625</v>
      </c>
      <c r="D145" s="18">
        <v>32.146000000000001</v>
      </c>
      <c r="E145" s="18">
        <v>37.091000000000001</v>
      </c>
      <c r="F145" s="18">
        <v>38.646000000000001</v>
      </c>
      <c r="G145" s="18">
        <v>73.180000000000007</v>
      </c>
      <c r="H145" s="18">
        <f t="shared" si="6"/>
        <v>33.576625</v>
      </c>
      <c r="I145" s="5"/>
      <c r="J145" s="17">
        <v>1031.1776</v>
      </c>
      <c r="K145" s="18">
        <v>33.208799999999997</v>
      </c>
      <c r="L145" s="18">
        <v>38.211199999999998</v>
      </c>
      <c r="M145" s="18">
        <v>39.508000000000003</v>
      </c>
      <c r="N145" s="18">
        <v>119.2843</v>
      </c>
      <c r="O145" s="18">
        <f t="shared" si="7"/>
        <v>34.621499999999997</v>
      </c>
      <c r="P145" s="7"/>
      <c r="Q145" s="10"/>
      <c r="R145" s="11"/>
      <c r="S145" s="11"/>
      <c r="T145" s="26"/>
      <c r="U145" s="28">
        <f t="shared" si="8"/>
        <v>0.63001229844219719</v>
      </c>
    </row>
    <row r="146" spans="1:21" ht="16.5" thickBot="1" x14ac:dyDescent="0.3">
      <c r="B146" s="12"/>
      <c r="C146" s="19">
        <v>625.6708984375</v>
      </c>
      <c r="D146" s="20">
        <v>30.579000000000001</v>
      </c>
      <c r="E146" s="20">
        <v>36.159999999999997</v>
      </c>
      <c r="F146" s="20">
        <v>37.936</v>
      </c>
      <c r="G146" s="20">
        <v>78.66</v>
      </c>
      <c r="H146" s="20">
        <f t="shared" si="6"/>
        <v>32.196249999999999</v>
      </c>
      <c r="I146" s="5"/>
      <c r="J146" s="19">
        <v>593.72640000000001</v>
      </c>
      <c r="K146" s="20">
        <v>31.537700000000001</v>
      </c>
      <c r="L146" s="20">
        <v>37.267699999999998</v>
      </c>
      <c r="M146" s="20">
        <v>38.761699999999998</v>
      </c>
      <c r="N146" s="20">
        <v>136.13159999999999</v>
      </c>
      <c r="O146" s="20">
        <f t="shared" si="7"/>
        <v>33.156950000000002</v>
      </c>
      <c r="P146" s="7"/>
      <c r="Q146" s="13"/>
      <c r="R146" s="14"/>
      <c r="S146" s="14"/>
      <c r="T146" s="27"/>
      <c r="U146" s="28">
        <f t="shared" si="8"/>
        <v>0.73063310450038133</v>
      </c>
    </row>
    <row r="147" spans="1:21" x14ac:dyDescent="0.25">
      <c r="B147" s="6" t="s">
        <v>50</v>
      </c>
      <c r="C147" s="15">
        <v>2443.83203125</v>
      </c>
      <c r="D147" s="16">
        <v>32.697000000000003</v>
      </c>
      <c r="E147" s="16">
        <v>37.456000000000003</v>
      </c>
      <c r="F147" s="16">
        <v>38.76</v>
      </c>
      <c r="G147" s="16">
        <v>68.62</v>
      </c>
      <c r="H147" s="16">
        <f t="shared" si="6"/>
        <v>34.049750000000003</v>
      </c>
      <c r="I147" s="5"/>
      <c r="J147" s="15">
        <v>2410.6959999999999</v>
      </c>
      <c r="K147" s="16">
        <v>34.031300000000002</v>
      </c>
      <c r="L147" s="16">
        <v>38.087699999999998</v>
      </c>
      <c r="M147" s="16">
        <v>40.077800000000003</v>
      </c>
      <c r="N147" s="16">
        <v>115.714</v>
      </c>
      <c r="O147" s="16">
        <f t="shared" si="7"/>
        <v>35.294162500000006</v>
      </c>
      <c r="P147" s="7"/>
      <c r="Q147" s="8">
        <f>bdrate(C147:C150,D147:D150,J147:J150,K147:K150)</f>
        <v>-0.37607677186886224</v>
      </c>
      <c r="R147" s="8">
        <f>bdrate(C147:C150,E147:E150,J147:J150,L147:L150)</f>
        <v>-0.50299396846028455</v>
      </c>
      <c r="S147" s="8">
        <f>bdrate(C147:C150,F147:F150,J147:J150,M147:M150)</f>
        <v>-0.5264706021960085</v>
      </c>
      <c r="T147" s="25">
        <f>bdrate(C147:C150,H147:H150,J147:J150,O147:O150)</f>
        <v>-0.40332408017046673</v>
      </c>
      <c r="U147" s="28">
        <f t="shared" si="8"/>
        <v>0.6863013698630136</v>
      </c>
    </row>
    <row r="148" spans="1:21" x14ac:dyDescent="0.25">
      <c r="B148" s="9"/>
      <c r="C148" s="17">
        <v>1638.05859375</v>
      </c>
      <c r="D148" s="18">
        <v>31.349</v>
      </c>
      <c r="E148" s="18">
        <v>36.707000000000001</v>
      </c>
      <c r="F148" s="18">
        <v>37.566000000000003</v>
      </c>
      <c r="G148" s="18">
        <v>74.290000000000006</v>
      </c>
      <c r="H148" s="18">
        <f t="shared" si="6"/>
        <v>32.795874999999995</v>
      </c>
      <c r="I148" s="5"/>
      <c r="J148" s="17">
        <v>1605.22</v>
      </c>
      <c r="K148" s="18">
        <v>32.817999999999998</v>
      </c>
      <c r="L148" s="18">
        <v>37.639800000000001</v>
      </c>
      <c r="M148" s="18">
        <v>39.26</v>
      </c>
      <c r="N148" s="18">
        <v>135.20820000000001</v>
      </c>
      <c r="O148" s="18">
        <f t="shared" si="7"/>
        <v>34.225974999999998</v>
      </c>
      <c r="P148" s="7"/>
      <c r="Q148" s="10"/>
      <c r="R148" s="11"/>
      <c r="S148" s="11"/>
      <c r="T148" s="26"/>
      <c r="U148" s="28">
        <f t="shared" si="8"/>
        <v>0.82000538430475156</v>
      </c>
    </row>
    <row r="149" spans="1:21" x14ac:dyDescent="0.25">
      <c r="B149" s="9"/>
      <c r="C149" s="17">
        <v>1050.5712890625</v>
      </c>
      <c r="D149" s="18">
        <v>29.584</v>
      </c>
      <c r="E149" s="18">
        <v>35.676000000000002</v>
      </c>
      <c r="F149" s="18">
        <v>36.015000000000001</v>
      </c>
      <c r="G149" s="18">
        <v>81.61</v>
      </c>
      <c r="H149" s="18">
        <f t="shared" si="6"/>
        <v>31.149374999999999</v>
      </c>
      <c r="I149" s="5"/>
      <c r="J149" s="17">
        <v>1001.4328</v>
      </c>
      <c r="K149" s="18">
        <v>31.208500000000001</v>
      </c>
      <c r="L149" s="18">
        <v>37.040399999999998</v>
      </c>
      <c r="M149" s="18">
        <v>38.221499999999999</v>
      </c>
      <c r="N149" s="18">
        <v>152.62520000000001</v>
      </c>
      <c r="O149" s="18">
        <f t="shared" si="7"/>
        <v>32.8141125</v>
      </c>
      <c r="P149" s="7"/>
      <c r="Q149" s="10"/>
      <c r="R149" s="11"/>
      <c r="S149" s="11"/>
      <c r="T149" s="26"/>
      <c r="U149" s="28">
        <f t="shared" si="8"/>
        <v>0.87017767430461967</v>
      </c>
    </row>
    <row r="150" spans="1:21" ht="16.5" thickBot="1" x14ac:dyDescent="0.3">
      <c r="B150" s="12"/>
      <c r="C150" s="19">
        <v>822.51171875</v>
      </c>
      <c r="D150" s="20">
        <v>28.585999999999999</v>
      </c>
      <c r="E150" s="20">
        <v>34.831000000000003</v>
      </c>
      <c r="F150" s="20">
        <v>34.781999999999996</v>
      </c>
      <c r="G150" s="20">
        <v>82.74</v>
      </c>
      <c r="H150" s="20">
        <f t="shared" si="6"/>
        <v>30.141124999999995</v>
      </c>
      <c r="I150" s="5"/>
      <c r="J150" s="19">
        <v>597.66959999999995</v>
      </c>
      <c r="K150" s="20">
        <v>29.4344</v>
      </c>
      <c r="L150" s="20">
        <v>36.360799999999998</v>
      </c>
      <c r="M150" s="20">
        <v>37.111800000000002</v>
      </c>
      <c r="N150" s="20">
        <v>168.691</v>
      </c>
      <c r="O150" s="20">
        <f t="shared" si="7"/>
        <v>31.259875000000001</v>
      </c>
      <c r="P150" s="7"/>
      <c r="Q150" s="13"/>
      <c r="R150" s="14"/>
      <c r="S150" s="14"/>
      <c r="T150" s="27"/>
      <c r="U150" s="28">
        <f t="shared" si="8"/>
        <v>1.0388083152042544</v>
      </c>
    </row>
    <row r="151" spans="1:21" x14ac:dyDescent="0.25">
      <c r="B151" s="6" t="s">
        <v>51</v>
      </c>
      <c r="C151" s="29">
        <v>2254.8193359375</v>
      </c>
      <c r="D151" s="30">
        <v>31.608000000000001</v>
      </c>
      <c r="E151" s="30">
        <v>38.442</v>
      </c>
      <c r="F151" s="30">
        <v>37.198999999999998</v>
      </c>
      <c r="G151" s="16">
        <v>75</v>
      </c>
      <c r="H151" s="16">
        <f t="shared" si="6"/>
        <v>33.161124999999998</v>
      </c>
      <c r="I151" s="5"/>
      <c r="J151" s="29">
        <v>2417.0095999999999</v>
      </c>
      <c r="K151" s="30">
        <v>33.9968</v>
      </c>
      <c r="L151" s="30">
        <v>40.270600000000002</v>
      </c>
      <c r="M151" s="30">
        <v>39.850499999999997</v>
      </c>
      <c r="N151" s="16">
        <v>103.73439999999999</v>
      </c>
      <c r="O151" s="16">
        <f t="shared" si="7"/>
        <v>35.5127375</v>
      </c>
      <c r="P151" s="7"/>
      <c r="Q151" s="8">
        <f>bdrate(C151:C154,D151:D154,J151:J154,K151:K154)</f>
        <v>-0.47353742562663459</v>
      </c>
      <c r="R151" s="8">
        <f>bdrate(C151:C154,E151:E154,J151:J154,L151:L154)</f>
        <v>-0.57008813329623154</v>
      </c>
      <c r="S151" s="8">
        <f>bdrate(C151:C154,F151:F154,J151:J154,M151:M154)</f>
        <v>-0.61885654461767536</v>
      </c>
      <c r="T151" s="25">
        <f>bdrate(C151:C154,H151:H154,J151:J154,O151:O154)</f>
        <v>-0.50385002325234285</v>
      </c>
      <c r="U151" s="28">
        <f t="shared" si="8"/>
        <v>0.38312533333333326</v>
      </c>
    </row>
    <row r="152" spans="1:21" x14ac:dyDescent="0.25">
      <c r="B152" s="9"/>
      <c r="C152" s="31">
        <v>1648.83984375</v>
      </c>
      <c r="D152" s="32">
        <v>30.27</v>
      </c>
      <c r="E152" s="32">
        <v>37.439</v>
      </c>
      <c r="F152" s="32">
        <v>35.948999999999998</v>
      </c>
      <c r="G152" s="18">
        <v>81.209999999999994</v>
      </c>
      <c r="H152" s="18">
        <f t="shared" si="6"/>
        <v>31.875999999999998</v>
      </c>
      <c r="I152" s="5"/>
      <c r="J152" s="31">
        <v>1610.6872000000001</v>
      </c>
      <c r="K152" s="32">
        <v>32.601799999999997</v>
      </c>
      <c r="L152" s="32">
        <v>39.476799999999997</v>
      </c>
      <c r="M152" s="32">
        <v>38.889800000000001</v>
      </c>
      <c r="N152" s="18">
        <v>121.3887</v>
      </c>
      <c r="O152" s="18">
        <f t="shared" si="7"/>
        <v>34.247174999999999</v>
      </c>
      <c r="P152" s="7"/>
      <c r="Q152" s="10"/>
      <c r="R152" s="11"/>
      <c r="S152" s="11"/>
      <c r="T152" s="26"/>
      <c r="U152" s="28">
        <f t="shared" si="8"/>
        <v>0.49475064647210948</v>
      </c>
    </row>
    <row r="153" spans="1:21" x14ac:dyDescent="0.25">
      <c r="B153" s="9"/>
      <c r="C153" s="31">
        <v>1261.32421875</v>
      </c>
      <c r="D153" s="32">
        <v>29.193000000000001</v>
      </c>
      <c r="E153" s="32">
        <v>36.334000000000003</v>
      </c>
      <c r="F153" s="32">
        <v>34.857999999999997</v>
      </c>
      <c r="G153" s="18">
        <v>83.84</v>
      </c>
      <c r="H153" s="18">
        <f t="shared" si="6"/>
        <v>30.793750000000003</v>
      </c>
      <c r="I153" s="5"/>
      <c r="J153" s="31">
        <v>1000.8128</v>
      </c>
      <c r="K153" s="32">
        <v>30.808800000000002</v>
      </c>
      <c r="L153" s="32">
        <v>38.472099999999998</v>
      </c>
      <c r="M153" s="32">
        <v>37.607500000000002</v>
      </c>
      <c r="N153" s="18">
        <v>138.0453</v>
      </c>
      <c r="O153" s="18">
        <f t="shared" si="7"/>
        <v>32.616550000000004</v>
      </c>
      <c r="P153" s="7"/>
      <c r="Q153" s="10"/>
      <c r="R153" s="11"/>
      <c r="S153" s="11"/>
      <c r="T153" s="26"/>
      <c r="U153" s="28">
        <f t="shared" si="8"/>
        <v>0.6465326812977098</v>
      </c>
    </row>
    <row r="154" spans="1:21" ht="16.5" thickBot="1" x14ac:dyDescent="0.3">
      <c r="B154" s="12"/>
      <c r="C154" s="33">
        <v>1137.3134765625</v>
      </c>
      <c r="D154" s="34">
        <v>28.753</v>
      </c>
      <c r="E154" s="34">
        <v>35.685000000000002</v>
      </c>
      <c r="F154" s="34">
        <v>34.293999999999997</v>
      </c>
      <c r="G154" s="20">
        <v>83.86</v>
      </c>
      <c r="H154" s="20">
        <f t="shared" si="6"/>
        <v>30.312125000000002</v>
      </c>
      <c r="I154" s="5"/>
      <c r="J154" s="33">
        <v>599.38800000000003</v>
      </c>
      <c r="K154" s="34">
        <v>28.915500000000002</v>
      </c>
      <c r="L154" s="34">
        <v>36.801099999999998</v>
      </c>
      <c r="M154" s="34">
        <v>35.783299999999997</v>
      </c>
      <c r="N154" s="20">
        <v>153.3742</v>
      </c>
      <c r="O154" s="20">
        <f t="shared" si="7"/>
        <v>30.759674999999998</v>
      </c>
      <c r="P154" s="7"/>
      <c r="Q154" s="13"/>
      <c r="R154" s="14"/>
      <c r="S154" s="14"/>
      <c r="T154" s="27"/>
      <c r="U154" s="28">
        <f t="shared" si="8"/>
        <v>0.82893155258764606</v>
      </c>
    </row>
    <row r="155" spans="1:21" x14ac:dyDescent="0.25">
      <c r="B155" s="6" t="s">
        <v>52</v>
      </c>
      <c r="C155" s="15">
        <v>2493.087890625</v>
      </c>
      <c r="D155" s="16">
        <v>31.408999999999999</v>
      </c>
      <c r="E155" s="16">
        <v>38.481000000000002</v>
      </c>
      <c r="F155" s="16">
        <v>41.033000000000001</v>
      </c>
      <c r="G155" s="16">
        <v>77.900000000000006</v>
      </c>
      <c r="H155" s="16">
        <f t="shared" si="6"/>
        <v>33.496000000000002</v>
      </c>
      <c r="I155" s="5"/>
      <c r="J155" s="15">
        <v>2413.2152000000001</v>
      </c>
      <c r="K155" s="16">
        <v>33.5685</v>
      </c>
      <c r="L155" s="16">
        <v>39.741900000000001</v>
      </c>
      <c r="M155" s="16">
        <v>42.183700000000002</v>
      </c>
      <c r="N155" s="16">
        <v>123.2539</v>
      </c>
      <c r="O155" s="16">
        <f t="shared" si="7"/>
        <v>35.417074999999997</v>
      </c>
      <c r="P155" s="7"/>
      <c r="Q155" s="8">
        <f>bdrate(C155:C158,D155:D158,J155:J158,K155:K158)</f>
        <v>-0.62550565310146777</v>
      </c>
      <c r="R155" s="8">
        <f>bdrate(C155:C158,E155:E158,J155:J158,L155:L158)</f>
        <v>-0.65389286224436793</v>
      </c>
      <c r="S155" s="8">
        <f>bdrate(C155:C158,F155:F158,J155:J158,M155:M158)</f>
        <v>-0.64995311537662526</v>
      </c>
      <c r="T155" s="25">
        <f>bdrate(C155:C158,H155:H158,J155:J158,O155:O158)</f>
        <v>-0.63036295344545623</v>
      </c>
      <c r="U155" s="28">
        <f t="shared" si="8"/>
        <v>0.58220667522464686</v>
      </c>
    </row>
    <row r="156" spans="1:21" x14ac:dyDescent="0.25">
      <c r="B156" s="9"/>
      <c r="C156" s="17">
        <v>1664.498046875</v>
      </c>
      <c r="D156" s="18">
        <v>30.427</v>
      </c>
      <c r="E156" s="18">
        <v>37.857999999999997</v>
      </c>
      <c r="F156" s="18">
        <v>40.374000000000002</v>
      </c>
      <c r="G156" s="18">
        <v>83.56</v>
      </c>
      <c r="H156" s="18">
        <f t="shared" si="6"/>
        <v>32.599250000000005</v>
      </c>
      <c r="I156" s="5"/>
      <c r="J156" s="17">
        <v>1604.7752</v>
      </c>
      <c r="K156" s="18">
        <v>32.856200000000001</v>
      </c>
      <c r="L156" s="18">
        <v>39.254300000000001</v>
      </c>
      <c r="M156" s="18">
        <v>41.743600000000001</v>
      </c>
      <c r="N156" s="18">
        <v>139.34049999999999</v>
      </c>
      <c r="O156" s="18">
        <f t="shared" si="7"/>
        <v>34.766887500000003</v>
      </c>
      <c r="P156" s="7"/>
      <c r="Q156" s="10"/>
      <c r="R156" s="11"/>
      <c r="S156" s="11"/>
      <c r="T156" s="26"/>
      <c r="U156" s="28">
        <f t="shared" si="8"/>
        <v>0.66755026328386768</v>
      </c>
    </row>
    <row r="157" spans="1:21" x14ac:dyDescent="0.25">
      <c r="B157" s="9"/>
      <c r="C157" s="17">
        <v>1050.4501953125</v>
      </c>
      <c r="D157" s="18">
        <v>28.981999999999999</v>
      </c>
      <c r="E157" s="18">
        <v>37.04</v>
      </c>
      <c r="F157" s="18">
        <v>39.33</v>
      </c>
      <c r="G157" s="18">
        <v>89.78</v>
      </c>
      <c r="H157" s="18">
        <f t="shared" si="6"/>
        <v>31.28275</v>
      </c>
      <c r="I157" s="5"/>
      <c r="J157" s="17">
        <v>1028.3</v>
      </c>
      <c r="K157" s="18">
        <v>31.758600000000001</v>
      </c>
      <c r="L157" s="18">
        <v>38.616</v>
      </c>
      <c r="M157" s="18">
        <v>41.137599999999999</v>
      </c>
      <c r="N157" s="18">
        <v>153.84620000000001</v>
      </c>
      <c r="O157" s="18">
        <f t="shared" si="7"/>
        <v>33.788150000000002</v>
      </c>
      <c r="P157" s="7"/>
      <c r="Q157" s="10"/>
      <c r="R157" s="11"/>
      <c r="S157" s="11"/>
      <c r="T157" s="26"/>
      <c r="U157" s="28">
        <f t="shared" si="8"/>
        <v>0.71359100022276689</v>
      </c>
    </row>
    <row r="158" spans="1:21" ht="16.5" thickBot="1" x14ac:dyDescent="0.3">
      <c r="B158" s="12"/>
      <c r="C158" s="19">
        <v>749.2080078125</v>
      </c>
      <c r="D158" s="20">
        <v>27.54</v>
      </c>
      <c r="E158" s="20">
        <v>36.212000000000003</v>
      </c>
      <c r="F158" s="20">
        <v>38.137999999999998</v>
      </c>
      <c r="G158" s="20">
        <v>93.59</v>
      </c>
      <c r="H158" s="20">
        <f t="shared" si="6"/>
        <v>29.94875</v>
      </c>
      <c r="I158" s="5"/>
      <c r="J158" s="19">
        <v>595.30319999999995</v>
      </c>
      <c r="K158" s="20">
        <v>30.2346</v>
      </c>
      <c r="L158" s="20">
        <v>38.039200000000001</v>
      </c>
      <c r="M158" s="20">
        <v>40.583399999999997</v>
      </c>
      <c r="N158" s="20">
        <v>166.48169999999999</v>
      </c>
      <c r="O158" s="20">
        <f t="shared" si="7"/>
        <v>32.503774999999997</v>
      </c>
      <c r="P158" s="7"/>
      <c r="Q158" s="13"/>
      <c r="R158" s="14"/>
      <c r="S158" s="14"/>
      <c r="T158" s="27"/>
      <c r="U158" s="28">
        <f t="shared" si="8"/>
        <v>0.77884068810770368</v>
      </c>
    </row>
    <row r="159" spans="1:21" x14ac:dyDescent="0.25">
      <c r="A159" s="6" t="s">
        <v>39</v>
      </c>
      <c r="B159" s="6" t="s">
        <v>53</v>
      </c>
      <c r="C159" s="15">
        <v>1241.1337890625</v>
      </c>
      <c r="D159" s="16">
        <v>33.451000000000001</v>
      </c>
      <c r="E159" s="16">
        <v>37.723999999999997</v>
      </c>
      <c r="F159" s="16">
        <v>37.186</v>
      </c>
      <c r="G159" s="16">
        <v>221.65</v>
      </c>
      <c r="H159" s="16">
        <f t="shared" si="6"/>
        <v>34.451999999999998</v>
      </c>
      <c r="I159" s="5"/>
      <c r="J159" s="15">
        <v>1208.1184000000001</v>
      </c>
      <c r="K159" s="16">
        <v>34.969299999999997</v>
      </c>
      <c r="L159" s="16">
        <v>39.006500000000003</v>
      </c>
      <c r="M159" s="16">
        <v>38.851900000000001</v>
      </c>
      <c r="N159" s="16">
        <v>400.64100000000002</v>
      </c>
      <c r="O159" s="16">
        <f t="shared" si="7"/>
        <v>35.959274999999998</v>
      </c>
      <c r="P159" s="7"/>
      <c r="Q159" s="8">
        <f>bdrate(C159:C162,D159:D162,J159:J162,K159:K162)</f>
        <v>-0.31148968862895898</v>
      </c>
      <c r="R159" s="8">
        <f>bdrate(C159:C162,E159:E162,J159:J162,L159:L162)</f>
        <v>-0.40385546501549052</v>
      </c>
      <c r="S159" s="8">
        <f>bdrate(C159:C162,F159:F162,J159:J162,M159:M162)</f>
        <v>-0.44183857587356234</v>
      </c>
      <c r="T159" s="25">
        <f>bdrate(C159:C162,H159:H162,J159:J162,O159:O162)</f>
        <v>-0.33832644063125483</v>
      </c>
      <c r="U159" s="28">
        <f t="shared" si="8"/>
        <v>0.80753891270020306</v>
      </c>
    </row>
    <row r="160" spans="1:21" x14ac:dyDescent="0.25">
      <c r="A160" s="9" t="s">
        <v>40</v>
      </c>
      <c r="B160" s="9"/>
      <c r="C160" s="17">
        <v>835.7138671875</v>
      </c>
      <c r="D160" s="18">
        <v>32.061</v>
      </c>
      <c r="E160" s="18">
        <v>36.558</v>
      </c>
      <c r="F160" s="18">
        <v>35.883000000000003</v>
      </c>
      <c r="G160" s="18">
        <v>241.29</v>
      </c>
      <c r="H160" s="18">
        <f t="shared" si="6"/>
        <v>33.100874999999995</v>
      </c>
      <c r="I160" s="5"/>
      <c r="J160" s="17">
        <v>803.43439999999998</v>
      </c>
      <c r="K160" s="18">
        <v>33.403500000000001</v>
      </c>
      <c r="L160" s="18">
        <v>37.789700000000003</v>
      </c>
      <c r="M160" s="18">
        <v>37.501399999999997</v>
      </c>
      <c r="N160" s="18">
        <v>433.2756</v>
      </c>
      <c r="O160" s="18">
        <f t="shared" si="7"/>
        <v>34.464012500000003</v>
      </c>
      <c r="P160" s="7"/>
      <c r="Q160" s="10"/>
      <c r="R160" s="11"/>
      <c r="S160" s="11"/>
      <c r="T160" s="26"/>
      <c r="U160" s="28">
        <f t="shared" si="8"/>
        <v>0.79566330971030719</v>
      </c>
    </row>
    <row r="161" spans="1:21" x14ac:dyDescent="0.25">
      <c r="B161" s="9"/>
      <c r="C161" s="17">
        <v>522.380859375</v>
      </c>
      <c r="D161" s="18">
        <v>30.417999999999999</v>
      </c>
      <c r="E161" s="18">
        <v>35.171999999999997</v>
      </c>
      <c r="F161" s="18">
        <v>34.308999999999997</v>
      </c>
      <c r="G161" s="18">
        <v>271.86</v>
      </c>
      <c r="H161" s="18">
        <f t="shared" si="6"/>
        <v>31.498624999999997</v>
      </c>
      <c r="I161" s="5"/>
      <c r="J161" s="17">
        <v>503.51280000000003</v>
      </c>
      <c r="K161" s="18">
        <v>31.599900000000002</v>
      </c>
      <c r="L161" s="18">
        <v>36.585900000000002</v>
      </c>
      <c r="M161" s="18">
        <v>36.1004</v>
      </c>
      <c r="N161" s="18">
        <v>553.09730000000002</v>
      </c>
      <c r="O161" s="18">
        <f t="shared" si="7"/>
        <v>32.785712500000002</v>
      </c>
      <c r="P161" s="7"/>
      <c r="Q161" s="10"/>
      <c r="R161" s="11"/>
      <c r="S161" s="11"/>
      <c r="T161" s="26"/>
      <c r="U161" s="28">
        <f t="shared" si="8"/>
        <v>1.0344931214595747</v>
      </c>
    </row>
    <row r="162" spans="1:21" ht="16.5" thickBot="1" x14ac:dyDescent="0.3">
      <c r="B162" s="12"/>
      <c r="C162" s="19">
        <v>323.890625</v>
      </c>
      <c r="D162" s="20">
        <v>28.629000000000001</v>
      </c>
      <c r="E162" s="20">
        <v>33.552999999999997</v>
      </c>
      <c r="F162" s="20">
        <v>32.539000000000001</v>
      </c>
      <c r="G162" s="20">
        <v>308.11</v>
      </c>
      <c r="H162" s="20">
        <f t="shared" si="6"/>
        <v>29.733249999999998</v>
      </c>
      <c r="I162" s="5"/>
      <c r="J162" s="19">
        <v>301.7328</v>
      </c>
      <c r="K162" s="20">
        <v>29.621500000000001</v>
      </c>
      <c r="L162" s="20">
        <v>35.257100000000001</v>
      </c>
      <c r="M162" s="20">
        <v>34.642400000000002</v>
      </c>
      <c r="N162" s="20">
        <v>654.45029999999997</v>
      </c>
      <c r="O162" s="20">
        <f t="shared" si="7"/>
        <v>30.953562500000004</v>
      </c>
      <c r="P162" s="7"/>
      <c r="Q162" s="13"/>
      <c r="R162" s="14"/>
      <c r="S162" s="14"/>
      <c r="T162" s="27"/>
      <c r="U162" s="28">
        <f t="shared" si="8"/>
        <v>1.1240800363506538</v>
      </c>
    </row>
    <row r="163" spans="1:21" x14ac:dyDescent="0.25">
      <c r="B163" s="6" t="s">
        <v>54</v>
      </c>
      <c r="C163" s="15">
        <v>1229.83984375</v>
      </c>
      <c r="D163" s="16">
        <v>32.732999999999997</v>
      </c>
      <c r="E163" s="16">
        <v>38.936</v>
      </c>
      <c r="F163" s="16">
        <v>39.54</v>
      </c>
      <c r="G163" s="16">
        <v>233.43</v>
      </c>
      <c r="H163" s="16">
        <f t="shared" si="6"/>
        <v>34.359249999999996</v>
      </c>
      <c r="I163" s="5"/>
      <c r="J163" s="15">
        <v>1233.104</v>
      </c>
      <c r="K163" s="16">
        <v>35.176200000000001</v>
      </c>
      <c r="L163" s="16">
        <v>40.452100000000002</v>
      </c>
      <c r="M163" s="16">
        <v>41.289200000000001</v>
      </c>
      <c r="N163" s="16">
        <v>396.30119999999999</v>
      </c>
      <c r="O163" s="16">
        <f t="shared" si="7"/>
        <v>36.599812500000006</v>
      </c>
      <c r="P163" s="7"/>
      <c r="Q163" s="8">
        <f>bdrate(C163:C166,D163:D166,J163:J166,K163:K166)</f>
        <v>-0.4263206804534807</v>
      </c>
      <c r="R163" s="8">
        <f>bdrate(C163:C166,E163:E166,J163:J166,L163:L166)</f>
        <v>-0.50082149085816285</v>
      </c>
      <c r="S163" s="8">
        <f>bdrate(C163:C166,F163:F166,J163:J166,M163:M166)</f>
        <v>-0.50718256101339199</v>
      </c>
      <c r="T163" s="25">
        <f>bdrate(C163:C166,H163:H166,J163:J166,O163:O166)</f>
        <v>-0.44263508472069057</v>
      </c>
      <c r="U163" s="28">
        <f t="shared" si="8"/>
        <v>0.69773036884719175</v>
      </c>
    </row>
    <row r="164" spans="1:21" x14ac:dyDescent="0.25">
      <c r="B164" s="9"/>
      <c r="C164" s="17">
        <v>821.720703125</v>
      </c>
      <c r="D164" s="18">
        <v>31.314</v>
      </c>
      <c r="E164" s="18">
        <v>37.890999999999998</v>
      </c>
      <c r="F164" s="18">
        <v>38.375</v>
      </c>
      <c r="G164" s="18">
        <v>254.4</v>
      </c>
      <c r="H164" s="18">
        <f t="shared" si="6"/>
        <v>33.018749999999997</v>
      </c>
      <c r="I164" s="5"/>
      <c r="J164" s="17">
        <v>820.75519999999995</v>
      </c>
      <c r="K164" s="18">
        <v>33.572800000000001</v>
      </c>
      <c r="L164" s="18">
        <v>39.491199999999999</v>
      </c>
      <c r="M164" s="18">
        <v>40.192599999999999</v>
      </c>
      <c r="N164" s="18">
        <v>480.76920000000001</v>
      </c>
      <c r="O164" s="18">
        <f t="shared" si="7"/>
        <v>35.140074999999996</v>
      </c>
      <c r="P164" s="7"/>
      <c r="Q164" s="10"/>
      <c r="R164" s="11"/>
      <c r="S164" s="11"/>
      <c r="T164" s="26"/>
      <c r="U164" s="28">
        <f t="shared" si="8"/>
        <v>0.88981603773584905</v>
      </c>
    </row>
    <row r="165" spans="1:21" x14ac:dyDescent="0.25">
      <c r="B165" s="9"/>
      <c r="C165" s="17">
        <v>524.2470703125</v>
      </c>
      <c r="D165" s="18">
        <v>29.611000000000001</v>
      </c>
      <c r="E165" s="18">
        <v>36.686</v>
      </c>
      <c r="F165" s="18">
        <v>36.997999999999998</v>
      </c>
      <c r="G165" s="18">
        <v>277.38</v>
      </c>
      <c r="H165" s="18">
        <f t="shared" si="6"/>
        <v>31.418749999999999</v>
      </c>
      <c r="I165" s="5"/>
      <c r="J165" s="17">
        <v>513.0992</v>
      </c>
      <c r="K165" s="18">
        <v>31.657900000000001</v>
      </c>
      <c r="L165" s="18">
        <v>38.407600000000002</v>
      </c>
      <c r="M165" s="18">
        <v>38.990900000000003</v>
      </c>
      <c r="N165" s="18">
        <v>557.62080000000003</v>
      </c>
      <c r="O165" s="18">
        <f t="shared" si="7"/>
        <v>33.418237500000004</v>
      </c>
      <c r="P165" s="7"/>
      <c r="Q165" s="10"/>
      <c r="R165" s="11"/>
      <c r="S165" s="11"/>
      <c r="T165" s="26"/>
      <c r="U165" s="28">
        <f t="shared" si="8"/>
        <v>1.0103136491455766</v>
      </c>
    </row>
    <row r="166" spans="1:21" ht="16.5" thickBot="1" x14ac:dyDescent="0.3">
      <c r="B166" s="12"/>
      <c r="C166" s="19">
        <v>357.025390625</v>
      </c>
      <c r="D166" s="20">
        <v>28.006</v>
      </c>
      <c r="E166" s="20">
        <v>35.609000000000002</v>
      </c>
      <c r="F166" s="20">
        <v>35.787999999999997</v>
      </c>
      <c r="G166" s="20">
        <v>294.35000000000002</v>
      </c>
      <c r="H166" s="20">
        <f t="shared" si="6"/>
        <v>29.929124999999999</v>
      </c>
      <c r="I166" s="5"/>
      <c r="J166" s="19">
        <v>308.36</v>
      </c>
      <c r="K166" s="20">
        <v>29.5747</v>
      </c>
      <c r="L166" s="20">
        <v>37.336100000000002</v>
      </c>
      <c r="M166" s="20">
        <v>37.767499999999998</v>
      </c>
      <c r="N166" s="20">
        <v>662.98339999999996</v>
      </c>
      <c r="O166" s="20">
        <f t="shared" si="7"/>
        <v>31.568974999999995</v>
      </c>
      <c r="P166" s="7"/>
      <c r="Q166" s="13"/>
      <c r="R166" s="14"/>
      <c r="S166" s="14"/>
      <c r="T166" s="27"/>
      <c r="U166" s="28">
        <f t="shared" si="8"/>
        <v>1.2523641922880921</v>
      </c>
    </row>
    <row r="167" spans="1:21" x14ac:dyDescent="0.25">
      <c r="B167" s="6" t="s">
        <v>55</v>
      </c>
      <c r="C167" s="15">
        <v>1326.212890625</v>
      </c>
      <c r="D167" s="16">
        <v>28.44</v>
      </c>
      <c r="E167" s="16">
        <v>35.277000000000001</v>
      </c>
      <c r="F167" s="16">
        <v>36.091999999999999</v>
      </c>
      <c r="G167" s="16">
        <v>188.31</v>
      </c>
      <c r="H167" s="16">
        <f t="shared" si="6"/>
        <v>30.251125000000002</v>
      </c>
      <c r="I167" s="5"/>
      <c r="J167" s="15">
        <v>1208.3263999999999</v>
      </c>
      <c r="K167" s="16">
        <v>30.280100000000001</v>
      </c>
      <c r="L167" s="16">
        <v>36.673099999999998</v>
      </c>
      <c r="M167" s="16">
        <v>37.429000000000002</v>
      </c>
      <c r="N167" s="16">
        <v>372.85610000000003</v>
      </c>
      <c r="O167" s="16">
        <f t="shared" si="7"/>
        <v>31.972837500000001</v>
      </c>
      <c r="P167" s="7"/>
      <c r="Q167" s="8">
        <f>bdrate(C167:C170,D167:D170,J167:J170,K167:K170)</f>
        <v>-0.44562316701577709</v>
      </c>
      <c r="R167" s="8">
        <f>bdrate(C167:C170,E167:E170,J167:J170,L167:L170)</f>
        <v>-0.57024740446487177</v>
      </c>
      <c r="S167" s="8">
        <f>bdrate(C167:C170,F167:F170,J167:J170,M167:M170)</f>
        <v>-0.55292543254371762</v>
      </c>
      <c r="T167" s="25">
        <f>bdrate(C167:C170,H167:H170,J167:J170,O167:O170)</f>
        <v>-0.46977106084304643</v>
      </c>
      <c r="U167" s="28">
        <f t="shared" si="8"/>
        <v>0.98001221390260751</v>
      </c>
    </row>
    <row r="168" spans="1:21" x14ac:dyDescent="0.25">
      <c r="B168" s="9"/>
      <c r="C168" s="17">
        <v>905.3251953125</v>
      </c>
      <c r="D168" s="18">
        <v>27.382999999999999</v>
      </c>
      <c r="E168" s="18">
        <v>34.518999999999998</v>
      </c>
      <c r="F168" s="18">
        <v>35.341000000000001</v>
      </c>
      <c r="G168" s="18">
        <v>200.81</v>
      </c>
      <c r="H168" s="18">
        <f t="shared" si="6"/>
        <v>29.269750000000002</v>
      </c>
      <c r="I168" s="5"/>
      <c r="J168" s="17">
        <v>807.99599999999998</v>
      </c>
      <c r="K168" s="18">
        <v>28.947399999999998</v>
      </c>
      <c r="L168" s="18">
        <v>35.874400000000001</v>
      </c>
      <c r="M168" s="18">
        <v>36.643799999999999</v>
      </c>
      <c r="N168" s="18">
        <v>439.3673</v>
      </c>
      <c r="O168" s="18">
        <f t="shared" si="7"/>
        <v>30.775324999999999</v>
      </c>
      <c r="P168" s="7"/>
      <c r="Q168" s="10"/>
      <c r="R168" s="11"/>
      <c r="S168" s="11"/>
      <c r="T168" s="26"/>
      <c r="U168" s="28">
        <f t="shared" si="8"/>
        <v>1.1879752004382251</v>
      </c>
    </row>
    <row r="169" spans="1:21" x14ac:dyDescent="0.25">
      <c r="B169" s="9"/>
      <c r="C169" s="17">
        <v>568.490234375</v>
      </c>
      <c r="D169" s="18">
        <v>26.164999999999999</v>
      </c>
      <c r="E169" s="18">
        <v>33.625</v>
      </c>
      <c r="F169" s="18">
        <v>34.369999999999997</v>
      </c>
      <c r="G169" s="18">
        <v>217</v>
      </c>
      <c r="H169" s="18">
        <f t="shared" si="6"/>
        <v>28.123125000000002</v>
      </c>
      <c r="I169" s="5"/>
      <c r="J169" s="17">
        <v>508.47199999999998</v>
      </c>
      <c r="K169" s="18">
        <v>27.473500000000001</v>
      </c>
      <c r="L169" s="18">
        <v>34.9938</v>
      </c>
      <c r="M169" s="18">
        <v>35.758099999999999</v>
      </c>
      <c r="N169" s="18">
        <v>525.21010000000001</v>
      </c>
      <c r="O169" s="18">
        <f t="shared" si="7"/>
        <v>29.449112499999998</v>
      </c>
      <c r="P169" s="7"/>
      <c r="Q169" s="10"/>
      <c r="R169" s="11"/>
      <c r="S169" s="11"/>
      <c r="T169" s="26"/>
      <c r="U169" s="28">
        <f t="shared" si="8"/>
        <v>1.4203230414746544</v>
      </c>
    </row>
    <row r="170" spans="1:21" ht="16.5" thickBot="1" x14ac:dyDescent="0.3">
      <c r="B170" s="12"/>
      <c r="C170" s="19">
        <v>366.2333984375</v>
      </c>
      <c r="D170" s="20">
        <v>24.989000000000001</v>
      </c>
      <c r="E170" s="20">
        <v>32.651000000000003</v>
      </c>
      <c r="F170" s="20">
        <v>33.463000000000001</v>
      </c>
      <c r="G170" s="20">
        <v>232.63</v>
      </c>
      <c r="H170" s="20">
        <f t="shared" si="6"/>
        <v>27.006</v>
      </c>
      <c r="I170" s="5"/>
      <c r="J170" s="19">
        <v>305.57440000000003</v>
      </c>
      <c r="K170" s="20">
        <v>25.892900000000001</v>
      </c>
      <c r="L170" s="20">
        <v>34.172899999999998</v>
      </c>
      <c r="M170" s="20">
        <v>34.856200000000001</v>
      </c>
      <c r="N170" s="20">
        <v>604.59490000000005</v>
      </c>
      <c r="O170" s="20">
        <f t="shared" si="7"/>
        <v>28.048312500000002</v>
      </c>
      <c r="P170" s="7"/>
      <c r="Q170" s="13"/>
      <c r="R170" s="14"/>
      <c r="S170" s="14"/>
      <c r="T170" s="27"/>
      <c r="U170" s="28">
        <f t="shared" si="8"/>
        <v>1.598954992907192</v>
      </c>
    </row>
    <row r="171" spans="1:21" x14ac:dyDescent="0.25">
      <c r="B171" s="6" t="s">
        <v>56</v>
      </c>
      <c r="C171" s="15">
        <v>1162.6240234375</v>
      </c>
      <c r="D171" s="16">
        <v>30.82</v>
      </c>
      <c r="E171" s="16">
        <v>35.447000000000003</v>
      </c>
      <c r="F171" s="16">
        <v>37.020000000000003</v>
      </c>
      <c r="G171" s="16">
        <v>173.25</v>
      </c>
      <c r="H171" s="16">
        <f t="shared" si="6"/>
        <v>32.173375</v>
      </c>
      <c r="I171" s="5"/>
      <c r="J171" s="15">
        <v>1203.0848000000001</v>
      </c>
      <c r="K171" s="16">
        <v>32.357599999999998</v>
      </c>
      <c r="L171" s="16">
        <v>36.852600000000002</v>
      </c>
      <c r="M171" s="16">
        <v>38.392299999999999</v>
      </c>
      <c r="N171" s="16">
        <v>283.01889999999997</v>
      </c>
      <c r="O171" s="16">
        <f t="shared" si="7"/>
        <v>33.673812499999997</v>
      </c>
      <c r="P171" s="7"/>
      <c r="Q171" s="8">
        <f>bdrate(C171:C174,D171:D174,J171:J174,K171:K174)</f>
        <v>-0.30450471982876604</v>
      </c>
      <c r="R171" s="8">
        <f>bdrate(C171:C174,E171:E174,J171:J174,L171:L174)</f>
        <v>-0.51611789660621787</v>
      </c>
      <c r="S171" s="8">
        <f>bdrate(C171:C174,F171:F174,J171:J174,M171:M174)</f>
        <v>-0.50762211375359489</v>
      </c>
      <c r="T171" s="25">
        <f>bdrate(C171:C174,H171:H174,J171:J174,O171:O174)</f>
        <v>-0.35058930496338858</v>
      </c>
      <c r="U171" s="28">
        <f t="shared" si="8"/>
        <v>0.63358672438672425</v>
      </c>
    </row>
    <row r="172" spans="1:21" x14ac:dyDescent="0.25">
      <c r="B172" s="9"/>
      <c r="C172" s="17">
        <v>835.6748046875</v>
      </c>
      <c r="D172" s="18">
        <v>29.667999999999999</v>
      </c>
      <c r="E172" s="18">
        <v>34.594000000000001</v>
      </c>
      <c r="F172" s="18">
        <v>36.136000000000003</v>
      </c>
      <c r="G172" s="18">
        <v>187.61</v>
      </c>
      <c r="H172" s="18">
        <f t="shared" si="6"/>
        <v>31.092249999999996</v>
      </c>
      <c r="I172" s="5"/>
      <c r="J172" s="17">
        <v>801.65679999999998</v>
      </c>
      <c r="K172" s="18">
        <v>30.8261</v>
      </c>
      <c r="L172" s="18">
        <v>35.948599999999999</v>
      </c>
      <c r="M172" s="18">
        <v>37.5017</v>
      </c>
      <c r="N172" s="18">
        <v>337.45780000000002</v>
      </c>
      <c r="O172" s="18">
        <f t="shared" si="7"/>
        <v>32.300862500000001</v>
      </c>
      <c r="P172" s="7"/>
      <c r="Q172" s="10"/>
      <c r="R172" s="11"/>
      <c r="S172" s="11"/>
      <c r="T172" s="26"/>
      <c r="U172" s="28">
        <f t="shared" si="8"/>
        <v>0.79871968445178831</v>
      </c>
    </row>
    <row r="173" spans="1:21" x14ac:dyDescent="0.25">
      <c r="B173" s="9"/>
      <c r="C173" s="17">
        <v>558.33203125</v>
      </c>
      <c r="D173" s="18">
        <v>28.263999999999999</v>
      </c>
      <c r="E173" s="18">
        <v>33.500999999999998</v>
      </c>
      <c r="F173" s="18">
        <v>34.899000000000001</v>
      </c>
      <c r="G173" s="18">
        <v>207.77</v>
      </c>
      <c r="H173" s="18">
        <f t="shared" si="6"/>
        <v>29.748000000000001</v>
      </c>
      <c r="I173" s="5"/>
      <c r="J173" s="17">
        <v>500.89920000000001</v>
      </c>
      <c r="K173" s="18">
        <v>29.111999999999998</v>
      </c>
      <c r="L173" s="18">
        <v>35.041699999999999</v>
      </c>
      <c r="M173" s="18">
        <v>36.564799999999998</v>
      </c>
      <c r="N173" s="18">
        <v>392.67020000000002</v>
      </c>
      <c r="O173" s="18">
        <f t="shared" si="7"/>
        <v>30.784812499999997</v>
      </c>
      <c r="P173" s="7"/>
      <c r="Q173" s="10"/>
      <c r="R173" s="11"/>
      <c r="S173" s="11"/>
      <c r="T173" s="26"/>
      <c r="U173" s="28">
        <f t="shared" si="8"/>
        <v>0.88992732348269721</v>
      </c>
    </row>
    <row r="174" spans="1:21" ht="16.5" thickBot="1" x14ac:dyDescent="0.3">
      <c r="B174" s="12"/>
      <c r="C174" s="19">
        <v>361.3974609375</v>
      </c>
      <c r="D174" s="20">
        <v>26.954999999999998</v>
      </c>
      <c r="E174" s="20">
        <v>32.399000000000001</v>
      </c>
      <c r="F174" s="20">
        <v>33.656999999999996</v>
      </c>
      <c r="G174" s="20">
        <v>225.97</v>
      </c>
      <c r="H174" s="20">
        <f t="shared" si="6"/>
        <v>28.47325</v>
      </c>
      <c r="I174" s="5"/>
      <c r="J174" s="19">
        <v>301.20319999999998</v>
      </c>
      <c r="K174" s="20">
        <v>27.5093</v>
      </c>
      <c r="L174" s="20">
        <v>34.095799999999997</v>
      </c>
      <c r="M174" s="20">
        <v>35.5246</v>
      </c>
      <c r="N174" s="20">
        <v>519.03110000000004</v>
      </c>
      <c r="O174" s="20">
        <f t="shared" si="7"/>
        <v>29.334524999999999</v>
      </c>
      <c r="P174" s="7"/>
      <c r="Q174" s="13"/>
      <c r="R174" s="14"/>
      <c r="S174" s="14"/>
      <c r="T174" s="27"/>
      <c r="U174" s="28">
        <f t="shared" si="8"/>
        <v>1.2969026861972828</v>
      </c>
    </row>
    <row r="175" spans="1:21" x14ac:dyDescent="0.25">
      <c r="A175" s="6" t="s">
        <v>41</v>
      </c>
      <c r="B175" s="6" t="s">
        <v>57</v>
      </c>
      <c r="C175" s="15">
        <v>580.1328125</v>
      </c>
      <c r="D175" s="16">
        <v>32.665999999999997</v>
      </c>
      <c r="E175" s="16">
        <v>38.325000000000003</v>
      </c>
      <c r="F175" s="16">
        <v>36.042999999999999</v>
      </c>
      <c r="G175" s="16">
        <v>433.47</v>
      </c>
      <c r="H175" s="16">
        <f t="shared" si="6"/>
        <v>33.795499999999997</v>
      </c>
      <c r="I175" s="5"/>
      <c r="J175" s="15">
        <v>602.59680000000003</v>
      </c>
      <c r="K175" s="16">
        <v>34.344200000000001</v>
      </c>
      <c r="L175" s="16">
        <v>39.622100000000003</v>
      </c>
      <c r="M175" s="16">
        <v>38.131700000000002</v>
      </c>
      <c r="N175" s="16">
        <v>943.39620000000002</v>
      </c>
      <c r="O175" s="16">
        <f t="shared" si="7"/>
        <v>35.477375000000002</v>
      </c>
      <c r="P175" s="7"/>
      <c r="Q175" s="8">
        <f>bdrate(C175:C178,D175:D178,J175:J178,K175:K178)</f>
        <v>-0.24390606197498954</v>
      </c>
      <c r="R175" s="8">
        <f>bdrate(C175:C178,E175:E178,J175:J178,L175:L178)</f>
        <v>-0.39267491361626594</v>
      </c>
      <c r="S175" s="8">
        <f>bdrate(C175:C178,F175:F178,J175:J178,M175:M178)</f>
        <v>-0.52097194007929637</v>
      </c>
      <c r="T175" s="25">
        <f>bdrate(C175:C178,H175:H178,J175:J178,O175:O178)</f>
        <v>-0.29418204432491502</v>
      </c>
      <c r="U175" s="28">
        <f t="shared" si="8"/>
        <v>1.1763817565229426</v>
      </c>
    </row>
    <row r="176" spans="1:21" x14ac:dyDescent="0.25">
      <c r="A176" s="9" t="s">
        <v>42</v>
      </c>
      <c r="B176" s="9"/>
      <c r="C176" s="17">
        <v>403.4228515625</v>
      </c>
      <c r="D176" s="18">
        <v>31.222999999999999</v>
      </c>
      <c r="E176" s="18">
        <v>37.334000000000003</v>
      </c>
      <c r="F176" s="18">
        <v>34.86</v>
      </c>
      <c r="G176" s="18">
        <v>466.6</v>
      </c>
      <c r="H176" s="18">
        <f t="shared" si="6"/>
        <v>32.441499999999998</v>
      </c>
      <c r="I176" s="5"/>
      <c r="J176" s="17">
        <v>402.46319999999997</v>
      </c>
      <c r="K176" s="18">
        <v>32.519300000000001</v>
      </c>
      <c r="L176" s="18">
        <v>38.462499999999999</v>
      </c>
      <c r="M176" s="18">
        <v>36.8307</v>
      </c>
      <c r="N176" s="18">
        <v>1144.1648</v>
      </c>
      <c r="O176" s="18">
        <f t="shared" si="7"/>
        <v>33.801124999999999</v>
      </c>
      <c r="P176" s="7"/>
      <c r="Q176" s="10"/>
      <c r="R176" s="11"/>
      <c r="S176" s="11"/>
      <c r="T176" s="26"/>
      <c r="U176" s="28">
        <f t="shared" si="8"/>
        <v>1.452132018859837</v>
      </c>
    </row>
    <row r="177" spans="1:21" x14ac:dyDescent="0.25">
      <c r="B177" s="9"/>
      <c r="C177" s="17">
        <v>258.79296875</v>
      </c>
      <c r="D177" s="18">
        <v>29.582999999999998</v>
      </c>
      <c r="E177" s="18">
        <v>36.131999999999998</v>
      </c>
      <c r="F177" s="18">
        <v>33.456000000000003</v>
      </c>
      <c r="G177" s="18">
        <v>510.56</v>
      </c>
      <c r="H177" s="18">
        <f t="shared" si="6"/>
        <v>30.885750000000002</v>
      </c>
      <c r="I177" s="5"/>
      <c r="J177" s="17">
        <v>253.4776</v>
      </c>
      <c r="K177" s="18">
        <v>30.568899999999999</v>
      </c>
      <c r="L177" s="18">
        <v>37.3444</v>
      </c>
      <c r="M177" s="18">
        <v>35.575800000000001</v>
      </c>
      <c r="N177" s="18">
        <v>1333.3333</v>
      </c>
      <c r="O177" s="18">
        <f t="shared" si="7"/>
        <v>32.041699999999999</v>
      </c>
      <c r="P177" s="7"/>
      <c r="Q177" s="10"/>
      <c r="R177" s="11"/>
      <c r="S177" s="11"/>
      <c r="T177" s="26"/>
      <c r="U177" s="28">
        <f t="shared" si="8"/>
        <v>1.6115114775932311</v>
      </c>
    </row>
    <row r="178" spans="1:21" ht="16.5" thickBot="1" x14ac:dyDescent="0.3">
      <c r="B178" s="12"/>
      <c r="C178" s="19">
        <v>139.201171875</v>
      </c>
      <c r="D178" s="20">
        <v>27.431999999999999</v>
      </c>
      <c r="E178" s="20">
        <v>34.439</v>
      </c>
      <c r="F178" s="20">
        <v>31.608000000000001</v>
      </c>
      <c r="G178" s="20">
        <v>569.82000000000005</v>
      </c>
      <c r="H178" s="20">
        <f t="shared" si="6"/>
        <v>28.829874999999998</v>
      </c>
      <c r="I178" s="5"/>
      <c r="J178" s="19">
        <v>121.5256</v>
      </c>
      <c r="K178" s="20">
        <v>27.706800000000001</v>
      </c>
      <c r="L178" s="20">
        <v>35.752099999999999</v>
      </c>
      <c r="M178" s="20">
        <v>33.653500000000001</v>
      </c>
      <c r="N178" s="20">
        <v>1779.3594000000001</v>
      </c>
      <c r="O178" s="20">
        <f t="shared" si="7"/>
        <v>29.455800000000004</v>
      </c>
      <c r="P178" s="7"/>
      <c r="Q178" s="13"/>
      <c r="R178" s="14"/>
      <c r="S178" s="14"/>
      <c r="T178" s="27"/>
      <c r="U178" s="28">
        <f t="shared" si="8"/>
        <v>2.1226692639780982</v>
      </c>
    </row>
    <row r="179" spans="1:21" x14ac:dyDescent="0.25">
      <c r="B179" s="6" t="s">
        <v>58</v>
      </c>
      <c r="C179" s="15">
        <v>639.7802734375</v>
      </c>
      <c r="D179" s="16">
        <v>29.722999999999999</v>
      </c>
      <c r="E179" s="16">
        <v>39.828000000000003</v>
      </c>
      <c r="F179" s="16">
        <v>40.57</v>
      </c>
      <c r="G179" s="16">
        <v>400.34</v>
      </c>
      <c r="H179" s="16">
        <f t="shared" si="6"/>
        <v>32.341999999999999</v>
      </c>
      <c r="I179" s="5"/>
      <c r="J179" s="15">
        <v>599.83199999999999</v>
      </c>
      <c r="K179" s="16">
        <v>33.598199999999999</v>
      </c>
      <c r="L179" s="16">
        <v>41.313600000000001</v>
      </c>
      <c r="M179" s="16">
        <v>42.096400000000003</v>
      </c>
      <c r="N179" s="16">
        <v>1098.9011</v>
      </c>
      <c r="O179" s="16">
        <f t="shared" si="7"/>
        <v>35.624900000000004</v>
      </c>
      <c r="P179" s="7"/>
      <c r="Q179" s="8">
        <f>bdrate(C179:C182,D179:D182,J179:J182,K179:K182)</f>
        <v>-0.69444211051321614</v>
      </c>
      <c r="R179" s="8">
        <f>bdrate(C179:C182,E179:E182,J179:J182,L179:L182)</f>
        <v>-0.49660396117385952</v>
      </c>
      <c r="S179" s="8">
        <f>bdrate(C179:C182,F179:F182,J179:J182,M179:M182)</f>
        <v>-0.48104386147149159</v>
      </c>
      <c r="T179" s="25">
        <f>bdrate(C179:C182,H179:H182,J179:J182,O179:O182)</f>
        <v>-0.6673762978822777</v>
      </c>
      <c r="U179" s="28">
        <f t="shared" si="8"/>
        <v>1.7449195683668886</v>
      </c>
    </row>
    <row r="180" spans="1:21" x14ac:dyDescent="0.25">
      <c r="B180" s="9"/>
      <c r="C180" s="17">
        <v>436.140625</v>
      </c>
      <c r="D180" s="18">
        <v>28.638999999999999</v>
      </c>
      <c r="E180" s="18">
        <v>39.195</v>
      </c>
      <c r="F180" s="18">
        <v>39.831000000000003</v>
      </c>
      <c r="G180" s="18">
        <v>422.09</v>
      </c>
      <c r="H180" s="18">
        <f t="shared" si="6"/>
        <v>31.357500000000002</v>
      </c>
      <c r="I180" s="5"/>
      <c r="J180" s="17">
        <v>399.4984</v>
      </c>
      <c r="K180" s="18">
        <v>32.304900000000004</v>
      </c>
      <c r="L180" s="18">
        <v>40.373100000000001</v>
      </c>
      <c r="M180" s="18">
        <v>41.199800000000003</v>
      </c>
      <c r="N180" s="18">
        <v>1282.0513000000001</v>
      </c>
      <c r="O180" s="18">
        <f t="shared" si="7"/>
        <v>34.425287500000003</v>
      </c>
      <c r="P180" s="7"/>
      <c r="Q180" s="10"/>
      <c r="R180" s="11"/>
      <c r="S180" s="11"/>
      <c r="T180" s="26"/>
      <c r="U180" s="28">
        <f t="shared" si="8"/>
        <v>2.0373884716529655</v>
      </c>
    </row>
    <row r="181" spans="1:21" x14ac:dyDescent="0.25">
      <c r="B181" s="9"/>
      <c r="C181" s="17">
        <v>272.6572265625</v>
      </c>
      <c r="D181" s="18">
        <v>27.41</v>
      </c>
      <c r="E181" s="18">
        <v>38.424999999999997</v>
      </c>
      <c r="F181" s="18">
        <v>38.987000000000002</v>
      </c>
      <c r="G181" s="18">
        <v>446.27</v>
      </c>
      <c r="H181" s="18">
        <f t="shared" si="6"/>
        <v>30.233999999999998</v>
      </c>
      <c r="I181" s="5"/>
      <c r="J181" s="17">
        <v>250.1472</v>
      </c>
      <c r="K181" s="18">
        <v>30.788599999999999</v>
      </c>
      <c r="L181" s="18">
        <v>39.470100000000002</v>
      </c>
      <c r="M181" s="18">
        <v>40.058399999999999</v>
      </c>
      <c r="N181" s="18">
        <v>1600</v>
      </c>
      <c r="O181" s="18">
        <f t="shared" si="7"/>
        <v>33.032512499999996</v>
      </c>
      <c r="P181" s="7"/>
      <c r="Q181" s="10"/>
      <c r="R181" s="11"/>
      <c r="S181" s="11"/>
      <c r="T181" s="26"/>
      <c r="U181" s="28">
        <f t="shared" si="8"/>
        <v>2.585273489143344</v>
      </c>
    </row>
    <row r="182" spans="1:21" ht="16.5" thickBot="1" x14ac:dyDescent="0.3">
      <c r="B182" s="12"/>
      <c r="C182" s="19">
        <v>131.091796875</v>
      </c>
      <c r="D182" s="20">
        <v>25.457999999999998</v>
      </c>
      <c r="E182" s="20">
        <v>37.393999999999998</v>
      </c>
      <c r="F182" s="20">
        <v>37.57</v>
      </c>
      <c r="G182" s="20">
        <v>501.28</v>
      </c>
      <c r="H182" s="20">
        <f t="shared" si="6"/>
        <v>28.463999999999999</v>
      </c>
      <c r="I182" s="5"/>
      <c r="J182" s="19">
        <v>119.81440000000001</v>
      </c>
      <c r="K182" s="20">
        <v>28.147099999999998</v>
      </c>
      <c r="L182" s="20">
        <v>38.109499999999997</v>
      </c>
      <c r="M182" s="20">
        <v>38.633899999999997</v>
      </c>
      <c r="N182" s="20">
        <v>1923.0769</v>
      </c>
      <c r="O182" s="20">
        <f t="shared" si="7"/>
        <v>30.703249999999997</v>
      </c>
      <c r="P182" s="7"/>
      <c r="Q182" s="13"/>
      <c r="R182" s="14"/>
      <c r="S182" s="14"/>
      <c r="T182" s="27"/>
      <c r="U182" s="28">
        <f t="shared" si="8"/>
        <v>2.8363327880625602</v>
      </c>
    </row>
    <row r="183" spans="1:21" x14ac:dyDescent="0.25">
      <c r="B183" s="6" t="s">
        <v>59</v>
      </c>
      <c r="C183" s="29">
        <v>648.056640625</v>
      </c>
      <c r="D183" s="30">
        <v>30.600999999999999</v>
      </c>
      <c r="E183" s="30">
        <v>36.307000000000002</v>
      </c>
      <c r="F183" s="30">
        <v>37.051000000000002</v>
      </c>
      <c r="G183" s="16">
        <v>391.9</v>
      </c>
      <c r="H183" s="16">
        <f t="shared" si="6"/>
        <v>32.1205</v>
      </c>
      <c r="I183" s="5"/>
      <c r="J183" s="29">
        <v>639.80399999999997</v>
      </c>
      <c r="K183" s="30">
        <v>33.100700000000003</v>
      </c>
      <c r="L183" s="30">
        <v>38.1158</v>
      </c>
      <c r="M183" s="30">
        <v>38.869100000000003</v>
      </c>
      <c r="N183" s="16">
        <v>970.87379999999996</v>
      </c>
      <c r="O183" s="16">
        <f t="shared" si="7"/>
        <v>34.448637500000004</v>
      </c>
      <c r="P183" s="7"/>
      <c r="Q183" s="8">
        <f>bdrate(C183:C186,D183:D186,J183:J186,K183:K186)</f>
        <v>-0.4505383472787815</v>
      </c>
      <c r="R183" s="8">
        <f>bdrate(C183:C186,E183:E186,J183:J186,L183:L186)</f>
        <v>-0.5324097391922975</v>
      </c>
      <c r="S183" s="8">
        <f>bdrate(C183:C186,F183:F186,J183:J186,M183:M186)</f>
        <v>-0.52704670361931361</v>
      </c>
      <c r="T183" s="25">
        <f>bdrate(C183:C186,H183:H186,J183:J186,O183:O186)</f>
        <v>-0.46869656190616182</v>
      </c>
      <c r="U183" s="28">
        <f t="shared" si="8"/>
        <v>1.4773508548099006</v>
      </c>
    </row>
    <row r="184" spans="1:21" x14ac:dyDescent="0.25">
      <c r="B184" s="9"/>
      <c r="C184" s="31">
        <v>441.921875</v>
      </c>
      <c r="D184" s="32">
        <v>29.454999999999998</v>
      </c>
      <c r="E184" s="32">
        <v>35.328000000000003</v>
      </c>
      <c r="F184" s="32">
        <v>36.031999999999996</v>
      </c>
      <c r="G184" s="18">
        <v>411.92</v>
      </c>
      <c r="H184" s="18">
        <f t="shared" si="6"/>
        <v>31.011249999999997</v>
      </c>
      <c r="I184" s="5"/>
      <c r="J184" s="31">
        <v>427.3184</v>
      </c>
      <c r="K184" s="32">
        <v>31.6112</v>
      </c>
      <c r="L184" s="32">
        <v>37.076300000000003</v>
      </c>
      <c r="M184" s="32">
        <v>37.813499999999998</v>
      </c>
      <c r="N184" s="18">
        <v>1231.5271</v>
      </c>
      <c r="O184" s="18">
        <f t="shared" si="7"/>
        <v>33.069625000000002</v>
      </c>
      <c r="P184" s="7"/>
      <c r="Q184" s="10"/>
      <c r="R184" s="11"/>
      <c r="S184" s="11"/>
      <c r="T184" s="26"/>
      <c r="U184" s="28">
        <f t="shared" si="8"/>
        <v>1.9897239755292289</v>
      </c>
    </row>
    <row r="185" spans="1:21" x14ac:dyDescent="0.25">
      <c r="B185" s="9"/>
      <c r="C185" s="31">
        <v>279.0693359375</v>
      </c>
      <c r="D185" s="32">
        <v>28.202999999999999</v>
      </c>
      <c r="E185" s="32">
        <v>34.328000000000003</v>
      </c>
      <c r="F185" s="32">
        <v>35</v>
      </c>
      <c r="G185" s="18">
        <v>436.15</v>
      </c>
      <c r="H185" s="18">
        <f t="shared" si="6"/>
        <v>29.818249999999999</v>
      </c>
      <c r="I185" s="5"/>
      <c r="J185" s="31">
        <v>264.6336</v>
      </c>
      <c r="K185" s="32">
        <v>29.856300000000001</v>
      </c>
      <c r="L185" s="32">
        <v>35.871000000000002</v>
      </c>
      <c r="M185" s="32">
        <v>36.564900000000002</v>
      </c>
      <c r="N185" s="18">
        <v>1333.3333</v>
      </c>
      <c r="O185" s="18">
        <f t="shared" si="7"/>
        <v>31.4467125</v>
      </c>
      <c r="P185" s="7"/>
      <c r="Q185" s="10"/>
      <c r="R185" s="11"/>
      <c r="S185" s="11"/>
      <c r="T185" s="26"/>
      <c r="U185" s="28">
        <f t="shared" si="8"/>
        <v>2.0570521609538006</v>
      </c>
    </row>
    <row r="186" spans="1:21" ht="16.5" thickBot="1" x14ac:dyDescent="0.3">
      <c r="B186" s="12"/>
      <c r="C186" s="33">
        <v>134.6240234375</v>
      </c>
      <c r="D186" s="34">
        <v>26.349</v>
      </c>
      <c r="E186" s="34">
        <v>32.901000000000003</v>
      </c>
      <c r="F186" s="34">
        <v>33.56</v>
      </c>
      <c r="G186" s="20">
        <v>484.68</v>
      </c>
      <c r="H186" s="20">
        <f t="shared" si="6"/>
        <v>28.069375000000001</v>
      </c>
      <c r="I186" s="5"/>
      <c r="J186" s="33">
        <v>126.4312</v>
      </c>
      <c r="K186" s="34">
        <v>27.436699999999998</v>
      </c>
      <c r="L186" s="34">
        <v>34.363500000000002</v>
      </c>
      <c r="M186" s="34">
        <v>35.017600000000002</v>
      </c>
      <c r="N186" s="20">
        <v>1689.1892</v>
      </c>
      <c r="O186" s="20">
        <f t="shared" si="7"/>
        <v>29.250162500000002</v>
      </c>
      <c r="P186" s="7"/>
      <c r="Q186" s="13"/>
      <c r="R186" s="14"/>
      <c r="S186" s="14"/>
      <c r="T186" s="27"/>
      <c r="U186" s="28">
        <f t="shared" si="8"/>
        <v>2.485163819427251</v>
      </c>
    </row>
    <row r="187" spans="1:21" x14ac:dyDescent="0.25">
      <c r="B187" s="6" t="s">
        <v>60</v>
      </c>
      <c r="C187" s="15">
        <v>589.5283203125</v>
      </c>
      <c r="D187" s="16">
        <v>32.191000000000003</v>
      </c>
      <c r="E187" s="16">
        <v>36.058</v>
      </c>
      <c r="F187" s="16">
        <v>37.139000000000003</v>
      </c>
      <c r="G187" s="16">
        <v>350.75</v>
      </c>
      <c r="H187" s="16">
        <f t="shared" si="6"/>
        <v>33.292875000000002</v>
      </c>
      <c r="I187" s="5"/>
      <c r="J187" s="15">
        <v>601.67280000000005</v>
      </c>
      <c r="K187" s="16">
        <v>33.899099999999997</v>
      </c>
      <c r="L187" s="16">
        <v>37.682400000000001</v>
      </c>
      <c r="M187" s="16">
        <v>38.751800000000003</v>
      </c>
      <c r="N187" s="16">
        <v>619.8347</v>
      </c>
      <c r="O187" s="16">
        <f t="shared" si="7"/>
        <v>34.9786</v>
      </c>
      <c r="P187" s="7"/>
      <c r="Q187" s="8">
        <f>bdrate(C187:C190,D187:D190,J187:J190,K187:K190)</f>
        <v>-0.28632896277055508</v>
      </c>
      <c r="R187" s="8">
        <f>bdrate(C187:C190,E187:E190,J187:J190,L187:L190)</f>
        <v>-0.4823995262452776</v>
      </c>
      <c r="S187" s="8">
        <f>bdrate(C187:C190,F187:F190,J187:J190,M187:M190)</f>
        <v>-0.46595684595522113</v>
      </c>
      <c r="T187" s="25">
        <f>bdrate(C187:C190,H187:H190,J187:J190,O187:O190)</f>
        <v>-0.32815344899967236</v>
      </c>
      <c r="U187" s="28">
        <f t="shared" si="8"/>
        <v>0.76716949394155376</v>
      </c>
    </row>
    <row r="188" spans="1:21" x14ac:dyDescent="0.25">
      <c r="B188" s="9"/>
      <c r="C188" s="17">
        <v>423.3896484375</v>
      </c>
      <c r="D188" s="18">
        <v>30.899000000000001</v>
      </c>
      <c r="E188" s="18">
        <v>35.106999999999999</v>
      </c>
      <c r="F188" s="18">
        <v>36.218000000000004</v>
      </c>
      <c r="G188" s="18">
        <v>371.79</v>
      </c>
      <c r="H188" s="18">
        <f t="shared" si="6"/>
        <v>32.089874999999999</v>
      </c>
      <c r="I188" s="5"/>
      <c r="J188" s="17">
        <v>400.50880000000001</v>
      </c>
      <c r="K188" s="18">
        <v>32.0274</v>
      </c>
      <c r="L188" s="18">
        <v>36.527500000000003</v>
      </c>
      <c r="M188" s="18">
        <v>37.592300000000002</v>
      </c>
      <c r="N188" s="18">
        <v>738.91629999999998</v>
      </c>
      <c r="O188" s="18">
        <f t="shared" si="7"/>
        <v>33.285525</v>
      </c>
      <c r="P188" s="7"/>
      <c r="Q188" s="10"/>
      <c r="R188" s="11"/>
      <c r="S188" s="11"/>
      <c r="T188" s="26"/>
      <c r="U188" s="28">
        <f t="shared" si="8"/>
        <v>0.98745609080394825</v>
      </c>
    </row>
    <row r="189" spans="1:21" x14ac:dyDescent="0.25">
      <c r="B189" s="9"/>
      <c r="C189" s="17">
        <v>281.4755859375</v>
      </c>
      <c r="D189" s="18">
        <v>29.41</v>
      </c>
      <c r="E189" s="18">
        <v>33.979999999999997</v>
      </c>
      <c r="F189" s="18">
        <v>35.069000000000003</v>
      </c>
      <c r="G189" s="18">
        <v>403.05</v>
      </c>
      <c r="H189" s="18">
        <f t="shared" si="6"/>
        <v>30.688625000000002</v>
      </c>
      <c r="I189" s="5"/>
      <c r="J189" s="17">
        <v>250.78720000000001</v>
      </c>
      <c r="K189" s="18">
        <v>30.206800000000001</v>
      </c>
      <c r="L189" s="18">
        <v>35.343200000000003</v>
      </c>
      <c r="M189" s="18">
        <v>36.384300000000003</v>
      </c>
      <c r="N189" s="18">
        <v>961.5385</v>
      </c>
      <c r="O189" s="18">
        <f t="shared" si="7"/>
        <v>31.6210375</v>
      </c>
      <c r="P189" s="7"/>
      <c r="Q189" s="10"/>
      <c r="R189" s="11"/>
      <c r="S189" s="11"/>
      <c r="T189" s="26"/>
      <c r="U189" s="28">
        <f t="shared" si="8"/>
        <v>1.3856556258528716</v>
      </c>
    </row>
    <row r="190" spans="1:21" ht="16.5" thickBot="1" x14ac:dyDescent="0.3">
      <c r="B190" s="12"/>
      <c r="C190" s="19">
        <v>140.935546875</v>
      </c>
      <c r="D190" s="20">
        <v>27.11</v>
      </c>
      <c r="E190" s="20">
        <v>32.149000000000001</v>
      </c>
      <c r="F190" s="20">
        <v>33.097000000000001</v>
      </c>
      <c r="G190" s="20">
        <v>459.53</v>
      </c>
      <c r="H190" s="20">
        <f t="shared" si="6"/>
        <v>28.488250000000001</v>
      </c>
      <c r="I190" s="5"/>
      <c r="J190" s="19">
        <v>120.83280000000001</v>
      </c>
      <c r="K190" s="20">
        <v>27.6815</v>
      </c>
      <c r="L190" s="20">
        <v>33.8782</v>
      </c>
      <c r="M190" s="20">
        <v>34.808500000000002</v>
      </c>
      <c r="N190" s="20">
        <v>1282.0513000000001</v>
      </c>
      <c r="O190" s="20">
        <f t="shared" si="7"/>
        <v>29.3469625</v>
      </c>
      <c r="P190" s="7"/>
      <c r="Q190" s="13"/>
      <c r="R190" s="14"/>
      <c r="S190" s="14"/>
      <c r="T190" s="27"/>
      <c r="U190" s="28">
        <f t="shared" si="8"/>
        <v>1.7899186124953761</v>
      </c>
    </row>
    <row r="191" spans="1:21" x14ac:dyDescent="0.25">
      <c r="A191" s="6" t="s">
        <v>43</v>
      </c>
      <c r="B191" s="6" t="s">
        <v>61</v>
      </c>
      <c r="C191" s="15">
        <v>1497.3505859375</v>
      </c>
      <c r="D191" s="16">
        <v>39.994</v>
      </c>
      <c r="E191" s="16">
        <v>45.09</v>
      </c>
      <c r="F191" s="16">
        <v>46.256</v>
      </c>
      <c r="G191" s="16">
        <v>205.97</v>
      </c>
      <c r="H191" s="16">
        <f t="shared" si="6"/>
        <v>41.413749999999993</v>
      </c>
      <c r="I191" s="5"/>
      <c r="J191" s="15">
        <v>1491.184</v>
      </c>
      <c r="K191" s="16">
        <v>41.3431</v>
      </c>
      <c r="L191" s="16">
        <v>45.633000000000003</v>
      </c>
      <c r="M191" s="16">
        <v>46.8309</v>
      </c>
      <c r="N191" s="16">
        <v>268.93770000000001</v>
      </c>
      <c r="O191" s="16">
        <f t="shared" si="7"/>
        <v>42.565312499999997</v>
      </c>
      <c r="P191" s="7"/>
      <c r="Q191" s="8">
        <f>bdrate(C191:C194,D191:D194,J191:J194,K191:K194)</f>
        <v>-0.33878193386485467</v>
      </c>
      <c r="R191" s="8">
        <f>bdrate(C191:C194,E191:E194,J191:J194,L191:L194)</f>
        <v>-0.24156466167815149</v>
      </c>
      <c r="S191" s="8">
        <f>bdrate(C191:C194,F191:F194,J191:J194,M191:M194)</f>
        <v>-0.23687299206323598</v>
      </c>
      <c r="T191" s="25">
        <f>bdrate(C191:C194,H191:H194,J191:J194,O191:O194)</f>
        <v>-0.3211821578723022</v>
      </c>
      <c r="U191" s="28">
        <f t="shared" si="8"/>
        <v>0.30571296790794777</v>
      </c>
    </row>
    <row r="192" spans="1:21" x14ac:dyDescent="0.25">
      <c r="A192" s="9" t="s">
        <v>44</v>
      </c>
      <c r="B192" s="9"/>
      <c r="C192" s="17">
        <v>1001.3349609375</v>
      </c>
      <c r="D192" s="18">
        <v>38.713000000000001</v>
      </c>
      <c r="E192" s="18">
        <v>44.073</v>
      </c>
      <c r="F192" s="18">
        <v>45.215000000000003</v>
      </c>
      <c r="G192" s="18">
        <v>218.74</v>
      </c>
      <c r="H192" s="18">
        <f t="shared" si="6"/>
        <v>40.195750000000004</v>
      </c>
      <c r="I192" s="5"/>
      <c r="J192" s="17">
        <v>984.6232</v>
      </c>
      <c r="K192" s="18">
        <v>40.185099999999998</v>
      </c>
      <c r="L192" s="18">
        <v>44.661499999999997</v>
      </c>
      <c r="M192" s="18">
        <v>45.8048</v>
      </c>
      <c r="N192" s="18">
        <v>305.18819999999999</v>
      </c>
      <c r="O192" s="18">
        <f t="shared" si="7"/>
        <v>41.447112499999996</v>
      </c>
      <c r="P192" s="7"/>
      <c r="Q192" s="10"/>
      <c r="R192" s="11"/>
      <c r="S192" s="11"/>
      <c r="T192" s="26"/>
      <c r="U192" s="28">
        <f t="shared" si="8"/>
        <v>0.39520983816403027</v>
      </c>
    </row>
    <row r="193" spans="1:21" x14ac:dyDescent="0.25">
      <c r="B193" s="9"/>
      <c r="C193" s="17">
        <v>601.8681640625</v>
      </c>
      <c r="D193" s="18">
        <v>36.634999999999998</v>
      </c>
      <c r="E193" s="18">
        <v>42.488999999999997</v>
      </c>
      <c r="F193" s="18">
        <v>43.558</v>
      </c>
      <c r="G193" s="18">
        <v>228.94</v>
      </c>
      <c r="H193" s="18">
        <f t="shared" si="6"/>
        <v>38.232124999999996</v>
      </c>
      <c r="I193" s="5"/>
      <c r="J193" s="17">
        <v>577.78719999999998</v>
      </c>
      <c r="K193" s="18">
        <v>38.200400000000002</v>
      </c>
      <c r="L193" s="18">
        <v>43.170699999999997</v>
      </c>
      <c r="M193" s="18">
        <v>44.245199999999997</v>
      </c>
      <c r="N193" s="18">
        <v>349.65030000000002</v>
      </c>
      <c r="O193" s="18">
        <f t="shared" si="7"/>
        <v>39.577287500000004</v>
      </c>
      <c r="P193" s="7"/>
      <c r="Q193" s="10"/>
      <c r="R193" s="11"/>
      <c r="S193" s="11"/>
      <c r="T193" s="26"/>
      <c r="U193" s="28">
        <f t="shared" si="8"/>
        <v>0.52725736000698886</v>
      </c>
    </row>
    <row r="194" spans="1:21" ht="16.5" thickBot="1" x14ac:dyDescent="0.3">
      <c r="B194" s="12"/>
      <c r="C194" s="19">
        <v>302.0390625</v>
      </c>
      <c r="D194" s="20">
        <v>33.006</v>
      </c>
      <c r="E194" s="20">
        <v>39.960999999999999</v>
      </c>
      <c r="F194" s="20">
        <v>40.743000000000002</v>
      </c>
      <c r="G194" s="20">
        <v>254.7</v>
      </c>
      <c r="H194" s="20">
        <f t="shared" si="6"/>
        <v>34.842500000000001</v>
      </c>
      <c r="I194" s="5"/>
      <c r="J194" s="19">
        <v>281.95760000000001</v>
      </c>
      <c r="K194" s="20">
        <v>34.830300000000001</v>
      </c>
      <c r="L194" s="20">
        <v>41.218000000000004</v>
      </c>
      <c r="M194" s="20">
        <v>42.189</v>
      </c>
      <c r="N194" s="20">
        <v>396.56310000000002</v>
      </c>
      <c r="O194" s="20">
        <f t="shared" si="7"/>
        <v>36.548600000000008</v>
      </c>
      <c r="P194" s="7"/>
      <c r="Q194" s="13"/>
      <c r="R194" s="14"/>
      <c r="S194" s="14"/>
      <c r="T194" s="27"/>
      <c r="U194" s="28">
        <f t="shared" si="8"/>
        <v>0.55698115429917561</v>
      </c>
    </row>
    <row r="195" spans="1:21" x14ac:dyDescent="0.25">
      <c r="B195" s="6" t="s">
        <v>62</v>
      </c>
      <c r="C195" s="15">
        <v>1506.7958984375</v>
      </c>
      <c r="D195" s="16">
        <v>41.268999999999998</v>
      </c>
      <c r="E195" s="16">
        <v>47.134</v>
      </c>
      <c r="F195" s="16">
        <v>47.774000000000001</v>
      </c>
      <c r="G195" s="16">
        <v>172.12</v>
      </c>
      <c r="H195" s="16">
        <f t="shared" si="6"/>
        <v>42.815249999999999</v>
      </c>
      <c r="I195" s="5"/>
      <c r="J195" s="15">
        <v>1471.7552000000001</v>
      </c>
      <c r="K195" s="16">
        <v>42.599200000000003</v>
      </c>
      <c r="L195" s="16">
        <v>47.629800000000003</v>
      </c>
      <c r="M195" s="16">
        <v>48.2881</v>
      </c>
      <c r="N195" s="16">
        <v>293.5421</v>
      </c>
      <c r="O195" s="16">
        <f t="shared" si="7"/>
        <v>43.939137500000001</v>
      </c>
      <c r="P195" s="7"/>
      <c r="Q195" s="8">
        <f>bdrate(C195:C198,D195:D198,J195:J198,K195:K198)</f>
        <v>-0.53824492242715705</v>
      </c>
      <c r="R195" s="8">
        <f>bdrate(C195:C198,E195:E198,J195:J198,L195:L198)</f>
        <v>-0.36464260247180258</v>
      </c>
      <c r="S195" s="8">
        <f>bdrate(C195:C198,F195:F198,J195:J198,M195:M198)</f>
        <v>-0.35529324586334632</v>
      </c>
      <c r="T195" s="25">
        <f>bdrate(C195:C198,H195:H198,J195:J198,O195:O198)</f>
        <v>-0.50009232909096557</v>
      </c>
      <c r="U195" s="28">
        <f t="shared" ref="U195:U246" si="9">(N195-G195)/G195</f>
        <v>0.70545026725540316</v>
      </c>
    </row>
    <row r="196" spans="1:21" x14ac:dyDescent="0.25">
      <c r="B196" s="9"/>
      <c r="C196" s="17">
        <v>999.5673828125</v>
      </c>
      <c r="D196" s="18">
        <v>40.593000000000004</v>
      </c>
      <c r="E196" s="18">
        <v>46.487000000000002</v>
      </c>
      <c r="F196" s="18">
        <v>47.093000000000004</v>
      </c>
      <c r="G196" s="18">
        <v>200.53</v>
      </c>
      <c r="H196" s="18">
        <f t="shared" si="6"/>
        <v>42.142250000000004</v>
      </c>
      <c r="I196" s="5"/>
      <c r="J196" s="17">
        <v>969.6096</v>
      </c>
      <c r="K196" s="18">
        <v>42.046199999999999</v>
      </c>
      <c r="L196" s="18">
        <v>47.089700000000001</v>
      </c>
      <c r="M196" s="18">
        <v>47.734200000000001</v>
      </c>
      <c r="N196" s="18">
        <v>343.44589999999999</v>
      </c>
      <c r="O196" s="18">
        <f t="shared" si="7"/>
        <v>43.387637499999997</v>
      </c>
      <c r="P196" s="7"/>
      <c r="Q196" s="10"/>
      <c r="R196" s="11"/>
      <c r="S196" s="11"/>
      <c r="T196" s="26"/>
      <c r="U196" s="28">
        <f t="shared" si="9"/>
        <v>0.71269086919662894</v>
      </c>
    </row>
    <row r="197" spans="1:21" x14ac:dyDescent="0.25">
      <c r="B197" s="9"/>
      <c r="C197" s="17">
        <v>603.232421875</v>
      </c>
      <c r="D197" s="18">
        <v>39.481000000000002</v>
      </c>
      <c r="E197" s="18">
        <v>45.271000000000001</v>
      </c>
      <c r="F197" s="18">
        <v>45.871000000000002</v>
      </c>
      <c r="G197" s="18">
        <v>216.83</v>
      </c>
      <c r="H197" s="18">
        <f t="shared" si="6"/>
        <v>41.003500000000003</v>
      </c>
      <c r="I197" s="5"/>
      <c r="J197" s="17">
        <v>574.77760000000001</v>
      </c>
      <c r="K197" s="18">
        <v>41.124000000000002</v>
      </c>
      <c r="L197" s="18">
        <v>46.212600000000002</v>
      </c>
      <c r="M197" s="18">
        <v>46.792400000000001</v>
      </c>
      <c r="N197" s="18">
        <v>373.36649999999997</v>
      </c>
      <c r="O197" s="18">
        <f t="shared" si="7"/>
        <v>42.468625000000003</v>
      </c>
      <c r="P197" s="7"/>
      <c r="Q197" s="10"/>
      <c r="R197" s="11"/>
      <c r="S197" s="11"/>
      <c r="T197" s="26"/>
      <c r="U197" s="28">
        <f t="shared" si="9"/>
        <v>0.72193192823871211</v>
      </c>
    </row>
    <row r="198" spans="1:21" ht="16.5" thickBot="1" x14ac:dyDescent="0.3">
      <c r="B198" s="12"/>
      <c r="C198" s="19">
        <v>296.3916015625</v>
      </c>
      <c r="D198" s="20">
        <v>37.203000000000003</v>
      </c>
      <c r="E198" s="20">
        <v>43.01</v>
      </c>
      <c r="F198" s="20">
        <v>43.469000000000001</v>
      </c>
      <c r="G198" s="20">
        <v>239.34</v>
      </c>
      <c r="H198" s="20">
        <f t="shared" si="6"/>
        <v>38.712125</v>
      </c>
      <c r="I198" s="5"/>
      <c r="J198" s="19">
        <v>277.072</v>
      </c>
      <c r="K198" s="20">
        <v>39.232900000000001</v>
      </c>
      <c r="L198" s="20">
        <v>44.510199999999998</v>
      </c>
      <c r="M198" s="20">
        <v>45.012099999999997</v>
      </c>
      <c r="N198" s="20">
        <v>409.27690000000001</v>
      </c>
      <c r="O198" s="20">
        <f t="shared" si="7"/>
        <v>40.614962499999997</v>
      </c>
      <c r="P198" s="7"/>
      <c r="Q198" s="13"/>
      <c r="R198" s="14"/>
      <c r="S198" s="14"/>
      <c r="T198" s="27"/>
      <c r="U198" s="28">
        <f t="shared" si="9"/>
        <v>0.71002297986128526</v>
      </c>
    </row>
    <row r="199" spans="1:21" x14ac:dyDescent="0.25">
      <c r="B199" s="6" t="s">
        <v>63</v>
      </c>
      <c r="C199" s="15">
        <v>1500.056640625</v>
      </c>
      <c r="D199" s="16">
        <v>41.063000000000002</v>
      </c>
      <c r="E199" s="16">
        <v>46.079000000000001</v>
      </c>
      <c r="F199" s="16">
        <v>46.933999999999997</v>
      </c>
      <c r="G199" s="16">
        <v>198.92</v>
      </c>
      <c r="H199" s="16">
        <f t="shared" si="6"/>
        <v>42.423874999999995</v>
      </c>
      <c r="I199" s="5"/>
      <c r="J199" s="15">
        <v>1534.1007999999999</v>
      </c>
      <c r="K199" s="16">
        <v>42.478200000000001</v>
      </c>
      <c r="L199" s="16">
        <v>46.75</v>
      </c>
      <c r="M199" s="16">
        <v>47.625500000000002</v>
      </c>
      <c r="N199" s="16">
        <v>280.6361</v>
      </c>
      <c r="O199" s="16">
        <f t="shared" si="7"/>
        <v>43.655587499999996</v>
      </c>
      <c r="P199" s="7"/>
      <c r="Q199" s="8">
        <f>bdrate(C199:C202,D199:D202,J199:J202,K199:K202)</f>
        <v>-0.44824849846777404</v>
      </c>
      <c r="R199" s="8">
        <f>bdrate(C199:C202,E199:E202,J199:J202,L199:L202)</f>
        <v>-0.30657015775734076</v>
      </c>
      <c r="S199" s="8">
        <f>bdrate(C199:C202,F199:F202,J199:J202,M199:M202)</f>
        <v>-0.30540521817053667</v>
      </c>
      <c r="T199" s="25">
        <f>bdrate(C199:C202,H199:H202,J199:J202,O199:O202)</f>
        <v>-0.42020428667041776</v>
      </c>
      <c r="U199" s="28">
        <f t="shared" si="9"/>
        <v>0.41079881359340448</v>
      </c>
    </row>
    <row r="200" spans="1:21" x14ac:dyDescent="0.25">
      <c r="B200" s="9"/>
      <c r="C200" s="17">
        <v>1003.35546875</v>
      </c>
      <c r="D200" s="18">
        <v>39.994999999999997</v>
      </c>
      <c r="E200" s="18">
        <v>45.212000000000003</v>
      </c>
      <c r="F200" s="18">
        <v>46.029000000000003</v>
      </c>
      <c r="G200" s="18">
        <v>211.54</v>
      </c>
      <c r="H200" s="18">
        <f t="shared" si="6"/>
        <v>41.401374999999994</v>
      </c>
      <c r="I200" s="5"/>
      <c r="J200" s="17">
        <v>1007.0703999999999</v>
      </c>
      <c r="K200" s="18">
        <v>41.633400000000002</v>
      </c>
      <c r="L200" s="18">
        <v>45.951000000000001</v>
      </c>
      <c r="M200" s="18">
        <v>46.778700000000001</v>
      </c>
      <c r="N200" s="18">
        <v>323.27589999999998</v>
      </c>
      <c r="O200" s="18">
        <f t="shared" si="7"/>
        <v>42.816262500000008</v>
      </c>
      <c r="P200" s="7"/>
      <c r="Q200" s="10"/>
      <c r="R200" s="11"/>
      <c r="S200" s="11"/>
      <c r="T200" s="26"/>
      <c r="U200" s="28">
        <f t="shared" si="9"/>
        <v>0.5282022312564999</v>
      </c>
    </row>
    <row r="201" spans="1:21" x14ac:dyDescent="0.25">
      <c r="B201" s="9"/>
      <c r="C201" s="17">
        <v>606.22265625</v>
      </c>
      <c r="D201" s="18">
        <v>38.238999999999997</v>
      </c>
      <c r="E201" s="18">
        <v>43.698</v>
      </c>
      <c r="F201" s="18">
        <v>44.500999999999998</v>
      </c>
      <c r="G201" s="18">
        <v>224.52</v>
      </c>
      <c r="H201" s="18">
        <f t="shared" si="6"/>
        <v>39.704124999999991</v>
      </c>
      <c r="I201" s="5"/>
      <c r="J201" s="17">
        <v>599.44560000000001</v>
      </c>
      <c r="K201" s="18">
        <v>40.256999999999998</v>
      </c>
      <c r="L201" s="18">
        <v>44.728200000000001</v>
      </c>
      <c r="M201" s="18">
        <v>45.5366</v>
      </c>
      <c r="N201" s="18">
        <v>349.65030000000002</v>
      </c>
      <c r="O201" s="18">
        <f t="shared" si="7"/>
        <v>41.475850000000001</v>
      </c>
      <c r="P201" s="7"/>
      <c r="Q201" s="10"/>
      <c r="R201" s="11"/>
      <c r="S201" s="11"/>
      <c r="T201" s="26"/>
      <c r="U201" s="28">
        <f t="shared" si="9"/>
        <v>0.55732362373062538</v>
      </c>
    </row>
    <row r="202" spans="1:21" ht="16.5" thickBot="1" x14ac:dyDescent="0.3">
      <c r="B202" s="12"/>
      <c r="C202" s="19">
        <v>303.068359375</v>
      </c>
      <c r="D202" s="20">
        <v>35.055999999999997</v>
      </c>
      <c r="E202" s="20">
        <v>41.009</v>
      </c>
      <c r="F202" s="20">
        <v>41.789000000000001</v>
      </c>
      <c r="G202" s="20">
        <v>254.05</v>
      </c>
      <c r="H202" s="20">
        <f t="shared" si="6"/>
        <v>36.641749999999995</v>
      </c>
      <c r="I202" s="5"/>
      <c r="J202" s="19">
        <v>295.70479999999998</v>
      </c>
      <c r="K202" s="20">
        <v>37.608600000000003</v>
      </c>
      <c r="L202" s="20">
        <v>42.739400000000003</v>
      </c>
      <c r="M202" s="20">
        <v>43.555399999999999</v>
      </c>
      <c r="N202" s="20">
        <v>392.41329999999999</v>
      </c>
      <c r="O202" s="20">
        <f t="shared" si="7"/>
        <v>38.993300000000005</v>
      </c>
      <c r="P202" s="7"/>
      <c r="Q202" s="13"/>
      <c r="R202" s="14"/>
      <c r="S202" s="14"/>
      <c r="T202" s="27"/>
      <c r="U202" s="28">
        <f t="shared" si="9"/>
        <v>0.54463019090730158</v>
      </c>
    </row>
    <row r="203" spans="1:21" x14ac:dyDescent="0.25">
      <c r="A203" s="6" t="s">
        <v>99</v>
      </c>
      <c r="B203" s="6" t="s">
        <v>100</v>
      </c>
      <c r="C203" s="15">
        <v>1458.4326171875</v>
      </c>
      <c r="D203" s="16">
        <v>44.305</v>
      </c>
      <c r="E203" s="16">
        <v>49.655000000000001</v>
      </c>
      <c r="F203" s="16">
        <v>50.122</v>
      </c>
      <c r="G203" s="16">
        <v>160.29</v>
      </c>
      <c r="H203" s="16">
        <f t="shared" ref="H203:H246" si="10">(6*D203+E203+F203)/8</f>
        <v>45.700875000000003</v>
      </c>
      <c r="I203" s="5"/>
      <c r="J203" s="15">
        <v>1287.4358999999999</v>
      </c>
      <c r="K203" s="16">
        <v>43.404800000000002</v>
      </c>
      <c r="L203" s="16">
        <v>49.183999999999997</v>
      </c>
      <c r="M203" s="16">
        <v>50.186999999999998</v>
      </c>
      <c r="N203" s="16">
        <v>185.77770000000001</v>
      </c>
      <c r="O203" s="16">
        <f t="shared" ref="O203:O246" si="11">(6*K203+L203+M203)/8</f>
        <v>44.974975000000001</v>
      </c>
      <c r="P203" s="7"/>
      <c r="Q203" s="8">
        <f>bdrate(C203:C206,D203:D206,J203:J206,K203:K206)</f>
        <v>-0.2166677679146537</v>
      </c>
      <c r="R203" s="8">
        <f>bdrate(C203:C206,E203:E206,J203:J206,L203:L206)</f>
        <v>-0.25077368291101565</v>
      </c>
      <c r="S203" s="8">
        <f>bdrate(C203:C206,F203:F206,J203:J206,M203:M206)</f>
        <v>-0.32921602661513005</v>
      </c>
      <c r="T203" s="25">
        <f>bdrate(C203:C206,H203:H206,J203:J206,O203:O206)</f>
        <v>-0.23197233351635715</v>
      </c>
      <c r="U203" s="28">
        <f t="shared" si="9"/>
        <v>0.15900991952086854</v>
      </c>
    </row>
    <row r="204" spans="1:21" x14ac:dyDescent="0.25">
      <c r="A204" s="9" t="s">
        <v>77</v>
      </c>
      <c r="B204" s="9"/>
      <c r="C204" s="17">
        <v>1025.666015625</v>
      </c>
      <c r="D204" s="18">
        <v>42.235999999999997</v>
      </c>
      <c r="E204" s="18">
        <v>47.847999999999999</v>
      </c>
      <c r="F204" s="18">
        <v>48.381</v>
      </c>
      <c r="G204" s="18">
        <v>174.51</v>
      </c>
      <c r="H204" s="18">
        <f t="shared" si="10"/>
        <v>43.705624999999998</v>
      </c>
      <c r="I204" s="5"/>
      <c r="J204" s="17">
        <v>881.40319999999997</v>
      </c>
      <c r="K204" s="18">
        <v>41.9193</v>
      </c>
      <c r="L204" s="18">
        <v>47.935699999999997</v>
      </c>
      <c r="M204" s="18">
        <v>48.816600000000001</v>
      </c>
      <c r="N204" s="18">
        <v>218.52619999999999</v>
      </c>
      <c r="O204" s="18">
        <f t="shared" si="11"/>
        <v>43.533512500000001</v>
      </c>
      <c r="P204" s="7"/>
      <c r="Q204" s="10"/>
      <c r="R204" s="11"/>
      <c r="S204" s="11"/>
      <c r="T204" s="26"/>
      <c r="U204" s="28">
        <f t="shared" si="9"/>
        <v>0.25222737951979829</v>
      </c>
    </row>
    <row r="205" spans="1:21" x14ac:dyDescent="0.25">
      <c r="B205" s="9"/>
      <c r="C205" s="17">
        <v>679.900390625</v>
      </c>
      <c r="D205" s="18">
        <v>39.457000000000001</v>
      </c>
      <c r="E205" s="18">
        <v>45.625999999999998</v>
      </c>
      <c r="F205" s="18">
        <v>46.271999999999998</v>
      </c>
      <c r="G205" s="18">
        <v>182.43</v>
      </c>
      <c r="H205" s="18">
        <f t="shared" si="10"/>
        <v>41.08</v>
      </c>
      <c r="I205" s="5"/>
      <c r="J205" s="17">
        <v>548.32309999999995</v>
      </c>
      <c r="K205" s="18">
        <v>39.747500000000002</v>
      </c>
      <c r="L205" s="18">
        <v>46.101599999999998</v>
      </c>
      <c r="M205" s="18">
        <v>47.4238</v>
      </c>
      <c r="N205" s="18">
        <v>258.69499999999999</v>
      </c>
      <c r="O205" s="18">
        <f t="shared" si="11"/>
        <v>41.501300000000001</v>
      </c>
      <c r="P205" s="7"/>
      <c r="Q205" s="10"/>
      <c r="R205" s="11"/>
      <c r="S205" s="11"/>
      <c r="T205" s="26"/>
      <c r="U205" s="28">
        <f t="shared" si="9"/>
        <v>0.41805075919530771</v>
      </c>
    </row>
    <row r="206" spans="1:21" ht="16.5" thickBot="1" x14ac:dyDescent="0.3">
      <c r="B206" s="12"/>
      <c r="C206" s="19">
        <v>453.0390625</v>
      </c>
      <c r="D206" s="20">
        <v>35.972000000000001</v>
      </c>
      <c r="E206" s="20">
        <v>42.774000000000001</v>
      </c>
      <c r="F206" s="20">
        <v>43.664999999999999</v>
      </c>
      <c r="G206" s="20">
        <v>198.52</v>
      </c>
      <c r="H206" s="20">
        <f t="shared" si="10"/>
        <v>37.783875000000002</v>
      </c>
      <c r="I206" s="5"/>
      <c r="J206" s="19">
        <v>283.34320000000002</v>
      </c>
      <c r="K206" s="20">
        <v>36.664900000000003</v>
      </c>
      <c r="L206" s="20">
        <v>43.841900000000003</v>
      </c>
      <c r="M206" s="20">
        <v>45.158099999999997</v>
      </c>
      <c r="N206" s="20">
        <v>322.2919</v>
      </c>
      <c r="O206" s="20">
        <f t="shared" si="11"/>
        <v>38.623674999999999</v>
      </c>
      <c r="P206" s="7"/>
      <c r="Q206" s="13"/>
      <c r="R206" s="14"/>
      <c r="S206" s="14"/>
      <c r="T206" s="27"/>
      <c r="U206" s="28">
        <f t="shared" si="9"/>
        <v>0.62347320169252463</v>
      </c>
    </row>
    <row r="207" spans="1:21" x14ac:dyDescent="0.25">
      <c r="B207" s="6" t="s">
        <v>101</v>
      </c>
      <c r="C207" s="15">
        <v>1625.017578125</v>
      </c>
      <c r="D207" s="16">
        <v>50.427</v>
      </c>
      <c r="E207" s="16">
        <v>51.241999999999997</v>
      </c>
      <c r="F207" s="16">
        <v>51.607999999999997</v>
      </c>
      <c r="G207" s="16">
        <v>222.65</v>
      </c>
      <c r="H207" s="16">
        <f t="shared" si="10"/>
        <v>50.676500000000004</v>
      </c>
      <c r="I207" s="5"/>
      <c r="J207" s="15">
        <v>1442.9251999999999</v>
      </c>
      <c r="K207" s="16">
        <v>51.4589</v>
      </c>
      <c r="L207" s="16">
        <v>52.421300000000002</v>
      </c>
      <c r="M207" s="16">
        <v>52.938899999999997</v>
      </c>
      <c r="N207" s="16">
        <v>293.35070000000002</v>
      </c>
      <c r="O207" s="16">
        <f t="shared" si="11"/>
        <v>51.764200000000002</v>
      </c>
      <c r="P207" s="7"/>
      <c r="Q207" s="8">
        <f>bdrate(C207:C210,D207:D210,J207:J210,K207:K210)</f>
        <v>-0.30417141586551544</v>
      </c>
      <c r="R207" s="8">
        <f>bdrate(C207:C210,E207:E210,J207:J210,L207:L210)</f>
        <v>-0.3284083266503478</v>
      </c>
      <c r="S207" s="8">
        <f>bdrate(C207:C210,F207:F210,J207:J210,M207:M210)</f>
        <v>-0.34675740157533608</v>
      </c>
      <c r="T207" s="25">
        <f>bdrate(C207:C210,H207:H210,J207:J210,O207:O210)</f>
        <v>-0.3122022945380013</v>
      </c>
      <c r="U207" s="28">
        <f t="shared" si="9"/>
        <v>0.31754188187738608</v>
      </c>
    </row>
    <row r="208" spans="1:21" x14ac:dyDescent="0.25">
      <c r="B208" s="9"/>
      <c r="C208" s="17">
        <v>1138.873046875</v>
      </c>
      <c r="D208" s="18">
        <v>48.231000000000002</v>
      </c>
      <c r="E208" s="18">
        <v>49.192999999999998</v>
      </c>
      <c r="F208" s="18">
        <v>49.595999999999997</v>
      </c>
      <c r="G208" s="18">
        <v>255.09</v>
      </c>
      <c r="H208" s="18">
        <f t="shared" si="10"/>
        <v>48.521875000000001</v>
      </c>
      <c r="I208" s="5"/>
      <c r="J208" s="17">
        <v>973.90869999999995</v>
      </c>
      <c r="K208" s="18">
        <v>49.350700000000003</v>
      </c>
      <c r="L208" s="18">
        <v>50.436399999999999</v>
      </c>
      <c r="M208" s="18">
        <v>50.999899999999997</v>
      </c>
      <c r="N208" s="18">
        <v>243.37479999999999</v>
      </c>
      <c r="O208" s="18">
        <f t="shared" si="11"/>
        <v>49.692562499999994</v>
      </c>
      <c r="P208" s="7"/>
      <c r="Q208" s="10"/>
      <c r="R208" s="11"/>
      <c r="S208" s="11"/>
      <c r="T208" s="26"/>
      <c r="U208" s="28">
        <f t="shared" si="9"/>
        <v>-4.5925751695480063E-2</v>
      </c>
    </row>
    <row r="209" spans="2:21" x14ac:dyDescent="0.25">
      <c r="B209" s="9"/>
      <c r="C209" s="17">
        <v>717.3173828125</v>
      </c>
      <c r="D209" s="18">
        <v>45.372999999999998</v>
      </c>
      <c r="E209" s="18">
        <v>46.552</v>
      </c>
      <c r="F209" s="18">
        <v>46.976999999999997</v>
      </c>
      <c r="G209" s="18">
        <v>273.14</v>
      </c>
      <c r="H209" s="18">
        <f t="shared" si="10"/>
        <v>45.720874999999999</v>
      </c>
      <c r="I209" s="5"/>
      <c r="J209" s="17">
        <v>594.47450000000003</v>
      </c>
      <c r="K209" s="18">
        <v>46.514099999999999</v>
      </c>
      <c r="L209" s="18">
        <v>47.813499999999998</v>
      </c>
      <c r="M209" s="18">
        <v>48.375599999999999</v>
      </c>
      <c r="N209" s="18">
        <v>374.60980000000001</v>
      </c>
      <c r="O209" s="18">
        <f t="shared" si="11"/>
        <v>46.909212500000002</v>
      </c>
      <c r="P209" s="7"/>
      <c r="Q209" s="10"/>
      <c r="R209" s="11"/>
      <c r="S209" s="11"/>
      <c r="T209" s="26"/>
      <c r="U209" s="28">
        <f t="shared" si="9"/>
        <v>0.3714937394742624</v>
      </c>
    </row>
    <row r="210" spans="2:21" ht="16.5" thickBot="1" x14ac:dyDescent="0.3">
      <c r="B210" s="12"/>
      <c r="C210" s="19">
        <v>397.3798828125</v>
      </c>
      <c r="D210" s="20">
        <v>41.73</v>
      </c>
      <c r="E210" s="20">
        <v>43.246000000000002</v>
      </c>
      <c r="F210" s="20">
        <v>43.640999999999998</v>
      </c>
      <c r="G210" s="20">
        <v>276.14999999999998</v>
      </c>
      <c r="H210" s="20">
        <f t="shared" si="10"/>
        <v>42.158374999999999</v>
      </c>
      <c r="I210" s="5"/>
      <c r="J210" s="19">
        <v>300.09719999999999</v>
      </c>
      <c r="K210" s="20">
        <v>42.255800000000001</v>
      </c>
      <c r="L210" s="20">
        <v>43.860399999999998</v>
      </c>
      <c r="M210" s="20">
        <v>44.41</v>
      </c>
      <c r="N210" s="20">
        <v>402.05489999999998</v>
      </c>
      <c r="O210" s="20">
        <f t="shared" si="11"/>
        <v>42.725650000000002</v>
      </c>
      <c r="P210" s="7"/>
      <c r="Q210" s="13"/>
      <c r="R210" s="14"/>
      <c r="S210" s="14"/>
      <c r="T210" s="27"/>
      <c r="U210" s="28">
        <f t="shared" si="9"/>
        <v>0.45592938620315049</v>
      </c>
    </row>
    <row r="211" spans="2:21" x14ac:dyDescent="0.25">
      <c r="B211" s="6" t="s">
        <v>102</v>
      </c>
      <c r="C211" s="15">
        <v>1806.998046875</v>
      </c>
      <c r="D211" s="16">
        <v>40.75</v>
      </c>
      <c r="E211" s="16">
        <v>43.576000000000001</v>
      </c>
      <c r="F211" s="16">
        <v>43.966999999999999</v>
      </c>
      <c r="G211" s="16">
        <v>163.21</v>
      </c>
      <c r="H211" s="16">
        <f t="shared" si="10"/>
        <v>41.505375000000001</v>
      </c>
      <c r="I211" s="5"/>
      <c r="J211" s="15">
        <v>1489.9457</v>
      </c>
      <c r="K211" s="16">
        <v>42.660800000000002</v>
      </c>
      <c r="L211" s="16">
        <v>45.001899999999999</v>
      </c>
      <c r="M211" s="16">
        <v>45.431399999999996</v>
      </c>
      <c r="N211" s="16">
        <v>176.97370000000001</v>
      </c>
      <c r="O211" s="16">
        <f t="shared" si="11"/>
        <v>43.2997625</v>
      </c>
      <c r="P211" s="7"/>
      <c r="Q211" s="8">
        <f>bdrate(C211:C214,D211:D214,J211:J214,K211:K214)</f>
        <v>-0.45714689447428414</v>
      </c>
      <c r="R211" s="8">
        <f>bdrate(C211:C214,E211:E214,J211:J214,L211:L214)</f>
        <v>-0.4914599984729815</v>
      </c>
      <c r="S211" s="8">
        <f>bdrate(C211:C214,F211:F214,J211:J214,M211:M214)</f>
        <v>-0.49545980172816184</v>
      </c>
      <c r="T211" s="25">
        <f>bdrate(C211:C214,H211:H214,J211:J214,O211:O214)</f>
        <v>-0.46508278790624602</v>
      </c>
      <c r="U211" s="28">
        <f t="shared" si="9"/>
        <v>8.4331229704062247E-2</v>
      </c>
    </row>
    <row r="212" spans="2:21" x14ac:dyDescent="0.25">
      <c r="B212" s="9"/>
      <c r="C212" s="17">
        <v>1277.310546875</v>
      </c>
      <c r="D212" s="18">
        <v>38.912999999999997</v>
      </c>
      <c r="E212" s="18">
        <v>42.048000000000002</v>
      </c>
      <c r="F212" s="18">
        <v>42.47</v>
      </c>
      <c r="G212" s="18">
        <v>186.9</v>
      </c>
      <c r="H212" s="18">
        <f t="shared" si="10"/>
        <v>39.749499999999998</v>
      </c>
      <c r="I212" s="5"/>
      <c r="J212" s="17">
        <v>996.37480000000005</v>
      </c>
      <c r="K212" s="18">
        <v>40.715600000000002</v>
      </c>
      <c r="L212" s="18">
        <v>43.510300000000001</v>
      </c>
      <c r="M212" s="18">
        <v>43.922899999999998</v>
      </c>
      <c r="N212" s="18">
        <v>259.8528</v>
      </c>
      <c r="O212" s="18">
        <f t="shared" si="11"/>
        <v>41.465850000000003</v>
      </c>
      <c r="P212" s="7"/>
      <c r="Q212" s="10"/>
      <c r="R212" s="11"/>
      <c r="S212" s="11"/>
      <c r="T212" s="26"/>
      <c r="U212" s="28">
        <f t="shared" si="9"/>
        <v>0.39033065810593898</v>
      </c>
    </row>
    <row r="213" spans="2:21" x14ac:dyDescent="0.25">
      <c r="B213" s="9"/>
      <c r="C213" s="17">
        <v>834.0654296875</v>
      </c>
      <c r="D213" s="18">
        <v>36.640999999999998</v>
      </c>
      <c r="E213" s="18">
        <v>40.207999999999998</v>
      </c>
      <c r="F213" s="18">
        <v>40.619999999999997</v>
      </c>
      <c r="G213" s="18">
        <v>201.32</v>
      </c>
      <c r="H213" s="18">
        <f t="shared" si="10"/>
        <v>37.584249999999997</v>
      </c>
      <c r="I213" s="5"/>
      <c r="J213" s="17">
        <v>600.63589999999999</v>
      </c>
      <c r="K213" s="18">
        <v>38.172400000000003</v>
      </c>
      <c r="L213" s="18">
        <v>41.677799999999998</v>
      </c>
      <c r="M213" s="18">
        <v>42.120600000000003</v>
      </c>
      <c r="N213" s="18">
        <v>295.08199999999999</v>
      </c>
      <c r="O213" s="18">
        <f t="shared" si="11"/>
        <v>39.104100000000003</v>
      </c>
      <c r="P213" s="7"/>
      <c r="Q213" s="10"/>
      <c r="R213" s="11"/>
      <c r="S213" s="11"/>
      <c r="T213" s="26"/>
      <c r="U213" s="28">
        <f t="shared" si="9"/>
        <v>0.46573614146632231</v>
      </c>
    </row>
    <row r="214" spans="2:21" ht="16.5" thickBot="1" x14ac:dyDescent="0.3">
      <c r="B214" s="12"/>
      <c r="C214" s="19">
        <v>498.79296875</v>
      </c>
      <c r="D214" s="20">
        <v>33.728000000000002</v>
      </c>
      <c r="E214" s="20">
        <v>37.898000000000003</v>
      </c>
      <c r="F214" s="20">
        <v>38.402000000000001</v>
      </c>
      <c r="G214" s="20">
        <v>214.98</v>
      </c>
      <c r="H214" s="20">
        <f t="shared" si="10"/>
        <v>34.833500000000001</v>
      </c>
      <c r="I214" s="5"/>
      <c r="J214" s="19">
        <v>301.5677</v>
      </c>
      <c r="K214" s="20">
        <v>34.3825</v>
      </c>
      <c r="L214" s="20">
        <v>39.048400000000001</v>
      </c>
      <c r="M214" s="20">
        <v>39.5381</v>
      </c>
      <c r="N214" s="20">
        <v>346.48700000000002</v>
      </c>
      <c r="O214" s="20">
        <f t="shared" si="11"/>
        <v>35.610187500000002</v>
      </c>
      <c r="P214" s="7"/>
      <c r="Q214" s="13"/>
      <c r="R214" s="14"/>
      <c r="S214" s="14"/>
      <c r="T214" s="27"/>
      <c r="U214" s="28">
        <f t="shared" si="9"/>
        <v>0.61171736905758689</v>
      </c>
    </row>
    <row r="215" spans="2:21" x14ac:dyDescent="0.25">
      <c r="B215" s="6" t="s">
        <v>103</v>
      </c>
      <c r="C215" s="29">
        <v>1677.7998046875</v>
      </c>
      <c r="D215" s="30">
        <v>37.116999999999997</v>
      </c>
      <c r="E215" s="30">
        <v>42.008000000000003</v>
      </c>
      <c r="F215" s="30">
        <v>42.006</v>
      </c>
      <c r="G215" s="16">
        <v>153.30000000000001</v>
      </c>
      <c r="H215" s="16">
        <f t="shared" si="10"/>
        <v>38.339500000000001</v>
      </c>
      <c r="I215" s="5"/>
      <c r="J215" s="29">
        <v>1497.7275</v>
      </c>
      <c r="K215" s="30">
        <v>38.997700000000002</v>
      </c>
      <c r="L215" s="30">
        <v>43.473999999999997</v>
      </c>
      <c r="M215" s="30">
        <v>43.472099999999998</v>
      </c>
      <c r="N215" s="16">
        <v>203.13730000000001</v>
      </c>
      <c r="O215" s="16">
        <f t="shared" si="11"/>
        <v>40.1165375</v>
      </c>
      <c r="P215" s="7"/>
      <c r="Q215" s="8">
        <f>bdrate(C215:C218,D215:D218,J215:J218,K215:K218)</f>
        <v>-0.42638266733396502</v>
      </c>
      <c r="R215" s="8">
        <f>bdrate(C215:C218,E215:E218,J215:J218,L215:L218)</f>
        <v>-0.51619632681102989</v>
      </c>
      <c r="S215" s="8">
        <f>bdrate(C215:C218,F215:F218,J215:J218,M215:M218)</f>
        <v>-0.50628216584061825</v>
      </c>
      <c r="T215" s="25">
        <f>bdrate(C215:C218,H215:H218,J215:J218,O215:O218)</f>
        <v>-0.44550416024138606</v>
      </c>
      <c r="U215" s="28">
        <f t="shared" si="9"/>
        <v>0.3250965427266797</v>
      </c>
    </row>
    <row r="216" spans="2:21" x14ac:dyDescent="0.25">
      <c r="B216" s="9"/>
      <c r="C216" s="31">
        <v>1175.52734375</v>
      </c>
      <c r="D216" s="32">
        <v>35.341000000000001</v>
      </c>
      <c r="E216" s="32">
        <v>40.496000000000002</v>
      </c>
      <c r="F216" s="32">
        <v>40.502000000000002</v>
      </c>
      <c r="G216" s="18">
        <v>167.65</v>
      </c>
      <c r="H216" s="18">
        <f t="shared" si="10"/>
        <v>36.630499999999998</v>
      </c>
      <c r="I216" s="5"/>
      <c r="J216" s="31">
        <v>995.80079999999998</v>
      </c>
      <c r="K216" s="32">
        <v>37.078099999999999</v>
      </c>
      <c r="L216" s="32">
        <v>42.109099999999998</v>
      </c>
      <c r="M216" s="32">
        <v>42.112699999999997</v>
      </c>
      <c r="N216" s="18">
        <v>237.2792</v>
      </c>
      <c r="O216" s="18">
        <f t="shared" si="11"/>
        <v>38.336300000000001</v>
      </c>
      <c r="P216" s="7"/>
      <c r="Q216" s="10"/>
      <c r="R216" s="11"/>
      <c r="S216" s="11"/>
      <c r="T216" s="26"/>
      <c r="U216" s="28">
        <f t="shared" si="9"/>
        <v>0.41532478377572318</v>
      </c>
    </row>
    <row r="217" spans="2:21" x14ac:dyDescent="0.25">
      <c r="B217" s="9"/>
      <c r="C217" s="31">
        <v>724.0390625</v>
      </c>
      <c r="D217" s="32">
        <v>33.058999999999997</v>
      </c>
      <c r="E217" s="32">
        <v>38.651000000000003</v>
      </c>
      <c r="F217" s="32">
        <v>38.628999999999998</v>
      </c>
      <c r="G217" s="18">
        <v>182.4</v>
      </c>
      <c r="H217" s="18">
        <f t="shared" si="10"/>
        <v>34.454250000000002</v>
      </c>
      <c r="I217" s="5"/>
      <c r="J217" s="31">
        <v>601.09410000000003</v>
      </c>
      <c r="K217" s="32">
        <v>34.796599999999998</v>
      </c>
      <c r="L217" s="32">
        <v>40.640099999999997</v>
      </c>
      <c r="M217" s="32">
        <v>40.568300000000001</v>
      </c>
      <c r="N217" s="18">
        <v>272.10879999999997</v>
      </c>
      <c r="O217" s="18">
        <f t="shared" si="11"/>
        <v>36.2485</v>
      </c>
      <c r="P217" s="7"/>
      <c r="Q217" s="10"/>
      <c r="R217" s="11"/>
      <c r="S217" s="11"/>
      <c r="T217" s="26"/>
      <c r="U217" s="28">
        <f t="shared" si="9"/>
        <v>0.49182456140350861</v>
      </c>
    </row>
    <row r="218" spans="2:21" ht="16.5" thickBot="1" x14ac:dyDescent="0.3">
      <c r="B218" s="12"/>
      <c r="C218" s="33">
        <v>426.232421875</v>
      </c>
      <c r="D218" s="34">
        <v>30.484000000000002</v>
      </c>
      <c r="E218" s="34">
        <v>36.433</v>
      </c>
      <c r="F218" s="34">
        <v>36.338999999999999</v>
      </c>
      <c r="G218" s="20">
        <v>192.76</v>
      </c>
      <c r="H218" s="20">
        <f t="shared" si="10"/>
        <v>31.959499999999998</v>
      </c>
      <c r="I218" s="5"/>
      <c r="J218" s="33">
        <v>302.06760000000003</v>
      </c>
      <c r="K218" s="34">
        <v>31.674800000000001</v>
      </c>
      <c r="L218" s="34">
        <v>38.657899999999998</v>
      </c>
      <c r="M218" s="34">
        <v>38.518500000000003</v>
      </c>
      <c r="N218" s="20">
        <v>327.74950000000001</v>
      </c>
      <c r="O218" s="20">
        <f t="shared" si="11"/>
        <v>33.403150000000004</v>
      </c>
      <c r="P218" s="7"/>
      <c r="Q218" s="13"/>
      <c r="R218" s="14"/>
      <c r="S218" s="14"/>
      <c r="T218" s="27"/>
      <c r="U218" s="28">
        <f t="shared" si="9"/>
        <v>0.70029829840215829</v>
      </c>
    </row>
    <row r="219" spans="2:21" x14ac:dyDescent="0.25">
      <c r="B219" s="6" t="s">
        <v>104</v>
      </c>
      <c r="C219" s="15">
        <v>1570.998046875</v>
      </c>
      <c r="D219" s="16">
        <v>34.725999999999999</v>
      </c>
      <c r="E219" s="16">
        <v>39.396000000000001</v>
      </c>
      <c r="F219" s="16">
        <v>40.158999999999999</v>
      </c>
      <c r="G219" s="16">
        <v>169.63</v>
      </c>
      <c r="H219" s="16">
        <f t="shared" si="10"/>
        <v>35.988875</v>
      </c>
      <c r="I219" s="5"/>
      <c r="J219" s="15">
        <v>1498.8072999999999</v>
      </c>
      <c r="K219" s="16">
        <v>36.906399999999998</v>
      </c>
      <c r="L219" s="16">
        <v>41.418999999999997</v>
      </c>
      <c r="M219" s="16">
        <v>41.957999999999998</v>
      </c>
      <c r="N219" s="16">
        <v>208.21279999999999</v>
      </c>
      <c r="O219" s="16">
        <f t="shared" si="11"/>
        <v>38.101924999999994</v>
      </c>
      <c r="P219" s="7"/>
      <c r="Q219" s="8">
        <f>bdrate(C219:C222,D219:D222,J219:J222,K219:K222)</f>
        <v>-0.3766865394583937</v>
      </c>
      <c r="R219" s="8">
        <f>bdrate(C219:C222,E219:E222,J219:J222,L219:L222)</f>
        <v>-0.51613414568137406</v>
      </c>
      <c r="S219" s="8">
        <f>bdrate(C219:C222,F219:F222,J219:J222,M219:M222)</f>
        <v>-0.4942423915652191</v>
      </c>
      <c r="T219" s="25">
        <f>bdrate(C219:C222,H219:H222,J219:J222,O219:O222)</f>
        <v>-0.40757561724921032</v>
      </c>
      <c r="U219" s="28">
        <f t="shared" si="9"/>
        <v>0.22745269115132932</v>
      </c>
    </row>
    <row r="220" spans="2:21" x14ac:dyDescent="0.25">
      <c r="B220" s="9"/>
      <c r="C220" s="17">
        <v>1074.0390625</v>
      </c>
      <c r="D220" s="18">
        <v>33.055999999999997</v>
      </c>
      <c r="E220" s="18">
        <v>37.9</v>
      </c>
      <c r="F220" s="18">
        <v>38.729999999999997</v>
      </c>
      <c r="G220" s="18">
        <v>173.06</v>
      </c>
      <c r="H220" s="18">
        <f t="shared" si="10"/>
        <v>34.370750000000001</v>
      </c>
      <c r="I220" s="5"/>
      <c r="J220" s="17">
        <v>1002.9527</v>
      </c>
      <c r="K220" s="18">
        <v>34.968699999999998</v>
      </c>
      <c r="L220" s="18">
        <v>39.959499999999998</v>
      </c>
      <c r="M220" s="18">
        <v>40.544899999999998</v>
      </c>
      <c r="N220" s="18">
        <v>238.8852</v>
      </c>
      <c r="O220" s="18">
        <f t="shared" si="11"/>
        <v>36.289574999999999</v>
      </c>
      <c r="P220" s="7"/>
      <c r="Q220" s="10"/>
      <c r="R220" s="11"/>
      <c r="S220" s="11"/>
      <c r="T220" s="26"/>
      <c r="U220" s="28">
        <f t="shared" si="9"/>
        <v>0.38036056858892864</v>
      </c>
    </row>
    <row r="221" spans="2:21" x14ac:dyDescent="0.25">
      <c r="B221" s="9"/>
      <c r="C221" s="17">
        <v>660.611328125</v>
      </c>
      <c r="D221" s="18">
        <v>30.885000000000002</v>
      </c>
      <c r="E221" s="18">
        <v>35.97</v>
      </c>
      <c r="F221" s="18">
        <v>36.89</v>
      </c>
      <c r="G221" s="18">
        <v>195.08</v>
      </c>
      <c r="H221" s="18">
        <f t="shared" si="10"/>
        <v>32.271250000000002</v>
      </c>
      <c r="I221" s="5"/>
      <c r="J221" s="17">
        <v>599.18169999999998</v>
      </c>
      <c r="K221" s="18">
        <v>32.587499999999999</v>
      </c>
      <c r="L221" s="18">
        <v>38.3005</v>
      </c>
      <c r="M221" s="18">
        <v>38.9696</v>
      </c>
      <c r="N221" s="18">
        <v>274.05599999999998</v>
      </c>
      <c r="O221" s="18">
        <f t="shared" si="11"/>
        <v>34.099387499999999</v>
      </c>
      <c r="P221" s="7"/>
      <c r="Q221" s="10"/>
      <c r="R221" s="11"/>
      <c r="S221" s="11"/>
      <c r="T221" s="26"/>
      <c r="U221" s="28">
        <f t="shared" si="9"/>
        <v>0.40483904039368446</v>
      </c>
    </row>
    <row r="222" spans="2:21" ht="16.5" thickBot="1" x14ac:dyDescent="0.3">
      <c r="B222" s="12"/>
      <c r="C222" s="19">
        <v>408.3720703125</v>
      </c>
      <c r="D222" s="20">
        <v>28.818000000000001</v>
      </c>
      <c r="E222" s="20">
        <v>34.142000000000003</v>
      </c>
      <c r="F222" s="20">
        <v>35.043999999999997</v>
      </c>
      <c r="G222" s="20">
        <v>202.06</v>
      </c>
      <c r="H222" s="20">
        <f t="shared" si="10"/>
        <v>30.261749999999999</v>
      </c>
      <c r="I222" s="5"/>
      <c r="J222" s="19">
        <v>297.83269999999999</v>
      </c>
      <c r="K222" s="20">
        <v>29.3367</v>
      </c>
      <c r="L222" s="20">
        <v>36.1952</v>
      </c>
      <c r="M222" s="20">
        <v>36.953200000000002</v>
      </c>
      <c r="N222" s="20">
        <v>328.64710000000002</v>
      </c>
      <c r="O222" s="20">
        <f t="shared" si="11"/>
        <v>31.146075</v>
      </c>
      <c r="P222" s="7"/>
      <c r="Q222" s="13"/>
      <c r="R222" s="14"/>
      <c r="S222" s="14"/>
      <c r="T222" s="27"/>
      <c r="U222" s="28">
        <f t="shared" si="9"/>
        <v>0.62648272790260329</v>
      </c>
    </row>
    <row r="223" spans="2:21" x14ac:dyDescent="0.25">
      <c r="B223" s="6" t="s">
        <v>105</v>
      </c>
      <c r="C223" s="15">
        <v>1618.66015625</v>
      </c>
      <c r="D223" s="16">
        <v>35.786000000000001</v>
      </c>
      <c r="E223" s="16">
        <v>41.58</v>
      </c>
      <c r="F223" s="16">
        <v>43.192999999999998</v>
      </c>
      <c r="G223" s="16">
        <v>149.46</v>
      </c>
      <c r="H223" s="16">
        <f t="shared" si="10"/>
        <v>37.436124999999997</v>
      </c>
      <c r="I223" s="5"/>
      <c r="J223" s="15">
        <v>1511.8400999999999</v>
      </c>
      <c r="K223" s="16">
        <v>37.1111</v>
      </c>
      <c r="L223" s="16">
        <v>43.003300000000003</v>
      </c>
      <c r="M223" s="16">
        <v>44.395400000000002</v>
      </c>
      <c r="N223" s="16">
        <v>199.9778</v>
      </c>
      <c r="O223" s="16">
        <f t="shared" si="11"/>
        <v>38.758162500000005</v>
      </c>
      <c r="P223" s="7"/>
      <c r="Q223" s="8">
        <f>bdrate(C223:C226,D223:D226,J223:J226,K223:K226)</f>
        <v>-0.40844031866031516</v>
      </c>
      <c r="R223" s="8">
        <f>bdrate(C223:C226,E223:E226,J223:J226,L223:L226)</f>
        <v>-0.54424933068484338</v>
      </c>
      <c r="S223" s="8">
        <f>bdrate(C223:C226,F223:F226,J223:J226,M223:M226)</f>
        <v>-0.49122961371199736</v>
      </c>
      <c r="T223" s="25">
        <f>bdrate(C223:C226,H223:H226,J223:J226,O223:O226)</f>
        <v>-0.43470258789117411</v>
      </c>
      <c r="U223" s="28">
        <f t="shared" si="9"/>
        <v>0.33800214104108117</v>
      </c>
    </row>
    <row r="224" spans="2:21" x14ac:dyDescent="0.25">
      <c r="B224" s="9"/>
      <c r="C224" s="17">
        <v>1094.7587890625</v>
      </c>
      <c r="D224" s="18">
        <v>34.338000000000001</v>
      </c>
      <c r="E224" s="18">
        <v>40.399000000000001</v>
      </c>
      <c r="F224" s="18">
        <v>41.814999999999998</v>
      </c>
      <c r="G224" s="18">
        <v>161.85</v>
      </c>
      <c r="H224" s="18">
        <f t="shared" si="10"/>
        <v>36.030250000000002</v>
      </c>
      <c r="I224" s="5"/>
      <c r="J224" s="17">
        <v>1005.3803</v>
      </c>
      <c r="K224" s="18">
        <v>35.677799999999998</v>
      </c>
      <c r="L224" s="18">
        <v>42.009099999999997</v>
      </c>
      <c r="M224" s="18">
        <v>43.2712</v>
      </c>
      <c r="N224" s="18">
        <v>231.6901</v>
      </c>
      <c r="O224" s="18">
        <f t="shared" si="11"/>
        <v>37.418387500000001</v>
      </c>
      <c r="P224" s="7"/>
      <c r="Q224" s="10"/>
      <c r="R224" s="11"/>
      <c r="S224" s="11"/>
      <c r="T224" s="26"/>
      <c r="U224" s="28">
        <f t="shared" si="9"/>
        <v>0.4315112758727217</v>
      </c>
    </row>
    <row r="225" spans="2:21" x14ac:dyDescent="0.25">
      <c r="B225" s="9"/>
      <c r="C225" s="17">
        <v>658.6806640625</v>
      </c>
      <c r="D225" s="18">
        <v>32.488</v>
      </c>
      <c r="E225" s="18">
        <v>38.844000000000001</v>
      </c>
      <c r="F225" s="18">
        <v>39.917999999999999</v>
      </c>
      <c r="G225" s="18">
        <v>179.79</v>
      </c>
      <c r="H225" s="18">
        <f t="shared" si="10"/>
        <v>34.21125</v>
      </c>
      <c r="I225" s="5"/>
      <c r="J225" s="17">
        <v>604.73050000000001</v>
      </c>
      <c r="K225" s="18">
        <v>34.035499999999999</v>
      </c>
      <c r="L225" s="18">
        <v>40.829799999999999</v>
      </c>
      <c r="M225" s="18">
        <v>41.983499999999999</v>
      </c>
      <c r="N225" s="18">
        <v>267.6182</v>
      </c>
      <c r="O225" s="18">
        <f t="shared" si="11"/>
        <v>35.878287499999999</v>
      </c>
      <c r="P225" s="7"/>
      <c r="Q225" s="10"/>
      <c r="R225" s="11"/>
      <c r="S225" s="11"/>
      <c r="T225" s="26"/>
      <c r="U225" s="28">
        <f t="shared" si="9"/>
        <v>0.48850436620501703</v>
      </c>
    </row>
    <row r="226" spans="2:21" ht="16.5" thickBot="1" x14ac:dyDescent="0.3">
      <c r="B226" s="12"/>
      <c r="C226" s="19">
        <v>360.1376953125</v>
      </c>
      <c r="D226" s="20">
        <v>30.533000000000001</v>
      </c>
      <c r="E226" s="20">
        <v>36.963999999999999</v>
      </c>
      <c r="F226" s="20">
        <v>37.536000000000001</v>
      </c>
      <c r="G226" s="20">
        <v>195.52</v>
      </c>
      <c r="H226" s="20">
        <f t="shared" si="10"/>
        <v>32.212249999999997</v>
      </c>
      <c r="I226" s="5"/>
      <c r="J226" s="19">
        <v>302.6859</v>
      </c>
      <c r="K226" s="20">
        <v>31.953199999999999</v>
      </c>
      <c r="L226" s="20">
        <v>39.3324</v>
      </c>
      <c r="M226" s="20">
        <v>40.247900000000001</v>
      </c>
      <c r="N226" s="20">
        <v>320.45580000000001</v>
      </c>
      <c r="O226" s="20">
        <f t="shared" si="11"/>
        <v>33.912437500000003</v>
      </c>
      <c r="P226" s="7"/>
      <c r="Q226" s="13"/>
      <c r="R226" s="14"/>
      <c r="S226" s="14"/>
      <c r="T226" s="27"/>
      <c r="U226" s="28">
        <f t="shared" si="9"/>
        <v>0.63899243044189846</v>
      </c>
    </row>
    <row r="227" spans="2:21" x14ac:dyDescent="0.25">
      <c r="B227" s="6" t="s">
        <v>106</v>
      </c>
      <c r="C227" s="15">
        <v>1403.8125</v>
      </c>
      <c r="D227" s="16">
        <v>44.003</v>
      </c>
      <c r="E227" s="16">
        <v>48.750999999999998</v>
      </c>
      <c r="F227" s="16">
        <v>50.404000000000003</v>
      </c>
      <c r="G227" s="16">
        <v>185.76</v>
      </c>
      <c r="H227" s="16">
        <f t="shared" si="10"/>
        <v>45.396625</v>
      </c>
      <c r="I227" s="5"/>
      <c r="J227" s="15">
        <v>1499.0866000000001</v>
      </c>
      <c r="K227" s="16">
        <v>47.3658</v>
      </c>
      <c r="L227" s="16">
        <v>52.656399999999998</v>
      </c>
      <c r="M227" s="16">
        <v>54.023600000000002</v>
      </c>
      <c r="N227" s="16">
        <v>234.3974</v>
      </c>
      <c r="O227" s="16">
        <f t="shared" si="11"/>
        <v>48.859349999999999</v>
      </c>
      <c r="P227" s="7"/>
      <c r="Q227" s="8">
        <f>bdrate(C227:C230,D227:D230,J227:J230,K227:K230)</f>
        <v>-0.47339307307219469</v>
      </c>
      <c r="R227" s="8">
        <f>bdrate(C227:C230,E227:E230,J227:J230,L227:L230)</f>
        <v>-0.57091914245127495</v>
      </c>
      <c r="S227" s="8">
        <f>bdrate(C227:C230,F227:F230,J227:J230,M227:M230)</f>
        <v>-0.53532958422682664</v>
      </c>
      <c r="T227" s="25">
        <f>bdrate(C227:C230,H227:H230,J227:J230,O227:O230)</f>
        <v>-0.49395904877983932</v>
      </c>
      <c r="U227" s="28">
        <f t="shared" si="9"/>
        <v>0.2618292420327305</v>
      </c>
    </row>
    <row r="228" spans="2:21" x14ac:dyDescent="0.25">
      <c r="B228" s="9"/>
      <c r="C228" s="17">
        <v>1006.4443359375</v>
      </c>
      <c r="D228" s="18">
        <v>42.47</v>
      </c>
      <c r="E228" s="18">
        <v>47.372</v>
      </c>
      <c r="F228" s="18">
        <v>49.088000000000001</v>
      </c>
      <c r="G228" s="18">
        <v>198.41</v>
      </c>
      <c r="H228" s="18">
        <f t="shared" si="10"/>
        <v>43.910000000000004</v>
      </c>
      <c r="I228" s="5"/>
      <c r="J228" s="17">
        <v>1001.3665999999999</v>
      </c>
      <c r="K228" s="18">
        <v>45.521000000000001</v>
      </c>
      <c r="L228" s="18">
        <v>50.962499999999999</v>
      </c>
      <c r="M228" s="18">
        <v>52.388300000000001</v>
      </c>
      <c r="N228" s="18">
        <v>275.20269999999999</v>
      </c>
      <c r="O228" s="18">
        <f t="shared" si="11"/>
        <v>47.059599999999996</v>
      </c>
      <c r="P228" s="7"/>
      <c r="Q228" s="10"/>
      <c r="R228" s="11"/>
      <c r="S228" s="11"/>
      <c r="T228" s="26"/>
      <c r="U228" s="28">
        <f t="shared" si="9"/>
        <v>0.38704047175041578</v>
      </c>
    </row>
    <row r="229" spans="2:21" x14ac:dyDescent="0.25">
      <c r="B229" s="9"/>
      <c r="C229" s="17">
        <v>622.7744140625</v>
      </c>
      <c r="D229" s="18">
        <v>40.448999999999998</v>
      </c>
      <c r="E229" s="18">
        <v>45.433999999999997</v>
      </c>
      <c r="F229" s="18">
        <v>47.078000000000003</v>
      </c>
      <c r="G229" s="18">
        <v>229.32</v>
      </c>
      <c r="H229" s="18">
        <f t="shared" si="10"/>
        <v>41.900750000000002</v>
      </c>
      <c r="I229" s="5"/>
      <c r="J229" s="17">
        <v>602.69939999999997</v>
      </c>
      <c r="K229" s="18">
        <v>43.1708</v>
      </c>
      <c r="L229" s="18">
        <v>48.873899999999999</v>
      </c>
      <c r="M229" s="18">
        <v>50.2179</v>
      </c>
      <c r="N229" s="18">
        <v>315.11649999999997</v>
      </c>
      <c r="O229" s="18">
        <f t="shared" si="11"/>
        <v>44.764575000000001</v>
      </c>
      <c r="P229" s="7"/>
      <c r="Q229" s="10"/>
      <c r="R229" s="11"/>
      <c r="S229" s="11"/>
      <c r="T229" s="26"/>
      <c r="U229" s="28">
        <f t="shared" si="9"/>
        <v>0.37413439734868298</v>
      </c>
    </row>
    <row r="230" spans="2:21" ht="16.5" thickBot="1" x14ac:dyDescent="0.3">
      <c r="B230" s="12"/>
      <c r="C230" s="19">
        <v>316.3583984375</v>
      </c>
      <c r="D230" s="20">
        <v>37.837000000000003</v>
      </c>
      <c r="E230" s="20">
        <v>42.817</v>
      </c>
      <c r="F230" s="20">
        <v>44.503999999999998</v>
      </c>
      <c r="G230" s="20">
        <v>263.83999999999997</v>
      </c>
      <c r="H230" s="20">
        <f t="shared" si="10"/>
        <v>39.292875000000002</v>
      </c>
      <c r="I230" s="5"/>
      <c r="J230" s="19">
        <v>302.12880000000001</v>
      </c>
      <c r="K230" s="20">
        <v>39.863100000000003</v>
      </c>
      <c r="L230" s="20">
        <v>45.7393</v>
      </c>
      <c r="M230" s="20">
        <v>47.125300000000003</v>
      </c>
      <c r="N230" s="20">
        <v>364.9828</v>
      </c>
      <c r="O230" s="20">
        <f t="shared" si="11"/>
        <v>41.505400000000002</v>
      </c>
      <c r="P230" s="7"/>
      <c r="Q230" s="13"/>
      <c r="R230" s="14"/>
      <c r="S230" s="14"/>
      <c r="T230" s="27"/>
      <c r="U230" s="28">
        <f t="shared" si="9"/>
        <v>0.38334899939357198</v>
      </c>
    </row>
    <row r="231" spans="2:21" x14ac:dyDescent="0.25">
      <c r="B231" s="6" t="s">
        <v>107</v>
      </c>
      <c r="C231" s="15">
        <v>1529.75</v>
      </c>
      <c r="D231" s="16">
        <v>29.802</v>
      </c>
      <c r="E231" s="16">
        <v>38.110999999999997</v>
      </c>
      <c r="F231" s="16">
        <v>37.517000000000003</v>
      </c>
      <c r="G231" s="16">
        <v>134.56</v>
      </c>
      <c r="H231" s="16">
        <f t="shared" si="10"/>
        <v>31.805</v>
      </c>
      <c r="I231" s="5"/>
      <c r="J231" s="15">
        <v>1495.0839000000001</v>
      </c>
      <c r="K231" s="16">
        <v>31.944600000000001</v>
      </c>
      <c r="L231" s="16">
        <v>40.145499999999998</v>
      </c>
      <c r="M231" s="16">
        <v>39.5246</v>
      </c>
      <c r="N231" s="16">
        <v>159.3484</v>
      </c>
      <c r="O231" s="16">
        <f t="shared" si="11"/>
        <v>33.917212499999998</v>
      </c>
      <c r="P231" s="7"/>
      <c r="Q231" s="8">
        <f>bdrate(C231:C234,D231:D234,J231:J234,K231:K234)</f>
        <v>-0.37583543870204139</v>
      </c>
      <c r="R231" s="8">
        <f>bdrate(C231:C234,E231:E234,J231:J234,L231:L234)</f>
        <v>-0.60086397122634438</v>
      </c>
      <c r="S231" s="8">
        <f>bdrate(C231:C234,F231:F234,J231:J234,M231:M234)</f>
        <v>-0.58228330751849544</v>
      </c>
      <c r="T231" s="25">
        <f>bdrate(C231:C234,H231:H234,J231:J234,O231:O234)</f>
        <v>-0.42752974883833339</v>
      </c>
      <c r="U231" s="28">
        <f t="shared" si="9"/>
        <v>0.18421819262782399</v>
      </c>
    </row>
    <row r="232" spans="2:21" x14ac:dyDescent="0.25">
      <c r="B232" s="9"/>
      <c r="C232" s="17">
        <v>1114.9189453125</v>
      </c>
      <c r="D232" s="18">
        <v>28.47</v>
      </c>
      <c r="E232" s="18">
        <v>36.863999999999997</v>
      </c>
      <c r="F232" s="18">
        <v>36.317999999999998</v>
      </c>
      <c r="G232" s="18">
        <v>144.66</v>
      </c>
      <c r="H232" s="18">
        <f t="shared" si="10"/>
        <v>30.500250000000001</v>
      </c>
      <c r="I232" s="5"/>
      <c r="J232" s="17">
        <v>995.52290000000005</v>
      </c>
      <c r="K232" s="18">
        <v>30.1616</v>
      </c>
      <c r="L232" s="18">
        <v>39.181800000000003</v>
      </c>
      <c r="M232" s="18">
        <v>38.496099999999998</v>
      </c>
      <c r="N232" s="18">
        <v>184.61539999999999</v>
      </c>
      <c r="O232" s="18">
        <f t="shared" si="11"/>
        <v>32.330937500000005</v>
      </c>
      <c r="P232" s="7"/>
      <c r="Q232" s="10"/>
      <c r="R232" s="11"/>
      <c r="S232" s="11"/>
      <c r="T232" s="26"/>
      <c r="U232" s="28">
        <f t="shared" si="9"/>
        <v>0.27620212913037467</v>
      </c>
    </row>
    <row r="233" spans="2:21" x14ac:dyDescent="0.25">
      <c r="B233" s="9"/>
      <c r="C233" s="17">
        <v>847.54296875</v>
      </c>
      <c r="D233" s="18">
        <v>27.555</v>
      </c>
      <c r="E233" s="18">
        <v>35.863</v>
      </c>
      <c r="F233" s="18">
        <v>35.311</v>
      </c>
      <c r="G233" s="18">
        <v>146.53</v>
      </c>
      <c r="H233" s="18">
        <f t="shared" si="10"/>
        <v>29.562999999999999</v>
      </c>
      <c r="I233" s="5"/>
      <c r="J233" s="17">
        <v>597.17750000000001</v>
      </c>
      <c r="K233" s="18">
        <v>27.9085</v>
      </c>
      <c r="L233" s="18">
        <v>37.833399999999997</v>
      </c>
      <c r="M233" s="18">
        <v>37.089700000000001</v>
      </c>
      <c r="N233" s="18">
        <v>231.24359999999999</v>
      </c>
      <c r="O233" s="18">
        <f t="shared" si="11"/>
        <v>30.2967625</v>
      </c>
      <c r="P233" s="7"/>
      <c r="Q233" s="10"/>
      <c r="R233" s="11"/>
      <c r="S233" s="11"/>
      <c r="T233" s="26"/>
      <c r="U233" s="28">
        <f t="shared" si="9"/>
        <v>0.5781314406606155</v>
      </c>
    </row>
    <row r="234" spans="2:21" ht="16.5" thickBot="1" x14ac:dyDescent="0.3">
      <c r="B234" s="12"/>
      <c r="C234" s="19">
        <v>669.427734375</v>
      </c>
      <c r="D234" s="20">
        <v>26.614999999999998</v>
      </c>
      <c r="E234" s="20">
        <v>34.654000000000003</v>
      </c>
      <c r="F234" s="20">
        <v>34.19</v>
      </c>
      <c r="G234" s="20">
        <v>155.36000000000001</v>
      </c>
      <c r="H234" s="20">
        <f t="shared" si="10"/>
        <v>28.566749999999999</v>
      </c>
      <c r="I234" s="5"/>
      <c r="J234" s="19">
        <v>299.36599999999999</v>
      </c>
      <c r="K234" s="20">
        <v>25.080200000000001</v>
      </c>
      <c r="L234" s="20">
        <v>35.4407</v>
      </c>
      <c r="M234" s="20">
        <v>34.831400000000002</v>
      </c>
      <c r="N234" s="20">
        <v>295.03359999999998</v>
      </c>
      <c r="O234" s="20">
        <f t="shared" si="11"/>
        <v>27.594162499999999</v>
      </c>
      <c r="P234" s="7"/>
      <c r="Q234" s="13"/>
      <c r="R234" s="14"/>
      <c r="S234" s="14"/>
      <c r="T234" s="27"/>
      <c r="U234" s="28">
        <f t="shared" si="9"/>
        <v>0.8990319258496392</v>
      </c>
    </row>
    <row r="235" spans="2:21" x14ac:dyDescent="0.25">
      <c r="B235" s="6" t="s">
        <v>108</v>
      </c>
      <c r="C235" s="15">
        <v>1982.09765625</v>
      </c>
      <c r="D235" s="16">
        <v>44.127000000000002</v>
      </c>
      <c r="E235" s="16">
        <v>45.351999999999997</v>
      </c>
      <c r="F235" s="16">
        <v>45.225000000000001</v>
      </c>
      <c r="G235" s="16">
        <v>166.52</v>
      </c>
      <c r="H235" s="16">
        <f t="shared" si="10"/>
        <v>44.417375</v>
      </c>
      <c r="I235" s="5"/>
      <c r="J235" s="15">
        <v>1421.0835999999999</v>
      </c>
      <c r="K235" s="16">
        <v>44.881</v>
      </c>
      <c r="L235" s="16">
        <v>45.980800000000002</v>
      </c>
      <c r="M235" s="16">
        <v>45.853000000000002</v>
      </c>
      <c r="N235" s="16">
        <v>166.72839999999999</v>
      </c>
      <c r="O235" s="16">
        <f t="shared" si="11"/>
        <v>45.139975</v>
      </c>
      <c r="P235" s="7"/>
      <c r="Q235" s="8">
        <f>bdrate(C235:C238,D235:D238,J235:J238,K235:K238)</f>
        <v>-0.42762200385884563</v>
      </c>
      <c r="R235" s="8">
        <f>bdrate(C235:C238,E235:E238,J235:J238,L235:L238)</f>
        <v>-0.44712289626955259</v>
      </c>
      <c r="S235" s="8">
        <f>bdrate(C235:C238,F235:F238,J235:J238,M235:M238)</f>
        <v>-0.44682427146428982</v>
      </c>
      <c r="T235" s="25">
        <f>bdrate(C235:C238,H235:H238,J235:J238,O235:O238)</f>
        <v>-0.43240576184864254</v>
      </c>
      <c r="U235" s="28">
        <f t="shared" si="9"/>
        <v>1.2515013211625225E-3</v>
      </c>
    </row>
    <row r="236" spans="2:21" x14ac:dyDescent="0.25">
      <c r="B236" s="9"/>
      <c r="C236" s="17">
        <v>1405.853515625</v>
      </c>
      <c r="D236" s="18">
        <v>41.957000000000001</v>
      </c>
      <c r="E236" s="18">
        <v>43.462000000000003</v>
      </c>
      <c r="F236" s="18">
        <v>43.304000000000002</v>
      </c>
      <c r="G236" s="18">
        <v>191.1</v>
      </c>
      <c r="H236" s="18">
        <f t="shared" si="10"/>
        <v>42.313500000000005</v>
      </c>
      <c r="I236" s="5"/>
      <c r="J236" s="17">
        <v>961.03729999999996</v>
      </c>
      <c r="K236" s="18">
        <v>42.993099999999998</v>
      </c>
      <c r="L236" s="18">
        <v>44.319899999999997</v>
      </c>
      <c r="M236" s="18">
        <v>44.261899999999997</v>
      </c>
      <c r="N236" s="18">
        <v>252.4898</v>
      </c>
      <c r="O236" s="18">
        <f t="shared" si="11"/>
        <v>43.317549999999997</v>
      </c>
      <c r="P236" s="7"/>
      <c r="Q236" s="10"/>
      <c r="R236" s="11"/>
      <c r="S236" s="11"/>
      <c r="T236" s="26"/>
      <c r="U236" s="28">
        <f t="shared" si="9"/>
        <v>0.32124437467294614</v>
      </c>
    </row>
    <row r="237" spans="2:21" x14ac:dyDescent="0.25">
      <c r="B237" s="9"/>
      <c r="C237" s="17">
        <v>903.5712890625</v>
      </c>
      <c r="D237" s="18">
        <v>39.216999999999999</v>
      </c>
      <c r="E237" s="18">
        <v>41.034999999999997</v>
      </c>
      <c r="F237" s="18">
        <v>40.859000000000002</v>
      </c>
      <c r="G237" s="18">
        <v>215.35</v>
      </c>
      <c r="H237" s="18">
        <f t="shared" si="10"/>
        <v>39.649499999999996</v>
      </c>
      <c r="I237" s="5"/>
      <c r="J237" s="17">
        <v>584.60029999999995</v>
      </c>
      <c r="K237" s="18">
        <v>40.009399999999999</v>
      </c>
      <c r="L237" s="18">
        <v>41.880800000000001</v>
      </c>
      <c r="M237" s="18">
        <v>41.699199999999998</v>
      </c>
      <c r="N237" s="18">
        <v>297.42230000000001</v>
      </c>
      <c r="O237" s="18">
        <f t="shared" si="11"/>
        <v>40.454550000000005</v>
      </c>
      <c r="P237" s="7"/>
      <c r="Q237" s="10"/>
      <c r="R237" s="11"/>
      <c r="S237" s="11"/>
      <c r="T237" s="26"/>
      <c r="U237" s="28">
        <f t="shared" si="9"/>
        <v>0.38111121430229866</v>
      </c>
    </row>
    <row r="238" spans="2:21" ht="16.5" thickBot="1" x14ac:dyDescent="0.3">
      <c r="B238" s="12"/>
      <c r="C238" s="19">
        <v>528.53515625</v>
      </c>
      <c r="D238" s="20">
        <v>35.722999999999999</v>
      </c>
      <c r="E238" s="20">
        <v>37.881</v>
      </c>
      <c r="F238" s="20">
        <v>37.658000000000001</v>
      </c>
      <c r="G238" s="20">
        <v>229.26</v>
      </c>
      <c r="H238" s="20">
        <f t="shared" si="10"/>
        <v>36.234625000000001</v>
      </c>
      <c r="I238" s="5"/>
      <c r="J238" s="19">
        <v>294.59210000000002</v>
      </c>
      <c r="K238" s="20">
        <v>35.610300000000002</v>
      </c>
      <c r="L238" s="20">
        <v>38.57</v>
      </c>
      <c r="M238" s="20">
        <v>38.197099999999999</v>
      </c>
      <c r="N238" s="20">
        <v>346.55369999999999</v>
      </c>
      <c r="O238" s="20">
        <f t="shared" si="11"/>
        <v>36.3036125</v>
      </c>
      <c r="P238" s="7"/>
      <c r="Q238" s="13"/>
      <c r="R238" s="14"/>
      <c r="S238" s="14"/>
      <c r="T238" s="27"/>
      <c r="U238" s="28">
        <f t="shared" si="9"/>
        <v>0.51161868620779904</v>
      </c>
    </row>
    <row r="239" spans="2:21" x14ac:dyDescent="0.25">
      <c r="B239" s="6" t="s">
        <v>109</v>
      </c>
      <c r="C239" s="15">
        <v>2141.20703125</v>
      </c>
      <c r="D239" s="16">
        <v>45.381999999999998</v>
      </c>
      <c r="E239" s="16">
        <v>46.844999999999999</v>
      </c>
      <c r="F239" s="16">
        <v>47.076999999999998</v>
      </c>
      <c r="G239" s="16">
        <v>182.53</v>
      </c>
      <c r="H239" s="16">
        <f t="shared" si="10"/>
        <v>45.776749999999993</v>
      </c>
      <c r="I239" s="5"/>
      <c r="J239" s="15">
        <v>1406.9559999999999</v>
      </c>
      <c r="K239" s="16">
        <v>45.471499999999999</v>
      </c>
      <c r="L239" s="16">
        <v>47.719200000000001</v>
      </c>
      <c r="M239" s="16">
        <v>47.948999999999998</v>
      </c>
      <c r="N239" s="16">
        <v>206.77770000000001</v>
      </c>
      <c r="O239" s="16">
        <f t="shared" si="11"/>
        <v>46.062150000000003</v>
      </c>
      <c r="P239" s="7"/>
      <c r="Q239" s="8">
        <f>bdrate(C239:C242,D239:D242,J239:J242,K239:K242)</f>
        <v>-0.27070884455075572</v>
      </c>
      <c r="R239" s="8">
        <f>bdrate(C239:C242,E239:E242,J239:J242,L239:L242)</f>
        <v>-0.354470938102598</v>
      </c>
      <c r="S239" s="8">
        <f>bdrate(C239:C242,F239:F242,J239:J242,M239:M242)</f>
        <v>-0.35936964491357937</v>
      </c>
      <c r="T239" s="25">
        <f>bdrate(C239:C242,H239:H242,J239:J242,O239:O242)</f>
        <v>-0.29210144646603897</v>
      </c>
      <c r="U239" s="28">
        <f t="shared" si="9"/>
        <v>0.13284227250315023</v>
      </c>
    </row>
    <row r="240" spans="2:21" x14ac:dyDescent="0.25">
      <c r="B240" s="9"/>
      <c r="C240" s="17">
        <v>1618.609375</v>
      </c>
      <c r="D240" s="18">
        <v>44.411000000000001</v>
      </c>
      <c r="E240" s="18">
        <v>46.021000000000001</v>
      </c>
      <c r="F240" s="18">
        <v>46.250999999999998</v>
      </c>
      <c r="G240" s="18">
        <v>196.74</v>
      </c>
      <c r="H240" s="18">
        <f t="shared" si="10"/>
        <v>44.84225</v>
      </c>
      <c r="I240" s="5"/>
      <c r="J240" s="17">
        <v>972.74270000000001</v>
      </c>
      <c r="K240" s="18">
        <v>43.8857</v>
      </c>
      <c r="L240" s="18">
        <v>46.377600000000001</v>
      </c>
      <c r="M240" s="18">
        <v>46.627499999999998</v>
      </c>
      <c r="N240" s="18">
        <v>229.82640000000001</v>
      </c>
      <c r="O240" s="18">
        <f t="shared" si="11"/>
        <v>44.539912500000007</v>
      </c>
      <c r="P240" s="7"/>
      <c r="Q240" s="10"/>
      <c r="R240" s="11"/>
      <c r="S240" s="11"/>
      <c r="T240" s="26"/>
      <c r="U240" s="28">
        <f t="shared" si="9"/>
        <v>0.16817322354376332</v>
      </c>
    </row>
    <row r="241" spans="2:21" x14ac:dyDescent="0.25">
      <c r="B241" s="9"/>
      <c r="C241" s="17">
        <v>939.1728515625</v>
      </c>
      <c r="D241" s="18">
        <v>41.802</v>
      </c>
      <c r="E241" s="18">
        <v>43.906999999999996</v>
      </c>
      <c r="F241" s="18">
        <v>44.149000000000001</v>
      </c>
      <c r="G241" s="18">
        <v>207.24</v>
      </c>
      <c r="H241" s="18">
        <f t="shared" si="10"/>
        <v>42.358499999999999</v>
      </c>
      <c r="I241" s="5"/>
      <c r="J241" s="17">
        <v>633.72720000000004</v>
      </c>
      <c r="K241" s="18">
        <v>41.299199999999999</v>
      </c>
      <c r="L241" s="18">
        <v>44.041699999999999</v>
      </c>
      <c r="M241" s="18">
        <v>44.336100000000002</v>
      </c>
      <c r="N241" s="18">
        <v>258.06450000000001</v>
      </c>
      <c r="O241" s="18">
        <f t="shared" si="11"/>
        <v>42.021625</v>
      </c>
      <c r="P241" s="7"/>
      <c r="Q241" s="10"/>
      <c r="R241" s="11"/>
      <c r="S241" s="11"/>
      <c r="T241" s="26"/>
      <c r="U241" s="28">
        <f t="shared" si="9"/>
        <v>0.2452446438911407</v>
      </c>
    </row>
    <row r="242" spans="2:21" ht="16.5" thickBot="1" x14ac:dyDescent="0.3">
      <c r="B242" s="12"/>
      <c r="C242" s="19">
        <v>501.2119140625</v>
      </c>
      <c r="D242" s="20">
        <v>38.503999999999998</v>
      </c>
      <c r="E242" s="20">
        <v>40.975000000000001</v>
      </c>
      <c r="F242" s="20">
        <v>41.207000000000001</v>
      </c>
      <c r="G242" s="20">
        <v>230.16</v>
      </c>
      <c r="H242" s="20">
        <f t="shared" si="10"/>
        <v>39.150750000000002</v>
      </c>
      <c r="I242" s="5"/>
      <c r="J242" s="19">
        <v>337.25279999999998</v>
      </c>
      <c r="K242" s="20">
        <v>37.010399999999997</v>
      </c>
      <c r="L242" s="20">
        <v>40.2742</v>
      </c>
      <c r="M242" s="20">
        <v>40.536499999999997</v>
      </c>
      <c r="N242" s="20">
        <v>349.17559999999997</v>
      </c>
      <c r="O242" s="20">
        <f t="shared" si="11"/>
        <v>37.859137499999996</v>
      </c>
      <c r="P242" s="7"/>
      <c r="Q242" s="13"/>
      <c r="R242" s="14"/>
      <c r="S242" s="14"/>
      <c r="T242" s="27"/>
      <c r="U242" s="28">
        <f t="shared" si="9"/>
        <v>0.51709940910670826</v>
      </c>
    </row>
    <row r="243" spans="2:21" x14ac:dyDescent="0.25">
      <c r="B243" s="6" t="s">
        <v>110</v>
      </c>
      <c r="C243" s="29">
        <v>1706.587890625</v>
      </c>
      <c r="D243" s="30">
        <v>31.315999999999999</v>
      </c>
      <c r="E243" s="30">
        <v>35.030999999999999</v>
      </c>
      <c r="F243" s="30">
        <v>33.764000000000003</v>
      </c>
      <c r="G243" s="16">
        <v>144.35</v>
      </c>
      <c r="H243" s="16">
        <f t="shared" si="10"/>
        <v>32.086374999999997</v>
      </c>
      <c r="I243" s="5"/>
      <c r="J243" s="29">
        <v>1505.8457000000001</v>
      </c>
      <c r="K243" s="30">
        <v>32.307099999999998</v>
      </c>
      <c r="L243" s="30">
        <v>36.517600000000002</v>
      </c>
      <c r="M243" s="30">
        <v>35.425199999999997</v>
      </c>
      <c r="N243" s="16">
        <v>183.72970000000001</v>
      </c>
      <c r="O243" s="16">
        <f t="shared" si="11"/>
        <v>33.223175000000005</v>
      </c>
      <c r="P243" s="7"/>
      <c r="Q243" s="8">
        <f>bdrate(C243:C246,D243:D246,J243:J246,K243:K246)</f>
        <v>-0.25914577836269492</v>
      </c>
      <c r="R243" s="8">
        <f>bdrate(C243:C246,E243:E246,J243:J246,L243:L246)</f>
        <v>-0.55636965674987948</v>
      </c>
      <c r="S243" s="8">
        <f>bdrate(C243:C246,F243:F246,J243:J246,M243:M246)</f>
        <v>-0.55780345410798793</v>
      </c>
      <c r="T243" s="25">
        <f>bdrate(C243:C246,H243:H246,J243:J246,O243:O246)</f>
        <v>-0.32822511579314129</v>
      </c>
      <c r="U243" s="28">
        <f t="shared" si="9"/>
        <v>0.27280706615864231</v>
      </c>
    </row>
    <row r="244" spans="2:21" x14ac:dyDescent="0.25">
      <c r="B244" s="9"/>
      <c r="C244" s="31">
        <v>1177.84375</v>
      </c>
      <c r="D244" s="32">
        <v>29.77</v>
      </c>
      <c r="E244" s="32">
        <v>33.835999999999999</v>
      </c>
      <c r="F244" s="32">
        <v>32.540999999999997</v>
      </c>
      <c r="G244" s="18">
        <v>157.72999999999999</v>
      </c>
      <c r="H244" s="18">
        <f t="shared" si="10"/>
        <v>30.624625000000002</v>
      </c>
      <c r="I244" s="5"/>
      <c r="J244" s="31">
        <v>1003.7800999999999</v>
      </c>
      <c r="K244" s="32">
        <v>30.428699999999999</v>
      </c>
      <c r="L244" s="32">
        <v>35.453099999999999</v>
      </c>
      <c r="M244" s="32">
        <v>34.308999999999997</v>
      </c>
      <c r="N244" s="18">
        <v>215.28530000000001</v>
      </c>
      <c r="O244" s="18">
        <f t="shared" si="11"/>
        <v>31.541787500000002</v>
      </c>
      <c r="P244" s="7"/>
      <c r="Q244" s="10"/>
      <c r="R244" s="11"/>
      <c r="S244" s="11"/>
      <c r="T244" s="26"/>
      <c r="U244" s="28">
        <f t="shared" si="9"/>
        <v>0.36489760983959946</v>
      </c>
    </row>
    <row r="245" spans="2:21" x14ac:dyDescent="0.25">
      <c r="B245" s="9"/>
      <c r="C245" s="31">
        <v>807.1904296875</v>
      </c>
      <c r="D245" s="32">
        <v>28.29</v>
      </c>
      <c r="E245" s="32">
        <v>32.625999999999998</v>
      </c>
      <c r="F245" s="32">
        <v>31.324999999999999</v>
      </c>
      <c r="G245" s="18">
        <v>159.81</v>
      </c>
      <c r="H245" s="18">
        <f t="shared" si="10"/>
        <v>29.211375</v>
      </c>
      <c r="I245" s="5"/>
      <c r="J245" s="31">
        <v>602.11040000000003</v>
      </c>
      <c r="K245" s="32">
        <v>28.220099999999999</v>
      </c>
      <c r="L245" s="32">
        <v>34.197699999999998</v>
      </c>
      <c r="M245" s="32">
        <v>32.941499999999998</v>
      </c>
      <c r="N245" s="18">
        <v>258.65789999999998</v>
      </c>
      <c r="O245" s="18">
        <f t="shared" si="11"/>
        <v>29.557474999999997</v>
      </c>
      <c r="P245" s="7"/>
      <c r="Q245" s="10"/>
      <c r="R245" s="11"/>
      <c r="S245" s="11"/>
      <c r="T245" s="26"/>
      <c r="U245" s="28">
        <f t="shared" si="9"/>
        <v>0.61853388398723474</v>
      </c>
    </row>
    <row r="246" spans="2:21" ht="16.5" thickBot="1" x14ac:dyDescent="0.3">
      <c r="B246" s="12"/>
      <c r="C246" s="33">
        <v>561.96875</v>
      </c>
      <c r="D246" s="34">
        <v>26.759</v>
      </c>
      <c r="E246" s="34">
        <v>31.294</v>
      </c>
      <c r="F246" s="34">
        <v>30.024999999999999</v>
      </c>
      <c r="G246" s="20">
        <v>167.85</v>
      </c>
      <c r="H246" s="20">
        <f t="shared" si="10"/>
        <v>27.734125000000002</v>
      </c>
      <c r="I246" s="5"/>
      <c r="J246" s="33">
        <v>303.55279999999999</v>
      </c>
      <c r="K246" s="34">
        <v>25.6768</v>
      </c>
      <c r="L246" s="34">
        <v>32.354799999999997</v>
      </c>
      <c r="M246" s="34">
        <v>30.979800000000001</v>
      </c>
      <c r="N246" s="20">
        <v>321.37119999999999</v>
      </c>
      <c r="O246" s="20">
        <f t="shared" si="11"/>
        <v>27.174424999999999</v>
      </c>
      <c r="P246" s="7"/>
      <c r="Q246" s="13"/>
      <c r="R246" s="14"/>
      <c r="S246" s="14"/>
      <c r="T246" s="27"/>
      <c r="U246" s="28">
        <f t="shared" si="9"/>
        <v>0.91463330354483163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-0.39277157201559076</v>
      </c>
      <c r="R247" s="21">
        <f>AVERAGE(R131:R246)</f>
        <v>-0.46627465721337358</v>
      </c>
      <c r="S247" s="21">
        <f>AVERAGE(S131:S246)</f>
        <v>-0.47192034913160735</v>
      </c>
      <c r="T247" s="21">
        <f>AVERAGE(T131:T246)</f>
        <v>-0.41084573421489035</v>
      </c>
      <c r="U247" s="21">
        <f>AVERAGE(U131:U246)</f>
        <v>0.73474703987918721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41" priority="85" operator="greaterThan">
      <formula>0.03</formula>
    </cfRule>
    <cfRule type="cellIs" dxfId="340" priority="86" stopIfTrue="1" operator="lessThan">
      <formula>-0.03</formula>
    </cfRule>
  </conditionalFormatting>
  <conditionalFormatting sqref="Q33:T36">
    <cfRule type="cellIs" dxfId="339" priority="83" operator="greaterThan">
      <formula>0.03</formula>
    </cfRule>
    <cfRule type="cellIs" dxfId="338" priority="84" stopIfTrue="1" operator="lessThan">
      <formula>-0.03</formula>
    </cfRule>
  </conditionalFormatting>
  <conditionalFormatting sqref="Q46:T48 Q62:T64">
    <cfRule type="cellIs" dxfId="337" priority="81" operator="greaterThan">
      <formula>0.03</formula>
    </cfRule>
    <cfRule type="cellIs" dxfId="336" priority="82" stopIfTrue="1" operator="lessThan">
      <formula>-0.03</formula>
    </cfRule>
  </conditionalFormatting>
  <conditionalFormatting sqref="Q50:T52 Q54:T56 Q58:T60">
    <cfRule type="cellIs" dxfId="335" priority="79" operator="greaterThan">
      <formula>0.03</formula>
    </cfRule>
    <cfRule type="cellIs" dxfId="334" priority="80" stopIfTrue="1" operator="lessThan">
      <formula>-0.03</formula>
    </cfRule>
  </conditionalFormatting>
  <conditionalFormatting sqref="Q70:T72 Q74:T76">
    <cfRule type="cellIs" dxfId="333" priority="77" operator="greaterThan">
      <formula>0.03</formula>
    </cfRule>
    <cfRule type="cellIs" dxfId="332" priority="78" stopIfTrue="1" operator="lessThan">
      <formula>-0.03</formula>
    </cfRule>
  </conditionalFormatting>
  <conditionalFormatting sqref="Q66:T68">
    <cfRule type="cellIs" dxfId="331" priority="75" operator="greaterThan">
      <formula>0.03</formula>
    </cfRule>
    <cfRule type="cellIs" dxfId="330" priority="76" stopIfTrue="1" operator="lessThan">
      <formula>-0.03</formula>
    </cfRule>
  </conditionalFormatting>
  <conditionalFormatting sqref="Q78:T80">
    <cfRule type="cellIs" dxfId="329" priority="73" operator="greaterThan">
      <formula>0.03</formula>
    </cfRule>
    <cfRule type="cellIs" dxfId="328" priority="74" stopIfTrue="1" operator="lessThan">
      <formula>-0.03</formula>
    </cfRule>
  </conditionalFormatting>
  <conditionalFormatting sqref="Q21:T28">
    <cfRule type="cellIs" dxfId="327" priority="71" operator="greaterThan">
      <formula>0.03</formula>
    </cfRule>
    <cfRule type="cellIs" dxfId="326" priority="72" stopIfTrue="1" operator="lessThan">
      <formula>-0.03</formula>
    </cfRule>
  </conditionalFormatting>
  <conditionalFormatting sqref="Q151:T154 Q159:T166 Q131:T142">
    <cfRule type="cellIs" dxfId="325" priority="69" operator="greaterThan">
      <formula>0.03</formula>
    </cfRule>
    <cfRule type="cellIs" dxfId="324" priority="70" stopIfTrue="1" operator="lessThan">
      <formula>-0.03</formula>
    </cfRule>
  </conditionalFormatting>
  <conditionalFormatting sqref="Q155:T158">
    <cfRule type="cellIs" dxfId="323" priority="67" operator="greaterThan">
      <formula>0.03</formula>
    </cfRule>
    <cfRule type="cellIs" dxfId="322" priority="68" stopIfTrue="1" operator="lessThan">
      <formula>-0.03</formula>
    </cfRule>
  </conditionalFormatting>
  <conditionalFormatting sqref="Q167:T170 Q183:T186">
    <cfRule type="cellIs" dxfId="321" priority="65" operator="greaterThan">
      <formula>0.03</formula>
    </cfRule>
    <cfRule type="cellIs" dxfId="320" priority="66" stopIfTrue="1" operator="lessThan">
      <formula>-0.03</formula>
    </cfRule>
  </conditionalFormatting>
  <conditionalFormatting sqref="Q171:T182">
    <cfRule type="cellIs" dxfId="319" priority="63" operator="greaterThan">
      <formula>0.03</formula>
    </cfRule>
    <cfRule type="cellIs" dxfId="318" priority="64" stopIfTrue="1" operator="lessThan">
      <formula>-0.03</formula>
    </cfRule>
  </conditionalFormatting>
  <conditionalFormatting sqref="Q191:T198">
    <cfRule type="cellIs" dxfId="317" priority="61" operator="greaterThan">
      <formula>0.03</formula>
    </cfRule>
    <cfRule type="cellIs" dxfId="316" priority="62" stopIfTrue="1" operator="lessThan">
      <formula>-0.03</formula>
    </cfRule>
  </conditionalFormatting>
  <conditionalFormatting sqref="Q187:T190">
    <cfRule type="cellIs" dxfId="315" priority="59" operator="greaterThan">
      <formula>0.03</formula>
    </cfRule>
    <cfRule type="cellIs" dxfId="314" priority="60" stopIfTrue="1" operator="lessThan">
      <formula>-0.03</formula>
    </cfRule>
  </conditionalFormatting>
  <conditionalFormatting sqref="Q199:T202">
    <cfRule type="cellIs" dxfId="313" priority="57" operator="greaterThan">
      <formula>0.03</formula>
    </cfRule>
    <cfRule type="cellIs" dxfId="312" priority="58" stopIfTrue="1" operator="lessThan">
      <formula>-0.03</formula>
    </cfRule>
  </conditionalFormatting>
  <conditionalFormatting sqref="Q143:T150">
    <cfRule type="cellIs" dxfId="311" priority="55" operator="greaterThan">
      <formula>0.03</formula>
    </cfRule>
    <cfRule type="cellIs" dxfId="310" priority="56" stopIfTrue="1" operator="lessThan">
      <formula>-0.03</formula>
    </cfRule>
  </conditionalFormatting>
  <conditionalFormatting sqref="Q45:T45">
    <cfRule type="cellIs" dxfId="309" priority="53" operator="greaterThan">
      <formula>0.03</formula>
    </cfRule>
    <cfRule type="cellIs" dxfId="308" priority="54" stopIfTrue="1" operator="lessThan">
      <formula>-0.03</formula>
    </cfRule>
  </conditionalFormatting>
  <conditionalFormatting sqref="Q49:T49">
    <cfRule type="cellIs" dxfId="307" priority="51" operator="greaterThan">
      <formula>0.03</formula>
    </cfRule>
    <cfRule type="cellIs" dxfId="306" priority="52" stopIfTrue="1" operator="lessThan">
      <formula>-0.03</formula>
    </cfRule>
  </conditionalFormatting>
  <conditionalFormatting sqref="Q53:T53">
    <cfRule type="cellIs" dxfId="305" priority="49" operator="greaterThan">
      <formula>0.03</formula>
    </cfRule>
    <cfRule type="cellIs" dxfId="304" priority="50" stopIfTrue="1" operator="lessThan">
      <formula>-0.03</formula>
    </cfRule>
  </conditionalFormatting>
  <conditionalFormatting sqref="Q57:T57">
    <cfRule type="cellIs" dxfId="303" priority="47" operator="greaterThan">
      <formula>0.03</formula>
    </cfRule>
    <cfRule type="cellIs" dxfId="302" priority="48" stopIfTrue="1" operator="lessThan">
      <formula>-0.03</formula>
    </cfRule>
  </conditionalFormatting>
  <conditionalFormatting sqref="Q61:T61">
    <cfRule type="cellIs" dxfId="301" priority="45" operator="greaterThan">
      <formula>0.03</formula>
    </cfRule>
    <cfRule type="cellIs" dxfId="300" priority="46" stopIfTrue="1" operator="lessThan">
      <formula>-0.03</formula>
    </cfRule>
  </conditionalFormatting>
  <conditionalFormatting sqref="Q65:T65">
    <cfRule type="cellIs" dxfId="299" priority="43" operator="greaterThan">
      <formula>0.03</formula>
    </cfRule>
    <cfRule type="cellIs" dxfId="298" priority="44" stopIfTrue="1" operator="lessThan">
      <formula>-0.03</formula>
    </cfRule>
  </conditionalFormatting>
  <conditionalFormatting sqref="Q69:T69">
    <cfRule type="cellIs" dxfId="297" priority="41" operator="greaterThan">
      <formula>0.03</formula>
    </cfRule>
    <cfRule type="cellIs" dxfId="296" priority="42" stopIfTrue="1" operator="lessThan">
      <formula>-0.03</formula>
    </cfRule>
  </conditionalFormatting>
  <conditionalFormatting sqref="Q73:T73">
    <cfRule type="cellIs" dxfId="295" priority="39" operator="greaterThan">
      <formula>0.03</formula>
    </cfRule>
    <cfRule type="cellIs" dxfId="294" priority="40" stopIfTrue="1" operator="lessThan">
      <formula>-0.03</formula>
    </cfRule>
  </conditionalFormatting>
  <conditionalFormatting sqref="Q77:T77">
    <cfRule type="cellIs" dxfId="293" priority="37" operator="greaterThan">
      <formula>0.03</formula>
    </cfRule>
    <cfRule type="cellIs" dxfId="292" priority="38" stopIfTrue="1" operator="lessThan">
      <formula>-0.03</formula>
    </cfRule>
  </conditionalFormatting>
  <conditionalFormatting sqref="Q117:T117">
    <cfRule type="cellIs" dxfId="291" priority="21" operator="greaterThan">
      <formula>0.03</formula>
    </cfRule>
    <cfRule type="cellIs" dxfId="290" priority="22" stopIfTrue="1" operator="lessThan">
      <formula>-0.03</formula>
    </cfRule>
  </conditionalFormatting>
  <conditionalFormatting sqref="Q93:T96 Q101:T108 Q81:T84">
    <cfRule type="cellIs" dxfId="289" priority="35" operator="greaterThan">
      <formula>0.03</formula>
    </cfRule>
    <cfRule type="cellIs" dxfId="288" priority="36" stopIfTrue="1" operator="lessThan">
      <formula>-0.03</formula>
    </cfRule>
  </conditionalFormatting>
  <conditionalFormatting sqref="Q97:T100">
    <cfRule type="cellIs" dxfId="287" priority="33" operator="greaterThan">
      <formula>0.03</formula>
    </cfRule>
    <cfRule type="cellIs" dxfId="286" priority="34" stopIfTrue="1" operator="lessThan">
      <formula>-0.03</formula>
    </cfRule>
  </conditionalFormatting>
  <conditionalFormatting sqref="Q110:T112 Q122:T124">
    <cfRule type="cellIs" dxfId="285" priority="31" operator="greaterThan">
      <formula>0.03</formula>
    </cfRule>
    <cfRule type="cellIs" dxfId="284" priority="32" stopIfTrue="1" operator="lessThan">
      <formula>-0.03</formula>
    </cfRule>
  </conditionalFormatting>
  <conditionalFormatting sqref="Q114:T116 Q118:T120">
    <cfRule type="cellIs" dxfId="283" priority="29" operator="greaterThan">
      <formula>0.03</formula>
    </cfRule>
    <cfRule type="cellIs" dxfId="282" priority="30" stopIfTrue="1" operator="lessThan">
      <formula>-0.03</formula>
    </cfRule>
  </conditionalFormatting>
  <conditionalFormatting sqref="Q85:T92">
    <cfRule type="cellIs" dxfId="281" priority="27" operator="greaterThan">
      <formula>0.03</formula>
    </cfRule>
    <cfRule type="cellIs" dxfId="280" priority="28" stopIfTrue="1" operator="lessThan">
      <formula>-0.03</formula>
    </cfRule>
  </conditionalFormatting>
  <conditionalFormatting sqref="Q109:T109">
    <cfRule type="cellIs" dxfId="279" priority="25" operator="greaterThan">
      <formula>0.03</formula>
    </cfRule>
    <cfRule type="cellIs" dxfId="278" priority="26" stopIfTrue="1" operator="lessThan">
      <formula>-0.03</formula>
    </cfRule>
  </conditionalFormatting>
  <conditionalFormatting sqref="Q113:T113">
    <cfRule type="cellIs" dxfId="277" priority="23" operator="greaterThan">
      <formula>0.03</formula>
    </cfRule>
    <cfRule type="cellIs" dxfId="276" priority="24" stopIfTrue="1" operator="lessThan">
      <formula>-0.03</formula>
    </cfRule>
  </conditionalFormatting>
  <conditionalFormatting sqref="Q121:T121">
    <cfRule type="cellIs" dxfId="275" priority="19" operator="greaterThan">
      <formula>0.03</formula>
    </cfRule>
    <cfRule type="cellIs" dxfId="274" priority="20" stopIfTrue="1" operator="lessThan">
      <formula>-0.03</formula>
    </cfRule>
  </conditionalFormatting>
  <conditionalFormatting sqref="Q239:T239">
    <cfRule type="cellIs" dxfId="273" priority="3" operator="greaterThan">
      <formula>0.03</formula>
    </cfRule>
    <cfRule type="cellIs" dxfId="272" priority="4" stopIfTrue="1" operator="lessThan">
      <formula>-0.03</formula>
    </cfRule>
  </conditionalFormatting>
  <conditionalFormatting sqref="Q215:T218 Q223:T230 Q203:T206">
    <cfRule type="cellIs" dxfId="271" priority="17" operator="greaterThan">
      <formula>0.03</formula>
    </cfRule>
    <cfRule type="cellIs" dxfId="270" priority="18" stopIfTrue="1" operator="lessThan">
      <formula>-0.03</formula>
    </cfRule>
  </conditionalFormatting>
  <conditionalFormatting sqref="Q219:T222">
    <cfRule type="cellIs" dxfId="269" priority="15" operator="greaterThan">
      <formula>0.03</formula>
    </cfRule>
    <cfRule type="cellIs" dxfId="268" priority="16" stopIfTrue="1" operator="lessThan">
      <formula>-0.03</formula>
    </cfRule>
  </conditionalFormatting>
  <conditionalFormatting sqref="Q232:T234 Q244:T246">
    <cfRule type="cellIs" dxfId="267" priority="13" operator="greaterThan">
      <formula>0.03</formula>
    </cfRule>
    <cfRule type="cellIs" dxfId="266" priority="14" stopIfTrue="1" operator="lessThan">
      <formula>-0.03</formula>
    </cfRule>
  </conditionalFormatting>
  <conditionalFormatting sqref="Q236:T238 Q240:T242">
    <cfRule type="cellIs" dxfId="265" priority="11" operator="greaterThan">
      <formula>0.03</formula>
    </cfRule>
    <cfRule type="cellIs" dxfId="264" priority="12" stopIfTrue="1" operator="lessThan">
      <formula>-0.03</formula>
    </cfRule>
  </conditionalFormatting>
  <conditionalFormatting sqref="Q207:T214">
    <cfRule type="cellIs" dxfId="263" priority="9" operator="greaterThan">
      <formula>0.03</formula>
    </cfRule>
    <cfRule type="cellIs" dxfId="262" priority="10" stopIfTrue="1" operator="lessThan">
      <formula>-0.03</formula>
    </cfRule>
  </conditionalFormatting>
  <conditionalFormatting sqref="Q231:T231">
    <cfRule type="cellIs" dxfId="261" priority="7" operator="greaterThan">
      <formula>0.03</formula>
    </cfRule>
    <cfRule type="cellIs" dxfId="260" priority="8" stopIfTrue="1" operator="lessThan">
      <formula>-0.03</formula>
    </cfRule>
  </conditionalFormatting>
  <conditionalFormatting sqref="Q235:T235">
    <cfRule type="cellIs" dxfId="259" priority="5" operator="greaterThan">
      <formula>0.03</formula>
    </cfRule>
    <cfRule type="cellIs" dxfId="258" priority="6" stopIfTrue="1" operator="lessThan">
      <formula>-0.03</formula>
    </cfRule>
  </conditionalFormatting>
  <conditionalFormatting sqref="Q243:T243">
    <cfRule type="cellIs" dxfId="257" priority="1" operator="greaterThan">
      <formula>0.03</formula>
    </cfRule>
    <cfRule type="cellIs" dxfId="256" priority="2" stopIfTrue="1" operator="lessThan">
      <formula>-0.03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activeCell="X37" sqref="X37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128</v>
      </c>
    </row>
    <row r="2" spans="1:21" x14ac:dyDescent="0.25">
      <c r="A2" t="s">
        <v>83</v>
      </c>
    </row>
    <row r="3" spans="1:21" x14ac:dyDescent="0.25">
      <c r="A3" t="s">
        <v>90</v>
      </c>
    </row>
    <row r="4" spans="1:21" x14ac:dyDescent="0.25">
      <c r="A4" t="s">
        <v>83</v>
      </c>
    </row>
    <row r="5" spans="1:21" s="35" customFormat="1" ht="15.75" customHeight="1" x14ac:dyDescent="0.25">
      <c r="B5" s="61" t="s">
        <v>29</v>
      </c>
      <c r="C5" s="63" t="s">
        <v>199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126</v>
      </c>
      <c r="D7" s="70"/>
      <c r="E7" s="70"/>
      <c r="F7" s="70"/>
      <c r="G7" s="70"/>
      <c r="H7" s="70"/>
      <c r="I7" s="5"/>
      <c r="J7" s="69" t="s">
        <v>184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4274.2587890625</v>
      </c>
      <c r="D9" s="16">
        <v>38.317</v>
      </c>
      <c r="E9" s="16">
        <v>39.488999999999997</v>
      </c>
      <c r="F9" s="16">
        <v>41.970999999999997</v>
      </c>
      <c r="G9" s="16">
        <v>1.56</v>
      </c>
      <c r="H9" s="16">
        <f t="shared" ref="H9:H80" si="0">(6*D9+E9+F9)/8</f>
        <v>38.920249999999996</v>
      </c>
      <c r="I9" s="5"/>
      <c r="J9" s="15">
        <v>4106.9391999999998</v>
      </c>
      <c r="K9" s="16">
        <v>38.540999999999997</v>
      </c>
      <c r="L9" s="16">
        <v>40.197299999999998</v>
      </c>
      <c r="M9" s="16">
        <v>42.9542</v>
      </c>
      <c r="N9" s="16">
        <v>3.375</v>
      </c>
      <c r="O9" s="16">
        <f t="shared" ref="O9:O80" si="1">(6*K9+L9+M9)/8</f>
        <v>39.299687499999997</v>
      </c>
      <c r="P9" s="7"/>
      <c r="Q9" s="8">
        <f>bdrate(C9:C12,D9:D12,J9:J12,K9:K12)</f>
        <v>-0.21156657331185569</v>
      </c>
      <c r="R9" s="8">
        <f>bdrate(C9:C12,E9:E12,J9:J12,L9:L12)</f>
        <v>-0.4847098143445312</v>
      </c>
      <c r="S9" s="8">
        <f>bdrate(C9:C12,F9:F12,J9:J12,M9:M12)</f>
        <v>-0.47575848430054879</v>
      </c>
      <c r="T9" s="25">
        <f>bdrate(C9:C12,H9:H12,J9:J12,O9:O12)</f>
        <v>-0.2623644693848789</v>
      </c>
      <c r="U9" s="28">
        <f t="shared" ref="U9:U72" si="2">(N9-G9)/G9</f>
        <v>1.1634615384615383</v>
      </c>
    </row>
    <row r="10" spans="1:21" x14ac:dyDescent="0.25">
      <c r="A10" s="9" t="s">
        <v>36</v>
      </c>
      <c r="B10" s="9"/>
      <c r="C10" s="17">
        <v>3164.6015625</v>
      </c>
      <c r="D10" s="18">
        <v>37.188000000000002</v>
      </c>
      <c r="E10" s="18">
        <v>38.786999999999999</v>
      </c>
      <c r="F10" s="18">
        <v>41.180999999999997</v>
      </c>
      <c r="G10" s="18">
        <v>1.75</v>
      </c>
      <c r="H10" s="18">
        <f t="shared" si="0"/>
        <v>37.887</v>
      </c>
      <c r="I10" s="5"/>
      <c r="J10" s="17">
        <v>3027.6448</v>
      </c>
      <c r="K10" s="18">
        <v>37.637999999999998</v>
      </c>
      <c r="L10" s="18">
        <v>39.729799999999997</v>
      </c>
      <c r="M10" s="18">
        <v>42.320500000000003</v>
      </c>
      <c r="N10" s="18">
        <v>3.8538999999999999</v>
      </c>
      <c r="O10" s="18">
        <f t="shared" si="1"/>
        <v>38.484787499999996</v>
      </c>
      <c r="P10" s="7"/>
      <c r="Q10" s="10"/>
      <c r="R10" s="11"/>
      <c r="S10" s="11"/>
      <c r="T10" s="26"/>
      <c r="U10" s="28">
        <f t="shared" si="2"/>
        <v>1.2022285714285714</v>
      </c>
    </row>
    <row r="11" spans="1:21" x14ac:dyDescent="0.25">
      <c r="B11" s="9"/>
      <c r="C11" s="17">
        <v>2099.3671875</v>
      </c>
      <c r="D11" s="18">
        <v>35.57</v>
      </c>
      <c r="E11" s="18">
        <v>37.832000000000001</v>
      </c>
      <c r="F11" s="18">
        <v>40.192999999999998</v>
      </c>
      <c r="G11" s="18">
        <v>2.06</v>
      </c>
      <c r="H11" s="18">
        <f t="shared" si="0"/>
        <v>36.430624999999999</v>
      </c>
      <c r="I11" s="5"/>
      <c r="J11" s="17">
        <v>1990.912</v>
      </c>
      <c r="K11" s="18">
        <v>36.290100000000002</v>
      </c>
      <c r="L11" s="18">
        <v>39.096699999999998</v>
      </c>
      <c r="M11" s="18">
        <v>41.521000000000001</v>
      </c>
      <c r="N11" s="18">
        <v>4.6814</v>
      </c>
      <c r="O11" s="18">
        <f t="shared" si="1"/>
        <v>37.294787500000005</v>
      </c>
      <c r="P11" s="7"/>
      <c r="Q11" s="10"/>
      <c r="R11" s="11"/>
      <c r="S11" s="11"/>
      <c r="T11" s="26"/>
      <c r="U11" s="28">
        <f t="shared" si="2"/>
        <v>1.2725242718446601</v>
      </c>
    </row>
    <row r="12" spans="1:21" ht="16.5" thickBot="1" x14ac:dyDescent="0.3">
      <c r="B12" s="12"/>
      <c r="C12" s="19">
        <v>1056.3671875</v>
      </c>
      <c r="D12" s="20">
        <v>32.756999999999998</v>
      </c>
      <c r="E12" s="20">
        <v>36.201000000000001</v>
      </c>
      <c r="F12" s="20">
        <v>38.619999999999997</v>
      </c>
      <c r="G12" s="20">
        <v>2.52</v>
      </c>
      <c r="H12" s="20">
        <f t="shared" si="0"/>
        <v>33.920374999999993</v>
      </c>
      <c r="I12" s="5"/>
      <c r="J12" s="19">
        <v>942.05920000000003</v>
      </c>
      <c r="K12" s="20">
        <v>33.590400000000002</v>
      </c>
      <c r="L12" s="20">
        <v>37.745600000000003</v>
      </c>
      <c r="M12" s="20">
        <v>40.015000000000001</v>
      </c>
      <c r="N12" s="20">
        <v>6.1833</v>
      </c>
      <c r="O12" s="20">
        <f t="shared" si="1"/>
        <v>34.912875</v>
      </c>
      <c r="P12" s="7"/>
      <c r="Q12" s="13"/>
      <c r="R12" s="14"/>
      <c r="S12" s="14"/>
      <c r="T12" s="27"/>
      <c r="U12" s="28">
        <f t="shared" si="2"/>
        <v>1.4536904761904761</v>
      </c>
    </row>
    <row r="13" spans="1:21" x14ac:dyDescent="0.25">
      <c r="B13" s="6" t="s">
        <v>47</v>
      </c>
      <c r="C13" s="15">
        <v>4885.2216796875</v>
      </c>
      <c r="D13" s="16">
        <v>29.326000000000001</v>
      </c>
      <c r="E13" s="16">
        <v>40.204000000000001</v>
      </c>
      <c r="F13" s="16">
        <v>41.026000000000003</v>
      </c>
      <c r="G13" s="16">
        <v>1.85</v>
      </c>
      <c r="H13" s="16">
        <f t="shared" si="0"/>
        <v>32.148250000000004</v>
      </c>
      <c r="I13" s="5"/>
      <c r="J13" s="15">
        <v>4154.3248000000003</v>
      </c>
      <c r="K13" s="16">
        <v>30.071999999999999</v>
      </c>
      <c r="L13" s="16">
        <v>40.860500000000002</v>
      </c>
      <c r="M13" s="16">
        <v>41.6556</v>
      </c>
      <c r="N13" s="16">
        <v>2.3401000000000001</v>
      </c>
      <c r="O13" s="16">
        <f t="shared" si="1"/>
        <v>32.868512500000001</v>
      </c>
      <c r="P13" s="7"/>
      <c r="Q13" s="8">
        <f>bdrate(C13:C16,D13:D16,J13:J16,K13:K16)</f>
        <v>-0.2121934927749366</v>
      </c>
      <c r="R13" s="8">
        <f>bdrate(C13:C16,E13:E16,J13:J16,L13:L16)</f>
        <v>-0.4967176798246431</v>
      </c>
      <c r="S13" s="8">
        <f>bdrate(C13:C16,F13:F16,J13:J16,M13:M16)</f>
        <v>-0.51230896665414338</v>
      </c>
      <c r="T13" s="25">
        <f>bdrate(C13:C16,H13:H16,J13:J16,O13:O16)</f>
        <v>-0.26192423174795498</v>
      </c>
      <c r="U13" s="28">
        <f t="shared" si="2"/>
        <v>0.26491891891891889</v>
      </c>
    </row>
    <row r="14" spans="1:21" x14ac:dyDescent="0.25">
      <c r="B14" s="9"/>
      <c r="C14" s="17">
        <v>3888.0546875</v>
      </c>
      <c r="D14" s="18">
        <v>28.600999999999999</v>
      </c>
      <c r="E14" s="18">
        <v>39.51</v>
      </c>
      <c r="F14" s="18">
        <v>40.442</v>
      </c>
      <c r="G14" s="18">
        <v>1.92</v>
      </c>
      <c r="H14" s="18">
        <f t="shared" si="0"/>
        <v>31.444749999999999</v>
      </c>
      <c r="I14" s="5"/>
      <c r="J14" s="17">
        <v>3137.8</v>
      </c>
      <c r="K14" s="18">
        <v>28.828700000000001</v>
      </c>
      <c r="L14" s="18">
        <v>40.379600000000003</v>
      </c>
      <c r="M14" s="18">
        <v>41.260800000000003</v>
      </c>
      <c r="N14" s="18">
        <v>2.8</v>
      </c>
      <c r="O14" s="18">
        <f t="shared" si="1"/>
        <v>31.826575000000005</v>
      </c>
      <c r="P14" s="7"/>
      <c r="Q14" s="10"/>
      <c r="R14" s="11"/>
      <c r="S14" s="11"/>
      <c r="T14" s="26"/>
      <c r="U14" s="28">
        <f t="shared" si="2"/>
        <v>0.45833333333333331</v>
      </c>
    </row>
    <row r="15" spans="1:21" x14ac:dyDescent="0.25">
      <c r="B15" s="9"/>
      <c r="C15" s="17">
        <v>3144</v>
      </c>
      <c r="D15" s="18">
        <v>28.033000000000001</v>
      </c>
      <c r="E15" s="18">
        <v>38.555</v>
      </c>
      <c r="F15" s="18">
        <v>39.637999999999998</v>
      </c>
      <c r="G15" s="18">
        <v>1.93</v>
      </c>
      <c r="H15" s="18">
        <f t="shared" si="0"/>
        <v>30.798875000000002</v>
      </c>
      <c r="I15" s="5"/>
      <c r="J15" s="17">
        <v>2112.0688</v>
      </c>
      <c r="K15" s="18">
        <v>27.104900000000001</v>
      </c>
      <c r="L15" s="18">
        <v>39.626199999999997</v>
      </c>
      <c r="M15" s="18">
        <v>40.619700000000002</v>
      </c>
      <c r="N15" s="18">
        <v>3.2728000000000002</v>
      </c>
      <c r="O15" s="18">
        <f t="shared" si="1"/>
        <v>30.359412500000001</v>
      </c>
      <c r="P15" s="7"/>
      <c r="Q15" s="10"/>
      <c r="R15" s="11"/>
      <c r="S15" s="11"/>
      <c r="T15" s="26"/>
      <c r="U15" s="28">
        <f t="shared" si="2"/>
        <v>0.6957512953367877</v>
      </c>
    </row>
    <row r="16" spans="1:21" ht="16.5" thickBot="1" x14ac:dyDescent="0.3">
      <c r="B16" s="12"/>
      <c r="C16" s="19">
        <v>2722.0654296875</v>
      </c>
      <c r="D16" s="20">
        <v>27.611999999999998</v>
      </c>
      <c r="E16" s="20">
        <v>37.704000000000001</v>
      </c>
      <c r="F16" s="20">
        <v>38.893999999999998</v>
      </c>
      <c r="G16" s="20">
        <v>1.9</v>
      </c>
      <c r="H16" s="20">
        <f t="shared" si="0"/>
        <v>30.283750000000001</v>
      </c>
      <c r="I16" s="5"/>
      <c r="J16" s="19">
        <v>1373.2608</v>
      </c>
      <c r="K16" s="20">
        <v>25.686399999999999</v>
      </c>
      <c r="L16" s="20">
        <v>38.421300000000002</v>
      </c>
      <c r="M16" s="20">
        <v>39.569400000000002</v>
      </c>
      <c r="N16" s="20">
        <v>3.6027</v>
      </c>
      <c r="O16" s="20">
        <f t="shared" si="1"/>
        <v>29.013637500000002</v>
      </c>
      <c r="P16" s="7"/>
      <c r="Q16" s="13"/>
      <c r="R16" s="14"/>
      <c r="S16" s="14"/>
      <c r="T16" s="27"/>
      <c r="U16" s="28">
        <f t="shared" si="2"/>
        <v>0.89615789473684215</v>
      </c>
    </row>
    <row r="17" spans="1:21" x14ac:dyDescent="0.25">
      <c r="A17" s="6" t="s">
        <v>37</v>
      </c>
      <c r="B17" s="6" t="s">
        <v>48</v>
      </c>
      <c r="C17" s="15">
        <v>2182.470703125</v>
      </c>
      <c r="D17" s="16">
        <v>38.820999999999998</v>
      </c>
      <c r="E17" s="16">
        <v>41.878</v>
      </c>
      <c r="F17" s="16">
        <v>43.222999999999999</v>
      </c>
      <c r="G17" s="16">
        <v>2.77</v>
      </c>
      <c r="H17" s="16">
        <f t="shared" si="0"/>
        <v>39.753374999999998</v>
      </c>
      <c r="I17" s="5"/>
      <c r="J17" s="15">
        <v>2379.4704000000002</v>
      </c>
      <c r="K17" s="16">
        <v>39.520099999999999</v>
      </c>
      <c r="L17" s="16">
        <v>42.4206</v>
      </c>
      <c r="M17" s="16">
        <v>44.128900000000002</v>
      </c>
      <c r="N17" s="16">
        <v>5.6810999999999998</v>
      </c>
      <c r="O17" s="16">
        <f t="shared" si="1"/>
        <v>40.458762499999999</v>
      </c>
      <c r="P17" s="7"/>
      <c r="Q17" s="8">
        <f>bdrate(C17:C20,D17:D20,J17:J20,K17:K20)</f>
        <v>-0.17328231507940683</v>
      </c>
      <c r="R17" s="8">
        <f>bdrate(C17:C20,E17:E20,J17:J20,L17:L20)</f>
        <v>-0.3258882606382083</v>
      </c>
      <c r="S17" s="8">
        <f>bdrate(C17:C20,F17:F20,J17:J20,M17:M20)</f>
        <v>-0.35111120099454673</v>
      </c>
      <c r="T17" s="25">
        <f>bdrate(C17:C20,H17:H20,J17:J20,O17:O20)</f>
        <v>-0.20300198781380607</v>
      </c>
      <c r="U17" s="28">
        <f t="shared" si="2"/>
        <v>1.0509386281588446</v>
      </c>
    </row>
    <row r="18" spans="1:21" x14ac:dyDescent="0.25">
      <c r="A18" s="9" t="s">
        <v>38</v>
      </c>
      <c r="B18" s="9"/>
      <c r="C18" s="17">
        <v>1528.2158203125</v>
      </c>
      <c r="D18" s="18">
        <v>37.679000000000002</v>
      </c>
      <c r="E18" s="18">
        <v>41.268999999999998</v>
      </c>
      <c r="F18" s="18">
        <v>42.514000000000003</v>
      </c>
      <c r="G18" s="18">
        <v>3.27</v>
      </c>
      <c r="H18" s="18">
        <f t="shared" si="0"/>
        <v>38.732125000000003</v>
      </c>
      <c r="I18" s="5"/>
      <c r="J18" s="17">
        <v>1575.144</v>
      </c>
      <c r="K18" s="18">
        <v>38.374099999999999</v>
      </c>
      <c r="L18" s="18">
        <v>41.8551</v>
      </c>
      <c r="M18" s="18">
        <v>43.337299999999999</v>
      </c>
      <c r="N18" s="18">
        <v>6.7625000000000002</v>
      </c>
      <c r="O18" s="18">
        <f t="shared" si="1"/>
        <v>39.429625000000001</v>
      </c>
      <c r="P18" s="7"/>
      <c r="Q18" s="10"/>
      <c r="R18" s="11"/>
      <c r="S18" s="11"/>
      <c r="T18" s="26"/>
      <c r="U18" s="28">
        <f t="shared" si="2"/>
        <v>1.0680428134556574</v>
      </c>
    </row>
    <row r="19" spans="1:21" x14ac:dyDescent="0.25">
      <c r="B19" s="9"/>
      <c r="C19" s="17">
        <v>980.3564453125</v>
      </c>
      <c r="D19" s="18">
        <v>36.258000000000003</v>
      </c>
      <c r="E19" s="18">
        <v>40.457000000000001</v>
      </c>
      <c r="F19" s="18">
        <v>41.655000000000001</v>
      </c>
      <c r="G19" s="18">
        <v>3.85</v>
      </c>
      <c r="H19" s="18">
        <f t="shared" si="0"/>
        <v>37.457499999999996</v>
      </c>
      <c r="I19" s="5"/>
      <c r="J19" s="17">
        <v>973.26959999999997</v>
      </c>
      <c r="K19" s="18">
        <v>36.862900000000003</v>
      </c>
      <c r="L19" s="18">
        <v>41.138100000000001</v>
      </c>
      <c r="M19" s="18">
        <v>42.429499999999997</v>
      </c>
      <c r="N19" s="18">
        <v>8.2578999999999994</v>
      </c>
      <c r="O19" s="18">
        <f t="shared" si="1"/>
        <v>38.093125000000008</v>
      </c>
      <c r="P19" s="7"/>
      <c r="Q19" s="10"/>
      <c r="R19" s="11"/>
      <c r="S19" s="11"/>
      <c r="T19" s="26"/>
      <c r="U19" s="28">
        <f t="shared" si="2"/>
        <v>1.1449090909090909</v>
      </c>
    </row>
    <row r="20" spans="1:21" ht="16.5" thickBot="1" x14ac:dyDescent="0.3">
      <c r="B20" s="12"/>
      <c r="C20" s="19">
        <v>598.17578125</v>
      </c>
      <c r="D20" s="20">
        <v>34.695999999999998</v>
      </c>
      <c r="E20" s="20">
        <v>39.512</v>
      </c>
      <c r="F20" s="20">
        <v>40.799999999999997</v>
      </c>
      <c r="G20" s="20">
        <v>4.45</v>
      </c>
      <c r="H20" s="20">
        <f t="shared" si="0"/>
        <v>36.061</v>
      </c>
      <c r="I20" s="5"/>
      <c r="J20" s="19">
        <v>567.38</v>
      </c>
      <c r="K20" s="20">
        <v>35.079000000000001</v>
      </c>
      <c r="L20" s="20">
        <v>40.453299999999999</v>
      </c>
      <c r="M20" s="20">
        <v>41.696300000000001</v>
      </c>
      <c r="N20" s="20">
        <v>10.3324</v>
      </c>
      <c r="O20" s="20">
        <f t="shared" si="1"/>
        <v>36.577950000000001</v>
      </c>
      <c r="P20" s="7"/>
      <c r="Q20" s="13"/>
      <c r="R20" s="14"/>
      <c r="S20" s="14"/>
      <c r="T20" s="27"/>
      <c r="U20" s="28">
        <f t="shared" si="2"/>
        <v>1.321887640449438</v>
      </c>
    </row>
    <row r="21" spans="1:21" x14ac:dyDescent="0.25">
      <c r="B21" s="6" t="s">
        <v>49</v>
      </c>
      <c r="C21" s="15">
        <v>2542.611328125</v>
      </c>
      <c r="D21" s="16">
        <v>36.295999999999999</v>
      </c>
      <c r="E21" s="16">
        <v>39.923000000000002</v>
      </c>
      <c r="F21" s="16">
        <v>41.006</v>
      </c>
      <c r="G21" s="16">
        <v>2.63</v>
      </c>
      <c r="H21" s="16">
        <f t="shared" si="0"/>
        <v>37.338125000000005</v>
      </c>
      <c r="I21" s="5"/>
      <c r="J21" s="15">
        <v>2534.1239999999998</v>
      </c>
      <c r="K21" s="16">
        <v>36.662999999999997</v>
      </c>
      <c r="L21" s="16">
        <v>40.8108</v>
      </c>
      <c r="M21" s="16">
        <v>42.122199999999999</v>
      </c>
      <c r="N21" s="16">
        <v>5.4363000000000001</v>
      </c>
      <c r="O21" s="16">
        <f t="shared" si="1"/>
        <v>37.863875</v>
      </c>
      <c r="P21" s="7"/>
      <c r="Q21" s="8">
        <f>bdrate(C21:C24,D21:D24,J21:J24,K21:K24)</f>
        <v>-0.16195044339611142</v>
      </c>
      <c r="R21" s="8">
        <f>bdrate(C21:C24,E21:E24,J21:J24,L21:L24)</f>
        <v>-0.43726469699353177</v>
      </c>
      <c r="S21" s="8">
        <f>bdrate(C21:C24,F21:F24,J21:J24,M21:M24)</f>
        <v>-0.46554814416317891</v>
      </c>
      <c r="T21" s="25">
        <f>bdrate(C21:C24,H21:H24,J21:J24,O21:O24)</f>
        <v>-0.22300601654394225</v>
      </c>
      <c r="U21" s="28">
        <f t="shared" si="2"/>
        <v>1.0670342205323196</v>
      </c>
    </row>
    <row r="22" spans="1:21" x14ac:dyDescent="0.25">
      <c r="B22" s="9"/>
      <c r="C22" s="17">
        <v>1708.75</v>
      </c>
      <c r="D22" s="18">
        <v>34.959000000000003</v>
      </c>
      <c r="E22" s="18">
        <v>38.954999999999998</v>
      </c>
      <c r="F22" s="18">
        <v>40.084000000000003</v>
      </c>
      <c r="G22" s="18">
        <v>3.09</v>
      </c>
      <c r="H22" s="18">
        <f t="shared" si="0"/>
        <v>36.099125000000001</v>
      </c>
      <c r="I22" s="5"/>
      <c r="J22" s="17">
        <v>1658.3896</v>
      </c>
      <c r="K22" s="18">
        <v>35.398699999999998</v>
      </c>
      <c r="L22" s="18">
        <v>40.003399999999999</v>
      </c>
      <c r="M22" s="18">
        <v>41.207999999999998</v>
      </c>
      <c r="N22" s="18">
        <v>6.4344999999999999</v>
      </c>
      <c r="O22" s="18">
        <f t="shared" si="1"/>
        <v>36.700450000000004</v>
      </c>
      <c r="P22" s="7"/>
      <c r="Q22" s="10"/>
      <c r="R22" s="11"/>
      <c r="S22" s="11"/>
      <c r="T22" s="26"/>
      <c r="U22" s="28">
        <f t="shared" si="2"/>
        <v>1.0823624595469257</v>
      </c>
    </row>
    <row r="23" spans="1:21" x14ac:dyDescent="0.25">
      <c r="B23" s="9"/>
      <c r="C23" s="17">
        <v>1051.8291015625</v>
      </c>
      <c r="D23" s="18">
        <v>33.402999999999999</v>
      </c>
      <c r="E23" s="18">
        <v>37.798000000000002</v>
      </c>
      <c r="F23" s="18">
        <v>39.133000000000003</v>
      </c>
      <c r="G23" s="18">
        <v>3.81</v>
      </c>
      <c r="H23" s="18">
        <f t="shared" si="0"/>
        <v>34.668624999999999</v>
      </c>
      <c r="I23" s="5"/>
      <c r="J23" s="17">
        <v>1031.2344000000001</v>
      </c>
      <c r="K23" s="18">
        <v>33.930199999999999</v>
      </c>
      <c r="L23" s="18">
        <v>39.0989</v>
      </c>
      <c r="M23" s="18">
        <v>40.322699999999998</v>
      </c>
      <c r="N23" s="18">
        <v>7.9221000000000004</v>
      </c>
      <c r="O23" s="18">
        <f t="shared" si="1"/>
        <v>35.375349999999997</v>
      </c>
      <c r="P23" s="7"/>
      <c r="Q23" s="10"/>
      <c r="R23" s="11"/>
      <c r="S23" s="11"/>
      <c r="T23" s="26"/>
      <c r="U23" s="28">
        <f t="shared" si="2"/>
        <v>1.079291338582677</v>
      </c>
    </row>
    <row r="24" spans="1:21" ht="16.5" thickBot="1" x14ac:dyDescent="0.3">
      <c r="B24" s="12"/>
      <c r="C24" s="19">
        <v>628.4326171875</v>
      </c>
      <c r="D24" s="20">
        <v>31.815999999999999</v>
      </c>
      <c r="E24" s="20">
        <v>36.756999999999998</v>
      </c>
      <c r="F24" s="20">
        <v>38.404000000000003</v>
      </c>
      <c r="G24" s="20">
        <v>4.51</v>
      </c>
      <c r="H24" s="20">
        <f t="shared" si="0"/>
        <v>33.257125000000002</v>
      </c>
      <c r="I24" s="5"/>
      <c r="J24" s="19">
        <v>614.44240000000002</v>
      </c>
      <c r="K24" s="20">
        <v>32.351700000000001</v>
      </c>
      <c r="L24" s="20">
        <v>38.136299999999999</v>
      </c>
      <c r="M24" s="20">
        <v>39.4773</v>
      </c>
      <c r="N24" s="20">
        <v>9.7739999999999991</v>
      </c>
      <c r="O24" s="20">
        <f t="shared" si="1"/>
        <v>33.965475000000005</v>
      </c>
      <c r="P24" s="7"/>
      <c r="Q24" s="13"/>
      <c r="R24" s="14"/>
      <c r="S24" s="14"/>
      <c r="T24" s="27"/>
      <c r="U24" s="28">
        <f t="shared" si="2"/>
        <v>1.1671840354767182</v>
      </c>
    </row>
    <row r="25" spans="1:21" x14ac:dyDescent="0.25">
      <c r="B25" s="6" t="s">
        <v>50</v>
      </c>
      <c r="C25" s="15">
        <v>2463.8388671875</v>
      </c>
      <c r="D25" s="16">
        <v>34.143000000000001</v>
      </c>
      <c r="E25" s="16">
        <v>38.078000000000003</v>
      </c>
      <c r="F25" s="16">
        <v>39.954000000000001</v>
      </c>
      <c r="G25" s="16">
        <v>4.43</v>
      </c>
      <c r="H25" s="16">
        <f t="shared" si="0"/>
        <v>35.361249999999998</v>
      </c>
      <c r="I25" s="5"/>
      <c r="J25" s="15">
        <v>2412.0816</v>
      </c>
      <c r="K25" s="16">
        <v>34.968499999999999</v>
      </c>
      <c r="L25" s="16">
        <v>38.624499999999998</v>
      </c>
      <c r="M25" s="16">
        <v>41.241100000000003</v>
      </c>
      <c r="N25" s="16">
        <v>7.6733000000000002</v>
      </c>
      <c r="O25" s="16">
        <f t="shared" si="1"/>
        <v>36.209575000000001</v>
      </c>
      <c r="P25" s="7"/>
      <c r="Q25" s="8">
        <f>bdrate(C25:C28,D25:D28,J25:J28,K25:K28)</f>
        <v>-0.29478403357418403</v>
      </c>
      <c r="R25" s="8">
        <f>bdrate(C25:C28,E25:E28,J25:J28,L25:L28)</f>
        <v>-0.55516585811214103</v>
      </c>
      <c r="S25" s="8">
        <f>bdrate(C25:C28,F25:F28,J25:J28,M25:M28)</f>
        <v>-0.55023467547011151</v>
      </c>
      <c r="T25" s="25">
        <f>bdrate(C25:C28,H25:H28,J25:J28,O25:O28)</f>
        <v>-0.34661570647259343</v>
      </c>
      <c r="U25" s="28">
        <f t="shared" si="2"/>
        <v>0.73212189616252843</v>
      </c>
    </row>
    <row r="26" spans="1:21" x14ac:dyDescent="0.25">
      <c r="B26" s="9"/>
      <c r="C26" s="17">
        <v>1639.4072265625</v>
      </c>
      <c r="D26" s="18">
        <v>32.835999999999999</v>
      </c>
      <c r="E26" s="18">
        <v>37.404000000000003</v>
      </c>
      <c r="F26" s="18">
        <v>38.804000000000002</v>
      </c>
      <c r="G26" s="18">
        <v>5.03</v>
      </c>
      <c r="H26" s="18">
        <f t="shared" si="0"/>
        <v>34.152999999999999</v>
      </c>
      <c r="I26" s="5"/>
      <c r="J26" s="17">
        <v>1605.0648000000001</v>
      </c>
      <c r="K26" s="18">
        <v>33.860300000000002</v>
      </c>
      <c r="L26" s="18">
        <v>38.275399999999998</v>
      </c>
      <c r="M26" s="18">
        <v>40.439700000000002</v>
      </c>
      <c r="N26" s="18">
        <v>9.3225999999999996</v>
      </c>
      <c r="O26" s="18">
        <f t="shared" si="1"/>
        <v>35.234612500000004</v>
      </c>
      <c r="P26" s="7"/>
      <c r="Q26" s="10"/>
      <c r="R26" s="11"/>
      <c r="S26" s="11"/>
      <c r="T26" s="26"/>
      <c r="U26" s="28">
        <f t="shared" si="2"/>
        <v>0.85339960238568568</v>
      </c>
    </row>
    <row r="27" spans="1:21" x14ac:dyDescent="0.25">
      <c r="B27" s="9"/>
      <c r="C27" s="17">
        <v>1023.89453125</v>
      </c>
      <c r="D27" s="18">
        <v>31.286000000000001</v>
      </c>
      <c r="E27" s="18">
        <v>36.536999999999999</v>
      </c>
      <c r="F27" s="18">
        <v>37.444000000000003</v>
      </c>
      <c r="G27" s="18">
        <v>5.5</v>
      </c>
      <c r="H27" s="18">
        <f t="shared" si="0"/>
        <v>32.712125</v>
      </c>
      <c r="I27" s="5"/>
      <c r="J27" s="17">
        <v>998.51520000000005</v>
      </c>
      <c r="K27" s="18">
        <v>32.355200000000004</v>
      </c>
      <c r="L27" s="18">
        <v>37.848500000000001</v>
      </c>
      <c r="M27" s="18">
        <v>39.535800000000002</v>
      </c>
      <c r="N27" s="18">
        <v>11.297599999999999</v>
      </c>
      <c r="O27" s="18">
        <f t="shared" si="1"/>
        <v>33.939437500000004</v>
      </c>
      <c r="P27" s="7"/>
      <c r="Q27" s="10"/>
      <c r="R27" s="11"/>
      <c r="S27" s="11"/>
      <c r="T27" s="26"/>
      <c r="U27" s="28">
        <f t="shared" si="2"/>
        <v>1.0541090909090907</v>
      </c>
    </row>
    <row r="28" spans="1:21" ht="16.5" thickBot="1" x14ac:dyDescent="0.3">
      <c r="B28" s="12"/>
      <c r="C28" s="19">
        <v>641.125</v>
      </c>
      <c r="D28" s="20">
        <v>29.734000000000002</v>
      </c>
      <c r="E28" s="20">
        <v>35.576000000000001</v>
      </c>
      <c r="F28" s="20">
        <v>36.027999999999999</v>
      </c>
      <c r="G28" s="20">
        <v>6.01</v>
      </c>
      <c r="H28" s="20">
        <f t="shared" si="0"/>
        <v>31.250999999999998</v>
      </c>
      <c r="I28" s="5"/>
      <c r="J28" s="19">
        <v>599.77520000000004</v>
      </c>
      <c r="K28" s="20">
        <v>30.6997</v>
      </c>
      <c r="L28" s="20">
        <v>37.2316</v>
      </c>
      <c r="M28" s="20">
        <v>38.521700000000003</v>
      </c>
      <c r="N28" s="20">
        <v>13.9719</v>
      </c>
      <c r="O28" s="20">
        <f t="shared" si="1"/>
        <v>32.493937500000001</v>
      </c>
      <c r="P28" s="7"/>
      <c r="Q28" s="13"/>
      <c r="R28" s="14"/>
      <c r="S28" s="14"/>
      <c r="T28" s="27"/>
      <c r="U28" s="28">
        <f t="shared" si="2"/>
        <v>1.32477537437604</v>
      </c>
    </row>
    <row r="29" spans="1:21" x14ac:dyDescent="0.25">
      <c r="B29" s="6" t="s">
        <v>51</v>
      </c>
      <c r="C29" s="29">
        <v>2397.9130859375</v>
      </c>
      <c r="D29" s="30">
        <v>33.89</v>
      </c>
      <c r="E29" s="30">
        <v>40.25</v>
      </c>
      <c r="F29" s="30">
        <v>39.567999999999998</v>
      </c>
      <c r="G29" s="16">
        <v>3.97</v>
      </c>
      <c r="H29" s="16">
        <f t="shared" si="0"/>
        <v>35.394750000000002</v>
      </c>
      <c r="I29" s="5"/>
      <c r="J29" s="29">
        <v>2453.7887999999998</v>
      </c>
      <c r="K29" s="30">
        <v>34.714700000000001</v>
      </c>
      <c r="L29" s="30">
        <v>41.213200000000001</v>
      </c>
      <c r="M29" s="30">
        <v>40.981999999999999</v>
      </c>
      <c r="N29" s="16">
        <v>6.64</v>
      </c>
      <c r="O29" s="16">
        <f t="shared" si="1"/>
        <v>36.310425000000002</v>
      </c>
      <c r="P29" s="7"/>
      <c r="Q29" s="8">
        <f>bdrate(C29:C32,D29:D32,J29:J32,K29:K32)</f>
        <v>-0.18011840340485197</v>
      </c>
      <c r="R29" s="8">
        <f>bdrate(C29:C32,E29:E32,J29:J32,L29:L32)</f>
        <v>-0.51063417953682222</v>
      </c>
      <c r="S29" s="8">
        <f>bdrate(C29:C32,F29:F32,J29:J32,M29:M32)</f>
        <v>-0.52544142988163234</v>
      </c>
      <c r="T29" s="25">
        <f>bdrate(C29:C32,H29:H32,J29:J32,O29:O32)</f>
        <v>-0.26004891332604119</v>
      </c>
      <c r="U29" s="28">
        <f t="shared" si="2"/>
        <v>0.67254408060453386</v>
      </c>
    </row>
    <row r="30" spans="1:21" x14ac:dyDescent="0.25">
      <c r="B30" s="9"/>
      <c r="C30" s="31">
        <v>1611.7451171875</v>
      </c>
      <c r="D30" s="32">
        <v>32.688000000000002</v>
      </c>
      <c r="E30" s="32">
        <v>39.384</v>
      </c>
      <c r="F30" s="32">
        <v>38.302999999999997</v>
      </c>
      <c r="G30" s="18">
        <v>4.3499999999999996</v>
      </c>
      <c r="H30" s="18">
        <f t="shared" si="0"/>
        <v>34.226875</v>
      </c>
      <c r="I30" s="5"/>
      <c r="J30" s="31">
        <v>1640.396</v>
      </c>
      <c r="K30" s="32">
        <v>33.4422</v>
      </c>
      <c r="L30" s="32">
        <v>40.568300000000001</v>
      </c>
      <c r="M30" s="32">
        <v>40.111699999999999</v>
      </c>
      <c r="N30" s="18">
        <v>7.7157</v>
      </c>
      <c r="O30" s="18">
        <f t="shared" si="1"/>
        <v>35.166649999999997</v>
      </c>
      <c r="P30" s="7"/>
      <c r="Q30" s="10"/>
      <c r="R30" s="11"/>
      <c r="S30" s="11"/>
      <c r="T30" s="26"/>
      <c r="U30" s="28">
        <f t="shared" si="2"/>
        <v>0.77372413793103467</v>
      </c>
    </row>
    <row r="31" spans="1:21" x14ac:dyDescent="0.25">
      <c r="B31" s="9"/>
      <c r="C31" s="31">
        <v>1046.9033203125</v>
      </c>
      <c r="D31" s="32">
        <v>31.359000000000002</v>
      </c>
      <c r="E31" s="32">
        <v>38.335000000000001</v>
      </c>
      <c r="F31" s="32">
        <v>37.005000000000003</v>
      </c>
      <c r="G31" s="18">
        <v>4.84</v>
      </c>
      <c r="H31" s="18">
        <f t="shared" si="0"/>
        <v>32.936750000000004</v>
      </c>
      <c r="I31" s="5"/>
      <c r="J31" s="31">
        <v>1021.044</v>
      </c>
      <c r="K31" s="32">
        <v>31.8614</v>
      </c>
      <c r="L31" s="32">
        <v>39.893900000000002</v>
      </c>
      <c r="M31" s="32">
        <v>39.1203</v>
      </c>
      <c r="N31" s="18">
        <v>9.3308</v>
      </c>
      <c r="O31" s="18">
        <f t="shared" si="1"/>
        <v>33.772824999999997</v>
      </c>
      <c r="P31" s="7"/>
      <c r="Q31" s="10"/>
      <c r="R31" s="11"/>
      <c r="S31" s="11"/>
      <c r="T31" s="26"/>
      <c r="U31" s="28">
        <f t="shared" si="2"/>
        <v>0.92785123966942151</v>
      </c>
    </row>
    <row r="32" spans="1:21" ht="16.5" thickBot="1" x14ac:dyDescent="0.3">
      <c r="B32" s="12"/>
      <c r="C32" s="33">
        <v>821.109375</v>
      </c>
      <c r="D32" s="34">
        <v>30.548999999999999</v>
      </c>
      <c r="E32" s="34">
        <v>37.597000000000001</v>
      </c>
      <c r="F32" s="34">
        <v>36.173999999999999</v>
      </c>
      <c r="G32" s="20">
        <v>4.7699999999999996</v>
      </c>
      <c r="H32" s="20">
        <f t="shared" si="0"/>
        <v>32.133125</v>
      </c>
      <c r="I32" s="5"/>
      <c r="J32" s="33">
        <v>612.05119999999999</v>
      </c>
      <c r="K32" s="34">
        <v>30.118400000000001</v>
      </c>
      <c r="L32" s="34">
        <v>38.914099999999998</v>
      </c>
      <c r="M32" s="34">
        <v>37.7483</v>
      </c>
      <c r="N32" s="20">
        <v>11.317600000000001</v>
      </c>
      <c r="O32" s="20">
        <f t="shared" si="1"/>
        <v>32.171599999999998</v>
      </c>
      <c r="P32" s="7"/>
      <c r="Q32" s="13"/>
      <c r="R32" s="14"/>
      <c r="S32" s="14"/>
      <c r="T32" s="27"/>
      <c r="U32" s="28">
        <f t="shared" si="2"/>
        <v>1.3726624737945496</v>
      </c>
    </row>
    <row r="33" spans="1:21" x14ac:dyDescent="0.25">
      <c r="B33" s="6" t="s">
        <v>52</v>
      </c>
      <c r="C33" s="15">
        <v>2578.4072265625</v>
      </c>
      <c r="D33" s="16">
        <v>33.630000000000003</v>
      </c>
      <c r="E33" s="16">
        <v>39.46</v>
      </c>
      <c r="F33" s="16">
        <v>41.91</v>
      </c>
      <c r="G33" s="16">
        <v>2.64</v>
      </c>
      <c r="H33" s="16">
        <f t="shared" si="0"/>
        <v>35.393750000000004</v>
      </c>
      <c r="I33" s="5"/>
      <c r="J33" s="15">
        <v>2397.6592000000001</v>
      </c>
      <c r="K33" s="16">
        <v>34.0199</v>
      </c>
      <c r="L33" s="16">
        <v>40.378700000000002</v>
      </c>
      <c r="M33" s="16">
        <v>42.816499999999998</v>
      </c>
      <c r="N33" s="16">
        <v>7.2542</v>
      </c>
      <c r="O33" s="16">
        <f t="shared" si="1"/>
        <v>35.914324999999998</v>
      </c>
      <c r="P33" s="7"/>
      <c r="Q33" s="8">
        <f>bdrate(C33:C36,D33:D36,J33:J36,K33:K36)</f>
        <v>-0.33504635991670195</v>
      </c>
      <c r="R33" s="8">
        <f>bdrate(C33:C36,E33:E36,J33:J36,L33:L36)</f>
        <v>-0.57999011416021506</v>
      </c>
      <c r="S33" s="8">
        <f>bdrate(C33:C36,F33:F36,J33:J36,M33:M36)</f>
        <v>-0.58936839607099256</v>
      </c>
      <c r="T33" s="25">
        <f>bdrate(C33:C36,H33:H36,J33:J36,O33:O36)</f>
        <v>-0.38415520223213639</v>
      </c>
      <c r="U33" s="28">
        <f t="shared" si="2"/>
        <v>1.7478030303030303</v>
      </c>
    </row>
    <row r="34" spans="1:21" x14ac:dyDescent="0.25">
      <c r="B34" s="9"/>
      <c r="C34" s="17">
        <v>1727.2724609375</v>
      </c>
      <c r="D34" s="18">
        <v>32.768000000000001</v>
      </c>
      <c r="E34" s="18">
        <v>38.835000000000001</v>
      </c>
      <c r="F34" s="18">
        <v>41.408999999999999</v>
      </c>
      <c r="G34" s="18">
        <v>3.28</v>
      </c>
      <c r="H34" s="18">
        <f t="shared" si="0"/>
        <v>34.606500000000004</v>
      </c>
      <c r="I34" s="5"/>
      <c r="J34" s="17">
        <v>1608.3232</v>
      </c>
      <c r="K34" s="18">
        <v>33.408900000000003</v>
      </c>
      <c r="L34" s="18">
        <v>39.942799999999998</v>
      </c>
      <c r="M34" s="18">
        <v>42.4283</v>
      </c>
      <c r="N34" s="18">
        <v>8.6877999999999993</v>
      </c>
      <c r="O34" s="18">
        <f t="shared" si="1"/>
        <v>35.3530625</v>
      </c>
      <c r="P34" s="7"/>
      <c r="Q34" s="10"/>
      <c r="R34" s="11"/>
      <c r="S34" s="11"/>
      <c r="T34" s="26"/>
      <c r="U34" s="28">
        <f t="shared" si="2"/>
        <v>1.6487195121951221</v>
      </c>
    </row>
    <row r="35" spans="1:21" x14ac:dyDescent="0.25">
      <c r="B35" s="9"/>
      <c r="C35" s="17">
        <v>1083.28515625</v>
      </c>
      <c r="D35" s="18">
        <v>31.574000000000002</v>
      </c>
      <c r="E35" s="18">
        <v>38.116</v>
      </c>
      <c r="F35" s="18">
        <v>40.805999999999997</v>
      </c>
      <c r="G35" s="18">
        <v>4.13</v>
      </c>
      <c r="H35" s="18">
        <f t="shared" si="0"/>
        <v>33.545749999999998</v>
      </c>
      <c r="I35" s="5"/>
      <c r="J35" s="17">
        <v>989.25760000000002</v>
      </c>
      <c r="K35" s="18">
        <v>32.438699999999997</v>
      </c>
      <c r="L35" s="18">
        <v>39.254899999999999</v>
      </c>
      <c r="M35" s="18">
        <v>41.794400000000003</v>
      </c>
      <c r="N35" s="18">
        <v>10.5664</v>
      </c>
      <c r="O35" s="18">
        <f t="shared" si="1"/>
        <v>34.460187499999996</v>
      </c>
      <c r="P35" s="7"/>
      <c r="Q35" s="10"/>
      <c r="R35" s="11"/>
      <c r="S35" s="11"/>
      <c r="T35" s="26"/>
      <c r="U35" s="28">
        <f t="shared" si="2"/>
        <v>1.558450363196126</v>
      </c>
    </row>
    <row r="36" spans="1:21" ht="16.5" thickBot="1" x14ac:dyDescent="0.3">
      <c r="B36" s="12"/>
      <c r="C36" s="19">
        <v>670.1943359375</v>
      </c>
      <c r="D36" s="20">
        <v>30.178000000000001</v>
      </c>
      <c r="E36" s="20">
        <v>37.412999999999997</v>
      </c>
      <c r="F36" s="20">
        <v>40.161000000000001</v>
      </c>
      <c r="G36" s="20">
        <v>4.67</v>
      </c>
      <c r="H36" s="20">
        <f t="shared" si="0"/>
        <v>32.330249999999999</v>
      </c>
      <c r="I36" s="5"/>
      <c r="J36" s="19">
        <v>607.54480000000001</v>
      </c>
      <c r="K36" s="20">
        <v>31.101500000000001</v>
      </c>
      <c r="L36" s="20">
        <v>38.707000000000001</v>
      </c>
      <c r="M36" s="20">
        <v>41.2819</v>
      </c>
      <c r="N36" s="20">
        <v>13.8249</v>
      </c>
      <c r="O36" s="20">
        <f t="shared" si="1"/>
        <v>33.324737499999998</v>
      </c>
      <c r="P36" s="7"/>
      <c r="Q36" s="13"/>
      <c r="R36" s="14"/>
      <c r="S36" s="14"/>
      <c r="T36" s="27"/>
      <c r="U36" s="28">
        <f t="shared" si="2"/>
        <v>1.9603640256959314</v>
      </c>
    </row>
    <row r="37" spans="1:21" x14ac:dyDescent="0.25">
      <c r="A37" s="6" t="s">
        <v>39</v>
      </c>
      <c r="B37" s="6" t="s">
        <v>53</v>
      </c>
      <c r="C37" s="15">
        <v>1241.58984375</v>
      </c>
      <c r="D37" s="16">
        <v>35.973999999999997</v>
      </c>
      <c r="E37" s="16">
        <v>40.192999999999998</v>
      </c>
      <c r="F37" s="16">
        <v>40.046999999999997</v>
      </c>
      <c r="G37" s="16">
        <v>18.059999999999999</v>
      </c>
      <c r="H37" s="16">
        <f t="shared" si="0"/>
        <v>37.010499999999993</v>
      </c>
      <c r="I37" s="5"/>
      <c r="J37" s="15">
        <v>1235.9784</v>
      </c>
      <c r="K37" s="16">
        <v>36.6265</v>
      </c>
      <c r="L37" s="16">
        <v>40.979300000000002</v>
      </c>
      <c r="M37" s="16">
        <v>40.976300000000002</v>
      </c>
      <c r="N37" s="16">
        <v>22.042899999999999</v>
      </c>
      <c r="O37" s="16">
        <f t="shared" si="1"/>
        <v>37.714325000000002</v>
      </c>
      <c r="P37" s="7"/>
      <c r="Q37" s="8">
        <f>bdrate(C37:C40,D37:D40,J37:J40,K37:K40)</f>
        <v>-0.11870259553290385</v>
      </c>
      <c r="R37" s="8">
        <f>bdrate(C37:C40,E37:E40,J37:J40,L37:L40)</f>
        <v>-0.27698293468370683</v>
      </c>
      <c r="S37" s="8">
        <f>bdrate(C37:C40,F37:F40,J37:J40,M37:M40)</f>
        <v>-0.29382965100158198</v>
      </c>
      <c r="T37" s="25">
        <f>bdrate(C37:C40,H37:H40,J37:J40,O37:O40)</f>
        <v>-0.16108626485291222</v>
      </c>
      <c r="U37" s="28">
        <f t="shared" si="2"/>
        <v>0.22053709856035444</v>
      </c>
    </row>
    <row r="38" spans="1:21" x14ac:dyDescent="0.25">
      <c r="A38" s="9" t="s">
        <v>40</v>
      </c>
      <c r="B38" s="9"/>
      <c r="C38" s="17">
        <v>852.6416015625</v>
      </c>
      <c r="D38" s="18">
        <v>34.369</v>
      </c>
      <c r="E38" s="18">
        <v>38.924999999999997</v>
      </c>
      <c r="F38" s="18">
        <v>38.564999999999998</v>
      </c>
      <c r="G38" s="18">
        <v>20.73</v>
      </c>
      <c r="H38" s="18">
        <f t="shared" si="0"/>
        <v>35.463000000000001</v>
      </c>
      <c r="I38" s="5"/>
      <c r="J38" s="17">
        <v>823.58640000000003</v>
      </c>
      <c r="K38" s="18">
        <v>34.836100000000002</v>
      </c>
      <c r="L38" s="18">
        <v>39.676299999999998</v>
      </c>
      <c r="M38" s="18">
        <v>39.477899999999998</v>
      </c>
      <c r="N38" s="18">
        <v>25.02</v>
      </c>
      <c r="O38" s="18">
        <f t="shared" si="1"/>
        <v>36.021349999999998</v>
      </c>
      <c r="P38" s="7"/>
      <c r="Q38" s="10"/>
      <c r="R38" s="11"/>
      <c r="S38" s="11"/>
      <c r="T38" s="26"/>
      <c r="U38" s="28">
        <f t="shared" si="2"/>
        <v>0.20694645441389287</v>
      </c>
    </row>
    <row r="39" spans="1:21" x14ac:dyDescent="0.25">
      <c r="B39" s="9"/>
      <c r="C39" s="17">
        <v>527.6826171875</v>
      </c>
      <c r="D39" s="18">
        <v>32.622</v>
      </c>
      <c r="E39" s="18">
        <v>37.362000000000002</v>
      </c>
      <c r="F39" s="18">
        <v>36.837000000000003</v>
      </c>
      <c r="G39" s="18">
        <v>20.88</v>
      </c>
      <c r="H39" s="18">
        <f t="shared" si="0"/>
        <v>33.741374999999998</v>
      </c>
      <c r="I39" s="5"/>
      <c r="J39" s="17">
        <v>516.36400000000003</v>
      </c>
      <c r="K39" s="18">
        <v>32.985100000000003</v>
      </c>
      <c r="L39" s="18">
        <v>38.369</v>
      </c>
      <c r="M39" s="18">
        <v>38.062100000000001</v>
      </c>
      <c r="N39" s="18">
        <v>30.209700000000002</v>
      </c>
      <c r="O39" s="18">
        <f t="shared" si="1"/>
        <v>34.2927125</v>
      </c>
      <c r="P39" s="7"/>
      <c r="Q39" s="10"/>
      <c r="R39" s="11"/>
      <c r="S39" s="11"/>
      <c r="T39" s="26"/>
      <c r="U39" s="28">
        <f t="shared" si="2"/>
        <v>0.44682471264367829</v>
      </c>
    </row>
    <row r="40" spans="1:21" ht="16.5" thickBot="1" x14ac:dyDescent="0.3">
      <c r="B40" s="12"/>
      <c r="C40" s="19">
        <v>314.4765625</v>
      </c>
      <c r="D40" s="20">
        <v>30.888999999999999</v>
      </c>
      <c r="E40" s="20">
        <v>35.753</v>
      </c>
      <c r="F40" s="20">
        <v>35.082000000000001</v>
      </c>
      <c r="G40" s="20">
        <v>23.11</v>
      </c>
      <c r="H40" s="20">
        <f t="shared" si="0"/>
        <v>32.021124999999998</v>
      </c>
      <c r="I40" s="5"/>
      <c r="J40" s="19">
        <v>309.87599999999998</v>
      </c>
      <c r="K40" s="20">
        <v>31.052800000000001</v>
      </c>
      <c r="L40" s="20">
        <v>37.100999999999999</v>
      </c>
      <c r="M40" s="20">
        <v>36.594299999999997</v>
      </c>
      <c r="N40" s="20">
        <v>36.927599999999998</v>
      </c>
      <c r="O40" s="20">
        <f t="shared" si="1"/>
        <v>32.501512499999997</v>
      </c>
      <c r="P40" s="7"/>
      <c r="Q40" s="13"/>
      <c r="R40" s="14"/>
      <c r="S40" s="14"/>
      <c r="T40" s="27"/>
      <c r="U40" s="28">
        <f t="shared" si="2"/>
        <v>0.59790566854175675</v>
      </c>
    </row>
    <row r="41" spans="1:21" x14ac:dyDescent="0.25">
      <c r="B41" s="6" t="s">
        <v>54</v>
      </c>
      <c r="C41" s="15">
        <v>1289.328125</v>
      </c>
      <c r="D41" s="16">
        <v>35.122</v>
      </c>
      <c r="E41" s="16">
        <v>40.493000000000002</v>
      </c>
      <c r="F41" s="16">
        <v>41.325000000000003</v>
      </c>
      <c r="G41" s="16">
        <v>15.32</v>
      </c>
      <c r="H41" s="16">
        <f t="shared" si="0"/>
        <v>36.568750000000001</v>
      </c>
      <c r="I41" s="5"/>
      <c r="J41" s="15">
        <v>1258.9960000000001</v>
      </c>
      <c r="K41" s="16">
        <v>36.261099999999999</v>
      </c>
      <c r="L41" s="16">
        <v>41.755000000000003</v>
      </c>
      <c r="M41" s="16">
        <v>42.766800000000003</v>
      </c>
      <c r="N41" s="16">
        <v>24.6386</v>
      </c>
      <c r="O41" s="16">
        <f t="shared" si="1"/>
        <v>37.761049999999997</v>
      </c>
      <c r="P41" s="7"/>
      <c r="Q41" s="8">
        <f>bdrate(C41:C44,D41:D44,J41:J44,K41:K44)</f>
        <v>-0.29240473235298137</v>
      </c>
      <c r="R41" s="8">
        <f>bdrate(C41:C44,E41:E44,J41:J44,L41:L44)</f>
        <v>-0.49078916697576769</v>
      </c>
      <c r="S41" s="8">
        <f>bdrate(C41:C44,F41:F44,J41:J44,M41:M44)</f>
        <v>-0.4863502748088161</v>
      </c>
      <c r="T41" s="25">
        <f>bdrate(C41:C44,H41:H44,J41:J44,O41:O44)</f>
        <v>-0.33615218449208173</v>
      </c>
      <c r="U41" s="28">
        <f t="shared" si="2"/>
        <v>0.60826370757180159</v>
      </c>
    </row>
    <row r="42" spans="1:21" x14ac:dyDescent="0.25">
      <c r="B42" s="9"/>
      <c r="C42" s="17">
        <v>859.1025390625</v>
      </c>
      <c r="D42" s="18">
        <v>33.54</v>
      </c>
      <c r="E42" s="18">
        <v>39.301000000000002</v>
      </c>
      <c r="F42" s="18">
        <v>39.987000000000002</v>
      </c>
      <c r="G42" s="18">
        <v>16.79</v>
      </c>
      <c r="H42" s="18">
        <f t="shared" si="0"/>
        <v>35.066000000000003</v>
      </c>
      <c r="I42" s="5"/>
      <c r="J42" s="17">
        <v>836.16</v>
      </c>
      <c r="K42" s="18">
        <v>34.773400000000002</v>
      </c>
      <c r="L42" s="18">
        <v>40.794499999999999</v>
      </c>
      <c r="M42" s="18">
        <v>41.660299999999999</v>
      </c>
      <c r="N42" s="18">
        <v>28.724599999999999</v>
      </c>
      <c r="O42" s="18">
        <f t="shared" si="1"/>
        <v>36.386899999999997</v>
      </c>
      <c r="P42" s="7"/>
      <c r="Q42" s="10"/>
      <c r="R42" s="11"/>
      <c r="S42" s="11"/>
      <c r="T42" s="26"/>
      <c r="U42" s="28">
        <f t="shared" si="2"/>
        <v>0.71081596188207263</v>
      </c>
    </row>
    <row r="43" spans="1:21" x14ac:dyDescent="0.25">
      <c r="B43" s="9"/>
      <c r="C43" s="17">
        <v>535.4921875</v>
      </c>
      <c r="D43" s="18">
        <v>31.684000000000001</v>
      </c>
      <c r="E43" s="18">
        <v>37.915999999999997</v>
      </c>
      <c r="F43" s="18">
        <v>38.447000000000003</v>
      </c>
      <c r="G43" s="18">
        <v>18.170000000000002</v>
      </c>
      <c r="H43" s="18">
        <f t="shared" si="0"/>
        <v>33.308374999999998</v>
      </c>
      <c r="I43" s="5"/>
      <c r="J43" s="17">
        <v>520.70960000000002</v>
      </c>
      <c r="K43" s="18">
        <v>32.941200000000002</v>
      </c>
      <c r="L43" s="18">
        <v>39.743299999999998</v>
      </c>
      <c r="M43" s="18">
        <v>40.451599999999999</v>
      </c>
      <c r="N43" s="18">
        <v>33.738199999999999</v>
      </c>
      <c r="O43" s="18">
        <f t="shared" si="1"/>
        <v>34.730262500000002</v>
      </c>
      <c r="P43" s="7"/>
      <c r="Q43" s="10"/>
      <c r="R43" s="11"/>
      <c r="S43" s="11"/>
      <c r="T43" s="26"/>
      <c r="U43" s="28">
        <f t="shared" si="2"/>
        <v>0.85680792515134818</v>
      </c>
    </row>
    <row r="44" spans="1:21" ht="16.5" thickBot="1" x14ac:dyDescent="0.3">
      <c r="B44" s="12"/>
      <c r="C44" s="19">
        <v>330.7978515625</v>
      </c>
      <c r="D44" s="20">
        <v>29.777000000000001</v>
      </c>
      <c r="E44" s="20">
        <v>36.530999999999999</v>
      </c>
      <c r="F44" s="20">
        <v>36.956000000000003</v>
      </c>
      <c r="G44" s="20">
        <v>19.36</v>
      </c>
      <c r="H44" s="20">
        <f t="shared" si="0"/>
        <v>31.518625</v>
      </c>
      <c r="I44" s="5"/>
      <c r="J44" s="19">
        <v>312.04640000000001</v>
      </c>
      <c r="K44" s="20">
        <v>30.8996</v>
      </c>
      <c r="L44" s="20">
        <v>38.664999999999999</v>
      </c>
      <c r="M44" s="20">
        <v>39.289099999999998</v>
      </c>
      <c r="N44" s="20">
        <v>41.177700000000002</v>
      </c>
      <c r="O44" s="20">
        <f t="shared" si="1"/>
        <v>32.918962499999999</v>
      </c>
      <c r="P44" s="7"/>
      <c r="Q44" s="13"/>
      <c r="R44" s="14"/>
      <c r="S44" s="14"/>
      <c r="T44" s="27"/>
      <c r="U44" s="28">
        <f t="shared" si="2"/>
        <v>1.1269473140495869</v>
      </c>
    </row>
    <row r="45" spans="1:21" x14ac:dyDescent="0.25">
      <c r="B45" s="6" t="s">
        <v>55</v>
      </c>
      <c r="C45" s="15">
        <v>1384.5625</v>
      </c>
      <c r="D45" s="16">
        <v>30.640999999999998</v>
      </c>
      <c r="E45" s="16">
        <v>36.945</v>
      </c>
      <c r="F45" s="16">
        <v>37.695999999999998</v>
      </c>
      <c r="G45" s="16">
        <v>11.26</v>
      </c>
      <c r="H45" s="16">
        <f t="shared" si="0"/>
        <v>32.310874999999996</v>
      </c>
      <c r="I45" s="5"/>
      <c r="J45" s="15">
        <v>1240.2936</v>
      </c>
      <c r="K45" s="16">
        <v>31.1479</v>
      </c>
      <c r="L45" s="16">
        <v>37.735199999999999</v>
      </c>
      <c r="M45" s="16">
        <v>38.575200000000002</v>
      </c>
      <c r="N45" s="16">
        <v>20.989899999999999</v>
      </c>
      <c r="O45" s="16">
        <f t="shared" si="1"/>
        <v>32.899725000000004</v>
      </c>
      <c r="P45" s="7"/>
      <c r="Q45" s="8">
        <f>bdrate(C45:C48,D45:D48,J45:J48,K45:K48)</f>
        <v>-0.26149694204433038</v>
      </c>
      <c r="R45" s="8">
        <f>bdrate(C45:C48,E45:E48,J45:J48,L45:L48)</f>
        <v>-0.4496774930052585</v>
      </c>
      <c r="S45" s="8">
        <f>bdrate(C45:C48,F45:F48,J45:J48,M45:M48)</f>
        <v>-0.45248082766016273</v>
      </c>
      <c r="T45" s="25">
        <f>bdrate(C45:C48,H45:H48,J45:J48,O45:O48)</f>
        <v>-0.30275028709597174</v>
      </c>
      <c r="U45" s="28">
        <f t="shared" si="2"/>
        <v>0.86411190053285958</v>
      </c>
    </row>
    <row r="46" spans="1:21" x14ac:dyDescent="0.25">
      <c r="B46" s="9"/>
      <c r="C46" s="17">
        <v>960.390625</v>
      </c>
      <c r="D46" s="18">
        <v>29.265000000000001</v>
      </c>
      <c r="E46" s="18">
        <v>36.042999999999999</v>
      </c>
      <c r="F46" s="18">
        <v>36.789000000000001</v>
      </c>
      <c r="G46" s="18">
        <v>11.67</v>
      </c>
      <c r="H46" s="18">
        <f t="shared" si="0"/>
        <v>31.052750000000003</v>
      </c>
      <c r="I46" s="5"/>
      <c r="J46" s="17">
        <v>823.4896</v>
      </c>
      <c r="K46" s="18">
        <v>29.7879</v>
      </c>
      <c r="L46" s="18">
        <v>36.847499999999997</v>
      </c>
      <c r="M46" s="18">
        <v>37.644399999999997</v>
      </c>
      <c r="N46" s="18">
        <v>24.5411</v>
      </c>
      <c r="O46" s="18">
        <f t="shared" si="1"/>
        <v>31.652412499999997</v>
      </c>
      <c r="P46" s="7"/>
      <c r="Q46" s="10"/>
      <c r="R46" s="11"/>
      <c r="S46" s="11"/>
      <c r="T46" s="26"/>
      <c r="U46" s="28">
        <f t="shared" si="2"/>
        <v>1.1029220222793488</v>
      </c>
    </row>
    <row r="47" spans="1:21" x14ac:dyDescent="0.25">
      <c r="B47" s="9"/>
      <c r="C47" s="17">
        <v>597.5751953125</v>
      </c>
      <c r="D47" s="18">
        <v>27.797999999999998</v>
      </c>
      <c r="E47" s="18">
        <v>34.901000000000003</v>
      </c>
      <c r="F47" s="18">
        <v>35.695</v>
      </c>
      <c r="G47" s="18">
        <v>12.52</v>
      </c>
      <c r="H47" s="18">
        <f t="shared" si="0"/>
        <v>29.672999999999998</v>
      </c>
      <c r="I47" s="5"/>
      <c r="J47" s="17">
        <v>514.72720000000004</v>
      </c>
      <c r="K47" s="18">
        <v>28.288399999999999</v>
      </c>
      <c r="L47" s="18">
        <v>35.981099999999998</v>
      </c>
      <c r="M47" s="18">
        <v>36.7378</v>
      </c>
      <c r="N47" s="18">
        <v>29.514199999999999</v>
      </c>
      <c r="O47" s="18">
        <f t="shared" si="1"/>
        <v>30.306162499999999</v>
      </c>
      <c r="P47" s="7"/>
      <c r="Q47" s="10"/>
      <c r="R47" s="11"/>
      <c r="S47" s="11"/>
      <c r="T47" s="26"/>
      <c r="U47" s="28">
        <f t="shared" si="2"/>
        <v>1.3573642172523961</v>
      </c>
    </row>
    <row r="48" spans="1:21" ht="16.5" thickBot="1" x14ac:dyDescent="0.3">
      <c r="B48" s="12"/>
      <c r="C48" s="19">
        <v>362.5087890625</v>
      </c>
      <c r="D48" s="20">
        <v>26.428000000000001</v>
      </c>
      <c r="E48" s="20">
        <v>33.780999999999999</v>
      </c>
      <c r="F48" s="20">
        <v>34.567999999999998</v>
      </c>
      <c r="G48" s="20">
        <v>13.58</v>
      </c>
      <c r="H48" s="20">
        <f t="shared" si="0"/>
        <v>28.364625000000004</v>
      </c>
      <c r="I48" s="5"/>
      <c r="J48" s="19">
        <v>308.76240000000001</v>
      </c>
      <c r="K48" s="20">
        <v>26.753900000000002</v>
      </c>
      <c r="L48" s="20">
        <v>35.129300000000001</v>
      </c>
      <c r="M48" s="20">
        <v>35.872399999999999</v>
      </c>
      <c r="N48" s="20">
        <v>36.756599999999999</v>
      </c>
      <c r="O48" s="20">
        <f t="shared" si="1"/>
        <v>28.940637500000001</v>
      </c>
      <c r="P48" s="7"/>
      <c r="Q48" s="13"/>
      <c r="R48" s="14"/>
      <c r="S48" s="14"/>
      <c r="T48" s="27"/>
      <c r="U48" s="28">
        <f t="shared" si="2"/>
        <v>1.7066715758468336</v>
      </c>
    </row>
    <row r="49" spans="1:21" x14ac:dyDescent="0.25">
      <c r="B49" s="6" t="s">
        <v>56</v>
      </c>
      <c r="C49" s="15">
        <v>1272.0654296875</v>
      </c>
      <c r="D49" s="16">
        <v>32.692999999999998</v>
      </c>
      <c r="E49" s="16">
        <v>37.213000000000001</v>
      </c>
      <c r="F49" s="16">
        <v>38.935000000000002</v>
      </c>
      <c r="G49" s="16">
        <v>12.45</v>
      </c>
      <c r="H49" s="16">
        <f t="shared" si="0"/>
        <v>34.038249999999998</v>
      </c>
      <c r="I49" s="5"/>
      <c r="J49" s="15">
        <v>1225.7464</v>
      </c>
      <c r="K49" s="16">
        <v>33.2361</v>
      </c>
      <c r="L49" s="16">
        <v>37.906100000000002</v>
      </c>
      <c r="M49" s="16">
        <v>39.520899999999997</v>
      </c>
      <c r="N49" s="16">
        <v>15.6723</v>
      </c>
      <c r="O49" s="16">
        <f t="shared" si="1"/>
        <v>34.605450000000005</v>
      </c>
      <c r="P49" s="7"/>
      <c r="Q49" s="8">
        <f>bdrate(C49:C52,D49:D52,J49:J52,K49:K52)</f>
        <v>-0.18668383319296389</v>
      </c>
      <c r="R49" s="8">
        <f>bdrate(C49:C52,E49:E52,J49:J52,L49:L52)</f>
        <v>-0.41049527402011987</v>
      </c>
      <c r="S49" s="8">
        <f>bdrate(C49:C52,F49:F52,J49:J52,M49:M52)</f>
        <v>-0.40247815104445839</v>
      </c>
      <c r="T49" s="25">
        <f>bdrate(C49:C52,H49:H52,J49:J52,O49:O52)</f>
        <v>-0.23502787475573972</v>
      </c>
      <c r="U49" s="28">
        <f t="shared" si="2"/>
        <v>0.25881927710843378</v>
      </c>
    </row>
    <row r="50" spans="1:21" x14ac:dyDescent="0.25">
      <c r="B50" s="9"/>
      <c r="C50" s="17">
        <v>919.0859375</v>
      </c>
      <c r="D50" s="18">
        <v>31.358000000000001</v>
      </c>
      <c r="E50" s="18">
        <v>36.292999999999999</v>
      </c>
      <c r="F50" s="18">
        <v>37.991999999999997</v>
      </c>
      <c r="G50" s="18">
        <v>13.28</v>
      </c>
      <c r="H50" s="18">
        <f t="shared" si="0"/>
        <v>32.804124999999999</v>
      </c>
      <c r="I50" s="5"/>
      <c r="J50" s="17">
        <v>821.15279999999996</v>
      </c>
      <c r="K50" s="18">
        <v>31.720199999999998</v>
      </c>
      <c r="L50" s="18">
        <v>37.019199999999998</v>
      </c>
      <c r="M50" s="18">
        <v>38.670900000000003</v>
      </c>
      <c r="N50" s="18">
        <v>18.040800000000001</v>
      </c>
      <c r="O50" s="18">
        <f t="shared" si="1"/>
        <v>33.251412500000001</v>
      </c>
      <c r="P50" s="7"/>
      <c r="Q50" s="10"/>
      <c r="R50" s="11"/>
      <c r="S50" s="11"/>
      <c r="T50" s="26"/>
      <c r="U50" s="28">
        <f t="shared" si="2"/>
        <v>0.35849397590361459</v>
      </c>
    </row>
    <row r="51" spans="1:21" x14ac:dyDescent="0.25">
      <c r="B51" s="9"/>
      <c r="C51" s="17">
        <v>607.20703125</v>
      </c>
      <c r="D51" s="18">
        <v>29.888000000000002</v>
      </c>
      <c r="E51" s="18">
        <v>35.213000000000001</v>
      </c>
      <c r="F51" s="18">
        <v>36.845999999999997</v>
      </c>
      <c r="G51" s="18">
        <v>13.68</v>
      </c>
      <c r="H51" s="18">
        <f t="shared" si="0"/>
        <v>31.423375</v>
      </c>
      <c r="I51" s="5"/>
      <c r="J51" s="17">
        <v>516.572</v>
      </c>
      <c r="K51" s="18">
        <v>30.0809</v>
      </c>
      <c r="L51" s="18">
        <v>36.208399999999997</v>
      </c>
      <c r="M51" s="18">
        <v>37.883499999999998</v>
      </c>
      <c r="N51" s="18">
        <v>21.110399999999998</v>
      </c>
      <c r="O51" s="18">
        <f t="shared" si="1"/>
        <v>31.822162500000001</v>
      </c>
      <c r="P51" s="7"/>
      <c r="Q51" s="10"/>
      <c r="R51" s="11"/>
      <c r="S51" s="11"/>
      <c r="T51" s="26"/>
      <c r="U51" s="28">
        <f t="shared" si="2"/>
        <v>0.54315789473684206</v>
      </c>
    </row>
    <row r="52" spans="1:21" ht="16.5" thickBot="1" x14ac:dyDescent="0.3">
      <c r="B52" s="12"/>
      <c r="C52" s="19">
        <v>362.2685546875</v>
      </c>
      <c r="D52" s="20">
        <v>28.411000000000001</v>
      </c>
      <c r="E52" s="20">
        <v>34.052</v>
      </c>
      <c r="F52" s="20">
        <v>35.630000000000003</v>
      </c>
      <c r="G52" s="20">
        <v>14.97</v>
      </c>
      <c r="H52" s="20">
        <f t="shared" si="0"/>
        <v>30.0185</v>
      </c>
      <c r="I52" s="5"/>
      <c r="J52" s="19">
        <v>309.84960000000001</v>
      </c>
      <c r="K52" s="20">
        <v>28.465900000000001</v>
      </c>
      <c r="L52" s="20">
        <v>35.297600000000003</v>
      </c>
      <c r="M52" s="20">
        <v>36.959200000000003</v>
      </c>
      <c r="N52" s="20">
        <v>25.882100000000001</v>
      </c>
      <c r="O52" s="20">
        <f t="shared" si="1"/>
        <v>30.381525000000003</v>
      </c>
      <c r="P52" s="7"/>
      <c r="Q52" s="13"/>
      <c r="R52" s="14"/>
      <c r="S52" s="14"/>
      <c r="T52" s="27"/>
      <c r="U52" s="28">
        <f t="shared" si="2"/>
        <v>0.72893119572478293</v>
      </c>
    </row>
    <row r="53" spans="1:21" x14ac:dyDescent="0.25">
      <c r="A53" s="6" t="s">
        <v>41</v>
      </c>
      <c r="B53" s="6" t="s">
        <v>57</v>
      </c>
      <c r="C53" s="15">
        <v>601.890625</v>
      </c>
      <c r="D53" s="16">
        <v>34.378</v>
      </c>
      <c r="E53" s="16">
        <v>40.383000000000003</v>
      </c>
      <c r="F53" s="16">
        <v>38.476999999999997</v>
      </c>
      <c r="G53" s="16">
        <v>52.15</v>
      </c>
      <c r="H53" s="16">
        <f t="shared" si="0"/>
        <v>35.640999999999998</v>
      </c>
      <c r="I53" s="5"/>
      <c r="J53" s="15">
        <v>608.52639999999997</v>
      </c>
      <c r="K53" s="16">
        <v>35.329099999999997</v>
      </c>
      <c r="L53" s="16">
        <v>40.997199999999999</v>
      </c>
      <c r="M53" s="16">
        <v>39.428600000000003</v>
      </c>
      <c r="N53" s="16">
        <v>69.676699999999997</v>
      </c>
      <c r="O53" s="16">
        <f t="shared" si="1"/>
        <v>36.550049999999999</v>
      </c>
      <c r="P53" s="7"/>
      <c r="Q53" s="8">
        <f>bdrate(C53:C56,D53:D56,J53:J56,K53:K56)</f>
        <v>-0.13394929617845708</v>
      </c>
      <c r="R53" s="8">
        <f>bdrate(C53:C56,E53:E56,J53:J56,L53:L56)</f>
        <v>-0.28985269922313117</v>
      </c>
      <c r="S53" s="8">
        <f>bdrate(C53:C56,F53:F56,J53:J56,M53:M56)</f>
        <v>-0.35573448588241585</v>
      </c>
      <c r="T53" s="25">
        <f>bdrate(C53:C56,H53:H56,J53:J56,O53:O56)</f>
        <v>-0.18089419142013563</v>
      </c>
      <c r="U53" s="28">
        <f t="shared" si="2"/>
        <v>0.33608245445829338</v>
      </c>
    </row>
    <row r="54" spans="1:21" x14ac:dyDescent="0.25">
      <c r="A54" s="9" t="s">
        <v>42</v>
      </c>
      <c r="B54" s="9"/>
      <c r="C54" s="17">
        <v>421.9658203125</v>
      </c>
      <c r="D54" s="18">
        <v>32.825000000000003</v>
      </c>
      <c r="E54" s="18">
        <v>39.195</v>
      </c>
      <c r="F54" s="18">
        <v>37.097999999999999</v>
      </c>
      <c r="G54" s="18">
        <v>57.33</v>
      </c>
      <c r="H54" s="18">
        <f t="shared" si="0"/>
        <v>34.155374999999999</v>
      </c>
      <c r="I54" s="5"/>
      <c r="J54" s="17">
        <v>409.15199999999999</v>
      </c>
      <c r="K54" s="18">
        <v>33.481900000000003</v>
      </c>
      <c r="L54" s="18">
        <v>39.850299999999997</v>
      </c>
      <c r="M54" s="18">
        <v>38.150199999999998</v>
      </c>
      <c r="N54" s="18">
        <v>80.528300000000002</v>
      </c>
      <c r="O54" s="18">
        <f t="shared" si="1"/>
        <v>34.861487500000003</v>
      </c>
      <c r="P54" s="7"/>
      <c r="Q54" s="10"/>
      <c r="R54" s="11"/>
      <c r="S54" s="11"/>
      <c r="T54" s="26"/>
      <c r="U54" s="28">
        <f t="shared" si="2"/>
        <v>0.40464503750218045</v>
      </c>
    </row>
    <row r="55" spans="1:21" x14ac:dyDescent="0.25">
      <c r="B55" s="9"/>
      <c r="C55" s="17">
        <v>269.41796875</v>
      </c>
      <c r="D55" s="18">
        <v>31.100999999999999</v>
      </c>
      <c r="E55" s="18">
        <v>37.796999999999997</v>
      </c>
      <c r="F55" s="18">
        <v>35.573</v>
      </c>
      <c r="G55" s="18">
        <v>59.65</v>
      </c>
      <c r="H55" s="18">
        <f t="shared" si="0"/>
        <v>32.497</v>
      </c>
      <c r="I55" s="5"/>
      <c r="J55" s="17">
        <v>254.82560000000001</v>
      </c>
      <c r="K55" s="18">
        <v>31.450600000000001</v>
      </c>
      <c r="L55" s="18">
        <v>38.657299999999999</v>
      </c>
      <c r="M55" s="18">
        <v>36.839199999999998</v>
      </c>
      <c r="N55" s="18">
        <v>95.1113</v>
      </c>
      <c r="O55" s="18">
        <f t="shared" si="1"/>
        <v>33.025012499999995</v>
      </c>
      <c r="P55" s="7"/>
      <c r="Q55" s="10"/>
      <c r="R55" s="11"/>
      <c r="S55" s="11"/>
      <c r="T55" s="26"/>
      <c r="U55" s="28">
        <f t="shared" si="2"/>
        <v>0.59448952221290863</v>
      </c>
    </row>
    <row r="56" spans="1:21" ht="16.5" thickBot="1" x14ac:dyDescent="0.3">
      <c r="B56" s="12"/>
      <c r="C56" s="19">
        <v>134.1923828125</v>
      </c>
      <c r="D56" s="20">
        <v>28.722999999999999</v>
      </c>
      <c r="E56" s="20">
        <v>35.731999999999999</v>
      </c>
      <c r="F56" s="20">
        <v>33.323999999999998</v>
      </c>
      <c r="G56" s="20">
        <v>67.58</v>
      </c>
      <c r="H56" s="20">
        <f t="shared" si="0"/>
        <v>30.174250000000001</v>
      </c>
      <c r="I56" s="5"/>
      <c r="J56" s="19">
        <v>123.46559999999999</v>
      </c>
      <c r="K56" s="20">
        <v>28.6279</v>
      </c>
      <c r="L56" s="20">
        <v>37.125999999999998</v>
      </c>
      <c r="M56" s="20">
        <v>35.010399999999997</v>
      </c>
      <c r="N56" s="20">
        <v>127.19410000000001</v>
      </c>
      <c r="O56" s="20">
        <f t="shared" si="1"/>
        <v>30.487975000000002</v>
      </c>
      <c r="P56" s="7"/>
      <c r="Q56" s="13"/>
      <c r="R56" s="14"/>
      <c r="S56" s="14"/>
      <c r="T56" s="27"/>
      <c r="U56" s="28">
        <f t="shared" si="2"/>
        <v>0.88212636874815042</v>
      </c>
    </row>
    <row r="57" spans="1:21" x14ac:dyDescent="0.25">
      <c r="B57" s="6" t="s">
        <v>58</v>
      </c>
      <c r="C57" s="15">
        <v>691.6796875</v>
      </c>
      <c r="D57" s="16">
        <v>34.133000000000003</v>
      </c>
      <c r="E57" s="16">
        <v>41.731000000000002</v>
      </c>
      <c r="F57" s="16">
        <v>42.643000000000001</v>
      </c>
      <c r="G57" s="16">
        <v>31.93</v>
      </c>
      <c r="H57" s="16">
        <f t="shared" si="0"/>
        <v>36.146500000000003</v>
      </c>
      <c r="I57" s="5"/>
      <c r="J57" s="15">
        <v>618.48800000000006</v>
      </c>
      <c r="K57" s="16">
        <v>34.281199999999998</v>
      </c>
      <c r="L57" s="16">
        <v>42.043500000000002</v>
      </c>
      <c r="M57" s="16">
        <v>43.025100000000002</v>
      </c>
      <c r="N57" s="16">
        <v>79.459699999999998</v>
      </c>
      <c r="O57" s="16">
        <f t="shared" si="1"/>
        <v>36.344474999999996</v>
      </c>
      <c r="P57" s="7"/>
      <c r="Q57" s="8">
        <f>bdrate(C57:C60,D57:D60,J57:J60,K57:K60)</f>
        <v>-0.20629291531932936</v>
      </c>
      <c r="R57" s="8">
        <f>bdrate(C57:C60,E57:E60,J57:J60,L57:L60)</f>
        <v>-0.30483542020459842</v>
      </c>
      <c r="S57" s="8">
        <f>bdrate(C57:C60,F57:F60,J57:J60,M57:M60)</f>
        <v>-0.31141865998668261</v>
      </c>
      <c r="T57" s="25">
        <f>bdrate(C57:C60,H57:H60,J57:J60,O57:O60)</f>
        <v>-0.22576666224757902</v>
      </c>
      <c r="U57" s="28">
        <f t="shared" si="2"/>
        <v>1.4885593485750077</v>
      </c>
    </row>
    <row r="58" spans="1:21" x14ac:dyDescent="0.25">
      <c r="B58" s="9"/>
      <c r="C58" s="17">
        <v>512.91015625</v>
      </c>
      <c r="D58" s="18">
        <v>33.082999999999998</v>
      </c>
      <c r="E58" s="18">
        <v>41.095999999999997</v>
      </c>
      <c r="F58" s="18">
        <v>41.960999999999999</v>
      </c>
      <c r="G58" s="18">
        <v>37.700000000000003</v>
      </c>
      <c r="H58" s="18">
        <f t="shared" si="0"/>
        <v>35.194375000000001</v>
      </c>
      <c r="I58" s="5"/>
      <c r="J58" s="17">
        <v>410.66640000000001</v>
      </c>
      <c r="K58" s="18">
        <v>32.936199999999999</v>
      </c>
      <c r="L58" s="18">
        <v>41.251300000000001</v>
      </c>
      <c r="M58" s="18">
        <v>42.124499999999998</v>
      </c>
      <c r="N58" s="18">
        <v>94.265500000000003</v>
      </c>
      <c r="O58" s="18">
        <f t="shared" si="1"/>
        <v>35.124124999999999</v>
      </c>
      <c r="P58" s="7"/>
      <c r="Q58" s="10"/>
      <c r="R58" s="11"/>
      <c r="S58" s="11"/>
      <c r="T58" s="26"/>
      <c r="U58" s="28">
        <f t="shared" si="2"/>
        <v>1.5004111405835543</v>
      </c>
    </row>
    <row r="59" spans="1:21" x14ac:dyDescent="0.25">
      <c r="B59" s="9"/>
      <c r="C59" s="17">
        <v>333.224609375</v>
      </c>
      <c r="D59" s="18">
        <v>31.515999999999998</v>
      </c>
      <c r="E59" s="18">
        <v>40.052</v>
      </c>
      <c r="F59" s="18">
        <v>40.831000000000003</v>
      </c>
      <c r="G59" s="18">
        <v>43.56</v>
      </c>
      <c r="H59" s="18">
        <f t="shared" si="0"/>
        <v>33.747374999999998</v>
      </c>
      <c r="I59" s="5"/>
      <c r="J59" s="17">
        <v>254.75360000000001</v>
      </c>
      <c r="K59" s="18">
        <v>31.416899999999998</v>
      </c>
      <c r="L59" s="18">
        <v>40.251100000000001</v>
      </c>
      <c r="M59" s="18">
        <v>41.064999999999998</v>
      </c>
      <c r="N59" s="18">
        <v>117.9941</v>
      </c>
      <c r="O59" s="18">
        <f t="shared" si="1"/>
        <v>33.727187499999999</v>
      </c>
      <c r="P59" s="7"/>
      <c r="Q59" s="10"/>
      <c r="R59" s="11"/>
      <c r="S59" s="11"/>
      <c r="T59" s="26"/>
      <c r="U59" s="28">
        <f t="shared" si="2"/>
        <v>1.7087718089990818</v>
      </c>
    </row>
    <row r="60" spans="1:21" ht="16.5" thickBot="1" x14ac:dyDescent="0.3">
      <c r="B60" s="12"/>
      <c r="C60" s="19">
        <v>150.447265625</v>
      </c>
      <c r="D60" s="20">
        <v>28.661000000000001</v>
      </c>
      <c r="E60" s="20">
        <v>38.307000000000002</v>
      </c>
      <c r="F60" s="20">
        <v>38.927999999999997</v>
      </c>
      <c r="G60" s="20">
        <v>52.46</v>
      </c>
      <c r="H60" s="20">
        <f t="shared" si="0"/>
        <v>31.150125000000003</v>
      </c>
      <c r="I60" s="5"/>
      <c r="J60" s="19">
        <v>121.2312</v>
      </c>
      <c r="K60" s="20">
        <v>28.9665</v>
      </c>
      <c r="L60" s="20">
        <v>38.954000000000001</v>
      </c>
      <c r="M60" s="20">
        <v>39.739100000000001</v>
      </c>
      <c r="N60" s="20">
        <v>170.9402</v>
      </c>
      <c r="O60" s="20">
        <f t="shared" si="1"/>
        <v>31.561512500000003</v>
      </c>
      <c r="P60" s="7"/>
      <c r="Q60" s="13"/>
      <c r="R60" s="14"/>
      <c r="S60" s="14"/>
      <c r="T60" s="27"/>
      <c r="U60" s="28">
        <f t="shared" si="2"/>
        <v>2.2584864658787644</v>
      </c>
    </row>
    <row r="61" spans="1:21" x14ac:dyDescent="0.25">
      <c r="B61" s="6" t="s">
        <v>59</v>
      </c>
      <c r="C61" s="29">
        <v>674.08984375</v>
      </c>
      <c r="D61" s="30">
        <v>33.463999999999999</v>
      </c>
      <c r="E61" s="30">
        <v>38.640999999999998</v>
      </c>
      <c r="F61" s="30">
        <v>39.521000000000001</v>
      </c>
      <c r="G61" s="16">
        <v>36.729999999999997</v>
      </c>
      <c r="H61" s="16">
        <f t="shared" si="0"/>
        <v>34.868249999999996</v>
      </c>
      <c r="I61" s="5"/>
      <c r="J61" s="29">
        <v>645.60239999999999</v>
      </c>
      <c r="K61" s="30">
        <v>33.804699999999997</v>
      </c>
      <c r="L61" s="30">
        <v>39.130699999999997</v>
      </c>
      <c r="M61" s="30">
        <v>40.022599999999997</v>
      </c>
      <c r="N61" s="16">
        <v>76.864000000000004</v>
      </c>
      <c r="O61" s="16">
        <f t="shared" si="1"/>
        <v>35.247687499999998</v>
      </c>
      <c r="P61" s="7"/>
      <c r="Q61" s="8">
        <f>bdrate(C61:C64,D61:D64,J61:J64,K61:K64)</f>
        <v>-0.17052102874359332</v>
      </c>
      <c r="R61" s="8">
        <f>bdrate(C61:C64,E61:E64,J61:J64,L61:L64)</f>
        <v>-0.33988243850322641</v>
      </c>
      <c r="S61" s="8">
        <f>bdrate(C61:C64,F61:F64,J61:J64,M61:M64)</f>
        <v>-0.31989275745473711</v>
      </c>
      <c r="T61" s="25">
        <f>bdrate(C61:C64,H61:H64,J61:J64,O61:O64)</f>
        <v>-0.20795334758676454</v>
      </c>
      <c r="U61" s="28">
        <f t="shared" si="2"/>
        <v>1.0926762864143755</v>
      </c>
    </row>
    <row r="62" spans="1:21" x14ac:dyDescent="0.25">
      <c r="B62" s="9"/>
      <c r="C62" s="31">
        <v>474.5322265625</v>
      </c>
      <c r="D62" s="32">
        <v>31.98</v>
      </c>
      <c r="E62" s="32">
        <v>37.417999999999999</v>
      </c>
      <c r="F62" s="32">
        <v>38.259</v>
      </c>
      <c r="G62" s="18">
        <v>41.88</v>
      </c>
      <c r="H62" s="18">
        <f t="shared" si="0"/>
        <v>33.444625000000002</v>
      </c>
      <c r="I62" s="5"/>
      <c r="J62" s="31">
        <v>431.6952</v>
      </c>
      <c r="K62" s="32">
        <v>32.274000000000001</v>
      </c>
      <c r="L62" s="32">
        <v>38.0717</v>
      </c>
      <c r="M62" s="32">
        <v>38.880499999999998</v>
      </c>
      <c r="N62" s="18">
        <v>90.793499999999995</v>
      </c>
      <c r="O62" s="18">
        <f t="shared" si="1"/>
        <v>33.824525000000001</v>
      </c>
      <c r="P62" s="7"/>
      <c r="Q62" s="10"/>
      <c r="R62" s="11"/>
      <c r="S62" s="11"/>
      <c r="T62" s="26"/>
      <c r="U62" s="28">
        <f t="shared" si="2"/>
        <v>1.1679441260744983</v>
      </c>
    </row>
    <row r="63" spans="1:21" x14ac:dyDescent="0.25">
      <c r="B63" s="9"/>
      <c r="C63" s="31">
        <v>307.22265625</v>
      </c>
      <c r="D63" s="32">
        <v>30.337</v>
      </c>
      <c r="E63" s="32">
        <v>36.076000000000001</v>
      </c>
      <c r="F63" s="32">
        <v>36.914000000000001</v>
      </c>
      <c r="G63" s="18">
        <v>44.53</v>
      </c>
      <c r="H63" s="18">
        <f t="shared" si="0"/>
        <v>31.8765</v>
      </c>
      <c r="I63" s="5"/>
      <c r="J63" s="31">
        <v>268.096</v>
      </c>
      <c r="K63" s="32">
        <v>30.555199999999999</v>
      </c>
      <c r="L63" s="32">
        <v>36.9193</v>
      </c>
      <c r="M63" s="32">
        <v>37.659199999999998</v>
      </c>
      <c r="N63" s="18">
        <v>109.76949999999999</v>
      </c>
      <c r="O63" s="18">
        <f t="shared" si="1"/>
        <v>32.238712499999998</v>
      </c>
      <c r="P63" s="7"/>
      <c r="Q63" s="10"/>
      <c r="R63" s="11"/>
      <c r="S63" s="11"/>
      <c r="T63" s="26"/>
      <c r="U63" s="28">
        <f t="shared" si="2"/>
        <v>1.4650684931506848</v>
      </c>
    </row>
    <row r="64" spans="1:21" ht="16.5" thickBot="1" x14ac:dyDescent="0.3">
      <c r="B64" s="12"/>
      <c r="C64" s="33">
        <v>147.56640625</v>
      </c>
      <c r="D64" s="34">
        <v>27.963999999999999</v>
      </c>
      <c r="E64" s="34">
        <v>34.213000000000001</v>
      </c>
      <c r="F64" s="34">
        <v>34.957000000000001</v>
      </c>
      <c r="G64" s="20">
        <v>49.37</v>
      </c>
      <c r="H64" s="20">
        <f t="shared" si="0"/>
        <v>29.619249999999997</v>
      </c>
      <c r="I64" s="5"/>
      <c r="J64" s="33">
        <v>126.744</v>
      </c>
      <c r="K64" s="34">
        <v>28.141999999999999</v>
      </c>
      <c r="L64" s="34">
        <v>35.408099999999997</v>
      </c>
      <c r="M64" s="34">
        <v>36.200000000000003</v>
      </c>
      <c r="N64" s="20">
        <v>151.1944</v>
      </c>
      <c r="O64" s="20">
        <f t="shared" si="1"/>
        <v>30.057512500000001</v>
      </c>
      <c r="P64" s="7"/>
      <c r="Q64" s="13"/>
      <c r="R64" s="14"/>
      <c r="S64" s="14"/>
      <c r="T64" s="27"/>
      <c r="U64" s="28">
        <f t="shared" si="2"/>
        <v>2.0624751873607456</v>
      </c>
    </row>
    <row r="65" spans="1:21" x14ac:dyDescent="0.25">
      <c r="B65" s="6" t="s">
        <v>60</v>
      </c>
      <c r="C65" s="15">
        <v>623.43359375</v>
      </c>
      <c r="D65" s="16">
        <v>34.232999999999997</v>
      </c>
      <c r="E65" s="16">
        <v>38.509</v>
      </c>
      <c r="F65" s="16">
        <v>39.704000000000001</v>
      </c>
      <c r="G65" s="16">
        <v>39.770000000000003</v>
      </c>
      <c r="H65" s="16">
        <f t="shared" si="0"/>
        <v>35.451374999999999</v>
      </c>
      <c r="I65" s="5"/>
      <c r="J65" s="15">
        <v>613.83199999999999</v>
      </c>
      <c r="K65" s="16">
        <v>34.881</v>
      </c>
      <c r="L65" s="16">
        <v>38.877899999999997</v>
      </c>
      <c r="M65" s="16">
        <v>40.011499999999998</v>
      </c>
      <c r="N65" s="16">
        <v>51.831400000000002</v>
      </c>
      <c r="O65" s="16">
        <f t="shared" si="1"/>
        <v>36.021925000000003</v>
      </c>
      <c r="P65" s="7"/>
      <c r="Q65" s="8">
        <f>bdrate(C65:C68,D65:D68,J65:J68,K65:K68)</f>
        <v>-0.16915840654166059</v>
      </c>
      <c r="R65" s="8">
        <f>bdrate(C65:C68,E65:E68,J65:J68,L65:L68)</f>
        <v>-0.28173279526877348</v>
      </c>
      <c r="S65" s="8">
        <f>bdrate(C65:C68,F65:F68,J65:J68,M65:M68)</f>
        <v>-0.26804035881554988</v>
      </c>
      <c r="T65" s="25">
        <f>bdrate(C65:C68,H65:H68,J65:J68,O65:O68)</f>
        <v>-0.19494080518662082</v>
      </c>
      <c r="U65" s="28">
        <f t="shared" si="2"/>
        <v>0.30327885340709071</v>
      </c>
    </row>
    <row r="66" spans="1:21" x14ac:dyDescent="0.25">
      <c r="B66" s="9"/>
      <c r="C66" s="17">
        <v>443.7021484375</v>
      </c>
      <c r="D66" s="18">
        <v>32.642000000000003</v>
      </c>
      <c r="E66" s="18">
        <v>37.265000000000001</v>
      </c>
      <c r="F66" s="18">
        <v>38.493000000000002</v>
      </c>
      <c r="G66" s="18">
        <v>45.48</v>
      </c>
      <c r="H66" s="18">
        <f t="shared" si="0"/>
        <v>33.951250000000002</v>
      </c>
      <c r="I66" s="5"/>
      <c r="J66" s="17">
        <v>410.43360000000001</v>
      </c>
      <c r="K66" s="18">
        <v>32.9998</v>
      </c>
      <c r="L66" s="18">
        <v>37.744799999999998</v>
      </c>
      <c r="M66" s="18">
        <v>38.887799999999999</v>
      </c>
      <c r="N66" s="18">
        <v>58.811999999999998</v>
      </c>
      <c r="O66" s="18">
        <f t="shared" si="1"/>
        <v>34.328924999999998</v>
      </c>
      <c r="P66" s="7"/>
      <c r="Q66" s="10"/>
      <c r="R66" s="11"/>
      <c r="S66" s="11"/>
      <c r="T66" s="26"/>
      <c r="U66" s="28">
        <f t="shared" si="2"/>
        <v>0.29313984168865437</v>
      </c>
    </row>
    <row r="67" spans="1:21" x14ac:dyDescent="0.25">
      <c r="B67" s="9"/>
      <c r="C67" s="17">
        <v>303.90625</v>
      </c>
      <c r="D67" s="18">
        <v>30.951000000000001</v>
      </c>
      <c r="E67" s="18">
        <v>35.950000000000003</v>
      </c>
      <c r="F67" s="18">
        <v>37.149000000000001</v>
      </c>
      <c r="G67" s="18">
        <v>48.8</v>
      </c>
      <c r="H67" s="18">
        <f t="shared" si="0"/>
        <v>32.350625000000001</v>
      </c>
      <c r="I67" s="5"/>
      <c r="J67" s="17">
        <v>258.37920000000003</v>
      </c>
      <c r="K67" s="18">
        <v>31.0839</v>
      </c>
      <c r="L67" s="18">
        <v>36.537199999999999</v>
      </c>
      <c r="M67" s="18">
        <v>37.694899999999997</v>
      </c>
      <c r="N67" s="18">
        <v>71.753200000000007</v>
      </c>
      <c r="O67" s="18">
        <f t="shared" si="1"/>
        <v>32.5919375</v>
      </c>
      <c r="P67" s="7"/>
      <c r="Q67" s="10"/>
      <c r="R67" s="11"/>
      <c r="S67" s="11"/>
      <c r="T67" s="26"/>
      <c r="U67" s="28">
        <f t="shared" si="2"/>
        <v>0.47035245901639366</v>
      </c>
    </row>
    <row r="68" spans="1:21" ht="16.5" thickBot="1" x14ac:dyDescent="0.3">
      <c r="B68" s="12"/>
      <c r="C68" s="19">
        <v>155.1142578125</v>
      </c>
      <c r="D68" s="20">
        <v>28.454999999999998</v>
      </c>
      <c r="E68" s="20">
        <v>33.875999999999998</v>
      </c>
      <c r="F68" s="20">
        <v>35.011000000000003</v>
      </c>
      <c r="G68" s="20">
        <v>52.51</v>
      </c>
      <c r="H68" s="20">
        <f t="shared" si="0"/>
        <v>29.952124999999999</v>
      </c>
      <c r="I68" s="5"/>
      <c r="J68" s="19">
        <v>125.1992</v>
      </c>
      <c r="K68" s="20">
        <v>28.4757</v>
      </c>
      <c r="L68" s="20">
        <v>35.092500000000001</v>
      </c>
      <c r="M68" s="20">
        <v>36.231299999999997</v>
      </c>
      <c r="N68" s="20">
        <v>99.108000000000004</v>
      </c>
      <c r="O68" s="20">
        <f t="shared" si="1"/>
        <v>30.27225</v>
      </c>
      <c r="P68" s="7"/>
      <c r="Q68" s="13"/>
      <c r="R68" s="14"/>
      <c r="S68" s="14"/>
      <c r="T68" s="27"/>
      <c r="U68" s="28">
        <f t="shared" si="2"/>
        <v>0.8874119215387547</v>
      </c>
    </row>
    <row r="69" spans="1:21" x14ac:dyDescent="0.25">
      <c r="A69" s="6" t="s">
        <v>43</v>
      </c>
      <c r="B69" s="6" t="s">
        <v>61</v>
      </c>
      <c r="C69" s="15">
        <v>1541.23828125</v>
      </c>
      <c r="D69" s="16">
        <v>41.671999999999997</v>
      </c>
      <c r="E69" s="16">
        <v>46.064999999999998</v>
      </c>
      <c r="F69" s="16">
        <v>47.384999999999998</v>
      </c>
      <c r="G69" s="16">
        <v>7.42</v>
      </c>
      <c r="H69" s="16">
        <f t="shared" si="0"/>
        <v>42.935249999999996</v>
      </c>
      <c r="I69" s="5"/>
      <c r="J69" s="15">
        <v>1507.6687999999999</v>
      </c>
      <c r="K69" s="16">
        <v>41.945900000000002</v>
      </c>
      <c r="L69" s="16">
        <v>46.529400000000003</v>
      </c>
      <c r="M69" s="16">
        <v>47.826500000000003</v>
      </c>
      <c r="N69" s="16">
        <v>18.553999999999998</v>
      </c>
      <c r="O69" s="16">
        <f t="shared" si="1"/>
        <v>43.253912500000006</v>
      </c>
      <c r="P69" s="7"/>
      <c r="Q69" s="8">
        <f>bdrate(C69:C72,D69:D72,J69:J72,K69:K72)</f>
        <v>-0.20975666622749967</v>
      </c>
      <c r="R69" s="8">
        <f>bdrate(C69:C72,E69:E72,J69:J72,L69:L72)</f>
        <v>-0.27789565711099484</v>
      </c>
      <c r="S69" s="8">
        <f>bdrate(C69:C72,F69:F72,J69:J72,M69:M72)</f>
        <v>-0.26438450960005278</v>
      </c>
      <c r="T69" s="25">
        <f>bdrate(C69:C72,H69:H72,J69:J72,O69:O72)</f>
        <v>-0.22301967960800606</v>
      </c>
      <c r="U69" s="28">
        <f t="shared" si="2"/>
        <v>1.5005390835579513</v>
      </c>
    </row>
    <row r="70" spans="1:21" x14ac:dyDescent="0.25">
      <c r="A70" s="9" t="s">
        <v>44</v>
      </c>
      <c r="B70" s="9"/>
      <c r="C70" s="17">
        <v>1050.861328125</v>
      </c>
      <c r="D70" s="18">
        <v>40.540999999999997</v>
      </c>
      <c r="E70" s="18">
        <v>45.186999999999998</v>
      </c>
      <c r="F70" s="18">
        <v>46.463000000000001</v>
      </c>
      <c r="G70" s="18">
        <v>8.8000000000000007</v>
      </c>
      <c r="H70" s="18">
        <f t="shared" si="0"/>
        <v>41.862000000000002</v>
      </c>
      <c r="I70" s="5"/>
      <c r="J70" s="17">
        <v>998.2912</v>
      </c>
      <c r="K70" s="18">
        <v>40.978499999999997</v>
      </c>
      <c r="L70" s="18">
        <v>45.77</v>
      </c>
      <c r="M70" s="18">
        <v>46.977499999999999</v>
      </c>
      <c r="N70" s="18">
        <v>23.225200000000001</v>
      </c>
      <c r="O70" s="18">
        <f t="shared" si="1"/>
        <v>42.327312499999998</v>
      </c>
      <c r="P70" s="7"/>
      <c r="Q70" s="10"/>
      <c r="R70" s="11"/>
      <c r="S70" s="11"/>
      <c r="T70" s="26"/>
      <c r="U70" s="28">
        <f t="shared" si="2"/>
        <v>1.6392272727272725</v>
      </c>
    </row>
    <row r="71" spans="1:21" x14ac:dyDescent="0.25">
      <c r="B71" s="9"/>
      <c r="C71" s="17">
        <v>646.4296875</v>
      </c>
      <c r="D71" s="18">
        <v>38.738999999999997</v>
      </c>
      <c r="E71" s="18">
        <v>43.789000000000001</v>
      </c>
      <c r="F71" s="18">
        <v>45.023000000000003</v>
      </c>
      <c r="G71" s="18">
        <v>10.96</v>
      </c>
      <c r="H71" s="18">
        <f t="shared" si="0"/>
        <v>40.155749999999998</v>
      </c>
      <c r="I71" s="5"/>
      <c r="J71" s="17">
        <v>588.25840000000005</v>
      </c>
      <c r="K71" s="18">
        <v>39.284199999999998</v>
      </c>
      <c r="L71" s="18">
        <v>44.377800000000001</v>
      </c>
      <c r="M71" s="18">
        <v>45.603400000000001</v>
      </c>
      <c r="N71" s="18">
        <v>29.884899999999998</v>
      </c>
      <c r="O71" s="18">
        <f t="shared" si="1"/>
        <v>40.710799999999999</v>
      </c>
      <c r="P71" s="7"/>
      <c r="Q71" s="10"/>
      <c r="R71" s="11"/>
      <c r="S71" s="11"/>
      <c r="T71" s="26"/>
      <c r="U71" s="28">
        <f t="shared" si="2"/>
        <v>1.726724452554744</v>
      </c>
    </row>
    <row r="72" spans="1:21" ht="16.5" thickBot="1" x14ac:dyDescent="0.3">
      <c r="B72" s="12"/>
      <c r="C72" s="19">
        <v>328.525390625</v>
      </c>
      <c r="D72" s="20">
        <v>35.567999999999998</v>
      </c>
      <c r="E72" s="20">
        <v>41.365000000000002</v>
      </c>
      <c r="F72" s="20">
        <v>42.470999999999997</v>
      </c>
      <c r="G72" s="20">
        <v>13.92</v>
      </c>
      <c r="H72" s="20">
        <f t="shared" si="0"/>
        <v>37.155499999999996</v>
      </c>
      <c r="I72" s="5"/>
      <c r="J72" s="19">
        <v>285.44959999999998</v>
      </c>
      <c r="K72" s="20">
        <v>36.350099999999998</v>
      </c>
      <c r="L72" s="20">
        <v>42.5976</v>
      </c>
      <c r="M72" s="20">
        <v>43.703000000000003</v>
      </c>
      <c r="N72" s="20">
        <v>39.6511</v>
      </c>
      <c r="O72" s="20">
        <f t="shared" si="1"/>
        <v>38.050150000000002</v>
      </c>
      <c r="P72" s="7"/>
      <c r="Q72" s="13"/>
      <c r="R72" s="14"/>
      <c r="S72" s="14"/>
      <c r="T72" s="27"/>
      <c r="U72" s="28">
        <f t="shared" si="2"/>
        <v>1.8484985632183906</v>
      </c>
    </row>
    <row r="73" spans="1:21" x14ac:dyDescent="0.25">
      <c r="B73" s="6" t="s">
        <v>62</v>
      </c>
      <c r="C73" s="15">
        <v>1579.9453125</v>
      </c>
      <c r="D73" s="16">
        <v>43.01</v>
      </c>
      <c r="E73" s="16">
        <v>48.314999999999998</v>
      </c>
      <c r="F73" s="16">
        <v>48.953000000000003</v>
      </c>
      <c r="G73" s="16">
        <v>5.65</v>
      </c>
      <c r="H73" s="16">
        <f t="shared" si="0"/>
        <v>44.415999999999997</v>
      </c>
      <c r="I73" s="5"/>
      <c r="J73" s="15">
        <v>1513.5832</v>
      </c>
      <c r="K73" s="16">
        <v>42.937600000000003</v>
      </c>
      <c r="L73" s="16">
        <v>48.334600000000002</v>
      </c>
      <c r="M73" s="16">
        <v>49.0715</v>
      </c>
      <c r="N73" s="16">
        <v>19.876799999999999</v>
      </c>
      <c r="O73" s="16">
        <f t="shared" si="1"/>
        <v>44.378962500000007</v>
      </c>
      <c r="P73" s="7"/>
      <c r="Q73" s="8">
        <f>bdrate(C73:C76,D73:D76,J73:J76,K73:K76)</f>
        <v>-0.14247900405245828</v>
      </c>
      <c r="R73" s="8">
        <f>bdrate(C73:C76,E73:E76,J73:J76,L73:L76)</f>
        <v>-0.18891075841748783</v>
      </c>
      <c r="S73" s="8">
        <f>bdrate(C73:C76,F73:F76,J73:J76,M73:M76)</f>
        <v>-0.190445561347236</v>
      </c>
      <c r="T73" s="25">
        <f>bdrate(C73:C76,H73:H76,J73:J76,O73:O76)</f>
        <v>-0.15327722712154734</v>
      </c>
      <c r="U73" s="28">
        <f t="shared" ref="U73:U124" si="3">(N73-G73)/G73</f>
        <v>2.518017699115044</v>
      </c>
    </row>
    <row r="74" spans="1:21" x14ac:dyDescent="0.25">
      <c r="B74" s="9"/>
      <c r="C74" s="17">
        <v>1132.4267578125</v>
      </c>
      <c r="D74" s="18">
        <v>42.63</v>
      </c>
      <c r="E74" s="18">
        <v>48.036000000000001</v>
      </c>
      <c r="F74" s="18">
        <v>48.673999999999999</v>
      </c>
      <c r="G74" s="18">
        <v>6.69</v>
      </c>
      <c r="H74" s="18">
        <f t="shared" si="0"/>
        <v>44.061250000000001</v>
      </c>
      <c r="I74" s="5"/>
      <c r="J74" s="17">
        <v>997.68640000000005</v>
      </c>
      <c r="K74" s="18">
        <v>42.521900000000002</v>
      </c>
      <c r="L74" s="18">
        <v>48.037700000000001</v>
      </c>
      <c r="M74" s="18">
        <v>48.723500000000001</v>
      </c>
      <c r="N74" s="18">
        <v>23.977900000000002</v>
      </c>
      <c r="O74" s="18">
        <f t="shared" si="1"/>
        <v>43.986575000000002</v>
      </c>
      <c r="P74" s="7"/>
      <c r="Q74" s="10"/>
      <c r="R74" s="11"/>
      <c r="S74" s="11"/>
      <c r="T74" s="26"/>
      <c r="U74" s="28">
        <f t="shared" si="3"/>
        <v>2.5841405082212257</v>
      </c>
    </row>
    <row r="75" spans="1:21" x14ac:dyDescent="0.25">
      <c r="B75" s="9"/>
      <c r="C75" s="17">
        <v>717.8134765625</v>
      </c>
      <c r="D75" s="18">
        <v>41.887</v>
      </c>
      <c r="E75" s="18">
        <v>47.335999999999999</v>
      </c>
      <c r="F75" s="18">
        <v>47.962000000000003</v>
      </c>
      <c r="G75" s="18">
        <v>8.31</v>
      </c>
      <c r="H75" s="18">
        <f t="shared" si="0"/>
        <v>43.327500000000001</v>
      </c>
      <c r="I75" s="5"/>
      <c r="J75" s="17">
        <v>578.15359999999998</v>
      </c>
      <c r="K75" s="18">
        <v>41.770499999999998</v>
      </c>
      <c r="L75" s="18">
        <v>47.310499999999998</v>
      </c>
      <c r="M75" s="18">
        <v>47.925899999999999</v>
      </c>
      <c r="N75" s="18">
        <v>30.235800000000001</v>
      </c>
      <c r="O75" s="18">
        <f t="shared" si="1"/>
        <v>43.232424999999999</v>
      </c>
      <c r="P75" s="7"/>
      <c r="Q75" s="10"/>
      <c r="R75" s="11"/>
      <c r="S75" s="11"/>
      <c r="T75" s="26"/>
      <c r="U75" s="28">
        <f t="shared" si="3"/>
        <v>2.6384837545126354</v>
      </c>
    </row>
    <row r="76" spans="1:21" ht="16.5" thickBot="1" x14ac:dyDescent="0.3">
      <c r="B76" s="12"/>
      <c r="C76" s="19">
        <v>348.7841796875</v>
      </c>
      <c r="D76" s="20">
        <v>40.119999999999997</v>
      </c>
      <c r="E76" s="20">
        <v>45.610999999999997</v>
      </c>
      <c r="F76" s="20">
        <v>46.268999999999998</v>
      </c>
      <c r="G76" s="20">
        <v>11.18</v>
      </c>
      <c r="H76" s="20">
        <f t="shared" si="0"/>
        <v>41.574999999999996</v>
      </c>
      <c r="I76" s="5"/>
      <c r="J76" s="19">
        <v>277.81200000000001</v>
      </c>
      <c r="K76" s="20">
        <v>40.203800000000001</v>
      </c>
      <c r="L76" s="20">
        <v>45.773299999999999</v>
      </c>
      <c r="M76" s="20">
        <v>46.384999999999998</v>
      </c>
      <c r="N76" s="20">
        <v>41.0931</v>
      </c>
      <c r="O76" s="20">
        <f t="shared" si="1"/>
        <v>41.6726375</v>
      </c>
      <c r="P76" s="7"/>
      <c r="Q76" s="13"/>
      <c r="R76" s="14"/>
      <c r="S76" s="14"/>
      <c r="T76" s="27"/>
      <c r="U76" s="28">
        <f t="shared" si="3"/>
        <v>2.6755903398926657</v>
      </c>
    </row>
    <row r="77" spans="1:21" x14ac:dyDescent="0.25">
      <c r="B77" s="6" t="s">
        <v>63</v>
      </c>
      <c r="C77" s="15">
        <v>1537.9658203125</v>
      </c>
      <c r="D77" s="16">
        <v>42.628</v>
      </c>
      <c r="E77" s="16">
        <v>47.156999999999996</v>
      </c>
      <c r="F77" s="16">
        <v>48.085000000000001</v>
      </c>
      <c r="G77" s="16">
        <v>7.23</v>
      </c>
      <c r="H77" s="16">
        <f t="shared" si="0"/>
        <v>43.876249999999999</v>
      </c>
      <c r="I77" s="5"/>
      <c r="J77" s="15">
        <v>1541.1104</v>
      </c>
      <c r="K77" s="16">
        <v>42.894100000000002</v>
      </c>
      <c r="L77" s="16">
        <v>47.544899999999998</v>
      </c>
      <c r="M77" s="16">
        <v>48.440100000000001</v>
      </c>
      <c r="N77" s="16">
        <v>18.472899999999999</v>
      </c>
      <c r="O77" s="16">
        <f t="shared" si="1"/>
        <v>44.168700000000001</v>
      </c>
      <c r="P77" s="7"/>
      <c r="Q77" s="8">
        <f>bdrate(C77:C80,D77:D80,J77:J80,K77:K80)</f>
        <v>-0.20294778384618661</v>
      </c>
      <c r="R77" s="8">
        <f>bdrate(C77:C80,E77:E80,J77:J80,L77:L80)</f>
        <v>-0.26965949554005741</v>
      </c>
      <c r="S77" s="8">
        <f>bdrate(C77:C80,F77:F80,J77:J80,M77:M80)</f>
        <v>-0.25150591057238514</v>
      </c>
      <c r="T77" s="25">
        <f>bdrate(C77:C80,H77:H80,J77:J80,O77:O80)</f>
        <v>-0.21634482793493781</v>
      </c>
      <c r="U77" s="28">
        <f t="shared" si="3"/>
        <v>1.5550345781466111</v>
      </c>
    </row>
    <row r="78" spans="1:21" x14ac:dyDescent="0.25">
      <c r="B78" s="9"/>
      <c r="C78" s="17">
        <v>1074.4462890625</v>
      </c>
      <c r="D78" s="18">
        <v>41.914999999999999</v>
      </c>
      <c r="E78" s="18">
        <v>46.591000000000001</v>
      </c>
      <c r="F78" s="18">
        <v>47.497999999999998</v>
      </c>
      <c r="G78" s="18">
        <v>8.43</v>
      </c>
      <c r="H78" s="18">
        <f t="shared" si="0"/>
        <v>43.197375000000001</v>
      </c>
      <c r="I78" s="5"/>
      <c r="J78" s="17">
        <v>1028.9775999999999</v>
      </c>
      <c r="K78" s="18">
        <v>42.227800000000002</v>
      </c>
      <c r="L78" s="18">
        <v>47.025799999999997</v>
      </c>
      <c r="M78" s="18">
        <v>47.899900000000002</v>
      </c>
      <c r="N78" s="18">
        <v>22.9481</v>
      </c>
      <c r="O78" s="18">
        <f t="shared" si="1"/>
        <v>43.536562500000002</v>
      </c>
      <c r="P78" s="7"/>
      <c r="Q78" s="10"/>
      <c r="R78" s="11"/>
      <c r="S78" s="11"/>
      <c r="T78" s="26"/>
      <c r="U78" s="28">
        <f t="shared" si="3"/>
        <v>1.7221945432977463</v>
      </c>
    </row>
    <row r="79" spans="1:21" x14ac:dyDescent="0.25">
      <c r="B79" s="9"/>
      <c r="C79" s="17">
        <v>671.7880859375</v>
      </c>
      <c r="D79" s="18">
        <v>40.668999999999997</v>
      </c>
      <c r="E79" s="18">
        <v>45.444000000000003</v>
      </c>
      <c r="F79" s="18">
        <v>46.37</v>
      </c>
      <c r="G79" s="18">
        <v>10.16</v>
      </c>
      <c r="H79" s="18">
        <f t="shared" si="0"/>
        <v>41.978499999999997</v>
      </c>
      <c r="I79" s="5"/>
      <c r="J79" s="17">
        <v>601.06960000000004</v>
      </c>
      <c r="K79" s="18">
        <v>40.991700000000002</v>
      </c>
      <c r="L79" s="18">
        <v>45.9084</v>
      </c>
      <c r="M79" s="18">
        <v>46.776800000000001</v>
      </c>
      <c r="N79" s="18">
        <v>30.1432</v>
      </c>
      <c r="O79" s="18">
        <f t="shared" si="1"/>
        <v>42.329425000000001</v>
      </c>
      <c r="P79" s="7"/>
      <c r="Q79" s="10"/>
      <c r="R79" s="11"/>
      <c r="S79" s="11"/>
      <c r="T79" s="26"/>
      <c r="U79" s="28">
        <f t="shared" si="3"/>
        <v>1.9668503937007873</v>
      </c>
    </row>
    <row r="80" spans="1:21" ht="16.5" thickBot="1" x14ac:dyDescent="0.3">
      <c r="B80" s="12"/>
      <c r="C80" s="19">
        <v>332.7060546875</v>
      </c>
      <c r="D80" s="20">
        <v>38.131999999999998</v>
      </c>
      <c r="E80" s="20">
        <v>43.264000000000003</v>
      </c>
      <c r="F80" s="20">
        <v>44.186</v>
      </c>
      <c r="G80" s="20">
        <v>13.52</v>
      </c>
      <c r="H80" s="20">
        <f t="shared" si="0"/>
        <v>39.530249999999995</v>
      </c>
      <c r="I80" s="5"/>
      <c r="J80" s="19">
        <v>296.42959999999999</v>
      </c>
      <c r="K80" s="20">
        <v>38.747300000000003</v>
      </c>
      <c r="L80" s="20">
        <v>44.170299999999997</v>
      </c>
      <c r="M80" s="20">
        <v>44.993499999999997</v>
      </c>
      <c r="N80" s="20">
        <v>39.7746</v>
      </c>
      <c r="O80" s="20">
        <f t="shared" si="1"/>
        <v>40.205950000000001</v>
      </c>
      <c r="P80" s="7"/>
      <c r="Q80" s="13"/>
      <c r="R80" s="14"/>
      <c r="S80" s="14"/>
      <c r="T80" s="27"/>
      <c r="U80" s="28">
        <f t="shared" si="3"/>
        <v>1.9419082840236688</v>
      </c>
    </row>
    <row r="81" spans="1:21" x14ac:dyDescent="0.25">
      <c r="A81" s="6" t="s">
        <v>99</v>
      </c>
      <c r="B81" s="6" t="s">
        <v>100</v>
      </c>
      <c r="C81" s="15">
        <v>1455.0009765625</v>
      </c>
      <c r="D81" s="16">
        <v>47.488</v>
      </c>
      <c r="E81" s="16">
        <v>52.884</v>
      </c>
      <c r="F81" s="16">
        <v>53.593000000000004</v>
      </c>
      <c r="G81" s="16">
        <v>10.07</v>
      </c>
      <c r="H81" s="16">
        <f t="shared" ref="H81:H124" si="4">(6*D81+E81+F81)/8</f>
        <v>48.925625000000004</v>
      </c>
      <c r="I81" s="5"/>
      <c r="J81" s="15">
        <v>1230.0805</v>
      </c>
      <c r="K81" s="16">
        <v>45.374699999999997</v>
      </c>
      <c r="L81" s="16">
        <v>51.469200000000001</v>
      </c>
      <c r="M81" s="16">
        <v>52.05</v>
      </c>
      <c r="N81" s="16">
        <v>11.7011</v>
      </c>
      <c r="O81" s="16">
        <f t="shared" ref="O81:O124" si="5">(6*K81+L81+M81)/8</f>
        <v>46.970925000000001</v>
      </c>
      <c r="P81" s="7"/>
      <c r="Q81" s="8">
        <f>bdrate(C81:C84,D81:D84,J81:J84,K81:K84)</f>
        <v>0.12049492669054906</v>
      </c>
      <c r="R81" s="8">
        <f>bdrate(C81:C84,E81:E84,J81:J84,L81:L84)</f>
        <v>-0.10037219991122159</v>
      </c>
      <c r="S81" s="8">
        <f>bdrate(C81:C84,F81:F84,J81:J84,M81:M84)</f>
        <v>-0.14029854036933831</v>
      </c>
      <c r="T81" s="25">
        <f>bdrate(C81:C84,H81:H84,J81:J84,O81:O84)</f>
        <v>6.4662771740224168E-2</v>
      </c>
      <c r="U81" s="28">
        <f t="shared" si="3"/>
        <v>0.16197616683217478</v>
      </c>
    </row>
    <row r="82" spans="1:21" x14ac:dyDescent="0.25">
      <c r="A82" s="9" t="s">
        <v>77</v>
      </c>
      <c r="B82" s="9"/>
      <c r="C82" s="17">
        <v>1025.99609375</v>
      </c>
      <c r="D82" s="18">
        <v>45.706000000000003</v>
      </c>
      <c r="E82" s="18">
        <v>51.225999999999999</v>
      </c>
      <c r="F82" s="18">
        <v>51.838999999999999</v>
      </c>
      <c r="G82" s="18">
        <v>11.33</v>
      </c>
      <c r="H82" s="18">
        <f t="shared" si="4"/>
        <v>47.162624999999998</v>
      </c>
      <c r="I82" s="5"/>
      <c r="J82" s="17">
        <v>829.62670000000003</v>
      </c>
      <c r="K82" s="18">
        <v>43.552300000000002</v>
      </c>
      <c r="L82" s="18">
        <v>50.189500000000002</v>
      </c>
      <c r="M82" s="18">
        <v>50.826599999999999</v>
      </c>
      <c r="N82" s="18">
        <v>14.071300000000001</v>
      </c>
      <c r="O82" s="18">
        <f t="shared" si="5"/>
        <v>45.291237500000001</v>
      </c>
      <c r="P82" s="7"/>
      <c r="Q82" s="10"/>
      <c r="R82" s="11"/>
      <c r="S82" s="11"/>
      <c r="T82" s="26"/>
      <c r="U82" s="28">
        <f t="shared" si="3"/>
        <v>0.24195057369814657</v>
      </c>
    </row>
    <row r="83" spans="1:21" x14ac:dyDescent="0.25">
      <c r="B83" s="9"/>
      <c r="C83" s="17">
        <v>647.04296875</v>
      </c>
      <c r="D83" s="18">
        <v>43.29</v>
      </c>
      <c r="E83" s="18">
        <v>49.265000000000001</v>
      </c>
      <c r="F83" s="18">
        <v>49.872999999999998</v>
      </c>
      <c r="G83" s="18">
        <v>12.73</v>
      </c>
      <c r="H83" s="18">
        <f t="shared" si="4"/>
        <v>44.859749999999998</v>
      </c>
      <c r="I83" s="5"/>
      <c r="J83" s="17">
        <v>505.03190000000001</v>
      </c>
      <c r="K83" s="18">
        <v>41.033700000000003</v>
      </c>
      <c r="L83" s="18">
        <v>48.448599999999999</v>
      </c>
      <c r="M83" s="18">
        <v>49.466000000000001</v>
      </c>
      <c r="N83" s="18">
        <v>16.666799999999999</v>
      </c>
      <c r="O83" s="18">
        <f t="shared" si="5"/>
        <v>43.014600000000002</v>
      </c>
      <c r="P83" s="7"/>
      <c r="Q83" s="10"/>
      <c r="R83" s="11"/>
      <c r="S83" s="11"/>
      <c r="T83" s="26"/>
      <c r="U83" s="28">
        <f t="shared" si="3"/>
        <v>0.30925373134328343</v>
      </c>
    </row>
    <row r="84" spans="1:21" ht="16.5" thickBot="1" x14ac:dyDescent="0.3">
      <c r="B84" s="12"/>
      <c r="C84" s="19">
        <v>372.5048828125</v>
      </c>
      <c r="D84" s="20">
        <v>38.887</v>
      </c>
      <c r="E84" s="20">
        <v>45.433</v>
      </c>
      <c r="F84" s="20">
        <v>46.482999999999997</v>
      </c>
      <c r="G84" s="20">
        <v>13.94</v>
      </c>
      <c r="H84" s="20">
        <f t="shared" si="4"/>
        <v>40.65475</v>
      </c>
      <c r="I84" s="5"/>
      <c r="J84" s="19">
        <v>256.42930000000001</v>
      </c>
      <c r="K84" s="20">
        <v>37.762099999999997</v>
      </c>
      <c r="L84" s="20">
        <v>45.518900000000002</v>
      </c>
      <c r="M84" s="20">
        <v>46.919800000000002</v>
      </c>
      <c r="N84" s="20">
        <v>21.6401</v>
      </c>
      <c r="O84" s="20">
        <f t="shared" si="5"/>
        <v>39.876412500000001</v>
      </c>
      <c r="P84" s="7"/>
      <c r="Q84" s="13"/>
      <c r="R84" s="14"/>
      <c r="S84" s="14"/>
      <c r="T84" s="27"/>
      <c r="U84" s="28">
        <f t="shared" si="3"/>
        <v>0.55237446197991402</v>
      </c>
    </row>
    <row r="85" spans="1:21" x14ac:dyDescent="0.25">
      <c r="B85" s="6" t="s">
        <v>101</v>
      </c>
      <c r="C85" s="15">
        <v>1933.6630859375</v>
      </c>
      <c r="D85" s="16">
        <v>54.844000000000001</v>
      </c>
      <c r="E85" s="16">
        <v>55.866</v>
      </c>
      <c r="F85" s="16">
        <v>56.189</v>
      </c>
      <c r="G85" s="16">
        <v>11.64</v>
      </c>
      <c r="H85" s="16">
        <f t="shared" si="4"/>
        <v>55.139875000000004</v>
      </c>
      <c r="I85" s="5"/>
      <c r="J85" s="15">
        <v>1421.7419</v>
      </c>
      <c r="K85" s="16">
        <v>53.316800000000001</v>
      </c>
      <c r="L85" s="16">
        <v>54.197000000000003</v>
      </c>
      <c r="M85" s="16">
        <v>54.798200000000001</v>
      </c>
      <c r="N85" s="16">
        <v>22.921199999999999</v>
      </c>
      <c r="O85" s="16">
        <f t="shared" si="5"/>
        <v>53.612000000000002</v>
      </c>
      <c r="P85" s="7"/>
      <c r="Q85" s="8">
        <f>bdrate(C85:C88,D85:D88,J85:J88,K85:K88)</f>
        <v>-0.2258598859128701</v>
      </c>
      <c r="R85" s="8">
        <f>bdrate(C85:C88,E85:E88,J85:J88,L85:L88)</f>
        <v>-0.26070481630058551</v>
      </c>
      <c r="S85" s="8">
        <f>bdrate(C85:C88,F85:F88,J85:J88,M85:M88)</f>
        <v>-0.26646210945225035</v>
      </c>
      <c r="T85" s="25">
        <f>bdrate(C85:C88,H85:H88,J85:J88,O85:O88)</f>
        <v>-0.23469999284901433</v>
      </c>
      <c r="U85" s="28">
        <f t="shared" si="3"/>
        <v>0.96917525773195856</v>
      </c>
    </row>
    <row r="86" spans="1:21" x14ac:dyDescent="0.25">
      <c r="B86" s="9"/>
      <c r="C86" s="17">
        <v>1364.7236328125</v>
      </c>
      <c r="D86" s="18">
        <v>52.359000000000002</v>
      </c>
      <c r="E86" s="18">
        <v>53.482999999999997</v>
      </c>
      <c r="F86" s="18">
        <v>53.871000000000002</v>
      </c>
      <c r="G86" s="18">
        <v>12.73</v>
      </c>
      <c r="H86" s="18">
        <f t="shared" si="4"/>
        <v>52.688499999999998</v>
      </c>
      <c r="I86" s="5"/>
      <c r="J86" s="17">
        <v>973.48050000000001</v>
      </c>
      <c r="K86" s="18">
        <v>51.449100000000001</v>
      </c>
      <c r="L86" s="18">
        <v>52.6404</v>
      </c>
      <c r="M86" s="18">
        <v>53.194699999999997</v>
      </c>
      <c r="N86" s="18">
        <v>29.923200000000001</v>
      </c>
      <c r="O86" s="18">
        <f t="shared" si="5"/>
        <v>51.816212500000006</v>
      </c>
      <c r="P86" s="7"/>
      <c r="Q86" s="10"/>
      <c r="R86" s="11"/>
      <c r="S86" s="11"/>
      <c r="T86" s="26"/>
      <c r="U86" s="28">
        <f t="shared" si="3"/>
        <v>1.3506048703849176</v>
      </c>
    </row>
    <row r="87" spans="1:21" x14ac:dyDescent="0.25">
      <c r="B87" s="9"/>
      <c r="C87" s="17">
        <v>871.150390625</v>
      </c>
      <c r="D87" s="18">
        <v>49.213000000000001</v>
      </c>
      <c r="E87" s="18">
        <v>50.55</v>
      </c>
      <c r="F87" s="18">
        <v>51.036000000000001</v>
      </c>
      <c r="G87" s="18">
        <v>14.06</v>
      </c>
      <c r="H87" s="18">
        <f t="shared" si="4"/>
        <v>49.608000000000004</v>
      </c>
      <c r="I87" s="5"/>
      <c r="J87" s="17">
        <v>605.66610000000003</v>
      </c>
      <c r="K87" s="18">
        <v>48.702300000000001</v>
      </c>
      <c r="L87" s="18">
        <v>50.3459</v>
      </c>
      <c r="M87" s="18">
        <v>50.868000000000002</v>
      </c>
      <c r="N87" s="18">
        <v>39.610100000000003</v>
      </c>
      <c r="O87" s="18">
        <f t="shared" si="5"/>
        <v>49.178462500000002</v>
      </c>
      <c r="P87" s="7"/>
      <c r="Q87" s="10"/>
      <c r="R87" s="11"/>
      <c r="S87" s="11"/>
      <c r="T87" s="26"/>
      <c r="U87" s="28">
        <f t="shared" si="3"/>
        <v>1.8172190611664296</v>
      </c>
    </row>
    <row r="88" spans="1:21" ht="16.5" thickBot="1" x14ac:dyDescent="0.3">
      <c r="B88" s="12"/>
      <c r="C88" s="19">
        <v>456.69140625</v>
      </c>
      <c r="D88" s="20">
        <v>44.856000000000002</v>
      </c>
      <c r="E88" s="20">
        <v>46.414999999999999</v>
      </c>
      <c r="F88" s="20">
        <v>46.985999999999997</v>
      </c>
      <c r="G88" s="20">
        <v>15.84</v>
      </c>
      <c r="H88" s="20">
        <f t="shared" si="4"/>
        <v>45.317125000000004</v>
      </c>
      <c r="I88" s="5"/>
      <c r="J88" s="19">
        <v>312.34449999999998</v>
      </c>
      <c r="K88" s="20">
        <v>44.300699999999999</v>
      </c>
      <c r="L88" s="20">
        <v>46.627000000000002</v>
      </c>
      <c r="M88" s="20">
        <v>47.176499999999997</v>
      </c>
      <c r="N88" s="20">
        <v>50.784300000000002</v>
      </c>
      <c r="O88" s="20">
        <f t="shared" si="5"/>
        <v>44.950962499999996</v>
      </c>
      <c r="P88" s="7"/>
      <c r="Q88" s="13"/>
      <c r="R88" s="14"/>
      <c r="S88" s="14"/>
      <c r="T88" s="27"/>
      <c r="U88" s="28">
        <f t="shared" si="3"/>
        <v>2.2060795454545454</v>
      </c>
    </row>
    <row r="89" spans="1:21" x14ac:dyDescent="0.25">
      <c r="B89" s="6" t="s">
        <v>102</v>
      </c>
      <c r="C89" s="15">
        <v>1957.4775390625</v>
      </c>
      <c r="D89" s="16">
        <v>43.584000000000003</v>
      </c>
      <c r="E89" s="16">
        <v>46.112000000000002</v>
      </c>
      <c r="F89" s="16">
        <v>46.561</v>
      </c>
      <c r="G89" s="16">
        <v>7.92</v>
      </c>
      <c r="H89" s="16">
        <f t="shared" si="4"/>
        <v>44.272125000000003</v>
      </c>
      <c r="I89" s="5"/>
      <c r="J89" s="15">
        <v>1483.9939999999999</v>
      </c>
      <c r="K89" s="16">
        <v>44.176699999999997</v>
      </c>
      <c r="L89" s="16">
        <v>46.607199999999999</v>
      </c>
      <c r="M89" s="16">
        <v>47.0655</v>
      </c>
      <c r="N89" s="16">
        <v>13.9961</v>
      </c>
      <c r="O89" s="16">
        <f t="shared" si="5"/>
        <v>44.841612499999997</v>
      </c>
      <c r="P89" s="7"/>
      <c r="Q89" s="8">
        <f>bdrate(C89:C92,D89:D92,J89:J92,K89:K92)</f>
        <v>-0.31062787259316127</v>
      </c>
      <c r="R89" s="8">
        <f>bdrate(C89:C92,E89:E92,J89:J92,L89:L92)</f>
        <v>-0.39567142368933139</v>
      </c>
      <c r="S89" s="8">
        <f>bdrate(C89:C92,F89:F92,J89:J92,M89:M92)</f>
        <v>-0.38840762794150963</v>
      </c>
      <c r="T89" s="25">
        <f>bdrate(C89:C92,H89:H92,J89:J92,O89:O92)</f>
        <v>-0.32737205785878365</v>
      </c>
      <c r="U89" s="28">
        <f t="shared" si="3"/>
        <v>0.7671843434343435</v>
      </c>
    </row>
    <row r="90" spans="1:21" x14ac:dyDescent="0.25">
      <c r="B90" s="9"/>
      <c r="C90" s="17">
        <v>1354.0751953125</v>
      </c>
      <c r="D90" s="18">
        <v>41.844000000000001</v>
      </c>
      <c r="E90" s="18">
        <v>44.661999999999999</v>
      </c>
      <c r="F90" s="18">
        <v>45.095999999999997</v>
      </c>
      <c r="G90" s="18">
        <v>8.9600000000000009</v>
      </c>
      <c r="H90" s="18">
        <f t="shared" si="4"/>
        <v>42.60275</v>
      </c>
      <c r="I90" s="5"/>
      <c r="J90" s="17">
        <v>992.67489999999998</v>
      </c>
      <c r="K90" s="18">
        <v>42.321100000000001</v>
      </c>
      <c r="L90" s="18">
        <v>45.247700000000002</v>
      </c>
      <c r="M90" s="18">
        <v>45.647799999999997</v>
      </c>
      <c r="N90" s="18">
        <v>17.109100000000002</v>
      </c>
      <c r="O90" s="18">
        <f t="shared" si="5"/>
        <v>43.102762500000004</v>
      </c>
      <c r="P90" s="7"/>
      <c r="Q90" s="10"/>
      <c r="R90" s="11"/>
      <c r="S90" s="11"/>
      <c r="T90" s="26"/>
      <c r="U90" s="28">
        <f t="shared" si="3"/>
        <v>0.90949776785714287</v>
      </c>
    </row>
    <row r="91" spans="1:21" x14ac:dyDescent="0.25">
      <c r="B91" s="9"/>
      <c r="C91" s="17">
        <v>877.3369140625</v>
      </c>
      <c r="D91" s="18">
        <v>39.753</v>
      </c>
      <c r="E91" s="18">
        <v>42.857999999999997</v>
      </c>
      <c r="F91" s="18">
        <v>43.302</v>
      </c>
      <c r="G91" s="18">
        <v>10.220000000000001</v>
      </c>
      <c r="H91" s="18">
        <f t="shared" si="4"/>
        <v>40.58475</v>
      </c>
      <c r="I91" s="5"/>
      <c r="J91" s="17">
        <v>599.44150000000002</v>
      </c>
      <c r="K91" s="18">
        <v>39.661499999999997</v>
      </c>
      <c r="L91" s="18">
        <v>43.358499999999999</v>
      </c>
      <c r="M91" s="18">
        <v>43.7515</v>
      </c>
      <c r="N91" s="18">
        <v>21.2728</v>
      </c>
      <c r="O91" s="18">
        <f t="shared" si="5"/>
        <v>40.634875000000001</v>
      </c>
      <c r="P91" s="7"/>
      <c r="Q91" s="10"/>
      <c r="R91" s="11"/>
      <c r="S91" s="11"/>
      <c r="T91" s="26"/>
      <c r="U91" s="28">
        <f t="shared" si="3"/>
        <v>1.0814872798434441</v>
      </c>
    </row>
    <row r="92" spans="1:21" ht="16.5" thickBot="1" x14ac:dyDescent="0.3">
      <c r="B92" s="12"/>
      <c r="C92" s="19">
        <v>485.765625</v>
      </c>
      <c r="D92" s="20">
        <v>36.906999999999996</v>
      </c>
      <c r="E92" s="20">
        <v>40.515999999999998</v>
      </c>
      <c r="F92" s="20">
        <v>40.97</v>
      </c>
      <c r="G92" s="20">
        <v>12.16</v>
      </c>
      <c r="H92" s="20">
        <f t="shared" si="4"/>
        <v>37.866</v>
      </c>
      <c r="I92" s="5"/>
      <c r="J92" s="19">
        <v>303.53910000000002</v>
      </c>
      <c r="K92" s="20">
        <v>36.085000000000001</v>
      </c>
      <c r="L92" s="20">
        <v>40.998199999999997</v>
      </c>
      <c r="M92" s="20">
        <v>41.394500000000001</v>
      </c>
      <c r="N92" s="20">
        <v>27.0092</v>
      </c>
      <c r="O92" s="20">
        <f t="shared" si="5"/>
        <v>37.362837499999998</v>
      </c>
      <c r="P92" s="7"/>
      <c r="Q92" s="13"/>
      <c r="R92" s="14"/>
      <c r="S92" s="14"/>
      <c r="T92" s="27"/>
      <c r="U92" s="28">
        <f t="shared" si="3"/>
        <v>1.2211513157894736</v>
      </c>
    </row>
    <row r="93" spans="1:21" x14ac:dyDescent="0.25">
      <c r="B93" s="6" t="s">
        <v>103</v>
      </c>
      <c r="C93" s="29">
        <v>1859.5205078125</v>
      </c>
      <c r="D93" s="30">
        <v>39.442</v>
      </c>
      <c r="E93" s="30">
        <v>44.206000000000003</v>
      </c>
      <c r="F93" s="30">
        <v>44.186</v>
      </c>
      <c r="G93" s="16">
        <v>8.68</v>
      </c>
      <c r="H93" s="16">
        <f t="shared" si="4"/>
        <v>40.630499999999998</v>
      </c>
      <c r="I93" s="5"/>
      <c r="J93" s="29">
        <v>1499.7494999999999</v>
      </c>
      <c r="K93" s="30">
        <v>40.084899999999998</v>
      </c>
      <c r="L93" s="30">
        <v>44.765900000000002</v>
      </c>
      <c r="M93" s="30">
        <v>44.759900000000002</v>
      </c>
      <c r="N93" s="16">
        <v>13.4465</v>
      </c>
      <c r="O93" s="16">
        <f t="shared" si="5"/>
        <v>41.254399999999997</v>
      </c>
      <c r="P93" s="7"/>
      <c r="Q93" s="8">
        <f>bdrate(C93:C96,D93:D96,J93:J96,K93:K96)</f>
        <v>-0.26214147247696795</v>
      </c>
      <c r="R93" s="8">
        <f>bdrate(C93:C96,E93:E96,J93:J96,L93:L96)</f>
        <v>-0.4027132241041923</v>
      </c>
      <c r="S93" s="8">
        <f>bdrate(C93:C96,F93:F96,J93:J96,M93:M96)</f>
        <v>-0.40560545914566659</v>
      </c>
      <c r="T93" s="25">
        <f>bdrate(C93:C96,H93:H96,J93:J96,O93:O96)</f>
        <v>-0.29564305226437249</v>
      </c>
      <c r="U93" s="28">
        <f t="shared" si="3"/>
        <v>0.5491359447004609</v>
      </c>
    </row>
    <row r="94" spans="1:21" x14ac:dyDescent="0.25">
      <c r="B94" s="9"/>
      <c r="C94" s="31">
        <v>1205.6611328125</v>
      </c>
      <c r="D94" s="32">
        <v>37.682000000000002</v>
      </c>
      <c r="E94" s="32">
        <v>42.765999999999998</v>
      </c>
      <c r="F94" s="32">
        <v>42.713000000000001</v>
      </c>
      <c r="G94" s="18">
        <v>9.76</v>
      </c>
      <c r="H94" s="18">
        <f t="shared" si="4"/>
        <v>38.946375000000003</v>
      </c>
      <c r="I94" s="5"/>
      <c r="J94" s="31">
        <v>1000.1031</v>
      </c>
      <c r="K94" s="32">
        <v>38.259799999999998</v>
      </c>
      <c r="L94" s="32">
        <v>43.555700000000002</v>
      </c>
      <c r="M94" s="32">
        <v>43.519599999999997</v>
      </c>
      <c r="N94" s="18">
        <v>15.6348</v>
      </c>
      <c r="O94" s="18">
        <f t="shared" si="5"/>
        <v>39.579262499999999</v>
      </c>
      <c r="P94" s="7"/>
      <c r="Q94" s="10"/>
      <c r="R94" s="11"/>
      <c r="S94" s="11"/>
      <c r="T94" s="26"/>
      <c r="U94" s="28">
        <f t="shared" si="3"/>
        <v>0.60192622950819674</v>
      </c>
    </row>
    <row r="95" spans="1:21" x14ac:dyDescent="0.25">
      <c r="B95" s="9"/>
      <c r="C95" s="31">
        <v>780.6591796875</v>
      </c>
      <c r="D95" s="32">
        <v>35.701000000000001</v>
      </c>
      <c r="E95" s="32">
        <v>41.134999999999998</v>
      </c>
      <c r="F95" s="32">
        <v>41.04</v>
      </c>
      <c r="G95" s="18">
        <v>11.14</v>
      </c>
      <c r="H95" s="18">
        <f t="shared" si="4"/>
        <v>37.047625000000004</v>
      </c>
      <c r="I95" s="5"/>
      <c r="J95" s="31">
        <v>600.55349999999999</v>
      </c>
      <c r="K95" s="32">
        <v>35.912100000000002</v>
      </c>
      <c r="L95" s="32">
        <v>42.065300000000001</v>
      </c>
      <c r="M95" s="32">
        <v>42.018900000000002</v>
      </c>
      <c r="N95" s="18">
        <v>18.6858</v>
      </c>
      <c r="O95" s="18">
        <f t="shared" si="5"/>
        <v>37.444599999999994</v>
      </c>
      <c r="P95" s="7"/>
      <c r="Q95" s="10"/>
      <c r="R95" s="11"/>
      <c r="S95" s="11"/>
      <c r="T95" s="26"/>
      <c r="U95" s="28">
        <f t="shared" si="3"/>
        <v>0.67736086175942545</v>
      </c>
    </row>
    <row r="96" spans="1:21" ht="16.5" thickBot="1" x14ac:dyDescent="0.3">
      <c r="B96" s="12"/>
      <c r="C96" s="33">
        <v>391.9189453125</v>
      </c>
      <c r="D96" s="34">
        <v>33.085999999999999</v>
      </c>
      <c r="E96" s="34">
        <v>38.973999999999997</v>
      </c>
      <c r="F96" s="34">
        <v>38.853000000000002</v>
      </c>
      <c r="G96" s="20">
        <v>12.93</v>
      </c>
      <c r="H96" s="20">
        <f t="shared" si="4"/>
        <v>34.542874999999995</v>
      </c>
      <c r="I96" s="5"/>
      <c r="J96" s="33">
        <v>301.51600000000002</v>
      </c>
      <c r="K96" s="34">
        <v>32.978000000000002</v>
      </c>
      <c r="L96" s="34">
        <v>40.273000000000003</v>
      </c>
      <c r="M96" s="34">
        <v>40.1815</v>
      </c>
      <c r="N96" s="20">
        <v>24.058399999999999</v>
      </c>
      <c r="O96" s="20">
        <f t="shared" si="5"/>
        <v>34.790312499999999</v>
      </c>
      <c r="P96" s="7"/>
      <c r="Q96" s="13"/>
      <c r="R96" s="14"/>
      <c r="S96" s="14"/>
      <c r="T96" s="27"/>
      <c r="U96" s="28">
        <f t="shared" si="3"/>
        <v>0.86066511987625671</v>
      </c>
    </row>
    <row r="97" spans="2:21" x14ac:dyDescent="0.25">
      <c r="B97" s="6" t="s">
        <v>104</v>
      </c>
      <c r="C97" s="15">
        <v>1616.931640625</v>
      </c>
      <c r="D97" s="16">
        <v>37.253999999999998</v>
      </c>
      <c r="E97" s="16">
        <v>42.134</v>
      </c>
      <c r="F97" s="16">
        <v>42.694000000000003</v>
      </c>
      <c r="G97" s="16">
        <v>8.6300000000000008</v>
      </c>
      <c r="H97" s="16">
        <f t="shared" si="4"/>
        <v>38.544000000000004</v>
      </c>
      <c r="I97" s="5"/>
      <c r="J97" s="15">
        <v>1508.9935</v>
      </c>
      <c r="K97" s="16">
        <v>38.211599999999997</v>
      </c>
      <c r="L97" s="16">
        <v>43.113799999999998</v>
      </c>
      <c r="M97" s="16">
        <v>43.596299999999999</v>
      </c>
      <c r="N97" s="16">
        <v>13.921900000000001</v>
      </c>
      <c r="O97" s="16">
        <f t="shared" si="5"/>
        <v>39.49746249999999</v>
      </c>
      <c r="P97" s="7"/>
      <c r="Q97" s="8">
        <f>bdrate(C97:C100,D97:D100,J97:J100,K97:K100)</f>
        <v>-0.25449255389437153</v>
      </c>
      <c r="R97" s="8">
        <f>bdrate(C97:C100,E97:E100,J97:J100,L97:L100)</f>
        <v>-0.41438379236808964</v>
      </c>
      <c r="S97" s="8">
        <f>bdrate(C97:C100,F97:F100,J97:J100,M97:M100)</f>
        <v>-0.40194299478150719</v>
      </c>
      <c r="T97" s="25">
        <f>bdrate(C97:C100,H97:H100,J97:J100,O97:O100)</f>
        <v>-0.29299960399806779</v>
      </c>
      <c r="U97" s="28">
        <f t="shared" si="3"/>
        <v>0.61319814600231748</v>
      </c>
    </row>
    <row r="98" spans="2:21" x14ac:dyDescent="0.25">
      <c r="B98" s="9"/>
      <c r="C98" s="17">
        <v>1111.982421875</v>
      </c>
      <c r="D98" s="18">
        <v>35.468000000000004</v>
      </c>
      <c r="E98" s="18">
        <v>40.5</v>
      </c>
      <c r="F98" s="18">
        <v>41.176000000000002</v>
      </c>
      <c r="G98" s="18">
        <v>9.7899999999999991</v>
      </c>
      <c r="H98" s="18">
        <f t="shared" si="4"/>
        <v>36.810500000000005</v>
      </c>
      <c r="I98" s="5"/>
      <c r="J98" s="17">
        <v>1007.6051</v>
      </c>
      <c r="K98" s="18">
        <v>36.338700000000003</v>
      </c>
      <c r="L98" s="18">
        <v>41.791699999999999</v>
      </c>
      <c r="M98" s="18">
        <v>42.341999999999999</v>
      </c>
      <c r="N98" s="18">
        <v>16.239799999999999</v>
      </c>
      <c r="O98" s="18">
        <f t="shared" si="5"/>
        <v>37.770737500000003</v>
      </c>
      <c r="P98" s="7"/>
      <c r="Q98" s="10"/>
      <c r="R98" s="11"/>
      <c r="S98" s="11"/>
      <c r="T98" s="26"/>
      <c r="U98" s="28">
        <f t="shared" si="3"/>
        <v>0.65881511746680288</v>
      </c>
    </row>
    <row r="99" spans="2:21" x14ac:dyDescent="0.25">
      <c r="B99" s="9"/>
      <c r="C99" s="17">
        <v>686.4775390625</v>
      </c>
      <c r="D99" s="18">
        <v>33.280999999999999</v>
      </c>
      <c r="E99" s="18">
        <v>38.442</v>
      </c>
      <c r="F99" s="18">
        <v>39.198999999999998</v>
      </c>
      <c r="G99" s="18">
        <v>10.66</v>
      </c>
      <c r="H99" s="18">
        <f t="shared" si="4"/>
        <v>34.665875</v>
      </c>
      <c r="I99" s="5"/>
      <c r="J99" s="17">
        <v>604.66840000000002</v>
      </c>
      <c r="K99" s="18">
        <v>34.074300000000001</v>
      </c>
      <c r="L99" s="18">
        <v>40.142499999999998</v>
      </c>
      <c r="M99" s="18">
        <v>40.738</v>
      </c>
      <c r="N99" s="18">
        <v>19.324100000000001</v>
      </c>
      <c r="O99" s="18">
        <f t="shared" si="5"/>
        <v>35.6657875</v>
      </c>
      <c r="P99" s="7"/>
      <c r="Q99" s="10"/>
      <c r="R99" s="11"/>
      <c r="S99" s="11"/>
      <c r="T99" s="26"/>
      <c r="U99" s="28">
        <f t="shared" si="3"/>
        <v>0.81276735459662297</v>
      </c>
    </row>
    <row r="100" spans="2:21" ht="16.5" thickBot="1" x14ac:dyDescent="0.3">
      <c r="B100" s="12"/>
      <c r="C100" s="19">
        <v>384.390625</v>
      </c>
      <c r="D100" s="20">
        <v>30.79</v>
      </c>
      <c r="E100" s="20">
        <v>36.119</v>
      </c>
      <c r="F100" s="20">
        <v>36.933999999999997</v>
      </c>
      <c r="G100" s="20">
        <v>11.99</v>
      </c>
      <c r="H100" s="20">
        <f t="shared" si="4"/>
        <v>32.224125000000001</v>
      </c>
      <c r="I100" s="5"/>
      <c r="J100" s="19">
        <v>302.75409999999999</v>
      </c>
      <c r="K100" s="20">
        <v>30.954000000000001</v>
      </c>
      <c r="L100" s="20">
        <v>37.965400000000002</v>
      </c>
      <c r="M100" s="20">
        <v>38.673999999999999</v>
      </c>
      <c r="N100" s="20">
        <v>24.5549</v>
      </c>
      <c r="O100" s="20">
        <f t="shared" si="5"/>
        <v>32.795424999999994</v>
      </c>
      <c r="P100" s="7"/>
      <c r="Q100" s="13"/>
      <c r="R100" s="14"/>
      <c r="S100" s="14"/>
      <c r="T100" s="27"/>
      <c r="U100" s="28">
        <f t="shared" si="3"/>
        <v>1.0479482902418682</v>
      </c>
    </row>
    <row r="101" spans="2:21" x14ac:dyDescent="0.25">
      <c r="B101" s="6" t="s">
        <v>105</v>
      </c>
      <c r="C101" s="15">
        <v>1708.9150390625</v>
      </c>
      <c r="D101" s="16">
        <v>37.536000000000001</v>
      </c>
      <c r="E101" s="16">
        <v>43.798999999999999</v>
      </c>
      <c r="F101" s="16">
        <v>45.637999999999998</v>
      </c>
      <c r="G101" s="16">
        <v>6.93</v>
      </c>
      <c r="H101" s="16">
        <f t="shared" si="4"/>
        <v>39.331624999999995</v>
      </c>
      <c r="I101" s="5"/>
      <c r="J101" s="15">
        <v>1509.9652000000001</v>
      </c>
      <c r="K101" s="16">
        <v>38.102899999999998</v>
      </c>
      <c r="L101" s="16">
        <v>44.184600000000003</v>
      </c>
      <c r="M101" s="16">
        <v>45.700200000000002</v>
      </c>
      <c r="N101" s="16">
        <v>13.123699999999999</v>
      </c>
      <c r="O101" s="16">
        <f t="shared" si="5"/>
        <v>39.812774999999995</v>
      </c>
      <c r="P101" s="7"/>
      <c r="Q101" s="8">
        <f>bdrate(C101:C104,D101:D104,J101:J104,K101:K104)</f>
        <v>-0.22851401000219362</v>
      </c>
      <c r="R101" s="8">
        <f>bdrate(C101:C104,E101:E104,J101:J104,L101:L104)</f>
        <v>-0.35050731233701049</v>
      </c>
      <c r="S101" s="8">
        <f>bdrate(C101:C104,F101:F104,J101:J104,M101:M104)</f>
        <v>-0.27799539963708819</v>
      </c>
      <c r="T101" s="25">
        <f>bdrate(C101:C104,H101:H104,J101:J104,O101:O104)</f>
        <v>-0.25140467320154347</v>
      </c>
      <c r="U101" s="28">
        <f t="shared" si="3"/>
        <v>0.89375180375180374</v>
      </c>
    </row>
    <row r="102" spans="2:21" x14ac:dyDescent="0.25">
      <c r="B102" s="9"/>
      <c r="C102" s="17">
        <v>1137.3984375</v>
      </c>
      <c r="D102" s="18">
        <v>36.204999999999998</v>
      </c>
      <c r="E102" s="18">
        <v>42.735999999999997</v>
      </c>
      <c r="F102" s="18">
        <v>44.436</v>
      </c>
      <c r="G102" s="18">
        <v>8.16</v>
      </c>
      <c r="H102" s="18">
        <f t="shared" si="4"/>
        <v>38.050249999999998</v>
      </c>
      <c r="I102" s="5"/>
      <c r="J102" s="17">
        <v>1008.2073</v>
      </c>
      <c r="K102" s="18">
        <v>36.671999999999997</v>
      </c>
      <c r="L102" s="18">
        <v>43.256999999999998</v>
      </c>
      <c r="M102" s="18">
        <v>44.725700000000003</v>
      </c>
      <c r="N102" s="18">
        <v>15.3804</v>
      </c>
      <c r="O102" s="18">
        <f t="shared" si="5"/>
        <v>38.501837500000001</v>
      </c>
      <c r="P102" s="7"/>
      <c r="Q102" s="10"/>
      <c r="R102" s="11"/>
      <c r="S102" s="11"/>
      <c r="T102" s="26"/>
      <c r="U102" s="28">
        <f t="shared" si="3"/>
        <v>0.88485294117647051</v>
      </c>
    </row>
    <row r="103" spans="2:21" x14ac:dyDescent="0.25">
      <c r="B103" s="9"/>
      <c r="C103" s="17">
        <v>688.3154296875</v>
      </c>
      <c r="D103" s="18">
        <v>34.593000000000004</v>
      </c>
      <c r="E103" s="18">
        <v>41.356999999999999</v>
      </c>
      <c r="F103" s="18">
        <v>42.868000000000002</v>
      </c>
      <c r="G103" s="18">
        <v>9.7899999999999991</v>
      </c>
      <c r="H103" s="18">
        <f t="shared" si="4"/>
        <v>36.472875000000002</v>
      </c>
      <c r="I103" s="5"/>
      <c r="J103" s="17">
        <v>604.61479999999995</v>
      </c>
      <c r="K103" s="18">
        <v>34.994</v>
      </c>
      <c r="L103" s="18">
        <v>42.192100000000003</v>
      </c>
      <c r="M103" s="18">
        <v>43.548099999999998</v>
      </c>
      <c r="N103" s="18">
        <v>18.722100000000001</v>
      </c>
      <c r="O103" s="18">
        <f t="shared" si="5"/>
        <v>36.963025000000002</v>
      </c>
      <c r="P103" s="7"/>
      <c r="Q103" s="10"/>
      <c r="R103" s="11"/>
      <c r="S103" s="11"/>
      <c r="T103" s="26"/>
      <c r="U103" s="28">
        <f t="shared" si="3"/>
        <v>0.91236976506639456</v>
      </c>
    </row>
    <row r="104" spans="2:21" ht="16.5" thickBot="1" x14ac:dyDescent="0.3">
      <c r="B104" s="12"/>
      <c r="C104" s="19">
        <v>349.9140625</v>
      </c>
      <c r="D104" s="20">
        <v>32.604999999999997</v>
      </c>
      <c r="E104" s="20">
        <v>39.552999999999997</v>
      </c>
      <c r="F104" s="20">
        <v>40.683999999999997</v>
      </c>
      <c r="G104" s="20">
        <v>11.92</v>
      </c>
      <c r="H104" s="20">
        <f t="shared" si="4"/>
        <v>34.483374999999995</v>
      </c>
      <c r="I104" s="5"/>
      <c r="J104" s="19">
        <v>300.61040000000003</v>
      </c>
      <c r="K104" s="20">
        <v>32.884399999999999</v>
      </c>
      <c r="L104" s="20">
        <v>40.860100000000003</v>
      </c>
      <c r="M104" s="20">
        <v>42.021799999999999</v>
      </c>
      <c r="N104" s="20">
        <v>24.2607</v>
      </c>
      <c r="O104" s="20">
        <f t="shared" si="5"/>
        <v>35.023537499999996</v>
      </c>
      <c r="P104" s="7"/>
      <c r="Q104" s="13"/>
      <c r="R104" s="14"/>
      <c r="S104" s="14"/>
      <c r="T104" s="27"/>
      <c r="U104" s="28">
        <f t="shared" si="3"/>
        <v>1.0352936241610737</v>
      </c>
    </row>
    <row r="105" spans="2:21" x14ac:dyDescent="0.25">
      <c r="B105" s="6" t="s">
        <v>106</v>
      </c>
      <c r="C105" s="15">
        <v>1422.126953125</v>
      </c>
      <c r="D105" s="16">
        <v>47.610999999999997</v>
      </c>
      <c r="E105" s="16">
        <v>53.488999999999997</v>
      </c>
      <c r="F105" s="16">
        <v>54.792000000000002</v>
      </c>
      <c r="G105" s="16">
        <v>8.7100000000000009</v>
      </c>
      <c r="H105" s="16">
        <f t="shared" si="4"/>
        <v>49.243375</v>
      </c>
      <c r="I105" s="5"/>
      <c r="J105" s="15">
        <v>1497.8632</v>
      </c>
      <c r="K105" s="16">
        <v>49.450499999999998</v>
      </c>
      <c r="L105" s="16">
        <v>54.351500000000001</v>
      </c>
      <c r="M105" s="16">
        <v>55.757599999999996</v>
      </c>
      <c r="N105" s="16">
        <v>16.7179</v>
      </c>
      <c r="O105" s="16">
        <f t="shared" si="5"/>
        <v>50.851512499999998</v>
      </c>
      <c r="P105" s="7"/>
      <c r="Q105" s="8">
        <f>bdrate(C105:C108,D105:D108,J105:J108,K105:K108)</f>
        <v>-0.34070441534201523</v>
      </c>
      <c r="R105" s="8">
        <f>bdrate(C105:C108,E105:E108,J105:J108,L105:L108)</f>
        <v>-0.21332505057850204</v>
      </c>
      <c r="S105" s="8">
        <f>bdrate(C105:C108,F105:F108,J105:J108,M105:M108)</f>
        <v>-0.25549254672127375</v>
      </c>
      <c r="T105" s="25">
        <f>bdrate(C105:C108,H105:H108,J105:J108,O105:O108)</f>
        <v>-0.31742177525282744</v>
      </c>
      <c r="U105" s="28">
        <f t="shared" si="3"/>
        <v>0.91939150401836955</v>
      </c>
    </row>
    <row r="106" spans="2:21" x14ac:dyDescent="0.25">
      <c r="B106" s="9"/>
      <c r="C106" s="17">
        <v>1013.80078125</v>
      </c>
      <c r="D106" s="18">
        <v>46.286999999999999</v>
      </c>
      <c r="E106" s="18">
        <v>52.408000000000001</v>
      </c>
      <c r="F106" s="18">
        <v>53.744</v>
      </c>
      <c r="G106" s="18">
        <v>9.64</v>
      </c>
      <c r="H106" s="18">
        <f t="shared" si="4"/>
        <v>47.984250000000003</v>
      </c>
      <c r="I106" s="5"/>
      <c r="J106" s="17">
        <v>1003.8488</v>
      </c>
      <c r="K106" s="18">
        <v>47.873199999999997</v>
      </c>
      <c r="L106" s="18">
        <v>52.982900000000001</v>
      </c>
      <c r="M106" s="18">
        <v>54.491100000000003</v>
      </c>
      <c r="N106" s="18">
        <v>19.4864</v>
      </c>
      <c r="O106" s="18">
        <f t="shared" si="5"/>
        <v>49.339149999999997</v>
      </c>
      <c r="P106" s="7"/>
      <c r="Q106" s="10"/>
      <c r="R106" s="11"/>
      <c r="S106" s="11"/>
      <c r="T106" s="26"/>
      <c r="U106" s="28">
        <f t="shared" si="3"/>
        <v>1.0214107883817425</v>
      </c>
    </row>
    <row r="107" spans="2:21" x14ac:dyDescent="0.25">
      <c r="B107" s="9"/>
      <c r="C107" s="17">
        <v>635.021484375</v>
      </c>
      <c r="D107" s="18">
        <v>44.393999999999998</v>
      </c>
      <c r="E107" s="18">
        <v>50.57</v>
      </c>
      <c r="F107" s="18">
        <v>51.857999999999997</v>
      </c>
      <c r="G107" s="18">
        <v>11.2</v>
      </c>
      <c r="H107" s="18">
        <f t="shared" si="4"/>
        <v>46.098999999999997</v>
      </c>
      <c r="I107" s="5"/>
      <c r="J107" s="17">
        <v>601.15279999999996</v>
      </c>
      <c r="K107" s="18">
        <v>45.858600000000003</v>
      </c>
      <c r="L107" s="18">
        <v>51.271500000000003</v>
      </c>
      <c r="M107" s="18">
        <v>52.790799999999997</v>
      </c>
      <c r="N107" s="18">
        <v>23.3536</v>
      </c>
      <c r="O107" s="18">
        <f t="shared" si="5"/>
        <v>47.401737500000003</v>
      </c>
      <c r="P107" s="7"/>
      <c r="Q107" s="10"/>
      <c r="R107" s="11"/>
      <c r="S107" s="11"/>
      <c r="T107" s="26"/>
      <c r="U107" s="28">
        <f t="shared" si="3"/>
        <v>1.0851428571428572</v>
      </c>
    </row>
    <row r="108" spans="2:21" ht="16.5" thickBot="1" x14ac:dyDescent="0.3">
      <c r="B108" s="12"/>
      <c r="C108" s="19">
        <v>330.8525390625</v>
      </c>
      <c r="D108" s="20">
        <v>41.570999999999998</v>
      </c>
      <c r="E108" s="20">
        <v>47.503999999999998</v>
      </c>
      <c r="F108" s="20">
        <v>48.898000000000003</v>
      </c>
      <c r="G108" s="20">
        <v>13.68</v>
      </c>
      <c r="H108" s="20">
        <f t="shared" si="4"/>
        <v>43.228500000000004</v>
      </c>
      <c r="I108" s="5"/>
      <c r="J108" s="19">
        <v>302.47910000000002</v>
      </c>
      <c r="K108" s="20">
        <v>43.050699999999999</v>
      </c>
      <c r="L108" s="20">
        <v>48.780099999999997</v>
      </c>
      <c r="M108" s="20">
        <v>50.2973</v>
      </c>
      <c r="N108" s="20">
        <v>30.4193</v>
      </c>
      <c r="O108" s="20">
        <f t="shared" si="5"/>
        <v>44.672699999999999</v>
      </c>
      <c r="P108" s="7"/>
      <c r="Q108" s="13"/>
      <c r="R108" s="14"/>
      <c r="S108" s="14"/>
      <c r="T108" s="27"/>
      <c r="U108" s="28">
        <f t="shared" si="3"/>
        <v>1.2236330409356726</v>
      </c>
    </row>
    <row r="109" spans="2:21" x14ac:dyDescent="0.25">
      <c r="B109" s="6" t="s">
        <v>107</v>
      </c>
      <c r="C109" s="15">
        <v>1611.71875</v>
      </c>
      <c r="D109" s="16">
        <v>32.124000000000002</v>
      </c>
      <c r="E109" s="16">
        <v>40.776000000000003</v>
      </c>
      <c r="F109" s="16">
        <v>40.192</v>
      </c>
      <c r="G109" s="16">
        <v>7.96</v>
      </c>
      <c r="H109" s="16">
        <f t="shared" si="4"/>
        <v>34.214000000000006</v>
      </c>
      <c r="I109" s="5"/>
      <c r="J109" s="15">
        <v>1495.8276000000001</v>
      </c>
      <c r="K109" s="16">
        <v>33.085700000000003</v>
      </c>
      <c r="L109" s="16">
        <v>41.515000000000001</v>
      </c>
      <c r="M109" s="16">
        <v>40.909500000000001</v>
      </c>
      <c r="N109" s="16">
        <v>9.0790000000000006</v>
      </c>
      <c r="O109" s="16">
        <f t="shared" si="5"/>
        <v>35.117337499999998</v>
      </c>
      <c r="P109" s="7"/>
      <c r="Q109" s="8">
        <f>bdrate(C109:C112,D109:D112,J109:J112,K109:K112)</f>
        <v>-0.22946020808214329</v>
      </c>
      <c r="R109" s="8">
        <f>bdrate(C109:C112,E109:E112,J109:J112,L109:L112)</f>
        <v>-0.46228775471701899</v>
      </c>
      <c r="S109" s="8">
        <f>bdrate(C109:C112,F109:F112,J109:J112,M109:M112)</f>
        <v>-0.44981629139474311</v>
      </c>
      <c r="T109" s="25">
        <f>bdrate(C109:C112,H109:H112,J109:J112,O109:O112)</f>
        <v>-0.27931104579378752</v>
      </c>
      <c r="U109" s="28">
        <f t="shared" si="3"/>
        <v>0.14057788944723626</v>
      </c>
    </row>
    <row r="110" spans="2:21" x14ac:dyDescent="0.25">
      <c r="B110" s="9"/>
      <c r="C110" s="17">
        <v>1090.0673828125</v>
      </c>
      <c r="D110" s="18">
        <v>30.603999999999999</v>
      </c>
      <c r="E110" s="18">
        <v>39.423999999999999</v>
      </c>
      <c r="F110" s="18">
        <v>38.826999999999998</v>
      </c>
      <c r="G110" s="18">
        <v>8.86</v>
      </c>
      <c r="H110" s="18">
        <f t="shared" si="4"/>
        <v>32.734375</v>
      </c>
      <c r="I110" s="5"/>
      <c r="J110" s="17">
        <v>994.11839999999995</v>
      </c>
      <c r="K110" s="18">
        <v>31.410699999999999</v>
      </c>
      <c r="L110" s="18">
        <v>40.652000000000001</v>
      </c>
      <c r="M110" s="18">
        <v>40.020200000000003</v>
      </c>
      <c r="N110" s="18">
        <v>10.4933</v>
      </c>
      <c r="O110" s="18">
        <f t="shared" si="5"/>
        <v>33.642049999999998</v>
      </c>
      <c r="P110" s="7"/>
      <c r="Q110" s="10"/>
      <c r="R110" s="11"/>
      <c r="S110" s="11"/>
      <c r="T110" s="26"/>
      <c r="U110" s="28">
        <f t="shared" si="3"/>
        <v>0.18434537246049665</v>
      </c>
    </row>
    <row r="111" spans="2:21" x14ac:dyDescent="0.25">
      <c r="B111" s="9"/>
      <c r="C111" s="17">
        <v>711.4189453125</v>
      </c>
      <c r="D111" s="18">
        <v>29.088999999999999</v>
      </c>
      <c r="E111" s="18">
        <v>37.965000000000003</v>
      </c>
      <c r="F111" s="18">
        <v>37.356000000000002</v>
      </c>
      <c r="G111" s="18">
        <v>9.61</v>
      </c>
      <c r="H111" s="18">
        <f t="shared" si="4"/>
        <v>31.231874999999999</v>
      </c>
      <c r="I111" s="5"/>
      <c r="J111" s="17">
        <v>596.26430000000005</v>
      </c>
      <c r="K111" s="18">
        <v>29.2851</v>
      </c>
      <c r="L111" s="18">
        <v>39.455100000000002</v>
      </c>
      <c r="M111" s="18">
        <v>38.782800000000002</v>
      </c>
      <c r="N111" s="18">
        <v>12.6768</v>
      </c>
      <c r="O111" s="18">
        <f t="shared" si="5"/>
        <v>31.743562500000003</v>
      </c>
      <c r="P111" s="7"/>
      <c r="Q111" s="10"/>
      <c r="R111" s="11"/>
      <c r="S111" s="11"/>
      <c r="T111" s="26"/>
      <c r="U111" s="28">
        <f t="shared" si="3"/>
        <v>0.31912591050988565</v>
      </c>
    </row>
    <row r="112" spans="2:21" ht="16.5" thickBot="1" x14ac:dyDescent="0.3">
      <c r="B112" s="12"/>
      <c r="C112" s="19">
        <v>526.9208984375</v>
      </c>
      <c r="D112" s="20">
        <v>27.963999999999999</v>
      </c>
      <c r="E112" s="20">
        <v>36.67</v>
      </c>
      <c r="F112" s="20">
        <v>36.064</v>
      </c>
      <c r="G112" s="20">
        <v>9.66</v>
      </c>
      <c r="H112" s="20">
        <f t="shared" si="4"/>
        <v>30.06475</v>
      </c>
      <c r="I112" s="5"/>
      <c r="J112" s="19">
        <v>298.76530000000002</v>
      </c>
      <c r="K112" s="20">
        <v>26.5501</v>
      </c>
      <c r="L112" s="20">
        <v>37.482100000000003</v>
      </c>
      <c r="M112" s="20">
        <v>36.828400000000002</v>
      </c>
      <c r="N112" s="20">
        <v>16.2881</v>
      </c>
      <c r="O112" s="20">
        <f t="shared" si="5"/>
        <v>29.201387500000003</v>
      </c>
      <c r="P112" s="7"/>
      <c r="Q112" s="13"/>
      <c r="R112" s="14"/>
      <c r="S112" s="14"/>
      <c r="T112" s="27"/>
      <c r="U112" s="28">
        <f t="shared" si="3"/>
        <v>0.68613871635610768</v>
      </c>
    </row>
    <row r="113" spans="2:21" x14ac:dyDescent="0.25">
      <c r="B113" s="6" t="s">
        <v>108</v>
      </c>
      <c r="C113" s="15">
        <v>2193.0205078125</v>
      </c>
      <c r="D113" s="16">
        <v>48.531999999999996</v>
      </c>
      <c r="E113" s="16">
        <v>49.973999999999997</v>
      </c>
      <c r="F113" s="16">
        <v>49.886000000000003</v>
      </c>
      <c r="G113" s="16">
        <v>7.76</v>
      </c>
      <c r="H113" s="16">
        <f t="shared" si="4"/>
        <v>48.881500000000003</v>
      </c>
      <c r="I113" s="5"/>
      <c r="J113" s="15">
        <v>1421.1383000000001</v>
      </c>
      <c r="K113" s="16">
        <v>46.816099999999999</v>
      </c>
      <c r="L113" s="16">
        <v>48.222200000000001</v>
      </c>
      <c r="M113" s="16">
        <v>48.122</v>
      </c>
      <c r="N113" s="16">
        <v>11.500500000000001</v>
      </c>
      <c r="O113" s="16">
        <f t="shared" si="5"/>
        <v>47.155099999999997</v>
      </c>
      <c r="P113" s="7"/>
      <c r="Q113" s="8">
        <f>bdrate(C113:C116,D113:D116,J113:J116,K113:K116)</f>
        <v>-0.32519346454706755</v>
      </c>
      <c r="R113" s="8">
        <f>bdrate(C113:C116,E113:E116,J113:J116,L113:L116)</f>
        <v>-0.36910200689204442</v>
      </c>
      <c r="S113" s="8">
        <f>bdrate(C113:C116,F113:F116,J113:J116,M113:M116)</f>
        <v>-0.37166148247475228</v>
      </c>
      <c r="T113" s="25">
        <f>bdrate(C113:C116,H113:H116,J113:J116,O113:O116)</f>
        <v>-0.33506884576992613</v>
      </c>
      <c r="U113" s="28">
        <f t="shared" si="3"/>
        <v>0.48202319587628878</v>
      </c>
    </row>
    <row r="114" spans="2:21" x14ac:dyDescent="0.25">
      <c r="B114" s="9"/>
      <c r="C114" s="17">
        <v>1548.447265625</v>
      </c>
      <c r="D114" s="18">
        <v>45.814999999999998</v>
      </c>
      <c r="E114" s="18">
        <v>47.372999999999998</v>
      </c>
      <c r="F114" s="18">
        <v>47.228000000000002</v>
      </c>
      <c r="G114" s="18">
        <v>9.27</v>
      </c>
      <c r="H114" s="18">
        <f t="shared" si="4"/>
        <v>46.186374999999998</v>
      </c>
      <c r="I114" s="5"/>
      <c r="J114" s="17">
        <v>958.25210000000004</v>
      </c>
      <c r="K114" s="18">
        <v>45.225000000000001</v>
      </c>
      <c r="L114" s="18">
        <v>46.8063</v>
      </c>
      <c r="M114" s="18">
        <v>46.704300000000003</v>
      </c>
      <c r="N114" s="18">
        <v>16.3018</v>
      </c>
      <c r="O114" s="18">
        <f t="shared" si="5"/>
        <v>45.607575000000004</v>
      </c>
      <c r="P114" s="7"/>
      <c r="Q114" s="10"/>
      <c r="R114" s="11"/>
      <c r="S114" s="11"/>
      <c r="T114" s="26"/>
      <c r="U114" s="28">
        <f t="shared" si="3"/>
        <v>0.75855447680690413</v>
      </c>
    </row>
    <row r="115" spans="2:21" x14ac:dyDescent="0.25">
      <c r="B115" s="9"/>
      <c r="C115" s="17">
        <v>957.5595703125</v>
      </c>
      <c r="D115" s="18">
        <v>42.826000000000001</v>
      </c>
      <c r="E115" s="18">
        <v>44.591000000000001</v>
      </c>
      <c r="F115" s="18">
        <v>44.417000000000002</v>
      </c>
      <c r="G115" s="18">
        <v>10.77</v>
      </c>
      <c r="H115" s="18">
        <f t="shared" si="4"/>
        <v>43.245500000000007</v>
      </c>
      <c r="I115" s="5"/>
      <c r="J115" s="17">
        <v>594.99950000000001</v>
      </c>
      <c r="K115" s="18">
        <v>42.481999999999999</v>
      </c>
      <c r="L115" s="18">
        <v>44.677300000000002</v>
      </c>
      <c r="M115" s="18">
        <v>44.509700000000002</v>
      </c>
      <c r="N115" s="18">
        <v>21.530799999999999</v>
      </c>
      <c r="O115" s="18">
        <f t="shared" si="5"/>
        <v>43.009875000000001</v>
      </c>
      <c r="P115" s="7"/>
      <c r="Q115" s="10"/>
      <c r="R115" s="11"/>
      <c r="S115" s="11"/>
      <c r="T115" s="26"/>
      <c r="U115" s="28">
        <f t="shared" si="3"/>
        <v>0.99914577530176418</v>
      </c>
    </row>
    <row r="116" spans="2:21" ht="16.5" thickBot="1" x14ac:dyDescent="0.3">
      <c r="B116" s="12"/>
      <c r="C116" s="19">
        <v>513.1123046875</v>
      </c>
      <c r="D116" s="20">
        <v>39.072000000000003</v>
      </c>
      <c r="E116" s="20">
        <v>41.137</v>
      </c>
      <c r="F116" s="20">
        <v>40.893999999999998</v>
      </c>
      <c r="G116" s="20">
        <v>12.51</v>
      </c>
      <c r="H116" s="20">
        <f t="shared" si="4"/>
        <v>39.557875000000003</v>
      </c>
      <c r="I116" s="5"/>
      <c r="J116" s="19">
        <v>303.10559999999998</v>
      </c>
      <c r="K116" s="20">
        <v>38.090000000000003</v>
      </c>
      <c r="L116" s="20">
        <v>41.245600000000003</v>
      </c>
      <c r="M116" s="20">
        <v>41.044899999999998</v>
      </c>
      <c r="N116" s="20">
        <v>27.736699999999999</v>
      </c>
      <c r="O116" s="20">
        <f t="shared" si="5"/>
        <v>38.853812500000004</v>
      </c>
      <c r="P116" s="7"/>
      <c r="Q116" s="13"/>
      <c r="R116" s="14"/>
      <c r="S116" s="14"/>
      <c r="T116" s="27"/>
      <c r="U116" s="28">
        <f t="shared" si="3"/>
        <v>1.2171622701838529</v>
      </c>
    </row>
    <row r="117" spans="2:21" x14ac:dyDescent="0.25">
      <c r="B117" s="6" t="s">
        <v>109</v>
      </c>
      <c r="C117" s="15">
        <v>1512.9970703125</v>
      </c>
      <c r="D117" s="16">
        <v>52.375</v>
      </c>
      <c r="E117" s="16">
        <v>55.216999999999999</v>
      </c>
      <c r="F117" s="16">
        <v>55.148000000000003</v>
      </c>
      <c r="G117" s="16">
        <v>7.77</v>
      </c>
      <c r="H117" s="16">
        <f t="shared" si="4"/>
        <v>53.076875000000001</v>
      </c>
      <c r="I117" s="5"/>
      <c r="J117" s="15">
        <v>1417.4314999999999</v>
      </c>
      <c r="K117" s="16">
        <v>47.064900000000002</v>
      </c>
      <c r="L117" s="16">
        <v>49.953099999999999</v>
      </c>
      <c r="M117" s="16">
        <v>50.092300000000002</v>
      </c>
      <c r="N117" s="16">
        <v>11.8818</v>
      </c>
      <c r="O117" s="16">
        <f t="shared" si="5"/>
        <v>47.804350000000007</v>
      </c>
      <c r="P117" s="7"/>
      <c r="Q117" s="8">
        <f>bdrate(C117:C120,D117:D120,J117:J120,K117:K120)</f>
        <v>0.43750635145723993</v>
      </c>
      <c r="R117" s="8">
        <f>bdrate(C117:C120,E117:E120,J117:J120,L117:L120)</f>
        <v>0.34627933681552991</v>
      </c>
      <c r="S117" s="8">
        <f>bdrate(C117:C120,F117:F120,J117:J120,M117:M120)</f>
        <v>0.32626904827141057</v>
      </c>
      <c r="T117" s="25">
        <f>bdrate(C117:C120,H117:H120,J117:J120,O117:O120)</f>
        <v>0.41323927495298607</v>
      </c>
      <c r="U117" s="28">
        <f t="shared" si="3"/>
        <v>0.52918918918918934</v>
      </c>
    </row>
    <row r="118" spans="2:21" x14ac:dyDescent="0.25">
      <c r="B118" s="9"/>
      <c r="C118" s="17">
        <v>1135.841796875</v>
      </c>
      <c r="D118" s="18">
        <v>54.091999999999999</v>
      </c>
      <c r="E118" s="18">
        <v>57.1</v>
      </c>
      <c r="F118" s="18">
        <v>56.875</v>
      </c>
      <c r="G118" s="18">
        <v>11.02</v>
      </c>
      <c r="H118" s="18">
        <f t="shared" si="4"/>
        <v>54.815875000000005</v>
      </c>
      <c r="I118" s="5"/>
      <c r="J118" s="17">
        <v>976.06010000000003</v>
      </c>
      <c r="K118" s="18">
        <v>45.974600000000002</v>
      </c>
      <c r="L118" s="18">
        <v>49.116700000000002</v>
      </c>
      <c r="M118" s="18">
        <v>49.252499999999998</v>
      </c>
      <c r="N118" s="18">
        <v>13.7905</v>
      </c>
      <c r="O118" s="18">
        <f t="shared" si="5"/>
        <v>46.777099999999997</v>
      </c>
      <c r="P118" s="7"/>
      <c r="Q118" s="10"/>
      <c r="R118" s="11"/>
      <c r="S118" s="11"/>
      <c r="T118" s="26"/>
      <c r="U118" s="28">
        <f t="shared" si="3"/>
        <v>0.25140653357531761</v>
      </c>
    </row>
    <row r="119" spans="2:21" x14ac:dyDescent="0.25">
      <c r="B119" s="9"/>
      <c r="C119" s="17">
        <v>819.322265625</v>
      </c>
      <c r="D119" s="18">
        <v>51.844999999999999</v>
      </c>
      <c r="E119" s="18">
        <v>54.872999999999998</v>
      </c>
      <c r="F119" s="18">
        <v>54.637999999999998</v>
      </c>
      <c r="G119" s="18">
        <v>11.91</v>
      </c>
      <c r="H119" s="18">
        <f t="shared" si="4"/>
        <v>52.572624999999995</v>
      </c>
      <c r="I119" s="5"/>
      <c r="J119" s="17">
        <v>638.1721</v>
      </c>
      <c r="K119" s="18">
        <v>43.142299999999999</v>
      </c>
      <c r="L119" s="18">
        <v>46.427900000000001</v>
      </c>
      <c r="M119" s="18">
        <v>46.710299999999997</v>
      </c>
      <c r="N119" s="18">
        <v>14.2204</v>
      </c>
      <c r="O119" s="18">
        <f t="shared" si="5"/>
        <v>43.999000000000002</v>
      </c>
      <c r="P119" s="7"/>
      <c r="Q119" s="10"/>
      <c r="R119" s="11"/>
      <c r="S119" s="11"/>
      <c r="T119" s="26"/>
      <c r="U119" s="28">
        <f t="shared" si="3"/>
        <v>0.19398824517212424</v>
      </c>
    </row>
    <row r="120" spans="2:21" ht="16.5" thickBot="1" x14ac:dyDescent="0.3">
      <c r="B120" s="12"/>
      <c r="C120" s="19">
        <v>484.361328125</v>
      </c>
      <c r="D120" s="20">
        <v>41.087000000000003</v>
      </c>
      <c r="E120" s="20">
        <v>43.875999999999998</v>
      </c>
      <c r="F120" s="20">
        <v>44.075000000000003</v>
      </c>
      <c r="G120" s="20">
        <v>11.14</v>
      </c>
      <c r="H120" s="20">
        <f t="shared" si="4"/>
        <v>41.809125000000002</v>
      </c>
      <c r="I120" s="5"/>
      <c r="J120" s="19">
        <v>353.9991</v>
      </c>
      <c r="K120" s="20">
        <v>38.666400000000003</v>
      </c>
      <c r="L120" s="20">
        <v>42.457299999999996</v>
      </c>
      <c r="M120" s="20">
        <v>42.747399999999999</v>
      </c>
      <c r="N120" s="20">
        <v>23.5716</v>
      </c>
      <c r="O120" s="20">
        <f t="shared" si="5"/>
        <v>39.650387499999994</v>
      </c>
      <c r="P120" s="7"/>
      <c r="Q120" s="13"/>
      <c r="R120" s="14"/>
      <c r="S120" s="14"/>
      <c r="T120" s="27"/>
      <c r="U120" s="28">
        <f t="shared" si="3"/>
        <v>1.1159425493716337</v>
      </c>
    </row>
    <row r="121" spans="2:21" x14ac:dyDescent="0.25">
      <c r="B121" s="6" t="s">
        <v>110</v>
      </c>
      <c r="C121" s="29">
        <v>1702.0771484375</v>
      </c>
      <c r="D121" s="30">
        <v>32.860999999999997</v>
      </c>
      <c r="E121" s="30">
        <v>36.670999999999999</v>
      </c>
      <c r="F121" s="30">
        <v>35.418999999999997</v>
      </c>
      <c r="G121" s="16">
        <v>8.2799999999999994</v>
      </c>
      <c r="H121" s="16">
        <f t="shared" si="4"/>
        <v>33.656999999999996</v>
      </c>
      <c r="I121" s="5"/>
      <c r="J121" s="29">
        <v>1511.9264000000001</v>
      </c>
      <c r="K121" s="30">
        <v>33.393099999999997</v>
      </c>
      <c r="L121" s="30">
        <v>37.843699999999998</v>
      </c>
      <c r="M121" s="30">
        <v>36.696599999999997</v>
      </c>
      <c r="N121" s="16">
        <v>10.791600000000001</v>
      </c>
      <c r="O121" s="16">
        <f t="shared" si="5"/>
        <v>34.362362499999996</v>
      </c>
      <c r="P121" s="7"/>
      <c r="Q121" s="8">
        <f>bdrate(C121:C124,D121:D124,J121:J124,K121:K124)</f>
        <v>-0.16481131169626417</v>
      </c>
      <c r="R121" s="8">
        <f>bdrate(C121:C124,E121:E124,J121:J124,L121:L124)</f>
        <v>-0.518033261268948</v>
      </c>
      <c r="S121" s="8">
        <f>bdrate(C121:C124,F121:F124,J121:J124,M121:M124)</f>
        <v>-0.51869363356081444</v>
      </c>
      <c r="T121" s="25">
        <f>bdrate(C121:C124,H121:H124,J121:J124,O121:O124)</f>
        <v>-0.24795485950382701</v>
      </c>
      <c r="U121" s="28">
        <f t="shared" si="3"/>
        <v>0.30333333333333351</v>
      </c>
    </row>
    <row r="122" spans="2:21" x14ac:dyDescent="0.25">
      <c r="B122" s="9"/>
      <c r="C122" s="31">
        <v>1147.375</v>
      </c>
      <c r="D122" s="32">
        <v>31.202999999999999</v>
      </c>
      <c r="E122" s="32">
        <v>35.35</v>
      </c>
      <c r="F122" s="32">
        <v>34.049999999999997</v>
      </c>
      <c r="G122" s="18">
        <v>9</v>
      </c>
      <c r="H122" s="18">
        <f t="shared" si="4"/>
        <v>32.077249999999999</v>
      </c>
      <c r="I122" s="5"/>
      <c r="J122" s="31">
        <v>1009.6621</v>
      </c>
      <c r="K122" s="32">
        <v>31.499400000000001</v>
      </c>
      <c r="L122" s="32">
        <v>36.7898</v>
      </c>
      <c r="M122" s="32">
        <v>35.591700000000003</v>
      </c>
      <c r="N122" s="18">
        <v>12.361700000000001</v>
      </c>
      <c r="O122" s="18">
        <f t="shared" si="5"/>
        <v>32.672237500000001</v>
      </c>
      <c r="P122" s="7"/>
      <c r="Q122" s="10"/>
      <c r="R122" s="11"/>
      <c r="S122" s="11"/>
      <c r="T122" s="26"/>
      <c r="U122" s="28">
        <f t="shared" si="3"/>
        <v>0.37352222222222231</v>
      </c>
    </row>
    <row r="123" spans="2:21" x14ac:dyDescent="0.25">
      <c r="B123" s="9"/>
      <c r="C123" s="31">
        <v>722.8310546875</v>
      </c>
      <c r="D123" s="32">
        <v>29.416</v>
      </c>
      <c r="E123" s="32">
        <v>33.914999999999999</v>
      </c>
      <c r="F123" s="32">
        <v>32.561</v>
      </c>
      <c r="G123" s="18">
        <v>9.6999999999999993</v>
      </c>
      <c r="H123" s="18">
        <f t="shared" si="4"/>
        <v>30.371500000000001</v>
      </c>
      <c r="I123" s="5"/>
      <c r="J123" s="31">
        <v>606.32150000000001</v>
      </c>
      <c r="K123" s="32">
        <v>29.310500000000001</v>
      </c>
      <c r="L123" s="32">
        <v>35.563099999999999</v>
      </c>
      <c r="M123" s="32">
        <v>34.273899999999998</v>
      </c>
      <c r="N123" s="18">
        <v>14.9948</v>
      </c>
      <c r="O123" s="18">
        <f t="shared" si="5"/>
        <v>30.712499999999999</v>
      </c>
      <c r="P123" s="7"/>
      <c r="Q123" s="10"/>
      <c r="R123" s="11"/>
      <c r="S123" s="11"/>
      <c r="T123" s="26"/>
      <c r="U123" s="28">
        <f t="shared" si="3"/>
        <v>0.54585567010309288</v>
      </c>
    </row>
    <row r="124" spans="2:21" ht="16.5" thickBot="1" x14ac:dyDescent="0.3">
      <c r="B124" s="12"/>
      <c r="C124" s="33">
        <v>496.0986328125</v>
      </c>
      <c r="D124" s="34">
        <v>27.93</v>
      </c>
      <c r="E124" s="34">
        <v>32.582999999999998</v>
      </c>
      <c r="F124" s="34">
        <v>31.265000000000001</v>
      </c>
      <c r="G124" s="20">
        <v>9.74</v>
      </c>
      <c r="H124" s="20">
        <f t="shared" si="4"/>
        <v>28.9285</v>
      </c>
      <c r="I124" s="5"/>
      <c r="J124" s="33">
        <v>303.65789999999998</v>
      </c>
      <c r="K124" s="34">
        <v>26.9268</v>
      </c>
      <c r="L124" s="34">
        <v>34.011699999999998</v>
      </c>
      <c r="M124" s="34">
        <v>32.607900000000001</v>
      </c>
      <c r="N124" s="20">
        <v>19.275700000000001</v>
      </c>
      <c r="O124" s="20">
        <f t="shared" si="5"/>
        <v>28.522549999999999</v>
      </c>
      <c r="P124" s="7"/>
      <c r="Q124" s="13"/>
      <c r="R124" s="14"/>
      <c r="S124" s="14"/>
      <c r="T124" s="27"/>
      <c r="U124" s="28">
        <f t="shared" si="3"/>
        <v>0.97902464065708417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-0.18783237040998893</v>
      </c>
      <c r="R125" s="21">
        <f>AVERAGE(R9:R124)</f>
        <v>-0.34868642213498729</v>
      </c>
      <c r="S125" s="21">
        <f>AVERAGE(S9:S124)</f>
        <v>-0.35229101665230239</v>
      </c>
      <c r="T125" s="21">
        <f>AVERAGE(T9:T124)</f>
        <v>-0.22352771515939965</v>
      </c>
      <c r="U125" s="21">
        <f>AVERAGE(U9:U124)</f>
        <v>1.0207659034502758</v>
      </c>
    </row>
    <row r="127" spans="2:21" s="35" customFormat="1" ht="15.75" customHeight="1" x14ac:dyDescent="0.25">
      <c r="B127" s="61" t="s">
        <v>29</v>
      </c>
      <c r="C127" s="63" t="s">
        <v>200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127</v>
      </c>
      <c r="D129" s="70"/>
      <c r="E129" s="70"/>
      <c r="F129" s="70"/>
      <c r="G129" s="70"/>
      <c r="H129" s="70"/>
      <c r="I129" s="5"/>
      <c r="J129" s="69" t="s">
        <v>186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4274.2587890625</v>
      </c>
      <c r="D131" s="16">
        <v>38.317</v>
      </c>
      <c r="E131" s="16">
        <v>39.488999999999997</v>
      </c>
      <c r="F131" s="16">
        <v>41.970999999999997</v>
      </c>
      <c r="G131" s="16">
        <v>3.7</v>
      </c>
      <c r="H131" s="16">
        <f t="shared" ref="H131:H202" si="6">(6*D131+E131+F131)/8</f>
        <v>38.920249999999996</v>
      </c>
      <c r="I131" s="5"/>
      <c r="J131" s="15">
        <v>4142.7695999999996</v>
      </c>
      <c r="K131" s="16">
        <v>38.5274</v>
      </c>
      <c r="L131" s="16">
        <v>40.211399999999998</v>
      </c>
      <c r="M131" s="16">
        <v>42.996000000000002</v>
      </c>
      <c r="N131" s="16">
        <v>11.446899999999999</v>
      </c>
      <c r="O131" s="16">
        <f t="shared" ref="O131:O202" si="7">(6*K131+L131+M131)/8</f>
        <v>39.296475000000001</v>
      </c>
      <c r="P131" s="7"/>
      <c r="Q131" s="8">
        <f>bdrate(C131:C134,D131:D134,J131:J134,K131:K134)</f>
        <v>-0.20185407043536596</v>
      </c>
      <c r="R131" s="8">
        <f>bdrate(C131:C134,E131:E134,J131:J134,L131:L134)</f>
        <v>-0.48985795127259779</v>
      </c>
      <c r="S131" s="8">
        <f>bdrate(C131:C134,F131:F134,J131:J134,M131:M134)</f>
        <v>-0.48411766120946265</v>
      </c>
      <c r="T131" s="25">
        <f>bdrate(C131:C134,H131:H134,J131:J134,O131:O134)</f>
        <v>-0.25627989983900701</v>
      </c>
      <c r="U131" s="28">
        <f t="shared" ref="U131:U194" si="8">(N131-G131)/G131</f>
        <v>2.0937567567567563</v>
      </c>
    </row>
    <row r="132" spans="1:21" x14ac:dyDescent="0.25">
      <c r="A132" s="9" t="s">
        <v>36</v>
      </c>
      <c r="B132" s="9"/>
      <c r="C132" s="17">
        <v>3164.6015625</v>
      </c>
      <c r="D132" s="18">
        <v>37.188000000000002</v>
      </c>
      <c r="E132" s="18">
        <v>38.786999999999999</v>
      </c>
      <c r="F132" s="18">
        <v>41.180999999999997</v>
      </c>
      <c r="G132" s="18">
        <v>3.96</v>
      </c>
      <c r="H132" s="18">
        <f t="shared" si="6"/>
        <v>37.887</v>
      </c>
      <c r="I132" s="5"/>
      <c r="J132" s="17">
        <v>3019.0816</v>
      </c>
      <c r="K132" s="18">
        <v>37.582900000000002</v>
      </c>
      <c r="L132" s="18">
        <v>39.7453</v>
      </c>
      <c r="M132" s="18">
        <v>42.348199999999999</v>
      </c>
      <c r="N132" s="18">
        <v>13.484400000000001</v>
      </c>
      <c r="O132" s="18">
        <f t="shared" si="7"/>
        <v>38.448862500000004</v>
      </c>
      <c r="P132" s="7"/>
      <c r="Q132" s="10"/>
      <c r="R132" s="11"/>
      <c r="S132" s="11"/>
      <c r="T132" s="26"/>
      <c r="U132" s="28">
        <f t="shared" si="8"/>
        <v>2.4051515151515153</v>
      </c>
    </row>
    <row r="133" spans="1:21" x14ac:dyDescent="0.25">
      <c r="B133" s="9"/>
      <c r="C133" s="17">
        <v>2099.3671875</v>
      </c>
      <c r="D133" s="18">
        <v>35.57</v>
      </c>
      <c r="E133" s="18">
        <v>37.832000000000001</v>
      </c>
      <c r="F133" s="18">
        <v>40.192999999999998</v>
      </c>
      <c r="G133" s="18">
        <v>4.41</v>
      </c>
      <c r="H133" s="18">
        <f t="shared" si="6"/>
        <v>36.430624999999999</v>
      </c>
      <c r="I133" s="5"/>
      <c r="J133" s="17">
        <v>1979.9616000000001</v>
      </c>
      <c r="K133" s="18">
        <v>36.218800000000002</v>
      </c>
      <c r="L133" s="18">
        <v>39.0961</v>
      </c>
      <c r="M133" s="18">
        <v>41.536799999999999</v>
      </c>
      <c r="N133" s="18">
        <v>16.160299999999999</v>
      </c>
      <c r="O133" s="18">
        <f t="shared" si="7"/>
        <v>37.243212499999998</v>
      </c>
      <c r="P133" s="7"/>
      <c r="Q133" s="10"/>
      <c r="R133" s="11"/>
      <c r="S133" s="11"/>
      <c r="T133" s="26"/>
      <c r="U133" s="28">
        <f t="shared" si="8"/>
        <v>2.6644671201814059</v>
      </c>
    </row>
    <row r="134" spans="1:21" ht="16.5" thickBot="1" x14ac:dyDescent="0.3">
      <c r="B134" s="12"/>
      <c r="C134" s="19">
        <v>1056.3671875</v>
      </c>
      <c r="D134" s="20">
        <v>32.756999999999998</v>
      </c>
      <c r="E134" s="20">
        <v>36.201000000000001</v>
      </c>
      <c r="F134" s="20">
        <v>38.619999999999997</v>
      </c>
      <c r="G134" s="20">
        <v>4.95</v>
      </c>
      <c r="H134" s="20">
        <f t="shared" si="6"/>
        <v>33.920374999999993</v>
      </c>
      <c r="I134" s="5"/>
      <c r="J134" s="19">
        <v>918.49760000000003</v>
      </c>
      <c r="K134" s="20">
        <v>33.448799999999999</v>
      </c>
      <c r="L134" s="20">
        <v>37.738700000000001</v>
      </c>
      <c r="M134" s="20">
        <v>40.006999999999998</v>
      </c>
      <c r="N134" s="20">
        <v>21.3675</v>
      </c>
      <c r="O134" s="20">
        <f t="shared" si="7"/>
        <v>34.804812499999997</v>
      </c>
      <c r="P134" s="7"/>
      <c r="Q134" s="13"/>
      <c r="R134" s="14"/>
      <c r="S134" s="14"/>
      <c r="T134" s="27"/>
      <c r="U134" s="28">
        <f t="shared" si="8"/>
        <v>3.3166666666666664</v>
      </c>
    </row>
    <row r="135" spans="1:21" x14ac:dyDescent="0.25">
      <c r="B135" s="6" t="s">
        <v>47</v>
      </c>
      <c r="C135" s="15">
        <v>4885.2216796875</v>
      </c>
      <c r="D135" s="16">
        <v>29.326000000000001</v>
      </c>
      <c r="E135" s="16">
        <v>40.204000000000001</v>
      </c>
      <c r="F135" s="16">
        <v>41.026000000000003</v>
      </c>
      <c r="G135" s="16">
        <v>4.12</v>
      </c>
      <c r="H135" s="16">
        <f t="shared" si="6"/>
        <v>32.148250000000004</v>
      </c>
      <c r="I135" s="5"/>
      <c r="J135" s="15">
        <v>4185.1440000000002</v>
      </c>
      <c r="K135" s="16">
        <v>29.918099999999999</v>
      </c>
      <c r="L135" s="16">
        <v>40.865099999999998</v>
      </c>
      <c r="M135" s="16">
        <v>41.673999999999999</v>
      </c>
      <c r="N135" s="16">
        <v>8.6936</v>
      </c>
      <c r="O135" s="16">
        <f t="shared" si="7"/>
        <v>32.755962499999995</v>
      </c>
      <c r="P135" s="7"/>
      <c r="Q135" s="8">
        <f>bdrate(C135:C138,D135:D138,J135:J138,K135:K138)</f>
        <v>-0.17639309649182044</v>
      </c>
      <c r="R135" s="8">
        <f>bdrate(C135:C138,E135:E138,J135:J138,L135:L138)</f>
        <v>-0.48825042289378073</v>
      </c>
      <c r="S135" s="8">
        <f>bdrate(C135:C138,F135:F138,J135:J138,M135:M138)</f>
        <v>-0.51079662783598856</v>
      </c>
      <c r="T135" s="25">
        <f>bdrate(C135:C138,H135:H138,J135:J138,O135:O138)</f>
        <v>-0.23294327559251238</v>
      </c>
      <c r="U135" s="28">
        <f t="shared" si="8"/>
        <v>1.1100970873786407</v>
      </c>
    </row>
    <row r="136" spans="1:21" x14ac:dyDescent="0.25">
      <c r="B136" s="9"/>
      <c r="C136" s="17">
        <v>3888.0546875</v>
      </c>
      <c r="D136" s="18">
        <v>28.600999999999999</v>
      </c>
      <c r="E136" s="18">
        <v>39.51</v>
      </c>
      <c r="F136" s="18">
        <v>40.442</v>
      </c>
      <c r="G136" s="18">
        <v>4.2</v>
      </c>
      <c r="H136" s="18">
        <f t="shared" si="6"/>
        <v>31.444749999999999</v>
      </c>
      <c r="I136" s="5"/>
      <c r="J136" s="17">
        <v>3086.8384000000001</v>
      </c>
      <c r="K136" s="18">
        <v>28.551300000000001</v>
      </c>
      <c r="L136" s="18">
        <v>40.342700000000001</v>
      </c>
      <c r="M136" s="18">
        <v>41.244399999999999</v>
      </c>
      <c r="N136" s="18">
        <v>9.9535999999999998</v>
      </c>
      <c r="O136" s="18">
        <f t="shared" si="7"/>
        <v>31.611862500000001</v>
      </c>
      <c r="P136" s="7"/>
      <c r="Q136" s="10"/>
      <c r="R136" s="11"/>
      <c r="S136" s="11"/>
      <c r="T136" s="26"/>
      <c r="U136" s="28">
        <f t="shared" si="8"/>
        <v>1.3699047619047617</v>
      </c>
    </row>
    <row r="137" spans="1:21" x14ac:dyDescent="0.25">
      <c r="B137" s="9"/>
      <c r="C137" s="17">
        <v>3144</v>
      </c>
      <c r="D137" s="18">
        <v>28.033000000000001</v>
      </c>
      <c r="E137" s="18">
        <v>38.555</v>
      </c>
      <c r="F137" s="18">
        <v>39.637999999999998</v>
      </c>
      <c r="G137" s="18">
        <v>4.26</v>
      </c>
      <c r="H137" s="18">
        <f t="shared" si="6"/>
        <v>30.798875000000002</v>
      </c>
      <c r="I137" s="5"/>
      <c r="J137" s="17">
        <v>2076.4144000000001</v>
      </c>
      <c r="K137" s="18">
        <v>26.8767</v>
      </c>
      <c r="L137" s="18">
        <v>39.5627</v>
      </c>
      <c r="M137" s="18">
        <v>40.6053</v>
      </c>
      <c r="N137" s="18">
        <v>11.4749</v>
      </c>
      <c r="O137" s="18">
        <f t="shared" si="7"/>
        <v>30.178525</v>
      </c>
      <c r="P137" s="7"/>
      <c r="Q137" s="10"/>
      <c r="R137" s="11"/>
      <c r="S137" s="11"/>
      <c r="T137" s="26"/>
      <c r="U137" s="28">
        <f t="shared" si="8"/>
        <v>1.6936384976525822</v>
      </c>
    </row>
    <row r="138" spans="1:21" ht="16.5" thickBot="1" x14ac:dyDescent="0.3">
      <c r="B138" s="12"/>
      <c r="C138" s="19">
        <v>2722.0654296875</v>
      </c>
      <c r="D138" s="20">
        <v>27.611999999999998</v>
      </c>
      <c r="E138" s="20">
        <v>37.704000000000001</v>
      </c>
      <c r="F138" s="20">
        <v>38.893999999999998</v>
      </c>
      <c r="G138" s="20">
        <v>4.22</v>
      </c>
      <c r="H138" s="20">
        <f t="shared" si="6"/>
        <v>30.283750000000001</v>
      </c>
      <c r="I138" s="5"/>
      <c r="J138" s="19">
        <v>1421.4480000000001</v>
      </c>
      <c r="K138" s="20">
        <v>25.660599999999999</v>
      </c>
      <c r="L138" s="20">
        <v>38.463999999999999</v>
      </c>
      <c r="M138" s="20">
        <v>39.5732</v>
      </c>
      <c r="N138" s="20">
        <v>12.5366</v>
      </c>
      <c r="O138" s="20">
        <f t="shared" si="7"/>
        <v>29.000099999999996</v>
      </c>
      <c r="P138" s="7"/>
      <c r="Q138" s="13"/>
      <c r="R138" s="14"/>
      <c r="S138" s="14"/>
      <c r="T138" s="27"/>
      <c r="U138" s="28">
        <f t="shared" si="8"/>
        <v>1.970758293838863</v>
      </c>
    </row>
    <row r="139" spans="1:21" x14ac:dyDescent="0.25">
      <c r="A139" s="6" t="s">
        <v>37</v>
      </c>
      <c r="B139" s="6" t="s">
        <v>48</v>
      </c>
      <c r="C139" s="15">
        <v>2182.470703125</v>
      </c>
      <c r="D139" s="16">
        <v>38.820999999999998</v>
      </c>
      <c r="E139" s="16">
        <v>41.878</v>
      </c>
      <c r="F139" s="16">
        <v>43.222999999999999</v>
      </c>
      <c r="G139" s="16">
        <v>6.06</v>
      </c>
      <c r="H139" s="16">
        <f t="shared" si="6"/>
        <v>39.753374999999998</v>
      </c>
      <c r="I139" s="5"/>
      <c r="J139" s="15">
        <v>2371.4720000000002</v>
      </c>
      <c r="K139" s="16">
        <v>39.395699999999998</v>
      </c>
      <c r="L139" s="16">
        <v>42.400300000000001</v>
      </c>
      <c r="M139" s="16">
        <v>44.1023</v>
      </c>
      <c r="N139" s="16">
        <v>19.648</v>
      </c>
      <c r="O139" s="16">
        <f t="shared" si="7"/>
        <v>40.3596</v>
      </c>
      <c r="P139" s="7"/>
      <c r="Q139" s="8">
        <f>bdrate(C139:C142,D139:D142,J139:J142,K139:K142)</f>
        <v>-0.14063912213202434</v>
      </c>
      <c r="R139" s="8">
        <f>bdrate(C139:C142,E139:E142,J139:J142,L139:L142)</f>
        <v>-0.33071119098372592</v>
      </c>
      <c r="S139" s="8">
        <f>bdrate(C139:C142,F139:F142,J139:J142,M139:M142)</f>
        <v>-0.35909233065778123</v>
      </c>
      <c r="T139" s="25">
        <f>bdrate(C139:C142,H139:H142,J139:J142,O139:O142)</f>
        <v>-0.17744725665934402</v>
      </c>
      <c r="U139" s="28">
        <f t="shared" si="8"/>
        <v>2.2422442244224428</v>
      </c>
    </row>
    <row r="140" spans="1:21" x14ac:dyDescent="0.25">
      <c r="A140" s="9" t="s">
        <v>38</v>
      </c>
      <c r="B140" s="9"/>
      <c r="C140" s="17">
        <v>1528.2158203125</v>
      </c>
      <c r="D140" s="18">
        <v>37.679000000000002</v>
      </c>
      <c r="E140" s="18">
        <v>41.268999999999998</v>
      </c>
      <c r="F140" s="18">
        <v>42.514000000000003</v>
      </c>
      <c r="G140" s="18">
        <v>6.75</v>
      </c>
      <c r="H140" s="18">
        <f t="shared" si="6"/>
        <v>38.732125000000003</v>
      </c>
      <c r="I140" s="5"/>
      <c r="J140" s="17">
        <v>1562.7023999999999</v>
      </c>
      <c r="K140" s="18">
        <v>38.241700000000002</v>
      </c>
      <c r="L140" s="18">
        <v>41.840499999999999</v>
      </c>
      <c r="M140" s="18">
        <v>43.333500000000001</v>
      </c>
      <c r="N140" s="18">
        <v>24.2669</v>
      </c>
      <c r="O140" s="18">
        <f t="shared" si="7"/>
        <v>39.328025000000004</v>
      </c>
      <c r="P140" s="7"/>
      <c r="Q140" s="10"/>
      <c r="R140" s="11"/>
      <c r="S140" s="11"/>
      <c r="T140" s="26"/>
      <c r="U140" s="28">
        <f t="shared" si="8"/>
        <v>2.5950962962962962</v>
      </c>
    </row>
    <row r="141" spans="1:21" x14ac:dyDescent="0.25">
      <c r="B141" s="9"/>
      <c r="C141" s="17">
        <v>980.3564453125</v>
      </c>
      <c r="D141" s="18">
        <v>36.258000000000003</v>
      </c>
      <c r="E141" s="18">
        <v>40.457000000000001</v>
      </c>
      <c r="F141" s="18">
        <v>41.655000000000001</v>
      </c>
      <c r="G141" s="18">
        <v>7.5</v>
      </c>
      <c r="H141" s="18">
        <f t="shared" si="6"/>
        <v>37.457499999999996</v>
      </c>
      <c r="I141" s="5"/>
      <c r="J141" s="17">
        <v>963.56719999999996</v>
      </c>
      <c r="K141" s="18">
        <v>36.7104</v>
      </c>
      <c r="L141" s="18">
        <v>41.1432</v>
      </c>
      <c r="M141" s="18">
        <v>42.445300000000003</v>
      </c>
      <c r="N141" s="18">
        <v>29.817399999999999</v>
      </c>
      <c r="O141" s="18">
        <f t="shared" si="7"/>
        <v>37.981362500000003</v>
      </c>
      <c r="P141" s="7"/>
      <c r="Q141" s="10"/>
      <c r="R141" s="11"/>
      <c r="S141" s="11"/>
      <c r="T141" s="26"/>
      <c r="U141" s="28">
        <f t="shared" si="8"/>
        <v>2.9756533333333333</v>
      </c>
    </row>
    <row r="142" spans="1:21" ht="16.5" thickBot="1" x14ac:dyDescent="0.3">
      <c r="B142" s="12"/>
      <c r="C142" s="19">
        <v>598.17578125</v>
      </c>
      <c r="D142" s="20">
        <v>34.695999999999998</v>
      </c>
      <c r="E142" s="20">
        <v>39.512</v>
      </c>
      <c r="F142" s="20">
        <v>40.799999999999997</v>
      </c>
      <c r="G142" s="20">
        <v>7.93</v>
      </c>
      <c r="H142" s="20">
        <f t="shared" si="6"/>
        <v>36.061</v>
      </c>
      <c r="I142" s="5"/>
      <c r="J142" s="19">
        <v>565.38480000000004</v>
      </c>
      <c r="K142" s="20">
        <v>34.920299999999997</v>
      </c>
      <c r="L142" s="20">
        <v>40.427100000000003</v>
      </c>
      <c r="M142" s="20">
        <v>41.661499999999997</v>
      </c>
      <c r="N142" s="20">
        <v>36.199100000000001</v>
      </c>
      <c r="O142" s="20">
        <f t="shared" si="7"/>
        <v>36.451299999999996</v>
      </c>
      <c r="P142" s="7"/>
      <c r="Q142" s="13"/>
      <c r="R142" s="14"/>
      <c r="S142" s="14"/>
      <c r="T142" s="27"/>
      <c r="U142" s="28">
        <f t="shared" si="8"/>
        <v>3.5648297604035313</v>
      </c>
    </row>
    <row r="143" spans="1:21" x14ac:dyDescent="0.25">
      <c r="B143" s="6" t="s">
        <v>49</v>
      </c>
      <c r="C143" s="15">
        <v>2542.611328125</v>
      </c>
      <c r="D143" s="16">
        <v>36.295999999999999</v>
      </c>
      <c r="E143" s="16">
        <v>39.923000000000002</v>
      </c>
      <c r="F143" s="16">
        <v>41.006</v>
      </c>
      <c r="G143" s="16">
        <v>6.18</v>
      </c>
      <c r="H143" s="16">
        <f t="shared" si="6"/>
        <v>37.338125000000005</v>
      </c>
      <c r="I143" s="5"/>
      <c r="J143" s="15">
        <v>2555.096</v>
      </c>
      <c r="K143" s="16">
        <v>36.616799999999998</v>
      </c>
      <c r="L143" s="16">
        <v>40.853400000000001</v>
      </c>
      <c r="M143" s="16">
        <v>42.209699999999998</v>
      </c>
      <c r="N143" s="16">
        <v>19.278700000000001</v>
      </c>
      <c r="O143" s="16">
        <f t="shared" si="7"/>
        <v>37.845487499999997</v>
      </c>
      <c r="P143" s="7"/>
      <c r="Q143" s="8">
        <f>bdrate(C143:C146,D143:D146,J143:J146,K143:K146)</f>
        <v>-0.14486912446883971</v>
      </c>
      <c r="R143" s="8">
        <f>bdrate(C143:C146,E143:E146,J143:J146,L143:L146)</f>
        <v>-0.44570976555904018</v>
      </c>
      <c r="S143" s="8">
        <f>bdrate(C143:C146,F143:F146,J143:J146,M143:M146)</f>
        <v>-0.47570300847786695</v>
      </c>
      <c r="T143" s="25">
        <f>bdrate(C143:C146,H143:H146,J143:J146,O143:O146)</f>
        <v>-0.2118016068002706</v>
      </c>
      <c r="U143" s="28">
        <f t="shared" si="8"/>
        <v>2.1195307443365698</v>
      </c>
    </row>
    <row r="144" spans="1:21" x14ac:dyDescent="0.25">
      <c r="B144" s="9"/>
      <c r="C144" s="17">
        <v>1708.75</v>
      </c>
      <c r="D144" s="18">
        <v>34.959000000000003</v>
      </c>
      <c r="E144" s="18">
        <v>38.954999999999998</v>
      </c>
      <c r="F144" s="18">
        <v>40.084000000000003</v>
      </c>
      <c r="G144" s="18">
        <v>6.92</v>
      </c>
      <c r="H144" s="18">
        <f t="shared" si="6"/>
        <v>36.099125000000001</v>
      </c>
      <c r="I144" s="5"/>
      <c r="J144" s="17">
        <v>1661.6872000000001</v>
      </c>
      <c r="K144" s="18">
        <v>35.346699999999998</v>
      </c>
      <c r="L144" s="18">
        <v>40.002899999999997</v>
      </c>
      <c r="M144" s="18">
        <v>41.221899999999998</v>
      </c>
      <c r="N144" s="18">
        <v>23.032599999999999</v>
      </c>
      <c r="O144" s="18">
        <f t="shared" si="7"/>
        <v>36.663125000000001</v>
      </c>
      <c r="P144" s="7"/>
      <c r="Q144" s="10"/>
      <c r="R144" s="11"/>
      <c r="S144" s="11"/>
      <c r="T144" s="26"/>
      <c r="U144" s="28">
        <f t="shared" si="8"/>
        <v>2.3284104046242775</v>
      </c>
    </row>
    <row r="145" spans="1:21" x14ac:dyDescent="0.25">
      <c r="B145" s="9"/>
      <c r="C145" s="17">
        <v>1051.8291015625</v>
      </c>
      <c r="D145" s="18">
        <v>33.402999999999999</v>
      </c>
      <c r="E145" s="18">
        <v>37.798000000000002</v>
      </c>
      <c r="F145" s="18">
        <v>39.133000000000003</v>
      </c>
      <c r="G145" s="18">
        <v>8</v>
      </c>
      <c r="H145" s="18">
        <f t="shared" si="6"/>
        <v>34.668624999999999</v>
      </c>
      <c r="I145" s="5"/>
      <c r="J145" s="17">
        <v>1029.732</v>
      </c>
      <c r="K145" s="18">
        <v>33.864800000000002</v>
      </c>
      <c r="L145" s="18">
        <v>39.142400000000002</v>
      </c>
      <c r="M145" s="18">
        <v>40.370399999999997</v>
      </c>
      <c r="N145" s="18">
        <v>28.021000000000001</v>
      </c>
      <c r="O145" s="18">
        <f t="shared" si="7"/>
        <v>35.337700000000005</v>
      </c>
      <c r="P145" s="7"/>
      <c r="Q145" s="10"/>
      <c r="R145" s="11"/>
      <c r="S145" s="11"/>
      <c r="T145" s="26"/>
      <c r="U145" s="28">
        <f t="shared" si="8"/>
        <v>2.5026250000000001</v>
      </c>
    </row>
    <row r="146" spans="1:21" ht="16.5" thickBot="1" x14ac:dyDescent="0.3">
      <c r="B146" s="12"/>
      <c r="C146" s="19">
        <v>628.4326171875</v>
      </c>
      <c r="D146" s="20">
        <v>31.815999999999999</v>
      </c>
      <c r="E146" s="20">
        <v>36.756999999999998</v>
      </c>
      <c r="F146" s="20">
        <v>38.404000000000003</v>
      </c>
      <c r="G146" s="20">
        <v>8.93</v>
      </c>
      <c r="H146" s="20">
        <f t="shared" si="6"/>
        <v>33.257125000000002</v>
      </c>
      <c r="I146" s="5"/>
      <c r="J146" s="19">
        <v>614.03279999999995</v>
      </c>
      <c r="K146" s="20">
        <v>32.272100000000002</v>
      </c>
      <c r="L146" s="20">
        <v>38.133600000000001</v>
      </c>
      <c r="M146" s="20">
        <v>39.470799999999997</v>
      </c>
      <c r="N146" s="20">
        <v>33.960700000000003</v>
      </c>
      <c r="O146" s="20">
        <f t="shared" si="7"/>
        <v>33.904625000000003</v>
      </c>
      <c r="P146" s="7"/>
      <c r="Q146" s="13"/>
      <c r="R146" s="14"/>
      <c r="S146" s="14"/>
      <c r="T146" s="27"/>
      <c r="U146" s="28">
        <f t="shared" si="8"/>
        <v>2.8029899216125425</v>
      </c>
    </row>
    <row r="147" spans="1:21" x14ac:dyDescent="0.25">
      <c r="B147" s="6" t="s">
        <v>50</v>
      </c>
      <c r="C147" s="15">
        <v>2463.8388671875</v>
      </c>
      <c r="D147" s="16">
        <v>34.143000000000001</v>
      </c>
      <c r="E147" s="16">
        <v>38.078000000000003</v>
      </c>
      <c r="F147" s="16">
        <v>39.954000000000001</v>
      </c>
      <c r="G147" s="16">
        <v>8.23</v>
      </c>
      <c r="H147" s="16">
        <f t="shared" si="6"/>
        <v>35.361249999999998</v>
      </c>
      <c r="I147" s="5"/>
      <c r="J147" s="15">
        <v>2413.2248</v>
      </c>
      <c r="K147" s="16">
        <v>34.878799999999998</v>
      </c>
      <c r="L147" s="16">
        <v>38.622900000000001</v>
      </c>
      <c r="M147" s="16">
        <v>41.2151</v>
      </c>
      <c r="N147" s="16">
        <v>27.7254</v>
      </c>
      <c r="O147" s="16">
        <f t="shared" si="7"/>
        <v>36.138849999999998</v>
      </c>
      <c r="P147" s="7"/>
      <c r="Q147" s="8">
        <f>bdrate(C147:C150,D147:D150,J147:J150,K147:K150)</f>
        <v>-0.26376312658932166</v>
      </c>
      <c r="R147" s="8">
        <f>bdrate(C147:C150,E147:E150,J147:J150,L147:L150)</f>
        <v>-0.54710051554253769</v>
      </c>
      <c r="S147" s="8">
        <f>bdrate(C147:C150,F147:F150,J147:J150,M147:M150)</f>
        <v>-0.53690345054297217</v>
      </c>
      <c r="T147" s="25">
        <f>bdrate(C147:C150,H147:H150,J147:J150,O147:O150)</f>
        <v>-0.32034580242377531</v>
      </c>
      <c r="U147" s="28">
        <f t="shared" si="8"/>
        <v>2.3688213851761848</v>
      </c>
    </row>
    <row r="148" spans="1:21" x14ac:dyDescent="0.25">
      <c r="B148" s="9"/>
      <c r="C148" s="17">
        <v>1639.4072265625</v>
      </c>
      <c r="D148" s="18">
        <v>32.835999999999999</v>
      </c>
      <c r="E148" s="18">
        <v>37.404000000000003</v>
      </c>
      <c r="F148" s="18">
        <v>38.804000000000002</v>
      </c>
      <c r="G148" s="18">
        <v>9.0299999999999994</v>
      </c>
      <c r="H148" s="18">
        <f t="shared" si="6"/>
        <v>34.152999999999999</v>
      </c>
      <c r="I148" s="5"/>
      <c r="J148" s="17">
        <v>1604.2575999999999</v>
      </c>
      <c r="K148" s="18">
        <v>33.732100000000003</v>
      </c>
      <c r="L148" s="18">
        <v>38.262</v>
      </c>
      <c r="M148" s="18">
        <v>40.392400000000002</v>
      </c>
      <c r="N148" s="18">
        <v>33.389000000000003</v>
      </c>
      <c r="O148" s="18">
        <f t="shared" si="7"/>
        <v>35.130875000000003</v>
      </c>
      <c r="P148" s="7"/>
      <c r="Q148" s="10"/>
      <c r="R148" s="11"/>
      <c r="S148" s="11"/>
      <c r="T148" s="26"/>
      <c r="U148" s="28">
        <f t="shared" si="8"/>
        <v>2.6975636766334445</v>
      </c>
    </row>
    <row r="149" spans="1:21" x14ac:dyDescent="0.25">
      <c r="B149" s="9"/>
      <c r="C149" s="17">
        <v>1023.89453125</v>
      </c>
      <c r="D149" s="18">
        <v>31.286000000000001</v>
      </c>
      <c r="E149" s="18">
        <v>36.536999999999999</v>
      </c>
      <c r="F149" s="18">
        <v>37.444000000000003</v>
      </c>
      <c r="G149" s="18">
        <v>9.4499999999999993</v>
      </c>
      <c r="H149" s="18">
        <f t="shared" si="6"/>
        <v>32.712125</v>
      </c>
      <c r="I149" s="5"/>
      <c r="J149" s="17">
        <v>999.93359999999996</v>
      </c>
      <c r="K149" s="18">
        <v>32.226100000000002</v>
      </c>
      <c r="L149" s="18">
        <v>37.8277</v>
      </c>
      <c r="M149" s="18">
        <v>39.469799999999999</v>
      </c>
      <c r="N149" s="18">
        <v>40.316099999999999</v>
      </c>
      <c r="O149" s="18">
        <f t="shared" si="7"/>
        <v>33.831762500000004</v>
      </c>
      <c r="P149" s="7"/>
      <c r="Q149" s="10"/>
      <c r="R149" s="11"/>
      <c r="S149" s="11"/>
      <c r="T149" s="26"/>
      <c r="U149" s="28">
        <f t="shared" si="8"/>
        <v>3.2662539682539684</v>
      </c>
    </row>
    <row r="150" spans="1:21" ht="16.5" thickBot="1" x14ac:dyDescent="0.3">
      <c r="B150" s="12"/>
      <c r="C150" s="19">
        <v>641.125</v>
      </c>
      <c r="D150" s="20">
        <v>29.734000000000002</v>
      </c>
      <c r="E150" s="20">
        <v>35.576000000000001</v>
      </c>
      <c r="F150" s="20">
        <v>36.027999999999999</v>
      </c>
      <c r="G150" s="20">
        <v>9.9600000000000009</v>
      </c>
      <c r="H150" s="20">
        <f t="shared" si="6"/>
        <v>31.250999999999998</v>
      </c>
      <c r="I150" s="5"/>
      <c r="J150" s="19">
        <v>589.70640000000003</v>
      </c>
      <c r="K150" s="20">
        <v>30.4739</v>
      </c>
      <c r="L150" s="20">
        <v>37.147399999999998</v>
      </c>
      <c r="M150" s="20">
        <v>38.385399999999997</v>
      </c>
      <c r="N150" s="20">
        <v>49.005200000000002</v>
      </c>
      <c r="O150" s="20">
        <f t="shared" si="7"/>
        <v>32.297024999999998</v>
      </c>
      <c r="P150" s="7"/>
      <c r="Q150" s="13"/>
      <c r="R150" s="14"/>
      <c r="S150" s="14"/>
      <c r="T150" s="27"/>
      <c r="U150" s="28">
        <f t="shared" si="8"/>
        <v>3.9202008032128512</v>
      </c>
    </row>
    <row r="151" spans="1:21" x14ac:dyDescent="0.25">
      <c r="B151" s="6" t="s">
        <v>51</v>
      </c>
      <c r="C151" s="29">
        <v>2397.9130859375</v>
      </c>
      <c r="D151" s="30">
        <v>33.89</v>
      </c>
      <c r="E151" s="30">
        <v>40.25</v>
      </c>
      <c r="F151" s="30">
        <v>39.567999999999998</v>
      </c>
      <c r="G151" s="16">
        <v>6.61</v>
      </c>
      <c r="H151" s="16">
        <f t="shared" si="6"/>
        <v>35.394750000000002</v>
      </c>
      <c r="I151" s="5"/>
      <c r="J151" s="29">
        <v>2453.5408000000002</v>
      </c>
      <c r="K151" s="30">
        <v>34.621699999999997</v>
      </c>
      <c r="L151" s="30">
        <v>41.1858</v>
      </c>
      <c r="M151" s="30">
        <v>40.920699999999997</v>
      </c>
      <c r="N151" s="16">
        <v>23.293700000000001</v>
      </c>
      <c r="O151" s="16">
        <f t="shared" si="7"/>
        <v>36.229587499999994</v>
      </c>
      <c r="P151" s="7"/>
      <c r="Q151" s="8">
        <f>bdrate(C151:C154,D151:D154,J151:J154,K151:K154)</f>
        <v>-0.14079503719808684</v>
      </c>
      <c r="R151" s="8">
        <f>bdrate(C151:C154,E151:E154,J151:J154,L151:L154)</f>
        <v>-0.48158670606965581</v>
      </c>
      <c r="S151" s="8">
        <f>bdrate(C151:C154,F151:F154,J151:J154,M151:M154)</f>
        <v>-0.49360367718570819</v>
      </c>
      <c r="T151" s="25">
        <f>bdrate(C151:C154,H151:H154,J151:J154,O151:O154)</f>
        <v>-0.22105729361386195</v>
      </c>
      <c r="U151" s="28">
        <f t="shared" si="8"/>
        <v>2.5240090771558248</v>
      </c>
    </row>
    <row r="152" spans="1:21" x14ac:dyDescent="0.25">
      <c r="B152" s="9"/>
      <c r="C152" s="31">
        <v>1611.7451171875</v>
      </c>
      <c r="D152" s="32">
        <v>32.688000000000002</v>
      </c>
      <c r="E152" s="32">
        <v>39.384</v>
      </c>
      <c r="F152" s="32">
        <v>38.302999999999997</v>
      </c>
      <c r="G152" s="18">
        <v>7.09</v>
      </c>
      <c r="H152" s="18">
        <f t="shared" si="6"/>
        <v>34.226875</v>
      </c>
      <c r="I152" s="5"/>
      <c r="J152" s="31">
        <v>1624.6936000000001</v>
      </c>
      <c r="K152" s="32">
        <v>33.292299999999997</v>
      </c>
      <c r="L152" s="32">
        <v>40.527299999999997</v>
      </c>
      <c r="M152" s="32">
        <v>40.017800000000001</v>
      </c>
      <c r="N152" s="18">
        <v>26.680900000000001</v>
      </c>
      <c r="O152" s="18">
        <f t="shared" si="7"/>
        <v>35.0373625</v>
      </c>
      <c r="P152" s="7"/>
      <c r="Q152" s="10"/>
      <c r="R152" s="11"/>
      <c r="S152" s="11"/>
      <c r="T152" s="26"/>
      <c r="U152" s="28">
        <f t="shared" si="8"/>
        <v>2.7631734837799722</v>
      </c>
    </row>
    <row r="153" spans="1:21" x14ac:dyDescent="0.25">
      <c r="B153" s="9"/>
      <c r="C153" s="31">
        <v>1046.9033203125</v>
      </c>
      <c r="D153" s="32">
        <v>31.359000000000002</v>
      </c>
      <c r="E153" s="32">
        <v>38.335000000000001</v>
      </c>
      <c r="F153" s="32">
        <v>37.005000000000003</v>
      </c>
      <c r="G153" s="18">
        <v>7.5</v>
      </c>
      <c r="H153" s="18">
        <f t="shared" si="6"/>
        <v>32.936750000000004</v>
      </c>
      <c r="I153" s="5"/>
      <c r="J153" s="31">
        <v>1011.5064</v>
      </c>
      <c r="K153" s="32">
        <v>31.653600000000001</v>
      </c>
      <c r="L153" s="32">
        <v>39.775100000000002</v>
      </c>
      <c r="M153" s="32">
        <v>38.936500000000002</v>
      </c>
      <c r="N153" s="18">
        <v>32.082099999999997</v>
      </c>
      <c r="O153" s="18">
        <f t="shared" si="7"/>
        <v>33.579150000000006</v>
      </c>
      <c r="P153" s="7"/>
      <c r="Q153" s="10"/>
      <c r="R153" s="11"/>
      <c r="S153" s="11"/>
      <c r="T153" s="26"/>
      <c r="U153" s="28">
        <f t="shared" si="8"/>
        <v>3.277613333333333</v>
      </c>
    </row>
    <row r="154" spans="1:21" ht="16.5" thickBot="1" x14ac:dyDescent="0.3">
      <c r="B154" s="12"/>
      <c r="C154" s="33">
        <v>821.109375</v>
      </c>
      <c r="D154" s="34">
        <v>30.548999999999999</v>
      </c>
      <c r="E154" s="34">
        <v>37.597000000000001</v>
      </c>
      <c r="F154" s="34">
        <v>36.173999999999999</v>
      </c>
      <c r="G154" s="20">
        <v>7.53</v>
      </c>
      <c r="H154" s="20">
        <f t="shared" si="6"/>
        <v>32.133125</v>
      </c>
      <c r="I154" s="5"/>
      <c r="J154" s="33">
        <v>607.57280000000003</v>
      </c>
      <c r="K154" s="34">
        <v>29.840399999999999</v>
      </c>
      <c r="L154" s="34">
        <v>38.741300000000003</v>
      </c>
      <c r="M154" s="34">
        <v>37.501300000000001</v>
      </c>
      <c r="N154" s="20">
        <v>40.163899999999998</v>
      </c>
      <c r="O154" s="20">
        <f t="shared" si="7"/>
        <v>31.910624999999996</v>
      </c>
      <c r="P154" s="7"/>
      <c r="Q154" s="13"/>
      <c r="R154" s="14"/>
      <c r="S154" s="14"/>
      <c r="T154" s="27"/>
      <c r="U154" s="28">
        <f t="shared" si="8"/>
        <v>4.3338512616201852</v>
      </c>
    </row>
    <row r="155" spans="1:21" x14ac:dyDescent="0.25">
      <c r="B155" s="6" t="s">
        <v>52</v>
      </c>
      <c r="C155" s="15">
        <v>2578.4072265625</v>
      </c>
      <c r="D155" s="16">
        <v>33.630000000000003</v>
      </c>
      <c r="E155" s="16">
        <v>39.46</v>
      </c>
      <c r="F155" s="16">
        <v>41.91</v>
      </c>
      <c r="G155" s="16">
        <v>5.9</v>
      </c>
      <c r="H155" s="16">
        <f t="shared" si="6"/>
        <v>35.393750000000004</v>
      </c>
      <c r="I155" s="5"/>
      <c r="J155" s="15">
        <v>2417.2912000000001</v>
      </c>
      <c r="K155" s="16">
        <v>33.995899999999999</v>
      </c>
      <c r="L155" s="16">
        <v>40.386200000000002</v>
      </c>
      <c r="M155" s="16">
        <v>42.818800000000003</v>
      </c>
      <c r="N155" s="16">
        <v>25.220700000000001</v>
      </c>
      <c r="O155" s="16">
        <f t="shared" si="7"/>
        <v>35.897549999999995</v>
      </c>
      <c r="P155" s="7"/>
      <c r="Q155" s="8">
        <f>bdrate(C155:C158,D155:D158,J155:J158,K155:K158)</f>
        <v>-0.31522486188924603</v>
      </c>
      <c r="R155" s="8">
        <f>bdrate(C155:C158,E155:E158,J155:J158,L155:L158)</f>
        <v>-0.57967789086061527</v>
      </c>
      <c r="S155" s="8">
        <f>bdrate(C155:C158,F155:F158,J155:J158,M155:M158)</f>
        <v>-0.59337484420169107</v>
      </c>
      <c r="T155" s="25">
        <f>bdrate(C155:C158,H155:H158,J155:J158,O155:O158)</f>
        <v>-0.3683559789117381</v>
      </c>
      <c r="U155" s="28">
        <f t="shared" si="8"/>
        <v>3.2746949152542375</v>
      </c>
    </row>
    <row r="156" spans="1:21" x14ac:dyDescent="0.25">
      <c r="B156" s="9"/>
      <c r="C156" s="17">
        <v>1727.2724609375</v>
      </c>
      <c r="D156" s="18">
        <v>32.768000000000001</v>
      </c>
      <c r="E156" s="18">
        <v>38.835000000000001</v>
      </c>
      <c r="F156" s="18">
        <v>41.408999999999999</v>
      </c>
      <c r="G156" s="18">
        <v>6.82</v>
      </c>
      <c r="H156" s="18">
        <f t="shared" si="6"/>
        <v>34.606500000000004</v>
      </c>
      <c r="I156" s="5"/>
      <c r="J156" s="17">
        <v>1581.3792000000001</v>
      </c>
      <c r="K156" s="18">
        <v>33.327199999999998</v>
      </c>
      <c r="L156" s="18">
        <v>39.917000000000002</v>
      </c>
      <c r="M156" s="18">
        <v>42.403399999999998</v>
      </c>
      <c r="N156" s="18">
        <v>29.259699999999999</v>
      </c>
      <c r="O156" s="18">
        <f t="shared" si="7"/>
        <v>35.285449999999997</v>
      </c>
      <c r="P156" s="7"/>
      <c r="Q156" s="10"/>
      <c r="R156" s="11"/>
      <c r="S156" s="11"/>
      <c r="T156" s="26"/>
      <c r="U156" s="28">
        <f t="shared" si="8"/>
        <v>3.2902785923753664</v>
      </c>
    </row>
    <row r="157" spans="1:21" x14ac:dyDescent="0.25">
      <c r="B157" s="9"/>
      <c r="C157" s="17">
        <v>1083.28515625</v>
      </c>
      <c r="D157" s="18">
        <v>31.574000000000002</v>
      </c>
      <c r="E157" s="18">
        <v>38.116</v>
      </c>
      <c r="F157" s="18">
        <v>40.805999999999997</v>
      </c>
      <c r="G157" s="18">
        <v>7.73</v>
      </c>
      <c r="H157" s="18">
        <f t="shared" si="6"/>
        <v>33.545749999999998</v>
      </c>
      <c r="I157" s="5"/>
      <c r="J157" s="17">
        <v>988.18079999999998</v>
      </c>
      <c r="K157" s="18">
        <v>32.352400000000003</v>
      </c>
      <c r="L157" s="18">
        <v>39.246899999999997</v>
      </c>
      <c r="M157" s="18">
        <v>41.783700000000003</v>
      </c>
      <c r="N157" s="18">
        <v>36.663600000000002</v>
      </c>
      <c r="O157" s="18">
        <f t="shared" si="7"/>
        <v>34.393125000000005</v>
      </c>
      <c r="P157" s="7"/>
      <c r="Q157" s="10"/>
      <c r="R157" s="11"/>
      <c r="S157" s="11"/>
      <c r="T157" s="26"/>
      <c r="U157" s="28">
        <f t="shared" si="8"/>
        <v>3.743027166882277</v>
      </c>
    </row>
    <row r="158" spans="1:21" ht="16.5" thickBot="1" x14ac:dyDescent="0.3">
      <c r="B158" s="12"/>
      <c r="C158" s="19">
        <v>670.1943359375</v>
      </c>
      <c r="D158" s="20">
        <v>30.178000000000001</v>
      </c>
      <c r="E158" s="20">
        <v>37.412999999999997</v>
      </c>
      <c r="F158" s="20">
        <v>40.161000000000001</v>
      </c>
      <c r="G158" s="20">
        <v>8.3699999999999992</v>
      </c>
      <c r="H158" s="20">
        <f t="shared" si="6"/>
        <v>32.330249999999999</v>
      </c>
      <c r="I158" s="5"/>
      <c r="J158" s="19">
        <v>582.39279999999997</v>
      </c>
      <c r="K158" s="20">
        <v>30.9251</v>
      </c>
      <c r="L158" s="20">
        <v>38.648800000000001</v>
      </c>
      <c r="M158" s="20">
        <v>41.290300000000002</v>
      </c>
      <c r="N158" s="20">
        <v>45.731699999999996</v>
      </c>
      <c r="O158" s="20">
        <f t="shared" si="7"/>
        <v>33.186212499999996</v>
      </c>
      <c r="P158" s="7"/>
      <c r="Q158" s="13"/>
      <c r="R158" s="14"/>
      <c r="S158" s="14"/>
      <c r="T158" s="27"/>
      <c r="U158" s="28">
        <f t="shared" si="8"/>
        <v>4.4637634408602151</v>
      </c>
    </row>
    <row r="159" spans="1:21" x14ac:dyDescent="0.25">
      <c r="A159" s="6" t="s">
        <v>39</v>
      </c>
      <c r="B159" s="6" t="s">
        <v>53</v>
      </c>
      <c r="C159" s="15">
        <v>1241.58984375</v>
      </c>
      <c r="D159" s="16">
        <v>35.973999999999997</v>
      </c>
      <c r="E159" s="16">
        <v>40.192999999999998</v>
      </c>
      <c r="F159" s="16">
        <v>40.046999999999997</v>
      </c>
      <c r="G159" s="16">
        <v>27.69</v>
      </c>
      <c r="H159" s="16">
        <f t="shared" si="6"/>
        <v>37.010499999999993</v>
      </c>
      <c r="I159" s="5"/>
      <c r="J159" s="15">
        <v>1208.1912</v>
      </c>
      <c r="K159" s="16">
        <v>36.624899999999997</v>
      </c>
      <c r="L159" s="16">
        <v>40.985700000000001</v>
      </c>
      <c r="M159" s="16">
        <v>40.972999999999999</v>
      </c>
      <c r="N159" s="16">
        <v>76.312600000000003</v>
      </c>
      <c r="O159" s="16">
        <f t="shared" si="7"/>
        <v>37.7135125</v>
      </c>
      <c r="P159" s="7"/>
      <c r="Q159" s="8">
        <f>bdrate(C159:C162,D159:D162,J159:J162,K159:K162)</f>
        <v>-0.12694272298276987</v>
      </c>
      <c r="R159" s="8">
        <f>bdrate(C159:C162,E159:E162,J159:J162,L159:L162)</f>
        <v>-0.29542503055593872</v>
      </c>
      <c r="S159" s="8">
        <f>bdrate(C159:C162,F159:F162,J159:J162,M159:M162)</f>
        <v>-0.30717266910401153</v>
      </c>
      <c r="T159" s="25">
        <f>bdrate(C159:C162,H159:H162,J159:J162,O159:O162)</f>
        <v>-0.17105450285817614</v>
      </c>
      <c r="U159" s="28">
        <f t="shared" si="8"/>
        <v>1.755962441314554</v>
      </c>
    </row>
    <row r="160" spans="1:21" x14ac:dyDescent="0.25">
      <c r="A160" s="9" t="s">
        <v>40</v>
      </c>
      <c r="B160" s="9"/>
      <c r="C160" s="17">
        <v>852.6416015625</v>
      </c>
      <c r="D160" s="18">
        <v>34.369</v>
      </c>
      <c r="E160" s="18">
        <v>38.924999999999997</v>
      </c>
      <c r="F160" s="18">
        <v>38.564999999999998</v>
      </c>
      <c r="G160" s="18">
        <v>31.13</v>
      </c>
      <c r="H160" s="18">
        <f t="shared" si="6"/>
        <v>35.463000000000001</v>
      </c>
      <c r="I160" s="5"/>
      <c r="J160" s="17">
        <v>802.49599999999998</v>
      </c>
      <c r="K160" s="18">
        <v>34.831499999999998</v>
      </c>
      <c r="L160" s="18">
        <v>39.692500000000003</v>
      </c>
      <c r="M160" s="18">
        <v>39.470799999999997</v>
      </c>
      <c r="N160" s="18">
        <v>89.031300000000002</v>
      </c>
      <c r="O160" s="18">
        <f t="shared" si="7"/>
        <v>36.019037499999996</v>
      </c>
      <c r="P160" s="7"/>
      <c r="Q160" s="10"/>
      <c r="R160" s="11"/>
      <c r="S160" s="11"/>
      <c r="T160" s="26"/>
      <c r="U160" s="28">
        <f t="shared" si="8"/>
        <v>1.8599839383231611</v>
      </c>
    </row>
    <row r="161" spans="1:21" x14ac:dyDescent="0.25">
      <c r="B161" s="9"/>
      <c r="C161" s="17">
        <v>527.6826171875</v>
      </c>
      <c r="D161" s="18">
        <v>32.622</v>
      </c>
      <c r="E161" s="18">
        <v>37.362000000000002</v>
      </c>
      <c r="F161" s="18">
        <v>36.837000000000003</v>
      </c>
      <c r="G161" s="18">
        <v>31.02</v>
      </c>
      <c r="H161" s="18">
        <f t="shared" si="6"/>
        <v>33.741374999999998</v>
      </c>
      <c r="I161" s="5"/>
      <c r="J161" s="17">
        <v>500.29919999999998</v>
      </c>
      <c r="K161" s="18">
        <v>32.882800000000003</v>
      </c>
      <c r="L161" s="18">
        <v>38.351399999999998</v>
      </c>
      <c r="M161" s="18">
        <v>38.028300000000002</v>
      </c>
      <c r="N161" s="18">
        <v>103.3912</v>
      </c>
      <c r="O161" s="18">
        <f t="shared" si="7"/>
        <v>34.209562500000004</v>
      </c>
      <c r="P161" s="7"/>
      <c r="Q161" s="10"/>
      <c r="R161" s="11"/>
      <c r="S161" s="11"/>
      <c r="T161" s="26"/>
      <c r="U161" s="28">
        <f t="shared" si="8"/>
        <v>2.3330496453900711</v>
      </c>
    </row>
    <row r="162" spans="1:21" ht="16.5" thickBot="1" x14ac:dyDescent="0.3">
      <c r="B162" s="12"/>
      <c r="C162" s="19">
        <v>314.4765625</v>
      </c>
      <c r="D162" s="20">
        <v>30.888999999999999</v>
      </c>
      <c r="E162" s="20">
        <v>35.753</v>
      </c>
      <c r="F162" s="20">
        <v>35.082000000000001</v>
      </c>
      <c r="G162" s="20">
        <v>33.840000000000003</v>
      </c>
      <c r="H162" s="20">
        <f t="shared" si="6"/>
        <v>32.021124999999998</v>
      </c>
      <c r="I162" s="5"/>
      <c r="J162" s="19">
        <v>299.14640000000003</v>
      </c>
      <c r="K162" s="20">
        <v>30.900200000000002</v>
      </c>
      <c r="L162" s="20">
        <v>36.992899999999999</v>
      </c>
      <c r="M162" s="20">
        <v>36.4191</v>
      </c>
      <c r="N162" s="20">
        <v>125.2191</v>
      </c>
      <c r="O162" s="20">
        <f t="shared" si="7"/>
        <v>32.351649999999999</v>
      </c>
      <c r="P162" s="7"/>
      <c r="Q162" s="13"/>
      <c r="R162" s="14"/>
      <c r="S162" s="14"/>
      <c r="T162" s="27"/>
      <c r="U162" s="28">
        <f t="shared" si="8"/>
        <v>2.7003280141843966</v>
      </c>
    </row>
    <row r="163" spans="1:21" x14ac:dyDescent="0.25">
      <c r="B163" s="6" t="s">
        <v>54</v>
      </c>
      <c r="C163" s="15">
        <v>1289.328125</v>
      </c>
      <c r="D163" s="16">
        <v>35.122</v>
      </c>
      <c r="E163" s="16">
        <v>40.493000000000002</v>
      </c>
      <c r="F163" s="16">
        <v>41.325000000000003</v>
      </c>
      <c r="G163" s="16">
        <v>23.34</v>
      </c>
      <c r="H163" s="16">
        <f t="shared" si="6"/>
        <v>36.568750000000001</v>
      </c>
      <c r="I163" s="5"/>
      <c r="J163" s="15">
        <v>1209.992</v>
      </c>
      <c r="K163" s="16">
        <v>36.023499999999999</v>
      </c>
      <c r="L163" s="16">
        <v>41.632800000000003</v>
      </c>
      <c r="M163" s="16">
        <v>42.619100000000003</v>
      </c>
      <c r="N163" s="16">
        <v>83.426000000000002</v>
      </c>
      <c r="O163" s="16">
        <f t="shared" si="7"/>
        <v>37.5491125</v>
      </c>
      <c r="P163" s="7"/>
      <c r="Q163" s="8">
        <f>bdrate(C163:C166,D163:D166,J163:J166,K163:K166)</f>
        <v>-0.26785826234415611</v>
      </c>
      <c r="R163" s="8">
        <f>bdrate(C163:C166,E163:E166,J163:J166,L163:L166)</f>
        <v>-0.48910427529621081</v>
      </c>
      <c r="S163" s="8">
        <f>bdrate(C163:C166,F163:F166,J163:J166,M163:M166)</f>
        <v>-0.48794011678727989</v>
      </c>
      <c r="T163" s="25">
        <f>bdrate(C163:C166,H163:H166,J163:J166,O163:O166)</f>
        <v>-0.317698878349847</v>
      </c>
      <c r="U163" s="28">
        <f t="shared" si="8"/>
        <v>2.5743787489288774</v>
      </c>
    </row>
    <row r="164" spans="1:21" x14ac:dyDescent="0.25">
      <c r="B164" s="9"/>
      <c r="C164" s="17">
        <v>859.1025390625</v>
      </c>
      <c r="D164" s="18">
        <v>33.54</v>
      </c>
      <c r="E164" s="18">
        <v>39.301000000000002</v>
      </c>
      <c r="F164" s="18">
        <v>39.987000000000002</v>
      </c>
      <c r="G164" s="18">
        <v>25.07</v>
      </c>
      <c r="H164" s="18">
        <f t="shared" si="6"/>
        <v>35.066000000000003</v>
      </c>
      <c r="I164" s="5"/>
      <c r="J164" s="17">
        <v>806.10559999999998</v>
      </c>
      <c r="K164" s="18">
        <v>34.513399999999997</v>
      </c>
      <c r="L164" s="18">
        <v>40.753900000000002</v>
      </c>
      <c r="M164" s="18">
        <v>41.5946</v>
      </c>
      <c r="N164" s="18">
        <v>97.040300000000002</v>
      </c>
      <c r="O164" s="18">
        <f t="shared" si="7"/>
        <v>36.1786125</v>
      </c>
      <c r="P164" s="7"/>
      <c r="Q164" s="10"/>
      <c r="R164" s="11"/>
      <c r="S164" s="11"/>
      <c r="T164" s="26"/>
      <c r="U164" s="28">
        <f t="shared" si="8"/>
        <v>2.8707738332668531</v>
      </c>
    </row>
    <row r="165" spans="1:21" x14ac:dyDescent="0.25">
      <c r="B165" s="9"/>
      <c r="C165" s="17">
        <v>535.4921875</v>
      </c>
      <c r="D165" s="18">
        <v>31.684000000000001</v>
      </c>
      <c r="E165" s="18">
        <v>37.915999999999997</v>
      </c>
      <c r="F165" s="18">
        <v>38.447000000000003</v>
      </c>
      <c r="G165" s="18">
        <v>26.77</v>
      </c>
      <c r="H165" s="18">
        <f t="shared" si="6"/>
        <v>33.308374999999998</v>
      </c>
      <c r="I165" s="5"/>
      <c r="J165" s="17">
        <v>505.16559999999998</v>
      </c>
      <c r="K165" s="18">
        <v>32.689399999999999</v>
      </c>
      <c r="L165" s="18">
        <v>39.655099999999997</v>
      </c>
      <c r="M165" s="18">
        <v>40.380800000000001</v>
      </c>
      <c r="N165" s="18">
        <v>115.14100000000001</v>
      </c>
      <c r="O165" s="18">
        <f t="shared" si="7"/>
        <v>34.521537500000001</v>
      </c>
      <c r="P165" s="7"/>
      <c r="Q165" s="10"/>
      <c r="R165" s="11"/>
      <c r="S165" s="11"/>
      <c r="T165" s="26"/>
      <c r="U165" s="28">
        <f t="shared" si="8"/>
        <v>3.3011206574523726</v>
      </c>
    </row>
    <row r="166" spans="1:21" ht="16.5" thickBot="1" x14ac:dyDescent="0.3">
      <c r="B166" s="12"/>
      <c r="C166" s="19">
        <v>330.7978515625</v>
      </c>
      <c r="D166" s="20">
        <v>29.777000000000001</v>
      </c>
      <c r="E166" s="20">
        <v>36.530999999999999</v>
      </c>
      <c r="F166" s="20">
        <v>36.956000000000003</v>
      </c>
      <c r="G166" s="20">
        <v>28.08</v>
      </c>
      <c r="H166" s="20">
        <f t="shared" si="6"/>
        <v>31.518625</v>
      </c>
      <c r="I166" s="5"/>
      <c r="J166" s="19">
        <v>305.024</v>
      </c>
      <c r="K166" s="20">
        <v>30.656600000000001</v>
      </c>
      <c r="L166" s="20">
        <v>38.560899999999997</v>
      </c>
      <c r="M166" s="20">
        <v>39.157200000000003</v>
      </c>
      <c r="N166" s="20">
        <v>137.36259999999999</v>
      </c>
      <c r="O166" s="20">
        <f t="shared" si="7"/>
        <v>32.707212500000004</v>
      </c>
      <c r="P166" s="7"/>
      <c r="Q166" s="13"/>
      <c r="R166" s="14"/>
      <c r="S166" s="14"/>
      <c r="T166" s="27"/>
      <c r="U166" s="28">
        <f t="shared" si="8"/>
        <v>3.8918304843304843</v>
      </c>
    </row>
    <row r="167" spans="1:21" x14ac:dyDescent="0.25">
      <c r="B167" s="6" t="s">
        <v>55</v>
      </c>
      <c r="C167" s="15">
        <v>1384.5625</v>
      </c>
      <c r="D167" s="16">
        <v>30.640999999999998</v>
      </c>
      <c r="E167" s="16">
        <v>36.945</v>
      </c>
      <c r="F167" s="16">
        <v>37.695999999999998</v>
      </c>
      <c r="G167" s="16">
        <v>17.66</v>
      </c>
      <c r="H167" s="16">
        <f t="shared" si="6"/>
        <v>32.310874999999996</v>
      </c>
      <c r="I167" s="5"/>
      <c r="J167" s="15">
        <v>1194.7704000000001</v>
      </c>
      <c r="K167" s="16">
        <v>30.976600000000001</v>
      </c>
      <c r="L167" s="16">
        <v>37.688200000000002</v>
      </c>
      <c r="M167" s="16">
        <v>38.532699999999998</v>
      </c>
      <c r="N167" s="16">
        <v>73.163600000000002</v>
      </c>
      <c r="O167" s="16">
        <f t="shared" si="7"/>
        <v>32.760062499999997</v>
      </c>
      <c r="P167" s="7"/>
      <c r="Q167" s="8">
        <f>bdrate(C167:C170,D167:D170,J167:J170,K167:K170)</f>
        <v>-0.24851673278620312</v>
      </c>
      <c r="R167" s="8">
        <f>bdrate(C167:C170,E167:E170,J167:J170,L167:L170)</f>
        <v>-0.44747775838389403</v>
      </c>
      <c r="S167" s="8">
        <f>bdrate(C167:C170,F167:F170,J167:J170,M167:M170)</f>
        <v>-0.44939330009081169</v>
      </c>
      <c r="T167" s="25">
        <f>bdrate(C167:C170,H167:H170,J167:J170,O167:O170)</f>
        <v>-0.2925005881116407</v>
      </c>
      <c r="U167" s="28">
        <f t="shared" si="8"/>
        <v>3.1428992072480186</v>
      </c>
    </row>
    <row r="168" spans="1:21" x14ac:dyDescent="0.25">
      <c r="B168" s="9"/>
      <c r="C168" s="17">
        <v>960.390625</v>
      </c>
      <c r="D168" s="18">
        <v>29.265000000000001</v>
      </c>
      <c r="E168" s="18">
        <v>36.042999999999999</v>
      </c>
      <c r="F168" s="18">
        <v>36.789000000000001</v>
      </c>
      <c r="G168" s="18">
        <v>18.16</v>
      </c>
      <c r="H168" s="18">
        <f t="shared" si="6"/>
        <v>31.052750000000003</v>
      </c>
      <c r="I168" s="5"/>
      <c r="J168" s="17">
        <v>793.48080000000004</v>
      </c>
      <c r="K168" s="18">
        <v>29.620999999999999</v>
      </c>
      <c r="L168" s="18">
        <v>36.777799999999999</v>
      </c>
      <c r="M168" s="18">
        <v>37.590299999999999</v>
      </c>
      <c r="N168" s="18">
        <v>85.019599999999997</v>
      </c>
      <c r="O168" s="18">
        <f t="shared" si="7"/>
        <v>31.511762500000003</v>
      </c>
      <c r="P168" s="7"/>
      <c r="Q168" s="10"/>
      <c r="R168" s="11"/>
      <c r="S168" s="11"/>
      <c r="T168" s="26"/>
      <c r="U168" s="28">
        <f t="shared" si="8"/>
        <v>3.6816960352422909</v>
      </c>
    </row>
    <row r="169" spans="1:21" x14ac:dyDescent="0.25">
      <c r="B169" s="9"/>
      <c r="C169" s="17">
        <v>597.5751953125</v>
      </c>
      <c r="D169" s="18">
        <v>27.797999999999998</v>
      </c>
      <c r="E169" s="18">
        <v>34.901000000000003</v>
      </c>
      <c r="F169" s="18">
        <v>35.695</v>
      </c>
      <c r="G169" s="18">
        <v>19.55</v>
      </c>
      <c r="H169" s="18">
        <f t="shared" si="6"/>
        <v>29.672999999999998</v>
      </c>
      <c r="I169" s="5"/>
      <c r="J169" s="17">
        <v>501.66399999999999</v>
      </c>
      <c r="K169" s="18">
        <v>28.145</v>
      </c>
      <c r="L169" s="18">
        <v>35.916400000000003</v>
      </c>
      <c r="M169" s="18">
        <v>36.664700000000003</v>
      </c>
      <c r="N169" s="18">
        <v>101.7501</v>
      </c>
      <c r="O169" s="18">
        <f t="shared" si="7"/>
        <v>30.181387500000003</v>
      </c>
      <c r="P169" s="7"/>
      <c r="Q169" s="10"/>
      <c r="R169" s="11"/>
      <c r="S169" s="11"/>
      <c r="T169" s="26"/>
      <c r="U169" s="28">
        <f t="shared" si="8"/>
        <v>4.2046086956521744</v>
      </c>
    </row>
    <row r="170" spans="1:21" ht="16.5" thickBot="1" x14ac:dyDescent="0.3">
      <c r="B170" s="12"/>
      <c r="C170" s="19">
        <v>362.5087890625</v>
      </c>
      <c r="D170" s="20">
        <v>26.428000000000001</v>
      </c>
      <c r="E170" s="20">
        <v>33.780999999999999</v>
      </c>
      <c r="F170" s="20">
        <v>34.567999999999998</v>
      </c>
      <c r="G170" s="20">
        <v>21.44</v>
      </c>
      <c r="H170" s="20">
        <f t="shared" si="6"/>
        <v>28.364625000000004</v>
      </c>
      <c r="I170" s="5"/>
      <c r="J170" s="19">
        <v>303.64960000000002</v>
      </c>
      <c r="K170" s="20">
        <v>26.663</v>
      </c>
      <c r="L170" s="20">
        <v>35.081699999999998</v>
      </c>
      <c r="M170" s="20">
        <v>35.7879</v>
      </c>
      <c r="N170" s="20">
        <v>126.6785</v>
      </c>
      <c r="O170" s="20">
        <f t="shared" si="7"/>
        <v>28.855950000000004</v>
      </c>
      <c r="P170" s="7"/>
      <c r="Q170" s="13"/>
      <c r="R170" s="14"/>
      <c r="S170" s="14"/>
      <c r="T170" s="27"/>
      <c r="U170" s="28">
        <f t="shared" si="8"/>
        <v>4.9085121268656717</v>
      </c>
    </row>
    <row r="171" spans="1:21" x14ac:dyDescent="0.25">
      <c r="B171" s="6" t="s">
        <v>56</v>
      </c>
      <c r="C171" s="15">
        <v>1272.0654296875</v>
      </c>
      <c r="D171" s="16">
        <v>32.692999999999998</v>
      </c>
      <c r="E171" s="16">
        <v>37.213000000000001</v>
      </c>
      <c r="F171" s="16">
        <v>38.935000000000002</v>
      </c>
      <c r="G171" s="16">
        <v>18.73</v>
      </c>
      <c r="H171" s="16">
        <f t="shared" si="6"/>
        <v>34.038249999999998</v>
      </c>
      <c r="I171" s="5"/>
      <c r="J171" s="15">
        <v>1191.5408</v>
      </c>
      <c r="K171" s="16">
        <v>32.977899999999998</v>
      </c>
      <c r="L171" s="16">
        <v>37.779499999999999</v>
      </c>
      <c r="M171" s="16">
        <v>39.386800000000001</v>
      </c>
      <c r="N171" s="16">
        <v>55.555599999999998</v>
      </c>
      <c r="O171" s="16">
        <f t="shared" si="7"/>
        <v>34.379212499999994</v>
      </c>
      <c r="P171" s="7"/>
      <c r="Q171" s="8">
        <f>bdrate(C171:C174,D171:D174,J171:J174,K171:K174)</f>
        <v>-0.15738776798748333</v>
      </c>
      <c r="R171" s="8">
        <f>bdrate(C171:C174,E171:E174,J171:J174,L171:L174)</f>
        <v>-0.38696195554328627</v>
      </c>
      <c r="S171" s="8">
        <f>bdrate(C171:C174,F171:F174,J171:J174,M171:M174)</f>
        <v>-0.37432866777076634</v>
      </c>
      <c r="T171" s="25">
        <f>bdrate(C171:C174,H171:H174,J171:J174,O171:O174)</f>
        <v>-0.20640470173987591</v>
      </c>
      <c r="U171" s="28">
        <f t="shared" si="8"/>
        <v>1.9661292044847833</v>
      </c>
    </row>
    <row r="172" spans="1:21" x14ac:dyDescent="0.25">
      <c r="B172" s="9"/>
      <c r="C172" s="17">
        <v>919.0859375</v>
      </c>
      <c r="D172" s="18">
        <v>31.358000000000001</v>
      </c>
      <c r="E172" s="18">
        <v>36.292999999999999</v>
      </c>
      <c r="F172" s="18">
        <v>37.991999999999997</v>
      </c>
      <c r="G172" s="18">
        <v>20.010000000000002</v>
      </c>
      <c r="H172" s="18">
        <f t="shared" si="6"/>
        <v>32.804124999999999</v>
      </c>
      <c r="I172" s="5"/>
      <c r="J172" s="17">
        <v>792.62639999999999</v>
      </c>
      <c r="K172" s="18">
        <v>31.485499999999998</v>
      </c>
      <c r="L172" s="18">
        <v>36.9161</v>
      </c>
      <c r="M172" s="18">
        <v>38.542400000000001</v>
      </c>
      <c r="N172" s="18">
        <v>63.4786</v>
      </c>
      <c r="O172" s="18">
        <f t="shared" si="7"/>
        <v>33.046437499999996</v>
      </c>
      <c r="P172" s="7"/>
      <c r="Q172" s="10"/>
      <c r="R172" s="11"/>
      <c r="S172" s="11"/>
      <c r="T172" s="26"/>
      <c r="U172" s="28">
        <f t="shared" si="8"/>
        <v>2.1723438280859564</v>
      </c>
    </row>
    <row r="173" spans="1:21" x14ac:dyDescent="0.25">
      <c r="B173" s="9"/>
      <c r="C173" s="17">
        <v>607.20703125</v>
      </c>
      <c r="D173" s="18">
        <v>29.888000000000002</v>
      </c>
      <c r="E173" s="18">
        <v>35.213000000000001</v>
      </c>
      <c r="F173" s="18">
        <v>36.845999999999997</v>
      </c>
      <c r="G173" s="18">
        <v>20.309999999999999</v>
      </c>
      <c r="H173" s="18">
        <f t="shared" si="6"/>
        <v>31.423375</v>
      </c>
      <c r="I173" s="5"/>
      <c r="J173" s="17">
        <v>495.64479999999998</v>
      </c>
      <c r="K173" s="18">
        <v>29.821899999999999</v>
      </c>
      <c r="L173" s="18">
        <v>36.000999999999998</v>
      </c>
      <c r="M173" s="18">
        <v>37.659799999999997</v>
      </c>
      <c r="N173" s="18">
        <v>73.691999999999993</v>
      </c>
      <c r="O173" s="18">
        <f t="shared" si="7"/>
        <v>31.574024999999999</v>
      </c>
      <c r="P173" s="7"/>
      <c r="Q173" s="10"/>
      <c r="R173" s="11"/>
      <c r="S173" s="11"/>
      <c r="T173" s="26"/>
      <c r="U173" s="28">
        <f t="shared" si="8"/>
        <v>2.6283604135893643</v>
      </c>
    </row>
    <row r="174" spans="1:21" ht="16.5" thickBot="1" x14ac:dyDescent="0.3">
      <c r="B174" s="12"/>
      <c r="C174" s="19">
        <v>362.2685546875</v>
      </c>
      <c r="D174" s="20">
        <v>28.411000000000001</v>
      </c>
      <c r="E174" s="20">
        <v>34.052</v>
      </c>
      <c r="F174" s="20">
        <v>35.630000000000003</v>
      </c>
      <c r="G174" s="20">
        <v>21.75</v>
      </c>
      <c r="H174" s="20">
        <f t="shared" si="6"/>
        <v>30.0185</v>
      </c>
      <c r="I174" s="5"/>
      <c r="J174" s="19">
        <v>298.5856</v>
      </c>
      <c r="K174" s="20">
        <v>28.2056</v>
      </c>
      <c r="L174" s="20">
        <v>35.129600000000003</v>
      </c>
      <c r="M174" s="20">
        <v>36.782400000000003</v>
      </c>
      <c r="N174" s="20">
        <v>89.445400000000006</v>
      </c>
      <c r="O174" s="20">
        <f t="shared" si="7"/>
        <v>30.1432</v>
      </c>
      <c r="P174" s="7"/>
      <c r="Q174" s="13"/>
      <c r="R174" s="14"/>
      <c r="S174" s="14"/>
      <c r="T174" s="27"/>
      <c r="U174" s="28">
        <f t="shared" si="8"/>
        <v>3.1124321839080462</v>
      </c>
    </row>
    <row r="175" spans="1:21" x14ac:dyDescent="0.25">
      <c r="A175" s="6" t="s">
        <v>41</v>
      </c>
      <c r="B175" s="6" t="s">
        <v>57</v>
      </c>
      <c r="C175" s="15">
        <v>601.890625</v>
      </c>
      <c r="D175" s="16">
        <v>34.378</v>
      </c>
      <c r="E175" s="16">
        <v>40.383000000000003</v>
      </c>
      <c r="F175" s="16">
        <v>38.476999999999997</v>
      </c>
      <c r="G175" s="16">
        <v>52.02</v>
      </c>
      <c r="H175" s="16">
        <f t="shared" si="6"/>
        <v>35.640999999999998</v>
      </c>
      <c r="I175" s="5"/>
      <c r="J175" s="15">
        <v>602.38720000000001</v>
      </c>
      <c r="K175" s="16">
        <v>35.206299999999999</v>
      </c>
      <c r="L175" s="16">
        <v>40.945099999999996</v>
      </c>
      <c r="M175" s="16">
        <v>39.336399999999998</v>
      </c>
      <c r="N175" s="16">
        <v>209.20500000000001</v>
      </c>
      <c r="O175" s="16">
        <f t="shared" si="7"/>
        <v>36.439912499999998</v>
      </c>
      <c r="P175" s="7"/>
      <c r="Q175" s="8">
        <f>bdrate(C175:C178,D175:D178,J175:J178,K175:K178)</f>
        <v>-0.11275761143727903</v>
      </c>
      <c r="R175" s="8">
        <f>bdrate(C175:C178,E175:E178,J175:J178,L175:L178)</f>
        <v>-0.28662645266187969</v>
      </c>
      <c r="S175" s="8">
        <f>bdrate(C175:C178,F175:F178,J175:J178,M175:M178)</f>
        <v>-0.345186430055482</v>
      </c>
      <c r="T175" s="25">
        <f>bdrate(C175:C178,H175:H178,J175:J178,O175:O178)</f>
        <v>-0.15998364043915736</v>
      </c>
      <c r="U175" s="28">
        <f t="shared" si="8"/>
        <v>3.0216262975778547</v>
      </c>
    </row>
    <row r="176" spans="1:21" x14ac:dyDescent="0.25">
      <c r="A176" s="9" t="s">
        <v>42</v>
      </c>
      <c r="B176" s="9"/>
      <c r="C176" s="17">
        <v>421.9658203125</v>
      </c>
      <c r="D176" s="18">
        <v>32.825000000000003</v>
      </c>
      <c r="E176" s="18">
        <v>39.195</v>
      </c>
      <c r="F176" s="18">
        <v>37.097999999999999</v>
      </c>
      <c r="G176" s="18">
        <v>57.28</v>
      </c>
      <c r="H176" s="18">
        <f t="shared" si="6"/>
        <v>34.155374999999999</v>
      </c>
      <c r="I176" s="5"/>
      <c r="J176" s="17">
        <v>401.62880000000001</v>
      </c>
      <c r="K176" s="18">
        <v>33.321599999999997</v>
      </c>
      <c r="L176" s="18">
        <v>39.787500000000001</v>
      </c>
      <c r="M176" s="18">
        <v>38.033999999999999</v>
      </c>
      <c r="N176" s="18">
        <v>239.12</v>
      </c>
      <c r="O176" s="18">
        <f t="shared" si="7"/>
        <v>34.718887500000001</v>
      </c>
      <c r="P176" s="7"/>
      <c r="Q176" s="10"/>
      <c r="R176" s="11"/>
      <c r="S176" s="11"/>
      <c r="T176" s="26"/>
      <c r="U176" s="28">
        <f t="shared" si="8"/>
        <v>3.1745810055865924</v>
      </c>
    </row>
    <row r="177" spans="1:21" x14ac:dyDescent="0.25">
      <c r="B177" s="9"/>
      <c r="C177" s="17">
        <v>269.41796875</v>
      </c>
      <c r="D177" s="18">
        <v>31.100999999999999</v>
      </c>
      <c r="E177" s="18">
        <v>37.796999999999997</v>
      </c>
      <c r="F177" s="18">
        <v>35.573</v>
      </c>
      <c r="G177" s="18">
        <v>59.56</v>
      </c>
      <c r="H177" s="18">
        <f t="shared" si="6"/>
        <v>32.497</v>
      </c>
      <c r="I177" s="5"/>
      <c r="J177" s="17">
        <v>250.62639999999999</v>
      </c>
      <c r="K177" s="18">
        <v>31.285499999999999</v>
      </c>
      <c r="L177" s="18">
        <v>38.603700000000003</v>
      </c>
      <c r="M177" s="18">
        <v>36.752299999999998</v>
      </c>
      <c r="N177" s="18">
        <v>281.21480000000003</v>
      </c>
      <c r="O177" s="18">
        <f t="shared" si="7"/>
        <v>32.883625000000002</v>
      </c>
      <c r="P177" s="7"/>
      <c r="Q177" s="10"/>
      <c r="R177" s="11"/>
      <c r="S177" s="11"/>
      <c r="T177" s="26"/>
      <c r="U177" s="28">
        <f t="shared" si="8"/>
        <v>3.7215379449294832</v>
      </c>
    </row>
    <row r="178" spans="1:21" ht="16.5" thickBot="1" x14ac:dyDescent="0.3">
      <c r="B178" s="12"/>
      <c r="C178" s="19">
        <v>134.1923828125</v>
      </c>
      <c r="D178" s="20">
        <v>28.722999999999999</v>
      </c>
      <c r="E178" s="20">
        <v>35.731999999999999</v>
      </c>
      <c r="F178" s="20">
        <v>33.323999999999998</v>
      </c>
      <c r="G178" s="20">
        <v>67.58</v>
      </c>
      <c r="H178" s="20">
        <f t="shared" si="6"/>
        <v>30.174250000000001</v>
      </c>
      <c r="I178" s="5"/>
      <c r="J178" s="19">
        <v>120.3904</v>
      </c>
      <c r="K178" s="20">
        <v>28.382000000000001</v>
      </c>
      <c r="L178" s="20">
        <v>36.9709</v>
      </c>
      <c r="M178" s="20">
        <v>34.804499999999997</v>
      </c>
      <c r="N178" s="20">
        <v>368.45979999999997</v>
      </c>
      <c r="O178" s="20">
        <f t="shared" si="7"/>
        <v>30.258424999999999</v>
      </c>
      <c r="P178" s="7"/>
      <c r="Q178" s="13"/>
      <c r="R178" s="14"/>
      <c r="S178" s="14"/>
      <c r="T178" s="27"/>
      <c r="U178" s="28">
        <f t="shared" si="8"/>
        <v>4.4522018348623851</v>
      </c>
    </row>
    <row r="179" spans="1:21" x14ac:dyDescent="0.25">
      <c r="B179" s="6" t="s">
        <v>58</v>
      </c>
      <c r="C179" s="15">
        <v>691.6796875</v>
      </c>
      <c r="D179" s="16">
        <v>34.133000000000003</v>
      </c>
      <c r="E179" s="16">
        <v>41.731000000000002</v>
      </c>
      <c r="F179" s="16">
        <v>42.643000000000001</v>
      </c>
      <c r="G179" s="16">
        <v>31.9</v>
      </c>
      <c r="H179" s="16">
        <f t="shared" si="6"/>
        <v>36.146500000000003</v>
      </c>
      <c r="I179" s="5"/>
      <c r="J179" s="15">
        <v>597.68079999999998</v>
      </c>
      <c r="K179" s="16">
        <v>34.110300000000002</v>
      </c>
      <c r="L179" s="16">
        <v>42.077500000000001</v>
      </c>
      <c r="M179" s="16">
        <v>43.009900000000002</v>
      </c>
      <c r="N179" s="16">
        <v>265.25200000000001</v>
      </c>
      <c r="O179" s="16">
        <f t="shared" si="7"/>
        <v>36.218650000000004</v>
      </c>
      <c r="P179" s="7"/>
      <c r="Q179" s="8">
        <f>bdrate(C179:C182,D179:D182,J179:J182,K179:K182)</f>
        <v>-0.19052297821947839</v>
      </c>
      <c r="R179" s="8">
        <f>bdrate(C179:C182,E179:E182,J179:J182,L179:L182)</f>
        <v>-0.29953849303069724</v>
      </c>
      <c r="S179" s="8">
        <f>bdrate(C179:C182,F179:F182,J179:J182,M179:M182)</f>
        <v>-0.31121202765579625</v>
      </c>
      <c r="T179" s="25">
        <f>bdrate(C179:C182,H179:H182,J179:J182,O179:O182)</f>
        <v>-0.21281870267882452</v>
      </c>
      <c r="U179" s="28">
        <f t="shared" si="8"/>
        <v>7.3151097178683386</v>
      </c>
    </row>
    <row r="180" spans="1:21" x14ac:dyDescent="0.25">
      <c r="B180" s="9"/>
      <c r="C180" s="17">
        <v>512.91015625</v>
      </c>
      <c r="D180" s="18">
        <v>33.082999999999998</v>
      </c>
      <c r="E180" s="18">
        <v>41.095999999999997</v>
      </c>
      <c r="F180" s="18">
        <v>41.960999999999999</v>
      </c>
      <c r="G180" s="18">
        <v>37.75</v>
      </c>
      <c r="H180" s="18">
        <f t="shared" si="6"/>
        <v>35.194375000000001</v>
      </c>
      <c r="I180" s="5"/>
      <c r="J180" s="17">
        <v>397.27359999999999</v>
      </c>
      <c r="K180" s="18">
        <v>32.797499999999999</v>
      </c>
      <c r="L180" s="18">
        <v>41.1892</v>
      </c>
      <c r="M180" s="18">
        <v>42.052599999999998</v>
      </c>
      <c r="N180" s="18">
        <v>305.34350000000001</v>
      </c>
      <c r="O180" s="18">
        <f t="shared" si="7"/>
        <v>35.003349999999998</v>
      </c>
      <c r="P180" s="7"/>
      <c r="Q180" s="10"/>
      <c r="R180" s="11"/>
      <c r="S180" s="11"/>
      <c r="T180" s="26"/>
      <c r="U180" s="28">
        <f t="shared" si="8"/>
        <v>7.088569536423841</v>
      </c>
    </row>
    <row r="181" spans="1:21" x14ac:dyDescent="0.25">
      <c r="B181" s="9"/>
      <c r="C181" s="17">
        <v>333.224609375</v>
      </c>
      <c r="D181" s="18">
        <v>31.515999999999998</v>
      </c>
      <c r="E181" s="18">
        <v>40.052</v>
      </c>
      <c r="F181" s="18">
        <v>40.831000000000003</v>
      </c>
      <c r="G181" s="18">
        <v>43.53</v>
      </c>
      <c r="H181" s="18">
        <f t="shared" si="6"/>
        <v>33.747374999999998</v>
      </c>
      <c r="I181" s="5"/>
      <c r="J181" s="17">
        <v>248.05119999999999</v>
      </c>
      <c r="K181" s="18">
        <v>31.259499999999999</v>
      </c>
      <c r="L181" s="18">
        <v>40.165999999999997</v>
      </c>
      <c r="M181" s="18">
        <v>40.994900000000001</v>
      </c>
      <c r="N181" s="18">
        <v>373.36649999999997</v>
      </c>
      <c r="O181" s="18">
        <f t="shared" si="7"/>
        <v>33.589737499999998</v>
      </c>
      <c r="P181" s="7"/>
      <c r="Q181" s="10"/>
      <c r="R181" s="11"/>
      <c r="S181" s="11"/>
      <c r="T181" s="26"/>
      <c r="U181" s="28">
        <f t="shared" si="8"/>
        <v>7.577222605099931</v>
      </c>
    </row>
    <row r="182" spans="1:21" ht="16.5" thickBot="1" x14ac:dyDescent="0.3">
      <c r="B182" s="12"/>
      <c r="C182" s="19">
        <v>150.447265625</v>
      </c>
      <c r="D182" s="20">
        <v>28.661000000000001</v>
      </c>
      <c r="E182" s="20">
        <v>38.307000000000002</v>
      </c>
      <c r="F182" s="20">
        <v>38.927999999999997</v>
      </c>
      <c r="G182" s="20">
        <v>52.54</v>
      </c>
      <c r="H182" s="20">
        <f t="shared" si="6"/>
        <v>31.150125000000003</v>
      </c>
      <c r="I182" s="5"/>
      <c r="J182" s="19">
        <v>118.4312</v>
      </c>
      <c r="K182" s="20">
        <v>28.730499999999999</v>
      </c>
      <c r="L182" s="20">
        <v>38.855800000000002</v>
      </c>
      <c r="M182" s="20">
        <v>39.7042</v>
      </c>
      <c r="N182" s="20">
        <v>519.9307</v>
      </c>
      <c r="O182" s="20">
        <f t="shared" si="7"/>
        <v>31.367874999999998</v>
      </c>
      <c r="P182" s="7"/>
      <c r="Q182" s="13"/>
      <c r="R182" s="14"/>
      <c r="S182" s="14"/>
      <c r="T182" s="27"/>
      <c r="U182" s="28">
        <f t="shared" si="8"/>
        <v>8.8959021697754093</v>
      </c>
    </row>
    <row r="183" spans="1:21" x14ac:dyDescent="0.25">
      <c r="B183" s="6" t="s">
        <v>59</v>
      </c>
      <c r="C183" s="29">
        <v>674.08984375</v>
      </c>
      <c r="D183" s="30">
        <v>33.463999999999999</v>
      </c>
      <c r="E183" s="30">
        <v>38.640999999999998</v>
      </c>
      <c r="F183" s="30">
        <v>39.521000000000001</v>
      </c>
      <c r="G183" s="16">
        <v>36.729999999999997</v>
      </c>
      <c r="H183" s="16">
        <f t="shared" si="6"/>
        <v>34.868249999999996</v>
      </c>
      <c r="I183" s="5"/>
      <c r="J183" s="29">
        <v>595.20479999999998</v>
      </c>
      <c r="K183" s="30">
        <v>33.476199999999999</v>
      </c>
      <c r="L183" s="30">
        <v>38.916899999999998</v>
      </c>
      <c r="M183" s="30">
        <v>39.798000000000002</v>
      </c>
      <c r="N183" s="16">
        <v>246.54830000000001</v>
      </c>
      <c r="O183" s="16">
        <f t="shared" si="7"/>
        <v>34.946512499999997</v>
      </c>
      <c r="P183" s="7"/>
      <c r="Q183" s="8">
        <f>bdrate(C183:C186,D183:D186,J183:J186,K183:K186)</f>
        <v>-0.16647357907791205</v>
      </c>
      <c r="R183" s="8">
        <f>bdrate(C183:C186,E183:E186,J183:J186,L183:L186)</f>
        <v>-0.34663194592947488</v>
      </c>
      <c r="S183" s="8">
        <f>bdrate(C183:C186,F183:F186,J183:J186,M183:M186)</f>
        <v>-0.33809421769246506</v>
      </c>
      <c r="T183" s="25">
        <f>bdrate(C183:C186,H183:H186,J183:J186,O183:O186)</f>
        <v>-0.20778083368971245</v>
      </c>
      <c r="U183" s="28">
        <f t="shared" si="8"/>
        <v>5.7124503130955633</v>
      </c>
    </row>
    <row r="184" spans="1:21" x14ac:dyDescent="0.25">
      <c r="B184" s="9"/>
      <c r="C184" s="31">
        <v>474.5322265625</v>
      </c>
      <c r="D184" s="32">
        <v>31.98</v>
      </c>
      <c r="E184" s="32">
        <v>37.417999999999999</v>
      </c>
      <c r="F184" s="32">
        <v>38.259</v>
      </c>
      <c r="G184" s="18">
        <v>41.86</v>
      </c>
      <c r="H184" s="18">
        <f t="shared" si="6"/>
        <v>33.444625000000002</v>
      </c>
      <c r="I184" s="5"/>
      <c r="J184" s="31">
        <v>395.45119999999997</v>
      </c>
      <c r="K184" s="32">
        <v>31.927800000000001</v>
      </c>
      <c r="L184" s="32">
        <v>37.838700000000003</v>
      </c>
      <c r="M184" s="32">
        <v>38.6601</v>
      </c>
      <c r="N184" s="18">
        <v>288.85039999999998</v>
      </c>
      <c r="O184" s="18">
        <f t="shared" si="7"/>
        <v>33.508200000000002</v>
      </c>
      <c r="P184" s="7"/>
      <c r="Q184" s="10"/>
      <c r="R184" s="11"/>
      <c r="S184" s="11"/>
      <c r="T184" s="26"/>
      <c r="U184" s="28">
        <f t="shared" si="8"/>
        <v>5.900391782130912</v>
      </c>
    </row>
    <row r="185" spans="1:21" x14ac:dyDescent="0.25">
      <c r="B185" s="9"/>
      <c r="C185" s="31">
        <v>307.22265625</v>
      </c>
      <c r="D185" s="32">
        <v>30.337</v>
      </c>
      <c r="E185" s="32">
        <v>36.076000000000001</v>
      </c>
      <c r="F185" s="32">
        <v>36.914000000000001</v>
      </c>
      <c r="G185" s="18">
        <v>44.54</v>
      </c>
      <c r="H185" s="18">
        <f t="shared" si="6"/>
        <v>31.8765</v>
      </c>
      <c r="I185" s="5"/>
      <c r="J185" s="31">
        <v>249.11760000000001</v>
      </c>
      <c r="K185" s="32">
        <v>30.310300000000002</v>
      </c>
      <c r="L185" s="32">
        <v>36.780200000000001</v>
      </c>
      <c r="M185" s="32">
        <v>37.596600000000002</v>
      </c>
      <c r="N185" s="18">
        <v>330.25099999999998</v>
      </c>
      <c r="O185" s="18">
        <f t="shared" si="7"/>
        <v>32.029825000000002</v>
      </c>
      <c r="P185" s="7"/>
      <c r="Q185" s="10"/>
      <c r="R185" s="11"/>
      <c r="S185" s="11"/>
      <c r="T185" s="26"/>
      <c r="U185" s="28">
        <f t="shared" si="8"/>
        <v>6.4147058823529406</v>
      </c>
    </row>
    <row r="186" spans="1:21" ht="16.5" thickBot="1" x14ac:dyDescent="0.3">
      <c r="B186" s="12"/>
      <c r="C186" s="33">
        <v>147.56640625</v>
      </c>
      <c r="D186" s="34">
        <v>27.963999999999999</v>
      </c>
      <c r="E186" s="34">
        <v>34.213000000000001</v>
      </c>
      <c r="F186" s="34">
        <v>34.957000000000001</v>
      </c>
      <c r="G186" s="20">
        <v>49.42</v>
      </c>
      <c r="H186" s="20">
        <f t="shared" si="6"/>
        <v>29.619249999999997</v>
      </c>
      <c r="I186" s="5"/>
      <c r="J186" s="33">
        <v>120.19840000000001</v>
      </c>
      <c r="K186" s="34">
        <v>27.8979</v>
      </c>
      <c r="L186" s="34">
        <v>35.310600000000001</v>
      </c>
      <c r="M186" s="34">
        <v>35.991599999999998</v>
      </c>
      <c r="N186" s="20">
        <v>433.2756</v>
      </c>
      <c r="O186" s="20">
        <f t="shared" si="7"/>
        <v>29.836200000000002</v>
      </c>
      <c r="P186" s="7"/>
      <c r="Q186" s="13"/>
      <c r="R186" s="14"/>
      <c r="S186" s="14"/>
      <c r="T186" s="27"/>
      <c r="U186" s="28">
        <f t="shared" si="8"/>
        <v>7.767211655200323</v>
      </c>
    </row>
    <row r="187" spans="1:21" x14ac:dyDescent="0.25">
      <c r="B187" s="6" t="s">
        <v>60</v>
      </c>
      <c r="C187" s="15">
        <v>623.43359375</v>
      </c>
      <c r="D187" s="16">
        <v>34.232999999999997</v>
      </c>
      <c r="E187" s="16">
        <v>38.509</v>
      </c>
      <c r="F187" s="16">
        <v>39.704000000000001</v>
      </c>
      <c r="G187" s="16">
        <v>39.590000000000003</v>
      </c>
      <c r="H187" s="16">
        <f t="shared" si="6"/>
        <v>35.451374999999999</v>
      </c>
      <c r="I187" s="5"/>
      <c r="J187" s="15">
        <v>593.00080000000003</v>
      </c>
      <c r="K187" s="16">
        <v>34.526899999999998</v>
      </c>
      <c r="L187" s="16">
        <v>38.6858</v>
      </c>
      <c r="M187" s="16">
        <v>39.837600000000002</v>
      </c>
      <c r="N187" s="16">
        <v>144.57830000000001</v>
      </c>
      <c r="O187" s="16">
        <f t="shared" si="7"/>
        <v>35.710599999999999</v>
      </c>
      <c r="P187" s="7"/>
      <c r="Q187" s="8">
        <f>bdrate(C187:C190,D187:D190,J187:J190,K187:K190)</f>
        <v>-0.12866138845047004</v>
      </c>
      <c r="R187" s="8">
        <f>bdrate(C187:C190,E187:E190,J187:J190,L187:L190)</f>
        <v>-0.26747199393140098</v>
      </c>
      <c r="S187" s="8">
        <f>bdrate(C187:C190,F187:F190,J187:J190,M187:M190)</f>
        <v>-0.25504837606898445</v>
      </c>
      <c r="T187" s="25">
        <f>bdrate(C187:C190,H187:H190,J187:J190,O187:O190)</f>
        <v>-0.16124011173784736</v>
      </c>
      <c r="U187" s="28">
        <f t="shared" si="8"/>
        <v>2.6518893660015155</v>
      </c>
    </row>
    <row r="188" spans="1:21" x14ac:dyDescent="0.25">
      <c r="B188" s="9"/>
      <c r="C188" s="17">
        <v>443.7021484375</v>
      </c>
      <c r="D188" s="18">
        <v>32.642000000000003</v>
      </c>
      <c r="E188" s="18">
        <v>37.265000000000001</v>
      </c>
      <c r="F188" s="18">
        <v>38.493000000000002</v>
      </c>
      <c r="G188" s="18">
        <v>45.5</v>
      </c>
      <c r="H188" s="18">
        <f t="shared" si="6"/>
        <v>33.951250000000002</v>
      </c>
      <c r="I188" s="5"/>
      <c r="J188" s="17">
        <v>388.85359999999997</v>
      </c>
      <c r="K188" s="18">
        <v>32.585999999999999</v>
      </c>
      <c r="L188" s="18">
        <v>37.506500000000003</v>
      </c>
      <c r="M188" s="18">
        <v>38.673400000000001</v>
      </c>
      <c r="N188" s="18">
        <v>167.22409999999999</v>
      </c>
      <c r="O188" s="18">
        <f t="shared" si="7"/>
        <v>33.961987499999999</v>
      </c>
      <c r="P188" s="7"/>
      <c r="Q188" s="10"/>
      <c r="R188" s="11"/>
      <c r="S188" s="11"/>
      <c r="T188" s="26"/>
      <c r="U188" s="28">
        <f t="shared" si="8"/>
        <v>2.6752549450549448</v>
      </c>
    </row>
    <row r="189" spans="1:21" x14ac:dyDescent="0.25">
      <c r="B189" s="9"/>
      <c r="C189" s="17">
        <v>303.90625</v>
      </c>
      <c r="D189" s="18">
        <v>30.951000000000001</v>
      </c>
      <c r="E189" s="18">
        <v>35.950000000000003</v>
      </c>
      <c r="F189" s="18">
        <v>37.149000000000001</v>
      </c>
      <c r="G189" s="18">
        <v>48.98</v>
      </c>
      <c r="H189" s="18">
        <f t="shared" si="6"/>
        <v>32.350625000000001</v>
      </c>
      <c r="I189" s="5"/>
      <c r="J189" s="17">
        <v>245.85919999999999</v>
      </c>
      <c r="K189" s="18">
        <v>30.694900000000001</v>
      </c>
      <c r="L189" s="18">
        <v>36.348500000000001</v>
      </c>
      <c r="M189" s="18">
        <v>37.497399999999999</v>
      </c>
      <c r="N189" s="18">
        <v>200.4008</v>
      </c>
      <c r="O189" s="18">
        <f t="shared" si="7"/>
        <v>32.251912500000003</v>
      </c>
      <c r="P189" s="7"/>
      <c r="Q189" s="10"/>
      <c r="R189" s="11"/>
      <c r="S189" s="11"/>
      <c r="T189" s="26"/>
      <c r="U189" s="28">
        <f t="shared" si="8"/>
        <v>3.09148223764802</v>
      </c>
    </row>
    <row r="190" spans="1:21" ht="16.5" thickBot="1" x14ac:dyDescent="0.3">
      <c r="B190" s="12"/>
      <c r="C190" s="19">
        <v>155.1142578125</v>
      </c>
      <c r="D190" s="20">
        <v>28.454999999999998</v>
      </c>
      <c r="E190" s="20">
        <v>33.875999999999998</v>
      </c>
      <c r="F190" s="20">
        <v>35.011000000000003</v>
      </c>
      <c r="G190" s="20">
        <v>52.39</v>
      </c>
      <c r="H190" s="20">
        <f t="shared" si="6"/>
        <v>29.952124999999999</v>
      </c>
      <c r="I190" s="5"/>
      <c r="J190" s="19">
        <v>117.93519999999999</v>
      </c>
      <c r="K190" s="20">
        <v>28.082999999999998</v>
      </c>
      <c r="L190" s="20">
        <v>34.860999999999997</v>
      </c>
      <c r="M190" s="20">
        <v>35.972299999999997</v>
      </c>
      <c r="N190" s="20">
        <v>266.90390000000002</v>
      </c>
      <c r="O190" s="20">
        <f t="shared" si="7"/>
        <v>29.916412499999996</v>
      </c>
      <c r="P190" s="7"/>
      <c r="Q190" s="13"/>
      <c r="R190" s="14"/>
      <c r="S190" s="14"/>
      <c r="T190" s="27"/>
      <c r="U190" s="28">
        <f t="shared" si="8"/>
        <v>4.0945581217789657</v>
      </c>
    </row>
    <row r="191" spans="1:21" x14ac:dyDescent="0.25">
      <c r="A191" s="6" t="s">
        <v>43</v>
      </c>
      <c r="B191" s="6" t="s">
        <v>61</v>
      </c>
      <c r="C191" s="15">
        <v>1541.23828125</v>
      </c>
      <c r="D191" s="16">
        <v>41.671999999999997</v>
      </c>
      <c r="E191" s="16">
        <v>46.064999999999998</v>
      </c>
      <c r="F191" s="16">
        <v>47.384999999999998</v>
      </c>
      <c r="G191" s="16">
        <v>17.18</v>
      </c>
      <c r="H191" s="16">
        <f t="shared" si="6"/>
        <v>42.935249999999996</v>
      </c>
      <c r="I191" s="5"/>
      <c r="J191" s="15">
        <v>1506.4848</v>
      </c>
      <c r="K191" s="16">
        <v>41.904600000000002</v>
      </c>
      <c r="L191" s="16">
        <v>46.515099999999997</v>
      </c>
      <c r="M191" s="16">
        <v>47.802999999999997</v>
      </c>
      <c r="N191" s="16">
        <v>58.156399999999998</v>
      </c>
      <c r="O191" s="16">
        <f t="shared" si="7"/>
        <v>43.2182125</v>
      </c>
      <c r="P191" s="7"/>
      <c r="Q191" s="8">
        <f>bdrate(C191:C194,D191:D194,J191:J194,K191:K194)</f>
        <v>-0.1664026858016171</v>
      </c>
      <c r="R191" s="8">
        <f>bdrate(C191:C194,E191:E194,J191:J194,L191:L194)</f>
        <v>-0.24387355591111004</v>
      </c>
      <c r="S191" s="8">
        <f>bdrate(C191:C194,F191:F194,J191:J194,M191:M194)</f>
        <v>-0.23104775274177469</v>
      </c>
      <c r="T191" s="25">
        <f>bdrate(C191:C194,H191:H194,J191:J194,O191:O194)</f>
        <v>-0.18175272073770321</v>
      </c>
      <c r="U191" s="28">
        <f t="shared" si="8"/>
        <v>2.3851222351571595</v>
      </c>
    </row>
    <row r="192" spans="1:21" x14ac:dyDescent="0.25">
      <c r="A192" s="9" t="s">
        <v>44</v>
      </c>
      <c r="B192" s="9"/>
      <c r="C192" s="17">
        <v>1050.861328125</v>
      </c>
      <c r="D192" s="18">
        <v>40.540999999999997</v>
      </c>
      <c r="E192" s="18">
        <v>45.186999999999998</v>
      </c>
      <c r="F192" s="18">
        <v>46.463000000000001</v>
      </c>
      <c r="G192" s="18">
        <v>19.25</v>
      </c>
      <c r="H192" s="18">
        <f t="shared" si="6"/>
        <v>41.862000000000002</v>
      </c>
      <c r="I192" s="5"/>
      <c r="J192" s="17">
        <v>995.88879999999995</v>
      </c>
      <c r="K192" s="18">
        <v>40.900300000000001</v>
      </c>
      <c r="L192" s="18">
        <v>45.723700000000001</v>
      </c>
      <c r="M192" s="18">
        <v>46.9236</v>
      </c>
      <c r="N192" s="18">
        <v>71.761799999999994</v>
      </c>
      <c r="O192" s="18">
        <f t="shared" si="7"/>
        <v>42.256137500000001</v>
      </c>
      <c r="P192" s="7"/>
      <c r="Q192" s="10"/>
      <c r="R192" s="11"/>
      <c r="S192" s="11"/>
      <c r="T192" s="26"/>
      <c r="U192" s="28">
        <f t="shared" si="8"/>
        <v>2.7278857142857138</v>
      </c>
    </row>
    <row r="193" spans="1:21" x14ac:dyDescent="0.25">
      <c r="B193" s="9"/>
      <c r="C193" s="17">
        <v>646.4296875</v>
      </c>
      <c r="D193" s="18">
        <v>38.738999999999997</v>
      </c>
      <c r="E193" s="18">
        <v>43.789000000000001</v>
      </c>
      <c r="F193" s="18">
        <v>45.023000000000003</v>
      </c>
      <c r="G193" s="18">
        <v>22.01</v>
      </c>
      <c r="H193" s="18">
        <f t="shared" si="6"/>
        <v>40.155749999999998</v>
      </c>
      <c r="I193" s="5"/>
      <c r="J193" s="17">
        <v>591.71119999999996</v>
      </c>
      <c r="K193" s="18">
        <v>39.110900000000001</v>
      </c>
      <c r="L193" s="18">
        <v>44.283000000000001</v>
      </c>
      <c r="M193" s="18">
        <v>45.485700000000001</v>
      </c>
      <c r="N193" s="18">
        <v>89.445400000000006</v>
      </c>
      <c r="O193" s="18">
        <f t="shared" si="7"/>
        <v>40.5542625</v>
      </c>
      <c r="P193" s="7"/>
      <c r="Q193" s="10"/>
      <c r="R193" s="11"/>
      <c r="S193" s="11"/>
      <c r="T193" s="26"/>
      <c r="U193" s="28">
        <f t="shared" si="8"/>
        <v>3.0638527941844615</v>
      </c>
    </row>
    <row r="194" spans="1:21" ht="16.5" thickBot="1" x14ac:dyDescent="0.3">
      <c r="B194" s="12"/>
      <c r="C194" s="19">
        <v>328.525390625</v>
      </c>
      <c r="D194" s="20">
        <v>35.567999999999998</v>
      </c>
      <c r="E194" s="20">
        <v>41.365000000000002</v>
      </c>
      <c r="F194" s="20">
        <v>42.470999999999997</v>
      </c>
      <c r="G194" s="20">
        <v>25.14</v>
      </c>
      <c r="H194" s="20">
        <f t="shared" si="6"/>
        <v>37.155499999999996</v>
      </c>
      <c r="I194" s="5"/>
      <c r="J194" s="19">
        <v>291.45519999999999</v>
      </c>
      <c r="K194" s="20">
        <v>36.003799999999998</v>
      </c>
      <c r="L194" s="20">
        <v>42.299300000000002</v>
      </c>
      <c r="M194" s="20">
        <v>43.513199999999998</v>
      </c>
      <c r="N194" s="20">
        <v>118.6944</v>
      </c>
      <c r="O194" s="20">
        <f t="shared" si="7"/>
        <v>37.729412499999995</v>
      </c>
      <c r="P194" s="7"/>
      <c r="Q194" s="13"/>
      <c r="R194" s="14"/>
      <c r="S194" s="14"/>
      <c r="T194" s="27"/>
      <c r="U194" s="28">
        <f t="shared" si="8"/>
        <v>3.7213365155131264</v>
      </c>
    </row>
    <row r="195" spans="1:21" x14ac:dyDescent="0.25">
      <c r="B195" s="6" t="s">
        <v>62</v>
      </c>
      <c r="C195" s="15">
        <v>1579.9453125</v>
      </c>
      <c r="D195" s="16">
        <v>43.01</v>
      </c>
      <c r="E195" s="16">
        <v>48.314999999999998</v>
      </c>
      <c r="F195" s="16">
        <v>48.953000000000003</v>
      </c>
      <c r="G195" s="16">
        <v>12.86</v>
      </c>
      <c r="H195" s="16">
        <f t="shared" si="6"/>
        <v>44.415999999999997</v>
      </c>
      <c r="I195" s="5"/>
      <c r="J195" s="15">
        <v>1506.3792000000001</v>
      </c>
      <c r="K195" s="16">
        <v>42.911299999999997</v>
      </c>
      <c r="L195" s="16">
        <v>48.3352</v>
      </c>
      <c r="M195" s="16">
        <v>49.069200000000002</v>
      </c>
      <c r="N195" s="16">
        <v>66.423100000000005</v>
      </c>
      <c r="O195" s="16">
        <f t="shared" si="7"/>
        <v>44.359025000000003</v>
      </c>
      <c r="P195" s="7"/>
      <c r="Q195" s="8">
        <f>bdrate(C195:C198,D195:D198,J195:J198,K195:K198)</f>
        <v>-0.10451249893637615</v>
      </c>
      <c r="R195" s="8">
        <f>bdrate(C195:C198,E195:E198,J195:J198,L195:L198)</f>
        <v>-0.14396653384328872</v>
      </c>
      <c r="S195" s="8">
        <f>bdrate(C195:C198,F195:F198,J195:J198,M195:M198)</f>
        <v>-0.16840932536564757</v>
      </c>
      <c r="T195" s="25">
        <f>bdrate(C195:C198,H195:H198,J195:J198,O195:O198)</f>
        <v>-0.11672012106221319</v>
      </c>
      <c r="U195" s="28">
        <f t="shared" ref="U195:U246" si="9">(N195-G195)/G195</f>
        <v>4.1650933125972012</v>
      </c>
    </row>
    <row r="196" spans="1:21" x14ac:dyDescent="0.25">
      <c r="B196" s="9"/>
      <c r="C196" s="17">
        <v>1132.4267578125</v>
      </c>
      <c r="D196" s="18">
        <v>42.63</v>
      </c>
      <c r="E196" s="18">
        <v>48.036000000000001</v>
      </c>
      <c r="F196" s="18">
        <v>48.673999999999999</v>
      </c>
      <c r="G196" s="18">
        <v>14.41</v>
      </c>
      <c r="H196" s="18">
        <f t="shared" si="6"/>
        <v>44.061250000000001</v>
      </c>
      <c r="I196" s="5"/>
      <c r="J196" s="17">
        <v>998.04</v>
      </c>
      <c r="K196" s="18">
        <v>42.480899999999998</v>
      </c>
      <c r="L196" s="18">
        <v>47.990299999999998</v>
      </c>
      <c r="M196" s="18">
        <v>48.7044</v>
      </c>
      <c r="N196" s="18">
        <v>80.634299999999996</v>
      </c>
      <c r="O196" s="18">
        <f t="shared" si="7"/>
        <v>43.947512500000002</v>
      </c>
      <c r="P196" s="7"/>
      <c r="Q196" s="10"/>
      <c r="R196" s="11"/>
      <c r="S196" s="11"/>
      <c r="T196" s="26"/>
      <c r="U196" s="28">
        <f t="shared" si="9"/>
        <v>4.5957182512144348</v>
      </c>
    </row>
    <row r="197" spans="1:21" x14ac:dyDescent="0.25">
      <c r="B197" s="9"/>
      <c r="C197" s="17">
        <v>717.8134765625</v>
      </c>
      <c r="D197" s="18">
        <v>41.887</v>
      </c>
      <c r="E197" s="18">
        <v>47.335999999999999</v>
      </c>
      <c r="F197" s="18">
        <v>47.962000000000003</v>
      </c>
      <c r="G197" s="18">
        <v>16.79</v>
      </c>
      <c r="H197" s="18">
        <f t="shared" si="6"/>
        <v>43.327500000000001</v>
      </c>
      <c r="I197" s="5"/>
      <c r="J197" s="17">
        <v>573.58720000000005</v>
      </c>
      <c r="K197" s="18">
        <v>41.688400000000001</v>
      </c>
      <c r="L197" s="18">
        <v>47.214300000000001</v>
      </c>
      <c r="M197" s="18">
        <v>47.904299999999999</v>
      </c>
      <c r="N197" s="18">
        <v>100.43519999999999</v>
      </c>
      <c r="O197" s="18">
        <f t="shared" si="7"/>
        <v>43.156124999999996</v>
      </c>
      <c r="P197" s="7"/>
      <c r="Q197" s="10"/>
      <c r="R197" s="11"/>
      <c r="S197" s="11"/>
      <c r="T197" s="26"/>
      <c r="U197" s="28">
        <f t="shared" si="9"/>
        <v>4.9818463371054191</v>
      </c>
    </row>
    <row r="198" spans="1:21" ht="16.5" thickBot="1" x14ac:dyDescent="0.3">
      <c r="B198" s="12"/>
      <c r="C198" s="19">
        <v>348.7841796875</v>
      </c>
      <c r="D198" s="20">
        <v>40.119999999999997</v>
      </c>
      <c r="E198" s="20">
        <v>45.610999999999997</v>
      </c>
      <c r="F198" s="20">
        <v>46.268999999999998</v>
      </c>
      <c r="G198" s="20">
        <v>20.7</v>
      </c>
      <c r="H198" s="20">
        <f t="shared" si="6"/>
        <v>41.574999999999996</v>
      </c>
      <c r="I198" s="5"/>
      <c r="J198" s="19">
        <v>273.72399999999999</v>
      </c>
      <c r="K198" s="20">
        <v>39.905900000000003</v>
      </c>
      <c r="L198" s="20">
        <v>45.452199999999998</v>
      </c>
      <c r="M198" s="20">
        <v>46.002699999999997</v>
      </c>
      <c r="N198" s="20">
        <v>132.15860000000001</v>
      </c>
      <c r="O198" s="20">
        <f t="shared" si="7"/>
        <v>41.361287500000003</v>
      </c>
      <c r="P198" s="7"/>
      <c r="Q198" s="13"/>
      <c r="R198" s="14"/>
      <c r="S198" s="14"/>
      <c r="T198" s="27"/>
      <c r="U198" s="28">
        <f t="shared" si="9"/>
        <v>5.384473429951691</v>
      </c>
    </row>
    <row r="199" spans="1:21" x14ac:dyDescent="0.25">
      <c r="B199" s="6" t="s">
        <v>63</v>
      </c>
      <c r="C199" s="15">
        <v>1537.9658203125</v>
      </c>
      <c r="D199" s="16">
        <v>42.628</v>
      </c>
      <c r="E199" s="16">
        <v>47.156999999999996</v>
      </c>
      <c r="F199" s="16">
        <v>48.085000000000001</v>
      </c>
      <c r="G199" s="16">
        <v>16.04</v>
      </c>
      <c r="H199" s="16">
        <f t="shared" si="6"/>
        <v>43.876249999999999</v>
      </c>
      <c r="I199" s="5"/>
      <c r="J199" s="15">
        <v>1538.732</v>
      </c>
      <c r="K199" s="16">
        <v>42.850999999999999</v>
      </c>
      <c r="L199" s="16">
        <v>47.551400000000001</v>
      </c>
      <c r="M199" s="16">
        <v>48.466799999999999</v>
      </c>
      <c r="N199" s="16">
        <v>61.734699999999997</v>
      </c>
      <c r="O199" s="16">
        <f t="shared" si="7"/>
        <v>44.140524999999997</v>
      </c>
      <c r="P199" s="7"/>
      <c r="Q199" s="8">
        <f>bdrate(C199:C202,D199:D202,J199:J202,K199:K202)</f>
        <v>-0.15868061704085856</v>
      </c>
      <c r="R199" s="8">
        <f>bdrate(C199:C202,E199:E202,J199:J202,L199:L202)</f>
        <v>-0.2214301194957623</v>
      </c>
      <c r="S199" s="8">
        <f>bdrate(C199:C202,F199:F202,J199:J202,M199:M202)</f>
        <v>-0.21089853016698179</v>
      </c>
      <c r="T199" s="25">
        <f>bdrate(C199:C202,H199:H202,J199:J202,O199:O202)</f>
        <v>-0.17207598160812598</v>
      </c>
      <c r="U199" s="28">
        <f t="shared" si="9"/>
        <v>2.8487967581047382</v>
      </c>
    </row>
    <row r="200" spans="1:21" x14ac:dyDescent="0.25">
      <c r="B200" s="9"/>
      <c r="C200" s="17">
        <v>1074.4462890625</v>
      </c>
      <c r="D200" s="18">
        <v>41.914999999999999</v>
      </c>
      <c r="E200" s="18">
        <v>46.591000000000001</v>
      </c>
      <c r="F200" s="18">
        <v>47.497999999999998</v>
      </c>
      <c r="G200" s="18">
        <v>17.87</v>
      </c>
      <c r="H200" s="18">
        <f t="shared" si="6"/>
        <v>43.197375000000001</v>
      </c>
      <c r="I200" s="5"/>
      <c r="J200" s="17">
        <v>1024.7264</v>
      </c>
      <c r="K200" s="18">
        <v>42.132399999999997</v>
      </c>
      <c r="L200" s="18">
        <v>46.900399999999998</v>
      </c>
      <c r="M200" s="18">
        <v>47.8001</v>
      </c>
      <c r="N200" s="18">
        <v>75.263400000000004</v>
      </c>
      <c r="O200" s="18">
        <f t="shared" si="7"/>
        <v>43.436862499999997</v>
      </c>
      <c r="P200" s="7"/>
      <c r="Q200" s="10"/>
      <c r="R200" s="11"/>
      <c r="S200" s="11"/>
      <c r="T200" s="26"/>
      <c r="U200" s="28">
        <f t="shared" si="9"/>
        <v>3.211717963066592</v>
      </c>
    </row>
    <row r="201" spans="1:21" x14ac:dyDescent="0.25">
      <c r="B201" s="9"/>
      <c r="C201" s="17">
        <v>671.7880859375</v>
      </c>
      <c r="D201" s="18">
        <v>40.668999999999997</v>
      </c>
      <c r="E201" s="18">
        <v>45.444000000000003</v>
      </c>
      <c r="F201" s="18">
        <v>46.37</v>
      </c>
      <c r="G201" s="18">
        <v>20.34</v>
      </c>
      <c r="H201" s="18">
        <f t="shared" si="6"/>
        <v>41.978499999999997</v>
      </c>
      <c r="I201" s="5"/>
      <c r="J201" s="17">
        <v>602.65840000000003</v>
      </c>
      <c r="K201" s="18">
        <v>40.8523</v>
      </c>
      <c r="L201" s="18">
        <v>45.750900000000001</v>
      </c>
      <c r="M201" s="18">
        <v>46.638100000000001</v>
      </c>
      <c r="N201" s="18">
        <v>97.863299999999995</v>
      </c>
      <c r="O201" s="18">
        <f t="shared" si="7"/>
        <v>42.187849999999997</v>
      </c>
      <c r="P201" s="7"/>
      <c r="Q201" s="10"/>
      <c r="R201" s="11"/>
      <c r="S201" s="11"/>
      <c r="T201" s="26"/>
      <c r="U201" s="28">
        <f t="shared" si="9"/>
        <v>3.8113716814159289</v>
      </c>
    </row>
    <row r="202" spans="1:21" ht="16.5" thickBot="1" x14ac:dyDescent="0.3">
      <c r="B202" s="12"/>
      <c r="C202" s="19">
        <v>332.7060546875</v>
      </c>
      <c r="D202" s="20">
        <v>38.131999999999998</v>
      </c>
      <c r="E202" s="20">
        <v>43.264000000000003</v>
      </c>
      <c r="F202" s="20">
        <v>44.186</v>
      </c>
      <c r="G202" s="20">
        <v>24.14</v>
      </c>
      <c r="H202" s="20">
        <f t="shared" si="6"/>
        <v>39.530249999999995</v>
      </c>
      <c r="I202" s="5"/>
      <c r="J202" s="19">
        <v>292.92959999999999</v>
      </c>
      <c r="K202" s="20">
        <v>38.421799999999998</v>
      </c>
      <c r="L202" s="20">
        <v>43.996000000000002</v>
      </c>
      <c r="M202" s="20">
        <v>44.868899999999996</v>
      </c>
      <c r="N202" s="20">
        <v>129.06</v>
      </c>
      <c r="O202" s="20">
        <f t="shared" si="7"/>
        <v>39.924462499999997</v>
      </c>
      <c r="P202" s="7"/>
      <c r="Q202" s="13"/>
      <c r="R202" s="14"/>
      <c r="S202" s="14"/>
      <c r="T202" s="27"/>
      <c r="U202" s="28">
        <f t="shared" si="9"/>
        <v>4.3463131731565863</v>
      </c>
    </row>
    <row r="203" spans="1:21" x14ac:dyDescent="0.25">
      <c r="A203" s="6" t="s">
        <v>99</v>
      </c>
      <c r="B203" s="6" t="s">
        <v>100</v>
      </c>
      <c r="C203" s="15">
        <v>1455.0009765625</v>
      </c>
      <c r="D203" s="16">
        <v>47.488</v>
      </c>
      <c r="E203" s="16">
        <v>52.884</v>
      </c>
      <c r="F203" s="16">
        <v>53.593000000000004</v>
      </c>
      <c r="G203" s="16">
        <v>18.809999999999999</v>
      </c>
      <c r="H203" s="16">
        <f t="shared" ref="H203:H246" si="10">(6*D203+E203+F203)/8</f>
        <v>48.925625000000004</v>
      </c>
      <c r="I203" s="5"/>
      <c r="J203" s="15">
        <v>1232.9708000000001</v>
      </c>
      <c r="K203" s="16">
        <v>45.338799999999999</v>
      </c>
      <c r="L203" s="16">
        <v>51.409199999999998</v>
      </c>
      <c r="M203" s="16">
        <v>51.988199999999999</v>
      </c>
      <c r="N203" s="16">
        <v>41.805999999999997</v>
      </c>
      <c r="O203" s="16">
        <f t="shared" ref="O203:O246" si="11">(6*K203+L203+M203)/8</f>
        <v>46.928775000000002</v>
      </c>
      <c r="P203" s="7"/>
      <c r="Q203" s="8">
        <f>bdrate(C203:C206,D203:D206,J203:J206,K203:K206)</f>
        <v>0.16527468338996409</v>
      </c>
      <c r="R203" s="8">
        <f>bdrate(C203:C206,E203:E206,J203:J206,L203:L206)</f>
        <v>-4.9360652812339922E-2</v>
      </c>
      <c r="S203" s="8">
        <f>bdrate(C203:C206,F203:F206,J203:J206,M203:M206)</f>
        <v>-9.3478139452449316E-2</v>
      </c>
      <c r="T203" s="25">
        <f>bdrate(C203:C206,H203:H206,J203:J206,O203:O206)</f>
        <v>0.11280428826086242</v>
      </c>
      <c r="U203" s="28">
        <f t="shared" si="9"/>
        <v>1.2225412014885699</v>
      </c>
    </row>
    <row r="204" spans="1:21" x14ac:dyDescent="0.25">
      <c r="A204" s="9" t="s">
        <v>77</v>
      </c>
      <c r="B204" s="9"/>
      <c r="C204" s="17">
        <v>1025.99609375</v>
      </c>
      <c r="D204" s="18">
        <v>45.706000000000003</v>
      </c>
      <c r="E204" s="18">
        <v>51.225999999999999</v>
      </c>
      <c r="F204" s="18">
        <v>51.838999999999999</v>
      </c>
      <c r="G204" s="18">
        <v>20.36</v>
      </c>
      <c r="H204" s="18">
        <f t="shared" si="10"/>
        <v>47.162624999999998</v>
      </c>
      <c r="I204" s="5"/>
      <c r="J204" s="17">
        <v>830.73159999999996</v>
      </c>
      <c r="K204" s="18">
        <v>43.415799999999997</v>
      </c>
      <c r="L204" s="18">
        <v>50.057000000000002</v>
      </c>
      <c r="M204" s="18">
        <v>50.710299999999997</v>
      </c>
      <c r="N204" s="18">
        <v>47.732700000000001</v>
      </c>
      <c r="O204" s="18">
        <f t="shared" si="11"/>
        <v>45.157762500000004</v>
      </c>
      <c r="P204" s="7"/>
      <c r="Q204" s="10"/>
      <c r="R204" s="11"/>
      <c r="S204" s="11"/>
      <c r="T204" s="26"/>
      <c r="U204" s="28">
        <f t="shared" si="9"/>
        <v>1.3444351669941061</v>
      </c>
    </row>
    <row r="205" spans="1:21" x14ac:dyDescent="0.25">
      <c r="B205" s="9"/>
      <c r="C205" s="17">
        <v>647.04296875</v>
      </c>
      <c r="D205" s="18">
        <v>43.29</v>
      </c>
      <c r="E205" s="18">
        <v>49.265000000000001</v>
      </c>
      <c r="F205" s="18">
        <v>49.872999999999998</v>
      </c>
      <c r="G205" s="18">
        <v>22.08</v>
      </c>
      <c r="H205" s="18">
        <f t="shared" si="10"/>
        <v>44.859749999999998</v>
      </c>
      <c r="I205" s="5"/>
      <c r="J205" s="17">
        <v>506.86689999999999</v>
      </c>
      <c r="K205" s="18">
        <v>40.787799999999997</v>
      </c>
      <c r="L205" s="18">
        <v>48.139400000000002</v>
      </c>
      <c r="M205" s="18">
        <v>49.173699999999997</v>
      </c>
      <c r="N205" s="18">
        <v>56.1342</v>
      </c>
      <c r="O205" s="18">
        <f t="shared" si="11"/>
        <v>42.754987499999999</v>
      </c>
      <c r="P205" s="7"/>
      <c r="Q205" s="10"/>
      <c r="R205" s="11"/>
      <c r="S205" s="11"/>
      <c r="T205" s="26"/>
      <c r="U205" s="28">
        <f t="shared" si="9"/>
        <v>1.5423097826086958</v>
      </c>
    </row>
    <row r="206" spans="1:21" ht="16.5" thickBot="1" x14ac:dyDescent="0.3">
      <c r="B206" s="12"/>
      <c r="C206" s="19">
        <v>372.5048828125</v>
      </c>
      <c r="D206" s="20">
        <v>38.887</v>
      </c>
      <c r="E206" s="20">
        <v>45.433</v>
      </c>
      <c r="F206" s="20">
        <v>46.482999999999997</v>
      </c>
      <c r="G206" s="20">
        <v>23.3</v>
      </c>
      <c r="H206" s="20">
        <f t="shared" si="10"/>
        <v>40.65475</v>
      </c>
      <c r="I206" s="5"/>
      <c r="J206" s="19">
        <v>257.73110000000003</v>
      </c>
      <c r="K206" s="20">
        <v>37.492600000000003</v>
      </c>
      <c r="L206" s="20">
        <v>45.318899999999999</v>
      </c>
      <c r="M206" s="20">
        <v>46.686900000000001</v>
      </c>
      <c r="N206" s="20">
        <v>72.839100000000002</v>
      </c>
      <c r="O206" s="20">
        <f t="shared" si="11"/>
        <v>39.620174999999996</v>
      </c>
      <c r="P206" s="7"/>
      <c r="Q206" s="13"/>
      <c r="R206" s="14"/>
      <c r="S206" s="14"/>
      <c r="T206" s="27"/>
      <c r="U206" s="28">
        <f t="shared" si="9"/>
        <v>2.1261416309012877</v>
      </c>
    </row>
    <row r="207" spans="1:21" x14ac:dyDescent="0.25">
      <c r="B207" s="6" t="s">
        <v>101</v>
      </c>
      <c r="C207" s="15">
        <v>1933.6630859375</v>
      </c>
      <c r="D207" s="16">
        <v>54.844000000000001</v>
      </c>
      <c r="E207" s="16">
        <v>55.866</v>
      </c>
      <c r="F207" s="16">
        <v>56.189</v>
      </c>
      <c r="G207" s="16">
        <v>17.489999999999998</v>
      </c>
      <c r="H207" s="16">
        <f t="shared" si="10"/>
        <v>55.139875000000004</v>
      </c>
      <c r="I207" s="5"/>
      <c r="J207" s="15">
        <v>1430.3054999999999</v>
      </c>
      <c r="K207" s="16">
        <v>53.281700000000001</v>
      </c>
      <c r="L207" s="16">
        <v>54.0852</v>
      </c>
      <c r="M207" s="16">
        <v>54.6601</v>
      </c>
      <c r="N207" s="16">
        <v>73.918899999999994</v>
      </c>
      <c r="O207" s="16">
        <f t="shared" si="11"/>
        <v>53.554437499999999</v>
      </c>
      <c r="P207" s="7"/>
      <c r="Q207" s="8">
        <f>bdrate(C207:C210,D207:D210,J207:J210,K207:K210)</f>
        <v>-0.20047735790227339</v>
      </c>
      <c r="R207" s="8">
        <f>bdrate(C207:C210,E207:E210,J207:J210,L207:L210)</f>
        <v>-0.23589269931612922</v>
      </c>
      <c r="S207" s="8">
        <f>bdrate(C207:C210,F207:F210,J207:J210,M207:M210)</f>
        <v>-0.24287854654027297</v>
      </c>
      <c r="T207" s="25">
        <f>bdrate(C207:C210,H207:H210,J207:J210,O207:O210)</f>
        <v>-0.20899220568869548</v>
      </c>
      <c r="U207" s="28">
        <f t="shared" si="9"/>
        <v>3.2263522012578618</v>
      </c>
    </row>
    <row r="208" spans="1:21" x14ac:dyDescent="0.25">
      <c r="B208" s="9"/>
      <c r="C208" s="17">
        <v>1364.7236328125</v>
      </c>
      <c r="D208" s="18">
        <v>52.359000000000002</v>
      </c>
      <c r="E208" s="18">
        <v>53.482999999999997</v>
      </c>
      <c r="F208" s="18">
        <v>53.871000000000002</v>
      </c>
      <c r="G208" s="18">
        <v>18.670000000000002</v>
      </c>
      <c r="H208" s="18">
        <f t="shared" si="10"/>
        <v>52.688499999999998</v>
      </c>
      <c r="I208" s="5"/>
      <c r="J208" s="17">
        <v>975.37630000000001</v>
      </c>
      <c r="K208" s="18">
        <v>51.295400000000001</v>
      </c>
      <c r="L208" s="18">
        <v>52.493600000000001</v>
      </c>
      <c r="M208" s="18">
        <v>53.041800000000002</v>
      </c>
      <c r="N208" s="18">
        <v>91.789900000000003</v>
      </c>
      <c r="O208" s="18">
        <f t="shared" si="11"/>
        <v>51.663475000000005</v>
      </c>
      <c r="P208" s="7"/>
      <c r="Q208" s="10"/>
      <c r="R208" s="11"/>
      <c r="S208" s="11"/>
      <c r="T208" s="26"/>
      <c r="U208" s="28">
        <f t="shared" si="9"/>
        <v>3.9164381360471343</v>
      </c>
    </row>
    <row r="209" spans="2:21" x14ac:dyDescent="0.25">
      <c r="B209" s="9"/>
      <c r="C209" s="17">
        <v>871.150390625</v>
      </c>
      <c r="D209" s="18">
        <v>49.213000000000001</v>
      </c>
      <c r="E209" s="18">
        <v>50.55</v>
      </c>
      <c r="F209" s="18">
        <v>51.036000000000001</v>
      </c>
      <c r="G209" s="18">
        <v>19.95</v>
      </c>
      <c r="H209" s="18">
        <f t="shared" si="10"/>
        <v>49.608000000000004</v>
      </c>
      <c r="I209" s="5"/>
      <c r="J209" s="17">
        <v>604.50720000000001</v>
      </c>
      <c r="K209" s="18">
        <v>48.4542</v>
      </c>
      <c r="L209" s="18">
        <v>50.103000000000002</v>
      </c>
      <c r="M209" s="18">
        <v>50.6432</v>
      </c>
      <c r="N209" s="18">
        <v>117.50109999999999</v>
      </c>
      <c r="O209" s="18">
        <f t="shared" si="11"/>
        <v>48.933924999999995</v>
      </c>
      <c r="P209" s="7"/>
      <c r="Q209" s="10"/>
      <c r="R209" s="11"/>
      <c r="S209" s="11"/>
      <c r="T209" s="26"/>
      <c r="U209" s="28">
        <f t="shared" si="9"/>
        <v>4.889779448621554</v>
      </c>
    </row>
    <row r="210" spans="2:21" ht="16.5" thickBot="1" x14ac:dyDescent="0.3">
      <c r="B210" s="12"/>
      <c r="C210" s="19">
        <v>456.69140625</v>
      </c>
      <c r="D210" s="20">
        <v>44.856000000000002</v>
      </c>
      <c r="E210" s="20">
        <v>46.414999999999999</v>
      </c>
      <c r="F210" s="20">
        <v>46.985999999999997</v>
      </c>
      <c r="G210" s="20">
        <v>21.83</v>
      </c>
      <c r="H210" s="20">
        <f t="shared" si="10"/>
        <v>45.317125000000004</v>
      </c>
      <c r="I210" s="5"/>
      <c r="J210" s="19">
        <v>307.97309999999999</v>
      </c>
      <c r="K210" s="20">
        <v>44.004600000000003</v>
      </c>
      <c r="L210" s="20">
        <v>46.345799999999997</v>
      </c>
      <c r="M210" s="20">
        <v>46.911499999999997</v>
      </c>
      <c r="N210" s="20">
        <v>148.31909999999999</v>
      </c>
      <c r="O210" s="20">
        <f t="shared" si="11"/>
        <v>44.660612499999999</v>
      </c>
      <c r="P210" s="7"/>
      <c r="Q210" s="13"/>
      <c r="R210" s="14"/>
      <c r="S210" s="14"/>
      <c r="T210" s="27"/>
      <c r="U210" s="28">
        <f t="shared" si="9"/>
        <v>5.7942785158039394</v>
      </c>
    </row>
    <row r="211" spans="2:21" x14ac:dyDescent="0.25">
      <c r="B211" s="6" t="s">
        <v>102</v>
      </c>
      <c r="C211" s="15">
        <v>1957.4775390625</v>
      </c>
      <c r="D211" s="16">
        <v>43.584000000000003</v>
      </c>
      <c r="E211" s="16">
        <v>46.112000000000002</v>
      </c>
      <c r="F211" s="16">
        <v>46.561</v>
      </c>
      <c r="G211" s="16">
        <v>16.5</v>
      </c>
      <c r="H211" s="16">
        <f t="shared" si="10"/>
        <v>44.272125000000003</v>
      </c>
      <c r="I211" s="5"/>
      <c r="J211" s="15">
        <v>1487.7192</v>
      </c>
      <c r="K211" s="16">
        <v>44.114100000000001</v>
      </c>
      <c r="L211" s="16">
        <v>46.5884</v>
      </c>
      <c r="M211" s="16">
        <v>47.0045</v>
      </c>
      <c r="N211" s="16">
        <v>45.642400000000002</v>
      </c>
      <c r="O211" s="16">
        <f t="shared" si="11"/>
        <v>44.784687499999997</v>
      </c>
      <c r="P211" s="7"/>
      <c r="Q211" s="8">
        <f>bdrate(C211:C214,D211:D214,J211:J214,K211:K214)</f>
        <v>-0.29333633772042678</v>
      </c>
      <c r="R211" s="8">
        <f>bdrate(C211:C214,E211:E214,J211:J214,L211:L214)</f>
        <v>-0.38063468176343307</v>
      </c>
      <c r="S211" s="8">
        <f>bdrate(C211:C214,F211:F214,J211:J214,M211:M214)</f>
        <v>-0.37321962543721088</v>
      </c>
      <c r="T211" s="25">
        <f>bdrate(C211:C214,H211:H214,J211:J214,O211:O214)</f>
        <v>-0.31006430331560197</v>
      </c>
      <c r="U211" s="28">
        <f t="shared" si="9"/>
        <v>1.7662060606060608</v>
      </c>
    </row>
    <row r="212" spans="2:21" x14ac:dyDescent="0.25">
      <c r="B212" s="9"/>
      <c r="C212" s="17">
        <v>1354.0751953125</v>
      </c>
      <c r="D212" s="18">
        <v>41.844000000000001</v>
      </c>
      <c r="E212" s="18">
        <v>44.661999999999999</v>
      </c>
      <c r="F212" s="18">
        <v>45.095999999999997</v>
      </c>
      <c r="G212" s="18">
        <v>18.010000000000002</v>
      </c>
      <c r="H212" s="18">
        <f t="shared" si="10"/>
        <v>42.60275</v>
      </c>
      <c r="I212" s="5"/>
      <c r="J212" s="17">
        <v>996.91589999999997</v>
      </c>
      <c r="K212" s="18">
        <v>42.2121</v>
      </c>
      <c r="L212" s="18">
        <v>45.174999999999997</v>
      </c>
      <c r="M212" s="18">
        <v>45.560600000000001</v>
      </c>
      <c r="N212" s="18">
        <v>54.375700000000002</v>
      </c>
      <c r="O212" s="18">
        <f t="shared" si="11"/>
        <v>43.001025000000006</v>
      </c>
      <c r="P212" s="7"/>
      <c r="Q212" s="10"/>
      <c r="R212" s="11"/>
      <c r="S212" s="11"/>
      <c r="T212" s="26"/>
      <c r="U212" s="28">
        <f t="shared" si="9"/>
        <v>2.0191948917268183</v>
      </c>
    </row>
    <row r="213" spans="2:21" x14ac:dyDescent="0.25">
      <c r="B213" s="9"/>
      <c r="C213" s="17">
        <v>877.3369140625</v>
      </c>
      <c r="D213" s="18">
        <v>39.753</v>
      </c>
      <c r="E213" s="18">
        <v>42.857999999999997</v>
      </c>
      <c r="F213" s="18">
        <v>43.302</v>
      </c>
      <c r="G213" s="18">
        <v>19.77</v>
      </c>
      <c r="H213" s="18">
        <f t="shared" si="10"/>
        <v>40.58475</v>
      </c>
      <c r="I213" s="5"/>
      <c r="J213" s="17">
        <v>597.82159999999999</v>
      </c>
      <c r="K213" s="18">
        <v>39.532499999999999</v>
      </c>
      <c r="L213" s="18">
        <v>43.249299999999998</v>
      </c>
      <c r="M213" s="18">
        <v>43.6509</v>
      </c>
      <c r="N213" s="18">
        <v>66.420699999999997</v>
      </c>
      <c r="O213" s="18">
        <f t="shared" si="11"/>
        <v>40.511899999999997</v>
      </c>
      <c r="P213" s="7"/>
      <c r="Q213" s="10"/>
      <c r="R213" s="11"/>
      <c r="S213" s="11"/>
      <c r="T213" s="26"/>
      <c r="U213" s="28">
        <f t="shared" si="9"/>
        <v>2.3596712190187152</v>
      </c>
    </row>
    <row r="214" spans="2:21" ht="16.5" thickBot="1" x14ac:dyDescent="0.3">
      <c r="B214" s="12"/>
      <c r="C214" s="19">
        <v>485.765625</v>
      </c>
      <c r="D214" s="20">
        <v>36.906999999999996</v>
      </c>
      <c r="E214" s="20">
        <v>40.515999999999998</v>
      </c>
      <c r="F214" s="20">
        <v>40.97</v>
      </c>
      <c r="G214" s="20">
        <v>21.84</v>
      </c>
      <c r="H214" s="20">
        <f t="shared" si="10"/>
        <v>37.866</v>
      </c>
      <c r="I214" s="5"/>
      <c r="J214" s="19">
        <v>300.7833</v>
      </c>
      <c r="K214" s="20">
        <v>35.816400000000002</v>
      </c>
      <c r="L214" s="20">
        <v>40.856099999999998</v>
      </c>
      <c r="M214" s="20">
        <v>41.260599999999997</v>
      </c>
      <c r="N214" s="20">
        <v>84.6541</v>
      </c>
      <c r="O214" s="20">
        <f t="shared" si="11"/>
        <v>37.126887500000002</v>
      </c>
      <c r="P214" s="7"/>
      <c r="Q214" s="13"/>
      <c r="R214" s="14"/>
      <c r="S214" s="14"/>
      <c r="T214" s="27"/>
      <c r="U214" s="28">
        <f t="shared" si="9"/>
        <v>2.8761034798534797</v>
      </c>
    </row>
    <row r="215" spans="2:21" x14ac:dyDescent="0.25">
      <c r="B215" s="6" t="s">
        <v>103</v>
      </c>
      <c r="C215" s="29">
        <v>1859.5205078125</v>
      </c>
      <c r="D215" s="30">
        <v>39.442</v>
      </c>
      <c r="E215" s="30">
        <v>44.206000000000003</v>
      </c>
      <c r="F215" s="30">
        <v>44.186</v>
      </c>
      <c r="G215" s="16">
        <v>16.829999999999998</v>
      </c>
      <c r="H215" s="16">
        <f t="shared" si="10"/>
        <v>40.630499999999998</v>
      </c>
      <c r="I215" s="5"/>
      <c r="J215" s="29">
        <v>1497.9206999999999</v>
      </c>
      <c r="K215" s="30">
        <v>40.033099999999997</v>
      </c>
      <c r="L215" s="30">
        <v>44.755400000000002</v>
      </c>
      <c r="M215" s="30">
        <v>44.745800000000003</v>
      </c>
      <c r="N215" s="16">
        <v>44.636200000000002</v>
      </c>
      <c r="O215" s="16">
        <f t="shared" si="11"/>
        <v>41.212474999999998</v>
      </c>
      <c r="P215" s="7"/>
      <c r="Q215" s="8">
        <f>bdrate(C215:C218,D215:D218,J215:J218,K215:K218)</f>
        <v>-0.24285987758285221</v>
      </c>
      <c r="R215" s="8">
        <f>bdrate(C215:C218,E215:E218,J215:J218,L215:L218)</f>
        <v>-0.39044522745893118</v>
      </c>
      <c r="S215" s="8">
        <f>bdrate(C215:C218,F215:F218,J215:J218,M215:M218)</f>
        <v>-0.3899394991880456</v>
      </c>
      <c r="T215" s="25">
        <f>bdrate(C215:C218,H215:H218,J215:J218,O215:O218)</f>
        <v>-0.27636618475155028</v>
      </c>
      <c r="U215" s="28">
        <f t="shared" si="9"/>
        <v>1.6521806298276891</v>
      </c>
    </row>
    <row r="216" spans="2:21" x14ac:dyDescent="0.25">
      <c r="B216" s="9"/>
      <c r="C216" s="31">
        <v>1205.6611328125</v>
      </c>
      <c r="D216" s="32">
        <v>37.682000000000002</v>
      </c>
      <c r="E216" s="32">
        <v>42.765999999999998</v>
      </c>
      <c r="F216" s="32">
        <v>42.713000000000001</v>
      </c>
      <c r="G216" s="18">
        <v>18.329999999999998</v>
      </c>
      <c r="H216" s="18">
        <f t="shared" si="10"/>
        <v>38.946375000000003</v>
      </c>
      <c r="I216" s="5"/>
      <c r="J216" s="31">
        <v>998.31870000000004</v>
      </c>
      <c r="K216" s="32">
        <v>38.154000000000003</v>
      </c>
      <c r="L216" s="32">
        <v>43.510800000000003</v>
      </c>
      <c r="M216" s="32">
        <v>43.465299999999999</v>
      </c>
      <c r="N216" s="18">
        <v>51.565600000000003</v>
      </c>
      <c r="O216" s="18">
        <f t="shared" si="11"/>
        <v>39.487512500000008</v>
      </c>
      <c r="P216" s="7"/>
      <c r="Q216" s="10"/>
      <c r="R216" s="11"/>
      <c r="S216" s="11"/>
      <c r="T216" s="26"/>
      <c r="U216" s="28">
        <f t="shared" si="9"/>
        <v>1.8131805782869617</v>
      </c>
    </row>
    <row r="217" spans="2:21" x14ac:dyDescent="0.25">
      <c r="B217" s="9"/>
      <c r="C217" s="31">
        <v>780.6591796875</v>
      </c>
      <c r="D217" s="32">
        <v>35.701000000000001</v>
      </c>
      <c r="E217" s="32">
        <v>41.134999999999998</v>
      </c>
      <c r="F217" s="32">
        <v>41.04</v>
      </c>
      <c r="G217" s="18">
        <v>19.82</v>
      </c>
      <c r="H217" s="18">
        <f t="shared" si="10"/>
        <v>37.047625000000004</v>
      </c>
      <c r="I217" s="5"/>
      <c r="J217" s="31">
        <v>598.6703</v>
      </c>
      <c r="K217" s="32">
        <v>35.779400000000003</v>
      </c>
      <c r="L217" s="32">
        <v>41.9771</v>
      </c>
      <c r="M217" s="32">
        <v>41.904299999999999</v>
      </c>
      <c r="N217" s="18">
        <v>61.504800000000003</v>
      </c>
      <c r="O217" s="18">
        <f t="shared" si="11"/>
        <v>37.319724999999998</v>
      </c>
      <c r="P217" s="7"/>
      <c r="Q217" s="10"/>
      <c r="R217" s="11"/>
      <c r="S217" s="11"/>
      <c r="T217" s="26"/>
      <c r="U217" s="28">
        <f t="shared" si="9"/>
        <v>2.1031685166498488</v>
      </c>
    </row>
    <row r="218" spans="2:21" ht="16.5" thickBot="1" x14ac:dyDescent="0.3">
      <c r="B218" s="12"/>
      <c r="C218" s="33">
        <v>391.9189453125</v>
      </c>
      <c r="D218" s="34">
        <v>33.085999999999999</v>
      </c>
      <c r="E218" s="34">
        <v>38.973999999999997</v>
      </c>
      <c r="F218" s="34">
        <v>38.853000000000002</v>
      </c>
      <c r="G218" s="20">
        <v>21.48</v>
      </c>
      <c r="H218" s="20">
        <f t="shared" si="10"/>
        <v>34.542874999999995</v>
      </c>
      <c r="I218" s="5"/>
      <c r="J218" s="33">
        <v>299.8689</v>
      </c>
      <c r="K218" s="34">
        <v>32.8065</v>
      </c>
      <c r="L218" s="34">
        <v>40.165999999999997</v>
      </c>
      <c r="M218" s="34">
        <v>40.0548</v>
      </c>
      <c r="N218" s="20">
        <v>78.465599999999995</v>
      </c>
      <c r="O218" s="20">
        <f t="shared" si="11"/>
        <v>34.632474999999999</v>
      </c>
      <c r="P218" s="7"/>
      <c r="Q218" s="13"/>
      <c r="R218" s="14"/>
      <c r="S218" s="14"/>
      <c r="T218" s="27"/>
      <c r="U218" s="28">
        <f t="shared" si="9"/>
        <v>2.6529608938547482</v>
      </c>
    </row>
    <row r="219" spans="2:21" x14ac:dyDescent="0.25">
      <c r="B219" s="6" t="s">
        <v>104</v>
      </c>
      <c r="C219" s="15">
        <v>1616.931640625</v>
      </c>
      <c r="D219" s="16">
        <v>37.253999999999998</v>
      </c>
      <c r="E219" s="16">
        <v>42.134</v>
      </c>
      <c r="F219" s="16">
        <v>42.694000000000003</v>
      </c>
      <c r="G219" s="16">
        <v>17.309999999999999</v>
      </c>
      <c r="H219" s="16">
        <f t="shared" si="10"/>
        <v>38.544000000000004</v>
      </c>
      <c r="I219" s="5"/>
      <c r="J219" s="15">
        <v>1509.9743000000001</v>
      </c>
      <c r="K219" s="16">
        <v>38.124400000000001</v>
      </c>
      <c r="L219" s="16">
        <v>43.071800000000003</v>
      </c>
      <c r="M219" s="16">
        <v>43.5685</v>
      </c>
      <c r="N219" s="16">
        <v>47.322299999999998</v>
      </c>
      <c r="O219" s="16">
        <f t="shared" si="11"/>
        <v>39.423337500000002</v>
      </c>
      <c r="P219" s="7"/>
      <c r="Q219" s="8">
        <f>bdrate(C219:C222,D219:D222,J219:J222,K219:K222)</f>
        <v>-0.22150594788478151</v>
      </c>
      <c r="R219" s="8">
        <f>bdrate(C219:C222,E219:E222,J219:J222,L219:L222)</f>
        <v>-0.39033403941091027</v>
      </c>
      <c r="S219" s="8">
        <f>bdrate(C219:C222,F219:F222,J219:J222,M219:M222)</f>
        <v>-0.38019109752715197</v>
      </c>
      <c r="T219" s="25">
        <f>bdrate(C219:C222,H219:H222,J219:J222,O219:O222)</f>
        <v>-0.26255567383898304</v>
      </c>
      <c r="U219" s="28">
        <f t="shared" si="9"/>
        <v>1.7338128249566727</v>
      </c>
    </row>
    <row r="220" spans="2:21" x14ac:dyDescent="0.25">
      <c r="B220" s="9"/>
      <c r="C220" s="17">
        <v>1111.982421875</v>
      </c>
      <c r="D220" s="18">
        <v>35.468000000000004</v>
      </c>
      <c r="E220" s="18">
        <v>40.5</v>
      </c>
      <c r="F220" s="18">
        <v>41.176000000000002</v>
      </c>
      <c r="G220" s="18">
        <v>18.96</v>
      </c>
      <c r="H220" s="18">
        <f t="shared" si="10"/>
        <v>36.810500000000005</v>
      </c>
      <c r="I220" s="5"/>
      <c r="J220" s="17">
        <v>1008.422</v>
      </c>
      <c r="K220" s="18">
        <v>36.247799999999998</v>
      </c>
      <c r="L220" s="18">
        <v>41.746000000000002</v>
      </c>
      <c r="M220" s="18">
        <v>42.314300000000003</v>
      </c>
      <c r="N220" s="18">
        <v>54.761200000000002</v>
      </c>
      <c r="O220" s="18">
        <f t="shared" si="11"/>
        <v>37.6933875</v>
      </c>
      <c r="P220" s="7"/>
      <c r="Q220" s="10"/>
      <c r="R220" s="11"/>
      <c r="S220" s="11"/>
      <c r="T220" s="26"/>
      <c r="U220" s="28">
        <f t="shared" si="9"/>
        <v>1.8882489451476794</v>
      </c>
    </row>
    <row r="221" spans="2:21" x14ac:dyDescent="0.25">
      <c r="B221" s="9"/>
      <c r="C221" s="17">
        <v>686.4775390625</v>
      </c>
      <c r="D221" s="18">
        <v>33.280999999999999</v>
      </c>
      <c r="E221" s="18">
        <v>38.442</v>
      </c>
      <c r="F221" s="18">
        <v>39.198999999999998</v>
      </c>
      <c r="G221" s="18">
        <v>20.09</v>
      </c>
      <c r="H221" s="18">
        <f t="shared" si="10"/>
        <v>34.665875</v>
      </c>
      <c r="I221" s="5"/>
      <c r="J221" s="17">
        <v>604.47889999999995</v>
      </c>
      <c r="K221" s="18">
        <v>33.851799999999997</v>
      </c>
      <c r="L221" s="18">
        <v>39.962000000000003</v>
      </c>
      <c r="M221" s="18">
        <v>40.576300000000003</v>
      </c>
      <c r="N221" s="18">
        <v>63.051699999999997</v>
      </c>
      <c r="O221" s="18">
        <f t="shared" si="11"/>
        <v>35.456137499999997</v>
      </c>
      <c r="P221" s="7"/>
      <c r="Q221" s="10"/>
      <c r="R221" s="11"/>
      <c r="S221" s="11"/>
      <c r="T221" s="26"/>
      <c r="U221" s="28">
        <f t="shared" si="9"/>
        <v>2.1384619213539069</v>
      </c>
    </row>
    <row r="222" spans="2:21" ht="16.5" thickBot="1" x14ac:dyDescent="0.3">
      <c r="B222" s="12"/>
      <c r="C222" s="19">
        <v>384.390625</v>
      </c>
      <c r="D222" s="20">
        <v>30.79</v>
      </c>
      <c r="E222" s="20">
        <v>36.119</v>
      </c>
      <c r="F222" s="20">
        <v>36.933999999999997</v>
      </c>
      <c r="G222" s="20">
        <v>21.28</v>
      </c>
      <c r="H222" s="20">
        <f t="shared" si="10"/>
        <v>32.224125000000001</v>
      </c>
      <c r="I222" s="5"/>
      <c r="J222" s="19">
        <v>304.13549999999998</v>
      </c>
      <c r="K222" s="20">
        <v>30.7044</v>
      </c>
      <c r="L222" s="20">
        <v>37.7821</v>
      </c>
      <c r="M222" s="20">
        <v>38.528100000000002</v>
      </c>
      <c r="N222" s="20">
        <v>80.782700000000006</v>
      </c>
      <c r="O222" s="20">
        <f t="shared" si="11"/>
        <v>32.567075000000003</v>
      </c>
      <c r="P222" s="7"/>
      <c r="Q222" s="13"/>
      <c r="R222" s="14"/>
      <c r="S222" s="14"/>
      <c r="T222" s="27"/>
      <c r="U222" s="28">
        <f t="shared" si="9"/>
        <v>2.7961795112781958</v>
      </c>
    </row>
    <row r="223" spans="2:21" x14ac:dyDescent="0.25">
      <c r="B223" s="6" t="s">
        <v>105</v>
      </c>
      <c r="C223" s="15">
        <v>1708.9150390625</v>
      </c>
      <c r="D223" s="16">
        <v>37.536000000000001</v>
      </c>
      <c r="E223" s="16">
        <v>43.798999999999999</v>
      </c>
      <c r="F223" s="16">
        <v>45.637999999999998</v>
      </c>
      <c r="G223" s="16">
        <v>15.46</v>
      </c>
      <c r="H223" s="16">
        <f t="shared" si="10"/>
        <v>39.331624999999995</v>
      </c>
      <c r="I223" s="5"/>
      <c r="J223" s="15">
        <v>1509.7601</v>
      </c>
      <c r="K223" s="16">
        <v>37.982999999999997</v>
      </c>
      <c r="L223" s="16">
        <v>44.1083</v>
      </c>
      <c r="M223" s="16">
        <v>45.626100000000001</v>
      </c>
      <c r="N223" s="16">
        <v>43.623699999999999</v>
      </c>
      <c r="O223" s="16">
        <f t="shared" si="11"/>
        <v>39.704049999999995</v>
      </c>
      <c r="P223" s="7"/>
      <c r="Q223" s="8">
        <f>bdrate(C223:C226,D223:D226,J223:J226,K223:K226)</f>
        <v>-0.19413753981192128</v>
      </c>
      <c r="R223" s="8">
        <f>bdrate(C223:C226,E223:E226,J223:J226,L223:L226)</f>
        <v>-0.33185008421798035</v>
      </c>
      <c r="S223" s="8">
        <f>bdrate(C223:C226,F223:F226,J223:J226,M223:M226)</f>
        <v>-0.25696253544373304</v>
      </c>
      <c r="T223" s="25">
        <f>bdrate(C223:C226,H223:H226,J223:J226,O223:O226)</f>
        <v>-0.22050840559051532</v>
      </c>
      <c r="U223" s="28">
        <f t="shared" si="9"/>
        <v>1.8217141009055626</v>
      </c>
    </row>
    <row r="224" spans="2:21" x14ac:dyDescent="0.25">
      <c r="B224" s="9"/>
      <c r="C224" s="17">
        <v>1137.3984375</v>
      </c>
      <c r="D224" s="18">
        <v>36.204999999999998</v>
      </c>
      <c r="E224" s="18">
        <v>42.735999999999997</v>
      </c>
      <c r="F224" s="18">
        <v>44.436</v>
      </c>
      <c r="G224" s="18">
        <v>17.16</v>
      </c>
      <c r="H224" s="18">
        <f t="shared" si="10"/>
        <v>38.050249999999998</v>
      </c>
      <c r="I224" s="5"/>
      <c r="J224" s="17">
        <v>1006.8415</v>
      </c>
      <c r="K224" s="18">
        <v>36.545299999999997</v>
      </c>
      <c r="L224" s="18">
        <v>43.2014</v>
      </c>
      <c r="M224" s="18">
        <v>44.656999999999996</v>
      </c>
      <c r="N224" s="18">
        <v>51.1233</v>
      </c>
      <c r="O224" s="18">
        <f t="shared" si="11"/>
        <v>38.391274999999993</v>
      </c>
      <c r="P224" s="7"/>
      <c r="Q224" s="10"/>
      <c r="R224" s="11"/>
      <c r="S224" s="11"/>
      <c r="T224" s="26"/>
      <c r="U224" s="28">
        <f t="shared" si="9"/>
        <v>1.979213286713287</v>
      </c>
    </row>
    <row r="225" spans="2:21" x14ac:dyDescent="0.25">
      <c r="B225" s="9"/>
      <c r="C225" s="17">
        <v>688.3154296875</v>
      </c>
      <c r="D225" s="18">
        <v>34.593000000000004</v>
      </c>
      <c r="E225" s="18">
        <v>41.356999999999999</v>
      </c>
      <c r="F225" s="18">
        <v>42.868000000000002</v>
      </c>
      <c r="G225" s="18">
        <v>19.47</v>
      </c>
      <c r="H225" s="18">
        <f t="shared" si="10"/>
        <v>36.472875000000002</v>
      </c>
      <c r="I225" s="5"/>
      <c r="J225" s="17">
        <v>601.75469999999996</v>
      </c>
      <c r="K225" s="18">
        <v>34.836300000000001</v>
      </c>
      <c r="L225" s="18">
        <v>42.109699999999997</v>
      </c>
      <c r="M225" s="18">
        <v>43.453000000000003</v>
      </c>
      <c r="N225" s="18">
        <v>61.471200000000003</v>
      </c>
      <c r="O225" s="18">
        <f t="shared" si="11"/>
        <v>36.822562500000004</v>
      </c>
      <c r="P225" s="7"/>
      <c r="Q225" s="10"/>
      <c r="R225" s="11"/>
      <c r="S225" s="11"/>
      <c r="T225" s="26"/>
      <c r="U225" s="28">
        <f t="shared" si="9"/>
        <v>2.1572265023112482</v>
      </c>
    </row>
    <row r="226" spans="2:21" ht="16.5" thickBot="1" x14ac:dyDescent="0.3">
      <c r="B226" s="12"/>
      <c r="C226" s="19">
        <v>349.9140625</v>
      </c>
      <c r="D226" s="20">
        <v>32.604999999999997</v>
      </c>
      <c r="E226" s="20">
        <v>39.552999999999997</v>
      </c>
      <c r="F226" s="20">
        <v>40.683999999999997</v>
      </c>
      <c r="G226" s="20">
        <v>22</v>
      </c>
      <c r="H226" s="20">
        <f t="shared" si="10"/>
        <v>34.483374999999995</v>
      </c>
      <c r="I226" s="5"/>
      <c r="J226" s="19">
        <v>300.4316</v>
      </c>
      <c r="K226" s="20">
        <v>32.728000000000002</v>
      </c>
      <c r="L226" s="20">
        <v>40.759399999999999</v>
      </c>
      <c r="M226" s="20">
        <v>41.877200000000002</v>
      </c>
      <c r="N226" s="20">
        <v>79.027100000000004</v>
      </c>
      <c r="O226" s="20">
        <f t="shared" si="11"/>
        <v>34.875574999999998</v>
      </c>
      <c r="P226" s="7"/>
      <c r="Q226" s="13"/>
      <c r="R226" s="14"/>
      <c r="S226" s="14"/>
      <c r="T226" s="27"/>
      <c r="U226" s="28">
        <f t="shared" si="9"/>
        <v>2.5921409090909093</v>
      </c>
    </row>
    <row r="227" spans="2:21" x14ac:dyDescent="0.25">
      <c r="B227" s="6" t="s">
        <v>106</v>
      </c>
      <c r="C227" s="15">
        <v>1422.126953125</v>
      </c>
      <c r="D227" s="16">
        <v>47.610999999999997</v>
      </c>
      <c r="E227" s="16">
        <v>53.488999999999997</v>
      </c>
      <c r="F227" s="16">
        <v>54.792000000000002</v>
      </c>
      <c r="G227" s="16">
        <v>17.850000000000001</v>
      </c>
      <c r="H227" s="16">
        <f t="shared" si="10"/>
        <v>49.243375</v>
      </c>
      <c r="I227" s="5"/>
      <c r="J227" s="15">
        <v>1499.2367999999999</v>
      </c>
      <c r="K227" s="16">
        <v>49.3748</v>
      </c>
      <c r="L227" s="16">
        <v>54.2971</v>
      </c>
      <c r="M227" s="16">
        <v>55.735300000000002</v>
      </c>
      <c r="N227" s="16">
        <v>55.954700000000003</v>
      </c>
      <c r="O227" s="16">
        <f t="shared" si="11"/>
        <v>50.785150000000002</v>
      </c>
      <c r="P227" s="7"/>
      <c r="Q227" s="8">
        <f>bdrate(C227:C230,D227:D230,J227:J230,K227:K230)</f>
        <v>-0.32376660851323491</v>
      </c>
      <c r="R227" s="8">
        <f>bdrate(C227:C230,E227:E230,J227:J230,L227:L230)</f>
        <v>-0.20840914588511805</v>
      </c>
      <c r="S227" s="8">
        <f>bdrate(C227:C230,F227:F230,J227:J230,M227:M230)</f>
        <v>-0.24669947050994501</v>
      </c>
      <c r="T227" s="25">
        <f>bdrate(C227:C230,H227:H230,J227:J230,O227:O230)</f>
        <v>-0.30258900733940297</v>
      </c>
      <c r="U227" s="28">
        <f t="shared" si="9"/>
        <v>2.1347170868347338</v>
      </c>
    </row>
    <row r="228" spans="2:21" x14ac:dyDescent="0.25">
      <c r="B228" s="9"/>
      <c r="C228" s="17">
        <v>1013.80078125</v>
      </c>
      <c r="D228" s="18">
        <v>46.286999999999999</v>
      </c>
      <c r="E228" s="18">
        <v>52.408000000000001</v>
      </c>
      <c r="F228" s="18">
        <v>53.744</v>
      </c>
      <c r="G228" s="18">
        <v>19.260000000000002</v>
      </c>
      <c r="H228" s="18">
        <f t="shared" si="10"/>
        <v>47.984250000000003</v>
      </c>
      <c r="I228" s="5"/>
      <c r="J228" s="17">
        <v>998.62249999999995</v>
      </c>
      <c r="K228" s="18">
        <v>47.782699999999998</v>
      </c>
      <c r="L228" s="18">
        <v>52.941699999999997</v>
      </c>
      <c r="M228" s="18">
        <v>54.447499999999998</v>
      </c>
      <c r="N228" s="18">
        <v>64.602999999999994</v>
      </c>
      <c r="O228" s="18">
        <f t="shared" si="11"/>
        <v>49.260674999999992</v>
      </c>
      <c r="P228" s="7"/>
      <c r="Q228" s="10"/>
      <c r="R228" s="11"/>
      <c r="S228" s="11"/>
      <c r="T228" s="26"/>
      <c r="U228" s="28">
        <f t="shared" si="9"/>
        <v>2.3542575285565932</v>
      </c>
    </row>
    <row r="229" spans="2:21" x14ac:dyDescent="0.25">
      <c r="B229" s="9"/>
      <c r="C229" s="17">
        <v>635.021484375</v>
      </c>
      <c r="D229" s="18">
        <v>44.393999999999998</v>
      </c>
      <c r="E229" s="18">
        <v>50.57</v>
      </c>
      <c r="F229" s="18">
        <v>51.857999999999997</v>
      </c>
      <c r="G229" s="18">
        <v>20.99</v>
      </c>
      <c r="H229" s="18">
        <f t="shared" si="10"/>
        <v>46.098999999999997</v>
      </c>
      <c r="I229" s="5"/>
      <c r="J229" s="17">
        <v>601.11450000000002</v>
      </c>
      <c r="K229" s="18">
        <v>45.7746</v>
      </c>
      <c r="L229" s="18">
        <v>51.265000000000001</v>
      </c>
      <c r="M229" s="18">
        <v>52.768900000000002</v>
      </c>
      <c r="N229" s="18">
        <v>76.608599999999996</v>
      </c>
      <c r="O229" s="18">
        <f t="shared" si="11"/>
        <v>47.335187500000004</v>
      </c>
      <c r="P229" s="7"/>
      <c r="Q229" s="10"/>
      <c r="R229" s="11"/>
      <c r="S229" s="11"/>
      <c r="T229" s="26"/>
      <c r="U229" s="28">
        <f t="shared" si="9"/>
        <v>2.6497665555026204</v>
      </c>
    </row>
    <row r="230" spans="2:21" ht="16.5" thickBot="1" x14ac:dyDescent="0.3">
      <c r="B230" s="12"/>
      <c r="C230" s="19">
        <v>330.8525390625</v>
      </c>
      <c r="D230" s="20">
        <v>41.570999999999998</v>
      </c>
      <c r="E230" s="20">
        <v>47.503999999999998</v>
      </c>
      <c r="F230" s="20">
        <v>48.898000000000003</v>
      </c>
      <c r="G230" s="20">
        <v>23.52</v>
      </c>
      <c r="H230" s="20">
        <f t="shared" si="10"/>
        <v>43.228500000000004</v>
      </c>
      <c r="I230" s="5"/>
      <c r="J230" s="19">
        <v>302.19029999999998</v>
      </c>
      <c r="K230" s="20">
        <v>42.869599999999998</v>
      </c>
      <c r="L230" s="20">
        <v>48.6631</v>
      </c>
      <c r="M230" s="20">
        <v>50.118899999999996</v>
      </c>
      <c r="N230" s="20">
        <v>98.478200000000001</v>
      </c>
      <c r="O230" s="20">
        <f t="shared" si="11"/>
        <v>44.499949999999998</v>
      </c>
      <c r="P230" s="7"/>
      <c r="Q230" s="13"/>
      <c r="R230" s="14"/>
      <c r="S230" s="14"/>
      <c r="T230" s="27"/>
      <c r="U230" s="28">
        <f t="shared" si="9"/>
        <v>3.1869982993197281</v>
      </c>
    </row>
    <row r="231" spans="2:21" x14ac:dyDescent="0.25">
      <c r="B231" s="6" t="s">
        <v>107</v>
      </c>
      <c r="C231" s="15">
        <v>1611.71875</v>
      </c>
      <c r="D231" s="16">
        <v>32.124000000000002</v>
      </c>
      <c r="E231" s="16">
        <v>40.776000000000003</v>
      </c>
      <c r="F231" s="16">
        <v>40.192</v>
      </c>
      <c r="G231" s="16">
        <v>17.03</v>
      </c>
      <c r="H231" s="16">
        <f t="shared" si="10"/>
        <v>34.214000000000006</v>
      </c>
      <c r="I231" s="5"/>
      <c r="J231" s="15">
        <v>1493.0359000000001</v>
      </c>
      <c r="K231" s="16">
        <v>33.0167</v>
      </c>
      <c r="L231" s="16">
        <v>41.509900000000002</v>
      </c>
      <c r="M231" s="16">
        <v>40.8887</v>
      </c>
      <c r="N231" s="16">
        <v>31.3627</v>
      </c>
      <c r="O231" s="16">
        <f t="shared" si="11"/>
        <v>35.062349999999995</v>
      </c>
      <c r="P231" s="7"/>
      <c r="Q231" s="8">
        <f>bdrate(C231:C234,D231:D234,J231:J234,K231:K234)</f>
        <v>-0.21208555640133087</v>
      </c>
      <c r="R231" s="8">
        <f>bdrate(C231:C234,E231:E234,J231:J234,L231:L234)</f>
        <v>-0.44778653351228004</v>
      </c>
      <c r="S231" s="8">
        <f>bdrate(C231:C234,F231:F234,J231:J234,M231:M234)</f>
        <v>-0.43613588037456386</v>
      </c>
      <c r="T231" s="25">
        <f>bdrate(C231:C234,H231:H234,J231:J234,O231:O234)</f>
        <v>-0.26181215952798498</v>
      </c>
      <c r="U231" s="28">
        <f t="shared" si="9"/>
        <v>0.84161479741632406</v>
      </c>
    </row>
    <row r="232" spans="2:21" x14ac:dyDescent="0.25">
      <c r="B232" s="9"/>
      <c r="C232" s="17">
        <v>1090.0673828125</v>
      </c>
      <c r="D232" s="18">
        <v>30.603999999999999</v>
      </c>
      <c r="E232" s="18">
        <v>39.423999999999999</v>
      </c>
      <c r="F232" s="18">
        <v>38.826999999999998</v>
      </c>
      <c r="G232" s="18">
        <v>18.25</v>
      </c>
      <c r="H232" s="18">
        <f t="shared" si="10"/>
        <v>32.734375</v>
      </c>
      <c r="I232" s="5"/>
      <c r="J232" s="17">
        <v>994.33799999999997</v>
      </c>
      <c r="K232" s="18">
        <v>31.3431</v>
      </c>
      <c r="L232" s="18">
        <v>40.6203</v>
      </c>
      <c r="M232" s="18">
        <v>39.996000000000002</v>
      </c>
      <c r="N232" s="18">
        <v>36.340899999999998</v>
      </c>
      <c r="O232" s="18">
        <f t="shared" si="11"/>
        <v>33.584362499999997</v>
      </c>
      <c r="P232" s="7"/>
      <c r="Q232" s="10"/>
      <c r="R232" s="11"/>
      <c r="S232" s="11"/>
      <c r="T232" s="26"/>
      <c r="U232" s="28">
        <f t="shared" si="9"/>
        <v>0.99128219178082178</v>
      </c>
    </row>
    <row r="233" spans="2:21" x14ac:dyDescent="0.25">
      <c r="B233" s="9"/>
      <c r="C233" s="17">
        <v>711.4189453125</v>
      </c>
      <c r="D233" s="18">
        <v>29.088999999999999</v>
      </c>
      <c r="E233" s="18">
        <v>37.965000000000003</v>
      </c>
      <c r="F233" s="18">
        <v>37.356000000000002</v>
      </c>
      <c r="G233" s="18">
        <v>19.3</v>
      </c>
      <c r="H233" s="18">
        <f t="shared" si="10"/>
        <v>31.231874999999999</v>
      </c>
      <c r="I233" s="5"/>
      <c r="J233" s="17">
        <v>596.67309999999998</v>
      </c>
      <c r="K233" s="18">
        <v>29.181000000000001</v>
      </c>
      <c r="L233" s="18">
        <v>39.3718</v>
      </c>
      <c r="M233" s="18">
        <v>38.702300000000001</v>
      </c>
      <c r="N233" s="18">
        <v>43.739199999999997</v>
      </c>
      <c r="O233" s="18">
        <f t="shared" si="11"/>
        <v>31.645012500000004</v>
      </c>
      <c r="P233" s="7"/>
      <c r="Q233" s="10"/>
      <c r="R233" s="11"/>
      <c r="S233" s="11"/>
      <c r="T233" s="26"/>
      <c r="U233" s="28">
        <f t="shared" si="9"/>
        <v>1.2662797927461138</v>
      </c>
    </row>
    <row r="234" spans="2:21" ht="16.5" thickBot="1" x14ac:dyDescent="0.3">
      <c r="B234" s="12"/>
      <c r="C234" s="19">
        <v>526.9208984375</v>
      </c>
      <c r="D234" s="20">
        <v>27.963999999999999</v>
      </c>
      <c r="E234" s="20">
        <v>36.67</v>
      </c>
      <c r="F234" s="20">
        <v>36.064</v>
      </c>
      <c r="G234" s="20">
        <v>19.37</v>
      </c>
      <c r="H234" s="20">
        <f t="shared" si="10"/>
        <v>30.06475</v>
      </c>
      <c r="I234" s="5"/>
      <c r="J234" s="19">
        <v>298.75040000000001</v>
      </c>
      <c r="K234" s="20">
        <v>26.405899999999999</v>
      </c>
      <c r="L234" s="20">
        <v>37.377800000000001</v>
      </c>
      <c r="M234" s="20">
        <v>36.719000000000001</v>
      </c>
      <c r="N234" s="20">
        <v>55.420400000000001</v>
      </c>
      <c r="O234" s="20">
        <f t="shared" si="11"/>
        <v>29.066524999999999</v>
      </c>
      <c r="P234" s="7"/>
      <c r="Q234" s="13"/>
      <c r="R234" s="14"/>
      <c r="S234" s="14"/>
      <c r="T234" s="27"/>
      <c r="U234" s="28">
        <f t="shared" si="9"/>
        <v>1.8611461022199274</v>
      </c>
    </row>
    <row r="235" spans="2:21" x14ac:dyDescent="0.25">
      <c r="B235" s="6" t="s">
        <v>108</v>
      </c>
      <c r="C235" s="15">
        <v>2193.0205078125</v>
      </c>
      <c r="D235" s="16">
        <v>48.531999999999996</v>
      </c>
      <c r="E235" s="16">
        <v>49.973999999999997</v>
      </c>
      <c r="F235" s="16">
        <v>49.886000000000003</v>
      </c>
      <c r="G235" s="16">
        <v>17.010000000000002</v>
      </c>
      <c r="H235" s="16">
        <f t="shared" si="10"/>
        <v>48.881500000000003</v>
      </c>
      <c r="I235" s="5"/>
      <c r="J235" s="15">
        <v>1415.9531999999999</v>
      </c>
      <c r="K235" s="16">
        <v>46.731200000000001</v>
      </c>
      <c r="L235" s="16">
        <v>48.141300000000001</v>
      </c>
      <c r="M235" s="16">
        <v>48.033999999999999</v>
      </c>
      <c r="N235" s="16">
        <v>38.282400000000003</v>
      </c>
      <c r="O235" s="16">
        <f t="shared" si="11"/>
        <v>47.0703125</v>
      </c>
      <c r="P235" s="7"/>
      <c r="Q235" s="8">
        <f>bdrate(C235:C238,D235:D238,J235:J238,K235:K238)</f>
        <v>-0.30723420880455299</v>
      </c>
      <c r="R235" s="8">
        <f>bdrate(C235:C238,E235:E238,J235:J238,L235:L238)</f>
        <v>-0.35424722036242962</v>
      </c>
      <c r="S235" s="8">
        <f>bdrate(C235:C238,F235:F238,J235:J238,M235:M238)</f>
        <v>-0.35692977696439909</v>
      </c>
      <c r="T235" s="25">
        <f>bdrate(C235:C238,H235:H238,J235:J238,O235:O238)</f>
        <v>-0.31761873659837592</v>
      </c>
      <c r="U235" s="28">
        <f t="shared" si="9"/>
        <v>1.2505820105820105</v>
      </c>
    </row>
    <row r="236" spans="2:21" x14ac:dyDescent="0.25">
      <c r="B236" s="9"/>
      <c r="C236" s="17">
        <v>1548.447265625</v>
      </c>
      <c r="D236" s="18">
        <v>45.814999999999998</v>
      </c>
      <c r="E236" s="18">
        <v>47.372999999999998</v>
      </c>
      <c r="F236" s="18">
        <v>47.228000000000002</v>
      </c>
      <c r="G236" s="18">
        <v>19.05</v>
      </c>
      <c r="H236" s="18">
        <f t="shared" si="10"/>
        <v>46.186374999999998</v>
      </c>
      <c r="I236" s="5"/>
      <c r="J236" s="17">
        <v>958.48590000000002</v>
      </c>
      <c r="K236" s="18">
        <v>45.1188</v>
      </c>
      <c r="L236" s="18">
        <v>46.747300000000003</v>
      </c>
      <c r="M236" s="18">
        <v>46.641199999999998</v>
      </c>
      <c r="N236" s="18">
        <v>52.880499999999998</v>
      </c>
      <c r="O236" s="18">
        <f t="shared" si="11"/>
        <v>45.512662500000005</v>
      </c>
      <c r="P236" s="7"/>
      <c r="Q236" s="10"/>
      <c r="R236" s="11"/>
      <c r="S236" s="11"/>
      <c r="T236" s="26"/>
      <c r="U236" s="28">
        <f t="shared" si="9"/>
        <v>1.7758792650918636</v>
      </c>
    </row>
    <row r="237" spans="2:21" x14ac:dyDescent="0.25">
      <c r="B237" s="9"/>
      <c r="C237" s="17">
        <v>957.5595703125</v>
      </c>
      <c r="D237" s="18">
        <v>42.826000000000001</v>
      </c>
      <c r="E237" s="18">
        <v>44.591000000000001</v>
      </c>
      <c r="F237" s="18">
        <v>44.417000000000002</v>
      </c>
      <c r="G237" s="18">
        <v>20.91</v>
      </c>
      <c r="H237" s="18">
        <f t="shared" si="10"/>
        <v>43.245500000000007</v>
      </c>
      <c r="I237" s="5"/>
      <c r="J237" s="17">
        <v>593.13509999999997</v>
      </c>
      <c r="K237" s="18">
        <v>42.273000000000003</v>
      </c>
      <c r="L237" s="18">
        <v>44.517699999999998</v>
      </c>
      <c r="M237" s="18">
        <v>44.3414</v>
      </c>
      <c r="N237" s="18">
        <v>68.796800000000005</v>
      </c>
      <c r="O237" s="18">
        <f t="shared" si="11"/>
        <v>42.812137500000006</v>
      </c>
      <c r="P237" s="7"/>
      <c r="Q237" s="10"/>
      <c r="R237" s="11"/>
      <c r="S237" s="11"/>
      <c r="T237" s="26"/>
      <c r="U237" s="28">
        <f t="shared" si="9"/>
        <v>2.2901386896221907</v>
      </c>
    </row>
    <row r="238" spans="2:21" ht="16.5" thickBot="1" x14ac:dyDescent="0.3">
      <c r="B238" s="12"/>
      <c r="C238" s="19">
        <v>513.1123046875</v>
      </c>
      <c r="D238" s="20">
        <v>39.072000000000003</v>
      </c>
      <c r="E238" s="20">
        <v>41.137</v>
      </c>
      <c r="F238" s="20">
        <v>40.893999999999998</v>
      </c>
      <c r="G238" s="20">
        <v>22.76</v>
      </c>
      <c r="H238" s="20">
        <f t="shared" si="10"/>
        <v>39.557875000000003</v>
      </c>
      <c r="I238" s="5"/>
      <c r="J238" s="19">
        <v>302.90039999999999</v>
      </c>
      <c r="K238" s="20">
        <v>37.852699999999999</v>
      </c>
      <c r="L238" s="20">
        <v>41.038600000000002</v>
      </c>
      <c r="M238" s="20">
        <v>40.845500000000001</v>
      </c>
      <c r="N238" s="20">
        <v>86.496899999999997</v>
      </c>
      <c r="O238" s="20">
        <f t="shared" si="11"/>
        <v>38.625037500000005</v>
      </c>
      <c r="P238" s="7"/>
      <c r="Q238" s="13"/>
      <c r="R238" s="14"/>
      <c r="S238" s="14"/>
      <c r="T238" s="27"/>
      <c r="U238" s="28">
        <f t="shared" si="9"/>
        <v>2.8003910369068534</v>
      </c>
    </row>
    <row r="239" spans="2:21" x14ac:dyDescent="0.25">
      <c r="B239" s="6" t="s">
        <v>109</v>
      </c>
      <c r="C239" s="15">
        <v>1512.9970703125</v>
      </c>
      <c r="D239" s="16">
        <v>52.375</v>
      </c>
      <c r="E239" s="16">
        <v>55.216999999999999</v>
      </c>
      <c r="F239" s="16">
        <v>55.148000000000003</v>
      </c>
      <c r="G239" s="16">
        <v>16.68</v>
      </c>
      <c r="H239" s="16">
        <f t="shared" si="10"/>
        <v>53.076875000000001</v>
      </c>
      <c r="I239" s="5"/>
      <c r="J239" s="15">
        <v>1420.1026999999999</v>
      </c>
      <c r="K239" s="16">
        <v>47.036099999999998</v>
      </c>
      <c r="L239" s="16">
        <v>49.913600000000002</v>
      </c>
      <c r="M239" s="16">
        <v>50.032499999999999</v>
      </c>
      <c r="N239" s="16">
        <v>39.166200000000003</v>
      </c>
      <c r="O239" s="16">
        <f t="shared" si="11"/>
        <v>47.770337499999997</v>
      </c>
      <c r="P239" s="7"/>
      <c r="Q239" s="8">
        <f>bdrate(C239:C242,D239:D242,J239:J242,K239:K242)</f>
        <v>0.53236770326262906</v>
      </c>
      <c r="R239" s="8">
        <f>bdrate(C239:C242,E239:E242,J239:J242,L239:L242)</f>
        <v>0.44309647687992482</v>
      </c>
      <c r="S239" s="8">
        <f>bdrate(C239:C242,F239:F242,J239:J242,M239:M242)</f>
        <v>0.41976570583641082</v>
      </c>
      <c r="T239" s="25">
        <f>bdrate(C239:C242,H239:H242,J239:J242,O239:O242)</f>
        <v>0.50854947187408239</v>
      </c>
      <c r="U239" s="28">
        <f t="shared" si="9"/>
        <v>1.3480935251798563</v>
      </c>
    </row>
    <row r="240" spans="2:21" x14ac:dyDescent="0.25">
      <c r="B240" s="9"/>
      <c r="C240" s="17">
        <v>1135.841796875</v>
      </c>
      <c r="D240" s="18">
        <v>54.091999999999999</v>
      </c>
      <c r="E240" s="18">
        <v>57.1</v>
      </c>
      <c r="F240" s="18">
        <v>56.875</v>
      </c>
      <c r="G240" s="18">
        <v>21.07</v>
      </c>
      <c r="H240" s="18">
        <f t="shared" si="10"/>
        <v>54.815875000000005</v>
      </c>
      <c r="I240" s="5"/>
      <c r="J240" s="17">
        <v>981.89149999999995</v>
      </c>
      <c r="K240" s="18">
        <v>45.721899999999998</v>
      </c>
      <c r="L240" s="18">
        <v>48.828600000000002</v>
      </c>
      <c r="M240" s="18">
        <v>48.994100000000003</v>
      </c>
      <c r="N240" s="18">
        <v>46.4696</v>
      </c>
      <c r="O240" s="18">
        <f t="shared" si="11"/>
        <v>46.519262499999996</v>
      </c>
      <c r="P240" s="7"/>
      <c r="Q240" s="10"/>
      <c r="R240" s="11"/>
      <c r="S240" s="11"/>
      <c r="T240" s="26"/>
      <c r="U240" s="28">
        <f t="shared" si="9"/>
        <v>1.205486473659231</v>
      </c>
    </row>
    <row r="241" spans="2:21" x14ac:dyDescent="0.25">
      <c r="B241" s="9"/>
      <c r="C241" s="17">
        <v>819.322265625</v>
      </c>
      <c r="D241" s="18">
        <v>51.844999999999999</v>
      </c>
      <c r="E241" s="18">
        <v>54.872999999999998</v>
      </c>
      <c r="F241" s="18">
        <v>54.637999999999998</v>
      </c>
      <c r="G241" s="18">
        <v>22.37</v>
      </c>
      <c r="H241" s="18">
        <f t="shared" si="10"/>
        <v>52.572624999999995</v>
      </c>
      <c r="I241" s="5"/>
      <c r="J241" s="17">
        <v>638.73609999999996</v>
      </c>
      <c r="K241" s="18">
        <v>42.558100000000003</v>
      </c>
      <c r="L241" s="18">
        <v>45.877400000000002</v>
      </c>
      <c r="M241" s="18">
        <v>46.155999999999999</v>
      </c>
      <c r="N241" s="18">
        <v>47.013300000000001</v>
      </c>
      <c r="O241" s="18">
        <f t="shared" si="11"/>
        <v>43.422750000000008</v>
      </c>
      <c r="P241" s="7"/>
      <c r="Q241" s="10"/>
      <c r="R241" s="11"/>
      <c r="S241" s="11"/>
      <c r="T241" s="26"/>
      <c r="U241" s="28">
        <f t="shared" si="9"/>
        <v>1.1016227089852479</v>
      </c>
    </row>
    <row r="242" spans="2:21" ht="16.5" thickBot="1" x14ac:dyDescent="0.3">
      <c r="B242" s="12"/>
      <c r="C242" s="19">
        <v>484.361328125</v>
      </c>
      <c r="D242" s="20">
        <v>41.087000000000003</v>
      </c>
      <c r="E242" s="20">
        <v>43.875999999999998</v>
      </c>
      <c r="F242" s="20">
        <v>44.075000000000003</v>
      </c>
      <c r="G242" s="20">
        <v>21.86</v>
      </c>
      <c r="H242" s="20">
        <f t="shared" si="10"/>
        <v>41.809125000000002</v>
      </c>
      <c r="I242" s="5"/>
      <c r="J242" s="19">
        <v>352.17610000000002</v>
      </c>
      <c r="K242" s="20">
        <v>38.510399999999997</v>
      </c>
      <c r="L242" s="20">
        <v>42.306800000000003</v>
      </c>
      <c r="M242" s="20">
        <v>42.601999999999997</v>
      </c>
      <c r="N242" s="20">
        <v>79.463200000000001</v>
      </c>
      <c r="O242" s="20">
        <f t="shared" si="11"/>
        <v>39.496399999999994</v>
      </c>
      <c r="P242" s="7"/>
      <c r="Q242" s="13"/>
      <c r="R242" s="14"/>
      <c r="S242" s="14"/>
      <c r="T242" s="27"/>
      <c r="U242" s="28">
        <f t="shared" si="9"/>
        <v>2.6350960658737419</v>
      </c>
    </row>
    <row r="243" spans="2:21" x14ac:dyDescent="0.25">
      <c r="B243" s="6" t="s">
        <v>110</v>
      </c>
      <c r="C243" s="29">
        <v>1702.0771484375</v>
      </c>
      <c r="D243" s="30">
        <v>32.860999999999997</v>
      </c>
      <c r="E243" s="30">
        <v>36.670999999999999</v>
      </c>
      <c r="F243" s="30">
        <v>35.418999999999997</v>
      </c>
      <c r="G243" s="16">
        <v>16.850000000000001</v>
      </c>
      <c r="H243" s="16">
        <f t="shared" si="10"/>
        <v>33.656999999999996</v>
      </c>
      <c r="I243" s="5"/>
      <c r="J243" s="29">
        <v>1514.3492000000001</v>
      </c>
      <c r="K243" s="30">
        <v>33.299199999999999</v>
      </c>
      <c r="L243" s="30">
        <v>37.790999999999997</v>
      </c>
      <c r="M243" s="30">
        <v>36.624400000000001</v>
      </c>
      <c r="N243" s="16">
        <v>36.722000000000001</v>
      </c>
      <c r="O243" s="16">
        <f t="shared" si="11"/>
        <v>34.276325</v>
      </c>
      <c r="P243" s="7"/>
      <c r="Q243" s="8">
        <f>bdrate(C243:C246,D243:D246,J243:J246,K243:K246)</f>
        <v>-0.14466991659187733</v>
      </c>
      <c r="R243" s="8">
        <f>bdrate(C243:C246,E243:E246,J243:J246,L243:L246)</f>
        <v>-0.5040573106696622</v>
      </c>
      <c r="S243" s="8">
        <f>bdrate(C243:C246,F243:F246,J243:J246,M243:M246)</f>
        <v>-0.50310328209718347</v>
      </c>
      <c r="T243" s="25">
        <f>bdrate(C243:C246,H243:H246,J243:J246,O243:O246)</f>
        <v>-0.22738434902617721</v>
      </c>
      <c r="U243" s="28">
        <f t="shared" si="9"/>
        <v>1.179347181008902</v>
      </c>
    </row>
    <row r="244" spans="2:21" x14ac:dyDescent="0.25">
      <c r="B244" s="9"/>
      <c r="C244" s="31">
        <v>1147.375</v>
      </c>
      <c r="D244" s="32">
        <v>31.202999999999999</v>
      </c>
      <c r="E244" s="32">
        <v>35.35</v>
      </c>
      <c r="F244" s="32">
        <v>34.049999999999997</v>
      </c>
      <c r="G244" s="18">
        <v>17.8</v>
      </c>
      <c r="H244" s="18">
        <f t="shared" si="10"/>
        <v>32.077249999999999</v>
      </c>
      <c r="I244" s="5"/>
      <c r="J244" s="31">
        <v>1008.8559</v>
      </c>
      <c r="K244" s="32">
        <v>31.3797</v>
      </c>
      <c r="L244" s="32">
        <v>36.713900000000002</v>
      </c>
      <c r="M244" s="32">
        <v>35.506100000000004</v>
      </c>
      <c r="N244" s="18">
        <v>41.622300000000003</v>
      </c>
      <c r="O244" s="18">
        <f t="shared" si="11"/>
        <v>32.562275</v>
      </c>
      <c r="P244" s="7"/>
      <c r="Q244" s="10"/>
      <c r="R244" s="11"/>
      <c r="S244" s="11"/>
      <c r="T244" s="26"/>
      <c r="U244" s="28">
        <f t="shared" si="9"/>
        <v>1.3383314606741574</v>
      </c>
    </row>
    <row r="245" spans="2:21" x14ac:dyDescent="0.25">
      <c r="B245" s="9"/>
      <c r="C245" s="31">
        <v>722.8310546875</v>
      </c>
      <c r="D245" s="32">
        <v>29.416</v>
      </c>
      <c r="E245" s="32">
        <v>33.914999999999999</v>
      </c>
      <c r="F245" s="32">
        <v>32.561</v>
      </c>
      <c r="G245" s="18">
        <v>18.87</v>
      </c>
      <c r="H245" s="18">
        <f t="shared" si="10"/>
        <v>30.371500000000001</v>
      </c>
      <c r="I245" s="5"/>
      <c r="J245" s="31">
        <v>606.38030000000003</v>
      </c>
      <c r="K245" s="32">
        <v>29.233899999999998</v>
      </c>
      <c r="L245" s="32">
        <v>35.499699999999997</v>
      </c>
      <c r="M245" s="32">
        <v>34.1965</v>
      </c>
      <c r="N245" s="18">
        <v>50.517800000000001</v>
      </c>
      <c r="O245" s="18">
        <f t="shared" si="11"/>
        <v>30.637449999999994</v>
      </c>
      <c r="P245" s="7"/>
      <c r="Q245" s="10"/>
      <c r="R245" s="11"/>
      <c r="S245" s="11"/>
      <c r="T245" s="26"/>
      <c r="U245" s="28">
        <f t="shared" si="9"/>
        <v>1.6771489136195017</v>
      </c>
    </row>
    <row r="246" spans="2:21" ht="16.5" thickBot="1" x14ac:dyDescent="0.3">
      <c r="B246" s="12"/>
      <c r="C246" s="33">
        <v>496.0986328125</v>
      </c>
      <c r="D246" s="34">
        <v>27.93</v>
      </c>
      <c r="E246" s="34">
        <v>32.582999999999998</v>
      </c>
      <c r="F246" s="34">
        <v>31.265000000000001</v>
      </c>
      <c r="G246" s="20">
        <v>19.09</v>
      </c>
      <c r="H246" s="20">
        <f t="shared" si="10"/>
        <v>28.9285</v>
      </c>
      <c r="I246" s="5"/>
      <c r="J246" s="33">
        <v>304.79109999999997</v>
      </c>
      <c r="K246" s="34">
        <v>26.745799999999999</v>
      </c>
      <c r="L246" s="34">
        <v>33.863</v>
      </c>
      <c r="M246" s="34">
        <v>32.451000000000001</v>
      </c>
      <c r="N246" s="20">
        <v>62.871099999999998</v>
      </c>
      <c r="O246" s="20">
        <f t="shared" si="11"/>
        <v>28.348599999999998</v>
      </c>
      <c r="P246" s="7"/>
      <c r="Q246" s="13"/>
      <c r="R246" s="14"/>
      <c r="S246" s="14"/>
      <c r="T246" s="27"/>
      <c r="U246" s="28">
        <f t="shared" si="9"/>
        <v>2.293404924044002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-0.16050642237344709</v>
      </c>
      <c r="R247" s="21">
        <f>AVERAGE(R131:R246)</f>
        <v>-0.33245943711359272</v>
      </c>
      <c r="S247" s="21">
        <f>AVERAGE(S131:S246)</f>
        <v>-0.33765845383827647</v>
      </c>
      <c r="T247" s="21">
        <f>AVERAGE(T131:T246)</f>
        <v>-0.1984413504274474</v>
      </c>
      <c r="U247" s="21">
        <f>AVERAGE(U131:U246)</f>
        <v>3.0015105990813327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55" priority="85" operator="greaterThan">
      <formula>0.03</formula>
    </cfRule>
    <cfRule type="cellIs" dxfId="254" priority="86" stopIfTrue="1" operator="lessThan">
      <formula>-0.03</formula>
    </cfRule>
  </conditionalFormatting>
  <conditionalFormatting sqref="Q33:T36">
    <cfRule type="cellIs" dxfId="253" priority="83" operator="greaterThan">
      <formula>0.03</formula>
    </cfRule>
    <cfRule type="cellIs" dxfId="252" priority="84" stopIfTrue="1" operator="lessThan">
      <formula>-0.03</formula>
    </cfRule>
  </conditionalFormatting>
  <conditionalFormatting sqref="Q46:T48 Q62:T64">
    <cfRule type="cellIs" dxfId="251" priority="81" operator="greaterThan">
      <formula>0.03</formula>
    </cfRule>
    <cfRule type="cellIs" dxfId="250" priority="82" stopIfTrue="1" operator="lessThan">
      <formula>-0.03</formula>
    </cfRule>
  </conditionalFormatting>
  <conditionalFormatting sqref="Q50:T52 Q54:T56 Q58:T60">
    <cfRule type="cellIs" dxfId="249" priority="79" operator="greaterThan">
      <formula>0.03</formula>
    </cfRule>
    <cfRule type="cellIs" dxfId="248" priority="80" stopIfTrue="1" operator="lessThan">
      <formula>-0.03</formula>
    </cfRule>
  </conditionalFormatting>
  <conditionalFormatting sqref="Q70:T72 Q74:T76">
    <cfRule type="cellIs" dxfId="247" priority="77" operator="greaterThan">
      <formula>0.03</formula>
    </cfRule>
    <cfRule type="cellIs" dxfId="246" priority="78" stopIfTrue="1" operator="lessThan">
      <formula>-0.03</formula>
    </cfRule>
  </conditionalFormatting>
  <conditionalFormatting sqref="Q66:T68">
    <cfRule type="cellIs" dxfId="245" priority="75" operator="greaterThan">
      <formula>0.03</formula>
    </cfRule>
    <cfRule type="cellIs" dxfId="244" priority="76" stopIfTrue="1" operator="lessThan">
      <formula>-0.03</formula>
    </cfRule>
  </conditionalFormatting>
  <conditionalFormatting sqref="Q78:T80">
    <cfRule type="cellIs" dxfId="243" priority="73" operator="greaterThan">
      <formula>0.03</formula>
    </cfRule>
    <cfRule type="cellIs" dxfId="242" priority="74" stopIfTrue="1" operator="lessThan">
      <formula>-0.03</formula>
    </cfRule>
  </conditionalFormatting>
  <conditionalFormatting sqref="Q21:T28">
    <cfRule type="cellIs" dxfId="241" priority="71" operator="greaterThan">
      <formula>0.03</formula>
    </cfRule>
    <cfRule type="cellIs" dxfId="240" priority="72" stopIfTrue="1" operator="lessThan">
      <formula>-0.03</formula>
    </cfRule>
  </conditionalFormatting>
  <conditionalFormatting sqref="Q151:T154 Q159:T166 Q131:T142">
    <cfRule type="cellIs" dxfId="239" priority="69" operator="greaterThan">
      <formula>0.03</formula>
    </cfRule>
    <cfRule type="cellIs" dxfId="238" priority="70" stopIfTrue="1" operator="lessThan">
      <formula>-0.03</formula>
    </cfRule>
  </conditionalFormatting>
  <conditionalFormatting sqref="Q155:T158">
    <cfRule type="cellIs" dxfId="237" priority="67" operator="greaterThan">
      <formula>0.03</formula>
    </cfRule>
    <cfRule type="cellIs" dxfId="236" priority="68" stopIfTrue="1" operator="lessThan">
      <formula>-0.03</formula>
    </cfRule>
  </conditionalFormatting>
  <conditionalFormatting sqref="Q167:T170 Q183:T186">
    <cfRule type="cellIs" dxfId="235" priority="65" operator="greaterThan">
      <formula>0.03</formula>
    </cfRule>
    <cfRule type="cellIs" dxfId="234" priority="66" stopIfTrue="1" operator="lessThan">
      <formula>-0.03</formula>
    </cfRule>
  </conditionalFormatting>
  <conditionalFormatting sqref="Q171:T182">
    <cfRule type="cellIs" dxfId="233" priority="63" operator="greaterThan">
      <formula>0.03</formula>
    </cfRule>
    <cfRule type="cellIs" dxfId="232" priority="64" stopIfTrue="1" operator="lessThan">
      <formula>-0.03</formula>
    </cfRule>
  </conditionalFormatting>
  <conditionalFormatting sqref="Q191:T198">
    <cfRule type="cellIs" dxfId="231" priority="61" operator="greaterThan">
      <formula>0.03</formula>
    </cfRule>
    <cfRule type="cellIs" dxfId="230" priority="62" stopIfTrue="1" operator="lessThan">
      <formula>-0.03</formula>
    </cfRule>
  </conditionalFormatting>
  <conditionalFormatting sqref="Q187:T190">
    <cfRule type="cellIs" dxfId="229" priority="59" operator="greaterThan">
      <formula>0.03</formula>
    </cfRule>
    <cfRule type="cellIs" dxfId="228" priority="60" stopIfTrue="1" operator="lessThan">
      <formula>-0.03</formula>
    </cfRule>
  </conditionalFormatting>
  <conditionalFormatting sqref="Q199:T202">
    <cfRule type="cellIs" dxfId="227" priority="57" operator="greaterThan">
      <formula>0.03</formula>
    </cfRule>
    <cfRule type="cellIs" dxfId="226" priority="58" stopIfTrue="1" operator="lessThan">
      <formula>-0.03</formula>
    </cfRule>
  </conditionalFormatting>
  <conditionalFormatting sqref="Q143:T150">
    <cfRule type="cellIs" dxfId="225" priority="55" operator="greaterThan">
      <formula>0.03</formula>
    </cfRule>
    <cfRule type="cellIs" dxfId="224" priority="56" stopIfTrue="1" operator="lessThan">
      <formula>-0.03</formula>
    </cfRule>
  </conditionalFormatting>
  <conditionalFormatting sqref="Q45:T45">
    <cfRule type="cellIs" dxfId="223" priority="53" operator="greaterThan">
      <formula>0.03</formula>
    </cfRule>
    <cfRule type="cellIs" dxfId="222" priority="54" stopIfTrue="1" operator="lessThan">
      <formula>-0.03</formula>
    </cfRule>
  </conditionalFormatting>
  <conditionalFormatting sqref="Q49:T49">
    <cfRule type="cellIs" dxfId="221" priority="51" operator="greaterThan">
      <formula>0.03</formula>
    </cfRule>
    <cfRule type="cellIs" dxfId="220" priority="52" stopIfTrue="1" operator="lessThan">
      <formula>-0.03</formula>
    </cfRule>
  </conditionalFormatting>
  <conditionalFormatting sqref="Q53:T53">
    <cfRule type="cellIs" dxfId="219" priority="49" operator="greaterThan">
      <formula>0.03</formula>
    </cfRule>
    <cfRule type="cellIs" dxfId="218" priority="50" stopIfTrue="1" operator="lessThan">
      <formula>-0.03</formula>
    </cfRule>
  </conditionalFormatting>
  <conditionalFormatting sqref="Q57:T57">
    <cfRule type="cellIs" dxfId="217" priority="47" operator="greaterThan">
      <formula>0.03</formula>
    </cfRule>
    <cfRule type="cellIs" dxfId="216" priority="48" stopIfTrue="1" operator="lessThan">
      <formula>-0.03</formula>
    </cfRule>
  </conditionalFormatting>
  <conditionalFormatting sqref="Q61:T61">
    <cfRule type="cellIs" dxfId="215" priority="45" operator="greaterThan">
      <formula>0.03</formula>
    </cfRule>
    <cfRule type="cellIs" dxfId="214" priority="46" stopIfTrue="1" operator="lessThan">
      <formula>-0.03</formula>
    </cfRule>
  </conditionalFormatting>
  <conditionalFormatting sqref="Q65:T65">
    <cfRule type="cellIs" dxfId="213" priority="43" operator="greaterThan">
      <formula>0.03</formula>
    </cfRule>
    <cfRule type="cellIs" dxfId="212" priority="44" stopIfTrue="1" operator="lessThan">
      <formula>-0.03</formula>
    </cfRule>
  </conditionalFormatting>
  <conditionalFormatting sqref="Q69:T69">
    <cfRule type="cellIs" dxfId="211" priority="41" operator="greaterThan">
      <formula>0.03</formula>
    </cfRule>
    <cfRule type="cellIs" dxfId="210" priority="42" stopIfTrue="1" operator="lessThan">
      <formula>-0.03</formula>
    </cfRule>
  </conditionalFormatting>
  <conditionalFormatting sqref="Q73:T73">
    <cfRule type="cellIs" dxfId="209" priority="39" operator="greaterThan">
      <formula>0.03</formula>
    </cfRule>
    <cfRule type="cellIs" dxfId="208" priority="40" stopIfTrue="1" operator="lessThan">
      <formula>-0.03</formula>
    </cfRule>
  </conditionalFormatting>
  <conditionalFormatting sqref="Q77:T77">
    <cfRule type="cellIs" dxfId="207" priority="37" operator="greaterThan">
      <formula>0.03</formula>
    </cfRule>
    <cfRule type="cellIs" dxfId="206" priority="38" stopIfTrue="1" operator="lessThan">
      <formula>-0.03</formula>
    </cfRule>
  </conditionalFormatting>
  <conditionalFormatting sqref="Q117:T11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Q93:T96 Q101:T108 Q81:T84">
    <cfRule type="cellIs" dxfId="203" priority="35" operator="greaterThan">
      <formula>0.03</formula>
    </cfRule>
    <cfRule type="cellIs" dxfId="202" priority="36" stopIfTrue="1" operator="lessThan">
      <formula>-0.03</formula>
    </cfRule>
  </conditionalFormatting>
  <conditionalFormatting sqref="Q97:T100">
    <cfRule type="cellIs" dxfId="201" priority="33" operator="greaterThan">
      <formula>0.03</formula>
    </cfRule>
    <cfRule type="cellIs" dxfId="200" priority="34" stopIfTrue="1" operator="lessThan">
      <formula>-0.03</formula>
    </cfRule>
  </conditionalFormatting>
  <conditionalFormatting sqref="Q110:T112 Q122:T124">
    <cfRule type="cellIs" dxfId="199" priority="31" operator="greaterThan">
      <formula>0.03</formula>
    </cfRule>
    <cfRule type="cellIs" dxfId="198" priority="32" stopIfTrue="1" operator="lessThan">
      <formula>-0.03</formula>
    </cfRule>
  </conditionalFormatting>
  <conditionalFormatting sqref="Q114:T116 Q118:T120">
    <cfRule type="cellIs" dxfId="197" priority="29" operator="greaterThan">
      <formula>0.03</formula>
    </cfRule>
    <cfRule type="cellIs" dxfId="196" priority="30" stopIfTrue="1" operator="lessThan">
      <formula>-0.03</formula>
    </cfRule>
  </conditionalFormatting>
  <conditionalFormatting sqref="Q85:T92">
    <cfRule type="cellIs" dxfId="195" priority="27" operator="greaterThan">
      <formula>0.03</formula>
    </cfRule>
    <cfRule type="cellIs" dxfId="194" priority="28" stopIfTrue="1" operator="lessThan">
      <formula>-0.03</formula>
    </cfRule>
  </conditionalFormatting>
  <conditionalFormatting sqref="Q109:T109">
    <cfRule type="cellIs" dxfId="193" priority="25" operator="greaterThan">
      <formula>0.03</formula>
    </cfRule>
    <cfRule type="cellIs" dxfId="192" priority="26" stopIfTrue="1" operator="lessThan">
      <formula>-0.03</formula>
    </cfRule>
  </conditionalFormatting>
  <conditionalFormatting sqref="Q113:T113">
    <cfRule type="cellIs" dxfId="191" priority="23" operator="greaterThan">
      <formula>0.03</formula>
    </cfRule>
    <cfRule type="cellIs" dxfId="190" priority="24" stopIfTrue="1" operator="lessThan">
      <formula>-0.03</formula>
    </cfRule>
  </conditionalFormatting>
  <conditionalFormatting sqref="Q121:T121">
    <cfRule type="cellIs" dxfId="189" priority="19" operator="greaterThan">
      <formula>0.03</formula>
    </cfRule>
    <cfRule type="cellIs" dxfId="188" priority="20" stopIfTrue="1" operator="lessThan">
      <formula>-0.03</formula>
    </cfRule>
  </conditionalFormatting>
  <conditionalFormatting sqref="Q239:T23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Q215:T218 Q223:T230 Q203:T206">
    <cfRule type="cellIs" dxfId="185" priority="17" operator="greaterThan">
      <formula>0.03</formula>
    </cfRule>
    <cfRule type="cellIs" dxfId="184" priority="18" stopIfTrue="1" operator="lessThan">
      <formula>-0.03</formula>
    </cfRule>
  </conditionalFormatting>
  <conditionalFormatting sqref="Q219:T222">
    <cfRule type="cellIs" dxfId="183" priority="15" operator="greaterThan">
      <formula>0.03</formula>
    </cfRule>
    <cfRule type="cellIs" dxfId="182" priority="16" stopIfTrue="1" operator="lessThan">
      <formula>-0.03</formula>
    </cfRule>
  </conditionalFormatting>
  <conditionalFormatting sqref="Q232:T234 Q244:T246">
    <cfRule type="cellIs" dxfId="181" priority="13" operator="greaterThan">
      <formula>0.03</formula>
    </cfRule>
    <cfRule type="cellIs" dxfId="180" priority="14" stopIfTrue="1" operator="lessThan">
      <formula>-0.03</formula>
    </cfRule>
  </conditionalFormatting>
  <conditionalFormatting sqref="Q236:T238 Q240:T242">
    <cfRule type="cellIs" dxfId="179" priority="11" operator="greaterThan">
      <formula>0.03</formula>
    </cfRule>
    <cfRule type="cellIs" dxfId="178" priority="12" stopIfTrue="1" operator="lessThan">
      <formula>-0.03</formula>
    </cfRule>
  </conditionalFormatting>
  <conditionalFormatting sqref="Q207:T214">
    <cfRule type="cellIs" dxfId="177" priority="9" operator="greaterThan">
      <formula>0.03</formula>
    </cfRule>
    <cfRule type="cellIs" dxfId="176" priority="10" stopIfTrue="1" operator="lessThan">
      <formula>-0.03</formula>
    </cfRule>
  </conditionalFormatting>
  <conditionalFormatting sqref="Q231:T231">
    <cfRule type="cellIs" dxfId="175" priority="7" operator="greaterThan">
      <formula>0.03</formula>
    </cfRule>
    <cfRule type="cellIs" dxfId="174" priority="8" stopIfTrue="1" operator="lessThan">
      <formula>-0.03</formula>
    </cfRule>
  </conditionalFormatting>
  <conditionalFormatting sqref="Q235:T235">
    <cfRule type="cellIs" dxfId="173" priority="5" operator="greaterThan">
      <formula>0.03</formula>
    </cfRule>
    <cfRule type="cellIs" dxfId="172" priority="6" stopIfTrue="1" operator="lessThan">
      <formula>-0.03</formula>
    </cfRule>
  </conditionalFormatting>
  <conditionalFormatting sqref="Q243:T243">
    <cfRule type="cellIs" dxfId="171" priority="1" operator="greaterThan">
      <formula>0.03</formula>
    </cfRule>
    <cfRule type="cellIs" dxfId="170" priority="2" stopIfTrue="1" operator="lessThan">
      <formula>-0.03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0" width="6.625" customWidth="1"/>
    <col min="21" max="21" width="9.25" customWidth="1"/>
  </cols>
  <sheetData>
    <row r="1" spans="1:21" x14ac:dyDescent="0.25">
      <c r="A1" t="s">
        <v>129</v>
      </c>
    </row>
    <row r="2" spans="1:21" x14ac:dyDescent="0.25">
      <c r="A2" t="s">
        <v>83</v>
      </c>
    </row>
    <row r="3" spans="1:21" x14ac:dyDescent="0.25">
      <c r="A3" t="s">
        <v>89</v>
      </c>
    </row>
    <row r="4" spans="1:21" x14ac:dyDescent="0.25">
      <c r="A4" t="s">
        <v>83</v>
      </c>
    </row>
    <row r="5" spans="1:21" s="35" customFormat="1" ht="15.75" customHeight="1" x14ac:dyDescent="0.25">
      <c r="B5" s="61" t="s">
        <v>29</v>
      </c>
      <c r="C5" s="63" t="s">
        <v>201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120</v>
      </c>
      <c r="D7" s="70"/>
      <c r="E7" s="70"/>
      <c r="F7" s="70"/>
      <c r="G7" s="70"/>
      <c r="H7" s="70"/>
      <c r="I7" s="5"/>
      <c r="J7" s="69" t="s">
        <v>194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4221.4296875</v>
      </c>
      <c r="D9" s="16">
        <v>38.896999999999998</v>
      </c>
      <c r="E9" s="16">
        <v>39.734999999999999</v>
      </c>
      <c r="F9" s="16">
        <v>42.220999999999997</v>
      </c>
      <c r="G9" s="16">
        <v>0.23</v>
      </c>
      <c r="H9" s="16">
        <f t="shared" ref="H9:H80" si="0">(6*D9+E9+F9)/8</f>
        <v>39.417250000000003</v>
      </c>
      <c r="I9" s="5"/>
      <c r="J9" s="15">
        <v>4112.0703999999996</v>
      </c>
      <c r="K9" s="16">
        <v>38.765500000000003</v>
      </c>
      <c r="L9" s="16">
        <v>40.285800000000002</v>
      </c>
      <c r="M9" s="16">
        <v>43.0807</v>
      </c>
      <c r="N9" s="16">
        <v>1.7483</v>
      </c>
      <c r="O9" s="16">
        <f t="shared" ref="O9:O80" si="1">(6*K9+L9+M9)/8</f>
        <v>39.494937499999999</v>
      </c>
      <c r="P9" s="7"/>
      <c r="Q9" s="8">
        <f>bdrate(C9:C12,D9:D12,J9:J12,K9:K12)</f>
        <v>-0.10463881217985382</v>
      </c>
      <c r="R9" s="8">
        <f>bdrate(C9:C12,E9:E12,J9:J12,L9:L12)</f>
        <v>-0.43459621438290996</v>
      </c>
      <c r="S9" s="8">
        <f>bdrate(C9:C12,F9:F12,J9:J12,M9:M12)</f>
        <v>-0.43501163904846485</v>
      </c>
      <c r="T9" s="25">
        <f>bdrate(C9:C12,H9:H12,J9:J12,O9:O12)</f>
        <v>-0.16691351973915713</v>
      </c>
      <c r="U9" s="28">
        <f t="shared" ref="U9:U72" si="2">(N9-G9)/G9</f>
        <v>6.6013043478260869</v>
      </c>
    </row>
    <row r="10" spans="1:21" x14ac:dyDescent="0.25">
      <c r="A10" s="9" t="s">
        <v>36</v>
      </c>
      <c r="B10" s="9"/>
      <c r="C10" s="17">
        <v>3128.9248046875</v>
      </c>
      <c r="D10" s="18">
        <v>37.802</v>
      </c>
      <c r="E10" s="18">
        <v>39.009</v>
      </c>
      <c r="F10" s="18">
        <v>41.427</v>
      </c>
      <c r="G10" s="18">
        <v>0.23</v>
      </c>
      <c r="H10" s="18">
        <f t="shared" si="0"/>
        <v>38.406000000000006</v>
      </c>
      <c r="I10" s="5"/>
      <c r="J10" s="17">
        <v>3004.3488000000002</v>
      </c>
      <c r="K10" s="18">
        <v>37.802799999999998</v>
      </c>
      <c r="L10" s="18">
        <v>39.821800000000003</v>
      </c>
      <c r="M10" s="18">
        <v>42.440100000000001</v>
      </c>
      <c r="N10" s="18">
        <v>2.1076000000000001</v>
      </c>
      <c r="O10" s="18">
        <f t="shared" si="1"/>
        <v>38.634837500000003</v>
      </c>
      <c r="P10" s="7"/>
      <c r="Q10" s="10"/>
      <c r="R10" s="11"/>
      <c r="S10" s="11"/>
      <c r="T10" s="26"/>
      <c r="U10" s="28">
        <f t="shared" si="2"/>
        <v>8.1634782608695655</v>
      </c>
    </row>
    <row r="11" spans="1:21" x14ac:dyDescent="0.25">
      <c r="B11" s="9"/>
      <c r="C11" s="17">
        <v>2072.453125</v>
      </c>
      <c r="D11" s="18">
        <v>36.213000000000001</v>
      </c>
      <c r="E11" s="18">
        <v>38.063000000000002</v>
      </c>
      <c r="F11" s="18">
        <v>40.421999999999997</v>
      </c>
      <c r="G11" s="18">
        <v>0.25</v>
      </c>
      <c r="H11" s="18">
        <f t="shared" si="0"/>
        <v>36.970375000000004</v>
      </c>
      <c r="I11" s="5"/>
      <c r="J11" s="17">
        <v>1972.5984000000001</v>
      </c>
      <c r="K11" s="18">
        <v>36.455199999999998</v>
      </c>
      <c r="L11" s="18">
        <v>39.148200000000003</v>
      </c>
      <c r="M11" s="18">
        <v>41.605400000000003</v>
      </c>
      <c r="N11" s="18">
        <v>2.6745000000000001</v>
      </c>
      <c r="O11" s="18">
        <f t="shared" si="1"/>
        <v>37.435600000000008</v>
      </c>
      <c r="P11" s="7"/>
      <c r="Q11" s="10"/>
      <c r="R11" s="11"/>
      <c r="S11" s="11"/>
      <c r="T11" s="26"/>
      <c r="U11" s="28">
        <f t="shared" si="2"/>
        <v>9.6980000000000004</v>
      </c>
    </row>
    <row r="12" spans="1:21" ht="16.5" thickBot="1" x14ac:dyDescent="0.3">
      <c r="B12" s="12"/>
      <c r="C12" s="19">
        <v>1039.388671875</v>
      </c>
      <c r="D12" s="20">
        <v>33.363999999999997</v>
      </c>
      <c r="E12" s="20">
        <v>36.378</v>
      </c>
      <c r="F12" s="20">
        <v>38.808999999999997</v>
      </c>
      <c r="G12" s="20">
        <v>0.28000000000000003</v>
      </c>
      <c r="H12" s="20">
        <f t="shared" si="0"/>
        <v>34.421374999999998</v>
      </c>
      <c r="I12" s="5"/>
      <c r="J12" s="19">
        <v>905.6576</v>
      </c>
      <c r="K12" s="20">
        <v>33.601399999999998</v>
      </c>
      <c r="L12" s="20">
        <v>37.742800000000003</v>
      </c>
      <c r="M12" s="20">
        <v>40.0214</v>
      </c>
      <c r="N12" s="20">
        <v>4.1459000000000001</v>
      </c>
      <c r="O12" s="20">
        <f t="shared" si="1"/>
        <v>34.921575000000004</v>
      </c>
      <c r="P12" s="7"/>
      <c r="Q12" s="13"/>
      <c r="R12" s="14"/>
      <c r="S12" s="14"/>
      <c r="T12" s="27"/>
      <c r="U12" s="28">
        <f t="shared" si="2"/>
        <v>13.806785714285713</v>
      </c>
    </row>
    <row r="13" spans="1:21" x14ac:dyDescent="0.25">
      <c r="B13" s="6" t="s">
        <v>47</v>
      </c>
      <c r="C13" s="15">
        <v>4633.390625</v>
      </c>
      <c r="D13" s="16">
        <v>30.658000000000001</v>
      </c>
      <c r="E13" s="16">
        <v>40.79</v>
      </c>
      <c r="F13" s="16">
        <v>41.505000000000003</v>
      </c>
      <c r="G13" s="16">
        <v>0.16</v>
      </c>
      <c r="H13" s="16">
        <f t="shared" si="0"/>
        <v>33.280374999999999</v>
      </c>
      <c r="I13" s="5"/>
      <c r="J13" s="15">
        <v>4142.5312000000004</v>
      </c>
      <c r="K13" s="16">
        <v>30.220600000000001</v>
      </c>
      <c r="L13" s="16">
        <v>41.100299999999997</v>
      </c>
      <c r="M13" s="16">
        <v>41.910899999999998</v>
      </c>
      <c r="N13" s="16">
        <v>1.2592000000000001</v>
      </c>
      <c r="O13" s="16">
        <f t="shared" si="1"/>
        <v>33.041849999999997</v>
      </c>
      <c r="P13" s="7"/>
      <c r="Q13" s="8">
        <f>bdrate(C13:C16,D13:D16,J13:J16,K13:K16)</f>
        <v>5.8728260692687329E-2</v>
      </c>
      <c r="R13" s="8">
        <f>bdrate(C13:C16,E13:E16,J13:J16,L13:L16)</f>
        <v>-0.3961430537198255</v>
      </c>
      <c r="S13" s="8">
        <f>bdrate(C13:C16,F13:F16,J13:J16,M13:M16)</f>
        <v>-0.43334055369622182</v>
      </c>
      <c r="T13" s="25">
        <f>bdrate(C13:C16,H13:H16,J13:J16,O13:O16)</f>
        <v>-2.5664448219950176E-2</v>
      </c>
      <c r="U13" s="28">
        <f t="shared" si="2"/>
        <v>6.870000000000001</v>
      </c>
    </row>
    <row r="14" spans="1:21" x14ac:dyDescent="0.25">
      <c r="B14" s="9"/>
      <c r="C14" s="17">
        <v>3746.86328125</v>
      </c>
      <c r="D14" s="18">
        <v>29.812999999999999</v>
      </c>
      <c r="E14" s="18">
        <v>40.15</v>
      </c>
      <c r="F14" s="18">
        <v>40.962000000000003</v>
      </c>
      <c r="G14" s="18">
        <v>0.15</v>
      </c>
      <c r="H14" s="18">
        <f t="shared" si="0"/>
        <v>32.498750000000001</v>
      </c>
      <c r="I14" s="5"/>
      <c r="J14" s="17">
        <v>3066.7824000000001</v>
      </c>
      <c r="K14" s="18">
        <v>28.855</v>
      </c>
      <c r="L14" s="18">
        <v>40.561799999999998</v>
      </c>
      <c r="M14" s="18">
        <v>41.472099999999998</v>
      </c>
      <c r="N14" s="18">
        <v>1.4931000000000001</v>
      </c>
      <c r="O14" s="18">
        <f t="shared" si="1"/>
        <v>31.895487500000002</v>
      </c>
      <c r="P14" s="7"/>
      <c r="Q14" s="10"/>
      <c r="R14" s="11"/>
      <c r="S14" s="11"/>
      <c r="T14" s="26"/>
      <c r="U14" s="28">
        <f t="shared" si="2"/>
        <v>8.9540000000000024</v>
      </c>
    </row>
    <row r="15" spans="1:21" x14ac:dyDescent="0.25">
      <c r="B15" s="9"/>
      <c r="C15" s="17">
        <v>3060.19921875</v>
      </c>
      <c r="D15" s="18">
        <v>29.253</v>
      </c>
      <c r="E15" s="18">
        <v>39.179000000000002</v>
      </c>
      <c r="F15" s="18">
        <v>40.192999999999998</v>
      </c>
      <c r="G15" s="18">
        <v>0.15</v>
      </c>
      <c r="H15" s="18">
        <f t="shared" si="0"/>
        <v>31.861249999999998</v>
      </c>
      <c r="I15" s="5"/>
      <c r="J15" s="17">
        <v>2069.4448000000002</v>
      </c>
      <c r="K15" s="18">
        <v>27.111899999999999</v>
      </c>
      <c r="L15" s="18">
        <v>39.749600000000001</v>
      </c>
      <c r="M15" s="18">
        <v>40.8035</v>
      </c>
      <c r="N15" s="18">
        <v>1.8740000000000001</v>
      </c>
      <c r="O15" s="18">
        <f t="shared" si="1"/>
        <v>30.403062499999997</v>
      </c>
      <c r="P15" s="7"/>
      <c r="Q15" s="10"/>
      <c r="R15" s="11"/>
      <c r="S15" s="11"/>
      <c r="T15" s="26"/>
      <c r="U15" s="28">
        <f t="shared" si="2"/>
        <v>11.493333333333336</v>
      </c>
    </row>
    <row r="16" spans="1:21" ht="16.5" thickBot="1" x14ac:dyDescent="0.3">
      <c r="B16" s="12"/>
      <c r="C16" s="19">
        <v>2629.990234375</v>
      </c>
      <c r="D16" s="20">
        <v>28.727</v>
      </c>
      <c r="E16" s="20">
        <v>38.055</v>
      </c>
      <c r="F16" s="20">
        <v>39.241</v>
      </c>
      <c r="G16" s="20">
        <v>0.14000000000000001</v>
      </c>
      <c r="H16" s="20">
        <f t="shared" si="0"/>
        <v>31.207250000000002</v>
      </c>
      <c r="I16" s="5"/>
      <c r="J16" s="19">
        <v>1386.2239999999999</v>
      </c>
      <c r="K16" s="20">
        <v>25.840399999999999</v>
      </c>
      <c r="L16" s="20">
        <v>38.579599999999999</v>
      </c>
      <c r="M16" s="20">
        <v>39.751100000000001</v>
      </c>
      <c r="N16" s="20">
        <v>2.2042999999999999</v>
      </c>
      <c r="O16" s="20">
        <f t="shared" si="1"/>
        <v>29.171637499999999</v>
      </c>
      <c r="P16" s="7"/>
      <c r="Q16" s="13"/>
      <c r="R16" s="14"/>
      <c r="S16" s="14"/>
      <c r="T16" s="27"/>
      <c r="U16" s="28">
        <f t="shared" si="2"/>
        <v>14.744999999999997</v>
      </c>
    </row>
    <row r="17" spans="1:21" x14ac:dyDescent="0.25">
      <c r="A17" s="6" t="s">
        <v>37</v>
      </c>
      <c r="B17" s="6" t="s">
        <v>48</v>
      </c>
      <c r="C17" s="15">
        <v>2154.9833984375</v>
      </c>
      <c r="D17" s="16">
        <v>39.311</v>
      </c>
      <c r="E17" s="16">
        <v>42.09</v>
      </c>
      <c r="F17" s="16">
        <v>43.451000000000001</v>
      </c>
      <c r="G17" s="16">
        <v>0.38</v>
      </c>
      <c r="H17" s="16">
        <f t="shared" si="0"/>
        <v>40.175875000000005</v>
      </c>
      <c r="I17" s="5"/>
      <c r="J17" s="15">
        <v>2369.4944</v>
      </c>
      <c r="K17" s="16">
        <v>39.598100000000002</v>
      </c>
      <c r="L17" s="16">
        <v>42.526699999999998</v>
      </c>
      <c r="M17" s="16">
        <v>44.289200000000001</v>
      </c>
      <c r="N17" s="16">
        <v>2.2370999999999999</v>
      </c>
      <c r="O17" s="16">
        <f t="shared" si="1"/>
        <v>40.550562499999998</v>
      </c>
      <c r="P17" s="7"/>
      <c r="Q17" s="8">
        <f>bdrate(C17:C20,D17:D20,J17:J20,K17:K20)</f>
        <v>-3.4935286372518415E-2</v>
      </c>
      <c r="R17" s="8">
        <f>bdrate(C17:C20,E17:E20,J17:J20,L17:L20)</f>
        <v>-0.2752048524916032</v>
      </c>
      <c r="S17" s="8">
        <f>bdrate(C17:C20,F17:F20,J17:J20,M17:M20)</f>
        <v>-0.32779185463720173</v>
      </c>
      <c r="T17" s="25">
        <f>bdrate(C17:C20,H17:H20,J17:J20,O17:O20)</f>
        <v>-8.5529871823853854E-2</v>
      </c>
      <c r="U17" s="28">
        <f t="shared" si="2"/>
        <v>4.8871052631578946</v>
      </c>
    </row>
    <row r="18" spans="1:21" x14ac:dyDescent="0.25">
      <c r="A18" s="9" t="s">
        <v>38</v>
      </c>
      <c r="B18" s="9"/>
      <c r="C18" s="17">
        <v>1505.3359375</v>
      </c>
      <c r="D18" s="18">
        <v>38.183</v>
      </c>
      <c r="E18" s="18">
        <v>41.435000000000002</v>
      </c>
      <c r="F18" s="18">
        <v>42.654000000000003</v>
      </c>
      <c r="G18" s="18">
        <v>0.43</v>
      </c>
      <c r="H18" s="18">
        <f t="shared" si="0"/>
        <v>39.148375000000001</v>
      </c>
      <c r="I18" s="5"/>
      <c r="J18" s="17">
        <v>1560.8832</v>
      </c>
      <c r="K18" s="18">
        <v>38.4452</v>
      </c>
      <c r="L18" s="18">
        <v>41.947600000000001</v>
      </c>
      <c r="M18" s="18">
        <v>43.463000000000001</v>
      </c>
      <c r="N18" s="18">
        <v>2.8380000000000001</v>
      </c>
      <c r="O18" s="18">
        <f t="shared" si="1"/>
        <v>39.510225000000005</v>
      </c>
      <c r="P18" s="7"/>
      <c r="Q18" s="10"/>
      <c r="R18" s="11"/>
      <c r="S18" s="11"/>
      <c r="T18" s="26"/>
      <c r="U18" s="28">
        <f t="shared" si="2"/>
        <v>5.6</v>
      </c>
    </row>
    <row r="19" spans="1:21" x14ac:dyDescent="0.25">
      <c r="B19" s="9"/>
      <c r="C19" s="17">
        <v>969.6572265625</v>
      </c>
      <c r="D19" s="18">
        <v>36.795999999999999</v>
      </c>
      <c r="E19" s="18">
        <v>40.625999999999998</v>
      </c>
      <c r="F19" s="18">
        <v>41.753</v>
      </c>
      <c r="G19" s="18">
        <v>0.47</v>
      </c>
      <c r="H19" s="18">
        <f t="shared" si="0"/>
        <v>37.894374999999997</v>
      </c>
      <c r="I19" s="5"/>
      <c r="J19" s="17">
        <v>969.65279999999996</v>
      </c>
      <c r="K19" s="18">
        <v>36.913400000000003</v>
      </c>
      <c r="L19" s="18">
        <v>41.21</v>
      </c>
      <c r="M19" s="18">
        <v>42.530799999999999</v>
      </c>
      <c r="N19" s="18">
        <v>3.7071000000000001</v>
      </c>
      <c r="O19" s="18">
        <f t="shared" si="1"/>
        <v>38.152650000000001</v>
      </c>
      <c r="P19" s="7"/>
      <c r="Q19" s="10"/>
      <c r="R19" s="11"/>
      <c r="S19" s="11"/>
      <c r="T19" s="26"/>
      <c r="U19" s="28">
        <f t="shared" si="2"/>
        <v>6.8874468085106386</v>
      </c>
    </row>
    <row r="20" spans="1:21" ht="16.5" thickBot="1" x14ac:dyDescent="0.3">
      <c r="B20" s="12"/>
      <c r="C20" s="19">
        <v>597.296875</v>
      </c>
      <c r="D20" s="20">
        <v>35.218000000000004</v>
      </c>
      <c r="E20" s="20">
        <v>39.689</v>
      </c>
      <c r="F20" s="20">
        <v>40.872999999999998</v>
      </c>
      <c r="G20" s="20">
        <v>0.48</v>
      </c>
      <c r="H20" s="20">
        <f t="shared" si="0"/>
        <v>36.483750000000001</v>
      </c>
      <c r="I20" s="5"/>
      <c r="J20" s="19">
        <v>568.88959999999997</v>
      </c>
      <c r="K20" s="20">
        <v>35.109200000000001</v>
      </c>
      <c r="L20" s="20">
        <v>40.494100000000003</v>
      </c>
      <c r="M20" s="20">
        <v>41.766399999999997</v>
      </c>
      <c r="N20" s="20">
        <v>5.1351000000000004</v>
      </c>
      <c r="O20" s="20">
        <f t="shared" si="1"/>
        <v>36.614462500000002</v>
      </c>
      <c r="P20" s="7"/>
      <c r="Q20" s="13"/>
      <c r="R20" s="14"/>
      <c r="S20" s="14"/>
      <c r="T20" s="27"/>
      <c r="U20" s="28">
        <f t="shared" si="2"/>
        <v>9.6981250000000028</v>
      </c>
    </row>
    <row r="21" spans="1:21" x14ac:dyDescent="0.25">
      <c r="B21" s="6" t="s">
        <v>49</v>
      </c>
      <c r="C21" s="15">
        <v>2519.8701171875</v>
      </c>
      <c r="D21" s="16">
        <v>36.835999999999999</v>
      </c>
      <c r="E21" s="16">
        <v>40.183999999999997</v>
      </c>
      <c r="F21" s="16">
        <v>41.277000000000001</v>
      </c>
      <c r="G21" s="16">
        <v>0.32</v>
      </c>
      <c r="H21" s="16">
        <f t="shared" si="0"/>
        <v>37.809624999999997</v>
      </c>
      <c r="I21" s="5"/>
      <c r="J21" s="15">
        <v>2557.7687999999998</v>
      </c>
      <c r="K21" s="16">
        <v>36.871899999999997</v>
      </c>
      <c r="L21" s="16">
        <v>41.012</v>
      </c>
      <c r="M21" s="16">
        <v>42.402799999999999</v>
      </c>
      <c r="N21" s="16">
        <v>2.5308000000000002</v>
      </c>
      <c r="O21" s="16">
        <f t="shared" si="1"/>
        <v>38.080774999999996</v>
      </c>
      <c r="P21" s="7"/>
      <c r="Q21" s="8">
        <f>bdrate(C21:C24,D21:D24,J21:J24,K21:K24)</f>
        <v>-4.7413995754700178E-2</v>
      </c>
      <c r="R21" s="8">
        <f>bdrate(C21:C24,E21:E24,J21:J24,L21:L24)</f>
        <v>-0.40047832428430907</v>
      </c>
      <c r="S21" s="8">
        <f>bdrate(C21:C24,F21:F24,J21:J24,M21:M24)</f>
        <v>-0.4389803897829877</v>
      </c>
      <c r="T21" s="25">
        <f>bdrate(C21:C24,H21:H24,J21:J24,O21:O24)</f>
        <v>-0.12918266752924601</v>
      </c>
      <c r="U21" s="28">
        <f t="shared" si="2"/>
        <v>6.9087500000000013</v>
      </c>
    </row>
    <row r="22" spans="1:21" x14ac:dyDescent="0.25">
      <c r="B22" s="9"/>
      <c r="C22" s="17">
        <v>1692.587890625</v>
      </c>
      <c r="D22" s="18">
        <v>35.494999999999997</v>
      </c>
      <c r="E22" s="18">
        <v>39.162999999999997</v>
      </c>
      <c r="F22" s="18">
        <v>40.256</v>
      </c>
      <c r="G22" s="18">
        <v>0.34</v>
      </c>
      <c r="H22" s="18">
        <f t="shared" si="0"/>
        <v>36.548625000000001</v>
      </c>
      <c r="I22" s="5"/>
      <c r="J22" s="17">
        <v>1670.9512</v>
      </c>
      <c r="K22" s="18">
        <v>35.594200000000001</v>
      </c>
      <c r="L22" s="18">
        <v>40.14</v>
      </c>
      <c r="M22" s="18">
        <v>41.395600000000002</v>
      </c>
      <c r="N22" s="18">
        <v>3.1898</v>
      </c>
      <c r="O22" s="18">
        <f t="shared" si="1"/>
        <v>36.887599999999999</v>
      </c>
      <c r="P22" s="7"/>
      <c r="Q22" s="10"/>
      <c r="R22" s="11"/>
      <c r="S22" s="11"/>
      <c r="T22" s="26"/>
      <c r="U22" s="28">
        <f t="shared" si="2"/>
        <v>8.3817647058823521</v>
      </c>
    </row>
    <row r="23" spans="1:21" x14ac:dyDescent="0.25">
      <c r="B23" s="9"/>
      <c r="C23" s="17">
        <v>1041.5927734375</v>
      </c>
      <c r="D23" s="18">
        <v>33.905999999999999</v>
      </c>
      <c r="E23" s="18">
        <v>38</v>
      </c>
      <c r="F23" s="18">
        <v>39.286000000000001</v>
      </c>
      <c r="G23" s="18">
        <v>0.37</v>
      </c>
      <c r="H23" s="18">
        <f t="shared" si="0"/>
        <v>35.090249999999997</v>
      </c>
      <c r="I23" s="5"/>
      <c r="J23" s="17">
        <v>1031.4104</v>
      </c>
      <c r="K23" s="18">
        <v>34.066200000000002</v>
      </c>
      <c r="L23" s="18">
        <v>39.209200000000003</v>
      </c>
      <c r="M23" s="18">
        <v>40.447099999999999</v>
      </c>
      <c r="N23" s="18">
        <v>4.1700999999999997</v>
      </c>
      <c r="O23" s="18">
        <f t="shared" si="1"/>
        <v>35.506687499999998</v>
      </c>
      <c r="P23" s="7"/>
      <c r="Q23" s="10"/>
      <c r="R23" s="11"/>
      <c r="S23" s="11"/>
      <c r="T23" s="26"/>
      <c r="U23" s="28">
        <f t="shared" si="2"/>
        <v>10.270540540540539</v>
      </c>
    </row>
    <row r="24" spans="1:21" ht="16.5" thickBot="1" x14ac:dyDescent="0.3">
      <c r="B24" s="12"/>
      <c r="C24" s="19">
        <v>619.904296875</v>
      </c>
      <c r="D24" s="20">
        <v>32.267000000000003</v>
      </c>
      <c r="E24" s="20">
        <v>36.892000000000003</v>
      </c>
      <c r="F24" s="20">
        <v>38.473999999999997</v>
      </c>
      <c r="G24" s="20">
        <v>0.37</v>
      </c>
      <c r="H24" s="20">
        <f t="shared" si="0"/>
        <v>33.621000000000002</v>
      </c>
      <c r="I24" s="5"/>
      <c r="J24" s="19">
        <v>611.79039999999998</v>
      </c>
      <c r="K24" s="20">
        <v>32.433999999999997</v>
      </c>
      <c r="L24" s="20">
        <v>38.202800000000003</v>
      </c>
      <c r="M24" s="20">
        <v>39.5398</v>
      </c>
      <c r="N24" s="20">
        <v>5.6189</v>
      </c>
      <c r="O24" s="20">
        <f t="shared" si="1"/>
        <v>34.043324999999996</v>
      </c>
      <c r="P24" s="7"/>
      <c r="Q24" s="13"/>
      <c r="R24" s="14"/>
      <c r="S24" s="14"/>
      <c r="T24" s="27"/>
      <c r="U24" s="28">
        <f t="shared" si="2"/>
        <v>14.186216216216216</v>
      </c>
    </row>
    <row r="25" spans="1:21" x14ac:dyDescent="0.25">
      <c r="B25" s="6" t="s">
        <v>50</v>
      </c>
      <c r="C25" s="15">
        <v>2451.6630859375</v>
      </c>
      <c r="D25" s="16">
        <v>34.826999999999998</v>
      </c>
      <c r="E25" s="16">
        <v>38.302999999999997</v>
      </c>
      <c r="F25" s="16">
        <v>40.366</v>
      </c>
      <c r="G25" s="16">
        <v>0.38</v>
      </c>
      <c r="H25" s="16">
        <f t="shared" si="0"/>
        <v>35.953874999999996</v>
      </c>
      <c r="I25" s="5"/>
      <c r="J25" s="15">
        <v>2406.6992</v>
      </c>
      <c r="K25" s="16">
        <v>35.137900000000002</v>
      </c>
      <c r="L25" s="16">
        <v>38.706099999999999</v>
      </c>
      <c r="M25" s="16">
        <v>41.366300000000003</v>
      </c>
      <c r="N25" s="16">
        <v>3.4803000000000002</v>
      </c>
      <c r="O25" s="16">
        <f t="shared" si="1"/>
        <v>36.362475000000003</v>
      </c>
      <c r="P25" s="7"/>
      <c r="Q25" s="8">
        <f>bdrate(C25:C28,D25:D28,J25:J28,K25:K28)</f>
        <v>-0.15501377480848511</v>
      </c>
      <c r="R25" s="8">
        <f>bdrate(C25:C28,E25:E28,J25:J28,L25:L28)</f>
        <v>-0.48039425321420903</v>
      </c>
      <c r="S25" s="8">
        <f>bdrate(C25:C28,F25:F28,J25:J28,M25:M28)</f>
        <v>-0.47207634557223044</v>
      </c>
      <c r="T25" s="25">
        <f>bdrate(C25:C28,H25:H28,J25:J28,O25:O28)</f>
        <v>-0.22081520995662152</v>
      </c>
      <c r="U25" s="28">
        <f t="shared" si="2"/>
        <v>8.1586842105263155</v>
      </c>
    </row>
    <row r="26" spans="1:21" x14ac:dyDescent="0.25">
      <c r="B26" s="9"/>
      <c r="C26" s="17">
        <v>1631.046875</v>
      </c>
      <c r="D26" s="18">
        <v>33.555</v>
      </c>
      <c r="E26" s="18">
        <v>37.628</v>
      </c>
      <c r="F26" s="18">
        <v>39.232999999999997</v>
      </c>
      <c r="G26" s="18">
        <v>0.4</v>
      </c>
      <c r="H26" s="18">
        <f t="shared" si="0"/>
        <v>34.773874999999997</v>
      </c>
      <c r="I26" s="5"/>
      <c r="J26" s="17">
        <v>1602.296</v>
      </c>
      <c r="K26" s="18">
        <v>34.0152</v>
      </c>
      <c r="L26" s="18">
        <v>38.3371</v>
      </c>
      <c r="M26" s="18">
        <v>40.548099999999998</v>
      </c>
      <c r="N26" s="18">
        <v>4.4184000000000001</v>
      </c>
      <c r="O26" s="18">
        <f t="shared" si="1"/>
        <v>35.372050000000002</v>
      </c>
      <c r="P26" s="7"/>
      <c r="Q26" s="10"/>
      <c r="R26" s="11"/>
      <c r="S26" s="11"/>
      <c r="T26" s="26"/>
      <c r="U26" s="28">
        <f t="shared" si="2"/>
        <v>10.045999999999999</v>
      </c>
    </row>
    <row r="27" spans="1:21" x14ac:dyDescent="0.25">
      <c r="B27" s="9"/>
      <c r="C27" s="17">
        <v>1019.51953125</v>
      </c>
      <c r="D27" s="18">
        <v>31.968</v>
      </c>
      <c r="E27" s="18">
        <v>36.781999999999996</v>
      </c>
      <c r="F27" s="18">
        <v>37.880000000000003</v>
      </c>
      <c r="G27" s="18">
        <v>0.35</v>
      </c>
      <c r="H27" s="18">
        <f t="shared" si="0"/>
        <v>33.308749999999996</v>
      </c>
      <c r="I27" s="5"/>
      <c r="J27" s="17">
        <v>1000.2551999999999</v>
      </c>
      <c r="K27" s="18">
        <v>32.493400000000001</v>
      </c>
      <c r="L27" s="18">
        <v>37.877699999999997</v>
      </c>
      <c r="M27" s="18">
        <v>39.597099999999998</v>
      </c>
      <c r="N27" s="18">
        <v>5.7624000000000004</v>
      </c>
      <c r="O27" s="18">
        <f t="shared" si="1"/>
        <v>34.054400000000001</v>
      </c>
      <c r="P27" s="7"/>
      <c r="Q27" s="10"/>
      <c r="R27" s="11"/>
      <c r="S27" s="11"/>
      <c r="T27" s="26"/>
      <c r="U27" s="28">
        <f t="shared" si="2"/>
        <v>15.464000000000004</v>
      </c>
    </row>
    <row r="28" spans="1:21" ht="16.5" thickBot="1" x14ac:dyDescent="0.3">
      <c r="B28" s="12"/>
      <c r="C28" s="19">
        <v>638.4892578125</v>
      </c>
      <c r="D28" s="20">
        <v>30.35</v>
      </c>
      <c r="E28" s="20">
        <v>35.832000000000001</v>
      </c>
      <c r="F28" s="20">
        <v>36.453000000000003</v>
      </c>
      <c r="G28" s="20">
        <v>0.28999999999999998</v>
      </c>
      <c r="H28" s="20">
        <f t="shared" si="0"/>
        <v>31.798125000000002</v>
      </c>
      <c r="I28" s="5"/>
      <c r="J28" s="19">
        <v>590.76559999999995</v>
      </c>
      <c r="K28" s="20">
        <v>30.699200000000001</v>
      </c>
      <c r="L28" s="20">
        <v>37.213299999999997</v>
      </c>
      <c r="M28" s="20">
        <v>38.499099999999999</v>
      </c>
      <c r="N28" s="20">
        <v>8.1081000000000003</v>
      </c>
      <c r="O28" s="20">
        <f t="shared" si="1"/>
        <v>32.48845</v>
      </c>
      <c r="P28" s="7"/>
      <c r="Q28" s="13"/>
      <c r="R28" s="14"/>
      <c r="S28" s="14"/>
      <c r="T28" s="27"/>
      <c r="U28" s="28">
        <f t="shared" si="2"/>
        <v>26.958965517241381</v>
      </c>
    </row>
    <row r="29" spans="1:21" x14ac:dyDescent="0.25">
      <c r="B29" s="6" t="s">
        <v>51</v>
      </c>
      <c r="C29" s="29">
        <v>2304.39453125</v>
      </c>
      <c r="D29" s="30">
        <v>34.692</v>
      </c>
      <c r="E29" s="30">
        <v>40.799999999999997</v>
      </c>
      <c r="F29" s="30">
        <v>40.356000000000002</v>
      </c>
      <c r="G29" s="16">
        <v>0.44</v>
      </c>
      <c r="H29" s="16">
        <f t="shared" si="0"/>
        <v>36.163499999999999</v>
      </c>
      <c r="I29" s="5"/>
      <c r="J29" s="29">
        <v>2437.4488000000001</v>
      </c>
      <c r="K29" s="30">
        <v>34.909399999999998</v>
      </c>
      <c r="L29" s="30">
        <v>41.366599999999998</v>
      </c>
      <c r="M29" s="30">
        <v>41.151899999999998</v>
      </c>
      <c r="N29" s="16">
        <v>2.9718</v>
      </c>
      <c r="O29" s="16">
        <f t="shared" si="1"/>
        <v>36.496862499999999</v>
      </c>
      <c r="P29" s="7"/>
      <c r="Q29" s="8">
        <f>bdrate(C29:C32,D29:D32,J29:J32,K29:K32)</f>
        <v>2.4290214694542289E-2</v>
      </c>
      <c r="R29" s="8">
        <f>bdrate(C29:C32,E29:E32,J29:J32,L29:L32)</f>
        <v>-0.35586041689283476</v>
      </c>
      <c r="S29" s="8">
        <f>bdrate(C29:C32,F29:F32,J29:J32,M29:M32)</f>
        <v>-0.35004581692636716</v>
      </c>
      <c r="T29" s="25">
        <f>bdrate(C29:C32,H29:H32,J29:J32,O29:O32)</f>
        <v>-6.0345108843411155E-2</v>
      </c>
      <c r="U29" s="28">
        <f t="shared" si="2"/>
        <v>5.7540909090909089</v>
      </c>
    </row>
    <row r="30" spans="1:21" x14ac:dyDescent="0.25">
      <c r="B30" s="9"/>
      <c r="C30" s="31">
        <v>1582.12109375</v>
      </c>
      <c r="D30" s="32">
        <v>33.555</v>
      </c>
      <c r="E30" s="32">
        <v>39.982999999999997</v>
      </c>
      <c r="F30" s="32">
        <v>39.189</v>
      </c>
      <c r="G30" s="18">
        <v>0.41</v>
      </c>
      <c r="H30" s="18">
        <f t="shared" si="0"/>
        <v>35.062750000000001</v>
      </c>
      <c r="I30" s="5"/>
      <c r="J30" s="31">
        <v>1631.2744</v>
      </c>
      <c r="K30" s="32">
        <v>33.613900000000001</v>
      </c>
      <c r="L30" s="32">
        <v>40.724600000000002</v>
      </c>
      <c r="M30" s="32">
        <v>40.259500000000003</v>
      </c>
      <c r="N30" s="18">
        <v>3.6735000000000002</v>
      </c>
      <c r="O30" s="18">
        <f t="shared" si="1"/>
        <v>35.333437500000002</v>
      </c>
      <c r="P30" s="7"/>
      <c r="Q30" s="10"/>
      <c r="R30" s="11"/>
      <c r="S30" s="11"/>
      <c r="T30" s="26"/>
      <c r="U30" s="28">
        <f t="shared" si="2"/>
        <v>7.9597560975609767</v>
      </c>
    </row>
    <row r="31" spans="1:21" x14ac:dyDescent="0.25">
      <c r="B31" s="9"/>
      <c r="C31" s="31">
        <v>1024.1376953125</v>
      </c>
      <c r="D31" s="32">
        <v>32.149000000000001</v>
      </c>
      <c r="E31" s="32">
        <v>38.905000000000001</v>
      </c>
      <c r="F31" s="32">
        <v>37.793999999999997</v>
      </c>
      <c r="G31" s="18">
        <v>0.38</v>
      </c>
      <c r="H31" s="18">
        <f t="shared" si="0"/>
        <v>33.699125000000002</v>
      </c>
      <c r="I31" s="5"/>
      <c r="J31" s="31">
        <v>1013.7824000000001</v>
      </c>
      <c r="K31" s="32">
        <v>31.960699999999999</v>
      </c>
      <c r="L31" s="32">
        <v>39.972299999999997</v>
      </c>
      <c r="M31" s="32">
        <v>39.169499999999999</v>
      </c>
      <c r="N31" s="18">
        <v>5.008</v>
      </c>
      <c r="O31" s="18">
        <f t="shared" si="1"/>
        <v>33.863249999999994</v>
      </c>
      <c r="P31" s="7"/>
      <c r="Q31" s="10"/>
      <c r="R31" s="11"/>
      <c r="S31" s="11"/>
      <c r="T31" s="26"/>
      <c r="U31" s="28">
        <f t="shared" si="2"/>
        <v>12.178947368421053</v>
      </c>
    </row>
    <row r="32" spans="1:21" ht="16.5" thickBot="1" x14ac:dyDescent="0.3">
      <c r="B32" s="12"/>
      <c r="C32" s="33">
        <v>794.0634765625</v>
      </c>
      <c r="D32" s="34">
        <v>31.265000000000001</v>
      </c>
      <c r="E32" s="34">
        <v>38.052</v>
      </c>
      <c r="F32" s="34">
        <v>36.875999999999998</v>
      </c>
      <c r="G32" s="20">
        <v>0.35</v>
      </c>
      <c r="H32" s="20">
        <f t="shared" si="0"/>
        <v>32.814749999999997</v>
      </c>
      <c r="I32" s="5"/>
      <c r="J32" s="33">
        <v>607.07600000000002</v>
      </c>
      <c r="K32" s="34">
        <v>30.13</v>
      </c>
      <c r="L32" s="34">
        <v>38.9938</v>
      </c>
      <c r="M32" s="34">
        <v>37.720399999999998</v>
      </c>
      <c r="N32" s="20">
        <v>6.8573000000000004</v>
      </c>
      <c r="O32" s="20">
        <f t="shared" si="1"/>
        <v>32.186774999999997</v>
      </c>
      <c r="P32" s="7"/>
      <c r="Q32" s="13"/>
      <c r="R32" s="14"/>
      <c r="S32" s="14"/>
      <c r="T32" s="27"/>
      <c r="U32" s="28">
        <f t="shared" si="2"/>
        <v>18.592285714285719</v>
      </c>
    </row>
    <row r="33" spans="1:21" x14ac:dyDescent="0.25">
      <c r="B33" s="6" t="s">
        <v>52</v>
      </c>
      <c r="C33" s="15">
        <v>2491.31640625</v>
      </c>
      <c r="D33" s="16">
        <v>33.994999999999997</v>
      </c>
      <c r="E33" s="16">
        <v>39.613999999999997</v>
      </c>
      <c r="F33" s="16">
        <v>42.082999999999998</v>
      </c>
      <c r="G33" s="16">
        <v>0.33</v>
      </c>
      <c r="H33" s="16">
        <f t="shared" si="0"/>
        <v>35.708374999999997</v>
      </c>
      <c r="I33" s="5"/>
      <c r="J33" s="15">
        <v>2391.6055999999999</v>
      </c>
      <c r="K33" s="16">
        <v>34.134099999999997</v>
      </c>
      <c r="L33" s="16">
        <v>40.4544</v>
      </c>
      <c r="M33" s="16">
        <v>42.8752</v>
      </c>
      <c r="N33" s="16">
        <v>4.2138999999999998</v>
      </c>
      <c r="O33" s="16">
        <f t="shared" si="1"/>
        <v>36.016774999999996</v>
      </c>
      <c r="P33" s="7"/>
      <c r="Q33" s="8">
        <f>bdrate(C33:C36,D33:D36,J33:J36,K33:K36)</f>
        <v>-0.20443938424281261</v>
      </c>
      <c r="R33" s="8">
        <f>bdrate(C33:C36,E33:E36,J33:J36,L33:L36)</f>
        <v>-0.53798635190664701</v>
      </c>
      <c r="S33" s="8">
        <f>bdrate(C33:C36,F33:F36,J33:J36,M33:M36)</f>
        <v>-0.55250007299811366</v>
      </c>
      <c r="T33" s="25">
        <f>bdrate(C33:C36,H33:H36,J33:J36,O33:O36)</f>
        <v>-0.27656119703610182</v>
      </c>
      <c r="U33" s="28">
        <f t="shared" si="2"/>
        <v>11.769393939393938</v>
      </c>
    </row>
    <row r="34" spans="1:21" x14ac:dyDescent="0.25">
      <c r="B34" s="9"/>
      <c r="C34" s="17">
        <v>1666.2705078125</v>
      </c>
      <c r="D34" s="18">
        <v>33.185000000000002</v>
      </c>
      <c r="E34" s="18">
        <v>38.960999999999999</v>
      </c>
      <c r="F34" s="18">
        <v>41.54</v>
      </c>
      <c r="G34" s="18">
        <v>0.36</v>
      </c>
      <c r="H34" s="18">
        <f t="shared" si="0"/>
        <v>34.951375000000006</v>
      </c>
      <c r="I34" s="5"/>
      <c r="J34" s="17">
        <v>1590.9232</v>
      </c>
      <c r="K34" s="18">
        <v>33.493099999999998</v>
      </c>
      <c r="L34" s="18">
        <v>40.005400000000002</v>
      </c>
      <c r="M34" s="18">
        <v>42.496899999999997</v>
      </c>
      <c r="N34" s="18">
        <v>5.4997999999999996</v>
      </c>
      <c r="O34" s="18">
        <f t="shared" si="1"/>
        <v>35.432612499999998</v>
      </c>
      <c r="P34" s="7"/>
      <c r="Q34" s="10"/>
      <c r="R34" s="11"/>
      <c r="S34" s="11"/>
      <c r="T34" s="26"/>
      <c r="U34" s="28">
        <f t="shared" si="2"/>
        <v>14.277222222222221</v>
      </c>
    </row>
    <row r="35" spans="1:21" x14ac:dyDescent="0.25">
      <c r="B35" s="9"/>
      <c r="C35" s="17">
        <v>1052.7412109375</v>
      </c>
      <c r="D35" s="18">
        <v>32.048999999999999</v>
      </c>
      <c r="E35" s="18">
        <v>38.225999999999999</v>
      </c>
      <c r="F35" s="18">
        <v>40.927999999999997</v>
      </c>
      <c r="G35" s="18">
        <v>0.41</v>
      </c>
      <c r="H35" s="18">
        <f t="shared" si="0"/>
        <v>33.930999999999997</v>
      </c>
      <c r="I35" s="5"/>
      <c r="J35" s="17">
        <v>983.86</v>
      </c>
      <c r="K35" s="18">
        <v>32.507399999999997</v>
      </c>
      <c r="L35" s="18">
        <v>39.289200000000001</v>
      </c>
      <c r="M35" s="18">
        <v>41.853099999999998</v>
      </c>
      <c r="N35" s="18">
        <v>7.5400999999999998</v>
      </c>
      <c r="O35" s="18">
        <f t="shared" si="1"/>
        <v>34.523337499999997</v>
      </c>
      <c r="P35" s="7"/>
      <c r="Q35" s="10"/>
      <c r="R35" s="11"/>
      <c r="S35" s="11"/>
      <c r="T35" s="26"/>
      <c r="U35" s="28">
        <f t="shared" si="2"/>
        <v>17.390487804878049</v>
      </c>
    </row>
    <row r="36" spans="1:21" ht="16.5" thickBot="1" x14ac:dyDescent="0.3">
      <c r="B36" s="12"/>
      <c r="C36" s="19">
        <v>662.5498046875</v>
      </c>
      <c r="D36" s="20">
        <v>30.734999999999999</v>
      </c>
      <c r="E36" s="20">
        <v>37.548000000000002</v>
      </c>
      <c r="F36" s="20">
        <v>40.334000000000003</v>
      </c>
      <c r="G36" s="20">
        <v>0.38</v>
      </c>
      <c r="H36" s="20">
        <f t="shared" si="0"/>
        <v>32.786500000000004</v>
      </c>
      <c r="I36" s="5"/>
      <c r="J36" s="19">
        <v>580.01760000000002</v>
      </c>
      <c r="K36" s="20">
        <v>31.099</v>
      </c>
      <c r="L36" s="20">
        <v>38.713700000000003</v>
      </c>
      <c r="M36" s="20">
        <v>41.365200000000002</v>
      </c>
      <c r="N36" s="20">
        <v>10.513999999999999</v>
      </c>
      <c r="O36" s="20">
        <f t="shared" si="1"/>
        <v>33.334112500000003</v>
      </c>
      <c r="P36" s="7"/>
      <c r="Q36" s="13"/>
      <c r="R36" s="14"/>
      <c r="S36" s="14"/>
      <c r="T36" s="27"/>
      <c r="U36" s="28">
        <f t="shared" si="2"/>
        <v>26.668421052631576</v>
      </c>
    </row>
    <row r="37" spans="1:21" x14ac:dyDescent="0.25">
      <c r="A37" s="6" t="s">
        <v>39</v>
      </c>
      <c r="B37" s="6" t="s">
        <v>53</v>
      </c>
      <c r="C37" s="15">
        <v>1186.017578125</v>
      </c>
      <c r="D37" s="16">
        <v>36.865000000000002</v>
      </c>
      <c r="E37" s="16">
        <v>40.808999999999997</v>
      </c>
      <c r="F37" s="16">
        <v>40.729999999999997</v>
      </c>
      <c r="G37" s="16">
        <v>1.3</v>
      </c>
      <c r="H37" s="16">
        <f t="shared" si="0"/>
        <v>37.841125000000005</v>
      </c>
      <c r="I37" s="5"/>
      <c r="J37" s="15">
        <v>1199.4695999999999</v>
      </c>
      <c r="K37" s="16">
        <v>37.052199999999999</v>
      </c>
      <c r="L37" s="16">
        <v>41.237499999999997</v>
      </c>
      <c r="M37" s="16">
        <v>41.255699999999997</v>
      </c>
      <c r="N37" s="16">
        <v>8.6552000000000007</v>
      </c>
      <c r="O37" s="16">
        <f t="shared" si="1"/>
        <v>38.1008</v>
      </c>
      <c r="P37" s="7"/>
      <c r="Q37" s="8">
        <f>bdrate(C37:C40,D37:D40,J37:J40,K37:K40)</f>
        <v>1.9823947531393049E-2</v>
      </c>
      <c r="R37" s="8">
        <f>bdrate(C37:C40,E37:E40,J37:J40,L37:L40)</f>
        <v>-0.13702363225228176</v>
      </c>
      <c r="S37" s="8">
        <f>bdrate(C37:C40,F37:F40,J37:J40,M37:M40)</f>
        <v>-0.14183222514945626</v>
      </c>
      <c r="T37" s="25">
        <f>bdrate(C37:C40,H37:H40,J37:J40,O37:O40)</f>
        <v>-1.5873752807445851E-2</v>
      </c>
      <c r="U37" s="28">
        <f t="shared" si="2"/>
        <v>5.6578461538461546</v>
      </c>
    </row>
    <row r="38" spans="1:21" x14ac:dyDescent="0.25">
      <c r="A38" s="9" t="s">
        <v>40</v>
      </c>
      <c r="B38" s="9"/>
      <c r="C38" s="17">
        <v>827.51171875</v>
      </c>
      <c r="D38" s="18">
        <v>35.396000000000001</v>
      </c>
      <c r="E38" s="18">
        <v>39.726999999999997</v>
      </c>
      <c r="F38" s="18">
        <v>39.503</v>
      </c>
      <c r="G38" s="18">
        <v>1.46</v>
      </c>
      <c r="H38" s="18">
        <f t="shared" si="0"/>
        <v>36.450749999999999</v>
      </c>
      <c r="I38" s="5"/>
      <c r="J38" s="17">
        <v>796.57360000000006</v>
      </c>
      <c r="K38" s="18">
        <v>35.196599999999997</v>
      </c>
      <c r="L38" s="18">
        <v>39.8797</v>
      </c>
      <c r="M38" s="18">
        <v>39.7057</v>
      </c>
      <c r="N38" s="18">
        <v>10.5702</v>
      </c>
      <c r="O38" s="18">
        <f t="shared" si="1"/>
        <v>36.345624999999998</v>
      </c>
      <c r="P38" s="7"/>
      <c r="Q38" s="10"/>
      <c r="R38" s="11"/>
      <c r="S38" s="11"/>
      <c r="T38" s="26"/>
      <c r="U38" s="28">
        <f t="shared" si="2"/>
        <v>6.2398630136986295</v>
      </c>
    </row>
    <row r="39" spans="1:21" x14ac:dyDescent="0.25">
      <c r="B39" s="9"/>
      <c r="C39" s="17">
        <v>521.8173828125</v>
      </c>
      <c r="D39" s="18">
        <v>33.524000000000001</v>
      </c>
      <c r="E39" s="18">
        <v>38.133000000000003</v>
      </c>
      <c r="F39" s="18">
        <v>37.758000000000003</v>
      </c>
      <c r="G39" s="18">
        <v>1.47</v>
      </c>
      <c r="H39" s="18">
        <f t="shared" si="0"/>
        <v>34.629375000000003</v>
      </c>
      <c r="I39" s="5"/>
      <c r="J39" s="17">
        <v>503.63119999999998</v>
      </c>
      <c r="K39" s="18">
        <v>33.270499999999998</v>
      </c>
      <c r="L39" s="18">
        <v>38.574399999999997</v>
      </c>
      <c r="M39" s="18">
        <v>38.267699999999998</v>
      </c>
      <c r="N39" s="18">
        <v>13.466900000000001</v>
      </c>
      <c r="O39" s="18">
        <f t="shared" si="1"/>
        <v>34.558137500000001</v>
      </c>
      <c r="P39" s="7"/>
      <c r="Q39" s="10"/>
      <c r="R39" s="11"/>
      <c r="S39" s="11"/>
      <c r="T39" s="26"/>
      <c r="U39" s="28">
        <f t="shared" si="2"/>
        <v>8.1611564625850335</v>
      </c>
    </row>
    <row r="40" spans="1:21" ht="16.5" thickBot="1" x14ac:dyDescent="0.3">
      <c r="B40" s="12"/>
      <c r="C40" s="19">
        <v>311.9921875</v>
      </c>
      <c r="D40" s="20">
        <v>31.597000000000001</v>
      </c>
      <c r="E40" s="20">
        <v>36.491999999999997</v>
      </c>
      <c r="F40" s="20">
        <v>35.951999999999998</v>
      </c>
      <c r="G40" s="20">
        <v>1.1599999999999999</v>
      </c>
      <c r="H40" s="20">
        <f t="shared" si="0"/>
        <v>32.753249999999994</v>
      </c>
      <c r="I40" s="5"/>
      <c r="J40" s="19">
        <v>299.84559999999999</v>
      </c>
      <c r="K40" s="20">
        <v>31.185600000000001</v>
      </c>
      <c r="L40" s="20">
        <v>37.157699999999998</v>
      </c>
      <c r="M40" s="20">
        <v>36.628900000000002</v>
      </c>
      <c r="N40" s="20">
        <v>18.159400000000002</v>
      </c>
      <c r="O40" s="20">
        <f t="shared" si="1"/>
        <v>32.612525000000005</v>
      </c>
      <c r="P40" s="7"/>
      <c r="Q40" s="13"/>
      <c r="R40" s="14"/>
      <c r="S40" s="14"/>
      <c r="T40" s="27"/>
      <c r="U40" s="28">
        <f t="shared" si="2"/>
        <v>14.654655172413795</v>
      </c>
    </row>
    <row r="41" spans="1:21" x14ac:dyDescent="0.25">
      <c r="B41" s="6" t="s">
        <v>54</v>
      </c>
      <c r="C41" s="15">
        <v>1270.8427734375</v>
      </c>
      <c r="D41" s="16">
        <v>36.209000000000003</v>
      </c>
      <c r="E41" s="16">
        <v>41.017000000000003</v>
      </c>
      <c r="F41" s="16">
        <v>41.965000000000003</v>
      </c>
      <c r="G41" s="16">
        <v>1.2</v>
      </c>
      <c r="H41" s="16">
        <f t="shared" si="0"/>
        <v>37.529499999999999</v>
      </c>
      <c r="I41" s="5"/>
      <c r="J41" s="15">
        <v>1212.0791999999999</v>
      </c>
      <c r="K41" s="16">
        <v>36.407899999999998</v>
      </c>
      <c r="L41" s="16">
        <v>41.864699999999999</v>
      </c>
      <c r="M41" s="16">
        <v>42.9238</v>
      </c>
      <c r="N41" s="16">
        <v>10.743399999999999</v>
      </c>
      <c r="O41" s="16">
        <f t="shared" si="1"/>
        <v>37.904487500000002</v>
      </c>
      <c r="P41" s="7"/>
      <c r="Q41" s="8">
        <f>bdrate(C41:C44,D41:D44,J41:J44,K41:K44)</f>
        <v>-0.12491186134582022</v>
      </c>
      <c r="R41" s="8">
        <f>bdrate(C41:C44,E41:E44,J41:J44,L41:L44)</f>
        <v>-0.40640559796282072</v>
      </c>
      <c r="S41" s="8">
        <f>bdrate(C41:C44,F41:F44,J41:J44,M41:M44)</f>
        <v>-0.40133367050971969</v>
      </c>
      <c r="T41" s="25">
        <f>bdrate(C41:C44,H41:H44,J41:J44,O41:O44)</f>
        <v>-0.18699337612896616</v>
      </c>
      <c r="U41" s="28">
        <f t="shared" si="2"/>
        <v>7.9528333333333334</v>
      </c>
    </row>
    <row r="42" spans="1:21" x14ac:dyDescent="0.25">
      <c r="B42" s="9"/>
      <c r="C42" s="17">
        <v>849.0869140625</v>
      </c>
      <c r="D42" s="18">
        <v>34.572000000000003</v>
      </c>
      <c r="E42" s="18">
        <v>39.805</v>
      </c>
      <c r="F42" s="18">
        <v>40.6</v>
      </c>
      <c r="G42" s="18">
        <v>1.28</v>
      </c>
      <c r="H42" s="18">
        <f t="shared" si="0"/>
        <v>35.979625000000006</v>
      </c>
      <c r="I42" s="5"/>
      <c r="J42" s="17">
        <v>806.86559999999997</v>
      </c>
      <c r="K42" s="18">
        <v>34.862699999999997</v>
      </c>
      <c r="L42" s="18">
        <v>40.899000000000001</v>
      </c>
      <c r="M42" s="18">
        <v>41.813600000000001</v>
      </c>
      <c r="N42" s="18">
        <v>13.437799999999999</v>
      </c>
      <c r="O42" s="18">
        <f t="shared" si="1"/>
        <v>36.4861</v>
      </c>
      <c r="P42" s="7"/>
      <c r="Q42" s="10"/>
      <c r="R42" s="11"/>
      <c r="S42" s="11"/>
      <c r="T42" s="26"/>
      <c r="U42" s="28">
        <f t="shared" si="2"/>
        <v>9.4982812499999998</v>
      </c>
    </row>
    <row r="43" spans="1:21" x14ac:dyDescent="0.25">
      <c r="B43" s="9"/>
      <c r="C43" s="17">
        <v>532.8984375</v>
      </c>
      <c r="D43" s="18">
        <v>32.625999999999998</v>
      </c>
      <c r="E43" s="18">
        <v>38.392000000000003</v>
      </c>
      <c r="F43" s="18">
        <v>39.058999999999997</v>
      </c>
      <c r="G43" s="18">
        <v>1.22</v>
      </c>
      <c r="H43" s="18">
        <f t="shared" si="0"/>
        <v>34.150874999999999</v>
      </c>
      <c r="I43" s="5"/>
      <c r="J43" s="17">
        <v>503.404</v>
      </c>
      <c r="K43" s="18">
        <v>32.979900000000001</v>
      </c>
      <c r="L43" s="18">
        <v>39.8108</v>
      </c>
      <c r="M43" s="18">
        <v>40.575400000000002</v>
      </c>
      <c r="N43" s="18">
        <v>17.348600000000001</v>
      </c>
      <c r="O43" s="18">
        <f t="shared" si="1"/>
        <v>34.783200000000001</v>
      </c>
      <c r="P43" s="7"/>
      <c r="Q43" s="10"/>
      <c r="R43" s="11"/>
      <c r="S43" s="11"/>
      <c r="T43" s="26"/>
      <c r="U43" s="28">
        <f t="shared" si="2"/>
        <v>13.220163934426232</v>
      </c>
    </row>
    <row r="44" spans="1:21" ht="16.5" thickBot="1" x14ac:dyDescent="0.3">
      <c r="B44" s="12"/>
      <c r="C44" s="19">
        <v>326.986328125</v>
      </c>
      <c r="D44" s="20">
        <v>30.541</v>
      </c>
      <c r="E44" s="20">
        <v>36.887</v>
      </c>
      <c r="F44" s="20">
        <v>37.438000000000002</v>
      </c>
      <c r="G44" s="20">
        <v>1.06</v>
      </c>
      <c r="H44" s="20">
        <f t="shared" si="0"/>
        <v>32.196375000000003</v>
      </c>
      <c r="I44" s="5"/>
      <c r="J44" s="19">
        <v>303.74</v>
      </c>
      <c r="K44" s="20">
        <v>30.8917</v>
      </c>
      <c r="L44" s="20">
        <v>38.603499999999997</v>
      </c>
      <c r="M44" s="20">
        <v>39.333399999999997</v>
      </c>
      <c r="N44" s="20">
        <v>22.934899999999999</v>
      </c>
      <c r="O44" s="20">
        <f t="shared" si="1"/>
        <v>32.910887500000001</v>
      </c>
      <c r="P44" s="7"/>
      <c r="Q44" s="13"/>
      <c r="R44" s="14"/>
      <c r="S44" s="14"/>
      <c r="T44" s="27"/>
      <c r="U44" s="28">
        <f t="shared" si="2"/>
        <v>20.636698113207547</v>
      </c>
    </row>
    <row r="45" spans="1:21" x14ac:dyDescent="0.25">
      <c r="B45" s="6" t="s">
        <v>55</v>
      </c>
      <c r="C45" s="15">
        <v>1369.2568359375</v>
      </c>
      <c r="D45" s="16">
        <v>31.457000000000001</v>
      </c>
      <c r="E45" s="16">
        <v>37.259</v>
      </c>
      <c r="F45" s="16">
        <v>38.005000000000003</v>
      </c>
      <c r="G45" s="16">
        <v>0.8</v>
      </c>
      <c r="H45" s="16">
        <f t="shared" si="0"/>
        <v>33.000750000000004</v>
      </c>
      <c r="I45" s="5"/>
      <c r="J45" s="15">
        <v>1189.0319999999999</v>
      </c>
      <c r="K45" s="16">
        <v>31.301100000000002</v>
      </c>
      <c r="L45" s="16">
        <v>37.773400000000002</v>
      </c>
      <c r="M45" s="16">
        <v>38.624600000000001</v>
      </c>
      <c r="N45" s="16">
        <v>11.0624</v>
      </c>
      <c r="O45" s="16">
        <f t="shared" si="1"/>
        <v>33.025575000000003</v>
      </c>
      <c r="P45" s="7"/>
      <c r="Q45" s="8">
        <f>bdrate(C45:C48,D45:D48,J45:J48,K45:K48)</f>
        <v>-0.13543997567353772</v>
      </c>
      <c r="R45" s="8">
        <f>bdrate(C45:C48,E45:E48,J45:J48,L45:L48)</f>
        <v>-0.3870241065642932</v>
      </c>
      <c r="S45" s="8">
        <f>bdrate(C45:C48,F45:F48,J45:J48,M45:M48)</f>
        <v>-0.39606585874933309</v>
      </c>
      <c r="T45" s="25">
        <f>bdrate(C45:C48,H45:H48,J45:J48,O45:O48)</f>
        <v>-0.18919956148627504</v>
      </c>
      <c r="U45" s="28">
        <f t="shared" si="2"/>
        <v>12.827999999999999</v>
      </c>
    </row>
    <row r="46" spans="1:21" x14ac:dyDescent="0.25">
      <c r="B46" s="9"/>
      <c r="C46" s="17">
        <v>947.00390625</v>
      </c>
      <c r="D46" s="18">
        <v>29.981999999999999</v>
      </c>
      <c r="E46" s="18">
        <v>36.287999999999997</v>
      </c>
      <c r="F46" s="18">
        <v>37.015999999999998</v>
      </c>
      <c r="G46" s="18">
        <v>0.78</v>
      </c>
      <c r="H46" s="18">
        <f t="shared" si="0"/>
        <v>31.6495</v>
      </c>
      <c r="I46" s="5"/>
      <c r="J46" s="17">
        <v>794.91039999999998</v>
      </c>
      <c r="K46" s="18">
        <v>29.897600000000001</v>
      </c>
      <c r="L46" s="18">
        <v>36.890099999999997</v>
      </c>
      <c r="M46" s="18">
        <v>37.707599999999999</v>
      </c>
      <c r="N46" s="18">
        <v>14.0021</v>
      </c>
      <c r="O46" s="18">
        <f t="shared" si="1"/>
        <v>31.747912499999998</v>
      </c>
      <c r="P46" s="7"/>
      <c r="Q46" s="10"/>
      <c r="R46" s="11"/>
      <c r="S46" s="11"/>
      <c r="T46" s="26"/>
      <c r="U46" s="28">
        <f t="shared" si="2"/>
        <v>16.951410256410256</v>
      </c>
    </row>
    <row r="47" spans="1:21" x14ac:dyDescent="0.25">
      <c r="B47" s="9"/>
      <c r="C47" s="17">
        <v>589.1484375</v>
      </c>
      <c r="D47" s="18">
        <v>28.358000000000001</v>
      </c>
      <c r="E47" s="18">
        <v>35.122999999999998</v>
      </c>
      <c r="F47" s="18">
        <v>35.938000000000002</v>
      </c>
      <c r="G47" s="18">
        <v>0.71</v>
      </c>
      <c r="H47" s="18">
        <f t="shared" si="0"/>
        <v>30.151125</v>
      </c>
      <c r="I47" s="5"/>
      <c r="J47" s="17">
        <v>501.12</v>
      </c>
      <c r="K47" s="18">
        <v>28.3233</v>
      </c>
      <c r="L47" s="18">
        <v>35.955599999999997</v>
      </c>
      <c r="M47" s="18">
        <v>36.724200000000003</v>
      </c>
      <c r="N47" s="18">
        <v>17.826599999999999</v>
      </c>
      <c r="O47" s="18">
        <f t="shared" si="1"/>
        <v>30.327449999999999</v>
      </c>
      <c r="P47" s="7"/>
      <c r="Q47" s="10"/>
      <c r="R47" s="11"/>
      <c r="S47" s="11"/>
      <c r="T47" s="26"/>
      <c r="U47" s="28">
        <f t="shared" si="2"/>
        <v>24.107887323943661</v>
      </c>
    </row>
    <row r="48" spans="1:21" ht="16.5" thickBot="1" x14ac:dyDescent="0.3">
      <c r="B48" s="12"/>
      <c r="C48" s="19">
        <v>358.29296875</v>
      </c>
      <c r="D48" s="20">
        <v>26.835999999999999</v>
      </c>
      <c r="E48" s="20">
        <v>33.996000000000002</v>
      </c>
      <c r="F48" s="20">
        <v>34.816000000000003</v>
      </c>
      <c r="G48" s="20">
        <v>0.62</v>
      </c>
      <c r="H48" s="20">
        <f t="shared" si="0"/>
        <v>28.7285</v>
      </c>
      <c r="I48" s="5"/>
      <c r="J48" s="19">
        <v>305.84640000000002</v>
      </c>
      <c r="K48" s="20">
        <v>26.8</v>
      </c>
      <c r="L48" s="20">
        <v>35.145200000000003</v>
      </c>
      <c r="M48" s="20">
        <v>35.881100000000004</v>
      </c>
      <c r="N48" s="20">
        <v>23.6877</v>
      </c>
      <c r="O48" s="20">
        <f t="shared" si="1"/>
        <v>28.9782875</v>
      </c>
      <c r="P48" s="7"/>
      <c r="Q48" s="13"/>
      <c r="R48" s="14"/>
      <c r="S48" s="14"/>
      <c r="T48" s="27"/>
      <c r="U48" s="28">
        <f t="shared" si="2"/>
        <v>37.205967741935481</v>
      </c>
    </row>
    <row r="49" spans="1:21" x14ac:dyDescent="0.25">
      <c r="B49" s="6" t="s">
        <v>56</v>
      </c>
      <c r="C49" s="15">
        <v>1222.763671875</v>
      </c>
      <c r="D49" s="16">
        <v>33.752000000000002</v>
      </c>
      <c r="E49" s="16">
        <v>37.814</v>
      </c>
      <c r="F49" s="16">
        <v>39.57</v>
      </c>
      <c r="G49" s="16">
        <v>0.93</v>
      </c>
      <c r="H49" s="16">
        <f t="shared" si="0"/>
        <v>34.987000000000002</v>
      </c>
      <c r="I49" s="5"/>
      <c r="J49" s="15">
        <v>1191.8599999999999</v>
      </c>
      <c r="K49" s="16">
        <v>33.575299999999999</v>
      </c>
      <c r="L49" s="16">
        <v>38.180799999999998</v>
      </c>
      <c r="M49" s="16">
        <v>39.794199999999996</v>
      </c>
      <c r="N49" s="16">
        <v>6.4554999999999998</v>
      </c>
      <c r="O49" s="16">
        <f t="shared" si="1"/>
        <v>34.928350000000002</v>
      </c>
      <c r="P49" s="7"/>
      <c r="Q49" s="8">
        <f>bdrate(C49:C52,D49:D52,J49:J52,K49:K52)</f>
        <v>1.0591259841992162E-3</v>
      </c>
      <c r="R49" s="8">
        <f>bdrate(C49:C52,E49:E52,J49:J52,L49:L52)</f>
        <v>-0.27341566634014558</v>
      </c>
      <c r="S49" s="8">
        <f>bdrate(C49:C52,F49:F52,J49:J52,M49:M52)</f>
        <v>-0.26043370772121277</v>
      </c>
      <c r="T49" s="25">
        <f>bdrate(C49:C52,H49:H52,J49:J52,O49:O52)</f>
        <v>-5.2365782141456707E-2</v>
      </c>
      <c r="U49" s="28">
        <f t="shared" si="2"/>
        <v>5.9413978494623656</v>
      </c>
    </row>
    <row r="50" spans="1:21" x14ac:dyDescent="0.25">
      <c r="B50" s="9"/>
      <c r="C50" s="17">
        <v>873.431640625</v>
      </c>
      <c r="D50" s="18">
        <v>32.384</v>
      </c>
      <c r="E50" s="18">
        <v>36.823</v>
      </c>
      <c r="F50" s="18">
        <v>38.594999999999999</v>
      </c>
      <c r="G50" s="18">
        <v>0.94</v>
      </c>
      <c r="H50" s="18">
        <f t="shared" si="0"/>
        <v>33.715249999999997</v>
      </c>
      <c r="I50" s="5"/>
      <c r="J50" s="17">
        <v>794.54639999999995</v>
      </c>
      <c r="K50" s="18">
        <v>31.994199999999999</v>
      </c>
      <c r="L50" s="18">
        <v>37.227699999999999</v>
      </c>
      <c r="M50" s="18">
        <v>38.901499999999999</v>
      </c>
      <c r="N50" s="18">
        <v>7.8975999999999997</v>
      </c>
      <c r="O50" s="18">
        <f t="shared" si="1"/>
        <v>33.511799999999994</v>
      </c>
      <c r="P50" s="7"/>
      <c r="Q50" s="10"/>
      <c r="R50" s="11"/>
      <c r="S50" s="11"/>
      <c r="T50" s="26"/>
      <c r="U50" s="28">
        <f t="shared" si="2"/>
        <v>7.4017021276595738</v>
      </c>
    </row>
    <row r="51" spans="1:21" x14ac:dyDescent="0.25">
      <c r="B51" s="9"/>
      <c r="C51" s="17">
        <v>591.5361328125</v>
      </c>
      <c r="D51" s="18">
        <v>30.84</v>
      </c>
      <c r="E51" s="18">
        <v>35.813000000000002</v>
      </c>
      <c r="F51" s="18">
        <v>37.521000000000001</v>
      </c>
      <c r="G51" s="18">
        <v>0.84</v>
      </c>
      <c r="H51" s="18">
        <f t="shared" si="0"/>
        <v>32.296750000000003</v>
      </c>
      <c r="I51" s="5"/>
      <c r="J51" s="17">
        <v>495.35199999999998</v>
      </c>
      <c r="K51" s="18">
        <v>30.253399999999999</v>
      </c>
      <c r="L51" s="18">
        <v>36.255200000000002</v>
      </c>
      <c r="M51" s="18">
        <v>37.988700000000001</v>
      </c>
      <c r="N51" s="18">
        <v>9.9953000000000003</v>
      </c>
      <c r="O51" s="18">
        <f t="shared" si="1"/>
        <v>31.970537499999999</v>
      </c>
      <c r="P51" s="7"/>
      <c r="Q51" s="10"/>
      <c r="R51" s="11"/>
      <c r="S51" s="11"/>
      <c r="T51" s="26"/>
      <c r="U51" s="28">
        <f t="shared" si="2"/>
        <v>10.899166666666668</v>
      </c>
    </row>
    <row r="52" spans="1:21" ht="16.5" thickBot="1" x14ac:dyDescent="0.3">
      <c r="B52" s="12"/>
      <c r="C52" s="19">
        <v>355.3720703125</v>
      </c>
      <c r="D52" s="20">
        <v>29.184999999999999</v>
      </c>
      <c r="E52" s="20">
        <v>34.631999999999998</v>
      </c>
      <c r="F52" s="20">
        <v>36.265000000000001</v>
      </c>
      <c r="G52" s="20">
        <v>0.74</v>
      </c>
      <c r="H52" s="20">
        <f t="shared" si="0"/>
        <v>30.750875000000001</v>
      </c>
      <c r="I52" s="5"/>
      <c r="J52" s="19">
        <v>296.69439999999997</v>
      </c>
      <c r="K52" s="20">
        <v>28.5289</v>
      </c>
      <c r="L52" s="20">
        <v>35.311599999999999</v>
      </c>
      <c r="M52" s="20">
        <v>37.036900000000003</v>
      </c>
      <c r="N52" s="20">
        <v>13.2896</v>
      </c>
      <c r="O52" s="20">
        <f t="shared" si="1"/>
        <v>30.440237500000002</v>
      </c>
      <c r="P52" s="7"/>
      <c r="Q52" s="13"/>
      <c r="R52" s="14"/>
      <c r="S52" s="14"/>
      <c r="T52" s="27"/>
      <c r="U52" s="28">
        <f t="shared" si="2"/>
        <v>16.958918918918918</v>
      </c>
    </row>
    <row r="53" spans="1:21" x14ac:dyDescent="0.25">
      <c r="A53" s="6" t="s">
        <v>41</v>
      </c>
      <c r="B53" s="6" t="s">
        <v>57</v>
      </c>
      <c r="C53" s="15">
        <v>573.060546875</v>
      </c>
      <c r="D53" s="16">
        <v>35.463999999999999</v>
      </c>
      <c r="E53" s="16">
        <v>40.985999999999997</v>
      </c>
      <c r="F53" s="16">
        <v>39.174999999999997</v>
      </c>
      <c r="G53" s="16">
        <v>2.3199999999999998</v>
      </c>
      <c r="H53" s="16">
        <f t="shared" si="0"/>
        <v>36.618124999999999</v>
      </c>
      <c r="I53" s="5"/>
      <c r="J53" s="15">
        <v>608.91999999999996</v>
      </c>
      <c r="K53" s="16">
        <v>35.866199999999999</v>
      </c>
      <c r="L53" s="16">
        <v>41.376899999999999</v>
      </c>
      <c r="M53" s="16">
        <v>39.795499999999997</v>
      </c>
      <c r="N53" s="16">
        <v>22.923200000000001</v>
      </c>
      <c r="O53" s="16">
        <f t="shared" si="1"/>
        <v>37.046199999999999</v>
      </c>
      <c r="P53" s="7"/>
      <c r="Q53" s="8">
        <f>bdrate(C53:C56,D53:D56,J53:J56,K53:K56)</f>
        <v>2.7050034243176313E-2</v>
      </c>
      <c r="R53" s="8">
        <f>bdrate(C53:C56,E53:E56,J53:J56,L53:L56)</f>
        <v>-0.15915921842122405</v>
      </c>
      <c r="S53" s="8">
        <f>bdrate(C53:C56,F53:F56,J53:J56,M53:M56)</f>
        <v>-0.20870181920711273</v>
      </c>
      <c r="T53" s="25">
        <f>bdrate(C53:C56,H53:H56,J53:J56,O53:O56)</f>
        <v>-1.7130268801708759E-2</v>
      </c>
      <c r="U53" s="28">
        <f t="shared" si="2"/>
        <v>8.8806896551724144</v>
      </c>
    </row>
    <row r="54" spans="1:21" x14ac:dyDescent="0.25">
      <c r="A54" s="9" t="s">
        <v>42</v>
      </c>
      <c r="B54" s="9"/>
      <c r="C54" s="17">
        <v>410.1953125</v>
      </c>
      <c r="D54" s="18">
        <v>33.905000000000001</v>
      </c>
      <c r="E54" s="18">
        <v>39.948999999999998</v>
      </c>
      <c r="F54" s="18">
        <v>37.954999999999998</v>
      </c>
      <c r="G54" s="18">
        <v>2.4500000000000002</v>
      </c>
      <c r="H54" s="18">
        <f t="shared" si="0"/>
        <v>35.16675</v>
      </c>
      <c r="I54" s="5"/>
      <c r="J54" s="17">
        <v>402.9248</v>
      </c>
      <c r="K54" s="18">
        <v>33.844999999999999</v>
      </c>
      <c r="L54" s="18">
        <v>40.164299999999997</v>
      </c>
      <c r="M54" s="18">
        <v>38.421399999999998</v>
      </c>
      <c r="N54" s="18">
        <v>27.702400000000001</v>
      </c>
      <c r="O54" s="18">
        <f t="shared" si="1"/>
        <v>35.206962499999996</v>
      </c>
      <c r="P54" s="7"/>
      <c r="Q54" s="10"/>
      <c r="R54" s="11"/>
      <c r="S54" s="11"/>
      <c r="T54" s="26"/>
      <c r="U54" s="28">
        <f t="shared" si="2"/>
        <v>10.307102040816327</v>
      </c>
    </row>
    <row r="55" spans="1:21" x14ac:dyDescent="0.25">
      <c r="B55" s="9"/>
      <c r="C55" s="17">
        <v>266.3857421875</v>
      </c>
      <c r="D55" s="18">
        <v>32.076999999999998</v>
      </c>
      <c r="E55" s="18">
        <v>38.536000000000001</v>
      </c>
      <c r="F55" s="18">
        <v>36.43</v>
      </c>
      <c r="G55" s="18">
        <v>2.3199999999999998</v>
      </c>
      <c r="H55" s="18">
        <f t="shared" si="0"/>
        <v>33.4285</v>
      </c>
      <c r="I55" s="5"/>
      <c r="J55" s="17">
        <v>250.44319999999999</v>
      </c>
      <c r="K55" s="18">
        <v>31.684100000000001</v>
      </c>
      <c r="L55" s="18">
        <v>38.880699999999997</v>
      </c>
      <c r="M55" s="18">
        <v>37.0291</v>
      </c>
      <c r="N55" s="18">
        <v>34.097099999999998</v>
      </c>
      <c r="O55" s="18">
        <f t="shared" si="1"/>
        <v>33.251800000000003</v>
      </c>
      <c r="P55" s="7"/>
      <c r="Q55" s="10"/>
      <c r="R55" s="11"/>
      <c r="S55" s="11"/>
      <c r="T55" s="26"/>
      <c r="U55" s="28">
        <f t="shared" si="2"/>
        <v>13.697025862068966</v>
      </c>
    </row>
    <row r="56" spans="1:21" ht="16.5" thickBot="1" x14ac:dyDescent="0.3">
      <c r="B56" s="12"/>
      <c r="C56" s="19">
        <v>133.060546875</v>
      </c>
      <c r="D56" s="20">
        <v>29.452000000000002</v>
      </c>
      <c r="E56" s="20">
        <v>36.338000000000001</v>
      </c>
      <c r="F56" s="20">
        <v>34.024999999999999</v>
      </c>
      <c r="G56" s="20">
        <v>1.94</v>
      </c>
      <c r="H56" s="20">
        <f t="shared" si="0"/>
        <v>30.884375000000002</v>
      </c>
      <c r="I56" s="5"/>
      <c r="J56" s="19">
        <v>120.2672</v>
      </c>
      <c r="K56" s="20">
        <v>28.6371</v>
      </c>
      <c r="L56" s="20">
        <v>37.182899999999997</v>
      </c>
      <c r="M56" s="20">
        <v>34.982100000000003</v>
      </c>
      <c r="N56" s="20">
        <v>50.632899999999999</v>
      </c>
      <c r="O56" s="20">
        <f t="shared" si="1"/>
        <v>30.498449999999998</v>
      </c>
      <c r="P56" s="7"/>
      <c r="Q56" s="13"/>
      <c r="R56" s="14"/>
      <c r="S56" s="14"/>
      <c r="T56" s="27"/>
      <c r="U56" s="28">
        <f t="shared" si="2"/>
        <v>25.099432989690722</v>
      </c>
    </row>
    <row r="57" spans="1:21" x14ac:dyDescent="0.25">
      <c r="B57" s="6" t="s">
        <v>58</v>
      </c>
      <c r="C57" s="15">
        <v>641.1611328125</v>
      </c>
      <c r="D57" s="16">
        <v>34.642000000000003</v>
      </c>
      <c r="E57" s="16">
        <v>41.872</v>
      </c>
      <c r="F57" s="16">
        <v>42.796999999999997</v>
      </c>
      <c r="G57" s="16">
        <v>1.55</v>
      </c>
      <c r="H57" s="16">
        <f t="shared" si="0"/>
        <v>36.565125000000009</v>
      </c>
      <c r="I57" s="5"/>
      <c r="J57" s="15">
        <v>596.75840000000005</v>
      </c>
      <c r="K57" s="16">
        <v>34.645000000000003</v>
      </c>
      <c r="L57" s="16">
        <v>42.242699999999999</v>
      </c>
      <c r="M57" s="16">
        <v>43.258600000000001</v>
      </c>
      <c r="N57" s="16">
        <v>32.594499999999996</v>
      </c>
      <c r="O57" s="16">
        <f t="shared" si="1"/>
        <v>36.671412500000002</v>
      </c>
      <c r="P57" s="7"/>
      <c r="Q57" s="8">
        <f>bdrate(C57:C60,D57:D60,J57:J60,K57:K60)</f>
        <v>-9.6564565359077315E-2</v>
      </c>
      <c r="R57" s="8">
        <f>bdrate(C57:C60,E57:E60,J57:J60,L57:L60)</f>
        <v>-0.24931006213915841</v>
      </c>
      <c r="S57" s="8">
        <f>bdrate(C57:C60,F57:F60,J57:J60,M57:M60)</f>
        <v>-0.28162801044749575</v>
      </c>
      <c r="T57" s="25">
        <f>bdrate(C57:C60,H57:H60,J57:J60,O57:O60)</f>
        <v>-0.13082758785942916</v>
      </c>
      <c r="U57" s="28">
        <f t="shared" si="2"/>
        <v>20.02870967741935</v>
      </c>
    </row>
    <row r="58" spans="1:21" x14ac:dyDescent="0.25">
      <c r="B58" s="9"/>
      <c r="C58" s="17">
        <v>452.1103515625</v>
      </c>
      <c r="D58" s="18">
        <v>33.375999999999998</v>
      </c>
      <c r="E58" s="18">
        <v>41.05</v>
      </c>
      <c r="F58" s="18">
        <v>41.954999999999998</v>
      </c>
      <c r="G58" s="18">
        <v>1.61</v>
      </c>
      <c r="H58" s="18">
        <f t="shared" si="0"/>
        <v>35.407624999999996</v>
      </c>
      <c r="I58" s="5"/>
      <c r="J58" s="17">
        <v>397.66879999999998</v>
      </c>
      <c r="K58" s="18">
        <v>33.246899999999997</v>
      </c>
      <c r="L58" s="18">
        <v>41.281199999999998</v>
      </c>
      <c r="M58" s="18">
        <v>42.194600000000001</v>
      </c>
      <c r="N58" s="18">
        <v>42.405799999999999</v>
      </c>
      <c r="O58" s="18">
        <f t="shared" si="1"/>
        <v>35.369649999999993</v>
      </c>
      <c r="P58" s="7"/>
      <c r="Q58" s="10"/>
      <c r="R58" s="11"/>
      <c r="S58" s="11"/>
      <c r="T58" s="26"/>
      <c r="U58" s="28">
        <f t="shared" si="2"/>
        <v>25.339006211180124</v>
      </c>
    </row>
    <row r="59" spans="1:21" x14ac:dyDescent="0.25">
      <c r="B59" s="9"/>
      <c r="C59" s="17">
        <v>295.169921875</v>
      </c>
      <c r="D59" s="18">
        <v>31.856999999999999</v>
      </c>
      <c r="E59" s="18">
        <v>40.055999999999997</v>
      </c>
      <c r="F59" s="18">
        <v>40.79</v>
      </c>
      <c r="G59" s="18">
        <v>1.7</v>
      </c>
      <c r="H59" s="18">
        <f t="shared" si="0"/>
        <v>33.9985</v>
      </c>
      <c r="I59" s="5"/>
      <c r="J59" s="17">
        <v>248.39439999999999</v>
      </c>
      <c r="K59" s="18">
        <v>31.616099999999999</v>
      </c>
      <c r="L59" s="18">
        <v>40.302199999999999</v>
      </c>
      <c r="M59" s="18">
        <v>41.2104</v>
      </c>
      <c r="N59" s="18">
        <v>57.405299999999997</v>
      </c>
      <c r="O59" s="18">
        <f t="shared" si="1"/>
        <v>33.901150000000001</v>
      </c>
      <c r="P59" s="7"/>
      <c r="Q59" s="10"/>
      <c r="R59" s="11"/>
      <c r="S59" s="11"/>
      <c r="T59" s="26"/>
      <c r="U59" s="28">
        <f t="shared" si="2"/>
        <v>32.767823529411764</v>
      </c>
    </row>
    <row r="60" spans="1:21" ht="16.5" thickBot="1" x14ac:dyDescent="0.3">
      <c r="B60" s="12"/>
      <c r="C60" s="19">
        <v>141.990234375</v>
      </c>
      <c r="D60" s="20">
        <v>29.167999999999999</v>
      </c>
      <c r="E60" s="20">
        <v>38.386000000000003</v>
      </c>
      <c r="F60" s="20">
        <v>38.970999999999997</v>
      </c>
      <c r="G60" s="20">
        <v>1.79</v>
      </c>
      <c r="H60" s="20">
        <f t="shared" si="0"/>
        <v>31.545624999999998</v>
      </c>
      <c r="I60" s="5"/>
      <c r="J60" s="19">
        <v>118.7336</v>
      </c>
      <c r="K60" s="20">
        <v>28.9499</v>
      </c>
      <c r="L60" s="20">
        <v>38.921500000000002</v>
      </c>
      <c r="M60" s="20">
        <v>39.776600000000002</v>
      </c>
      <c r="N60" s="20">
        <v>93.356200000000001</v>
      </c>
      <c r="O60" s="20">
        <f t="shared" si="1"/>
        <v>31.549687500000001</v>
      </c>
      <c r="P60" s="7"/>
      <c r="Q60" s="13"/>
      <c r="R60" s="14"/>
      <c r="S60" s="14"/>
      <c r="T60" s="27"/>
      <c r="U60" s="28">
        <f t="shared" si="2"/>
        <v>51.154301675977649</v>
      </c>
    </row>
    <row r="61" spans="1:21" x14ac:dyDescent="0.25">
      <c r="B61" s="6" t="s">
        <v>59</v>
      </c>
      <c r="C61" s="29">
        <v>663.5078125</v>
      </c>
      <c r="D61" s="30">
        <v>34.316000000000003</v>
      </c>
      <c r="E61" s="30">
        <v>39.002000000000002</v>
      </c>
      <c r="F61" s="30">
        <v>39.887</v>
      </c>
      <c r="G61" s="16">
        <v>1.66</v>
      </c>
      <c r="H61" s="16">
        <f t="shared" si="0"/>
        <v>35.598125000000003</v>
      </c>
      <c r="I61" s="5"/>
      <c r="J61" s="29">
        <v>593.42240000000004</v>
      </c>
      <c r="K61" s="30">
        <v>34.002200000000002</v>
      </c>
      <c r="L61" s="30">
        <v>39.140999999999998</v>
      </c>
      <c r="M61" s="30">
        <v>40.066299999999998</v>
      </c>
      <c r="N61" s="16">
        <v>26.642499999999998</v>
      </c>
      <c r="O61" s="16">
        <f t="shared" si="1"/>
        <v>35.402562500000002</v>
      </c>
      <c r="P61" s="7"/>
      <c r="Q61" s="8">
        <f>bdrate(C61:C64,D61:D64,J61:J64,K61:K64)</f>
        <v>-9.519596604092706E-2</v>
      </c>
      <c r="R61" s="8">
        <f>bdrate(C61:C64,E61:E64,J61:J64,L61:L64)</f>
        <v>-0.28827512125452992</v>
      </c>
      <c r="S61" s="8">
        <f>bdrate(C61:C64,F61:F64,J61:J64,M61:M64)</f>
        <v>-0.28343769627257087</v>
      </c>
      <c r="T61" s="25">
        <f>bdrate(C61:C64,H61:H64,J61:J64,O61:O64)</f>
        <v>-0.14019574461202988</v>
      </c>
      <c r="U61" s="28">
        <f t="shared" si="2"/>
        <v>15.049698795180722</v>
      </c>
    </row>
    <row r="62" spans="1:21" x14ac:dyDescent="0.25">
      <c r="B62" s="9"/>
      <c r="C62" s="31">
        <v>463.6357421875</v>
      </c>
      <c r="D62" s="32">
        <v>32.726999999999997</v>
      </c>
      <c r="E62" s="32">
        <v>37.676000000000002</v>
      </c>
      <c r="F62" s="32">
        <v>38.511000000000003</v>
      </c>
      <c r="G62" s="18">
        <v>1.74</v>
      </c>
      <c r="H62" s="18">
        <f t="shared" si="0"/>
        <v>34.068624999999997</v>
      </c>
      <c r="I62" s="5"/>
      <c r="J62" s="31">
        <v>394.62479999999999</v>
      </c>
      <c r="K62" s="32">
        <v>32.404299999999999</v>
      </c>
      <c r="L62" s="32">
        <v>37.972299999999997</v>
      </c>
      <c r="M62" s="32">
        <v>38.799900000000001</v>
      </c>
      <c r="N62" s="18">
        <v>32.737499999999997</v>
      </c>
      <c r="O62" s="18">
        <f t="shared" si="1"/>
        <v>33.899749999999997</v>
      </c>
      <c r="P62" s="7"/>
      <c r="Q62" s="10"/>
      <c r="R62" s="11"/>
      <c r="S62" s="11"/>
      <c r="T62" s="26"/>
      <c r="U62" s="28">
        <f t="shared" si="2"/>
        <v>17.814655172413794</v>
      </c>
    </row>
    <row r="63" spans="1:21" x14ac:dyDescent="0.25">
      <c r="B63" s="9"/>
      <c r="C63" s="31">
        <v>300.8310546875</v>
      </c>
      <c r="D63" s="32">
        <v>30.963999999999999</v>
      </c>
      <c r="E63" s="32">
        <v>36.323</v>
      </c>
      <c r="F63" s="32">
        <v>37.139000000000003</v>
      </c>
      <c r="G63" s="18">
        <v>1.84</v>
      </c>
      <c r="H63" s="18">
        <f t="shared" si="0"/>
        <v>32.405749999999998</v>
      </c>
      <c r="I63" s="5"/>
      <c r="J63" s="31">
        <v>247.76320000000001</v>
      </c>
      <c r="K63" s="32">
        <v>30.686599999999999</v>
      </c>
      <c r="L63" s="32">
        <v>36.8371</v>
      </c>
      <c r="M63" s="32">
        <v>37.638399999999997</v>
      </c>
      <c r="N63" s="18">
        <v>41.037399999999998</v>
      </c>
      <c r="O63" s="18">
        <f t="shared" si="1"/>
        <v>32.3243875</v>
      </c>
      <c r="P63" s="7"/>
      <c r="Q63" s="10"/>
      <c r="R63" s="11"/>
      <c r="S63" s="11"/>
      <c r="T63" s="26"/>
      <c r="U63" s="28">
        <f t="shared" si="2"/>
        <v>21.302934782608691</v>
      </c>
    </row>
    <row r="64" spans="1:21" ht="16.5" thickBot="1" x14ac:dyDescent="0.3">
      <c r="B64" s="12"/>
      <c r="C64" s="33">
        <v>144.5087890625</v>
      </c>
      <c r="D64" s="34">
        <v>28.414999999999999</v>
      </c>
      <c r="E64" s="34">
        <v>34.368000000000002</v>
      </c>
      <c r="F64" s="34">
        <v>35.143999999999998</v>
      </c>
      <c r="G64" s="20">
        <v>1.79</v>
      </c>
      <c r="H64" s="20">
        <f t="shared" si="0"/>
        <v>30.000250000000001</v>
      </c>
      <c r="I64" s="5"/>
      <c r="J64" s="33">
        <v>119.69119999999999</v>
      </c>
      <c r="K64" s="34">
        <v>28.154800000000002</v>
      </c>
      <c r="L64" s="34">
        <v>35.348999999999997</v>
      </c>
      <c r="M64" s="34">
        <v>36.114800000000002</v>
      </c>
      <c r="N64" s="20">
        <v>61.758899999999997</v>
      </c>
      <c r="O64" s="20">
        <f t="shared" si="1"/>
        <v>30.049075000000002</v>
      </c>
      <c r="P64" s="7"/>
      <c r="Q64" s="13"/>
      <c r="R64" s="14"/>
      <c r="S64" s="14"/>
      <c r="T64" s="27"/>
      <c r="U64" s="28">
        <f t="shared" si="2"/>
        <v>33.502178770949719</v>
      </c>
    </row>
    <row r="65" spans="1:21" x14ac:dyDescent="0.25">
      <c r="B65" s="6" t="s">
        <v>60</v>
      </c>
      <c r="C65" s="15">
        <v>596.7119140625</v>
      </c>
      <c r="D65" s="16">
        <v>35.365000000000002</v>
      </c>
      <c r="E65" s="16">
        <v>39.113</v>
      </c>
      <c r="F65" s="16">
        <v>40.332999999999998</v>
      </c>
      <c r="G65" s="16">
        <v>1.74</v>
      </c>
      <c r="H65" s="16">
        <f t="shared" si="0"/>
        <v>36.454499999999996</v>
      </c>
      <c r="I65" s="5"/>
      <c r="J65" s="15">
        <v>589.06719999999996</v>
      </c>
      <c r="K65" s="16">
        <v>35.321800000000003</v>
      </c>
      <c r="L65" s="16">
        <v>39.195700000000002</v>
      </c>
      <c r="M65" s="16">
        <v>40.394300000000001</v>
      </c>
      <c r="N65" s="16">
        <v>14.394</v>
      </c>
      <c r="O65" s="16">
        <f t="shared" si="1"/>
        <v>36.440100000000001</v>
      </c>
      <c r="P65" s="7"/>
      <c r="Q65" s="8">
        <f>bdrate(C65:C68,D65:D68,J65:J68,K65:K68)</f>
        <v>-1.2864066895773796E-2</v>
      </c>
      <c r="R65" s="8">
        <f>bdrate(C65:C68,E65:E68,J65:J68,L65:L68)</f>
        <v>-0.17141660959766447</v>
      </c>
      <c r="S65" s="8">
        <f>bdrate(C65:C68,F65:F68,J65:J68,M65:M68)</f>
        <v>-0.15397275057230186</v>
      </c>
      <c r="T65" s="25">
        <f>bdrate(C65:C68,H65:H68,J65:J68,O65:O68)</f>
        <v>-4.2530018424108973E-2</v>
      </c>
      <c r="U65" s="28">
        <f t="shared" si="2"/>
        <v>7.272413793103448</v>
      </c>
    </row>
    <row r="66" spans="1:21" x14ac:dyDescent="0.25">
      <c r="B66" s="9"/>
      <c r="C66" s="17">
        <v>432.8046875</v>
      </c>
      <c r="D66" s="18">
        <v>33.776000000000003</v>
      </c>
      <c r="E66" s="18">
        <v>37.929000000000002</v>
      </c>
      <c r="F66" s="18">
        <v>39.234000000000002</v>
      </c>
      <c r="G66" s="18">
        <v>1.86</v>
      </c>
      <c r="H66" s="18">
        <f t="shared" si="0"/>
        <v>34.977375000000002</v>
      </c>
      <c r="I66" s="5"/>
      <c r="J66" s="17">
        <v>393.14</v>
      </c>
      <c r="K66" s="18">
        <v>33.322200000000002</v>
      </c>
      <c r="L66" s="18">
        <v>37.979100000000003</v>
      </c>
      <c r="M66" s="18">
        <v>39.149099999999997</v>
      </c>
      <c r="N66" s="18">
        <v>17.773599999999998</v>
      </c>
      <c r="O66" s="18">
        <f t="shared" si="1"/>
        <v>34.632674999999999</v>
      </c>
      <c r="P66" s="7"/>
      <c r="Q66" s="10"/>
      <c r="R66" s="11"/>
      <c r="S66" s="11"/>
      <c r="T66" s="26"/>
      <c r="U66" s="28">
        <f t="shared" si="2"/>
        <v>8.5556989247311819</v>
      </c>
    </row>
    <row r="67" spans="1:21" x14ac:dyDescent="0.25">
      <c r="B67" s="9"/>
      <c r="C67" s="17">
        <v>297.58203125</v>
      </c>
      <c r="D67" s="18">
        <v>31.984999999999999</v>
      </c>
      <c r="E67" s="18">
        <v>36.656999999999996</v>
      </c>
      <c r="F67" s="18">
        <v>37.911000000000001</v>
      </c>
      <c r="G67" s="18">
        <v>1.93</v>
      </c>
      <c r="H67" s="18">
        <f t="shared" si="0"/>
        <v>33.309750000000001</v>
      </c>
      <c r="I67" s="5"/>
      <c r="J67" s="17">
        <v>244.00559999999999</v>
      </c>
      <c r="K67" s="18">
        <v>31.221</v>
      </c>
      <c r="L67" s="18">
        <v>36.663200000000003</v>
      </c>
      <c r="M67" s="18">
        <v>37.872799999999998</v>
      </c>
      <c r="N67" s="18">
        <v>22.258500000000002</v>
      </c>
      <c r="O67" s="18">
        <f t="shared" si="1"/>
        <v>32.732749999999996</v>
      </c>
      <c r="P67" s="7"/>
      <c r="Q67" s="10"/>
      <c r="R67" s="11"/>
      <c r="S67" s="11"/>
      <c r="T67" s="26"/>
      <c r="U67" s="28">
        <f t="shared" si="2"/>
        <v>10.532901554404146</v>
      </c>
    </row>
    <row r="68" spans="1:21" ht="16.5" thickBot="1" x14ac:dyDescent="0.3">
      <c r="B68" s="12"/>
      <c r="C68" s="19">
        <v>151.90625</v>
      </c>
      <c r="D68" s="20">
        <v>29.279</v>
      </c>
      <c r="E68" s="20">
        <v>34.622999999999998</v>
      </c>
      <c r="F68" s="20">
        <v>35.811999999999998</v>
      </c>
      <c r="G68" s="20">
        <v>1.61</v>
      </c>
      <c r="H68" s="20">
        <f t="shared" si="0"/>
        <v>30.763624999999998</v>
      </c>
      <c r="I68" s="5"/>
      <c r="J68" s="19">
        <v>118.0616</v>
      </c>
      <c r="K68" s="20">
        <v>28.456700000000001</v>
      </c>
      <c r="L68" s="20">
        <v>35.156399999999998</v>
      </c>
      <c r="M68" s="20">
        <v>36.293799999999997</v>
      </c>
      <c r="N68" s="20">
        <v>32.873100000000001</v>
      </c>
      <c r="O68" s="20">
        <f t="shared" si="1"/>
        <v>30.273800000000001</v>
      </c>
      <c r="P68" s="7"/>
      <c r="Q68" s="13"/>
      <c r="R68" s="14"/>
      <c r="S68" s="14"/>
      <c r="T68" s="27"/>
      <c r="U68" s="28">
        <f t="shared" si="2"/>
        <v>19.418074534161491</v>
      </c>
    </row>
    <row r="69" spans="1:21" x14ac:dyDescent="0.25">
      <c r="A69" s="6" t="s">
        <v>43</v>
      </c>
      <c r="B69" s="6" t="s">
        <v>61</v>
      </c>
      <c r="C69" s="15">
        <v>1521.64453125</v>
      </c>
      <c r="D69" s="16">
        <v>42.177</v>
      </c>
      <c r="E69" s="16">
        <v>46.332999999999998</v>
      </c>
      <c r="F69" s="16">
        <v>47.637</v>
      </c>
      <c r="G69" s="16">
        <v>1.35</v>
      </c>
      <c r="H69" s="16">
        <f t="shared" si="0"/>
        <v>43.378999999999998</v>
      </c>
      <c r="I69" s="5"/>
      <c r="J69" s="15">
        <v>1504.7752</v>
      </c>
      <c r="K69" s="16">
        <v>42.103099999999998</v>
      </c>
      <c r="L69" s="16">
        <v>46.6541</v>
      </c>
      <c r="M69" s="16">
        <v>47.92</v>
      </c>
      <c r="N69" s="16">
        <v>7.7215999999999996</v>
      </c>
      <c r="O69" s="16">
        <f t="shared" si="1"/>
        <v>43.3990875</v>
      </c>
      <c r="P69" s="7"/>
      <c r="Q69" s="8">
        <f>bdrate(C69:C72,D69:D72,J69:J72,K69:K72)</f>
        <v>-8.572582412120644E-2</v>
      </c>
      <c r="R69" s="8">
        <f>bdrate(C69:C72,E69:E72,J69:J72,L69:L72)</f>
        <v>-0.21435528528932546</v>
      </c>
      <c r="S69" s="8">
        <f>bdrate(C69:C72,F69:F72,J69:J72,M69:M72)</f>
        <v>-0.18519277298086934</v>
      </c>
      <c r="T69" s="25">
        <f>bdrate(C69:C72,H69:H72,J69:J72,O69:O72)</f>
        <v>-0.10961472466384925</v>
      </c>
      <c r="U69" s="28">
        <f t="shared" si="2"/>
        <v>4.7197037037037024</v>
      </c>
    </row>
    <row r="70" spans="1:21" x14ac:dyDescent="0.25">
      <c r="A70" s="9" t="s">
        <v>44</v>
      </c>
      <c r="B70" s="9"/>
      <c r="C70" s="17">
        <v>1040.8935546875</v>
      </c>
      <c r="D70" s="18">
        <v>41.125999999999998</v>
      </c>
      <c r="E70" s="18">
        <v>45.456000000000003</v>
      </c>
      <c r="F70" s="18">
        <v>46.755000000000003</v>
      </c>
      <c r="G70" s="18">
        <v>1.63</v>
      </c>
      <c r="H70" s="18">
        <f t="shared" si="0"/>
        <v>42.370874999999998</v>
      </c>
      <c r="I70" s="5"/>
      <c r="J70" s="17">
        <v>993.3528</v>
      </c>
      <c r="K70" s="18">
        <v>41.1374</v>
      </c>
      <c r="L70" s="18">
        <v>45.840499999999999</v>
      </c>
      <c r="M70" s="18">
        <v>47.064</v>
      </c>
      <c r="N70" s="18">
        <v>9.9245999999999999</v>
      </c>
      <c r="O70" s="18">
        <f t="shared" si="1"/>
        <v>42.466112500000001</v>
      </c>
      <c r="P70" s="7"/>
      <c r="Q70" s="10"/>
      <c r="R70" s="11"/>
      <c r="S70" s="11"/>
      <c r="T70" s="26"/>
      <c r="U70" s="28">
        <f t="shared" si="2"/>
        <v>5.0887116564417179</v>
      </c>
    </row>
    <row r="71" spans="1:21" x14ac:dyDescent="0.25">
      <c r="B71" s="9"/>
      <c r="C71" s="17">
        <v>641.39453125</v>
      </c>
      <c r="D71" s="18">
        <v>39.338000000000001</v>
      </c>
      <c r="E71" s="18">
        <v>43.994</v>
      </c>
      <c r="F71" s="18">
        <v>45.287999999999997</v>
      </c>
      <c r="G71" s="18">
        <v>1.92</v>
      </c>
      <c r="H71" s="18">
        <f t="shared" si="0"/>
        <v>40.663750000000007</v>
      </c>
      <c r="I71" s="5"/>
      <c r="J71" s="17">
        <v>593.26400000000001</v>
      </c>
      <c r="K71" s="18">
        <v>39.393300000000004</v>
      </c>
      <c r="L71" s="18">
        <v>44.432299999999998</v>
      </c>
      <c r="M71" s="18">
        <v>45.6203</v>
      </c>
      <c r="N71" s="18">
        <v>13.4291</v>
      </c>
      <c r="O71" s="18">
        <f t="shared" si="1"/>
        <v>40.801549999999999</v>
      </c>
      <c r="P71" s="7"/>
      <c r="Q71" s="10"/>
      <c r="R71" s="11"/>
      <c r="S71" s="11"/>
      <c r="T71" s="26"/>
      <c r="U71" s="28">
        <f t="shared" si="2"/>
        <v>5.9943229166666665</v>
      </c>
    </row>
    <row r="72" spans="1:21" ht="16.5" thickBot="1" x14ac:dyDescent="0.3">
      <c r="B72" s="12"/>
      <c r="C72" s="19">
        <v>326.2890625</v>
      </c>
      <c r="D72" s="20">
        <v>36.204000000000001</v>
      </c>
      <c r="E72" s="20">
        <v>41.731000000000002</v>
      </c>
      <c r="F72" s="20">
        <v>42.929000000000002</v>
      </c>
      <c r="G72" s="20">
        <v>2.0099999999999998</v>
      </c>
      <c r="H72" s="20">
        <f t="shared" si="0"/>
        <v>37.735500000000002</v>
      </c>
      <c r="I72" s="5"/>
      <c r="J72" s="19">
        <v>288.89440000000002</v>
      </c>
      <c r="K72" s="20">
        <v>36.332999999999998</v>
      </c>
      <c r="L72" s="20">
        <v>42.573399999999999</v>
      </c>
      <c r="M72" s="20">
        <v>43.660299999999999</v>
      </c>
      <c r="N72" s="20">
        <v>21.017199999999999</v>
      </c>
      <c r="O72" s="20">
        <f t="shared" si="1"/>
        <v>38.028962499999999</v>
      </c>
      <c r="P72" s="7"/>
      <c r="Q72" s="13"/>
      <c r="R72" s="14"/>
      <c r="S72" s="14"/>
      <c r="T72" s="27"/>
      <c r="U72" s="28">
        <f t="shared" si="2"/>
        <v>9.4563184079601985</v>
      </c>
    </row>
    <row r="73" spans="1:21" x14ac:dyDescent="0.25">
      <c r="B73" s="6" t="s">
        <v>62</v>
      </c>
      <c r="C73" s="15">
        <v>1504.447265625</v>
      </c>
      <c r="D73" s="16">
        <v>43.209000000000003</v>
      </c>
      <c r="E73" s="16">
        <v>48.411000000000001</v>
      </c>
      <c r="F73" s="16">
        <v>49.061</v>
      </c>
      <c r="G73" s="16">
        <v>0.92</v>
      </c>
      <c r="H73" s="16">
        <f t="shared" si="0"/>
        <v>44.59075</v>
      </c>
      <c r="I73" s="5"/>
      <c r="J73" s="15">
        <v>1506.4760000000001</v>
      </c>
      <c r="K73" s="16">
        <v>43.048999999999999</v>
      </c>
      <c r="L73" s="16">
        <v>48.4908</v>
      </c>
      <c r="M73" s="16">
        <v>49.213700000000003</v>
      </c>
      <c r="N73" s="16">
        <v>8.8513000000000002</v>
      </c>
      <c r="O73" s="16">
        <f t="shared" si="1"/>
        <v>44.499812499999997</v>
      </c>
      <c r="P73" s="7"/>
      <c r="Q73" s="8">
        <f>bdrate(C73:C76,D73:D76,J73:J76,K73:K76)</f>
        <v>3.8725002593411606E-3</v>
      </c>
      <c r="R73" s="8">
        <f>bdrate(C73:C76,E73:E76,J73:J76,L73:L76)</f>
        <v>-0.13003279868911222</v>
      </c>
      <c r="S73" s="8">
        <f>bdrate(C73:C76,F73:F76,J73:J76,M73:M76)</f>
        <v>-0.1431280886400117</v>
      </c>
      <c r="T73" s="25">
        <f>bdrate(C73:C76,H73:H76,J73:J76,O73:O76)</f>
        <v>-3.2286533221856817E-2</v>
      </c>
      <c r="U73" s="28">
        <f t="shared" ref="U73:U124" si="3">(N73-G73)/G73</f>
        <v>8.6209782608695651</v>
      </c>
    </row>
    <row r="74" spans="1:21" x14ac:dyDescent="0.25">
      <c r="B74" s="9"/>
      <c r="C74" s="17">
        <v>1046.873046875</v>
      </c>
      <c r="D74" s="18">
        <v>42.78</v>
      </c>
      <c r="E74" s="18">
        <v>48.021999999999998</v>
      </c>
      <c r="F74" s="18">
        <v>48.633000000000003</v>
      </c>
      <c r="G74" s="18">
        <v>1.02</v>
      </c>
      <c r="H74" s="18">
        <f t="shared" si="0"/>
        <v>44.166874999999997</v>
      </c>
      <c r="I74" s="5"/>
      <c r="J74" s="17">
        <v>996.43600000000004</v>
      </c>
      <c r="K74" s="18">
        <v>42.637099999999997</v>
      </c>
      <c r="L74" s="18">
        <v>48.128599999999999</v>
      </c>
      <c r="M74" s="18">
        <v>48.823399999999999</v>
      </c>
      <c r="N74" s="18">
        <v>11.1807</v>
      </c>
      <c r="O74" s="18">
        <f t="shared" si="1"/>
        <v>44.096824999999995</v>
      </c>
      <c r="P74" s="7"/>
      <c r="Q74" s="10"/>
      <c r="R74" s="11"/>
      <c r="S74" s="11"/>
      <c r="T74" s="26"/>
      <c r="U74" s="28">
        <f t="shared" si="3"/>
        <v>9.9614705882352936</v>
      </c>
    </row>
    <row r="75" spans="1:21" x14ac:dyDescent="0.25">
      <c r="B75" s="9"/>
      <c r="C75" s="17">
        <v>659.18359375</v>
      </c>
      <c r="D75" s="18">
        <v>42.103000000000002</v>
      </c>
      <c r="E75" s="18">
        <v>47.381999999999998</v>
      </c>
      <c r="F75" s="18">
        <v>48.006</v>
      </c>
      <c r="G75" s="18">
        <v>1.25</v>
      </c>
      <c r="H75" s="18">
        <f t="shared" si="0"/>
        <v>43.500749999999996</v>
      </c>
      <c r="I75" s="5"/>
      <c r="J75" s="17">
        <v>573.34</v>
      </c>
      <c r="K75" s="18">
        <v>41.862499999999997</v>
      </c>
      <c r="L75" s="18">
        <v>47.382100000000001</v>
      </c>
      <c r="M75" s="18">
        <v>48.037999999999997</v>
      </c>
      <c r="N75" s="18">
        <v>15.2742</v>
      </c>
      <c r="O75" s="18">
        <f t="shared" si="1"/>
        <v>43.3243875</v>
      </c>
      <c r="P75" s="7"/>
      <c r="Q75" s="10"/>
      <c r="R75" s="11"/>
      <c r="S75" s="11"/>
      <c r="T75" s="26"/>
      <c r="U75" s="28">
        <f t="shared" si="3"/>
        <v>11.21936</v>
      </c>
    </row>
    <row r="76" spans="1:21" ht="16.5" thickBot="1" x14ac:dyDescent="0.3">
      <c r="B76" s="12"/>
      <c r="C76" s="19">
        <v>336.3046875</v>
      </c>
      <c r="D76" s="20">
        <v>40.557000000000002</v>
      </c>
      <c r="E76" s="20">
        <v>45.817999999999998</v>
      </c>
      <c r="F76" s="20">
        <v>46.497</v>
      </c>
      <c r="G76" s="20">
        <v>1.59</v>
      </c>
      <c r="H76" s="20">
        <f t="shared" si="0"/>
        <v>41.957125000000005</v>
      </c>
      <c r="I76" s="5"/>
      <c r="J76" s="19">
        <v>275.01839999999999</v>
      </c>
      <c r="K76" s="20">
        <v>40.107700000000001</v>
      </c>
      <c r="L76" s="20">
        <v>45.5794</v>
      </c>
      <c r="M76" s="20">
        <v>46.1449</v>
      </c>
      <c r="N76" s="20">
        <v>23.884399999999999</v>
      </c>
      <c r="O76" s="20">
        <f t="shared" si="1"/>
        <v>41.546312500000006</v>
      </c>
      <c r="P76" s="7"/>
      <c r="Q76" s="13"/>
      <c r="R76" s="14"/>
      <c r="S76" s="14"/>
      <c r="T76" s="27"/>
      <c r="U76" s="28">
        <f t="shared" si="3"/>
        <v>14.021635220125786</v>
      </c>
    </row>
    <row r="77" spans="1:21" x14ac:dyDescent="0.25">
      <c r="B77" s="6" t="s">
        <v>63</v>
      </c>
      <c r="C77" s="15">
        <v>1509.8955078125</v>
      </c>
      <c r="D77" s="16">
        <v>43.031999999999996</v>
      </c>
      <c r="E77" s="16">
        <v>47.408000000000001</v>
      </c>
      <c r="F77" s="16">
        <v>48.296999999999997</v>
      </c>
      <c r="G77" s="16">
        <v>1.21</v>
      </c>
      <c r="H77" s="16">
        <f t="shared" si="0"/>
        <v>44.237125000000006</v>
      </c>
      <c r="I77" s="5"/>
      <c r="J77" s="15">
        <v>1541.1695999999999</v>
      </c>
      <c r="K77" s="16">
        <v>43.019399999999997</v>
      </c>
      <c r="L77" s="16">
        <v>47.73</v>
      </c>
      <c r="M77" s="16">
        <v>48.648499999999999</v>
      </c>
      <c r="N77" s="16">
        <v>7.9009</v>
      </c>
      <c r="O77" s="16">
        <f t="shared" si="1"/>
        <v>44.311862500000004</v>
      </c>
      <c r="P77" s="7"/>
      <c r="Q77" s="8">
        <f>bdrate(C77:C80,D77:D80,J77:J80,K77:K80)</f>
        <v>-4.1882310212684515E-2</v>
      </c>
      <c r="R77" s="8">
        <f>bdrate(C77:C80,E77:E80,J77:J80,L77:L80)</f>
        <v>-0.17079263254557853</v>
      </c>
      <c r="S77" s="8">
        <f>bdrate(C77:C80,F77:F80,J77:J80,M77:M80)</f>
        <v>-0.16611978378525594</v>
      </c>
      <c r="T77" s="25">
        <f>bdrate(C77:C80,H77:H80,J77:J80,O77:O80)</f>
        <v>-7.2565720032734427E-2</v>
      </c>
      <c r="U77" s="28">
        <f t="shared" si="3"/>
        <v>5.5296694214876032</v>
      </c>
    </row>
    <row r="78" spans="1:21" x14ac:dyDescent="0.25">
      <c r="B78" s="9"/>
      <c r="C78" s="17">
        <v>1029.6240234375</v>
      </c>
      <c r="D78" s="18">
        <v>42.317999999999998</v>
      </c>
      <c r="E78" s="18">
        <v>46.732999999999997</v>
      </c>
      <c r="F78" s="18">
        <v>47.652999999999999</v>
      </c>
      <c r="G78" s="18">
        <v>1.41</v>
      </c>
      <c r="H78" s="18">
        <f t="shared" si="0"/>
        <v>43.536749999999998</v>
      </c>
      <c r="I78" s="5"/>
      <c r="J78" s="17">
        <v>1024.0119999999999</v>
      </c>
      <c r="K78" s="18">
        <v>42.3048</v>
      </c>
      <c r="L78" s="18">
        <v>47.069299999999998</v>
      </c>
      <c r="M78" s="18">
        <v>47.9694</v>
      </c>
      <c r="N78" s="18">
        <v>9.9251000000000005</v>
      </c>
      <c r="O78" s="18">
        <f t="shared" si="1"/>
        <v>43.608437500000001</v>
      </c>
      <c r="P78" s="7"/>
      <c r="Q78" s="10"/>
      <c r="R78" s="11"/>
      <c r="S78" s="11"/>
      <c r="T78" s="26"/>
      <c r="U78" s="28">
        <f t="shared" si="3"/>
        <v>6.0390780141843976</v>
      </c>
    </row>
    <row r="79" spans="1:21" x14ac:dyDescent="0.25">
      <c r="B79" s="9"/>
      <c r="C79" s="17">
        <v>643.265625</v>
      </c>
      <c r="D79" s="18">
        <v>41.119</v>
      </c>
      <c r="E79" s="18">
        <v>45.683999999999997</v>
      </c>
      <c r="F79" s="18">
        <v>46.576999999999998</v>
      </c>
      <c r="G79" s="18">
        <v>1.69</v>
      </c>
      <c r="H79" s="18">
        <f t="shared" si="0"/>
        <v>42.371875000000003</v>
      </c>
      <c r="I79" s="5"/>
      <c r="J79" s="17">
        <v>600.76559999999995</v>
      </c>
      <c r="K79" s="18">
        <v>41.046500000000002</v>
      </c>
      <c r="L79" s="18">
        <v>45.902799999999999</v>
      </c>
      <c r="M79" s="18">
        <v>46.798900000000003</v>
      </c>
      <c r="N79" s="18">
        <v>13.4892</v>
      </c>
      <c r="O79" s="18">
        <f t="shared" si="1"/>
        <v>42.372587500000002</v>
      </c>
      <c r="P79" s="7"/>
      <c r="Q79" s="10"/>
      <c r="R79" s="11"/>
      <c r="S79" s="11"/>
      <c r="T79" s="26"/>
      <c r="U79" s="28">
        <f t="shared" si="3"/>
        <v>6.9817751479289951</v>
      </c>
    </row>
    <row r="80" spans="1:21" ht="16.5" thickBot="1" x14ac:dyDescent="0.3">
      <c r="B80" s="12"/>
      <c r="C80" s="19">
        <v>328.58984375</v>
      </c>
      <c r="D80" s="20">
        <v>38.715000000000003</v>
      </c>
      <c r="E80" s="20">
        <v>43.558999999999997</v>
      </c>
      <c r="F80" s="20">
        <v>44.540999999999997</v>
      </c>
      <c r="G80" s="20">
        <v>1.94</v>
      </c>
      <c r="H80" s="20">
        <f t="shared" si="0"/>
        <v>40.048750000000005</v>
      </c>
      <c r="I80" s="5"/>
      <c r="J80" s="19">
        <v>292.63920000000002</v>
      </c>
      <c r="K80" s="20">
        <v>38.617699999999999</v>
      </c>
      <c r="L80" s="20">
        <v>44.127800000000001</v>
      </c>
      <c r="M80" s="20">
        <v>44.999099999999999</v>
      </c>
      <c r="N80" s="20">
        <v>21.940200000000001</v>
      </c>
      <c r="O80" s="20">
        <f t="shared" si="1"/>
        <v>40.1041375</v>
      </c>
      <c r="P80" s="7"/>
      <c r="Q80" s="13"/>
      <c r="R80" s="14"/>
      <c r="S80" s="14"/>
      <c r="T80" s="27"/>
      <c r="U80" s="28">
        <f t="shared" si="3"/>
        <v>10.309381443298969</v>
      </c>
    </row>
    <row r="81" spans="1:21" x14ac:dyDescent="0.25">
      <c r="A81" s="6" t="s">
        <v>99</v>
      </c>
      <c r="B81" s="6" t="s">
        <v>100</v>
      </c>
      <c r="C81" s="15">
        <v>1368.1572265625</v>
      </c>
      <c r="D81" s="16">
        <v>48.899000000000001</v>
      </c>
      <c r="E81" s="16">
        <v>53.868000000000002</v>
      </c>
      <c r="F81" s="16">
        <v>54.62</v>
      </c>
      <c r="G81" s="16">
        <v>1.41</v>
      </c>
      <c r="H81" s="16">
        <f t="shared" ref="H81:H124" si="4">(6*D81+E81+F81)/8</f>
        <v>50.235250000000001</v>
      </c>
      <c r="I81" s="5"/>
      <c r="J81" s="15">
        <v>1228.472</v>
      </c>
      <c r="K81" s="16">
        <v>45.7866</v>
      </c>
      <c r="L81" s="16">
        <v>51.832900000000002</v>
      </c>
      <c r="M81" s="16">
        <v>52.392000000000003</v>
      </c>
      <c r="N81" s="16">
        <v>4.4546999999999999</v>
      </c>
      <c r="O81" s="16">
        <f t="shared" ref="O81:O124" si="5">(6*K81+L81+M81)/8</f>
        <v>47.368062500000001</v>
      </c>
      <c r="P81" s="7"/>
      <c r="Q81" s="8">
        <f>bdrate(C81:C84,D81:D84,J81:J84,K81:K84)</f>
        <v>0.37125583108341376</v>
      </c>
      <c r="R81" s="8">
        <f>bdrate(C81:C84,E81:E84,J81:J84,L81:L84)</f>
        <v>0.11925311485109158</v>
      </c>
      <c r="S81" s="8">
        <f>bdrate(C81:C84,F81:F84,J81:J84,M81:M84)</f>
        <v>7.8446391211264954E-2</v>
      </c>
      <c r="T81" s="25">
        <f>bdrate(C81:C84,H81:H84,J81:J84,O81:O84)</f>
        <v>0.3118298327788902</v>
      </c>
      <c r="U81" s="28">
        <f t="shared" si="3"/>
        <v>2.1593617021276597</v>
      </c>
    </row>
    <row r="82" spans="1:21" x14ac:dyDescent="0.25">
      <c r="A82" s="9" t="s">
        <v>77</v>
      </c>
      <c r="B82" s="9"/>
      <c r="C82" s="17">
        <v>969.1943359375</v>
      </c>
      <c r="D82" s="18">
        <v>46.923999999999999</v>
      </c>
      <c r="E82" s="18">
        <v>52.034999999999997</v>
      </c>
      <c r="F82" s="18">
        <v>52.74</v>
      </c>
      <c r="G82" s="18">
        <v>1.44</v>
      </c>
      <c r="H82" s="18">
        <f t="shared" si="4"/>
        <v>48.289874999999995</v>
      </c>
      <c r="I82" s="5"/>
      <c r="J82" s="17">
        <v>828.41830000000004</v>
      </c>
      <c r="K82" s="18">
        <v>44.010899999999999</v>
      </c>
      <c r="L82" s="18">
        <v>50.610900000000001</v>
      </c>
      <c r="M82" s="18">
        <v>51.181899999999999</v>
      </c>
      <c r="N82" s="18">
        <v>5.3707000000000003</v>
      </c>
      <c r="O82" s="18">
        <f t="shared" si="5"/>
        <v>45.732275000000001</v>
      </c>
      <c r="P82" s="7"/>
      <c r="Q82" s="10"/>
      <c r="R82" s="11"/>
      <c r="S82" s="11"/>
      <c r="T82" s="26"/>
      <c r="U82" s="28">
        <f t="shared" si="3"/>
        <v>2.7296527777777779</v>
      </c>
    </row>
    <row r="83" spans="1:21" x14ac:dyDescent="0.25">
      <c r="B83" s="9"/>
      <c r="C83" s="17">
        <v>613.12109375</v>
      </c>
      <c r="D83" s="18">
        <v>44.6</v>
      </c>
      <c r="E83" s="18">
        <v>50.161999999999999</v>
      </c>
      <c r="F83" s="18">
        <v>50.854999999999997</v>
      </c>
      <c r="G83" s="18">
        <v>1.33</v>
      </c>
      <c r="H83" s="18">
        <f t="shared" si="4"/>
        <v>46.077125000000002</v>
      </c>
      <c r="I83" s="5"/>
      <c r="J83" s="17">
        <v>504.5933</v>
      </c>
      <c r="K83" s="18">
        <v>41.514099999999999</v>
      </c>
      <c r="L83" s="18">
        <v>48.540700000000001</v>
      </c>
      <c r="M83" s="18">
        <v>49.550800000000002</v>
      </c>
      <c r="N83" s="18">
        <v>6.9943999999999997</v>
      </c>
      <c r="O83" s="18">
        <f t="shared" si="5"/>
        <v>43.397012499999995</v>
      </c>
      <c r="P83" s="7"/>
      <c r="Q83" s="10"/>
      <c r="R83" s="11"/>
      <c r="S83" s="11"/>
      <c r="T83" s="26"/>
      <c r="U83" s="28">
        <f t="shared" si="3"/>
        <v>4.2589473684210519</v>
      </c>
    </row>
    <row r="84" spans="1:21" ht="16.5" thickBot="1" x14ac:dyDescent="0.3">
      <c r="B84" s="12"/>
      <c r="C84" s="19">
        <v>344.42578125</v>
      </c>
      <c r="D84" s="20">
        <v>40.006999999999998</v>
      </c>
      <c r="E84" s="20">
        <v>46.411000000000001</v>
      </c>
      <c r="F84" s="20">
        <v>47.322000000000003</v>
      </c>
      <c r="G84" s="20">
        <v>1.1200000000000001</v>
      </c>
      <c r="H84" s="20">
        <f t="shared" si="4"/>
        <v>41.721874999999997</v>
      </c>
      <c r="I84" s="5"/>
      <c r="J84" s="19">
        <v>257.44310000000002</v>
      </c>
      <c r="K84" s="20">
        <v>37.993899999999996</v>
      </c>
      <c r="L84" s="20">
        <v>45.651899999999998</v>
      </c>
      <c r="M84" s="20">
        <v>47.066299999999998</v>
      </c>
      <c r="N84" s="20">
        <v>10.5709</v>
      </c>
      <c r="O84" s="20">
        <f t="shared" si="5"/>
        <v>40.0852</v>
      </c>
      <c r="P84" s="7"/>
      <c r="Q84" s="13"/>
      <c r="R84" s="14"/>
      <c r="S84" s="14"/>
      <c r="T84" s="27"/>
      <c r="U84" s="28">
        <f t="shared" si="3"/>
        <v>8.4383035714285715</v>
      </c>
    </row>
    <row r="85" spans="1:21" x14ac:dyDescent="0.25">
      <c r="B85" s="6" t="s">
        <v>101</v>
      </c>
      <c r="C85" s="15">
        <v>1889.9267578125</v>
      </c>
      <c r="D85" s="16">
        <v>56.29</v>
      </c>
      <c r="E85" s="16">
        <v>56.930999999999997</v>
      </c>
      <c r="F85" s="16">
        <v>57.244999999999997</v>
      </c>
      <c r="G85" s="16">
        <v>2.93</v>
      </c>
      <c r="H85" s="16">
        <f t="shared" si="4"/>
        <v>56.4895</v>
      </c>
      <c r="I85" s="5"/>
      <c r="J85" s="15">
        <v>1402.3276000000001</v>
      </c>
      <c r="K85" s="16">
        <v>53.808100000000003</v>
      </c>
      <c r="L85" s="16">
        <v>54.6158</v>
      </c>
      <c r="M85" s="16">
        <v>55.234400000000001</v>
      </c>
      <c r="N85" s="16">
        <v>12.066700000000001</v>
      </c>
      <c r="O85" s="16">
        <f t="shared" si="5"/>
        <v>54.087350000000001</v>
      </c>
      <c r="P85" s="7"/>
      <c r="Q85" s="8">
        <f>bdrate(C85:C88,D85:D88,J85:J88,K85:K88)</f>
        <v>-8.4523028328244876E-2</v>
      </c>
      <c r="R85" s="8">
        <f>bdrate(C85:C88,E85:E88,J85:J88,L85:L88)</f>
        <v>-0.13535340752183633</v>
      </c>
      <c r="S85" s="8">
        <f>bdrate(C85:C88,F85:F88,J85:J88,M85:M88)</f>
        <v>-0.14832796955351391</v>
      </c>
      <c r="T85" s="25">
        <f>bdrate(C85:C88,H85:H88,J85:J88,O85:O88)</f>
        <v>-9.7972881791285493E-2</v>
      </c>
      <c r="U85" s="28">
        <f t="shared" si="3"/>
        <v>3.118327645051195</v>
      </c>
    </row>
    <row r="86" spans="1:21" x14ac:dyDescent="0.25">
      <c r="B86" s="9"/>
      <c r="C86" s="17">
        <v>1333.634765625</v>
      </c>
      <c r="D86" s="18">
        <v>53.878999999999998</v>
      </c>
      <c r="E86" s="18">
        <v>54.62</v>
      </c>
      <c r="F86" s="18">
        <v>54.982999999999997</v>
      </c>
      <c r="G86" s="18">
        <v>3.06</v>
      </c>
      <c r="H86" s="18">
        <f t="shared" si="4"/>
        <v>54.109625000000001</v>
      </c>
      <c r="I86" s="5"/>
      <c r="J86" s="17">
        <v>968.66650000000004</v>
      </c>
      <c r="K86" s="18">
        <v>52.003300000000003</v>
      </c>
      <c r="L86" s="18">
        <v>53.010399999999997</v>
      </c>
      <c r="M86" s="18">
        <v>53.5762</v>
      </c>
      <c r="N86" s="18">
        <v>13.631399999999999</v>
      </c>
      <c r="O86" s="18">
        <f t="shared" si="5"/>
        <v>52.325800000000001</v>
      </c>
      <c r="P86" s="7"/>
      <c r="Q86" s="10"/>
      <c r="R86" s="11"/>
      <c r="S86" s="11"/>
      <c r="T86" s="26"/>
      <c r="U86" s="28">
        <f t="shared" si="3"/>
        <v>3.4547058823529406</v>
      </c>
    </row>
    <row r="87" spans="1:21" x14ac:dyDescent="0.25">
      <c r="B87" s="9"/>
      <c r="C87" s="17">
        <v>845.0126953125</v>
      </c>
      <c r="D87" s="18">
        <v>50.768999999999998</v>
      </c>
      <c r="E87" s="18">
        <v>51.662999999999997</v>
      </c>
      <c r="F87" s="18">
        <v>52.125</v>
      </c>
      <c r="G87" s="18">
        <v>3.14</v>
      </c>
      <c r="H87" s="18">
        <f t="shared" si="4"/>
        <v>51.050249999999998</v>
      </c>
      <c r="I87" s="5"/>
      <c r="J87" s="17">
        <v>601.95640000000003</v>
      </c>
      <c r="K87" s="18">
        <v>49.404699999999998</v>
      </c>
      <c r="L87" s="18">
        <v>50.751800000000003</v>
      </c>
      <c r="M87" s="18">
        <v>51.308100000000003</v>
      </c>
      <c r="N87" s="18">
        <v>16.468699999999998</v>
      </c>
      <c r="O87" s="18">
        <f t="shared" si="5"/>
        <v>49.811012500000004</v>
      </c>
      <c r="P87" s="7"/>
      <c r="Q87" s="10"/>
      <c r="R87" s="11"/>
      <c r="S87" s="11"/>
      <c r="T87" s="26"/>
      <c r="U87" s="28">
        <f t="shared" si="3"/>
        <v>4.2448089171974512</v>
      </c>
    </row>
    <row r="88" spans="1:21" ht="16.5" thickBot="1" x14ac:dyDescent="0.3">
      <c r="B88" s="12"/>
      <c r="C88" s="19">
        <v>447.712890625</v>
      </c>
      <c r="D88" s="20">
        <v>46.594000000000001</v>
      </c>
      <c r="E88" s="20">
        <v>47.741999999999997</v>
      </c>
      <c r="F88" s="20">
        <v>48.271999999999998</v>
      </c>
      <c r="G88" s="20">
        <v>3.02</v>
      </c>
      <c r="H88" s="20">
        <f t="shared" si="4"/>
        <v>46.947250000000004</v>
      </c>
      <c r="I88" s="5"/>
      <c r="J88" s="19">
        <v>308.47469999999998</v>
      </c>
      <c r="K88" s="20">
        <v>44.6997</v>
      </c>
      <c r="L88" s="20">
        <v>46.707099999999997</v>
      </c>
      <c r="M88" s="20">
        <v>47.251800000000003</v>
      </c>
      <c r="N88" s="20">
        <v>22.892900000000001</v>
      </c>
      <c r="O88" s="20">
        <f t="shared" si="5"/>
        <v>45.269637500000002</v>
      </c>
      <c r="P88" s="7"/>
      <c r="Q88" s="13"/>
      <c r="R88" s="14"/>
      <c r="S88" s="14"/>
      <c r="T88" s="27"/>
      <c r="U88" s="28">
        <f t="shared" si="3"/>
        <v>6.5804304635761595</v>
      </c>
    </row>
    <row r="89" spans="1:21" x14ac:dyDescent="0.25">
      <c r="B89" s="6" t="s">
        <v>102</v>
      </c>
      <c r="C89" s="15">
        <v>1917.8544921875</v>
      </c>
      <c r="D89" s="16">
        <v>45.128</v>
      </c>
      <c r="E89" s="16">
        <v>47.215000000000003</v>
      </c>
      <c r="F89" s="16">
        <v>47.639000000000003</v>
      </c>
      <c r="G89" s="16">
        <v>1.51</v>
      </c>
      <c r="H89" s="16">
        <f t="shared" si="4"/>
        <v>45.702750000000009</v>
      </c>
      <c r="I89" s="5"/>
      <c r="J89" s="15">
        <v>1484.4824000000001</v>
      </c>
      <c r="K89" s="16">
        <v>44.848300000000002</v>
      </c>
      <c r="L89" s="16">
        <v>47.095300000000002</v>
      </c>
      <c r="M89" s="16">
        <v>47.528300000000002</v>
      </c>
      <c r="N89" s="16">
        <v>5.3757000000000001</v>
      </c>
      <c r="O89" s="16">
        <f t="shared" si="5"/>
        <v>45.464175000000004</v>
      </c>
      <c r="P89" s="7"/>
      <c r="Q89" s="8">
        <f>bdrate(C89:C92,D89:D92,J89:J92,K89:K92)</f>
        <v>-0.13770857276224591</v>
      </c>
      <c r="R89" s="8">
        <f>bdrate(C89:C92,E89:E92,J89:J92,L89:L92)</f>
        <v>-0.22161633169242778</v>
      </c>
      <c r="S89" s="8">
        <f>bdrate(C89:C92,F89:F92,J89:J92,M89:M92)</f>
        <v>-0.21621503921423069</v>
      </c>
      <c r="T89" s="25">
        <f>bdrate(C89:C92,H89:H92,J89:J92,O89:O92)</f>
        <v>-0.15404301111860563</v>
      </c>
      <c r="U89" s="28">
        <f t="shared" si="3"/>
        <v>2.560066225165563</v>
      </c>
    </row>
    <row r="90" spans="1:21" x14ac:dyDescent="0.25">
      <c r="B90" s="9"/>
      <c r="C90" s="17">
        <v>1306.5009765625</v>
      </c>
      <c r="D90" s="18">
        <v>43.357999999999997</v>
      </c>
      <c r="E90" s="18">
        <v>45.722999999999999</v>
      </c>
      <c r="F90" s="18">
        <v>46.167000000000002</v>
      </c>
      <c r="G90" s="18">
        <v>1.56</v>
      </c>
      <c r="H90" s="18">
        <f t="shared" si="4"/>
        <v>44.004750000000001</v>
      </c>
      <c r="I90" s="5"/>
      <c r="J90" s="17">
        <v>997.45190000000002</v>
      </c>
      <c r="K90" s="18">
        <v>42.935600000000001</v>
      </c>
      <c r="L90" s="18">
        <v>45.635899999999999</v>
      </c>
      <c r="M90" s="18">
        <v>46.061500000000002</v>
      </c>
      <c r="N90" s="18">
        <v>6.4720000000000004</v>
      </c>
      <c r="O90" s="18">
        <f t="shared" si="5"/>
        <v>43.663875000000004</v>
      </c>
      <c r="P90" s="7"/>
      <c r="Q90" s="10"/>
      <c r="R90" s="11"/>
      <c r="S90" s="11"/>
      <c r="T90" s="26"/>
      <c r="U90" s="28">
        <f t="shared" si="3"/>
        <v>3.1487179487179491</v>
      </c>
    </row>
    <row r="91" spans="1:21" x14ac:dyDescent="0.25">
      <c r="B91" s="9"/>
      <c r="C91" s="17">
        <v>828.111328125</v>
      </c>
      <c r="D91" s="18">
        <v>41.213999999999999</v>
      </c>
      <c r="E91" s="18">
        <v>43.954000000000001</v>
      </c>
      <c r="F91" s="18">
        <v>44.402999999999999</v>
      </c>
      <c r="G91" s="18">
        <v>1.58</v>
      </c>
      <c r="H91" s="18">
        <f t="shared" si="4"/>
        <v>41.955125000000002</v>
      </c>
      <c r="I91" s="5"/>
      <c r="J91" s="17">
        <v>597.33240000000001</v>
      </c>
      <c r="K91" s="18">
        <v>40.2438</v>
      </c>
      <c r="L91" s="18">
        <v>43.634599999999999</v>
      </c>
      <c r="M91" s="18">
        <v>44.038600000000002</v>
      </c>
      <c r="N91" s="18">
        <v>8.3255999999999997</v>
      </c>
      <c r="O91" s="18">
        <f t="shared" si="5"/>
        <v>41.141999999999996</v>
      </c>
      <c r="P91" s="7"/>
      <c r="Q91" s="10"/>
      <c r="R91" s="11"/>
      <c r="S91" s="11"/>
      <c r="T91" s="26"/>
      <c r="U91" s="28">
        <f t="shared" si="3"/>
        <v>4.2693670886075941</v>
      </c>
    </row>
    <row r="92" spans="1:21" ht="16.5" thickBot="1" x14ac:dyDescent="0.3">
      <c r="B92" s="12"/>
      <c r="C92" s="19">
        <v>450.40625</v>
      </c>
      <c r="D92" s="20">
        <v>38.253999999999998</v>
      </c>
      <c r="E92" s="20">
        <v>41.515000000000001</v>
      </c>
      <c r="F92" s="20">
        <v>41.942</v>
      </c>
      <c r="G92" s="20">
        <v>1.49</v>
      </c>
      <c r="H92" s="20">
        <f t="shared" si="4"/>
        <v>39.122624999999999</v>
      </c>
      <c r="I92" s="5"/>
      <c r="J92" s="19">
        <v>300.20960000000002</v>
      </c>
      <c r="K92" s="20">
        <v>36.373399999999997</v>
      </c>
      <c r="L92" s="20">
        <v>41.092700000000001</v>
      </c>
      <c r="M92" s="20">
        <v>41.512300000000003</v>
      </c>
      <c r="N92" s="20">
        <v>11.8757</v>
      </c>
      <c r="O92" s="20">
        <f t="shared" si="5"/>
        <v>37.605674999999991</v>
      </c>
      <c r="P92" s="7"/>
      <c r="Q92" s="13"/>
      <c r="R92" s="14"/>
      <c r="S92" s="14"/>
      <c r="T92" s="27"/>
      <c r="U92" s="28">
        <f t="shared" si="3"/>
        <v>6.9702684563758392</v>
      </c>
    </row>
    <row r="93" spans="1:21" x14ac:dyDescent="0.25">
      <c r="B93" s="6" t="s">
        <v>103</v>
      </c>
      <c r="C93" s="29">
        <v>1815.333984375</v>
      </c>
      <c r="D93" s="30">
        <v>40.725999999999999</v>
      </c>
      <c r="E93" s="30">
        <v>44.982999999999997</v>
      </c>
      <c r="F93" s="30">
        <v>44.948999999999998</v>
      </c>
      <c r="G93" s="16">
        <v>1.21</v>
      </c>
      <c r="H93" s="16">
        <f t="shared" si="4"/>
        <v>41.786000000000001</v>
      </c>
      <c r="I93" s="5"/>
      <c r="J93" s="29">
        <v>1496.6868999999999</v>
      </c>
      <c r="K93" s="30">
        <v>40.616900000000001</v>
      </c>
      <c r="L93" s="30">
        <v>45.157899999999998</v>
      </c>
      <c r="M93" s="30">
        <v>45.1462</v>
      </c>
      <c r="N93" s="16">
        <v>4.7088999999999999</v>
      </c>
      <c r="O93" s="16">
        <f t="shared" si="5"/>
        <v>41.750687500000005</v>
      </c>
      <c r="P93" s="7"/>
      <c r="Q93" s="8">
        <f>bdrate(C93:C96,D93:D96,J93:J96,K93:K96)</f>
        <v>-0.11092781987589695</v>
      </c>
      <c r="R93" s="8">
        <f>bdrate(C93:C96,E93:E96,J93:J96,L93:L96)</f>
        <v>-0.28788718709380134</v>
      </c>
      <c r="S93" s="8">
        <f>bdrate(C93:C96,F93:F96,J93:J96,M93:M96)</f>
        <v>-0.29372011339629578</v>
      </c>
      <c r="T93" s="25">
        <f>bdrate(C93:C96,H93:H96,J93:J96,O93:O96)</f>
        <v>-0.14913961926342512</v>
      </c>
      <c r="U93" s="28">
        <f t="shared" si="3"/>
        <v>2.8916528925619835</v>
      </c>
    </row>
    <row r="94" spans="1:21" x14ac:dyDescent="0.25">
      <c r="B94" s="9"/>
      <c r="C94" s="31">
        <v>1242.123046875</v>
      </c>
      <c r="D94" s="32">
        <v>39.051000000000002</v>
      </c>
      <c r="E94" s="32">
        <v>43.637999999999998</v>
      </c>
      <c r="F94" s="32">
        <v>43.569000000000003</v>
      </c>
      <c r="G94" s="18">
        <v>1.23</v>
      </c>
      <c r="H94" s="18">
        <f t="shared" si="4"/>
        <v>40.189125000000004</v>
      </c>
      <c r="I94" s="5"/>
      <c r="J94" s="31">
        <v>998.1585</v>
      </c>
      <c r="K94" s="32">
        <v>38.707599999999999</v>
      </c>
      <c r="L94" s="32">
        <v>43.8566</v>
      </c>
      <c r="M94" s="32">
        <v>43.804000000000002</v>
      </c>
      <c r="N94" s="18">
        <v>5.7470999999999997</v>
      </c>
      <c r="O94" s="18">
        <f t="shared" si="5"/>
        <v>39.988275000000002</v>
      </c>
      <c r="P94" s="7"/>
      <c r="Q94" s="10"/>
      <c r="R94" s="11"/>
      <c r="S94" s="11"/>
      <c r="T94" s="26"/>
      <c r="U94" s="28">
        <f t="shared" si="3"/>
        <v>3.6724390243902434</v>
      </c>
    </row>
    <row r="95" spans="1:21" x14ac:dyDescent="0.25">
      <c r="B95" s="9"/>
      <c r="C95" s="31">
        <v>756.716796875</v>
      </c>
      <c r="D95" s="32">
        <v>36.890999999999998</v>
      </c>
      <c r="E95" s="32">
        <v>41.914999999999999</v>
      </c>
      <c r="F95" s="32">
        <v>41.8</v>
      </c>
      <c r="G95" s="18">
        <v>1.22</v>
      </c>
      <c r="H95" s="18">
        <f t="shared" si="4"/>
        <v>38.132625000000004</v>
      </c>
      <c r="I95" s="5"/>
      <c r="J95" s="31">
        <v>598.12149999999997</v>
      </c>
      <c r="K95" s="32">
        <v>36.316899999999997</v>
      </c>
      <c r="L95" s="32">
        <v>42.3018</v>
      </c>
      <c r="M95" s="32">
        <v>42.234299999999998</v>
      </c>
      <c r="N95" s="18">
        <v>7.4836</v>
      </c>
      <c r="O95" s="18">
        <f t="shared" si="5"/>
        <v>37.8046875</v>
      </c>
      <c r="P95" s="7"/>
      <c r="Q95" s="10"/>
      <c r="R95" s="11"/>
      <c r="S95" s="11"/>
      <c r="T95" s="26"/>
      <c r="U95" s="28">
        <f t="shared" si="3"/>
        <v>5.134098360655738</v>
      </c>
    </row>
    <row r="96" spans="1:21" ht="16.5" thickBot="1" x14ac:dyDescent="0.3">
      <c r="B96" s="12"/>
      <c r="C96" s="33">
        <v>387.3154296875</v>
      </c>
      <c r="D96" s="34">
        <v>34.058999999999997</v>
      </c>
      <c r="E96" s="34">
        <v>39.624000000000002</v>
      </c>
      <c r="F96" s="34">
        <v>39.506</v>
      </c>
      <c r="G96" s="20">
        <v>1.1200000000000001</v>
      </c>
      <c r="H96" s="20">
        <f t="shared" si="4"/>
        <v>35.435499999999998</v>
      </c>
      <c r="I96" s="5"/>
      <c r="J96" s="33">
        <v>299.6003</v>
      </c>
      <c r="K96" s="34">
        <v>33.198900000000002</v>
      </c>
      <c r="L96" s="34">
        <v>40.362499999999997</v>
      </c>
      <c r="M96" s="34">
        <v>40.2821</v>
      </c>
      <c r="N96" s="20">
        <v>10.958</v>
      </c>
      <c r="O96" s="20">
        <f t="shared" si="5"/>
        <v>34.979750000000003</v>
      </c>
      <c r="P96" s="7"/>
      <c r="Q96" s="13"/>
      <c r="R96" s="14"/>
      <c r="S96" s="14"/>
      <c r="T96" s="27"/>
      <c r="U96" s="28">
        <f t="shared" si="3"/>
        <v>8.7839285714285715</v>
      </c>
    </row>
    <row r="97" spans="2:21" x14ac:dyDescent="0.25">
      <c r="B97" s="6" t="s">
        <v>104</v>
      </c>
      <c r="C97" s="15">
        <v>1552.462890625</v>
      </c>
      <c r="D97" s="16">
        <v>38.871000000000002</v>
      </c>
      <c r="E97" s="16">
        <v>43.13</v>
      </c>
      <c r="F97" s="16">
        <v>43.643999999999998</v>
      </c>
      <c r="G97" s="16">
        <v>1.36</v>
      </c>
      <c r="H97" s="16">
        <f t="shared" si="4"/>
        <v>40</v>
      </c>
      <c r="I97" s="5"/>
      <c r="J97" s="15">
        <v>1506.9043999999999</v>
      </c>
      <c r="K97" s="16">
        <v>38.907200000000003</v>
      </c>
      <c r="L97" s="16">
        <v>43.635800000000003</v>
      </c>
      <c r="M97" s="16">
        <v>44.130200000000002</v>
      </c>
      <c r="N97" s="16">
        <v>5.9432999999999998</v>
      </c>
      <c r="O97" s="16">
        <f t="shared" si="5"/>
        <v>40.151150000000001</v>
      </c>
      <c r="P97" s="7"/>
      <c r="Q97" s="8">
        <f>bdrate(C97:C100,D97:D100,J97:J100,K97:K100)</f>
        <v>-2.7605654687808068E-2</v>
      </c>
      <c r="R97" s="8">
        <f>bdrate(C97:C100,E97:E100,J97:J100,L97:L100)</f>
        <v>-0.26096705593354985</v>
      </c>
      <c r="S97" s="8">
        <f>bdrate(C97:C100,F97:F100,J97:J100,M97:M100)</f>
        <v>-0.2517341973981978</v>
      </c>
      <c r="T97" s="25">
        <f>bdrate(C97:C100,H97:H100,J97:J100,O97:O100)</f>
        <v>-8.168101076787182E-2</v>
      </c>
      <c r="U97" s="28">
        <f t="shared" si="3"/>
        <v>3.3700735294117643</v>
      </c>
    </row>
    <row r="98" spans="2:21" x14ac:dyDescent="0.25">
      <c r="B98" s="9"/>
      <c r="C98" s="17">
        <v>1080.1708984375</v>
      </c>
      <c r="D98" s="18">
        <v>37.130000000000003</v>
      </c>
      <c r="E98" s="18">
        <v>41.585000000000001</v>
      </c>
      <c r="F98" s="18">
        <v>42.197000000000003</v>
      </c>
      <c r="G98" s="18">
        <v>1.38</v>
      </c>
      <c r="H98" s="18">
        <f t="shared" si="4"/>
        <v>38.320250000000001</v>
      </c>
      <c r="I98" s="5"/>
      <c r="J98" s="17">
        <v>1011.2877</v>
      </c>
      <c r="K98" s="18">
        <v>36.9651</v>
      </c>
      <c r="L98" s="18">
        <v>42.233400000000003</v>
      </c>
      <c r="M98" s="18">
        <v>42.781799999999997</v>
      </c>
      <c r="N98" s="18">
        <v>7.2507000000000001</v>
      </c>
      <c r="O98" s="18">
        <f t="shared" si="5"/>
        <v>38.350724999999997</v>
      </c>
      <c r="P98" s="7"/>
      <c r="Q98" s="10"/>
      <c r="R98" s="11"/>
      <c r="S98" s="11"/>
      <c r="T98" s="26"/>
      <c r="U98" s="28">
        <f t="shared" si="3"/>
        <v>4.254130434782609</v>
      </c>
    </row>
    <row r="99" spans="2:21" x14ac:dyDescent="0.25">
      <c r="B99" s="9"/>
      <c r="C99" s="17">
        <v>668.6474609375</v>
      </c>
      <c r="D99" s="18">
        <v>34.81</v>
      </c>
      <c r="E99" s="18">
        <v>39.49</v>
      </c>
      <c r="F99" s="18">
        <v>40.207999999999998</v>
      </c>
      <c r="G99" s="18">
        <v>1.26</v>
      </c>
      <c r="H99" s="18">
        <f t="shared" si="4"/>
        <v>36.069749999999999</v>
      </c>
      <c r="I99" s="5"/>
      <c r="J99" s="17">
        <v>604.37189999999998</v>
      </c>
      <c r="K99" s="18">
        <v>34.458599999999997</v>
      </c>
      <c r="L99" s="18">
        <v>40.378799999999998</v>
      </c>
      <c r="M99" s="18">
        <v>40.983800000000002</v>
      </c>
      <c r="N99" s="18">
        <v>9.2957999999999998</v>
      </c>
      <c r="O99" s="18">
        <f t="shared" si="5"/>
        <v>36.014274999999998</v>
      </c>
      <c r="P99" s="7"/>
      <c r="Q99" s="10"/>
      <c r="R99" s="11"/>
      <c r="S99" s="11"/>
      <c r="T99" s="26"/>
      <c r="U99" s="28">
        <f t="shared" si="3"/>
        <v>6.3776190476190475</v>
      </c>
    </row>
    <row r="100" spans="2:21" ht="16.5" thickBot="1" x14ac:dyDescent="0.3">
      <c r="B100" s="12"/>
      <c r="C100" s="19">
        <v>366.845703125</v>
      </c>
      <c r="D100" s="20">
        <v>31.972000000000001</v>
      </c>
      <c r="E100" s="20">
        <v>36.89</v>
      </c>
      <c r="F100" s="20">
        <v>37.628999999999998</v>
      </c>
      <c r="G100" s="20">
        <v>1.03</v>
      </c>
      <c r="H100" s="20">
        <f t="shared" si="4"/>
        <v>33.293875</v>
      </c>
      <c r="I100" s="5"/>
      <c r="J100" s="19">
        <v>305.00130000000001</v>
      </c>
      <c r="K100" s="20">
        <v>31.138500000000001</v>
      </c>
      <c r="L100" s="20">
        <v>38.093400000000003</v>
      </c>
      <c r="M100" s="20">
        <v>38.8215</v>
      </c>
      <c r="N100" s="20">
        <v>13.1218</v>
      </c>
      <c r="O100" s="20">
        <f t="shared" si="5"/>
        <v>32.968237500000001</v>
      </c>
      <c r="P100" s="7"/>
      <c r="Q100" s="13"/>
      <c r="R100" s="14"/>
      <c r="S100" s="14"/>
      <c r="T100" s="27"/>
      <c r="U100" s="28">
        <f t="shared" si="3"/>
        <v>11.739611650485438</v>
      </c>
    </row>
    <row r="101" spans="2:21" x14ac:dyDescent="0.25">
      <c r="B101" s="6" t="s">
        <v>105</v>
      </c>
      <c r="C101" s="15">
        <v>1655.7490234375</v>
      </c>
      <c r="D101" s="16">
        <v>38.648000000000003</v>
      </c>
      <c r="E101" s="16">
        <v>44.39</v>
      </c>
      <c r="F101" s="16">
        <v>46.314</v>
      </c>
      <c r="G101" s="16">
        <v>1.1200000000000001</v>
      </c>
      <c r="H101" s="16">
        <f t="shared" si="4"/>
        <v>40.324000000000005</v>
      </c>
      <c r="I101" s="5"/>
      <c r="J101" s="15">
        <v>1510.3141000000001</v>
      </c>
      <c r="K101" s="16">
        <v>38.606299999999997</v>
      </c>
      <c r="L101" s="16">
        <v>44.560699999999997</v>
      </c>
      <c r="M101" s="16">
        <v>46.122300000000003</v>
      </c>
      <c r="N101" s="16">
        <v>4.2630999999999997</v>
      </c>
      <c r="O101" s="16">
        <f t="shared" si="5"/>
        <v>40.290099999999995</v>
      </c>
      <c r="P101" s="7"/>
      <c r="Q101" s="8">
        <f>bdrate(C101:C104,D101:D104,J101:J104,K101:K104)</f>
        <v>-1.7190075369196256E-2</v>
      </c>
      <c r="R101" s="8">
        <f>bdrate(C101:C104,E101:E104,J101:J104,L101:L104)</f>
        <v>-0.23177234609905906</v>
      </c>
      <c r="S101" s="8">
        <f>bdrate(C101:C104,F101:F104,J101:J104,M101:M104)</f>
        <v>-0.12797527741897208</v>
      </c>
      <c r="T101" s="25">
        <f>bdrate(C101:C104,H101:H104,J101:J104,O101:O104)</f>
        <v>-5.2274293835507302E-2</v>
      </c>
      <c r="U101" s="28">
        <f t="shared" si="3"/>
        <v>2.806339285714285</v>
      </c>
    </row>
    <row r="102" spans="2:21" x14ac:dyDescent="0.25">
      <c r="B102" s="9"/>
      <c r="C102" s="17">
        <v>1115.8994140625</v>
      </c>
      <c r="D102" s="18">
        <v>37.337000000000003</v>
      </c>
      <c r="E102" s="18">
        <v>43.414999999999999</v>
      </c>
      <c r="F102" s="18">
        <v>45.295000000000002</v>
      </c>
      <c r="G102" s="18">
        <v>1.2</v>
      </c>
      <c r="H102" s="18">
        <f t="shared" si="4"/>
        <v>39.091500000000003</v>
      </c>
      <c r="I102" s="5"/>
      <c r="J102" s="17">
        <v>1007.2403</v>
      </c>
      <c r="K102" s="18">
        <v>37.101900000000001</v>
      </c>
      <c r="L102" s="18">
        <v>43.621299999999998</v>
      </c>
      <c r="M102" s="18">
        <v>45.121000000000002</v>
      </c>
      <c r="N102" s="18">
        <v>5.2859999999999996</v>
      </c>
      <c r="O102" s="18">
        <f t="shared" si="5"/>
        <v>38.9192125</v>
      </c>
      <c r="P102" s="7"/>
      <c r="Q102" s="10"/>
      <c r="R102" s="11"/>
      <c r="S102" s="11"/>
      <c r="T102" s="26"/>
      <c r="U102" s="28">
        <f t="shared" si="3"/>
        <v>3.4049999999999998</v>
      </c>
    </row>
    <row r="103" spans="2:21" x14ac:dyDescent="0.25">
      <c r="B103" s="9"/>
      <c r="C103" s="17">
        <v>671.5478515625</v>
      </c>
      <c r="D103" s="18">
        <v>35.659999999999997</v>
      </c>
      <c r="E103" s="18">
        <v>42.058</v>
      </c>
      <c r="F103" s="18">
        <v>43.734000000000002</v>
      </c>
      <c r="G103" s="18">
        <v>1.24</v>
      </c>
      <c r="H103" s="18">
        <f t="shared" si="4"/>
        <v>37.468999999999994</v>
      </c>
      <c r="I103" s="5"/>
      <c r="J103" s="17">
        <v>604.00890000000004</v>
      </c>
      <c r="K103" s="18">
        <v>35.337299999999999</v>
      </c>
      <c r="L103" s="18">
        <v>42.506900000000002</v>
      </c>
      <c r="M103" s="18">
        <v>43.894300000000001</v>
      </c>
      <c r="N103" s="18">
        <v>6.9965999999999999</v>
      </c>
      <c r="O103" s="18">
        <f t="shared" si="5"/>
        <v>37.303125000000001</v>
      </c>
      <c r="P103" s="7"/>
      <c r="Q103" s="10"/>
      <c r="R103" s="11"/>
      <c r="S103" s="11"/>
      <c r="T103" s="26"/>
      <c r="U103" s="28">
        <f t="shared" si="3"/>
        <v>4.6424193548387098</v>
      </c>
    </row>
    <row r="104" spans="2:21" ht="16.5" thickBot="1" x14ac:dyDescent="0.3">
      <c r="B104" s="12"/>
      <c r="C104" s="19">
        <v>343.34765625</v>
      </c>
      <c r="D104" s="20">
        <v>33.593000000000004</v>
      </c>
      <c r="E104" s="20">
        <v>40.308999999999997</v>
      </c>
      <c r="F104" s="20">
        <v>41.67</v>
      </c>
      <c r="G104" s="20">
        <v>1.1499999999999999</v>
      </c>
      <c r="H104" s="20">
        <f t="shared" si="4"/>
        <v>35.442125000000004</v>
      </c>
      <c r="I104" s="5"/>
      <c r="J104" s="19">
        <v>300.2176</v>
      </c>
      <c r="K104" s="20">
        <v>33.0488</v>
      </c>
      <c r="L104" s="20">
        <v>41.019799999999996</v>
      </c>
      <c r="M104" s="20">
        <v>42.2224</v>
      </c>
      <c r="N104" s="20">
        <v>10.491199999999999</v>
      </c>
      <c r="O104" s="20">
        <f t="shared" si="5"/>
        <v>35.191875000000003</v>
      </c>
      <c r="P104" s="7"/>
      <c r="Q104" s="13"/>
      <c r="R104" s="14"/>
      <c r="S104" s="14"/>
      <c r="T104" s="27"/>
      <c r="U104" s="28">
        <f t="shared" si="3"/>
        <v>8.1227826086956512</v>
      </c>
    </row>
    <row r="105" spans="2:21" x14ac:dyDescent="0.25">
      <c r="B105" s="6" t="s">
        <v>106</v>
      </c>
      <c r="C105" s="15">
        <v>1339.361328125</v>
      </c>
      <c r="D105" s="16">
        <v>49.686999999999998</v>
      </c>
      <c r="E105" s="16">
        <v>54.524000000000001</v>
      </c>
      <c r="F105" s="16">
        <v>55.872999999999998</v>
      </c>
      <c r="G105" s="16">
        <v>2.97</v>
      </c>
      <c r="H105" s="16">
        <f t="shared" si="4"/>
        <v>51.064874999999994</v>
      </c>
      <c r="I105" s="5"/>
      <c r="J105" s="15">
        <v>1492.2949000000001</v>
      </c>
      <c r="K105" s="16">
        <v>50.646599999999999</v>
      </c>
      <c r="L105" s="16">
        <v>55.359499999999997</v>
      </c>
      <c r="M105" s="16">
        <v>56.711399999999998</v>
      </c>
      <c r="N105" s="16">
        <v>5.3716999999999997</v>
      </c>
      <c r="O105" s="16">
        <f t="shared" si="5"/>
        <v>51.993812500000004</v>
      </c>
      <c r="P105" s="7"/>
      <c r="Q105" s="8">
        <f>bdrate(C105:C108,D105:D108,J105:J108,K105:K108)</f>
        <v>-6.2235779188470119E-2</v>
      </c>
      <c r="R105" s="8">
        <f>bdrate(C105:C108,E105:E108,J105:J108,L105:L108)</f>
        <v>-5.1238554429485217E-2</v>
      </c>
      <c r="S105" s="8">
        <f>bdrate(C105:C108,F105:F108,J105:J108,M105:M108)</f>
        <v>-6.7598212827896464E-2</v>
      </c>
      <c r="T105" s="25">
        <f>bdrate(C105:C108,H105:H108,J105:J108,O105:O108)</f>
        <v>-6.163286399591239E-2</v>
      </c>
      <c r="U105" s="28">
        <f t="shared" si="3"/>
        <v>0.8086531986531984</v>
      </c>
    </row>
    <row r="106" spans="2:21" x14ac:dyDescent="0.25">
      <c r="B106" s="9"/>
      <c r="C106" s="17">
        <v>926.7841796875</v>
      </c>
      <c r="D106" s="18">
        <v>48.332000000000001</v>
      </c>
      <c r="E106" s="18">
        <v>53.424999999999997</v>
      </c>
      <c r="F106" s="18">
        <v>54.853999999999999</v>
      </c>
      <c r="G106" s="18">
        <v>3.19</v>
      </c>
      <c r="H106" s="18">
        <f t="shared" si="4"/>
        <v>49.783875000000002</v>
      </c>
      <c r="I106" s="5"/>
      <c r="J106" s="17">
        <v>997.98350000000005</v>
      </c>
      <c r="K106" s="18">
        <v>49.016500000000001</v>
      </c>
      <c r="L106" s="18">
        <v>53.9482</v>
      </c>
      <c r="M106" s="18">
        <v>55.415799999999997</v>
      </c>
      <c r="N106" s="18">
        <v>6.6673999999999998</v>
      </c>
      <c r="O106" s="18">
        <f t="shared" si="5"/>
        <v>50.432874999999996</v>
      </c>
      <c r="P106" s="7"/>
      <c r="Q106" s="10"/>
      <c r="R106" s="11"/>
      <c r="S106" s="11"/>
      <c r="T106" s="26"/>
      <c r="U106" s="28">
        <f t="shared" si="3"/>
        <v>1.0900940438871474</v>
      </c>
    </row>
    <row r="107" spans="2:21" x14ac:dyDescent="0.25">
      <c r="B107" s="9"/>
      <c r="C107" s="17">
        <v>590.33984375</v>
      </c>
      <c r="D107" s="18">
        <v>46.561999999999998</v>
      </c>
      <c r="E107" s="18">
        <v>51.975999999999999</v>
      </c>
      <c r="F107" s="18">
        <v>53.436</v>
      </c>
      <c r="G107" s="18">
        <v>3.43</v>
      </c>
      <c r="H107" s="18">
        <f t="shared" si="4"/>
        <v>48.097999999999992</v>
      </c>
      <c r="I107" s="5"/>
      <c r="J107" s="17">
        <v>601.26030000000003</v>
      </c>
      <c r="K107" s="18">
        <v>46.893900000000002</v>
      </c>
      <c r="L107" s="18">
        <v>52.205399999999997</v>
      </c>
      <c r="M107" s="18">
        <v>53.709699999999998</v>
      </c>
      <c r="N107" s="18">
        <v>8.9498999999999995</v>
      </c>
      <c r="O107" s="18">
        <f t="shared" si="5"/>
        <v>48.409812500000001</v>
      </c>
      <c r="P107" s="7"/>
      <c r="Q107" s="10"/>
      <c r="R107" s="11"/>
      <c r="S107" s="11"/>
      <c r="T107" s="26"/>
      <c r="U107" s="28">
        <f t="shared" si="3"/>
        <v>1.6093002915451893</v>
      </c>
    </row>
    <row r="108" spans="2:21" ht="16.5" thickBot="1" x14ac:dyDescent="0.3">
      <c r="B108" s="12"/>
      <c r="C108" s="19">
        <v>319.8994140625</v>
      </c>
      <c r="D108" s="20">
        <v>43.96</v>
      </c>
      <c r="E108" s="20">
        <v>49.683</v>
      </c>
      <c r="F108" s="20">
        <v>51.027000000000001</v>
      </c>
      <c r="G108" s="20">
        <v>3.61</v>
      </c>
      <c r="H108" s="20">
        <f t="shared" si="4"/>
        <v>45.558749999999996</v>
      </c>
      <c r="I108" s="5"/>
      <c r="J108" s="19">
        <v>300.84809999999999</v>
      </c>
      <c r="K108" s="20">
        <v>43.714199999999998</v>
      </c>
      <c r="L108" s="20">
        <v>49.453600000000002</v>
      </c>
      <c r="M108" s="20">
        <v>50.946100000000001</v>
      </c>
      <c r="N108" s="20">
        <v>13.9307</v>
      </c>
      <c r="O108" s="20">
        <f t="shared" si="5"/>
        <v>45.335612499999996</v>
      </c>
      <c r="P108" s="7"/>
      <c r="Q108" s="13"/>
      <c r="R108" s="14"/>
      <c r="S108" s="14"/>
      <c r="T108" s="27"/>
      <c r="U108" s="28">
        <f t="shared" si="3"/>
        <v>2.8589196675900279</v>
      </c>
    </row>
    <row r="109" spans="2:21" x14ac:dyDescent="0.25">
      <c r="B109" s="6" t="s">
        <v>107</v>
      </c>
      <c r="C109" s="15">
        <v>1559.15625</v>
      </c>
      <c r="D109" s="16">
        <v>33.482999999999997</v>
      </c>
      <c r="E109" s="16">
        <v>41.613999999999997</v>
      </c>
      <c r="F109" s="16">
        <v>41.109000000000002</v>
      </c>
      <c r="G109" s="16">
        <v>0.84</v>
      </c>
      <c r="H109" s="16">
        <f t="shared" si="4"/>
        <v>35.452624999999998</v>
      </c>
      <c r="I109" s="5"/>
      <c r="J109" s="15">
        <v>1495.8583000000001</v>
      </c>
      <c r="K109" s="16">
        <v>33.629300000000001</v>
      </c>
      <c r="L109" s="16">
        <v>41.906399999999998</v>
      </c>
      <c r="M109" s="16">
        <v>41.3491</v>
      </c>
      <c r="N109" s="16">
        <v>3.7237</v>
      </c>
      <c r="O109" s="16">
        <f t="shared" si="5"/>
        <v>35.628912499999998</v>
      </c>
      <c r="P109" s="7"/>
      <c r="Q109" s="8">
        <f>bdrate(C109:C112,D109:D112,J109:J112,K109:K112)</f>
        <v>-4.6196299005111352E-2</v>
      </c>
      <c r="R109" s="8">
        <f>bdrate(C109:C112,E109:E112,J109:J112,L109:L112)</f>
        <v>-0.32576254371122615</v>
      </c>
      <c r="S109" s="8">
        <f>bdrate(C109:C112,F109:F112,J109:J112,M109:M112)</f>
        <v>-0.31319464916329021</v>
      </c>
      <c r="T109" s="25">
        <f>bdrate(C109:C112,H109:H112,J109:J112,O109:O112)</f>
        <v>-0.10136035765805052</v>
      </c>
      <c r="U109" s="28">
        <f t="shared" si="3"/>
        <v>3.4329761904761908</v>
      </c>
    </row>
    <row r="110" spans="2:21" x14ac:dyDescent="0.25">
      <c r="B110" s="9"/>
      <c r="C110" s="17">
        <v>1063.06640625</v>
      </c>
      <c r="D110" s="18">
        <v>31.937000000000001</v>
      </c>
      <c r="E110" s="18">
        <v>40.377000000000002</v>
      </c>
      <c r="F110" s="18">
        <v>39.86</v>
      </c>
      <c r="G110" s="18">
        <v>0.76</v>
      </c>
      <c r="H110" s="18">
        <f t="shared" si="4"/>
        <v>33.982375000000005</v>
      </c>
      <c r="I110" s="5"/>
      <c r="J110" s="17">
        <v>996.33010000000002</v>
      </c>
      <c r="K110" s="18">
        <v>31.947800000000001</v>
      </c>
      <c r="L110" s="18">
        <v>40.982500000000002</v>
      </c>
      <c r="M110" s="18">
        <v>40.425699999999999</v>
      </c>
      <c r="N110" s="18">
        <v>4.5434000000000001</v>
      </c>
      <c r="O110" s="18">
        <f t="shared" si="5"/>
        <v>34.136875000000003</v>
      </c>
      <c r="P110" s="7"/>
      <c r="Q110" s="10"/>
      <c r="R110" s="11"/>
      <c r="S110" s="11"/>
      <c r="T110" s="26"/>
      <c r="U110" s="28">
        <f t="shared" si="3"/>
        <v>4.9781578947368423</v>
      </c>
    </row>
    <row r="111" spans="2:21" x14ac:dyDescent="0.25">
      <c r="B111" s="9"/>
      <c r="C111" s="17">
        <v>687.4501953125</v>
      </c>
      <c r="D111" s="18">
        <v>30.257999999999999</v>
      </c>
      <c r="E111" s="18">
        <v>38.823999999999998</v>
      </c>
      <c r="F111" s="18">
        <v>38.284999999999997</v>
      </c>
      <c r="G111" s="18">
        <v>0.69</v>
      </c>
      <c r="H111" s="18">
        <f t="shared" si="4"/>
        <v>32.332125000000005</v>
      </c>
      <c r="I111" s="5"/>
      <c r="J111" s="17">
        <v>597.29679999999996</v>
      </c>
      <c r="K111" s="18">
        <v>29.745799999999999</v>
      </c>
      <c r="L111" s="18">
        <v>39.7575</v>
      </c>
      <c r="M111" s="18">
        <v>39.168100000000003</v>
      </c>
      <c r="N111" s="18">
        <v>6.0084999999999997</v>
      </c>
      <c r="O111" s="18">
        <f t="shared" si="5"/>
        <v>32.175049999999999</v>
      </c>
      <c r="P111" s="7"/>
      <c r="Q111" s="10"/>
      <c r="R111" s="11"/>
      <c r="S111" s="11"/>
      <c r="T111" s="26"/>
      <c r="U111" s="28">
        <f t="shared" si="3"/>
        <v>7.7079710144927542</v>
      </c>
    </row>
    <row r="112" spans="2:21" ht="16.5" thickBot="1" x14ac:dyDescent="0.3">
      <c r="B112" s="12"/>
      <c r="C112" s="19">
        <v>507.048828125</v>
      </c>
      <c r="D112" s="20">
        <v>28.954000000000001</v>
      </c>
      <c r="E112" s="20">
        <v>37.228000000000002</v>
      </c>
      <c r="F112" s="20">
        <v>36.679000000000002</v>
      </c>
      <c r="G112" s="20">
        <v>0.64</v>
      </c>
      <c r="H112" s="20">
        <f t="shared" si="4"/>
        <v>30.953875</v>
      </c>
      <c r="I112" s="5"/>
      <c r="J112" s="19">
        <v>298.58150000000001</v>
      </c>
      <c r="K112" s="20">
        <v>26.8492</v>
      </c>
      <c r="L112" s="20">
        <v>37.719700000000003</v>
      </c>
      <c r="M112" s="20">
        <v>37.101599999999998</v>
      </c>
      <c r="N112" s="20">
        <v>9.0953999999999997</v>
      </c>
      <c r="O112" s="20">
        <f t="shared" si="5"/>
        <v>29.489562500000002</v>
      </c>
      <c r="P112" s="7"/>
      <c r="Q112" s="13"/>
      <c r="R112" s="14"/>
      <c r="S112" s="14"/>
      <c r="T112" s="27"/>
      <c r="U112" s="28">
        <f t="shared" si="3"/>
        <v>13.211562499999998</v>
      </c>
    </row>
    <row r="113" spans="2:21" x14ac:dyDescent="0.25">
      <c r="B113" s="6" t="s">
        <v>108</v>
      </c>
      <c r="C113" s="15">
        <v>2053.8876953125</v>
      </c>
      <c r="D113" s="16">
        <v>51.366</v>
      </c>
      <c r="E113" s="16">
        <v>52.402999999999999</v>
      </c>
      <c r="F113" s="16">
        <v>52.348999999999997</v>
      </c>
      <c r="G113" s="16">
        <v>2.0699999999999998</v>
      </c>
      <c r="H113" s="16">
        <f t="shared" si="4"/>
        <v>51.618500000000004</v>
      </c>
      <c r="I113" s="5"/>
      <c r="J113" s="15">
        <v>1405.7864</v>
      </c>
      <c r="K113" s="16">
        <v>47.430100000000003</v>
      </c>
      <c r="L113" s="16">
        <v>48.664000000000001</v>
      </c>
      <c r="M113" s="16">
        <v>48.5608</v>
      </c>
      <c r="N113" s="16">
        <v>5.7636000000000003</v>
      </c>
      <c r="O113" s="16">
        <f t="shared" si="5"/>
        <v>47.725674999999995</v>
      </c>
      <c r="P113" s="7"/>
      <c r="Q113" s="8">
        <f>bdrate(C113:C116,D113:D116,J113:J116,K113:K116)</f>
        <v>-8.6174043046600701E-2</v>
      </c>
      <c r="R113" s="8">
        <f>bdrate(C113:C116,E113:E116,J113:J116,L113:L116)</f>
        <v>-0.12502571248317818</v>
      </c>
      <c r="S113" s="8">
        <f>bdrate(C113:C116,F113:F116,J113:J116,M113:M116)</f>
        <v>-0.13613641960134781</v>
      </c>
      <c r="T113" s="25">
        <f>bdrate(C113:C116,H113:H116,J113:J116,O113:O116)</f>
        <v>-9.5920021784896781E-2</v>
      </c>
      <c r="U113" s="28">
        <f t="shared" si="3"/>
        <v>1.784347826086957</v>
      </c>
    </row>
    <row r="114" spans="2:21" x14ac:dyDescent="0.25">
      <c r="B114" s="9"/>
      <c r="C114" s="17">
        <v>1440.5029296875</v>
      </c>
      <c r="D114" s="18">
        <v>47.868000000000002</v>
      </c>
      <c r="E114" s="18">
        <v>49.054000000000002</v>
      </c>
      <c r="F114" s="18">
        <v>48.932000000000002</v>
      </c>
      <c r="G114" s="18">
        <v>2.23</v>
      </c>
      <c r="H114" s="18">
        <f t="shared" si="4"/>
        <v>48.149250000000009</v>
      </c>
      <c r="I114" s="5"/>
      <c r="J114" s="17">
        <v>950.60350000000005</v>
      </c>
      <c r="K114" s="18">
        <v>45.933700000000002</v>
      </c>
      <c r="L114" s="18">
        <v>47.2943</v>
      </c>
      <c r="M114" s="18">
        <v>47.175199999999997</v>
      </c>
      <c r="N114" s="18">
        <v>6.9287999999999998</v>
      </c>
      <c r="O114" s="18">
        <f t="shared" si="5"/>
        <v>46.25896250000001</v>
      </c>
      <c r="P114" s="7"/>
      <c r="Q114" s="10"/>
      <c r="R114" s="11"/>
      <c r="S114" s="11"/>
      <c r="T114" s="26"/>
      <c r="U114" s="28">
        <f t="shared" si="3"/>
        <v>2.1070852017937223</v>
      </c>
    </row>
    <row r="115" spans="2:21" x14ac:dyDescent="0.25">
      <c r="B115" s="9"/>
      <c r="C115" s="17">
        <v>894.83203125</v>
      </c>
      <c r="D115" s="18">
        <v>45.154000000000003</v>
      </c>
      <c r="E115" s="18">
        <v>46.551000000000002</v>
      </c>
      <c r="F115" s="18">
        <v>46.357999999999997</v>
      </c>
      <c r="G115" s="18">
        <v>2.35</v>
      </c>
      <c r="H115" s="18">
        <f t="shared" si="4"/>
        <v>45.479125000000003</v>
      </c>
      <c r="I115" s="5"/>
      <c r="J115" s="17">
        <v>591.34490000000005</v>
      </c>
      <c r="K115" s="18">
        <v>43.344299999999997</v>
      </c>
      <c r="L115" s="18">
        <v>45.234200000000001</v>
      </c>
      <c r="M115" s="18">
        <v>45.090200000000003</v>
      </c>
      <c r="N115" s="18">
        <v>8.9342000000000006</v>
      </c>
      <c r="O115" s="18">
        <f t="shared" si="5"/>
        <v>43.798774999999992</v>
      </c>
      <c r="P115" s="7"/>
      <c r="Q115" s="10"/>
      <c r="R115" s="11"/>
      <c r="S115" s="11"/>
      <c r="T115" s="26"/>
      <c r="U115" s="28">
        <f t="shared" si="3"/>
        <v>2.8017872340425534</v>
      </c>
    </row>
    <row r="116" spans="2:21" ht="16.5" thickBot="1" x14ac:dyDescent="0.3">
      <c r="B116" s="12"/>
      <c r="C116" s="19">
        <v>481.9052734375</v>
      </c>
      <c r="D116" s="20">
        <v>41.335999999999999</v>
      </c>
      <c r="E116" s="20">
        <v>43.110999999999997</v>
      </c>
      <c r="F116" s="20">
        <v>42.856999999999999</v>
      </c>
      <c r="G116" s="20">
        <v>2.0299999999999998</v>
      </c>
      <c r="H116" s="20">
        <f t="shared" si="4"/>
        <v>41.748000000000005</v>
      </c>
      <c r="I116" s="5"/>
      <c r="J116" s="19">
        <v>301.36689999999999</v>
      </c>
      <c r="K116" s="20">
        <v>38.729999999999997</v>
      </c>
      <c r="L116" s="20">
        <v>41.613399999999999</v>
      </c>
      <c r="M116" s="20">
        <v>41.381799999999998</v>
      </c>
      <c r="N116" s="20">
        <v>12.929600000000001</v>
      </c>
      <c r="O116" s="20">
        <f t="shared" si="5"/>
        <v>39.421900000000001</v>
      </c>
      <c r="P116" s="7"/>
      <c r="Q116" s="13"/>
      <c r="R116" s="14"/>
      <c r="S116" s="14"/>
      <c r="T116" s="27"/>
      <c r="U116" s="28">
        <f t="shared" si="3"/>
        <v>5.3692610837438437</v>
      </c>
    </row>
    <row r="117" spans="2:21" x14ac:dyDescent="0.25">
      <c r="B117" s="6" t="s">
        <v>109</v>
      </c>
      <c r="C117" s="15">
        <v>1465.3369140625</v>
      </c>
      <c r="D117" s="16">
        <v>56.548000000000002</v>
      </c>
      <c r="E117" s="16">
        <v>58.872999999999998</v>
      </c>
      <c r="F117" s="16">
        <v>58.774000000000001</v>
      </c>
      <c r="G117" s="16">
        <v>1.97</v>
      </c>
      <c r="H117" s="16">
        <f t="shared" si="4"/>
        <v>57.116875</v>
      </c>
      <c r="I117" s="5"/>
      <c r="J117" s="15">
        <v>1417.2143000000001</v>
      </c>
      <c r="K117" s="16">
        <v>47.6267</v>
      </c>
      <c r="L117" s="16">
        <v>50.258600000000001</v>
      </c>
      <c r="M117" s="16">
        <v>50.329900000000002</v>
      </c>
      <c r="N117" s="16">
        <v>7.4913999999999996</v>
      </c>
      <c r="O117" s="16">
        <f t="shared" si="5"/>
        <v>48.293587500000001</v>
      </c>
      <c r="P117" s="7"/>
      <c r="Q117" s="8">
        <f>bdrate(C117:C120,D117:D120,J117:J120,K117:K120)</f>
        <v>0.51495987358420048</v>
      </c>
      <c r="R117" s="8">
        <f>bdrate(C117:C120,E117:E120,J117:J120,L117:L120)</f>
        <v>0.45054038744086888</v>
      </c>
      <c r="S117" s="8">
        <f>bdrate(C117:C120,F117:F120,J117:J120,M117:M120)</f>
        <v>0.41898305499438138</v>
      </c>
      <c r="T117" s="25">
        <f>bdrate(C117:C120,H117:H120,J117:J120,O117:O120)</f>
        <v>0.49545125115692001</v>
      </c>
      <c r="U117" s="28">
        <f t="shared" si="3"/>
        <v>2.8027411167512688</v>
      </c>
    </row>
    <row r="118" spans="2:21" x14ac:dyDescent="0.25">
      <c r="B118" s="9"/>
      <c r="C118" s="17">
        <v>1101.642578125</v>
      </c>
      <c r="D118" s="18">
        <v>52.412999999999997</v>
      </c>
      <c r="E118" s="18">
        <v>54.648000000000003</v>
      </c>
      <c r="F118" s="18">
        <v>54.679000000000002</v>
      </c>
      <c r="G118" s="18">
        <v>2</v>
      </c>
      <c r="H118" s="18">
        <f t="shared" si="4"/>
        <v>52.975624999999994</v>
      </c>
      <c r="I118" s="5"/>
      <c r="J118" s="17">
        <v>978.71849999999995</v>
      </c>
      <c r="K118" s="18">
        <v>46.364699999999999</v>
      </c>
      <c r="L118" s="18">
        <v>49.246600000000001</v>
      </c>
      <c r="M118" s="18">
        <v>49.346899999999998</v>
      </c>
      <c r="N118" s="18">
        <v>9.0831</v>
      </c>
      <c r="O118" s="18">
        <f t="shared" si="5"/>
        <v>47.0977125</v>
      </c>
      <c r="P118" s="7"/>
      <c r="Q118" s="10"/>
      <c r="R118" s="11"/>
      <c r="S118" s="11"/>
      <c r="T118" s="26"/>
      <c r="U118" s="28">
        <f t="shared" si="3"/>
        <v>3.54155</v>
      </c>
    </row>
    <row r="119" spans="2:21" x14ac:dyDescent="0.25">
      <c r="B119" s="9"/>
      <c r="C119" s="17">
        <v>769.6884765625</v>
      </c>
      <c r="D119" s="18">
        <v>53.069000000000003</v>
      </c>
      <c r="E119" s="18">
        <v>55.661999999999999</v>
      </c>
      <c r="F119" s="18">
        <v>55.512999999999998</v>
      </c>
      <c r="G119" s="18">
        <v>2.09</v>
      </c>
      <c r="H119" s="18">
        <f t="shared" si="4"/>
        <v>53.698624999999993</v>
      </c>
      <c r="I119" s="5"/>
      <c r="J119" s="17">
        <v>640.01430000000005</v>
      </c>
      <c r="K119" s="18">
        <v>43.269399999999997</v>
      </c>
      <c r="L119" s="18">
        <v>46.322099999999999</v>
      </c>
      <c r="M119" s="18">
        <v>46.589599999999997</v>
      </c>
      <c r="N119" s="18">
        <v>11.083299999999999</v>
      </c>
      <c r="O119" s="18">
        <f t="shared" si="5"/>
        <v>44.066012499999999</v>
      </c>
      <c r="P119" s="7"/>
      <c r="Q119" s="10"/>
      <c r="R119" s="11"/>
      <c r="S119" s="11"/>
      <c r="T119" s="26"/>
      <c r="U119" s="28">
        <f t="shared" si="3"/>
        <v>4.3030143540669856</v>
      </c>
    </row>
    <row r="120" spans="2:21" ht="16.5" thickBot="1" x14ac:dyDescent="0.3">
      <c r="B120" s="12"/>
      <c r="C120" s="19">
        <v>451.4189453125</v>
      </c>
      <c r="D120" s="20">
        <v>42.23</v>
      </c>
      <c r="E120" s="20">
        <v>44.646999999999998</v>
      </c>
      <c r="F120" s="20">
        <v>44.853999999999999</v>
      </c>
      <c r="G120" s="20">
        <v>1.7</v>
      </c>
      <c r="H120" s="20">
        <f t="shared" si="4"/>
        <v>42.860124999999996</v>
      </c>
      <c r="I120" s="5"/>
      <c r="J120" s="19">
        <v>355.70839999999998</v>
      </c>
      <c r="K120" s="20">
        <v>39.135300000000001</v>
      </c>
      <c r="L120" s="20">
        <v>42.719700000000003</v>
      </c>
      <c r="M120" s="20">
        <v>43.0227</v>
      </c>
      <c r="N120" s="20">
        <v>16.738700000000001</v>
      </c>
      <c r="O120" s="20">
        <f t="shared" si="5"/>
        <v>40.069274999999998</v>
      </c>
      <c r="P120" s="7"/>
      <c r="Q120" s="13"/>
      <c r="R120" s="14"/>
      <c r="S120" s="14"/>
      <c r="T120" s="27"/>
      <c r="U120" s="28">
        <f t="shared" si="3"/>
        <v>8.8462941176470604</v>
      </c>
    </row>
    <row r="121" spans="2:21" x14ac:dyDescent="0.25">
      <c r="B121" s="6" t="s">
        <v>110</v>
      </c>
      <c r="C121" s="29">
        <v>1684.67578125</v>
      </c>
      <c r="D121" s="30">
        <v>34.386000000000003</v>
      </c>
      <c r="E121" s="30">
        <v>37.585999999999999</v>
      </c>
      <c r="F121" s="30">
        <v>36.378</v>
      </c>
      <c r="G121" s="16">
        <v>0.87</v>
      </c>
      <c r="H121" s="16">
        <f t="shared" si="4"/>
        <v>35.035000000000004</v>
      </c>
      <c r="I121" s="5"/>
      <c r="J121" s="29">
        <v>1511.9802999999999</v>
      </c>
      <c r="K121" s="30">
        <v>33.836500000000001</v>
      </c>
      <c r="L121" s="30">
        <v>38.058300000000003</v>
      </c>
      <c r="M121" s="30">
        <v>36.892200000000003</v>
      </c>
      <c r="N121" s="16">
        <v>4.5822000000000003</v>
      </c>
      <c r="O121" s="16">
        <f t="shared" si="5"/>
        <v>34.746187500000005</v>
      </c>
      <c r="P121" s="7"/>
      <c r="Q121" s="8">
        <f>bdrate(C121:C124,D121:D124,J121:J124,K121:K124)</f>
        <v>1.7709432548812298E-2</v>
      </c>
      <c r="R121" s="8">
        <f>bdrate(C121:C124,E121:E124,J121:J124,L121:L124)</f>
        <v>-0.38317044901890507</v>
      </c>
      <c r="S121" s="8">
        <f>bdrate(C121:C124,F121:F124,J121:J124,M121:M124)</f>
        <v>-0.38287698666259384</v>
      </c>
      <c r="T121" s="25">
        <f>bdrate(C121:C124,H121:H124,J121:J124,O121:O124)</f>
        <v>-7.1372626976552667E-2</v>
      </c>
      <c r="U121" s="28">
        <f t="shared" si="3"/>
        <v>4.2668965517241384</v>
      </c>
    </row>
    <row r="122" spans="2:21" x14ac:dyDescent="0.25">
      <c r="B122" s="9"/>
      <c r="C122" s="31">
        <v>1132.5654296875</v>
      </c>
      <c r="D122" s="32">
        <v>32.533999999999999</v>
      </c>
      <c r="E122" s="32">
        <v>36.170999999999999</v>
      </c>
      <c r="F122" s="32">
        <v>34.901000000000003</v>
      </c>
      <c r="G122" s="18">
        <v>0.81</v>
      </c>
      <c r="H122" s="18">
        <f t="shared" si="4"/>
        <v>33.284500000000001</v>
      </c>
      <c r="I122" s="5"/>
      <c r="J122" s="31">
        <v>1008.6315</v>
      </c>
      <c r="K122" s="32">
        <v>31.923100000000002</v>
      </c>
      <c r="L122" s="32">
        <v>36.9816</v>
      </c>
      <c r="M122" s="32">
        <v>35.764699999999998</v>
      </c>
      <c r="N122" s="18">
        <v>5.5807000000000002</v>
      </c>
      <c r="O122" s="18">
        <f t="shared" si="5"/>
        <v>33.035612499999999</v>
      </c>
      <c r="P122" s="7"/>
      <c r="Q122" s="10"/>
      <c r="R122" s="11"/>
      <c r="S122" s="11"/>
      <c r="T122" s="26"/>
      <c r="U122" s="28">
        <f t="shared" si="3"/>
        <v>5.889753086419752</v>
      </c>
    </row>
    <row r="123" spans="2:21" x14ac:dyDescent="0.25">
      <c r="B123" s="9"/>
      <c r="C123" s="31">
        <v>719.0146484375</v>
      </c>
      <c r="D123" s="32">
        <v>30.516999999999999</v>
      </c>
      <c r="E123" s="32">
        <v>34.610999999999997</v>
      </c>
      <c r="F123" s="32">
        <v>33.279000000000003</v>
      </c>
      <c r="G123" s="18">
        <v>0.72</v>
      </c>
      <c r="H123" s="18">
        <f t="shared" si="4"/>
        <v>31.373999999999999</v>
      </c>
      <c r="I123" s="5"/>
      <c r="J123" s="31">
        <v>605.14530000000002</v>
      </c>
      <c r="K123" s="32">
        <v>29.6553</v>
      </c>
      <c r="L123" s="32">
        <v>35.713799999999999</v>
      </c>
      <c r="M123" s="32">
        <v>34.4178</v>
      </c>
      <c r="N123" s="18">
        <v>7.1864999999999997</v>
      </c>
      <c r="O123" s="18">
        <f t="shared" si="5"/>
        <v>31.007925</v>
      </c>
      <c r="P123" s="7"/>
      <c r="Q123" s="10"/>
      <c r="R123" s="11"/>
      <c r="S123" s="11"/>
      <c r="T123" s="26"/>
      <c r="U123" s="28">
        <f t="shared" si="3"/>
        <v>8.9812500000000011</v>
      </c>
    </row>
    <row r="124" spans="2:21" ht="16.5" thickBot="1" x14ac:dyDescent="0.3">
      <c r="B124" s="12"/>
      <c r="C124" s="33">
        <v>500.4169921875</v>
      </c>
      <c r="D124" s="34">
        <v>28.849</v>
      </c>
      <c r="E124" s="34">
        <v>33.186999999999998</v>
      </c>
      <c r="F124" s="34">
        <v>31.861999999999998</v>
      </c>
      <c r="G124" s="20">
        <v>0.63</v>
      </c>
      <c r="H124" s="20">
        <f t="shared" si="4"/>
        <v>29.767875</v>
      </c>
      <c r="I124" s="5"/>
      <c r="J124" s="33">
        <v>304.23399999999998</v>
      </c>
      <c r="K124" s="34">
        <v>27.029800000000002</v>
      </c>
      <c r="L124" s="34">
        <v>34.041400000000003</v>
      </c>
      <c r="M124" s="34">
        <v>32.631700000000002</v>
      </c>
      <c r="N124" s="20">
        <v>10.4475</v>
      </c>
      <c r="O124" s="20">
        <f t="shared" si="5"/>
        <v>28.606487500000004</v>
      </c>
      <c r="P124" s="7"/>
      <c r="Q124" s="13"/>
      <c r="R124" s="14"/>
      <c r="S124" s="14"/>
      <c r="T124" s="27"/>
      <c r="U124" s="28">
        <f t="shared" si="3"/>
        <v>15.583333333333332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-2.32013060223864E-2</v>
      </c>
      <c r="R125" s="21">
        <f>AVERAGE(R9:R124)</f>
        <v>-0.23865083736689588</v>
      </c>
      <c r="S125" s="21">
        <f>AVERAGE(S9:S124)</f>
        <v>-0.24386008536991796</v>
      </c>
      <c r="T125" s="21">
        <f>AVERAGE(T9:T124)</f>
        <v>-6.940381712360344E-2</v>
      </c>
      <c r="U125" s="21">
        <f>AVERAGE(U9:U124)</f>
        <v>10.159130238016811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69" priority="33" operator="greaterThan">
      <formula>0.03</formula>
    </cfRule>
    <cfRule type="cellIs" dxfId="168" priority="34" stopIfTrue="1" operator="lessThan">
      <formula>-0.03</formula>
    </cfRule>
  </conditionalFormatting>
  <conditionalFormatting sqref="Q33:T36">
    <cfRule type="cellIs" dxfId="167" priority="31" operator="greaterThan">
      <formula>0.03</formula>
    </cfRule>
    <cfRule type="cellIs" dxfId="166" priority="32" stopIfTrue="1" operator="lessThan">
      <formula>-0.03</formula>
    </cfRule>
  </conditionalFormatting>
  <conditionalFormatting sqref="Q45:T48 Q61:T64">
    <cfRule type="cellIs" dxfId="165" priority="29" operator="greaterThan">
      <formula>0.03</formula>
    </cfRule>
    <cfRule type="cellIs" dxfId="164" priority="30" stopIfTrue="1" operator="lessThan">
      <formula>-0.03</formula>
    </cfRule>
  </conditionalFormatting>
  <conditionalFormatting sqref="Q49:T60">
    <cfRule type="cellIs" dxfId="163" priority="27" operator="greaterThan">
      <formula>0.03</formula>
    </cfRule>
    <cfRule type="cellIs" dxfId="162" priority="28" stopIfTrue="1" operator="lessThan">
      <formula>-0.03</formula>
    </cfRule>
  </conditionalFormatting>
  <conditionalFormatting sqref="Q69:T76">
    <cfRule type="cellIs" dxfId="161" priority="25" operator="greaterThan">
      <formula>0.03</formula>
    </cfRule>
    <cfRule type="cellIs" dxfId="160" priority="26" stopIfTrue="1" operator="lessThan">
      <formula>-0.03</formula>
    </cfRule>
  </conditionalFormatting>
  <conditionalFormatting sqref="Q65:T68">
    <cfRule type="cellIs" dxfId="159" priority="23" operator="greaterThan">
      <formula>0.03</formula>
    </cfRule>
    <cfRule type="cellIs" dxfId="158" priority="24" stopIfTrue="1" operator="lessThan">
      <formula>-0.03</formula>
    </cfRule>
  </conditionalFormatting>
  <conditionalFormatting sqref="Q77:T80">
    <cfRule type="cellIs" dxfId="157" priority="21" operator="greaterThan">
      <formula>0.03</formula>
    </cfRule>
    <cfRule type="cellIs" dxfId="156" priority="22" stopIfTrue="1" operator="lessThan">
      <formula>-0.03</formula>
    </cfRule>
  </conditionalFormatting>
  <conditionalFormatting sqref="Q21:T28">
    <cfRule type="cellIs" dxfId="155" priority="19" operator="greaterThan">
      <formula>0.03</formula>
    </cfRule>
    <cfRule type="cellIs" dxfId="154" priority="20" stopIfTrue="1" operator="lessThan">
      <formula>-0.03</formula>
    </cfRule>
  </conditionalFormatting>
  <conditionalFormatting sqref="Q117:T117">
    <cfRule type="cellIs" dxfId="153" priority="3" operator="greaterThan">
      <formula>0.03</formula>
    </cfRule>
    <cfRule type="cellIs" dxfId="152" priority="4" stopIfTrue="1" operator="lessThan">
      <formula>-0.03</formula>
    </cfRule>
  </conditionalFormatting>
  <conditionalFormatting sqref="Q93:T96 Q101:T108 Q81:T84">
    <cfRule type="cellIs" dxfId="151" priority="17" operator="greaterThan">
      <formula>0.03</formula>
    </cfRule>
    <cfRule type="cellIs" dxfId="150" priority="18" stopIfTrue="1" operator="lessThan">
      <formula>-0.03</formula>
    </cfRule>
  </conditionalFormatting>
  <conditionalFormatting sqref="Q97:T100">
    <cfRule type="cellIs" dxfId="149" priority="15" operator="greaterThan">
      <formula>0.03</formula>
    </cfRule>
    <cfRule type="cellIs" dxfId="148" priority="16" stopIfTrue="1" operator="lessThan">
      <formula>-0.03</formula>
    </cfRule>
  </conditionalFormatting>
  <conditionalFormatting sqref="Q110:T112 Q122:T124">
    <cfRule type="cellIs" dxfId="147" priority="13" operator="greaterThan">
      <formula>0.03</formula>
    </cfRule>
    <cfRule type="cellIs" dxfId="146" priority="14" stopIfTrue="1" operator="lessThan">
      <formula>-0.03</formula>
    </cfRule>
  </conditionalFormatting>
  <conditionalFormatting sqref="Q114:T116 Q118:T120">
    <cfRule type="cellIs" dxfId="145" priority="11" operator="greaterThan">
      <formula>0.03</formula>
    </cfRule>
    <cfRule type="cellIs" dxfId="144" priority="12" stopIfTrue="1" operator="lessThan">
      <formula>-0.03</formula>
    </cfRule>
  </conditionalFormatting>
  <conditionalFormatting sqref="Q85:T92">
    <cfRule type="cellIs" dxfId="143" priority="9" operator="greaterThan">
      <formula>0.03</formula>
    </cfRule>
    <cfRule type="cellIs" dxfId="142" priority="10" stopIfTrue="1" operator="lessThan">
      <formula>-0.03</formula>
    </cfRule>
  </conditionalFormatting>
  <conditionalFormatting sqref="Q109:T109">
    <cfRule type="cellIs" dxfId="141" priority="7" operator="greaterThan">
      <formula>0.03</formula>
    </cfRule>
    <cfRule type="cellIs" dxfId="140" priority="8" stopIfTrue="1" operator="lessThan">
      <formula>-0.03</formula>
    </cfRule>
  </conditionalFormatting>
  <conditionalFormatting sqref="Q113:T113">
    <cfRule type="cellIs" dxfId="139" priority="5" operator="greaterThan">
      <formula>0.03</formula>
    </cfRule>
    <cfRule type="cellIs" dxfId="138" priority="6" stopIfTrue="1" operator="lessThan">
      <formula>-0.03</formula>
    </cfRule>
  </conditionalFormatting>
  <conditionalFormatting sqref="Q121:T121">
    <cfRule type="cellIs" dxfId="137" priority="1" operator="greaterThan">
      <formula>0.03</formula>
    </cfRule>
    <cfRule type="cellIs" dxfId="136" priority="2" stopIfTrue="1" operator="lessThan">
      <formula>-0.03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2" x14ac:dyDescent="0.25">
      <c r="A1" t="s">
        <v>136</v>
      </c>
      <c r="V1" t="s">
        <v>137</v>
      </c>
    </row>
    <row r="2" spans="1:22" x14ac:dyDescent="0.25">
      <c r="A2" t="s">
        <v>138</v>
      </c>
    </row>
    <row r="3" spans="1:22" x14ac:dyDescent="0.25">
      <c r="A3" t="s">
        <v>83</v>
      </c>
    </row>
    <row r="5" spans="1:22" s="35" customFormat="1" ht="15.75" customHeight="1" x14ac:dyDescent="0.25">
      <c r="B5" s="61" t="s">
        <v>29</v>
      </c>
      <c r="C5" s="63" t="s">
        <v>147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2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2" ht="16.5" customHeight="1" thickBot="1" x14ac:dyDescent="0.3">
      <c r="C7" s="69" t="s">
        <v>151</v>
      </c>
      <c r="D7" s="70"/>
      <c r="E7" s="70"/>
      <c r="F7" s="70"/>
      <c r="G7" s="70"/>
      <c r="H7" s="70"/>
      <c r="I7" s="5"/>
      <c r="J7" s="69" t="s">
        <v>202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2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2" x14ac:dyDescent="0.25">
      <c r="A9" s="6" t="s">
        <v>35</v>
      </c>
      <c r="B9" s="6" t="s">
        <v>46</v>
      </c>
      <c r="C9" s="15">
        <v>3734.1650390625</v>
      </c>
      <c r="D9" s="16">
        <v>37.544400000000003</v>
      </c>
      <c r="E9" s="16">
        <v>39.116999999999997</v>
      </c>
      <c r="F9" s="16">
        <v>41.506700000000002</v>
      </c>
      <c r="G9" s="16">
        <v>50.083472454090149</v>
      </c>
      <c r="H9" s="16">
        <f t="shared" ref="H9:H80" si="0">(6*D9+E9+F9)/8</f>
        <v>38.236262500000009</v>
      </c>
      <c r="I9" s="5"/>
      <c r="J9" s="15">
        <v>4055.9056</v>
      </c>
      <c r="K9" s="16">
        <v>37.578000000000003</v>
      </c>
      <c r="L9" s="16">
        <v>39.362099999999998</v>
      </c>
      <c r="M9" s="16">
        <v>41.826000000000001</v>
      </c>
      <c r="N9" s="16">
        <v>52.228400000000001</v>
      </c>
      <c r="O9" s="16">
        <f t="shared" ref="O9:O80" si="1">(6*K9+L9+M9)/8</f>
        <v>38.332012500000005</v>
      </c>
      <c r="P9" s="7"/>
      <c r="Q9" s="8">
        <f>bdrate(C9:C12,D9:D12,J9:J12,K9:K12)</f>
        <v>9.8708729671621587E-3</v>
      </c>
      <c r="R9" s="8">
        <f>bdrate(C9:C12,E9:E12,J9:J12,L9:L12)</f>
        <v>-8.5874375958881144E-2</v>
      </c>
      <c r="S9" s="8">
        <f>bdrate(C9:C12,F9:F12,J9:J12,M9:M12)</f>
        <v>-6.9682677285493266E-2</v>
      </c>
      <c r="T9" s="25">
        <f>bdrate(C9:C12,H9:H12,J9:J12,O9:O12)</f>
        <v>-2.3255668647405026E-3</v>
      </c>
      <c r="U9" s="28">
        <f t="shared" ref="U9:U72" si="2">(N9-G9)/G9</f>
        <v>4.2827053333333372E-2</v>
      </c>
    </row>
    <row r="10" spans="1:22" x14ac:dyDescent="0.25">
      <c r="A10" s="9" t="s">
        <v>36</v>
      </c>
      <c r="B10" s="9"/>
      <c r="C10" s="17">
        <v>2769.625</v>
      </c>
      <c r="D10" s="18">
        <v>36.486499999999999</v>
      </c>
      <c r="E10" s="18">
        <v>38.604700000000001</v>
      </c>
      <c r="F10" s="18">
        <v>40.958100000000002</v>
      </c>
      <c r="G10" s="18">
        <v>55.289347585698486</v>
      </c>
      <c r="H10" s="18">
        <f t="shared" si="0"/>
        <v>37.310224999999996</v>
      </c>
      <c r="I10" s="5"/>
      <c r="J10" s="17">
        <v>2938.0880000000002</v>
      </c>
      <c r="K10" s="18">
        <v>36.570300000000003</v>
      </c>
      <c r="L10" s="18">
        <v>38.802999999999997</v>
      </c>
      <c r="M10" s="18">
        <v>41.151200000000003</v>
      </c>
      <c r="N10" s="18">
        <v>88.968000000000004</v>
      </c>
      <c r="O10" s="18">
        <f t="shared" si="1"/>
        <v>37.422000000000004</v>
      </c>
      <c r="P10" s="7"/>
      <c r="Q10" s="10"/>
      <c r="R10" s="11"/>
      <c r="S10" s="11"/>
      <c r="T10" s="26"/>
      <c r="U10" s="28">
        <f t="shared" si="2"/>
        <v>0.6091345600000001</v>
      </c>
    </row>
    <row r="11" spans="1:22" x14ac:dyDescent="0.25">
      <c r="B11" s="9"/>
      <c r="C11" s="17">
        <v>1872.43359375</v>
      </c>
      <c r="D11" s="18">
        <v>34.852200000000003</v>
      </c>
      <c r="E11" s="18">
        <v>37.8748</v>
      </c>
      <c r="F11" s="18">
        <v>40.170699999999997</v>
      </c>
      <c r="G11" s="18">
        <v>60.362173038229379</v>
      </c>
      <c r="H11" s="18">
        <f t="shared" si="0"/>
        <v>35.894837500000001</v>
      </c>
      <c r="I11" s="5"/>
      <c r="J11" s="17">
        <v>1904.0336</v>
      </c>
      <c r="K11" s="18">
        <v>34.901000000000003</v>
      </c>
      <c r="L11" s="18">
        <v>38.1068</v>
      </c>
      <c r="M11" s="18">
        <v>40.3994</v>
      </c>
      <c r="N11" s="18">
        <v>102.7397</v>
      </c>
      <c r="O11" s="18">
        <f t="shared" si="1"/>
        <v>35.989024999999998</v>
      </c>
      <c r="P11" s="7"/>
      <c r="Q11" s="10"/>
      <c r="R11" s="11"/>
      <c r="S11" s="11"/>
      <c r="T11" s="26"/>
      <c r="U11" s="28">
        <f t="shared" si="2"/>
        <v>0.70205436333333326</v>
      </c>
    </row>
    <row r="12" spans="1:22" ht="16.5" thickBot="1" x14ac:dyDescent="0.3">
      <c r="B12" s="12"/>
      <c r="C12" s="19">
        <v>922.94140625</v>
      </c>
      <c r="D12" s="20">
        <v>31.920999999999999</v>
      </c>
      <c r="E12" s="20">
        <v>36.762999999999998</v>
      </c>
      <c r="F12" s="20">
        <v>39.026699999999998</v>
      </c>
      <c r="G12" s="20">
        <v>67.598017124831003</v>
      </c>
      <c r="H12" s="20">
        <f t="shared" si="0"/>
        <v>33.414462499999999</v>
      </c>
      <c r="I12" s="5"/>
      <c r="J12" s="19">
        <v>917.82079999999996</v>
      </c>
      <c r="K12" s="20">
        <v>31.973299999999998</v>
      </c>
      <c r="L12" s="20">
        <v>36.834099999999999</v>
      </c>
      <c r="M12" s="20">
        <v>39.027500000000003</v>
      </c>
      <c r="N12" s="20">
        <v>128.31479999999999</v>
      </c>
      <c r="O12" s="20">
        <f t="shared" si="1"/>
        <v>33.462675000000004</v>
      </c>
      <c r="P12" s="7"/>
      <c r="Q12" s="13"/>
      <c r="R12" s="14"/>
      <c r="S12" s="14"/>
      <c r="T12" s="27"/>
      <c r="U12" s="28">
        <f t="shared" si="2"/>
        <v>0.89820360799999988</v>
      </c>
    </row>
    <row r="13" spans="1:22" x14ac:dyDescent="0.25">
      <c r="B13" s="6" t="s">
        <v>47</v>
      </c>
      <c r="C13" s="15">
        <v>3753.380859375</v>
      </c>
      <c r="D13" s="16">
        <v>28.6983</v>
      </c>
      <c r="E13" s="16">
        <v>39.041699999999999</v>
      </c>
      <c r="F13" s="16">
        <v>40.024099999999997</v>
      </c>
      <c r="G13" s="16">
        <v>37.650602409638552</v>
      </c>
      <c r="H13" s="16">
        <f t="shared" si="0"/>
        <v>31.406949999999998</v>
      </c>
      <c r="I13" s="5"/>
      <c r="J13" s="15">
        <v>4059.6527999999998</v>
      </c>
      <c r="K13" s="16">
        <v>28.988499999999998</v>
      </c>
      <c r="L13" s="16">
        <v>39.221699999999998</v>
      </c>
      <c r="M13" s="16">
        <v>40.178699999999999</v>
      </c>
      <c r="N13" s="16">
        <v>52.447600000000001</v>
      </c>
      <c r="O13" s="16">
        <f t="shared" si="1"/>
        <v>31.666424999999997</v>
      </c>
      <c r="P13" s="7"/>
      <c r="Q13" s="8">
        <f>bdrate(C13:C16,D13:D16,J13:J16,K13:K16)</f>
        <v>7.4685296595672135E-2</v>
      </c>
      <c r="R13" s="8">
        <f>bdrate(C13:C16,E13:E16,J13:J16,L13:L16)</f>
        <v>1.2441666256832518E-2</v>
      </c>
      <c r="S13" s="8">
        <f>bdrate(C13:C16,F13:F16,J13:J16,M13:M16)</f>
        <v>-1.0968459394875896E-2</v>
      </c>
      <c r="T13" s="25">
        <f>bdrate(C13:C16,H13:H16,J13:J16,O13:O16)</f>
        <v>6.4468157617634914E-2</v>
      </c>
      <c r="U13" s="28">
        <f t="shared" si="2"/>
        <v>0.39300825600000011</v>
      </c>
    </row>
    <row r="14" spans="1:22" x14ac:dyDescent="0.25">
      <c r="B14" s="9"/>
      <c r="C14" s="17">
        <v>2795.591796875</v>
      </c>
      <c r="D14" s="18">
        <v>27.468900000000001</v>
      </c>
      <c r="E14" s="18">
        <v>38.607399999999998</v>
      </c>
      <c r="F14" s="18">
        <v>39.610799999999998</v>
      </c>
      <c r="G14" s="18">
        <v>47.483380816714153</v>
      </c>
      <c r="H14" s="18">
        <f t="shared" si="0"/>
        <v>30.378949999999996</v>
      </c>
      <c r="I14" s="5"/>
      <c r="J14" s="17">
        <v>3038.4096</v>
      </c>
      <c r="K14" s="18">
        <v>27.643000000000001</v>
      </c>
      <c r="L14" s="18">
        <v>38.760599999999997</v>
      </c>
      <c r="M14" s="18">
        <v>39.762</v>
      </c>
      <c r="N14" s="18">
        <v>74.664000000000001</v>
      </c>
      <c r="O14" s="18">
        <f t="shared" si="1"/>
        <v>30.547575000000002</v>
      </c>
      <c r="P14" s="7"/>
      <c r="Q14" s="10"/>
      <c r="R14" s="11"/>
      <c r="S14" s="11"/>
      <c r="T14" s="26"/>
      <c r="U14" s="28">
        <f t="shared" si="2"/>
        <v>0.57242383999999991</v>
      </c>
    </row>
    <row r="15" spans="1:22" x14ac:dyDescent="0.25">
      <c r="B15" s="9"/>
      <c r="C15" s="17">
        <v>1848.671875</v>
      </c>
      <c r="D15" s="18">
        <v>25.880199999999999</v>
      </c>
      <c r="E15" s="18">
        <v>37.8202</v>
      </c>
      <c r="F15" s="18">
        <v>38.917299999999997</v>
      </c>
      <c r="G15" s="18">
        <v>47.60393525864805</v>
      </c>
      <c r="H15" s="18">
        <f t="shared" si="0"/>
        <v>29.002337499999996</v>
      </c>
      <c r="I15" s="5"/>
      <c r="J15" s="17">
        <v>2009.4639999999999</v>
      </c>
      <c r="K15" s="18">
        <v>25.872499999999999</v>
      </c>
      <c r="L15" s="18">
        <v>37.984900000000003</v>
      </c>
      <c r="M15" s="18">
        <v>39.132800000000003</v>
      </c>
      <c r="N15" s="18">
        <v>89.179500000000004</v>
      </c>
      <c r="O15" s="18">
        <f t="shared" si="1"/>
        <v>29.0440875</v>
      </c>
      <c r="P15" s="7"/>
      <c r="Q15" s="10"/>
      <c r="R15" s="11"/>
      <c r="S15" s="11"/>
      <c r="T15" s="26"/>
      <c r="U15" s="28">
        <f t="shared" si="2"/>
        <v>0.87336402999999996</v>
      </c>
    </row>
    <row r="16" spans="1:22" ht="16.5" thickBot="1" x14ac:dyDescent="0.3">
      <c r="B16" s="12"/>
      <c r="C16" s="19">
        <v>1051.65625</v>
      </c>
      <c r="D16" s="20">
        <v>23.982099999999999</v>
      </c>
      <c r="E16" s="20">
        <v>36.368400000000001</v>
      </c>
      <c r="F16" s="20">
        <v>37.640799999999999</v>
      </c>
      <c r="G16" s="20">
        <v>46.831095847642835</v>
      </c>
      <c r="H16" s="20">
        <f t="shared" si="0"/>
        <v>27.237724999999998</v>
      </c>
      <c r="I16" s="5"/>
      <c r="J16" s="19">
        <v>1155.7344000000001</v>
      </c>
      <c r="K16" s="20">
        <v>23.892099999999999</v>
      </c>
      <c r="L16" s="20">
        <v>36.4938</v>
      </c>
      <c r="M16" s="20">
        <v>37.743600000000001</v>
      </c>
      <c r="N16" s="20">
        <v>106.91379999999999</v>
      </c>
      <c r="O16" s="20">
        <f t="shared" si="1"/>
        <v>27.198749999999997</v>
      </c>
      <c r="P16" s="7"/>
      <c r="Q16" s="13"/>
      <c r="R16" s="14"/>
      <c r="S16" s="14"/>
      <c r="T16" s="27"/>
      <c r="U16" s="28">
        <f t="shared" si="2"/>
        <v>1.2829660093333333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39.180199999999999</v>
      </c>
      <c r="E17" s="16">
        <v>41.775199999999998</v>
      </c>
      <c r="F17" s="16">
        <v>43.1252</v>
      </c>
      <c r="G17" s="16">
        <v>61.680801850424054</v>
      </c>
      <c r="H17" s="16">
        <f t="shared" si="0"/>
        <v>39.997700000000002</v>
      </c>
      <c r="I17" s="5"/>
      <c r="J17" s="15">
        <v>2377.9504000000002</v>
      </c>
      <c r="K17" s="16">
        <v>38.920099999999998</v>
      </c>
      <c r="L17" s="16">
        <v>41.8125</v>
      </c>
      <c r="M17" s="16">
        <v>43.132199999999997</v>
      </c>
      <c r="N17" s="16">
        <v>105.217</v>
      </c>
      <c r="O17" s="16">
        <f t="shared" si="1"/>
        <v>39.808162500000002</v>
      </c>
      <c r="P17" s="7"/>
      <c r="Q17" s="8">
        <f>bdrate(C17:C20,D17:D20,J17:J20,K17:K20)</f>
        <v>6.6638830880744848E-2</v>
      </c>
      <c r="R17" s="8">
        <f>bdrate(C17:C20,E17:E20,J17:J20,L17:L20)</f>
        <v>1.3733861352906107E-2</v>
      </c>
      <c r="S17" s="8">
        <f>bdrate(C17:C20,F17:F20,J17:J20,M17:M20)</f>
        <v>3.7132795863351387E-2</v>
      </c>
      <c r="T17" s="25">
        <f>bdrate(C17:C20,H17:H20,J17:J20,O17:O20)</f>
        <v>6.1286510537788885E-2</v>
      </c>
      <c r="U17" s="28">
        <f t="shared" si="2"/>
        <v>0.70583061250000001</v>
      </c>
    </row>
    <row r="18" spans="1:21" x14ac:dyDescent="0.25">
      <c r="A18" s="9" t="s">
        <v>38</v>
      </c>
      <c r="B18" s="9"/>
      <c r="C18" s="17">
        <v>1484.376953125</v>
      </c>
      <c r="D18" s="18">
        <v>37.775399999999998</v>
      </c>
      <c r="E18" s="18">
        <v>41.140700000000002</v>
      </c>
      <c r="F18" s="18">
        <v>42.39</v>
      </c>
      <c r="G18" s="18">
        <v>80</v>
      </c>
      <c r="H18" s="18">
        <f t="shared" si="0"/>
        <v>38.772887499999996</v>
      </c>
      <c r="I18" s="5"/>
      <c r="J18" s="17">
        <v>1544.6952000000001</v>
      </c>
      <c r="K18" s="18">
        <v>37.581899999999997</v>
      </c>
      <c r="L18" s="18">
        <v>41.127899999999997</v>
      </c>
      <c r="M18" s="18">
        <v>42.361400000000003</v>
      </c>
      <c r="N18" s="18">
        <v>168.06720000000001</v>
      </c>
      <c r="O18" s="18">
        <f t="shared" si="1"/>
        <v>38.622587500000002</v>
      </c>
      <c r="P18" s="7"/>
      <c r="Q18" s="10"/>
      <c r="R18" s="11"/>
      <c r="S18" s="11"/>
      <c r="T18" s="26"/>
      <c r="U18" s="28">
        <f t="shared" si="2"/>
        <v>1.1008400000000003</v>
      </c>
    </row>
    <row r="19" spans="1:21" x14ac:dyDescent="0.25">
      <c r="B19" s="9"/>
      <c r="C19" s="17">
        <v>927.3447265625</v>
      </c>
      <c r="D19" s="18">
        <v>36.075899999999997</v>
      </c>
      <c r="E19" s="18">
        <v>40.323099999999997</v>
      </c>
      <c r="F19" s="18">
        <v>41.5351</v>
      </c>
      <c r="G19" s="18">
        <v>96.618357487922708</v>
      </c>
      <c r="H19" s="18">
        <f t="shared" si="0"/>
        <v>37.289200000000001</v>
      </c>
      <c r="I19" s="5"/>
      <c r="J19" s="17">
        <v>955.14080000000001</v>
      </c>
      <c r="K19" s="18">
        <v>36.020899999999997</v>
      </c>
      <c r="L19" s="18">
        <v>40.380299999999998</v>
      </c>
      <c r="M19" s="18">
        <v>41.557899999999997</v>
      </c>
      <c r="N19" s="18">
        <v>188.97640000000001</v>
      </c>
      <c r="O19" s="18">
        <f t="shared" si="1"/>
        <v>37.257950000000001</v>
      </c>
      <c r="P19" s="7"/>
      <c r="Q19" s="10"/>
      <c r="R19" s="11"/>
      <c r="S19" s="11"/>
      <c r="T19" s="26"/>
      <c r="U19" s="28">
        <f t="shared" si="2"/>
        <v>0.95590574000000006</v>
      </c>
    </row>
    <row r="20" spans="1:21" ht="16.5" thickBot="1" x14ac:dyDescent="0.3">
      <c r="B20" s="12"/>
      <c r="C20" s="19">
        <v>556.25</v>
      </c>
      <c r="D20" s="20">
        <v>34.1935</v>
      </c>
      <c r="E20" s="20">
        <v>39.565899999999999</v>
      </c>
      <c r="F20" s="20">
        <v>40.850700000000003</v>
      </c>
      <c r="G20" s="20">
        <v>112.09715086408221</v>
      </c>
      <c r="H20" s="20">
        <f t="shared" si="0"/>
        <v>35.697200000000002</v>
      </c>
      <c r="I20" s="5"/>
      <c r="J20" s="19">
        <v>559.67439999999999</v>
      </c>
      <c r="K20" s="20">
        <v>34.214799999999997</v>
      </c>
      <c r="L20" s="20">
        <v>39.638199999999998</v>
      </c>
      <c r="M20" s="20">
        <v>40.842599999999997</v>
      </c>
      <c r="N20" s="20">
        <v>218.57919999999999</v>
      </c>
      <c r="O20" s="20">
        <f t="shared" si="1"/>
        <v>35.721199999999996</v>
      </c>
      <c r="P20" s="7"/>
      <c r="Q20" s="13"/>
      <c r="R20" s="14"/>
      <c r="S20" s="14"/>
      <c r="T20" s="27"/>
      <c r="U20" s="28">
        <f t="shared" si="2"/>
        <v>0.9499086133333331</v>
      </c>
    </row>
    <row r="21" spans="1:21" x14ac:dyDescent="0.25">
      <c r="B21" s="6" t="s">
        <v>49</v>
      </c>
      <c r="C21" s="15">
        <v>2263.255859375</v>
      </c>
      <c r="D21" s="16">
        <v>35.997399999999999</v>
      </c>
      <c r="E21" s="16">
        <v>39.601500000000001</v>
      </c>
      <c r="F21" s="16">
        <v>40.733199999999997</v>
      </c>
      <c r="G21" s="16">
        <v>66.11570247933885</v>
      </c>
      <c r="H21" s="16">
        <f t="shared" si="0"/>
        <v>37.039887499999999</v>
      </c>
      <c r="I21" s="5"/>
      <c r="J21" s="15">
        <v>2446.3663999999999</v>
      </c>
      <c r="K21" s="16">
        <v>35.733699999999999</v>
      </c>
      <c r="L21" s="16">
        <v>39.784500000000001</v>
      </c>
      <c r="M21" s="16">
        <v>41.010300000000001</v>
      </c>
      <c r="N21" s="16">
        <v>103.49290000000001</v>
      </c>
      <c r="O21" s="16">
        <f t="shared" si="1"/>
        <v>36.899625</v>
      </c>
      <c r="P21" s="7"/>
      <c r="Q21" s="8">
        <f>bdrate(C21:C24,D21:D24,J21:J24,K21:K24)</f>
        <v>0.11861256851255808</v>
      </c>
      <c r="R21" s="8">
        <f>bdrate(C21:C24,E21:E24,J21:J24,L21:L24)</f>
        <v>-4.711479378024519E-2</v>
      </c>
      <c r="S21" s="8">
        <f>bdrate(C21:C24,F21:F24,J21:J24,M21:M24)</f>
        <v>-6.9763306161013672E-2</v>
      </c>
      <c r="T21" s="25">
        <f>bdrate(C21:C24,H21:H24,J21:J24,O21:O24)</f>
        <v>9.0783461140048649E-2</v>
      </c>
      <c r="U21" s="28">
        <f t="shared" si="2"/>
        <v>0.56533011249999987</v>
      </c>
    </row>
    <row r="22" spans="1:21" x14ac:dyDescent="0.25">
      <c r="B22" s="9"/>
      <c r="C22" s="17">
        <v>1514.9853515625</v>
      </c>
      <c r="D22" s="18">
        <v>34.646500000000003</v>
      </c>
      <c r="E22" s="18">
        <v>38.808300000000003</v>
      </c>
      <c r="F22" s="18">
        <v>40.0077</v>
      </c>
      <c r="G22" s="18">
        <v>85.959885386819494</v>
      </c>
      <c r="H22" s="18">
        <f t="shared" si="0"/>
        <v>35.836875000000006</v>
      </c>
      <c r="I22" s="5"/>
      <c r="J22" s="17">
        <v>1616.5848000000001</v>
      </c>
      <c r="K22" s="18">
        <v>34.451900000000002</v>
      </c>
      <c r="L22" s="18">
        <v>39.035299999999999</v>
      </c>
      <c r="M22" s="18">
        <v>40.279699999999998</v>
      </c>
      <c r="N22" s="18">
        <v>151.32409999999999</v>
      </c>
      <c r="O22" s="18">
        <f t="shared" si="1"/>
        <v>35.753300000000003</v>
      </c>
      <c r="P22" s="7"/>
      <c r="Q22" s="10"/>
      <c r="R22" s="11"/>
      <c r="S22" s="11"/>
      <c r="T22" s="26"/>
      <c r="U22" s="28">
        <f t="shared" si="2"/>
        <v>0.7604036966666663</v>
      </c>
    </row>
    <row r="23" spans="1:21" x14ac:dyDescent="0.25">
      <c r="B23" s="9"/>
      <c r="C23" s="17">
        <v>944.41015625</v>
      </c>
      <c r="D23" s="18">
        <v>33.099699999999999</v>
      </c>
      <c r="E23" s="18">
        <v>37.911499999999997</v>
      </c>
      <c r="F23" s="18">
        <v>39.2821</v>
      </c>
      <c r="G23" s="18">
        <v>99.543757776856069</v>
      </c>
      <c r="H23" s="18">
        <f t="shared" si="0"/>
        <v>34.473974999999996</v>
      </c>
      <c r="I23" s="5"/>
      <c r="J23" s="17">
        <v>995.39200000000005</v>
      </c>
      <c r="K23" s="18">
        <v>32.9358</v>
      </c>
      <c r="L23" s="18">
        <v>38.116100000000003</v>
      </c>
      <c r="M23" s="18">
        <v>39.457000000000001</v>
      </c>
      <c r="N23" s="18">
        <v>179.77529999999999</v>
      </c>
      <c r="O23" s="18">
        <f t="shared" si="1"/>
        <v>34.398487500000002</v>
      </c>
      <c r="P23" s="7"/>
      <c r="Q23" s="10"/>
      <c r="R23" s="11"/>
      <c r="S23" s="11"/>
      <c r="T23" s="26"/>
      <c r="U23" s="28">
        <f t="shared" si="2"/>
        <v>0.80599270125</v>
      </c>
    </row>
    <row r="24" spans="1:21" ht="16.5" thickBot="1" x14ac:dyDescent="0.3">
      <c r="B24" s="12"/>
      <c r="C24" s="19">
        <v>568.34375</v>
      </c>
      <c r="D24" s="20">
        <v>31.4621</v>
      </c>
      <c r="E24" s="20">
        <v>37.134799999999998</v>
      </c>
      <c r="F24" s="20">
        <v>38.713500000000003</v>
      </c>
      <c r="G24" s="20">
        <v>117.82032400589102</v>
      </c>
      <c r="H24" s="20">
        <f t="shared" si="0"/>
        <v>33.077612500000001</v>
      </c>
      <c r="I24" s="5"/>
      <c r="J24" s="19">
        <v>580.98239999999998</v>
      </c>
      <c r="K24" s="20">
        <v>31.3169</v>
      </c>
      <c r="L24" s="20">
        <v>37.173999999999999</v>
      </c>
      <c r="M24" s="20">
        <v>38.739100000000001</v>
      </c>
      <c r="N24" s="20">
        <v>211.26759999999999</v>
      </c>
      <c r="O24" s="20">
        <f t="shared" si="1"/>
        <v>32.976812500000001</v>
      </c>
      <c r="P24" s="7"/>
      <c r="Q24" s="13"/>
      <c r="R24" s="14"/>
      <c r="S24" s="14"/>
      <c r="T24" s="27"/>
      <c r="U24" s="28">
        <f t="shared" si="2"/>
        <v>0.79313375499999983</v>
      </c>
    </row>
    <row r="25" spans="1:21" x14ac:dyDescent="0.25">
      <c r="B25" s="6" t="s">
        <v>50</v>
      </c>
      <c r="C25" s="15">
        <v>2302.2958984375</v>
      </c>
      <c r="D25" s="16">
        <v>33.702300000000001</v>
      </c>
      <c r="E25" s="16">
        <v>37.834600000000002</v>
      </c>
      <c r="F25" s="16">
        <v>39.494599999999998</v>
      </c>
      <c r="G25" s="16">
        <v>82.196284727930291</v>
      </c>
      <c r="H25" s="16">
        <f t="shared" si="0"/>
        <v>34.942875000000001</v>
      </c>
      <c r="I25" s="5"/>
      <c r="J25" s="15">
        <v>2408.4928</v>
      </c>
      <c r="K25" s="16">
        <v>33.779200000000003</v>
      </c>
      <c r="L25" s="16">
        <v>38.028599999999997</v>
      </c>
      <c r="M25" s="16">
        <v>39.974800000000002</v>
      </c>
      <c r="N25" s="16">
        <v>102.18680000000001</v>
      </c>
      <c r="O25" s="16">
        <f t="shared" si="1"/>
        <v>35.084825000000002</v>
      </c>
      <c r="P25" s="7"/>
      <c r="Q25" s="8">
        <f>bdrate(C25:C28,D25:D28,J25:J28,K25:K28)</f>
        <v>-2.3699838439872445E-2</v>
      </c>
      <c r="R25" s="8">
        <f>bdrate(C25:C28,E25:E28,J25:J28,L25:L28)</f>
        <v>-0.11264404942364992</v>
      </c>
      <c r="S25" s="8">
        <f>bdrate(C25:C28,F25:F28,J25:J28,M25:M28)</f>
        <v>-0.12584403604926797</v>
      </c>
      <c r="T25" s="25">
        <f>bdrate(C25:C28,H25:H28,J25:J28,O25:O28)</f>
        <v>-3.8225674689648992E-2</v>
      </c>
      <c r="U25" s="28">
        <f t="shared" si="2"/>
        <v>0.24320460880000017</v>
      </c>
    </row>
    <row r="26" spans="1:21" x14ac:dyDescent="0.25">
      <c r="B26" s="9"/>
      <c r="C26" s="17">
        <v>1536.7490234375</v>
      </c>
      <c r="D26" s="18">
        <v>32.306600000000003</v>
      </c>
      <c r="E26" s="18">
        <v>37.325200000000002</v>
      </c>
      <c r="F26" s="18">
        <v>38.601599999999998</v>
      </c>
      <c r="G26" s="18">
        <v>125.18778167250876</v>
      </c>
      <c r="H26" s="18">
        <f t="shared" si="0"/>
        <v>33.720800000000004</v>
      </c>
      <c r="I26" s="5"/>
      <c r="J26" s="17">
        <v>1606.3632</v>
      </c>
      <c r="K26" s="18">
        <v>32.523099999999999</v>
      </c>
      <c r="L26" s="18">
        <v>37.5946</v>
      </c>
      <c r="M26" s="18">
        <v>39.153500000000001</v>
      </c>
      <c r="N26" s="18">
        <v>208.42019999999999</v>
      </c>
      <c r="O26" s="18">
        <f t="shared" si="1"/>
        <v>33.985837500000002</v>
      </c>
      <c r="P26" s="7"/>
      <c r="Q26" s="10"/>
      <c r="R26" s="11"/>
      <c r="S26" s="11"/>
      <c r="T26" s="26"/>
      <c r="U26" s="28">
        <f t="shared" si="2"/>
        <v>0.66486055759999996</v>
      </c>
    </row>
    <row r="27" spans="1:21" x14ac:dyDescent="0.25">
      <c r="B27" s="9"/>
      <c r="C27" s="17">
        <v>959.7177734375</v>
      </c>
      <c r="D27" s="18">
        <v>30.6526</v>
      </c>
      <c r="E27" s="18">
        <v>36.825000000000003</v>
      </c>
      <c r="F27" s="18">
        <v>37.863300000000002</v>
      </c>
      <c r="G27" s="18">
        <v>142.65335235378032</v>
      </c>
      <c r="H27" s="18">
        <f t="shared" si="0"/>
        <v>32.325487499999994</v>
      </c>
      <c r="I27" s="5"/>
      <c r="J27" s="17">
        <v>1000.2568</v>
      </c>
      <c r="K27" s="18">
        <v>30.920400000000001</v>
      </c>
      <c r="L27" s="18">
        <v>37.002000000000002</v>
      </c>
      <c r="M27" s="18">
        <v>38.120399999999997</v>
      </c>
      <c r="N27" s="18">
        <v>240.84780000000001</v>
      </c>
      <c r="O27" s="18">
        <f t="shared" si="1"/>
        <v>32.580600000000004</v>
      </c>
      <c r="P27" s="7"/>
      <c r="Q27" s="10"/>
      <c r="R27" s="11"/>
      <c r="S27" s="11"/>
      <c r="T27" s="26"/>
      <c r="U27" s="28">
        <f t="shared" si="2"/>
        <v>0.68834307799999994</v>
      </c>
    </row>
    <row r="28" spans="1:21" ht="16.5" thickBot="1" x14ac:dyDescent="0.3">
      <c r="B28" s="12"/>
      <c r="C28" s="19">
        <v>577.669921875</v>
      </c>
      <c r="D28" s="20">
        <v>28.8247</v>
      </c>
      <c r="E28" s="20">
        <v>36.219499999999996</v>
      </c>
      <c r="F28" s="20">
        <v>36.830800000000004</v>
      </c>
      <c r="G28" s="20">
        <v>147.3187978786093</v>
      </c>
      <c r="H28" s="20">
        <f t="shared" si="0"/>
        <v>30.749812499999997</v>
      </c>
      <c r="I28" s="5"/>
      <c r="J28" s="19">
        <v>597.91520000000003</v>
      </c>
      <c r="K28" s="20">
        <v>29.0655</v>
      </c>
      <c r="L28" s="20">
        <v>36.281700000000001</v>
      </c>
      <c r="M28" s="20">
        <v>36.970100000000002</v>
      </c>
      <c r="N28" s="20">
        <v>284.09089999999998</v>
      </c>
      <c r="O28" s="20">
        <f t="shared" si="1"/>
        <v>30.9556</v>
      </c>
      <c r="P28" s="7"/>
      <c r="Q28" s="13"/>
      <c r="R28" s="14"/>
      <c r="S28" s="14"/>
      <c r="T28" s="27"/>
      <c r="U28" s="28">
        <f t="shared" si="2"/>
        <v>0.9284090291999999</v>
      </c>
    </row>
    <row r="29" spans="1:21" x14ac:dyDescent="0.25">
      <c r="B29" s="6" t="s">
        <v>51</v>
      </c>
      <c r="C29" s="29">
        <v>2296.3505859375</v>
      </c>
      <c r="D29" s="30">
        <v>34.024099999999997</v>
      </c>
      <c r="E29" s="30">
        <v>40.217199999999998</v>
      </c>
      <c r="F29" s="30">
        <v>39.823700000000002</v>
      </c>
      <c r="G29" s="16">
        <v>79.415501905972036</v>
      </c>
      <c r="H29" s="16">
        <f t="shared" si="0"/>
        <v>35.523187499999992</v>
      </c>
      <c r="I29" s="5"/>
      <c r="J29" s="29">
        <v>2414.2136</v>
      </c>
      <c r="K29" s="30">
        <v>33.735999999999997</v>
      </c>
      <c r="L29" s="30">
        <v>40.135800000000003</v>
      </c>
      <c r="M29" s="30">
        <v>39.7224</v>
      </c>
      <c r="N29" s="16">
        <v>102.0616</v>
      </c>
      <c r="O29" s="16">
        <f t="shared" si="1"/>
        <v>35.284275000000001</v>
      </c>
      <c r="P29" s="7"/>
      <c r="Q29" s="8">
        <f>bdrate(C29:C32,D29:D32,J29:J32,K29:K32)</f>
        <v>0.10868441567021714</v>
      </c>
      <c r="R29" s="8">
        <f>bdrate(C29:C32,E29:E32,J29:J32,L29:L32)</f>
        <v>0.11051887919500802</v>
      </c>
      <c r="S29" s="8">
        <f>bdrate(C29:C32,F29:F32,J29:J32,M29:M32)</f>
        <v>6.0057104237955627E-2</v>
      </c>
      <c r="T29" s="25">
        <f>bdrate(C29:C32,H29:H32,J29:J32,O29:O32)</f>
        <v>0.10354429840584101</v>
      </c>
      <c r="U29" s="28">
        <f t="shared" si="2"/>
        <v>0.28515966720000013</v>
      </c>
    </row>
    <row r="30" spans="1:21" x14ac:dyDescent="0.25">
      <c r="B30" s="9"/>
      <c r="C30" s="31">
        <v>1529.2265625</v>
      </c>
      <c r="D30" s="32">
        <v>32.523299999999999</v>
      </c>
      <c r="E30" s="32">
        <v>39.479700000000001</v>
      </c>
      <c r="F30" s="32">
        <v>38.791499999999999</v>
      </c>
      <c r="G30" s="18">
        <v>112.15791834903544</v>
      </c>
      <c r="H30" s="18">
        <f t="shared" si="0"/>
        <v>34.176375</v>
      </c>
      <c r="I30" s="5"/>
      <c r="J30" s="31">
        <v>1606.6176</v>
      </c>
      <c r="K30" s="32">
        <v>32.305999999999997</v>
      </c>
      <c r="L30" s="32">
        <v>39.362400000000001</v>
      </c>
      <c r="M30" s="32">
        <v>38.7241</v>
      </c>
      <c r="N30" s="18">
        <v>178.82689999999999</v>
      </c>
      <c r="O30" s="18">
        <f t="shared" si="1"/>
        <v>33.990312500000002</v>
      </c>
      <c r="P30" s="7"/>
      <c r="Q30" s="10"/>
      <c r="R30" s="11"/>
      <c r="S30" s="11"/>
      <c r="T30" s="26"/>
      <c r="U30" s="28">
        <f t="shared" si="2"/>
        <v>0.59442064039999998</v>
      </c>
    </row>
    <row r="31" spans="1:21" x14ac:dyDescent="0.25">
      <c r="B31" s="9"/>
      <c r="C31" s="31">
        <v>955.12109375</v>
      </c>
      <c r="D31" s="32">
        <v>30.737300000000001</v>
      </c>
      <c r="E31" s="32">
        <v>38.533999999999999</v>
      </c>
      <c r="F31" s="32">
        <v>37.4955</v>
      </c>
      <c r="G31" s="18">
        <v>121.32977432661974</v>
      </c>
      <c r="H31" s="18">
        <f t="shared" si="0"/>
        <v>32.556662500000002</v>
      </c>
      <c r="I31" s="5"/>
      <c r="J31" s="31">
        <v>1001.4624</v>
      </c>
      <c r="K31" s="32">
        <v>30.523</v>
      </c>
      <c r="L31" s="32">
        <v>38.364600000000003</v>
      </c>
      <c r="M31" s="32">
        <v>37.475299999999997</v>
      </c>
      <c r="N31" s="18">
        <v>209.9958</v>
      </c>
      <c r="O31" s="18">
        <f t="shared" si="1"/>
        <v>32.372237499999997</v>
      </c>
      <c r="P31" s="7"/>
      <c r="Q31" s="10"/>
      <c r="R31" s="11"/>
      <c r="S31" s="11"/>
      <c r="T31" s="26"/>
      <c r="U31" s="28">
        <f t="shared" si="2"/>
        <v>0.73078538360000023</v>
      </c>
    </row>
    <row r="32" spans="1:21" ht="16.5" thickBot="1" x14ac:dyDescent="0.3">
      <c r="B32" s="12"/>
      <c r="C32" s="33">
        <v>573.96875</v>
      </c>
      <c r="D32" s="34">
        <v>28.715299999999999</v>
      </c>
      <c r="E32" s="34">
        <v>37.025199999999998</v>
      </c>
      <c r="F32" s="34">
        <v>35.732100000000003</v>
      </c>
      <c r="G32" s="20">
        <v>137.85497656465398</v>
      </c>
      <c r="H32" s="20">
        <f t="shared" si="0"/>
        <v>30.631137500000001</v>
      </c>
      <c r="I32" s="5"/>
      <c r="J32" s="33">
        <v>598.99839999999995</v>
      </c>
      <c r="K32" s="34">
        <v>28.595400000000001</v>
      </c>
      <c r="L32" s="34">
        <v>36.967500000000001</v>
      </c>
      <c r="M32" s="34">
        <v>35.811700000000002</v>
      </c>
      <c r="N32" s="20">
        <v>250.37559999999999</v>
      </c>
      <c r="O32" s="20">
        <f t="shared" si="1"/>
        <v>30.543950000000002</v>
      </c>
      <c r="P32" s="7"/>
      <c r="Q32" s="13"/>
      <c r="R32" s="14"/>
      <c r="S32" s="14"/>
      <c r="T32" s="27"/>
      <c r="U32" s="28">
        <f t="shared" si="2"/>
        <v>0.81622460239999994</v>
      </c>
    </row>
    <row r="33" spans="1:21" x14ac:dyDescent="0.25">
      <c r="B33" s="6" t="s">
        <v>52</v>
      </c>
      <c r="C33" s="15">
        <v>2319.078125</v>
      </c>
      <c r="D33" s="16">
        <v>33.500900000000001</v>
      </c>
      <c r="E33" s="16">
        <v>39.625300000000003</v>
      </c>
      <c r="F33" s="16">
        <v>42.035699999999999</v>
      </c>
      <c r="G33" s="16">
        <v>86.667629640329338</v>
      </c>
      <c r="H33" s="16">
        <f t="shared" si="0"/>
        <v>35.333300000000001</v>
      </c>
      <c r="I33" s="5"/>
      <c r="J33" s="15">
        <v>2422.7040000000002</v>
      </c>
      <c r="K33" s="16">
        <v>33.344099999999997</v>
      </c>
      <c r="L33" s="16">
        <v>39.682299999999998</v>
      </c>
      <c r="M33" s="16">
        <v>42.171300000000002</v>
      </c>
      <c r="N33" s="16">
        <v>101.2487</v>
      </c>
      <c r="O33" s="16">
        <f t="shared" si="1"/>
        <v>35.239774999999995</v>
      </c>
      <c r="P33" s="7"/>
      <c r="Q33" s="8">
        <f>bdrate(C33:C36,D33:D36,J33:J36,K33:K36)</f>
        <v>6.7094591051701569E-2</v>
      </c>
      <c r="R33" s="8">
        <f>bdrate(C33:C36,E33:E36,J33:J36,L33:L36)</f>
        <v>3.1317558763877873E-2</v>
      </c>
      <c r="S33" s="8">
        <f>bdrate(C33:C36,F33:F36,J33:J36,M33:M36)</f>
        <v>5.2516984719164217E-3</v>
      </c>
      <c r="T33" s="25">
        <f>bdrate(C33:C36,H33:H36,J33:J36,O33:O36)</f>
        <v>6.0930109678342115E-2</v>
      </c>
      <c r="U33" s="28">
        <f t="shared" si="2"/>
        <v>0.16824125016666666</v>
      </c>
    </row>
    <row r="34" spans="1:21" x14ac:dyDescent="0.25">
      <c r="B34" s="9"/>
      <c r="C34" s="17">
        <v>1536.4267578125</v>
      </c>
      <c r="D34" s="18">
        <v>32.718000000000004</v>
      </c>
      <c r="E34" s="18">
        <v>39.182000000000002</v>
      </c>
      <c r="F34" s="18">
        <v>41.625</v>
      </c>
      <c r="G34" s="18">
        <v>123.68583797155226</v>
      </c>
      <c r="H34" s="18">
        <f t="shared" si="0"/>
        <v>34.639375000000001</v>
      </c>
      <c r="I34" s="5"/>
      <c r="J34" s="17">
        <v>1611.8768</v>
      </c>
      <c r="K34" s="18">
        <v>32.608800000000002</v>
      </c>
      <c r="L34" s="18">
        <v>39.211500000000001</v>
      </c>
      <c r="M34" s="18">
        <v>41.761499999999998</v>
      </c>
      <c r="N34" s="18">
        <v>216.13829999999999</v>
      </c>
      <c r="O34" s="18">
        <f t="shared" si="1"/>
        <v>34.578225000000003</v>
      </c>
      <c r="P34" s="7"/>
      <c r="Q34" s="10"/>
      <c r="R34" s="11"/>
      <c r="S34" s="11"/>
      <c r="T34" s="26"/>
      <c r="U34" s="28">
        <f t="shared" si="2"/>
        <v>0.74747815549999985</v>
      </c>
    </row>
    <row r="35" spans="1:21" x14ac:dyDescent="0.25">
      <c r="B35" s="9"/>
      <c r="C35" s="17">
        <v>955.3603515625</v>
      </c>
      <c r="D35" s="18">
        <v>31.467300000000002</v>
      </c>
      <c r="E35" s="18">
        <v>38.5411</v>
      </c>
      <c r="F35" s="18">
        <v>41.084699999999998</v>
      </c>
      <c r="G35" s="18">
        <v>134.7103726986978</v>
      </c>
      <c r="H35" s="18">
        <f t="shared" si="0"/>
        <v>33.553700000000006</v>
      </c>
      <c r="I35" s="5"/>
      <c r="J35" s="17">
        <v>1018.0656</v>
      </c>
      <c r="K35" s="18">
        <v>31.4727</v>
      </c>
      <c r="L35" s="18">
        <v>38.570099999999996</v>
      </c>
      <c r="M35" s="18">
        <v>41.0929</v>
      </c>
      <c r="N35" s="18">
        <v>245.19820000000001</v>
      </c>
      <c r="O35" s="18">
        <f t="shared" si="1"/>
        <v>33.562399999999997</v>
      </c>
      <c r="P35" s="7"/>
      <c r="Q35" s="10"/>
      <c r="R35" s="11"/>
      <c r="S35" s="11"/>
      <c r="T35" s="26"/>
      <c r="U35" s="28">
        <f t="shared" si="2"/>
        <v>0.82018797133333354</v>
      </c>
    </row>
    <row r="36" spans="1:21" ht="16.5" thickBot="1" x14ac:dyDescent="0.3">
      <c r="B36" s="12"/>
      <c r="C36" s="19">
        <v>573.6943359375</v>
      </c>
      <c r="D36" s="20">
        <v>29.7821</v>
      </c>
      <c r="E36" s="20">
        <v>38.049500000000002</v>
      </c>
      <c r="F36" s="20">
        <v>40.638500000000001</v>
      </c>
      <c r="G36" s="20">
        <v>147.38393515106856</v>
      </c>
      <c r="H36" s="20">
        <f t="shared" si="0"/>
        <v>32.172575000000002</v>
      </c>
      <c r="I36" s="5"/>
      <c r="J36" s="19">
        <v>598.21199999999999</v>
      </c>
      <c r="K36" s="20">
        <v>29.9557</v>
      </c>
      <c r="L36" s="20">
        <v>38.040700000000001</v>
      </c>
      <c r="M36" s="20">
        <v>40.565800000000003</v>
      </c>
      <c r="N36" s="20">
        <v>278.55149999999998</v>
      </c>
      <c r="O36" s="20">
        <f t="shared" si="1"/>
        <v>32.292587500000003</v>
      </c>
      <c r="P36" s="7"/>
      <c r="Q36" s="13"/>
      <c r="R36" s="14"/>
      <c r="S36" s="14"/>
      <c r="T36" s="27"/>
      <c r="U36" s="28">
        <f t="shared" si="2"/>
        <v>0.88997192749999954</v>
      </c>
    </row>
    <row r="37" spans="1:21" x14ac:dyDescent="0.25">
      <c r="A37" s="6" t="s">
        <v>39</v>
      </c>
      <c r="B37" s="6" t="s">
        <v>53</v>
      </c>
      <c r="C37" s="15">
        <v>1154.859375</v>
      </c>
      <c r="D37" s="16">
        <v>34.786900000000003</v>
      </c>
      <c r="E37" s="16">
        <v>38.6633</v>
      </c>
      <c r="F37" s="16">
        <v>38.4512</v>
      </c>
      <c r="G37" s="16">
        <v>234.96240601503757</v>
      </c>
      <c r="H37" s="16">
        <f t="shared" si="0"/>
        <v>35.729487500000005</v>
      </c>
      <c r="I37" s="5"/>
      <c r="J37" s="15">
        <v>1218.6592000000001</v>
      </c>
      <c r="K37" s="16">
        <v>34.626600000000003</v>
      </c>
      <c r="L37" s="16">
        <v>38.7761</v>
      </c>
      <c r="M37" s="16">
        <v>38.533799999999999</v>
      </c>
      <c r="N37" s="16">
        <v>541.12549999999999</v>
      </c>
      <c r="O37" s="16">
        <f t="shared" si="1"/>
        <v>35.633687500000001</v>
      </c>
      <c r="P37" s="7"/>
      <c r="Q37" s="8">
        <f>bdrate(C37:C40,D37:D40,J37:J40,K37:K40)</f>
        <v>3.2913863882679806E-2</v>
      </c>
      <c r="R37" s="8">
        <f>bdrate(C37:C40,E37:E40,J37:J40,L37:L40)</f>
        <v>3.3506539640181243E-2</v>
      </c>
      <c r="S37" s="8">
        <f>bdrate(C37:C40,F37:F40,J37:J40,M37:M40)</f>
        <v>3.4701499884392195E-2</v>
      </c>
      <c r="T37" s="25">
        <f>bdrate(C37:C40,H37:H40,J37:J40,O37:O40)</f>
        <v>3.3336569962455709E-2</v>
      </c>
      <c r="U37" s="28">
        <f t="shared" si="2"/>
        <v>1.3030301280000001</v>
      </c>
    </row>
    <row r="38" spans="1:21" x14ac:dyDescent="0.25">
      <c r="A38" s="9" t="s">
        <v>40</v>
      </c>
      <c r="B38" s="9"/>
      <c r="C38" s="17">
        <v>769.4033203125</v>
      </c>
      <c r="D38" s="18">
        <v>33.098199999999999</v>
      </c>
      <c r="E38" s="18">
        <v>37.614899999999999</v>
      </c>
      <c r="F38" s="18">
        <v>37.263300000000001</v>
      </c>
      <c r="G38" s="18">
        <v>305.99755201958385</v>
      </c>
      <c r="H38" s="18">
        <f t="shared" si="0"/>
        <v>34.183425</v>
      </c>
      <c r="I38" s="5"/>
      <c r="J38" s="17">
        <v>803.32079999999996</v>
      </c>
      <c r="K38" s="18">
        <v>33.043799999999997</v>
      </c>
      <c r="L38" s="18">
        <v>37.573900000000002</v>
      </c>
      <c r="M38" s="18">
        <v>37.232799999999997</v>
      </c>
      <c r="N38" s="18">
        <v>632.91139999999996</v>
      </c>
      <c r="O38" s="18">
        <f t="shared" si="1"/>
        <v>34.133687499999994</v>
      </c>
      <c r="P38" s="7"/>
      <c r="Q38" s="10"/>
      <c r="R38" s="11"/>
      <c r="S38" s="11"/>
      <c r="T38" s="26"/>
      <c r="U38" s="28">
        <f t="shared" si="2"/>
        <v>1.0683544551999997</v>
      </c>
    </row>
    <row r="39" spans="1:21" x14ac:dyDescent="0.25">
      <c r="B39" s="9"/>
      <c r="C39" s="17">
        <v>480.7216796875</v>
      </c>
      <c r="D39" s="18">
        <v>31.103100000000001</v>
      </c>
      <c r="E39" s="18">
        <v>36.302100000000003</v>
      </c>
      <c r="F39" s="18">
        <v>35.783700000000003</v>
      </c>
      <c r="G39" s="18">
        <v>407.49796251018739</v>
      </c>
      <c r="H39" s="18">
        <f t="shared" si="0"/>
        <v>32.338050000000003</v>
      </c>
      <c r="I39" s="5"/>
      <c r="J39" s="17">
        <v>500.84800000000001</v>
      </c>
      <c r="K39" s="18">
        <v>31.241299999999999</v>
      </c>
      <c r="L39" s="18">
        <v>36.361199999999997</v>
      </c>
      <c r="M39" s="18">
        <v>35.856299999999997</v>
      </c>
      <c r="N39" s="18">
        <v>745.15650000000005</v>
      </c>
      <c r="O39" s="18">
        <f t="shared" si="1"/>
        <v>32.4581625</v>
      </c>
      <c r="P39" s="7"/>
      <c r="Q39" s="10"/>
      <c r="R39" s="11"/>
      <c r="S39" s="11"/>
      <c r="T39" s="26"/>
      <c r="U39" s="28">
        <f t="shared" si="2"/>
        <v>0.82861405100000041</v>
      </c>
    </row>
    <row r="40" spans="1:21" ht="16.5" thickBot="1" x14ac:dyDescent="0.3">
      <c r="B40" s="12"/>
      <c r="C40" s="19">
        <v>288.7939453125</v>
      </c>
      <c r="D40" s="20">
        <v>29.160799999999998</v>
      </c>
      <c r="E40" s="20">
        <v>35.025399999999998</v>
      </c>
      <c r="F40" s="20">
        <v>34.383299999999998</v>
      </c>
      <c r="G40" s="20">
        <v>504.54086781029264</v>
      </c>
      <c r="H40" s="20">
        <f t="shared" si="0"/>
        <v>30.546687499999997</v>
      </c>
      <c r="I40" s="5"/>
      <c r="J40" s="19">
        <v>301.8664</v>
      </c>
      <c r="K40" s="20">
        <v>29.3231</v>
      </c>
      <c r="L40" s="20">
        <v>35.078499999999998</v>
      </c>
      <c r="M40" s="20">
        <v>34.388500000000001</v>
      </c>
      <c r="N40" s="20">
        <v>927.64380000000006</v>
      </c>
      <c r="O40" s="20">
        <f t="shared" si="1"/>
        <v>30.675699999999999</v>
      </c>
      <c r="P40" s="7"/>
      <c r="Q40" s="13"/>
      <c r="R40" s="14"/>
      <c r="S40" s="14"/>
      <c r="T40" s="27"/>
      <c r="U40" s="28">
        <f t="shared" si="2"/>
        <v>0.83859001160000013</v>
      </c>
    </row>
    <row r="41" spans="1:21" x14ac:dyDescent="0.25">
      <c r="B41" s="6" t="s">
        <v>54</v>
      </c>
      <c r="C41" s="15">
        <v>1203.3740234375</v>
      </c>
      <c r="D41" s="16">
        <v>35.0901</v>
      </c>
      <c r="E41" s="16">
        <v>40.210299999999997</v>
      </c>
      <c r="F41" s="16">
        <v>41.058599999999998</v>
      </c>
      <c r="G41" s="16">
        <v>270.51397655545537</v>
      </c>
      <c r="H41" s="16">
        <f t="shared" si="0"/>
        <v>36.476187499999995</v>
      </c>
      <c r="I41" s="5"/>
      <c r="J41" s="15">
        <v>1236.6959999999999</v>
      </c>
      <c r="K41" s="16">
        <v>34.820500000000003</v>
      </c>
      <c r="L41" s="16">
        <v>40.337600000000002</v>
      </c>
      <c r="M41" s="16">
        <v>41.141399999999997</v>
      </c>
      <c r="N41" s="16">
        <v>530.50400000000002</v>
      </c>
      <c r="O41" s="16">
        <f t="shared" si="1"/>
        <v>36.300249999999998</v>
      </c>
      <c r="P41" s="7"/>
      <c r="Q41" s="8">
        <f>bdrate(C41:C44,D41:D44,J41:J44,K41:K44)</f>
        <v>1.6132306822333131E-2</v>
      </c>
      <c r="R41" s="8">
        <f>bdrate(C41:C44,E41:E44,J41:J44,L41:L44)</f>
        <v>-7.1599383317660248E-2</v>
      </c>
      <c r="S41" s="8">
        <f>bdrate(C41:C44,F41:F44,J41:J44,M41:M44)</f>
        <v>-3.0273385394473995E-2</v>
      </c>
      <c r="T41" s="25">
        <f>bdrate(C41:C44,H41:H44,J41:J44,O41:O44)</f>
        <v>5.7580968422448198E-3</v>
      </c>
      <c r="U41" s="28">
        <f t="shared" si="2"/>
        <v>0.96109645333333338</v>
      </c>
    </row>
    <row r="42" spans="1:21" x14ac:dyDescent="0.25">
      <c r="B42" s="9"/>
      <c r="C42" s="17">
        <v>803.1669921875</v>
      </c>
      <c r="D42" s="18">
        <v>33.314599999999999</v>
      </c>
      <c r="E42" s="18">
        <v>39.159500000000001</v>
      </c>
      <c r="F42" s="18">
        <v>39.919400000000003</v>
      </c>
      <c r="G42" s="18">
        <v>376.1755485893417</v>
      </c>
      <c r="H42" s="18">
        <f t="shared" si="0"/>
        <v>34.8708125</v>
      </c>
      <c r="I42" s="5"/>
      <c r="J42" s="17">
        <v>825.52639999999997</v>
      </c>
      <c r="K42" s="18">
        <v>33.265799999999999</v>
      </c>
      <c r="L42" s="18">
        <v>39.382300000000001</v>
      </c>
      <c r="M42" s="18">
        <v>40.073599999999999</v>
      </c>
      <c r="N42" s="18">
        <v>621.76170000000002</v>
      </c>
      <c r="O42" s="18">
        <f t="shared" si="1"/>
        <v>34.881337500000001</v>
      </c>
      <c r="P42" s="7"/>
      <c r="Q42" s="10"/>
      <c r="R42" s="11"/>
      <c r="S42" s="11"/>
      <c r="T42" s="26"/>
      <c r="U42" s="28">
        <f t="shared" si="2"/>
        <v>0.65284985250000005</v>
      </c>
    </row>
    <row r="43" spans="1:21" x14ac:dyDescent="0.25">
      <c r="B43" s="9"/>
      <c r="C43" s="17">
        <v>502.2822265625</v>
      </c>
      <c r="D43" s="18">
        <v>31.2483</v>
      </c>
      <c r="E43" s="18">
        <v>38.1083</v>
      </c>
      <c r="F43" s="18">
        <v>38.745199999999997</v>
      </c>
      <c r="G43" s="18">
        <v>463.32046332046332</v>
      </c>
      <c r="H43" s="18">
        <f t="shared" si="0"/>
        <v>33.0429125</v>
      </c>
      <c r="I43" s="5"/>
      <c r="J43" s="17">
        <v>514.88160000000005</v>
      </c>
      <c r="K43" s="18">
        <v>31.386900000000001</v>
      </c>
      <c r="L43" s="18">
        <v>38.360999999999997</v>
      </c>
      <c r="M43" s="18">
        <v>38.916800000000002</v>
      </c>
      <c r="N43" s="18">
        <v>741.65639999999996</v>
      </c>
      <c r="O43" s="18">
        <f t="shared" si="1"/>
        <v>33.1999</v>
      </c>
      <c r="P43" s="7"/>
      <c r="Q43" s="10"/>
      <c r="R43" s="11"/>
      <c r="S43" s="11"/>
      <c r="T43" s="26"/>
      <c r="U43" s="28">
        <f t="shared" si="2"/>
        <v>0.60074172999999997</v>
      </c>
    </row>
    <row r="44" spans="1:21" ht="16.5" thickBot="1" x14ac:dyDescent="0.3">
      <c r="B44" s="12"/>
      <c r="C44" s="19">
        <v>301.619140625</v>
      </c>
      <c r="D44" s="20">
        <v>29.146100000000001</v>
      </c>
      <c r="E44" s="20">
        <v>37.1342</v>
      </c>
      <c r="F44" s="20">
        <v>37.638500000000001</v>
      </c>
      <c r="G44" s="20">
        <v>519.03114186851212</v>
      </c>
      <c r="H44" s="20">
        <f t="shared" si="0"/>
        <v>31.206162499999998</v>
      </c>
      <c r="I44" s="5"/>
      <c r="J44" s="19">
        <v>308.28800000000001</v>
      </c>
      <c r="K44" s="20">
        <v>29.308299999999999</v>
      </c>
      <c r="L44" s="20">
        <v>37.308599999999998</v>
      </c>
      <c r="M44" s="20">
        <v>37.686500000000002</v>
      </c>
      <c r="N44" s="20">
        <v>938.96709999999996</v>
      </c>
      <c r="O44" s="20">
        <f t="shared" si="1"/>
        <v>31.355612499999996</v>
      </c>
      <c r="P44" s="7"/>
      <c r="Q44" s="13"/>
      <c r="R44" s="14"/>
      <c r="S44" s="14"/>
      <c r="T44" s="27"/>
      <c r="U44" s="28">
        <f t="shared" si="2"/>
        <v>0.80907661266666653</v>
      </c>
    </row>
    <row r="45" spans="1:21" x14ac:dyDescent="0.25">
      <c r="B45" s="6" t="s">
        <v>55</v>
      </c>
      <c r="C45" s="15">
        <v>1183.5654296875</v>
      </c>
      <c r="D45" s="16">
        <v>30.094200000000001</v>
      </c>
      <c r="E45" s="16">
        <v>36.2821</v>
      </c>
      <c r="F45" s="16">
        <v>37.010599999999997</v>
      </c>
      <c r="G45" s="16">
        <v>232.55813953488374</v>
      </c>
      <c r="H45" s="16">
        <f t="shared" si="0"/>
        <v>31.732237500000004</v>
      </c>
      <c r="I45" s="5"/>
      <c r="J45" s="15">
        <v>1212.7167999999999</v>
      </c>
      <c r="K45" s="16">
        <v>29.944400000000002</v>
      </c>
      <c r="L45" s="16">
        <v>36.529200000000003</v>
      </c>
      <c r="M45" s="16">
        <v>37.314100000000003</v>
      </c>
      <c r="N45" s="16">
        <v>496.0317</v>
      </c>
      <c r="O45" s="16">
        <f t="shared" si="1"/>
        <v>31.688712500000001</v>
      </c>
      <c r="P45" s="7"/>
      <c r="Q45" s="8">
        <f>bdrate(C45:C48,D45:D48,J45:J48,K45:K48)</f>
        <v>-3.0343025397316481E-2</v>
      </c>
      <c r="R45" s="8">
        <f>bdrate(C45:C48,E45:E48,J45:J48,L45:L48)</f>
        <v>-0.11048022040460892</v>
      </c>
      <c r="S45" s="8">
        <f>bdrate(C45:C48,F45:F48,J45:J48,M45:M48)</f>
        <v>-0.12904202832505995</v>
      </c>
      <c r="T45" s="25">
        <f>bdrate(C45:C48,H45:H48,J45:J48,O45:O48)</f>
        <v>-4.3606936185324185E-2</v>
      </c>
      <c r="U45" s="28">
        <f t="shared" si="2"/>
        <v>1.1329363100000001</v>
      </c>
    </row>
    <row r="46" spans="1:21" x14ac:dyDescent="0.25">
      <c r="B46" s="9"/>
      <c r="C46" s="17">
        <v>782.6728515625</v>
      </c>
      <c r="D46" s="18">
        <v>28.5319</v>
      </c>
      <c r="E46" s="18">
        <v>35.499200000000002</v>
      </c>
      <c r="F46" s="18">
        <v>36.215200000000003</v>
      </c>
      <c r="G46" s="18">
        <v>301.93236714975848</v>
      </c>
      <c r="H46" s="18">
        <f t="shared" si="0"/>
        <v>30.363225</v>
      </c>
      <c r="I46" s="5"/>
      <c r="J46" s="17">
        <v>811.35199999999998</v>
      </c>
      <c r="K46" s="18">
        <v>28.634799999999998</v>
      </c>
      <c r="L46" s="18">
        <v>35.795699999999997</v>
      </c>
      <c r="M46" s="18">
        <v>36.5246</v>
      </c>
      <c r="N46" s="18">
        <v>584.11210000000005</v>
      </c>
      <c r="O46" s="18">
        <f t="shared" si="1"/>
        <v>30.516137499999996</v>
      </c>
      <c r="P46" s="7"/>
      <c r="Q46" s="10"/>
      <c r="R46" s="11"/>
      <c r="S46" s="11"/>
      <c r="T46" s="26"/>
      <c r="U46" s="28">
        <f t="shared" si="2"/>
        <v>0.93457927520000006</v>
      </c>
    </row>
    <row r="47" spans="1:21" x14ac:dyDescent="0.25">
      <c r="B47" s="9"/>
      <c r="C47" s="17">
        <v>497.37890625</v>
      </c>
      <c r="D47" s="18">
        <v>26.8782</v>
      </c>
      <c r="E47" s="18">
        <v>34.656599999999997</v>
      </c>
      <c r="F47" s="18">
        <v>35.377099999999999</v>
      </c>
      <c r="G47" s="18">
        <v>379.93920972644378</v>
      </c>
      <c r="H47" s="18">
        <f t="shared" si="0"/>
        <v>28.912862500000003</v>
      </c>
      <c r="I47" s="5"/>
      <c r="J47" s="17">
        <v>509.10480000000001</v>
      </c>
      <c r="K47" s="18">
        <v>27.1858</v>
      </c>
      <c r="L47" s="18">
        <v>34.924999999999997</v>
      </c>
      <c r="M47" s="18">
        <v>35.691200000000002</v>
      </c>
      <c r="N47" s="18">
        <v>696.37879999999996</v>
      </c>
      <c r="O47" s="18">
        <f t="shared" si="1"/>
        <v>29.216375000000003</v>
      </c>
      <c r="P47" s="7"/>
      <c r="Q47" s="10"/>
      <c r="R47" s="11"/>
      <c r="S47" s="11"/>
      <c r="T47" s="26"/>
      <c r="U47" s="28">
        <f t="shared" si="2"/>
        <v>0.83286900159999988</v>
      </c>
    </row>
    <row r="48" spans="1:21" ht="16.5" thickBot="1" x14ac:dyDescent="0.3">
      <c r="B48" s="12"/>
      <c r="C48" s="19">
        <v>297.640625</v>
      </c>
      <c r="D48" s="20">
        <v>25.255299999999998</v>
      </c>
      <c r="E48" s="20">
        <v>33.981699999999996</v>
      </c>
      <c r="F48" s="20">
        <v>34.665199999999999</v>
      </c>
      <c r="G48" s="20">
        <v>438.21209465381241</v>
      </c>
      <c r="H48" s="20">
        <f t="shared" si="0"/>
        <v>27.522337499999995</v>
      </c>
      <c r="I48" s="5"/>
      <c r="J48" s="19">
        <v>305.44720000000001</v>
      </c>
      <c r="K48" s="20">
        <v>25.662600000000001</v>
      </c>
      <c r="L48" s="20">
        <v>34.069400000000002</v>
      </c>
      <c r="M48" s="20">
        <v>34.825600000000001</v>
      </c>
      <c r="N48" s="20">
        <v>874.1259</v>
      </c>
      <c r="O48" s="20">
        <f t="shared" si="1"/>
        <v>27.858825000000003</v>
      </c>
      <c r="P48" s="7"/>
      <c r="Q48" s="13"/>
      <c r="R48" s="14"/>
      <c r="S48" s="14"/>
      <c r="T48" s="27"/>
      <c r="U48" s="28">
        <f t="shared" si="2"/>
        <v>0.9947553038000001</v>
      </c>
    </row>
    <row r="49" spans="1:21" x14ac:dyDescent="0.25">
      <c r="B49" s="6" t="s">
        <v>56</v>
      </c>
      <c r="C49" s="15">
        <v>1144.103515625</v>
      </c>
      <c r="D49" s="16">
        <v>32.784700000000001</v>
      </c>
      <c r="E49" s="16">
        <v>36.922499999999999</v>
      </c>
      <c r="F49" s="16">
        <v>38.481699999999996</v>
      </c>
      <c r="G49" s="16">
        <v>186.79950186799502</v>
      </c>
      <c r="H49" s="16">
        <f t="shared" si="0"/>
        <v>34.014049999999997</v>
      </c>
      <c r="I49" s="5"/>
      <c r="J49" s="15">
        <v>1194.6143999999999</v>
      </c>
      <c r="K49" s="16">
        <v>31.8551</v>
      </c>
      <c r="L49" s="16">
        <v>36.617100000000001</v>
      </c>
      <c r="M49" s="16">
        <v>38.150500000000001</v>
      </c>
      <c r="N49" s="16">
        <v>397.351</v>
      </c>
      <c r="O49" s="16">
        <f t="shared" si="1"/>
        <v>33.237275000000004</v>
      </c>
      <c r="P49" s="7"/>
      <c r="Q49" s="8">
        <f>bdrate(C49:C52,D49:D52,J49:J52,K49:K52)</f>
        <v>0.2536142389753322</v>
      </c>
      <c r="R49" s="8">
        <f>bdrate(C49:C52,E49:E52,J49:J52,L49:L52)</f>
        <v>0.16293050278404597</v>
      </c>
      <c r="S49" s="8">
        <f>bdrate(C49:C52,F49:F52,J49:J52,M49:M52)</f>
        <v>0.16785232549447882</v>
      </c>
      <c r="T49" s="25">
        <f>bdrate(C49:C52,H49:H52,J49:J52,O49:O52)</f>
        <v>0.2387285067668834</v>
      </c>
      <c r="U49" s="28">
        <f t="shared" si="2"/>
        <v>1.1271523533333334</v>
      </c>
    </row>
    <row r="50" spans="1:21" x14ac:dyDescent="0.25">
      <c r="B50" s="9"/>
      <c r="C50" s="17">
        <v>764.11328125</v>
      </c>
      <c r="D50" s="18">
        <v>31.145499999999998</v>
      </c>
      <c r="E50" s="18">
        <v>36.048999999999999</v>
      </c>
      <c r="F50" s="18">
        <v>37.6175</v>
      </c>
      <c r="G50" s="18">
        <v>247.72914946325349</v>
      </c>
      <c r="H50" s="18">
        <f t="shared" si="0"/>
        <v>32.567437499999997</v>
      </c>
      <c r="I50" s="5"/>
      <c r="J50" s="17">
        <v>798.7568</v>
      </c>
      <c r="K50" s="18">
        <v>30.3611</v>
      </c>
      <c r="L50" s="18">
        <v>35.754199999999997</v>
      </c>
      <c r="M50" s="18">
        <v>37.299700000000001</v>
      </c>
      <c r="N50" s="18">
        <v>458.71559999999999</v>
      </c>
      <c r="O50" s="18">
        <f t="shared" si="1"/>
        <v>31.902562500000002</v>
      </c>
      <c r="P50" s="7"/>
      <c r="Q50" s="10"/>
      <c r="R50" s="11"/>
      <c r="S50" s="11"/>
      <c r="T50" s="26"/>
      <c r="U50" s="28">
        <f t="shared" si="2"/>
        <v>0.85168197200000006</v>
      </c>
    </row>
    <row r="51" spans="1:21" x14ac:dyDescent="0.25">
      <c r="B51" s="9"/>
      <c r="C51" s="17">
        <v>487.0693359375</v>
      </c>
      <c r="D51" s="18">
        <v>29.4223</v>
      </c>
      <c r="E51" s="18">
        <v>35.076599999999999</v>
      </c>
      <c r="F51" s="18">
        <v>36.597999999999999</v>
      </c>
      <c r="G51" s="18">
        <v>337.07865168539325</v>
      </c>
      <c r="H51" s="18">
        <f t="shared" si="0"/>
        <v>31.026049999999998</v>
      </c>
      <c r="I51" s="5"/>
      <c r="J51" s="17">
        <v>494.916</v>
      </c>
      <c r="K51" s="18">
        <v>28.773199999999999</v>
      </c>
      <c r="L51" s="18">
        <v>34.866500000000002</v>
      </c>
      <c r="M51" s="18">
        <v>36.3581</v>
      </c>
      <c r="N51" s="18">
        <v>554.52869999999996</v>
      </c>
      <c r="O51" s="18">
        <f t="shared" si="1"/>
        <v>30.482975</v>
      </c>
      <c r="P51" s="7"/>
      <c r="Q51" s="10"/>
      <c r="R51" s="11"/>
      <c r="S51" s="11"/>
      <c r="T51" s="26"/>
      <c r="U51" s="28">
        <f t="shared" si="2"/>
        <v>0.64510180999999989</v>
      </c>
    </row>
    <row r="52" spans="1:21" ht="16.5" thickBot="1" x14ac:dyDescent="0.3">
      <c r="B52" s="12"/>
      <c r="C52" s="19">
        <v>300.0771484375</v>
      </c>
      <c r="D52" s="20">
        <v>27.738299999999999</v>
      </c>
      <c r="E52" s="20">
        <v>34.113199999999999</v>
      </c>
      <c r="F52" s="20">
        <v>35.523400000000002</v>
      </c>
      <c r="G52" s="20">
        <v>408.16326530612247</v>
      </c>
      <c r="H52" s="20">
        <f t="shared" si="0"/>
        <v>29.508300000000002</v>
      </c>
      <c r="I52" s="5"/>
      <c r="J52" s="19">
        <v>297.53199999999998</v>
      </c>
      <c r="K52" s="20">
        <v>27.172799999999999</v>
      </c>
      <c r="L52" s="20">
        <v>33.8645</v>
      </c>
      <c r="M52" s="20">
        <v>35.256599999999999</v>
      </c>
      <c r="N52" s="20">
        <v>666.66669999999999</v>
      </c>
      <c r="O52" s="20">
        <f t="shared" si="1"/>
        <v>29.019737499999998</v>
      </c>
      <c r="P52" s="7"/>
      <c r="Q52" s="13"/>
      <c r="R52" s="14"/>
      <c r="S52" s="14"/>
      <c r="T52" s="27"/>
      <c r="U52" s="28">
        <f t="shared" si="2"/>
        <v>0.63333341499999996</v>
      </c>
    </row>
    <row r="53" spans="1:21" x14ac:dyDescent="0.25">
      <c r="A53" s="6" t="s">
        <v>41</v>
      </c>
      <c r="B53" s="6" t="s">
        <v>57</v>
      </c>
      <c r="C53" s="15">
        <v>576.86328125</v>
      </c>
      <c r="D53" s="16">
        <v>34.4801</v>
      </c>
      <c r="E53" s="16">
        <v>39.499899999999997</v>
      </c>
      <c r="F53" s="16">
        <v>38.0627</v>
      </c>
      <c r="G53" s="16">
        <v>588.23529411764707</v>
      </c>
      <c r="H53" s="16">
        <f t="shared" si="0"/>
        <v>35.555399999999999</v>
      </c>
      <c r="I53" s="5"/>
      <c r="J53" s="15">
        <v>602.97199999999998</v>
      </c>
      <c r="K53" s="16">
        <v>33.952500000000001</v>
      </c>
      <c r="L53" s="16">
        <v>39.352899999999998</v>
      </c>
      <c r="M53" s="16">
        <v>37.815100000000001</v>
      </c>
      <c r="N53" s="16">
        <v>1179.2453</v>
      </c>
      <c r="O53" s="16">
        <f t="shared" si="1"/>
        <v>35.110375000000005</v>
      </c>
      <c r="P53" s="7"/>
      <c r="Q53" s="8">
        <f>bdrate(C53:C56,D53:D56,J53:J56,K53:K56)</f>
        <v>9.3694827359156907E-2</v>
      </c>
      <c r="R53" s="8">
        <f>bdrate(C53:C56,E53:E56,J53:J56,L53:L56)</f>
        <v>4.0013555234166276E-2</v>
      </c>
      <c r="S53" s="8">
        <f>bdrate(C53:C56,F53:F56,J53:J56,M53:M56)</f>
        <v>6.4923302526522786E-2</v>
      </c>
      <c r="T53" s="25">
        <f>bdrate(C53:C56,H53:H56,J53:J56,O53:O56)</f>
        <v>8.6237695644645562E-2</v>
      </c>
      <c r="U53" s="28">
        <f t="shared" si="2"/>
        <v>1.00471701</v>
      </c>
    </row>
    <row r="54" spans="1:21" x14ac:dyDescent="0.25">
      <c r="A54" s="9" t="s">
        <v>42</v>
      </c>
      <c r="B54" s="9"/>
      <c r="C54" s="17">
        <v>394.443359375</v>
      </c>
      <c r="D54" s="18">
        <v>32.641500000000001</v>
      </c>
      <c r="E54" s="18">
        <v>38.3703</v>
      </c>
      <c r="F54" s="18">
        <v>36.839500000000001</v>
      </c>
      <c r="G54" s="18">
        <v>683.99452804377563</v>
      </c>
      <c r="H54" s="18">
        <f t="shared" si="0"/>
        <v>33.882349999999995</v>
      </c>
      <c r="I54" s="5"/>
      <c r="J54" s="17">
        <v>401.73840000000001</v>
      </c>
      <c r="K54" s="18">
        <v>32.155200000000001</v>
      </c>
      <c r="L54" s="18">
        <v>38.201300000000003</v>
      </c>
      <c r="M54" s="18">
        <v>36.570599999999999</v>
      </c>
      <c r="N54" s="18">
        <v>1351.3514</v>
      </c>
      <c r="O54" s="18">
        <f t="shared" si="1"/>
        <v>33.462887500000001</v>
      </c>
      <c r="P54" s="7"/>
      <c r="Q54" s="10"/>
      <c r="R54" s="11"/>
      <c r="S54" s="11"/>
      <c r="T54" s="26"/>
      <c r="U54" s="28">
        <f t="shared" si="2"/>
        <v>0.97567574680000002</v>
      </c>
    </row>
    <row r="55" spans="1:21" x14ac:dyDescent="0.25">
      <c r="B55" s="9"/>
      <c r="C55" s="17">
        <v>248.203125</v>
      </c>
      <c r="D55" s="18">
        <v>30.513000000000002</v>
      </c>
      <c r="E55" s="18">
        <v>37.202100000000002</v>
      </c>
      <c r="F55" s="18">
        <v>35.494399999999999</v>
      </c>
      <c r="G55" s="18">
        <v>825.08250825082507</v>
      </c>
      <c r="H55" s="18">
        <f t="shared" si="0"/>
        <v>31.971812499999999</v>
      </c>
      <c r="I55" s="5"/>
      <c r="J55" s="17">
        <v>252.55680000000001</v>
      </c>
      <c r="K55" s="18">
        <v>30.247199999999999</v>
      </c>
      <c r="L55" s="18">
        <v>37.192599999999999</v>
      </c>
      <c r="M55" s="18">
        <v>35.366999999999997</v>
      </c>
      <c r="N55" s="18">
        <v>1587.3016</v>
      </c>
      <c r="O55" s="18">
        <f t="shared" si="1"/>
        <v>31.75535</v>
      </c>
      <c r="P55" s="7"/>
      <c r="Q55" s="10"/>
      <c r="R55" s="11"/>
      <c r="S55" s="11"/>
      <c r="T55" s="26"/>
      <c r="U55" s="28">
        <f t="shared" si="2"/>
        <v>0.92380953920000008</v>
      </c>
    </row>
    <row r="56" spans="1:21" ht="16.5" thickBot="1" x14ac:dyDescent="0.3">
      <c r="B56" s="12"/>
      <c r="C56" s="19">
        <v>120.03515625</v>
      </c>
      <c r="D56" s="20">
        <v>27.503900000000002</v>
      </c>
      <c r="E56" s="20">
        <v>35.559899999999999</v>
      </c>
      <c r="F56" s="20">
        <v>33.322699999999998</v>
      </c>
      <c r="G56" s="20">
        <v>1072.9613733905578</v>
      </c>
      <c r="H56" s="20">
        <f t="shared" si="0"/>
        <v>29.238250000000001</v>
      </c>
      <c r="I56" s="5"/>
      <c r="J56" s="19">
        <v>121.56959999999999</v>
      </c>
      <c r="K56" s="20">
        <v>27.458300000000001</v>
      </c>
      <c r="L56" s="20">
        <v>35.6464</v>
      </c>
      <c r="M56" s="20">
        <v>33.483899999999998</v>
      </c>
      <c r="N56" s="20">
        <v>2100.8402999999998</v>
      </c>
      <c r="O56" s="20">
        <f t="shared" si="1"/>
        <v>29.2350125</v>
      </c>
      <c r="P56" s="7"/>
      <c r="Q56" s="13"/>
      <c r="R56" s="14"/>
      <c r="S56" s="14"/>
      <c r="T56" s="27"/>
      <c r="U56" s="28">
        <f t="shared" si="2"/>
        <v>0.95798315960000013</v>
      </c>
    </row>
    <row r="57" spans="1:21" x14ac:dyDescent="0.25">
      <c r="B57" s="6" t="s">
        <v>58</v>
      </c>
      <c r="C57" s="15">
        <v>575.205078125</v>
      </c>
      <c r="D57" s="16">
        <v>33.565899999999999</v>
      </c>
      <c r="E57" s="16">
        <v>40.760599999999997</v>
      </c>
      <c r="F57" s="16">
        <v>41.595199999999998</v>
      </c>
      <c r="G57" s="16">
        <v>555.55555555555554</v>
      </c>
      <c r="H57" s="16">
        <f t="shared" si="0"/>
        <v>35.468899999999998</v>
      </c>
      <c r="I57" s="5"/>
      <c r="J57" s="15">
        <v>599.66800000000001</v>
      </c>
      <c r="K57" s="16">
        <v>33.213999999999999</v>
      </c>
      <c r="L57" s="16">
        <v>41.195700000000002</v>
      </c>
      <c r="M57" s="16">
        <v>41.933100000000003</v>
      </c>
      <c r="N57" s="16">
        <v>1293.1034</v>
      </c>
      <c r="O57" s="16">
        <f t="shared" si="1"/>
        <v>35.301600000000001</v>
      </c>
      <c r="P57" s="7"/>
      <c r="Q57" s="8">
        <f>bdrate(C57:C60,D57:D60,J57:J60,K57:K60)</f>
        <v>4.0704222552563341E-2</v>
      </c>
      <c r="R57" s="8">
        <f>bdrate(C57:C60,E57:E60,J57:J60,L57:L60)</f>
        <v>-9.2682109645223831E-2</v>
      </c>
      <c r="S57" s="8">
        <f>bdrate(C57:C60,F57:F60,J57:J60,M57:M60)</f>
        <v>-4.1040257214408293E-2</v>
      </c>
      <c r="T57" s="25">
        <f>bdrate(C57:C60,H57:H60,J57:J60,O57:O60)</f>
        <v>2.4144725097801301E-2</v>
      </c>
      <c r="U57" s="28">
        <f t="shared" si="2"/>
        <v>1.3275861200000001</v>
      </c>
    </row>
    <row r="58" spans="1:21" x14ac:dyDescent="0.25">
      <c r="B58" s="9"/>
      <c r="C58" s="17">
        <v>383.29296875</v>
      </c>
      <c r="D58" s="18">
        <v>32.137999999999998</v>
      </c>
      <c r="E58" s="18">
        <v>39.9544</v>
      </c>
      <c r="F58" s="18">
        <v>40.748100000000001</v>
      </c>
      <c r="G58" s="18">
        <v>632.2444678609063</v>
      </c>
      <c r="H58" s="18">
        <f t="shared" si="0"/>
        <v>34.191312499999995</v>
      </c>
      <c r="I58" s="5"/>
      <c r="J58" s="17">
        <v>399.07119999999998</v>
      </c>
      <c r="K58" s="18">
        <v>31.933499999999999</v>
      </c>
      <c r="L58" s="18">
        <v>40.323700000000002</v>
      </c>
      <c r="M58" s="18">
        <v>41.144100000000002</v>
      </c>
      <c r="N58" s="18">
        <v>1550.3876</v>
      </c>
      <c r="O58" s="18">
        <f t="shared" si="1"/>
        <v>34.133600000000001</v>
      </c>
      <c r="P58" s="7"/>
      <c r="Q58" s="10"/>
      <c r="R58" s="11"/>
      <c r="S58" s="11"/>
      <c r="T58" s="26"/>
      <c r="U58" s="28">
        <f t="shared" si="2"/>
        <v>1.452196387333333</v>
      </c>
    </row>
    <row r="59" spans="1:21" x14ac:dyDescent="0.25">
      <c r="B59" s="9"/>
      <c r="C59" s="17">
        <v>239.17578125</v>
      </c>
      <c r="D59" s="18">
        <v>30.3567</v>
      </c>
      <c r="E59" s="18">
        <v>39.040999999999997</v>
      </c>
      <c r="F59" s="18">
        <v>39.828699999999998</v>
      </c>
      <c r="G59" s="18">
        <v>684.15051311288482</v>
      </c>
      <c r="H59" s="18">
        <f t="shared" si="0"/>
        <v>32.626237500000002</v>
      </c>
      <c r="I59" s="5"/>
      <c r="J59" s="17">
        <v>249.14959999999999</v>
      </c>
      <c r="K59" s="18">
        <v>30.3688</v>
      </c>
      <c r="L59" s="18">
        <v>39.317700000000002</v>
      </c>
      <c r="M59" s="18">
        <v>39.944200000000002</v>
      </c>
      <c r="N59" s="18">
        <v>1880.8777</v>
      </c>
      <c r="O59" s="18">
        <f t="shared" si="1"/>
        <v>32.684337500000005</v>
      </c>
      <c r="P59" s="7"/>
      <c r="Q59" s="10"/>
      <c r="R59" s="11"/>
      <c r="S59" s="11"/>
      <c r="T59" s="26"/>
      <c r="U59" s="28">
        <f t="shared" si="2"/>
        <v>1.7492162381666669</v>
      </c>
    </row>
    <row r="60" spans="1:21" ht="16.5" thickBot="1" x14ac:dyDescent="0.3">
      <c r="B60" s="12"/>
      <c r="C60" s="19">
        <v>114.9755859375</v>
      </c>
      <c r="D60" s="20">
        <v>27.282399999999999</v>
      </c>
      <c r="E60" s="20">
        <v>38.140900000000002</v>
      </c>
      <c r="F60" s="20">
        <v>38.807200000000002</v>
      </c>
      <c r="G60" s="20">
        <v>843.88185654008441</v>
      </c>
      <c r="H60" s="20">
        <f t="shared" si="0"/>
        <v>30.080312500000002</v>
      </c>
      <c r="I60" s="5"/>
      <c r="J60" s="19">
        <v>119.67919999999999</v>
      </c>
      <c r="K60" s="20">
        <v>27.787600000000001</v>
      </c>
      <c r="L60" s="20">
        <v>38.081000000000003</v>
      </c>
      <c r="M60" s="20">
        <v>38.618200000000002</v>
      </c>
      <c r="N60" s="20">
        <v>2631.5789</v>
      </c>
      <c r="O60" s="20">
        <f t="shared" si="1"/>
        <v>30.428100000000001</v>
      </c>
      <c r="P60" s="7"/>
      <c r="Q60" s="13"/>
      <c r="R60" s="14"/>
      <c r="S60" s="14"/>
      <c r="T60" s="27"/>
      <c r="U60" s="28">
        <f t="shared" si="2"/>
        <v>2.1184209964999998</v>
      </c>
    </row>
    <row r="61" spans="1:21" x14ac:dyDescent="0.25">
      <c r="B61" s="6" t="s">
        <v>59</v>
      </c>
      <c r="C61" s="29">
        <v>594.4072265625</v>
      </c>
      <c r="D61" s="30">
        <v>33.198900000000002</v>
      </c>
      <c r="E61" s="30">
        <v>37.646299999999997</v>
      </c>
      <c r="F61" s="30">
        <v>38.326900000000002</v>
      </c>
      <c r="G61" s="16">
        <v>349.40600978336823</v>
      </c>
      <c r="H61" s="16">
        <f t="shared" si="0"/>
        <v>34.395825000000002</v>
      </c>
      <c r="I61" s="5"/>
      <c r="J61" s="29">
        <v>638.68320000000006</v>
      </c>
      <c r="K61" s="30">
        <v>32.785600000000002</v>
      </c>
      <c r="L61" s="30">
        <v>37.8825</v>
      </c>
      <c r="M61" s="30">
        <v>38.687199999999997</v>
      </c>
      <c r="N61" s="16">
        <v>1201.9231</v>
      </c>
      <c r="O61" s="16">
        <f t="shared" si="1"/>
        <v>34.1604125</v>
      </c>
      <c r="P61" s="7"/>
      <c r="Q61" s="8">
        <f>bdrate(C61:C64,D61:D64,J61:J64,K61:K64)</f>
        <v>7.0455423623034585E-2</v>
      </c>
      <c r="R61" s="8">
        <f>bdrate(C61:C64,E61:E64,J61:J64,L61:L64)</f>
        <v>-4.1155451893234773E-2</v>
      </c>
      <c r="S61" s="8">
        <f>bdrate(C61:C64,F61:F64,J61:J64,M61:M64)</f>
        <v>-7.7337494123253858E-2</v>
      </c>
      <c r="T61" s="25">
        <f>bdrate(C61:C64,H61:H64,J61:J64,O61:O64)</f>
        <v>4.8151012345135413E-2</v>
      </c>
      <c r="U61" s="28">
        <f t="shared" si="2"/>
        <v>2.4399039122000001</v>
      </c>
    </row>
    <row r="62" spans="1:21" x14ac:dyDescent="0.25">
      <c r="B62" s="9"/>
      <c r="C62" s="31">
        <v>399.44140625</v>
      </c>
      <c r="D62" s="32">
        <v>31.483599999999999</v>
      </c>
      <c r="E62" s="32">
        <v>36.6357</v>
      </c>
      <c r="F62" s="32">
        <v>37.283299999999997</v>
      </c>
      <c r="G62" s="18">
        <v>397.45627980922097</v>
      </c>
      <c r="H62" s="18">
        <f t="shared" si="0"/>
        <v>32.852575000000002</v>
      </c>
      <c r="I62" s="5"/>
      <c r="J62" s="31">
        <v>425.70240000000001</v>
      </c>
      <c r="K62" s="32">
        <v>31.286100000000001</v>
      </c>
      <c r="L62" s="32">
        <v>36.918599999999998</v>
      </c>
      <c r="M62" s="32">
        <v>37.668100000000003</v>
      </c>
      <c r="N62" s="18">
        <v>1388.8888999999999</v>
      </c>
      <c r="O62" s="18">
        <f t="shared" si="1"/>
        <v>32.787912499999997</v>
      </c>
      <c r="P62" s="7"/>
      <c r="Q62" s="10"/>
      <c r="R62" s="11"/>
      <c r="S62" s="11"/>
      <c r="T62" s="26"/>
      <c r="U62" s="28">
        <f t="shared" si="2"/>
        <v>2.4944444724000001</v>
      </c>
    </row>
    <row r="63" spans="1:21" x14ac:dyDescent="0.25">
      <c r="B63" s="9"/>
      <c r="C63" s="31">
        <v>250.3994140625</v>
      </c>
      <c r="D63" s="32">
        <v>29.625499999999999</v>
      </c>
      <c r="E63" s="32">
        <v>35.511699999999998</v>
      </c>
      <c r="F63" s="32">
        <v>36.165700000000001</v>
      </c>
      <c r="G63" s="18">
        <v>517.59834368530028</v>
      </c>
      <c r="H63" s="18">
        <f t="shared" si="0"/>
        <v>31.178799999999995</v>
      </c>
      <c r="I63" s="5"/>
      <c r="J63" s="31">
        <v>265.21440000000001</v>
      </c>
      <c r="K63" s="32">
        <v>29.623699999999999</v>
      </c>
      <c r="L63" s="32">
        <v>35.724800000000002</v>
      </c>
      <c r="M63" s="32">
        <v>36.478000000000002</v>
      </c>
      <c r="N63" s="18">
        <v>1730.1038000000001</v>
      </c>
      <c r="O63" s="18">
        <f t="shared" si="1"/>
        <v>31.243124999999999</v>
      </c>
      <c r="P63" s="7"/>
      <c r="Q63" s="10"/>
      <c r="R63" s="11"/>
      <c r="S63" s="11"/>
      <c r="T63" s="26"/>
      <c r="U63" s="28">
        <f t="shared" si="2"/>
        <v>2.3425605415999997</v>
      </c>
    </row>
    <row r="64" spans="1:21" ht="16.5" thickBot="1" x14ac:dyDescent="0.3">
      <c r="B64" s="12"/>
      <c r="C64" s="33">
        <v>120.2216796875</v>
      </c>
      <c r="D64" s="34">
        <v>26.921900000000001</v>
      </c>
      <c r="E64" s="34">
        <v>34.068100000000001</v>
      </c>
      <c r="F64" s="34">
        <v>34.6813</v>
      </c>
      <c r="G64" s="20">
        <v>718.39080459770116</v>
      </c>
      <c r="H64" s="20">
        <f t="shared" si="0"/>
        <v>28.785100000000003</v>
      </c>
      <c r="I64" s="5"/>
      <c r="J64" s="33">
        <v>126.5976</v>
      </c>
      <c r="K64" s="34">
        <v>27.232099999999999</v>
      </c>
      <c r="L64" s="34">
        <v>34.247599999999998</v>
      </c>
      <c r="M64" s="34">
        <v>34.918300000000002</v>
      </c>
      <c r="N64" s="20">
        <v>2450.9803999999999</v>
      </c>
      <c r="O64" s="20">
        <f t="shared" si="1"/>
        <v>29.069812499999998</v>
      </c>
      <c r="P64" s="7"/>
      <c r="Q64" s="13"/>
      <c r="R64" s="14"/>
      <c r="S64" s="14"/>
      <c r="T64" s="27"/>
      <c r="U64" s="28">
        <f t="shared" si="2"/>
        <v>2.4117647168</v>
      </c>
    </row>
    <row r="65" spans="1:21" x14ac:dyDescent="0.25">
      <c r="B65" s="6" t="s">
        <v>60</v>
      </c>
      <c r="C65" s="15">
        <v>574.19921875</v>
      </c>
      <c r="D65" s="16">
        <v>34.341500000000003</v>
      </c>
      <c r="E65" s="16">
        <v>37.766100000000002</v>
      </c>
      <c r="F65" s="16">
        <v>38.832099999999997</v>
      </c>
      <c r="G65" s="16">
        <v>258.39793281653743</v>
      </c>
      <c r="H65" s="16">
        <f t="shared" si="0"/>
        <v>35.3309</v>
      </c>
      <c r="I65" s="5"/>
      <c r="J65" s="15">
        <v>602.05359999999996</v>
      </c>
      <c r="K65" s="16">
        <v>33.312199999999997</v>
      </c>
      <c r="L65" s="16">
        <v>37.302799999999998</v>
      </c>
      <c r="M65" s="16">
        <v>38.404899999999998</v>
      </c>
      <c r="N65" s="16">
        <v>925.92589999999996</v>
      </c>
      <c r="O65" s="16">
        <f t="shared" si="1"/>
        <v>34.447612499999998</v>
      </c>
      <c r="P65" s="7"/>
      <c r="Q65" s="8">
        <f>bdrate(C65:C68,D65:D68,J65:J68,K65:K68)</f>
        <v>0.20063782179348655</v>
      </c>
      <c r="R65" s="8">
        <f>bdrate(C65:C68,E65:E68,J65:J68,L65:L68)</f>
        <v>0.15071711880082406</v>
      </c>
      <c r="S65" s="8">
        <f>bdrate(C65:C68,F65:F68,J65:J68,M65:M68)</f>
        <v>0.14359903002387098</v>
      </c>
      <c r="T65" s="25">
        <f>bdrate(C65:C68,H65:H68,J65:J68,O65:O68)</f>
        <v>0.19144160606172655</v>
      </c>
      <c r="U65" s="28">
        <f t="shared" si="2"/>
        <v>2.5833332330000007</v>
      </c>
    </row>
    <row r="66" spans="1:21" x14ac:dyDescent="0.25">
      <c r="B66" s="9"/>
      <c r="C66" s="17">
        <v>385.6953125</v>
      </c>
      <c r="D66" s="18">
        <v>32.3596</v>
      </c>
      <c r="E66" s="18">
        <v>36.571199999999997</v>
      </c>
      <c r="F66" s="18">
        <v>37.637799999999999</v>
      </c>
      <c r="G66" s="18">
        <v>314.79538300104934</v>
      </c>
      <c r="H66" s="18">
        <f t="shared" si="0"/>
        <v>33.545825000000001</v>
      </c>
      <c r="I66" s="5"/>
      <c r="J66" s="17">
        <v>402.09199999999998</v>
      </c>
      <c r="K66" s="18">
        <v>31.524100000000001</v>
      </c>
      <c r="L66" s="18">
        <v>36.262799999999999</v>
      </c>
      <c r="M66" s="18">
        <v>37.3401</v>
      </c>
      <c r="N66" s="18">
        <v>1071.4286</v>
      </c>
      <c r="O66" s="18">
        <f t="shared" si="1"/>
        <v>32.8434375</v>
      </c>
      <c r="P66" s="7"/>
      <c r="Q66" s="10"/>
      <c r="R66" s="11"/>
      <c r="S66" s="11"/>
      <c r="T66" s="26"/>
      <c r="U66" s="28">
        <f t="shared" si="2"/>
        <v>2.4035715193333331</v>
      </c>
    </row>
    <row r="67" spans="1:21" x14ac:dyDescent="0.25">
      <c r="B67" s="9"/>
      <c r="C67" s="17">
        <v>243.861328125</v>
      </c>
      <c r="D67" s="18">
        <v>30.2883</v>
      </c>
      <c r="E67" s="18">
        <v>35.394500000000001</v>
      </c>
      <c r="F67" s="18">
        <v>36.410899999999998</v>
      </c>
      <c r="G67" s="18">
        <v>439.23865300146412</v>
      </c>
      <c r="H67" s="18">
        <f t="shared" si="0"/>
        <v>31.6919</v>
      </c>
      <c r="I67" s="5"/>
      <c r="J67" s="17">
        <v>251.05760000000001</v>
      </c>
      <c r="K67" s="18">
        <v>29.7425</v>
      </c>
      <c r="L67" s="18">
        <v>35.138199999999998</v>
      </c>
      <c r="M67" s="18">
        <v>36.151800000000001</v>
      </c>
      <c r="N67" s="18">
        <v>1276.5957000000001</v>
      </c>
      <c r="O67" s="18">
        <f t="shared" si="1"/>
        <v>31.218124999999997</v>
      </c>
      <c r="P67" s="7"/>
      <c r="Q67" s="10"/>
      <c r="R67" s="11"/>
      <c r="S67" s="11"/>
      <c r="T67" s="26"/>
      <c r="U67" s="28">
        <f t="shared" si="2"/>
        <v>1.9063828770000002</v>
      </c>
    </row>
    <row r="68" spans="1:21" ht="16.5" thickBot="1" x14ac:dyDescent="0.3">
      <c r="B68" s="12"/>
      <c r="C68" s="19">
        <v>120.19921875</v>
      </c>
      <c r="D68" s="20">
        <v>27.599499999999999</v>
      </c>
      <c r="E68" s="20">
        <v>33.801400000000001</v>
      </c>
      <c r="F68" s="20">
        <v>34.719000000000001</v>
      </c>
      <c r="G68" s="20">
        <v>694.44444444444446</v>
      </c>
      <c r="H68" s="20">
        <f t="shared" si="0"/>
        <v>29.264674999999997</v>
      </c>
      <c r="I68" s="5"/>
      <c r="J68" s="19">
        <v>121.2568</v>
      </c>
      <c r="K68" s="20">
        <v>27.319500000000001</v>
      </c>
      <c r="L68" s="20">
        <v>33.673099999999998</v>
      </c>
      <c r="M68" s="20">
        <v>34.588000000000001</v>
      </c>
      <c r="N68" s="20">
        <v>1538.4614999999999</v>
      </c>
      <c r="O68" s="20">
        <f t="shared" si="1"/>
        <v>29.0222625</v>
      </c>
      <c r="P68" s="7"/>
      <c r="Q68" s="13"/>
      <c r="R68" s="14"/>
      <c r="S68" s="14"/>
      <c r="T68" s="27"/>
      <c r="U68" s="28">
        <f t="shared" si="2"/>
        <v>1.2153845599999997</v>
      </c>
    </row>
    <row r="69" spans="1:21" x14ac:dyDescent="0.25">
      <c r="A69" s="6" t="s">
        <v>43</v>
      </c>
      <c r="B69" s="6" t="s">
        <v>61</v>
      </c>
      <c r="C69" s="15">
        <v>1419.8583984375</v>
      </c>
      <c r="D69" s="16">
        <v>41.099200000000003</v>
      </c>
      <c r="E69" s="16">
        <v>45.161799999999999</v>
      </c>
      <c r="F69" s="16">
        <v>46.3384</v>
      </c>
      <c r="G69" s="16">
        <v>193.36126329358683</v>
      </c>
      <c r="H69" s="16">
        <f t="shared" si="0"/>
        <v>42.261925000000005</v>
      </c>
      <c r="I69" s="5"/>
      <c r="J69" s="15">
        <v>1495.6976</v>
      </c>
      <c r="K69" s="16">
        <v>41.104500000000002</v>
      </c>
      <c r="L69" s="16">
        <v>45.470700000000001</v>
      </c>
      <c r="M69" s="16">
        <v>46.664200000000001</v>
      </c>
      <c r="N69" s="16">
        <v>228.7457</v>
      </c>
      <c r="O69" s="16">
        <f t="shared" si="1"/>
        <v>42.345237500000003</v>
      </c>
      <c r="P69" s="7"/>
      <c r="Q69" s="8">
        <f>bdrate(C69:C72,D69:D72,J69:J72,K69:K72)</f>
        <v>-6.4604220665392731E-2</v>
      </c>
      <c r="R69" s="8">
        <f>bdrate(C69:C72,E69:E72,J69:J72,L69:L72)</f>
        <v>-0.13358278245390509</v>
      </c>
      <c r="S69" s="8">
        <f>bdrate(C69:C72,F69:F72,J69:J72,M69:M72)</f>
        <v>-0.12414711534928136</v>
      </c>
      <c r="T69" s="25">
        <f>bdrate(C69:C72,H69:H72,J69:J72,O69:O72)</f>
        <v>-7.6390074436207489E-2</v>
      </c>
      <c r="U69" s="28">
        <f t="shared" si="2"/>
        <v>0.18299651183333346</v>
      </c>
    </row>
    <row r="70" spans="1:21" x14ac:dyDescent="0.25">
      <c r="A70" s="9" t="s">
        <v>44</v>
      </c>
      <c r="B70" s="9"/>
      <c r="C70" s="17">
        <v>936.0751953125</v>
      </c>
      <c r="D70" s="18">
        <v>39.740600000000001</v>
      </c>
      <c r="E70" s="18">
        <v>44.003500000000003</v>
      </c>
      <c r="F70" s="18">
        <v>45.191200000000002</v>
      </c>
      <c r="G70" s="18">
        <v>299.25187032418955</v>
      </c>
      <c r="H70" s="18">
        <f t="shared" si="0"/>
        <v>40.954787499999995</v>
      </c>
      <c r="I70" s="5"/>
      <c r="J70" s="17">
        <v>981.90719999999999</v>
      </c>
      <c r="K70" s="18">
        <v>39.898000000000003</v>
      </c>
      <c r="L70" s="18">
        <v>44.498100000000001</v>
      </c>
      <c r="M70" s="18">
        <v>45.643900000000002</v>
      </c>
      <c r="N70" s="18">
        <v>320</v>
      </c>
      <c r="O70" s="18">
        <f t="shared" si="1"/>
        <v>41.191250000000011</v>
      </c>
      <c r="P70" s="7"/>
      <c r="Q70" s="10"/>
      <c r="R70" s="11"/>
      <c r="S70" s="11"/>
      <c r="T70" s="26"/>
      <c r="U70" s="28">
        <f t="shared" si="2"/>
        <v>6.9333333333333233E-2</v>
      </c>
    </row>
    <row r="71" spans="1:21" x14ac:dyDescent="0.25">
      <c r="B71" s="9"/>
      <c r="C71" s="17">
        <v>561.4296875</v>
      </c>
      <c r="D71" s="18">
        <v>37.498800000000003</v>
      </c>
      <c r="E71" s="18">
        <v>42.691299999999998</v>
      </c>
      <c r="F71" s="18">
        <v>43.767000000000003</v>
      </c>
      <c r="G71" s="18">
        <v>354.19126328217237</v>
      </c>
      <c r="H71" s="18">
        <f t="shared" si="0"/>
        <v>38.9313875</v>
      </c>
      <c r="I71" s="5"/>
      <c r="J71" s="17">
        <v>575.39679999999998</v>
      </c>
      <c r="K71" s="18">
        <v>37.971899999999998</v>
      </c>
      <c r="L71" s="18">
        <v>43.147599999999997</v>
      </c>
      <c r="M71" s="18">
        <v>44.221800000000002</v>
      </c>
      <c r="N71" s="18">
        <v>439.8827</v>
      </c>
      <c r="O71" s="18">
        <f t="shared" si="1"/>
        <v>39.400099999999995</v>
      </c>
      <c r="P71" s="7"/>
      <c r="Q71" s="10"/>
      <c r="R71" s="11"/>
      <c r="S71" s="11"/>
      <c r="T71" s="26"/>
      <c r="U71" s="28">
        <f t="shared" si="2"/>
        <v>0.24193548966666667</v>
      </c>
    </row>
    <row r="72" spans="1:21" ht="16.5" thickBot="1" x14ac:dyDescent="0.3">
      <c r="B72" s="12"/>
      <c r="C72" s="19">
        <v>282.4560546875</v>
      </c>
      <c r="D72" s="20">
        <v>33.774700000000003</v>
      </c>
      <c r="E72" s="20">
        <v>41.007199999999997</v>
      </c>
      <c r="F72" s="20">
        <v>41.8902</v>
      </c>
      <c r="G72" s="20">
        <v>409.55631399317406</v>
      </c>
      <c r="H72" s="20">
        <f t="shared" si="0"/>
        <v>35.693200000000004</v>
      </c>
      <c r="I72" s="5"/>
      <c r="J72" s="19">
        <v>282.86959999999999</v>
      </c>
      <c r="K72" s="20">
        <v>34.6843</v>
      </c>
      <c r="L72" s="20">
        <v>41.332099999999997</v>
      </c>
      <c r="M72" s="20">
        <v>42.290399999999998</v>
      </c>
      <c r="N72" s="20">
        <v>665.92669999999998</v>
      </c>
      <c r="O72" s="20">
        <f t="shared" si="1"/>
        <v>36.466037499999999</v>
      </c>
      <c r="P72" s="7"/>
      <c r="Q72" s="13"/>
      <c r="R72" s="14"/>
      <c r="S72" s="14"/>
      <c r="T72" s="27"/>
      <c r="U72" s="28">
        <f t="shared" si="2"/>
        <v>0.62597102583333331</v>
      </c>
    </row>
    <row r="73" spans="1:21" x14ac:dyDescent="0.25">
      <c r="B73" s="6" t="s">
        <v>62</v>
      </c>
      <c r="C73" s="15">
        <v>1423.1220703125</v>
      </c>
      <c r="D73" s="16">
        <v>42.507800000000003</v>
      </c>
      <c r="E73" s="16">
        <v>47.160499999999999</v>
      </c>
      <c r="F73" s="16">
        <v>47.769199999999998</v>
      </c>
      <c r="G73" s="16">
        <v>194.99512512187195</v>
      </c>
      <c r="H73" s="16">
        <f t="shared" si="0"/>
        <v>43.747062500000006</v>
      </c>
      <c r="I73" s="5"/>
      <c r="J73" s="15">
        <v>1483.5056</v>
      </c>
      <c r="K73" s="16">
        <v>42.4604</v>
      </c>
      <c r="L73" s="16">
        <v>47.556699999999999</v>
      </c>
      <c r="M73" s="16">
        <v>48.229700000000001</v>
      </c>
      <c r="N73" s="16">
        <v>228.833</v>
      </c>
      <c r="O73" s="16">
        <f t="shared" si="1"/>
        <v>43.818599999999996</v>
      </c>
      <c r="P73" s="7"/>
      <c r="Q73" s="8">
        <f>bdrate(C73:C76,D73:D76,J73:J76,K73:K76)</f>
        <v>2.567827510137044E-2</v>
      </c>
      <c r="R73" s="8">
        <f>bdrate(C73:C76,E73:E76,J73:J76,L73:L76)</f>
        <v>-0.19848201047114178</v>
      </c>
      <c r="S73" s="8">
        <f>bdrate(C73:C76,F73:F76,J73:J76,M73:M76)</f>
        <v>-0.23613882088229965</v>
      </c>
      <c r="T73" s="25">
        <f>bdrate(C73:C76,H73:H76,J73:J76,O73:O76)</f>
        <v>-3.7368901444252867E-2</v>
      </c>
      <c r="U73" s="28">
        <f t="shared" ref="U73:U124" si="3">(N73-G73)/G73</f>
        <v>0.17353190166666668</v>
      </c>
    </row>
    <row r="74" spans="1:21" x14ac:dyDescent="0.25">
      <c r="B74" s="9"/>
      <c r="C74" s="17">
        <v>950.8447265625</v>
      </c>
      <c r="D74" s="18">
        <v>41.957000000000001</v>
      </c>
      <c r="E74" s="18">
        <v>46.612499999999997</v>
      </c>
      <c r="F74" s="18">
        <v>47.146999999999998</v>
      </c>
      <c r="G74" s="18">
        <v>275.1031636863824</v>
      </c>
      <c r="H74" s="18">
        <f t="shared" si="0"/>
        <v>43.187687500000003</v>
      </c>
      <c r="I74" s="5"/>
      <c r="J74" s="17">
        <v>970.61919999999998</v>
      </c>
      <c r="K74" s="18">
        <v>41.899000000000001</v>
      </c>
      <c r="L74" s="18">
        <v>47.011499999999998</v>
      </c>
      <c r="M74" s="18">
        <v>47.666400000000003</v>
      </c>
      <c r="N74" s="18">
        <v>418.41</v>
      </c>
      <c r="O74" s="18">
        <f t="shared" si="1"/>
        <v>43.258987500000003</v>
      </c>
      <c r="P74" s="7"/>
      <c r="Q74" s="10"/>
      <c r="R74" s="11"/>
      <c r="S74" s="11"/>
      <c r="T74" s="26"/>
      <c r="U74" s="28">
        <f t="shared" si="3"/>
        <v>0.52092035000000003</v>
      </c>
    </row>
    <row r="75" spans="1:21" x14ac:dyDescent="0.25">
      <c r="B75" s="9"/>
      <c r="C75" s="17">
        <v>573.9287109375</v>
      </c>
      <c r="D75" s="18">
        <v>41.058500000000002</v>
      </c>
      <c r="E75" s="18">
        <v>45.721899999999998</v>
      </c>
      <c r="F75" s="18">
        <v>46.278799999999997</v>
      </c>
      <c r="G75" s="18">
        <v>304.72320975114269</v>
      </c>
      <c r="H75" s="18">
        <f t="shared" si="0"/>
        <v>42.293962499999999</v>
      </c>
      <c r="I75" s="5"/>
      <c r="J75" s="17">
        <v>576.65359999999998</v>
      </c>
      <c r="K75" s="18">
        <v>40.977800000000002</v>
      </c>
      <c r="L75" s="18">
        <v>46.171700000000001</v>
      </c>
      <c r="M75" s="18">
        <v>46.820700000000002</v>
      </c>
      <c r="N75" s="18">
        <v>478.85079999999999</v>
      </c>
      <c r="O75" s="18">
        <f t="shared" si="1"/>
        <v>42.357399999999998</v>
      </c>
      <c r="P75" s="7"/>
      <c r="Q75" s="10"/>
      <c r="R75" s="11"/>
      <c r="S75" s="11"/>
      <c r="T75" s="26"/>
      <c r="U75" s="28">
        <f t="shared" si="3"/>
        <v>0.57142870866666673</v>
      </c>
    </row>
    <row r="76" spans="1:21" ht="16.5" thickBot="1" x14ac:dyDescent="0.3">
      <c r="B76" s="12"/>
      <c r="C76" s="19">
        <v>287.96875</v>
      </c>
      <c r="D76" s="20">
        <v>38.976900000000001</v>
      </c>
      <c r="E76" s="20">
        <v>44.133000000000003</v>
      </c>
      <c r="F76" s="20">
        <v>44.405900000000003</v>
      </c>
      <c r="G76" s="20">
        <v>388.09831824062093</v>
      </c>
      <c r="H76" s="20">
        <f t="shared" si="0"/>
        <v>40.300037500000002</v>
      </c>
      <c r="I76" s="5"/>
      <c r="J76" s="19">
        <v>280.02480000000003</v>
      </c>
      <c r="K76" s="20">
        <v>39.091999999999999</v>
      </c>
      <c r="L76" s="20">
        <v>44.479399999999998</v>
      </c>
      <c r="M76" s="20">
        <v>45.016199999999998</v>
      </c>
      <c r="N76" s="20">
        <v>564.97180000000003</v>
      </c>
      <c r="O76" s="20">
        <f t="shared" si="1"/>
        <v>40.505949999999999</v>
      </c>
      <c r="P76" s="7"/>
      <c r="Q76" s="13"/>
      <c r="R76" s="14"/>
      <c r="S76" s="14"/>
      <c r="T76" s="27"/>
      <c r="U76" s="28">
        <f t="shared" si="3"/>
        <v>0.45574400466666687</v>
      </c>
    </row>
    <row r="77" spans="1:21" x14ac:dyDescent="0.25">
      <c r="B77" s="6" t="s">
        <v>63</v>
      </c>
      <c r="C77" s="15">
        <v>1440.6064453125</v>
      </c>
      <c r="D77" s="16">
        <v>42.221699999999998</v>
      </c>
      <c r="E77" s="16">
        <v>46.094499999999996</v>
      </c>
      <c r="F77" s="16">
        <v>46.9343</v>
      </c>
      <c r="G77" s="16">
        <v>191.69329073482427</v>
      </c>
      <c r="H77" s="16">
        <f t="shared" si="0"/>
        <v>43.294874999999998</v>
      </c>
      <c r="I77" s="5"/>
      <c r="J77" s="15">
        <v>1536.62</v>
      </c>
      <c r="K77" s="16">
        <v>42.342100000000002</v>
      </c>
      <c r="L77" s="16">
        <v>46.66</v>
      </c>
      <c r="M77" s="16">
        <v>47.517800000000001</v>
      </c>
      <c r="N77" s="16">
        <v>231.74969999999999</v>
      </c>
      <c r="O77" s="16">
        <f t="shared" si="1"/>
        <v>43.528800000000004</v>
      </c>
      <c r="P77" s="7"/>
      <c r="Q77" s="8">
        <f>bdrate(C77:C80,D77:D80,J77:J80,K77:K80)</f>
        <v>-6.3162941207228096E-2</v>
      </c>
      <c r="R77" s="8">
        <f>bdrate(C77:C80,E77:E80,J77:J80,L77:L80)</f>
        <v>-0.2176605653900241</v>
      </c>
      <c r="S77" s="8">
        <f>bdrate(C77:C80,F77:F80,J77:J80,M77:M80)</f>
        <v>-0.23835436064114734</v>
      </c>
      <c r="T77" s="25">
        <f>bdrate(C77:C80,H77:H80,J77:J80,O77:O80)</f>
        <v>-0.10078711198115708</v>
      </c>
      <c r="U77" s="28">
        <f t="shared" si="3"/>
        <v>0.20896093499999999</v>
      </c>
    </row>
    <row r="78" spans="1:21" x14ac:dyDescent="0.25">
      <c r="B78" s="9"/>
      <c r="C78" s="17">
        <v>964.6123046875</v>
      </c>
      <c r="D78" s="18">
        <v>41.340499999999999</v>
      </c>
      <c r="E78" s="18">
        <v>45.2697</v>
      </c>
      <c r="F78" s="18">
        <v>46.075099999999999</v>
      </c>
      <c r="G78" s="18">
        <v>278.68091035764047</v>
      </c>
      <c r="H78" s="18">
        <f t="shared" si="0"/>
        <v>42.423475000000003</v>
      </c>
      <c r="I78" s="5"/>
      <c r="J78" s="17">
        <v>1011.5408</v>
      </c>
      <c r="K78" s="18">
        <v>41.494799999999998</v>
      </c>
      <c r="L78" s="18">
        <v>45.9375</v>
      </c>
      <c r="M78" s="18">
        <v>46.761699999999998</v>
      </c>
      <c r="N78" s="18">
        <v>372.9024</v>
      </c>
      <c r="O78" s="18">
        <f t="shared" si="1"/>
        <v>42.708500000000001</v>
      </c>
      <c r="P78" s="7"/>
      <c r="Q78" s="10"/>
      <c r="R78" s="11"/>
      <c r="S78" s="11"/>
      <c r="T78" s="26"/>
      <c r="U78" s="28">
        <f t="shared" si="3"/>
        <v>0.33809811200000017</v>
      </c>
    </row>
    <row r="79" spans="1:21" x14ac:dyDescent="0.25">
      <c r="B79" s="9"/>
      <c r="C79" s="17">
        <v>583.0009765625</v>
      </c>
      <c r="D79" s="18">
        <v>39.774500000000003</v>
      </c>
      <c r="E79" s="18">
        <v>43.991</v>
      </c>
      <c r="F79" s="18">
        <v>44.681899999999999</v>
      </c>
      <c r="G79" s="18">
        <v>314.13612565445027</v>
      </c>
      <c r="H79" s="18">
        <f t="shared" si="0"/>
        <v>40.914987500000002</v>
      </c>
      <c r="I79" s="5"/>
      <c r="J79" s="17">
        <v>601.98</v>
      </c>
      <c r="K79" s="18">
        <v>40.097499999999997</v>
      </c>
      <c r="L79" s="18">
        <v>44.7211</v>
      </c>
      <c r="M79" s="18">
        <v>45.5717</v>
      </c>
      <c r="N79" s="18">
        <v>472.4409</v>
      </c>
      <c r="O79" s="18">
        <f t="shared" si="1"/>
        <v>41.359724999999997</v>
      </c>
      <c r="P79" s="7"/>
      <c r="Q79" s="10"/>
      <c r="R79" s="11"/>
      <c r="S79" s="11"/>
      <c r="T79" s="26"/>
      <c r="U79" s="28">
        <f t="shared" si="3"/>
        <v>0.50393686500000001</v>
      </c>
    </row>
    <row r="80" spans="1:21" ht="16.5" thickBot="1" x14ac:dyDescent="0.3">
      <c r="B80" s="12"/>
      <c r="C80" s="19">
        <v>294.5234375</v>
      </c>
      <c r="D80" s="20">
        <v>36.710799999999999</v>
      </c>
      <c r="E80" s="20">
        <v>42.1098</v>
      </c>
      <c r="F80" s="20">
        <v>43.0047</v>
      </c>
      <c r="G80" s="20">
        <v>385.35645472061657</v>
      </c>
      <c r="H80" s="20">
        <f t="shared" si="0"/>
        <v>38.1724125</v>
      </c>
      <c r="I80" s="5"/>
      <c r="J80" s="19">
        <v>297.22320000000002</v>
      </c>
      <c r="K80" s="20">
        <v>37.436999999999998</v>
      </c>
      <c r="L80" s="20">
        <v>42.7331</v>
      </c>
      <c r="M80" s="20">
        <v>43.497900000000001</v>
      </c>
      <c r="N80" s="20">
        <v>594.05939999999998</v>
      </c>
      <c r="O80" s="20">
        <f t="shared" si="1"/>
        <v>38.856625000000001</v>
      </c>
      <c r="P80" s="7"/>
      <c r="Q80" s="13"/>
      <c r="R80" s="14"/>
      <c r="S80" s="14"/>
      <c r="T80" s="27"/>
      <c r="U80" s="28">
        <f t="shared" si="3"/>
        <v>0.54158414299999991</v>
      </c>
    </row>
    <row r="81" spans="1:21" x14ac:dyDescent="0.25">
      <c r="A81" s="6" t="s">
        <v>99</v>
      </c>
      <c r="B81" s="6" t="s">
        <v>100</v>
      </c>
      <c r="C81" s="15">
        <v>1476.3330078125</v>
      </c>
      <c r="D81" s="16">
        <v>36.355800000000002</v>
      </c>
      <c r="E81" s="16">
        <v>42.019399999999997</v>
      </c>
      <c r="F81" s="16">
        <v>42.573099999999997</v>
      </c>
      <c r="G81" s="16">
        <v>147.58937356510333</v>
      </c>
      <c r="H81" s="16">
        <f t="shared" ref="H81:H124" si="4">(6*D81+E81+F81)/8</f>
        <v>37.840912500000002</v>
      </c>
      <c r="I81" s="5"/>
      <c r="J81" s="15">
        <v>1511.6388999999999</v>
      </c>
      <c r="K81" s="16">
        <v>35.338799999999999</v>
      </c>
      <c r="L81" s="16">
        <v>41.340899999999998</v>
      </c>
      <c r="M81" s="16">
        <v>41.975499999999997</v>
      </c>
      <c r="N81" s="16">
        <v>225</v>
      </c>
      <c r="O81" s="16">
        <f t="shared" ref="O81:O124" si="5">(6*K81+L81+M81)/8</f>
        <v>36.91865</v>
      </c>
      <c r="P81" s="7"/>
      <c r="Q81" s="8">
        <f>bdrate(C81:C84,D81:D84,J81:J84,K81:K84)</f>
        <v>0.1740402183119103</v>
      </c>
      <c r="R81" s="8">
        <f>bdrate(C81:C84,E81:E84,J81:J84,L81:L84)</f>
        <v>0.17221973688012682</v>
      </c>
      <c r="S81" s="8">
        <f>bdrate(C81:C84,F81:F84,J81:J84,M81:M84)</f>
        <v>0.12772323065478375</v>
      </c>
      <c r="T81" s="25">
        <f>bdrate(C81:C84,H81:H84,J81:J84,O81:O84)</f>
        <v>0.17001266669030635</v>
      </c>
      <c r="U81" s="28">
        <f t="shared" si="3"/>
        <v>0.52449999999999986</v>
      </c>
    </row>
    <row r="82" spans="1:21" x14ac:dyDescent="0.25">
      <c r="A82" s="9" t="s">
        <v>77</v>
      </c>
      <c r="B82" s="9"/>
      <c r="C82" s="17">
        <v>985.09765625</v>
      </c>
      <c r="D82" s="18">
        <v>34.304200000000002</v>
      </c>
      <c r="E82" s="18">
        <v>40.718400000000003</v>
      </c>
      <c r="F82" s="18">
        <v>41.259599999999999</v>
      </c>
      <c r="G82" s="18">
        <v>191.53011278995533</v>
      </c>
      <c r="H82" s="18">
        <f t="shared" si="4"/>
        <v>35.9754</v>
      </c>
      <c r="I82" s="5"/>
      <c r="J82" s="17">
        <v>1007.3123000000001</v>
      </c>
      <c r="K82" s="18">
        <v>33.507899999999999</v>
      </c>
      <c r="L82" s="18">
        <v>40.191499999999998</v>
      </c>
      <c r="M82" s="18">
        <v>40.839199999999998</v>
      </c>
      <c r="N82" s="18">
        <v>271.57510000000002</v>
      </c>
      <c r="O82" s="18">
        <f t="shared" si="5"/>
        <v>35.259762499999994</v>
      </c>
      <c r="P82" s="7"/>
      <c r="Q82" s="10"/>
      <c r="R82" s="11"/>
      <c r="S82" s="11"/>
      <c r="T82" s="26"/>
      <c r="U82" s="28">
        <f t="shared" si="3"/>
        <v>0.41792377211111109</v>
      </c>
    </row>
    <row r="83" spans="1:21" x14ac:dyDescent="0.25">
      <c r="B83" s="9"/>
      <c r="C83" s="17">
        <v>591.2626953125</v>
      </c>
      <c r="D83" s="18">
        <v>31.789100000000001</v>
      </c>
      <c r="E83" s="18">
        <v>39.226399999999998</v>
      </c>
      <c r="F83" s="18">
        <v>39.767499999999998</v>
      </c>
      <c r="G83" s="18">
        <v>239.1708743024183</v>
      </c>
      <c r="H83" s="18">
        <f t="shared" si="4"/>
        <v>33.7160625</v>
      </c>
      <c r="I83" s="5"/>
      <c r="J83" s="17">
        <v>605.62609999999995</v>
      </c>
      <c r="K83" s="18">
        <v>31.220400000000001</v>
      </c>
      <c r="L83" s="18">
        <v>38.937100000000001</v>
      </c>
      <c r="M83" s="18">
        <v>39.575499999999998</v>
      </c>
      <c r="N83" s="18">
        <v>323.392</v>
      </c>
      <c r="O83" s="18">
        <f t="shared" si="5"/>
        <v>33.229374999999997</v>
      </c>
      <c r="P83" s="7"/>
      <c r="Q83" s="10"/>
      <c r="R83" s="11"/>
      <c r="S83" s="11"/>
      <c r="T83" s="26"/>
      <c r="U83" s="28">
        <f t="shared" si="3"/>
        <v>0.35213788444444433</v>
      </c>
    </row>
    <row r="84" spans="1:21" ht="16.5" thickBot="1" x14ac:dyDescent="0.3">
      <c r="B84" s="12"/>
      <c r="C84" s="19">
        <v>295.70703125</v>
      </c>
      <c r="D84" s="20">
        <v>28.612300000000001</v>
      </c>
      <c r="E84" s="20">
        <v>37.363100000000003</v>
      </c>
      <c r="F84" s="20">
        <v>37.874899999999997</v>
      </c>
      <c r="G84" s="20">
        <v>275.39779681762548</v>
      </c>
      <c r="H84" s="20">
        <f t="shared" si="4"/>
        <v>30.863975</v>
      </c>
      <c r="I84" s="5"/>
      <c r="J84" s="19">
        <v>302.40109999999999</v>
      </c>
      <c r="K84" s="20">
        <v>28.187899999999999</v>
      </c>
      <c r="L84" s="20">
        <v>37.107399999999998</v>
      </c>
      <c r="M84" s="20">
        <v>37.749299999999998</v>
      </c>
      <c r="N84" s="20">
        <v>412.08789999999999</v>
      </c>
      <c r="O84" s="20">
        <f t="shared" si="5"/>
        <v>30.498012500000002</v>
      </c>
      <c r="P84" s="7"/>
      <c r="Q84" s="13"/>
      <c r="R84" s="14"/>
      <c r="S84" s="14"/>
      <c r="T84" s="27"/>
      <c r="U84" s="28">
        <f t="shared" si="3"/>
        <v>0.49633695244444431</v>
      </c>
    </row>
    <row r="85" spans="1:21" x14ac:dyDescent="0.25">
      <c r="B85" s="6" t="s">
        <v>101</v>
      </c>
      <c r="C85" s="15">
        <v>1441.2705078125</v>
      </c>
      <c r="D85" s="16">
        <v>52.4696</v>
      </c>
      <c r="E85" s="16">
        <v>51.265099999999997</v>
      </c>
      <c r="F85" s="16">
        <v>51.523499999999999</v>
      </c>
      <c r="G85" s="16">
        <v>184.72906403940888</v>
      </c>
      <c r="H85" s="16">
        <f t="shared" si="4"/>
        <v>52.200775</v>
      </c>
      <c r="I85" s="5"/>
      <c r="J85" s="15">
        <v>1483.1931</v>
      </c>
      <c r="K85" s="16">
        <v>51.446599999999997</v>
      </c>
      <c r="L85" s="16">
        <v>51.844099999999997</v>
      </c>
      <c r="M85" s="16">
        <v>52.304900000000004</v>
      </c>
      <c r="N85" s="16">
        <v>225.7336</v>
      </c>
      <c r="O85" s="16">
        <f t="shared" si="5"/>
        <v>51.603574999999992</v>
      </c>
      <c r="P85" s="7"/>
      <c r="Q85" s="8">
        <f>bdrate(C85:C88,D85:D88,J85:J88,K85:K88)</f>
        <v>6.285725643352702E-2</v>
      </c>
      <c r="R85" s="8">
        <f>bdrate(C85:C88,E85:E88,J85:J88,L85:L88)</f>
        <v>-0.17104324735510135</v>
      </c>
      <c r="S85" s="8">
        <f>bdrate(C85:C88,F85:F88,J85:J88,M85:M88)</f>
        <v>-0.20311911871110122</v>
      </c>
      <c r="T85" s="25">
        <f>bdrate(C85:C88,H85:H88,J85:J88,O85:O88)</f>
        <v>5.0476283304068392E-3</v>
      </c>
      <c r="U85" s="28">
        <f t="shared" si="3"/>
        <v>0.22197122133333322</v>
      </c>
    </row>
    <row r="86" spans="1:21" x14ac:dyDescent="0.25">
      <c r="B86" s="9"/>
      <c r="C86" s="17">
        <v>962.974609375</v>
      </c>
      <c r="D86" s="18">
        <v>49.691600000000001</v>
      </c>
      <c r="E86" s="18">
        <v>48.862299999999998</v>
      </c>
      <c r="F86" s="18">
        <v>49.140999999999998</v>
      </c>
      <c r="G86" s="18">
        <v>269.29982046678634</v>
      </c>
      <c r="H86" s="18">
        <f t="shared" si="4"/>
        <v>49.519112500000006</v>
      </c>
      <c r="I86" s="5"/>
      <c r="J86" s="17">
        <v>988.30399999999997</v>
      </c>
      <c r="K86" s="18">
        <v>49.378399999999999</v>
      </c>
      <c r="L86" s="18">
        <v>50.105899999999998</v>
      </c>
      <c r="M86" s="18">
        <v>50.594000000000001</v>
      </c>
      <c r="N86" s="18">
        <v>399.29020000000003</v>
      </c>
      <c r="O86" s="18">
        <f t="shared" si="5"/>
        <v>49.621287500000001</v>
      </c>
      <c r="P86" s="7"/>
      <c r="Q86" s="10"/>
      <c r="R86" s="11"/>
      <c r="S86" s="11"/>
      <c r="T86" s="26"/>
      <c r="U86" s="28">
        <f t="shared" si="3"/>
        <v>0.4826976093333335</v>
      </c>
    </row>
    <row r="87" spans="1:21" x14ac:dyDescent="0.25">
      <c r="B87" s="9"/>
      <c r="C87" s="17">
        <v>580.1142578125</v>
      </c>
      <c r="D87" s="18">
        <v>46.4649</v>
      </c>
      <c r="E87" s="18">
        <v>46.29</v>
      </c>
      <c r="F87" s="18">
        <v>46.558500000000002</v>
      </c>
      <c r="G87" s="18">
        <v>310.23784901758017</v>
      </c>
      <c r="H87" s="18">
        <f t="shared" si="4"/>
        <v>46.4547375</v>
      </c>
      <c r="I87" s="5"/>
      <c r="J87" s="17">
        <v>606.83839999999998</v>
      </c>
      <c r="K87" s="18">
        <v>46.567300000000003</v>
      </c>
      <c r="L87" s="18">
        <v>47.701900000000002</v>
      </c>
      <c r="M87" s="18">
        <v>48.187100000000001</v>
      </c>
      <c r="N87" s="18">
        <v>604.83870000000002</v>
      </c>
      <c r="O87" s="18">
        <f t="shared" si="5"/>
        <v>46.911600000000007</v>
      </c>
      <c r="P87" s="7"/>
      <c r="Q87" s="10"/>
      <c r="R87" s="11"/>
      <c r="S87" s="11"/>
      <c r="T87" s="26"/>
      <c r="U87" s="28">
        <f t="shared" si="3"/>
        <v>0.94959674299999985</v>
      </c>
    </row>
    <row r="88" spans="1:21" ht="16.5" thickBot="1" x14ac:dyDescent="0.3">
      <c r="B88" s="12"/>
      <c r="C88" s="19">
        <v>290.912109375</v>
      </c>
      <c r="D88" s="20">
        <v>42.029499999999999</v>
      </c>
      <c r="E88" s="20">
        <v>42.747199999999999</v>
      </c>
      <c r="F88" s="20">
        <v>43.011200000000002</v>
      </c>
      <c r="G88" s="20">
        <v>363.63636363636363</v>
      </c>
      <c r="H88" s="20">
        <f t="shared" si="4"/>
        <v>42.241924999999995</v>
      </c>
      <c r="I88" s="5"/>
      <c r="J88" s="19">
        <v>304.62189999999998</v>
      </c>
      <c r="K88" s="20">
        <v>41.717100000000002</v>
      </c>
      <c r="L88" s="20">
        <v>43.396099999999997</v>
      </c>
      <c r="M88" s="20">
        <v>43.816800000000001</v>
      </c>
      <c r="N88" s="20">
        <v>725.80650000000003</v>
      </c>
      <c r="O88" s="20">
        <f t="shared" si="5"/>
        <v>42.189437500000004</v>
      </c>
      <c r="P88" s="7"/>
      <c r="Q88" s="13"/>
      <c r="R88" s="14"/>
      <c r="S88" s="14"/>
      <c r="T88" s="27"/>
      <c r="U88" s="28">
        <f t="shared" si="3"/>
        <v>0.99596787500000017</v>
      </c>
    </row>
    <row r="89" spans="1:21" x14ac:dyDescent="0.25">
      <c r="B89" s="6" t="s">
        <v>102</v>
      </c>
      <c r="C89" s="15">
        <v>1446.8310546875</v>
      </c>
      <c r="D89" s="16">
        <v>43.945099999999996</v>
      </c>
      <c r="E89" s="16">
        <v>46.0246</v>
      </c>
      <c r="F89" s="16">
        <v>46.492699999999999</v>
      </c>
      <c r="G89" s="16">
        <v>164.17365924844947</v>
      </c>
      <c r="H89" s="16">
        <f t="shared" si="4"/>
        <v>44.523487500000002</v>
      </c>
      <c r="I89" s="5"/>
      <c r="J89" s="15">
        <v>1503.0741</v>
      </c>
      <c r="K89" s="16">
        <v>43.109299999999998</v>
      </c>
      <c r="L89" s="16">
        <v>45.727600000000002</v>
      </c>
      <c r="M89" s="16">
        <v>46.173499999999997</v>
      </c>
      <c r="N89" s="16">
        <v>231.00620000000001</v>
      </c>
      <c r="O89" s="16">
        <f t="shared" si="5"/>
        <v>43.819612499999998</v>
      </c>
      <c r="P89" s="7"/>
      <c r="Q89" s="8">
        <f>bdrate(C89:C92,D89:D92,J89:J92,K89:K92)</f>
        <v>0.10013657286422295</v>
      </c>
      <c r="R89" s="8">
        <f>bdrate(C89:C92,E89:E92,J89:J92,L89:L92)</f>
        <v>8.5645885862040139E-4</v>
      </c>
      <c r="S89" s="8">
        <f>bdrate(C89:C92,F89:F92,J89:J92,M89:M92)</f>
        <v>1.1758920352473945E-2</v>
      </c>
      <c r="T89" s="25">
        <f>bdrate(C89:C92,H89:H92,J89:J92,O89:O92)</f>
        <v>8.1810249058023699E-2</v>
      </c>
      <c r="U89" s="28">
        <f t="shared" si="3"/>
        <v>0.40708443155555563</v>
      </c>
    </row>
    <row r="90" spans="1:21" x14ac:dyDescent="0.25">
      <c r="B90" s="9"/>
      <c r="C90" s="17">
        <v>966.6953125</v>
      </c>
      <c r="D90" s="18">
        <v>41.816699999999997</v>
      </c>
      <c r="E90" s="18">
        <v>44.484900000000003</v>
      </c>
      <c r="F90" s="18">
        <v>44.978499999999997</v>
      </c>
      <c r="G90" s="18">
        <v>222.05773501110289</v>
      </c>
      <c r="H90" s="18">
        <f t="shared" si="4"/>
        <v>42.545449999999995</v>
      </c>
      <c r="I90" s="5"/>
      <c r="J90" s="17">
        <v>1003.2043</v>
      </c>
      <c r="K90" s="18">
        <v>41.305599999999998</v>
      </c>
      <c r="L90" s="18">
        <v>44.483499999999999</v>
      </c>
      <c r="M90" s="18">
        <v>44.932099999999998</v>
      </c>
      <c r="N90" s="18">
        <v>412.27670000000001</v>
      </c>
      <c r="O90" s="18">
        <f t="shared" si="5"/>
        <v>42.156149999999997</v>
      </c>
      <c r="P90" s="7"/>
      <c r="Q90" s="10"/>
      <c r="R90" s="11"/>
      <c r="S90" s="11"/>
      <c r="T90" s="26"/>
      <c r="U90" s="28">
        <f t="shared" si="3"/>
        <v>0.85661940566666661</v>
      </c>
    </row>
    <row r="91" spans="1:21" x14ac:dyDescent="0.25">
      <c r="B91" s="9"/>
      <c r="C91" s="17">
        <v>583.962890625</v>
      </c>
      <c r="D91" s="18">
        <v>39.040199999999999</v>
      </c>
      <c r="E91" s="18">
        <v>42.557000000000002</v>
      </c>
      <c r="F91" s="18">
        <v>43.052300000000002</v>
      </c>
      <c r="G91" s="18">
        <v>261.09660574412533</v>
      </c>
      <c r="H91" s="18">
        <f t="shared" si="4"/>
        <v>39.981312500000001</v>
      </c>
      <c r="I91" s="5"/>
      <c r="J91" s="17">
        <v>607.78399999999999</v>
      </c>
      <c r="K91" s="18">
        <v>38.827100000000002</v>
      </c>
      <c r="L91" s="18">
        <v>42.777200000000001</v>
      </c>
      <c r="M91" s="18">
        <v>43.2301</v>
      </c>
      <c r="N91" s="18">
        <v>475.43579999999997</v>
      </c>
      <c r="O91" s="18">
        <f t="shared" si="5"/>
        <v>39.871237499999999</v>
      </c>
      <c r="P91" s="7"/>
      <c r="Q91" s="10"/>
      <c r="R91" s="11"/>
      <c r="S91" s="11"/>
      <c r="T91" s="26"/>
      <c r="U91" s="28">
        <f t="shared" si="3"/>
        <v>0.82091911399999984</v>
      </c>
    </row>
    <row r="92" spans="1:21" ht="16.5" thickBot="1" x14ac:dyDescent="0.3">
      <c r="B92" s="12"/>
      <c r="C92" s="19">
        <v>294.2578125</v>
      </c>
      <c r="D92" s="20">
        <v>35.276000000000003</v>
      </c>
      <c r="E92" s="20">
        <v>39.944800000000001</v>
      </c>
      <c r="F92" s="20">
        <v>40.4497</v>
      </c>
      <c r="G92" s="20">
        <v>309.38466827088348</v>
      </c>
      <c r="H92" s="20">
        <f t="shared" si="4"/>
        <v>36.5063125</v>
      </c>
      <c r="I92" s="5"/>
      <c r="J92" s="19">
        <v>306.9427</v>
      </c>
      <c r="K92" s="20">
        <v>35.2821</v>
      </c>
      <c r="L92" s="20">
        <v>40.3108</v>
      </c>
      <c r="M92" s="20">
        <v>40.777299999999997</v>
      </c>
      <c r="N92" s="20">
        <v>555.55560000000003</v>
      </c>
      <c r="O92" s="20">
        <f t="shared" si="5"/>
        <v>36.597587500000003</v>
      </c>
      <c r="P92" s="7"/>
      <c r="Q92" s="13"/>
      <c r="R92" s="14"/>
      <c r="S92" s="14"/>
      <c r="T92" s="27"/>
      <c r="U92" s="28">
        <f t="shared" si="3"/>
        <v>0.79567915599999994</v>
      </c>
    </row>
    <row r="93" spans="1:21" x14ac:dyDescent="0.25">
      <c r="B93" s="6" t="s">
        <v>103</v>
      </c>
      <c r="C93" s="29">
        <v>1452.072265625</v>
      </c>
      <c r="D93" s="30">
        <v>38.467500000000001</v>
      </c>
      <c r="E93" s="30">
        <v>42.371099999999998</v>
      </c>
      <c r="F93" s="30">
        <v>42.114800000000002</v>
      </c>
      <c r="G93" s="16">
        <v>150.45135406218657</v>
      </c>
      <c r="H93" s="16">
        <f t="shared" si="4"/>
        <v>39.411362500000003</v>
      </c>
      <c r="I93" s="5"/>
      <c r="J93" s="29">
        <v>1512.9979000000001</v>
      </c>
      <c r="K93" s="30">
        <v>37.816099999999999</v>
      </c>
      <c r="L93" s="30">
        <v>42.154800000000002</v>
      </c>
      <c r="M93" s="30">
        <v>41.917700000000004</v>
      </c>
      <c r="N93" s="16">
        <v>230.06129999999999</v>
      </c>
      <c r="O93" s="16">
        <f t="shared" si="5"/>
        <v>38.871137500000003</v>
      </c>
      <c r="P93" s="7"/>
      <c r="Q93" s="8">
        <f>bdrate(C93:C96,D93:D96,J93:J96,K93:K96)</f>
        <v>0.13336103218399398</v>
      </c>
      <c r="R93" s="8">
        <f>bdrate(C93:C96,E93:E96,J93:J96,L93:L96)</f>
        <v>9.4881268618312697E-2</v>
      </c>
      <c r="S93" s="8">
        <f>bdrate(C93:C96,F93:F96,J93:J96,M93:M96)</f>
        <v>8.5167058155488196E-2</v>
      </c>
      <c r="T93" s="25">
        <f>bdrate(C93:C96,H93:H96,J93:J96,O93:O96)</f>
        <v>0.12585334493789291</v>
      </c>
      <c r="U93" s="28">
        <f t="shared" si="3"/>
        <v>0.52914077399999981</v>
      </c>
    </row>
    <row r="94" spans="1:21" x14ac:dyDescent="0.25">
      <c r="B94" s="9"/>
      <c r="C94" s="31">
        <v>968.689453125</v>
      </c>
      <c r="D94" s="32">
        <v>36.529000000000003</v>
      </c>
      <c r="E94" s="32">
        <v>41.1599</v>
      </c>
      <c r="F94" s="32">
        <v>40.875700000000002</v>
      </c>
      <c r="G94" s="18">
        <v>191.77498401875135</v>
      </c>
      <c r="H94" s="18">
        <f t="shared" si="4"/>
        <v>37.651200000000003</v>
      </c>
      <c r="I94" s="5"/>
      <c r="J94" s="31">
        <v>1002.6336</v>
      </c>
      <c r="K94" s="32">
        <v>35.986899999999999</v>
      </c>
      <c r="L94" s="32">
        <v>40.986899999999999</v>
      </c>
      <c r="M94" s="32">
        <v>40.721699999999998</v>
      </c>
      <c r="N94" s="18">
        <v>327.8689</v>
      </c>
      <c r="O94" s="18">
        <f t="shared" si="5"/>
        <v>37.203749999999999</v>
      </c>
      <c r="P94" s="7"/>
      <c r="Q94" s="10"/>
      <c r="R94" s="11"/>
      <c r="S94" s="11"/>
      <c r="T94" s="26"/>
      <c r="U94" s="28">
        <f t="shared" si="3"/>
        <v>0.70965416411111093</v>
      </c>
    </row>
    <row r="95" spans="1:21" x14ac:dyDescent="0.25">
      <c r="B95" s="9"/>
      <c r="C95" s="31">
        <v>583.119140625</v>
      </c>
      <c r="D95" s="32">
        <v>34.175400000000003</v>
      </c>
      <c r="E95" s="32">
        <v>39.715200000000003</v>
      </c>
      <c r="F95" s="32">
        <v>39.3857</v>
      </c>
      <c r="G95" s="18">
        <v>235.47880690737833</v>
      </c>
      <c r="H95" s="18">
        <f t="shared" si="4"/>
        <v>35.519162500000007</v>
      </c>
      <c r="I95" s="5"/>
      <c r="J95" s="31">
        <v>603.60879999999997</v>
      </c>
      <c r="K95" s="32">
        <v>33.814799999999998</v>
      </c>
      <c r="L95" s="32">
        <v>39.579099999999997</v>
      </c>
      <c r="M95" s="32">
        <v>39.272199999999998</v>
      </c>
      <c r="N95" s="18">
        <v>387.09679999999997</v>
      </c>
      <c r="O95" s="18">
        <f t="shared" si="5"/>
        <v>35.217512499999998</v>
      </c>
      <c r="P95" s="7"/>
      <c r="Q95" s="10"/>
      <c r="R95" s="11"/>
      <c r="S95" s="11"/>
      <c r="T95" s="26"/>
      <c r="U95" s="28">
        <f t="shared" si="3"/>
        <v>0.64387107733333326</v>
      </c>
    </row>
    <row r="96" spans="1:21" ht="16.5" thickBot="1" x14ac:dyDescent="0.3">
      <c r="B96" s="12"/>
      <c r="C96" s="33">
        <v>294.1953125</v>
      </c>
      <c r="D96" s="34">
        <v>31.112300000000001</v>
      </c>
      <c r="E96" s="34">
        <v>37.935600000000001</v>
      </c>
      <c r="F96" s="34">
        <v>37.536799999999999</v>
      </c>
      <c r="G96" s="20">
        <v>297.91459781529295</v>
      </c>
      <c r="H96" s="20">
        <f t="shared" si="4"/>
        <v>32.768275000000003</v>
      </c>
      <c r="I96" s="5"/>
      <c r="J96" s="33">
        <v>300.62270000000001</v>
      </c>
      <c r="K96" s="34">
        <v>30.885899999999999</v>
      </c>
      <c r="L96" s="34">
        <v>37.769799999999996</v>
      </c>
      <c r="M96" s="34">
        <v>37.386400000000002</v>
      </c>
      <c r="N96" s="20">
        <v>496.41480000000001</v>
      </c>
      <c r="O96" s="20">
        <f t="shared" si="5"/>
        <v>32.558950000000003</v>
      </c>
      <c r="P96" s="7"/>
      <c r="Q96" s="13"/>
      <c r="R96" s="14"/>
      <c r="S96" s="14"/>
      <c r="T96" s="27"/>
      <c r="U96" s="28">
        <f t="shared" si="3"/>
        <v>0.66629901200000008</v>
      </c>
    </row>
    <row r="97" spans="2:21" x14ac:dyDescent="0.25">
      <c r="B97" s="6" t="s">
        <v>104</v>
      </c>
      <c r="C97" s="15">
        <v>1472.2236328125</v>
      </c>
      <c r="D97" s="16">
        <v>37.090699999999998</v>
      </c>
      <c r="E97" s="16">
        <v>40.999200000000002</v>
      </c>
      <c r="F97" s="16">
        <v>41.6905</v>
      </c>
      <c r="G97" s="16">
        <v>158.00561797752809</v>
      </c>
      <c r="H97" s="16">
        <f t="shared" si="4"/>
        <v>38.154237500000001</v>
      </c>
      <c r="I97" s="5"/>
      <c r="J97" s="15">
        <v>1503.8698999999999</v>
      </c>
      <c r="K97" s="16">
        <v>36.363900000000001</v>
      </c>
      <c r="L97" s="16">
        <v>41.022500000000001</v>
      </c>
      <c r="M97" s="16">
        <v>41.552999999999997</v>
      </c>
      <c r="N97" s="16">
        <v>231.00620000000001</v>
      </c>
      <c r="O97" s="16">
        <f t="shared" si="5"/>
        <v>37.594862499999998</v>
      </c>
      <c r="P97" s="7"/>
      <c r="Q97" s="8">
        <f>bdrate(C97:C100,D97:D100,J97:J100,K97:K100)</f>
        <v>9.2198499952059976E-2</v>
      </c>
      <c r="R97" s="8">
        <f>bdrate(C97:C100,E97:E100,J97:J100,L97:L100)</f>
        <v>-5.9590810889958434E-2</v>
      </c>
      <c r="S97" s="8">
        <f>bdrate(C97:C100,F97:F100,J97:J100,M97:M100)</f>
        <v>-8.499254646784915E-3</v>
      </c>
      <c r="T97" s="25">
        <f>bdrate(C97:C100,H97:H100,J97:J100,O97:O100)</f>
        <v>6.8650449879412712E-2</v>
      </c>
      <c r="U97" s="28">
        <f t="shared" si="3"/>
        <v>0.46201257244444449</v>
      </c>
    </row>
    <row r="98" spans="2:21" x14ac:dyDescent="0.25">
      <c r="B98" s="9"/>
      <c r="C98" s="17">
        <v>983.173828125</v>
      </c>
      <c r="D98" s="18">
        <v>35.045200000000001</v>
      </c>
      <c r="E98" s="18">
        <v>39.601399999999998</v>
      </c>
      <c r="F98" s="18">
        <v>40.353099999999998</v>
      </c>
      <c r="G98" s="18">
        <v>208.33333333333331</v>
      </c>
      <c r="H98" s="18">
        <f t="shared" si="4"/>
        <v>36.278212500000002</v>
      </c>
      <c r="I98" s="5"/>
      <c r="J98" s="17">
        <v>997.97730000000001</v>
      </c>
      <c r="K98" s="18">
        <v>34.463500000000003</v>
      </c>
      <c r="L98" s="18">
        <v>39.7453</v>
      </c>
      <c r="M98" s="18">
        <v>40.331499999999998</v>
      </c>
      <c r="N98" s="18">
        <v>338.47309999999999</v>
      </c>
      <c r="O98" s="18">
        <f t="shared" si="5"/>
        <v>35.857225</v>
      </c>
      <c r="P98" s="7"/>
      <c r="Q98" s="10"/>
      <c r="R98" s="11"/>
      <c r="S98" s="11"/>
      <c r="T98" s="26"/>
      <c r="U98" s="28">
        <f t="shared" si="3"/>
        <v>0.62467088000000004</v>
      </c>
    </row>
    <row r="99" spans="2:21" x14ac:dyDescent="0.25">
      <c r="B99" s="9"/>
      <c r="C99" s="17">
        <v>591.3369140625</v>
      </c>
      <c r="D99" s="18">
        <v>32.427700000000002</v>
      </c>
      <c r="E99" s="18">
        <v>37.819200000000002</v>
      </c>
      <c r="F99" s="18">
        <v>38.620699999999999</v>
      </c>
      <c r="G99" s="18">
        <v>245.56616643929058</v>
      </c>
      <c r="H99" s="18">
        <f t="shared" si="4"/>
        <v>33.8757625</v>
      </c>
      <c r="I99" s="5"/>
      <c r="J99" s="17">
        <v>600.95680000000004</v>
      </c>
      <c r="K99" s="18">
        <v>32.152700000000003</v>
      </c>
      <c r="L99" s="18">
        <v>38.155200000000001</v>
      </c>
      <c r="M99" s="18">
        <v>38.7804</v>
      </c>
      <c r="N99" s="18">
        <v>393.52859999999998</v>
      </c>
      <c r="O99" s="18">
        <f t="shared" si="5"/>
        <v>33.731475000000003</v>
      </c>
      <c r="P99" s="7"/>
      <c r="Q99" s="10"/>
      <c r="R99" s="11"/>
      <c r="S99" s="11"/>
      <c r="T99" s="26"/>
      <c r="U99" s="28">
        <f t="shared" si="3"/>
        <v>0.60253590999999995</v>
      </c>
    </row>
    <row r="100" spans="2:21" ht="16.5" thickBot="1" x14ac:dyDescent="0.3">
      <c r="B100" s="12"/>
      <c r="C100" s="19">
        <v>295.623046875</v>
      </c>
      <c r="D100" s="20">
        <v>29.045999999999999</v>
      </c>
      <c r="E100" s="20">
        <v>35.814500000000002</v>
      </c>
      <c r="F100" s="20">
        <v>36.721299999999999</v>
      </c>
      <c r="G100" s="20">
        <v>311.52647975077883</v>
      </c>
      <c r="H100" s="20">
        <f t="shared" si="4"/>
        <v>30.851475000000001</v>
      </c>
      <c r="I100" s="5"/>
      <c r="J100" s="19">
        <v>301.00850000000003</v>
      </c>
      <c r="K100" s="20">
        <v>29.0307</v>
      </c>
      <c r="L100" s="20">
        <v>36.131100000000004</v>
      </c>
      <c r="M100" s="20">
        <v>36.847900000000003</v>
      </c>
      <c r="N100" s="20">
        <v>488.33420000000001</v>
      </c>
      <c r="O100" s="20">
        <f t="shared" si="5"/>
        <v>30.895400000000002</v>
      </c>
      <c r="P100" s="7"/>
      <c r="Q100" s="13"/>
      <c r="R100" s="14"/>
      <c r="S100" s="14"/>
      <c r="T100" s="27"/>
      <c r="U100" s="28">
        <f t="shared" si="3"/>
        <v>0.56755278199999992</v>
      </c>
    </row>
    <row r="101" spans="2:21" x14ac:dyDescent="0.25">
      <c r="B101" s="6" t="s">
        <v>105</v>
      </c>
      <c r="C101" s="15">
        <v>1477.38671875</v>
      </c>
      <c r="D101" s="16">
        <v>37.803800000000003</v>
      </c>
      <c r="E101" s="16">
        <v>43.225700000000003</v>
      </c>
      <c r="F101" s="16">
        <v>45.104199999999999</v>
      </c>
      <c r="G101" s="16">
        <v>151.20967741935485</v>
      </c>
      <c r="H101" s="16">
        <f t="shared" si="4"/>
        <v>39.394087500000005</v>
      </c>
      <c r="I101" s="5"/>
      <c r="J101" s="15">
        <v>1502.8061</v>
      </c>
      <c r="K101" s="16">
        <v>36.818800000000003</v>
      </c>
      <c r="L101" s="16">
        <v>42.788699999999999</v>
      </c>
      <c r="M101" s="16">
        <v>44.659399999999998</v>
      </c>
      <c r="N101" s="16">
        <v>226.30119999999999</v>
      </c>
      <c r="O101" s="16">
        <f t="shared" si="5"/>
        <v>38.545112500000002</v>
      </c>
      <c r="P101" s="7"/>
      <c r="Q101" s="8">
        <f>bdrate(C101:C104,D101:D104,J101:J104,K101:K104)</f>
        <v>0.25688382867449921</v>
      </c>
      <c r="R101" s="8">
        <f>bdrate(C101:C104,E101:E104,J101:J104,L101:L104)</f>
        <v>0.16155448860463317</v>
      </c>
      <c r="S101" s="8">
        <f>bdrate(C101:C104,F101:F104,J101:J104,M101:M104)</f>
        <v>0.13894459263745751</v>
      </c>
      <c r="T101" s="25">
        <f>bdrate(C101:C104,H101:H104,J101:J104,O101:O104)</f>
        <v>0.23576802933415064</v>
      </c>
      <c r="U101" s="28">
        <f t="shared" si="3"/>
        <v>0.49660526933333321</v>
      </c>
    </row>
    <row r="102" spans="2:21" x14ac:dyDescent="0.25">
      <c r="B102" s="9"/>
      <c r="C102" s="17">
        <v>984.8251953125</v>
      </c>
      <c r="D102" s="18">
        <v>36.333199999999998</v>
      </c>
      <c r="E102" s="18">
        <v>42.295400000000001</v>
      </c>
      <c r="F102" s="18">
        <v>44.089399999999998</v>
      </c>
      <c r="G102" s="18">
        <v>193.631669535284</v>
      </c>
      <c r="H102" s="18">
        <f t="shared" si="4"/>
        <v>38.047999999999995</v>
      </c>
      <c r="I102" s="5"/>
      <c r="J102" s="17">
        <v>1004.5168</v>
      </c>
      <c r="K102" s="18">
        <v>35.500300000000003</v>
      </c>
      <c r="L102" s="18">
        <v>41.935099999999998</v>
      </c>
      <c r="M102" s="18">
        <v>43.694000000000003</v>
      </c>
      <c r="N102" s="18">
        <v>329.5496</v>
      </c>
      <c r="O102" s="18">
        <f t="shared" si="5"/>
        <v>37.3288625</v>
      </c>
      <c r="P102" s="7"/>
      <c r="Q102" s="10"/>
      <c r="R102" s="11"/>
      <c r="S102" s="11"/>
      <c r="T102" s="26"/>
      <c r="U102" s="28">
        <f t="shared" si="3"/>
        <v>0.70194060088888877</v>
      </c>
    </row>
    <row r="103" spans="2:21" x14ac:dyDescent="0.25">
      <c r="B103" s="9"/>
      <c r="C103" s="17">
        <v>592.34375</v>
      </c>
      <c r="D103" s="18">
        <v>34.521999999999998</v>
      </c>
      <c r="E103" s="18">
        <v>41.136600000000001</v>
      </c>
      <c r="F103" s="18">
        <v>42.698900000000002</v>
      </c>
      <c r="G103" s="18">
        <v>235.97273203985316</v>
      </c>
      <c r="H103" s="18">
        <f t="shared" si="4"/>
        <v>36.370937499999997</v>
      </c>
      <c r="I103" s="5"/>
      <c r="J103" s="17">
        <v>602.78399999999999</v>
      </c>
      <c r="K103" s="18">
        <v>33.839300000000001</v>
      </c>
      <c r="L103" s="18">
        <v>40.898299999999999</v>
      </c>
      <c r="M103" s="18">
        <v>42.484900000000003</v>
      </c>
      <c r="N103" s="18">
        <v>377.67520000000002</v>
      </c>
      <c r="O103" s="18">
        <f t="shared" si="5"/>
        <v>35.802374999999998</v>
      </c>
      <c r="P103" s="7"/>
      <c r="Q103" s="10"/>
      <c r="R103" s="11"/>
      <c r="S103" s="11"/>
      <c r="T103" s="26"/>
      <c r="U103" s="28">
        <f t="shared" si="3"/>
        <v>0.60050356977777797</v>
      </c>
    </row>
    <row r="104" spans="2:21" ht="16.5" thickBot="1" x14ac:dyDescent="0.3">
      <c r="B104" s="12"/>
      <c r="C104" s="19">
        <v>297.251953125</v>
      </c>
      <c r="D104" s="20">
        <v>32.197499999999998</v>
      </c>
      <c r="E104" s="20">
        <v>39.676200000000001</v>
      </c>
      <c r="F104" s="20">
        <v>41.012300000000003</v>
      </c>
      <c r="G104" s="20">
        <v>314.68531468531472</v>
      </c>
      <c r="H104" s="20">
        <f t="shared" si="4"/>
        <v>34.234187499999997</v>
      </c>
      <c r="I104" s="5"/>
      <c r="J104" s="19">
        <v>302.40159999999997</v>
      </c>
      <c r="K104" s="20">
        <v>31.776299999999999</v>
      </c>
      <c r="L104" s="20">
        <v>39.451799999999999</v>
      </c>
      <c r="M104" s="20">
        <v>40.808500000000002</v>
      </c>
      <c r="N104" s="20">
        <v>469.48360000000002</v>
      </c>
      <c r="O104" s="20">
        <f t="shared" si="5"/>
        <v>33.864762499999998</v>
      </c>
      <c r="P104" s="7"/>
      <c r="Q104" s="13"/>
      <c r="R104" s="14"/>
      <c r="S104" s="14"/>
      <c r="T104" s="27"/>
      <c r="U104" s="28">
        <f t="shared" si="3"/>
        <v>0.49191455111111099</v>
      </c>
    </row>
    <row r="105" spans="2:21" x14ac:dyDescent="0.25">
      <c r="B105" s="6" t="s">
        <v>106</v>
      </c>
      <c r="C105" s="15">
        <v>1455.9482421875</v>
      </c>
      <c r="D105" s="16">
        <v>49.102699999999999</v>
      </c>
      <c r="E105" s="16">
        <v>54.517000000000003</v>
      </c>
      <c r="F105" s="16">
        <v>54.462600000000002</v>
      </c>
      <c r="G105" s="16">
        <v>167.5977653631285</v>
      </c>
      <c r="H105" s="16">
        <f t="shared" si="4"/>
        <v>50.449475</v>
      </c>
      <c r="I105" s="5"/>
      <c r="J105" s="15">
        <v>1510.1555000000001</v>
      </c>
      <c r="K105" s="16">
        <v>47.601799999999997</v>
      </c>
      <c r="L105" s="16">
        <v>53.067300000000003</v>
      </c>
      <c r="M105" s="16">
        <v>53.219499999999996</v>
      </c>
      <c r="N105" s="16">
        <v>227.38759999999999</v>
      </c>
      <c r="O105" s="16">
        <f t="shared" si="5"/>
        <v>48.987199999999994</v>
      </c>
      <c r="P105" s="7"/>
      <c r="Q105" s="8">
        <f>bdrate(C105:C108,D105:D108,J105:J108,K105:K108)</f>
        <v>0.44349367755481017</v>
      </c>
      <c r="R105" s="8">
        <f>bdrate(C105:C108,E105:E108,J105:J108,L105:L108)</f>
        <v>0.3725320096628475</v>
      </c>
      <c r="S105" s="8">
        <f>bdrate(C105:C108,F105:F108,J105:J108,M105:M108)</f>
        <v>0.31759906748684164</v>
      </c>
      <c r="T105" s="25">
        <f>bdrate(C105:C108,H105:H108,J105:J108,O105:O108)</f>
        <v>0.42047276417544954</v>
      </c>
      <c r="U105" s="28">
        <f t="shared" si="3"/>
        <v>0.35674601333333322</v>
      </c>
    </row>
    <row r="106" spans="2:21" x14ac:dyDescent="0.25">
      <c r="B106" s="9"/>
      <c r="C106" s="17">
        <v>970.0771484375</v>
      </c>
      <c r="D106" s="18">
        <v>47.197400000000002</v>
      </c>
      <c r="E106" s="18">
        <v>52.861600000000003</v>
      </c>
      <c r="F106" s="18">
        <v>52.752699999999997</v>
      </c>
      <c r="G106" s="18">
        <v>230.47375160051217</v>
      </c>
      <c r="H106" s="18">
        <f t="shared" si="4"/>
        <v>48.5998375</v>
      </c>
      <c r="I106" s="5"/>
      <c r="J106" s="17">
        <v>1008.7885</v>
      </c>
      <c r="K106" s="18">
        <v>45.786200000000001</v>
      </c>
      <c r="L106" s="18">
        <v>51.827199999999998</v>
      </c>
      <c r="M106" s="18">
        <v>51.907699999999998</v>
      </c>
      <c r="N106" s="18">
        <v>399.4674</v>
      </c>
      <c r="O106" s="18">
        <f t="shared" si="5"/>
        <v>47.306512499999997</v>
      </c>
      <c r="P106" s="7"/>
      <c r="Q106" s="10"/>
      <c r="R106" s="11"/>
      <c r="S106" s="11"/>
      <c r="T106" s="26"/>
      <c r="U106" s="28">
        <f t="shared" si="3"/>
        <v>0.73324466333333327</v>
      </c>
    </row>
    <row r="107" spans="2:21" x14ac:dyDescent="0.25">
      <c r="B107" s="9"/>
      <c r="C107" s="17">
        <v>581.96484375</v>
      </c>
      <c r="D107" s="18">
        <v>45.080100000000002</v>
      </c>
      <c r="E107" s="18">
        <v>50.968600000000002</v>
      </c>
      <c r="F107" s="18">
        <v>50.829900000000002</v>
      </c>
      <c r="G107" s="18">
        <v>274.22303473491775</v>
      </c>
      <c r="H107" s="18">
        <f t="shared" si="4"/>
        <v>46.534887499999996</v>
      </c>
      <c r="I107" s="5"/>
      <c r="J107" s="17">
        <v>606.88080000000002</v>
      </c>
      <c r="K107" s="18">
        <v>43.695900000000002</v>
      </c>
      <c r="L107" s="18">
        <v>49.962400000000002</v>
      </c>
      <c r="M107" s="18">
        <v>49.915799999999997</v>
      </c>
      <c r="N107" s="18">
        <v>453.40050000000002</v>
      </c>
      <c r="O107" s="18">
        <f t="shared" si="5"/>
        <v>45.256700000000002</v>
      </c>
      <c r="P107" s="7"/>
      <c r="Q107" s="10"/>
      <c r="R107" s="11"/>
      <c r="S107" s="11"/>
      <c r="T107" s="26"/>
      <c r="U107" s="28">
        <f t="shared" si="3"/>
        <v>0.65340049</v>
      </c>
    </row>
    <row r="108" spans="2:21" ht="16.5" thickBot="1" x14ac:dyDescent="0.3">
      <c r="B108" s="12"/>
      <c r="C108" s="19">
        <v>291.5322265625</v>
      </c>
      <c r="D108" s="20">
        <v>42.0441</v>
      </c>
      <c r="E108" s="20">
        <v>48.212400000000002</v>
      </c>
      <c r="F108" s="20">
        <v>48.078099999999999</v>
      </c>
      <c r="G108" s="20">
        <v>341.1675511751327</v>
      </c>
      <c r="H108" s="20">
        <f t="shared" si="4"/>
        <v>43.569387499999998</v>
      </c>
      <c r="I108" s="5"/>
      <c r="J108" s="19">
        <v>302.91919999999999</v>
      </c>
      <c r="K108" s="20">
        <v>40.512</v>
      </c>
      <c r="L108" s="20">
        <v>46.8996</v>
      </c>
      <c r="M108" s="20">
        <v>47.089700000000001</v>
      </c>
      <c r="N108" s="20">
        <v>556.58630000000005</v>
      </c>
      <c r="O108" s="20">
        <f t="shared" si="5"/>
        <v>42.132662500000002</v>
      </c>
      <c r="P108" s="7"/>
      <c r="Q108" s="13"/>
      <c r="R108" s="14"/>
      <c r="S108" s="14"/>
      <c r="T108" s="27"/>
      <c r="U108" s="28">
        <f t="shared" si="3"/>
        <v>0.63141628822222229</v>
      </c>
    </row>
    <row r="109" spans="2:21" x14ac:dyDescent="0.25">
      <c r="B109" s="6" t="s">
        <v>107</v>
      </c>
      <c r="C109" s="15">
        <v>1472.69921875</v>
      </c>
      <c r="D109" s="16">
        <v>31.409300000000002</v>
      </c>
      <c r="E109" s="16">
        <v>40.091000000000001</v>
      </c>
      <c r="F109" s="16">
        <v>39.360199999999999</v>
      </c>
      <c r="G109" s="16">
        <v>147.58937356510333</v>
      </c>
      <c r="H109" s="16">
        <f t="shared" si="4"/>
        <v>33.488375000000005</v>
      </c>
      <c r="I109" s="5"/>
      <c r="J109" s="15">
        <v>1505.2456</v>
      </c>
      <c r="K109" s="16">
        <v>30.4541</v>
      </c>
      <c r="L109" s="16">
        <v>39.505499999999998</v>
      </c>
      <c r="M109" s="16">
        <v>38.656199999999998</v>
      </c>
      <c r="N109" s="16">
        <v>228.19470000000001</v>
      </c>
      <c r="O109" s="16">
        <f t="shared" si="5"/>
        <v>32.610787500000001</v>
      </c>
      <c r="P109" s="7"/>
      <c r="Q109" s="8">
        <f>bdrate(C109:C112,D109:D112,J109:J112,K109:K112)</f>
        <v>0.1746073481209145</v>
      </c>
      <c r="R109" s="8">
        <f>bdrate(C109:C112,E109:E112,J109:J112,L109:L112)</f>
        <v>0.17063285909016201</v>
      </c>
      <c r="S109" s="8">
        <f>bdrate(C109:C112,F109:F112,J109:J112,M109:M112)</f>
        <v>0.20448001103408453</v>
      </c>
      <c r="T109" s="25">
        <f>bdrate(C109:C112,H109:H112,J109:J112,O109:O112)</f>
        <v>0.17717572708152263</v>
      </c>
      <c r="U109" s="28">
        <f t="shared" si="3"/>
        <v>0.54614586733333326</v>
      </c>
    </row>
    <row r="110" spans="2:21" x14ac:dyDescent="0.25">
      <c r="B110" s="9"/>
      <c r="C110" s="17">
        <v>982.4912109375</v>
      </c>
      <c r="D110" s="18">
        <v>29.501899999999999</v>
      </c>
      <c r="E110" s="18">
        <v>39.070099999999996</v>
      </c>
      <c r="F110" s="18">
        <v>38.253500000000003</v>
      </c>
      <c r="G110" s="18">
        <v>194.21665947345704</v>
      </c>
      <c r="H110" s="18">
        <f t="shared" si="4"/>
        <v>31.791874999999997</v>
      </c>
      <c r="I110" s="5"/>
      <c r="J110" s="17">
        <v>1003.0933</v>
      </c>
      <c r="K110" s="18">
        <v>28.724900000000002</v>
      </c>
      <c r="L110" s="18">
        <v>38.6496</v>
      </c>
      <c r="M110" s="18">
        <v>37.716700000000003</v>
      </c>
      <c r="N110" s="18">
        <v>285.08080000000001</v>
      </c>
      <c r="O110" s="18">
        <f t="shared" si="5"/>
        <v>31.0894625</v>
      </c>
      <c r="P110" s="7"/>
      <c r="Q110" s="10"/>
      <c r="R110" s="11"/>
      <c r="S110" s="11"/>
      <c r="T110" s="26"/>
      <c r="U110" s="28">
        <f t="shared" si="3"/>
        <v>0.46784936355555573</v>
      </c>
    </row>
    <row r="111" spans="2:21" x14ac:dyDescent="0.25">
      <c r="B111" s="9"/>
      <c r="C111" s="17">
        <v>589.6591796875</v>
      </c>
      <c r="D111" s="18">
        <v>27.1706</v>
      </c>
      <c r="E111" s="18">
        <v>37.723300000000002</v>
      </c>
      <c r="F111" s="18">
        <v>36.814900000000002</v>
      </c>
      <c r="G111" s="18">
        <v>219.99511121975067</v>
      </c>
      <c r="H111" s="18">
        <f t="shared" si="4"/>
        <v>29.695224999999997</v>
      </c>
      <c r="I111" s="5"/>
      <c r="J111" s="17">
        <v>602.17250000000001</v>
      </c>
      <c r="K111" s="18">
        <v>26.610399999999998</v>
      </c>
      <c r="L111" s="18">
        <v>37.352600000000002</v>
      </c>
      <c r="M111" s="18">
        <v>36.366300000000003</v>
      </c>
      <c r="N111" s="18">
        <v>339.49450000000002</v>
      </c>
      <c r="O111" s="18">
        <f t="shared" si="5"/>
        <v>29.172662499999998</v>
      </c>
      <c r="P111" s="7"/>
      <c r="Q111" s="10"/>
      <c r="R111" s="11"/>
      <c r="S111" s="11"/>
      <c r="T111" s="26"/>
      <c r="U111" s="28">
        <f t="shared" si="3"/>
        <v>0.54319111055555569</v>
      </c>
    </row>
    <row r="112" spans="2:21" ht="16.5" thickBot="1" x14ac:dyDescent="0.3">
      <c r="B112" s="12"/>
      <c r="C112" s="19">
        <v>296.564453125</v>
      </c>
      <c r="D112" s="20">
        <v>24.260400000000001</v>
      </c>
      <c r="E112" s="20">
        <v>35.425699999999999</v>
      </c>
      <c r="F112" s="20">
        <v>34.617100000000001</v>
      </c>
      <c r="G112" s="20">
        <v>222.82743253280518</v>
      </c>
      <c r="H112" s="20">
        <f t="shared" si="4"/>
        <v>26.95065</v>
      </c>
      <c r="I112" s="5"/>
      <c r="J112" s="19">
        <v>302.36829999999998</v>
      </c>
      <c r="K112" s="20">
        <v>24.004300000000001</v>
      </c>
      <c r="L112" s="20">
        <v>35.0655</v>
      </c>
      <c r="M112" s="20">
        <v>34.216099999999997</v>
      </c>
      <c r="N112" s="20">
        <v>424.32810000000001</v>
      </c>
      <c r="O112" s="20">
        <f t="shared" si="5"/>
        <v>26.663424999999997</v>
      </c>
      <c r="P112" s="7"/>
      <c r="Q112" s="13"/>
      <c r="R112" s="14"/>
      <c r="S112" s="14"/>
      <c r="T112" s="27"/>
      <c r="U112" s="28">
        <f t="shared" si="3"/>
        <v>0.90429021766666651</v>
      </c>
    </row>
    <row r="113" spans="2:21" x14ac:dyDescent="0.25">
      <c r="B113" s="6" t="s">
        <v>108</v>
      </c>
      <c r="C113" s="15">
        <v>1450.359375</v>
      </c>
      <c r="D113" s="16">
        <v>46.554600000000001</v>
      </c>
      <c r="E113" s="16">
        <v>46.803100000000001</v>
      </c>
      <c r="F113" s="16">
        <v>46.842700000000001</v>
      </c>
      <c r="G113" s="16">
        <v>169.36394429808055</v>
      </c>
      <c r="H113" s="16">
        <f t="shared" si="4"/>
        <v>46.621675000000003</v>
      </c>
      <c r="I113" s="5"/>
      <c r="J113" s="15">
        <v>1371.9404999999999</v>
      </c>
      <c r="K113" s="16">
        <v>45.027299999999997</v>
      </c>
      <c r="L113" s="16">
        <v>45.819800000000001</v>
      </c>
      <c r="M113" s="16">
        <v>45.872500000000002</v>
      </c>
      <c r="N113" s="16">
        <v>230.35579999999999</v>
      </c>
      <c r="O113" s="16">
        <f t="shared" si="5"/>
        <v>45.232012499999996</v>
      </c>
      <c r="P113" s="7"/>
      <c r="Q113" s="8">
        <f>bdrate(C113:C116,D113:D116,J113:J116,K113:K116)</f>
        <v>0.20786859860719265</v>
      </c>
      <c r="R113" s="8">
        <f>bdrate(C113:C116,E113:E116,J113:J116,L113:L116)</f>
        <v>0.14016506341141288</v>
      </c>
      <c r="S113" s="8">
        <f>bdrate(C113:C116,F113:F116,J113:J116,M113:M116)</f>
        <v>0.12827367129278988</v>
      </c>
      <c r="T113" s="25">
        <f>bdrate(C113:C116,H113:H116,J113:J116,O113:O116)</f>
        <v>0.19255134853209288</v>
      </c>
      <c r="U113" s="28">
        <f t="shared" si="3"/>
        <v>0.36012302355555537</v>
      </c>
    </row>
    <row r="114" spans="2:21" x14ac:dyDescent="0.25">
      <c r="B114" s="9"/>
      <c r="C114" s="17">
        <v>984.310546875</v>
      </c>
      <c r="D114" s="18">
        <v>44.634799999999998</v>
      </c>
      <c r="E114" s="18">
        <v>45.098999999999997</v>
      </c>
      <c r="F114" s="18">
        <v>45.123399999999997</v>
      </c>
      <c r="G114" s="18">
        <v>240.25627335824879</v>
      </c>
      <c r="H114" s="18">
        <f t="shared" si="4"/>
        <v>44.753900000000002</v>
      </c>
      <c r="I114" s="5"/>
      <c r="J114" s="17">
        <v>928.80240000000003</v>
      </c>
      <c r="K114" s="18">
        <v>42.976100000000002</v>
      </c>
      <c r="L114" s="18">
        <v>44.124899999999997</v>
      </c>
      <c r="M114" s="18">
        <v>44.149700000000003</v>
      </c>
      <c r="N114" s="18">
        <v>389.4418</v>
      </c>
      <c r="O114" s="18">
        <f t="shared" si="5"/>
        <v>43.266399999999997</v>
      </c>
      <c r="P114" s="7"/>
      <c r="Q114" s="10"/>
      <c r="R114" s="11"/>
      <c r="S114" s="11"/>
      <c r="T114" s="26"/>
      <c r="U114" s="28">
        <f t="shared" si="3"/>
        <v>0.62094331422222226</v>
      </c>
    </row>
    <row r="115" spans="2:21" x14ac:dyDescent="0.25">
      <c r="B115" s="9"/>
      <c r="C115" s="17">
        <v>599.50390625</v>
      </c>
      <c r="D115" s="18">
        <v>41.557699999999997</v>
      </c>
      <c r="E115" s="18">
        <v>42.658700000000003</v>
      </c>
      <c r="F115" s="18">
        <v>42.663800000000002</v>
      </c>
      <c r="G115" s="18">
        <v>286.16852146263909</v>
      </c>
      <c r="H115" s="18">
        <f t="shared" si="4"/>
        <v>41.833587499999993</v>
      </c>
      <c r="I115" s="5"/>
      <c r="J115" s="17">
        <v>565.92510000000004</v>
      </c>
      <c r="K115" s="18">
        <v>39.937600000000003</v>
      </c>
      <c r="L115" s="18">
        <v>41.680199999999999</v>
      </c>
      <c r="M115" s="18">
        <v>41.735500000000002</v>
      </c>
      <c r="N115" s="18">
        <v>451.58049999999997</v>
      </c>
      <c r="O115" s="18">
        <f t="shared" si="5"/>
        <v>40.380162500000004</v>
      </c>
      <c r="P115" s="7"/>
      <c r="Q115" s="10"/>
      <c r="R115" s="11"/>
      <c r="S115" s="11"/>
      <c r="T115" s="26"/>
      <c r="U115" s="28">
        <f t="shared" si="3"/>
        <v>0.57802296944444442</v>
      </c>
    </row>
    <row r="116" spans="2:21" ht="16.5" thickBot="1" x14ac:dyDescent="0.3">
      <c r="B116" s="12"/>
      <c r="C116" s="19">
        <v>301.1416015625</v>
      </c>
      <c r="D116" s="20">
        <v>36.687399999999997</v>
      </c>
      <c r="E116" s="20">
        <v>39.153300000000002</v>
      </c>
      <c r="F116" s="20">
        <v>39.094299999999997</v>
      </c>
      <c r="G116" s="20">
        <v>336.82634730538922</v>
      </c>
      <c r="H116" s="20">
        <f t="shared" si="4"/>
        <v>37.296499999999995</v>
      </c>
      <c r="I116" s="5"/>
      <c r="J116" s="19">
        <v>284.46269999999998</v>
      </c>
      <c r="K116" s="20">
        <v>35.754899999999999</v>
      </c>
      <c r="L116" s="20">
        <v>38.689</v>
      </c>
      <c r="M116" s="20">
        <v>38.728099999999998</v>
      </c>
      <c r="N116" s="20">
        <v>540.21609999999998</v>
      </c>
      <c r="O116" s="20">
        <f t="shared" si="5"/>
        <v>36.493312500000002</v>
      </c>
      <c r="P116" s="7"/>
      <c r="Q116" s="13"/>
      <c r="R116" s="14"/>
      <c r="S116" s="14"/>
      <c r="T116" s="27"/>
      <c r="U116" s="28">
        <f t="shared" si="3"/>
        <v>0.60384157688888884</v>
      </c>
    </row>
    <row r="117" spans="2:21" x14ac:dyDescent="0.25">
      <c r="B117" s="6" t="s">
        <v>109</v>
      </c>
      <c r="C117" s="15">
        <v>1440.3330078125</v>
      </c>
      <c r="D117" s="16">
        <v>51.007199999999997</v>
      </c>
      <c r="E117" s="16">
        <v>51.074300000000001</v>
      </c>
      <c r="F117" s="16">
        <v>51.265700000000002</v>
      </c>
      <c r="G117" s="16">
        <v>186.06574322927435</v>
      </c>
      <c r="H117" s="16">
        <f t="shared" si="4"/>
        <v>51.047899999999991</v>
      </c>
      <c r="I117" s="5"/>
      <c r="J117" s="15">
        <v>765.18910000000005</v>
      </c>
      <c r="K117" s="16">
        <v>50.120699999999999</v>
      </c>
      <c r="L117" s="16">
        <v>50.9925</v>
      </c>
      <c r="M117" s="16">
        <v>51.349899999999998</v>
      </c>
      <c r="N117" s="16">
        <v>220.85890000000001</v>
      </c>
      <c r="O117" s="16">
        <f t="shared" si="5"/>
        <v>50.383324999999999</v>
      </c>
      <c r="P117" s="7"/>
      <c r="Q117" s="8">
        <f>bdrate(C117:C120,D117:D120,J117:J120,K117:K120)</f>
        <v>-0.33595303133190602</v>
      </c>
      <c r="R117" s="8">
        <f>bdrate(C117:C120,E117:E120,J117:J120,L117:L120)</f>
        <v>-0.38431138453202995</v>
      </c>
      <c r="S117" s="8">
        <f>bdrate(C117:C120,F117:F120,J117:J120,M117:M120)</f>
        <v>-0.39243215032920364</v>
      </c>
      <c r="T117" s="25">
        <f>bdrate(C117:C120,H117:H120,J117:J120,O117:O120)</f>
        <v>-0.34829943554572484</v>
      </c>
      <c r="U117" s="28">
        <f t="shared" si="3"/>
        <v>0.18699388811111112</v>
      </c>
    </row>
    <row r="118" spans="2:21" x14ac:dyDescent="0.25">
      <c r="B118" s="9"/>
      <c r="C118" s="17">
        <v>960.15625</v>
      </c>
      <c r="D118" s="18">
        <v>48.1021</v>
      </c>
      <c r="E118" s="18">
        <v>48.442300000000003</v>
      </c>
      <c r="F118" s="18">
        <v>48.691000000000003</v>
      </c>
      <c r="G118" s="18">
        <v>275.14521553041885</v>
      </c>
      <c r="H118" s="18">
        <f t="shared" si="4"/>
        <v>48.218237500000001</v>
      </c>
      <c r="I118" s="5"/>
      <c r="J118" s="17">
        <v>586.12450000000001</v>
      </c>
      <c r="K118" s="18">
        <v>48.212400000000002</v>
      </c>
      <c r="L118" s="18">
        <v>49.226100000000002</v>
      </c>
      <c r="M118" s="18">
        <v>49.594799999999999</v>
      </c>
      <c r="N118" s="18">
        <v>342.07530000000003</v>
      </c>
      <c r="O118" s="18">
        <f t="shared" si="5"/>
        <v>48.511912500000001</v>
      </c>
      <c r="P118" s="7"/>
      <c r="Q118" s="10"/>
      <c r="R118" s="11"/>
      <c r="S118" s="11"/>
      <c r="T118" s="26"/>
      <c r="U118" s="28">
        <f t="shared" si="3"/>
        <v>0.24325367366666667</v>
      </c>
    </row>
    <row r="119" spans="2:21" x14ac:dyDescent="0.25">
      <c r="B119" s="9"/>
      <c r="C119" s="17">
        <v>578.9990234375</v>
      </c>
      <c r="D119" s="18">
        <v>44.004600000000003</v>
      </c>
      <c r="E119" s="18">
        <v>44.700899999999997</v>
      </c>
      <c r="F119" s="18">
        <v>44.980800000000002</v>
      </c>
      <c r="G119" s="18">
        <v>314.02651779483602</v>
      </c>
      <c r="H119" s="18">
        <f t="shared" si="4"/>
        <v>44.213662499999998</v>
      </c>
      <c r="I119" s="5"/>
      <c r="J119" s="17">
        <v>412.87439999999998</v>
      </c>
      <c r="K119" s="18">
        <v>44.626600000000003</v>
      </c>
      <c r="L119" s="18">
        <v>45.756599999999999</v>
      </c>
      <c r="M119" s="18">
        <v>46.096899999999998</v>
      </c>
      <c r="N119" s="18">
        <v>362.0274</v>
      </c>
      <c r="O119" s="18">
        <f t="shared" si="5"/>
        <v>44.951637500000004</v>
      </c>
      <c r="P119" s="7"/>
      <c r="Q119" s="10"/>
      <c r="R119" s="11"/>
      <c r="S119" s="11"/>
      <c r="T119" s="26"/>
      <c r="U119" s="28">
        <f t="shared" si="3"/>
        <v>0.15285614266666661</v>
      </c>
    </row>
    <row r="120" spans="2:21" ht="16.5" thickBot="1" x14ac:dyDescent="0.3">
      <c r="B120" s="12"/>
      <c r="C120" s="19">
        <v>291.5244140625</v>
      </c>
      <c r="D120" s="20">
        <v>38.2256</v>
      </c>
      <c r="E120" s="20">
        <v>39.879899999999999</v>
      </c>
      <c r="F120" s="20">
        <v>40.199399999999997</v>
      </c>
      <c r="G120" s="20">
        <v>357.85288270377731</v>
      </c>
      <c r="H120" s="20">
        <f t="shared" si="4"/>
        <v>38.679112500000002</v>
      </c>
      <c r="I120" s="5"/>
      <c r="J120" s="19">
        <v>285.40769999999998</v>
      </c>
      <c r="K120" s="20">
        <v>39.958300000000001</v>
      </c>
      <c r="L120" s="20">
        <v>41.512700000000002</v>
      </c>
      <c r="M120" s="20">
        <v>41.904600000000002</v>
      </c>
      <c r="N120" s="20">
        <v>627.17769999999996</v>
      </c>
      <c r="O120" s="20">
        <f t="shared" si="5"/>
        <v>40.395887500000001</v>
      </c>
      <c r="P120" s="7"/>
      <c r="Q120" s="13"/>
      <c r="R120" s="14"/>
      <c r="S120" s="14"/>
      <c r="T120" s="27"/>
      <c r="U120" s="28">
        <f t="shared" si="3"/>
        <v>0.75261323944444447</v>
      </c>
    </row>
    <row r="121" spans="2:21" x14ac:dyDescent="0.25">
      <c r="B121" s="6" t="s">
        <v>110</v>
      </c>
      <c r="C121" s="29">
        <v>1476.84765625</v>
      </c>
      <c r="D121" s="30">
        <v>32.707099999999997</v>
      </c>
      <c r="E121" s="30">
        <v>36.402900000000002</v>
      </c>
      <c r="F121" s="30">
        <v>35.685400000000001</v>
      </c>
      <c r="G121" s="16">
        <v>143.83890043151672</v>
      </c>
      <c r="H121" s="16">
        <f t="shared" si="4"/>
        <v>33.541362499999998</v>
      </c>
      <c r="I121" s="5"/>
      <c r="J121" s="29">
        <v>1508.7771</v>
      </c>
      <c r="K121" s="30">
        <v>32.143700000000003</v>
      </c>
      <c r="L121" s="30">
        <v>36.111600000000003</v>
      </c>
      <c r="M121" s="30">
        <v>35.401200000000003</v>
      </c>
      <c r="N121" s="16">
        <v>226.35810000000001</v>
      </c>
      <c r="O121" s="16">
        <f t="shared" si="5"/>
        <v>33.046875000000007</v>
      </c>
      <c r="P121" s="7"/>
      <c r="Q121" s="8">
        <f>bdrate(C121:C124,D121:D124,J121:J124,K121:K124)</f>
        <v>8.5966565596798272E-2</v>
      </c>
      <c r="R121" s="8">
        <f>bdrate(C121:C124,E121:E124,J121:J124,L121:L124)</f>
        <v>9.8596230042357513E-2</v>
      </c>
      <c r="S121" s="8">
        <f>bdrate(C121:C124,F121:F124,J121:J124,M121:M124)</f>
        <v>9.108719945924304E-2</v>
      </c>
      <c r="T121" s="25">
        <f>bdrate(C121:C124,H121:H124,J121:J124,O121:O124)</f>
        <v>8.7150856658744447E-2</v>
      </c>
      <c r="U121" s="28">
        <f t="shared" si="3"/>
        <v>0.57369181299999983</v>
      </c>
    </row>
    <row r="122" spans="2:21" x14ac:dyDescent="0.25">
      <c r="B122" s="9"/>
      <c r="C122" s="31">
        <v>987.0419921875</v>
      </c>
      <c r="D122" s="32">
        <v>30.686900000000001</v>
      </c>
      <c r="E122" s="32">
        <v>35.232799999999997</v>
      </c>
      <c r="F122" s="32">
        <v>34.450299999999999</v>
      </c>
      <c r="G122" s="18">
        <v>190.71837253655434</v>
      </c>
      <c r="H122" s="18">
        <f t="shared" si="4"/>
        <v>31.725562499999999</v>
      </c>
      <c r="I122" s="5"/>
      <c r="J122" s="31">
        <v>1006.1437</v>
      </c>
      <c r="K122" s="32">
        <v>30.2117</v>
      </c>
      <c r="L122" s="32">
        <v>35.040900000000001</v>
      </c>
      <c r="M122" s="32">
        <v>34.275700000000001</v>
      </c>
      <c r="N122" s="18">
        <v>298.4085</v>
      </c>
      <c r="O122" s="18">
        <f t="shared" si="5"/>
        <v>31.323349999999998</v>
      </c>
      <c r="P122" s="7"/>
      <c r="Q122" s="10"/>
      <c r="R122" s="11"/>
      <c r="S122" s="11"/>
      <c r="T122" s="26"/>
      <c r="U122" s="28">
        <f t="shared" si="3"/>
        <v>0.56465523500000014</v>
      </c>
    </row>
    <row r="123" spans="2:21" x14ac:dyDescent="0.25">
      <c r="B123" s="9"/>
      <c r="C123" s="31">
        <v>592.76953125</v>
      </c>
      <c r="D123" s="32">
        <v>28.279199999999999</v>
      </c>
      <c r="E123" s="32">
        <v>33.8504</v>
      </c>
      <c r="F123" s="32">
        <v>33.0017</v>
      </c>
      <c r="G123" s="18">
        <v>223.26966013396182</v>
      </c>
      <c r="H123" s="18">
        <f t="shared" si="4"/>
        <v>29.5659125</v>
      </c>
      <c r="I123" s="5"/>
      <c r="J123" s="31">
        <v>602.60050000000001</v>
      </c>
      <c r="K123" s="32">
        <v>28.020199999999999</v>
      </c>
      <c r="L123" s="32">
        <v>33.656700000000001</v>
      </c>
      <c r="M123" s="32">
        <v>32.809100000000001</v>
      </c>
      <c r="N123" s="18">
        <v>354.47030000000001</v>
      </c>
      <c r="O123" s="18">
        <f t="shared" si="5"/>
        <v>29.323374999999999</v>
      </c>
      <c r="P123" s="7"/>
      <c r="Q123" s="10"/>
      <c r="R123" s="11"/>
      <c r="S123" s="11"/>
      <c r="T123" s="26"/>
      <c r="U123" s="28">
        <f t="shared" si="3"/>
        <v>0.58763308811111092</v>
      </c>
    </row>
    <row r="124" spans="2:21" ht="16.5" thickBot="1" x14ac:dyDescent="0.3">
      <c r="B124" s="12"/>
      <c r="C124" s="33">
        <v>297.03125</v>
      </c>
      <c r="D124" s="34">
        <v>25.349299999999999</v>
      </c>
      <c r="E124" s="34">
        <v>31.880199999999999</v>
      </c>
      <c r="F124" s="34">
        <v>30.927099999999999</v>
      </c>
      <c r="G124" s="20">
        <v>234.00936037441497</v>
      </c>
      <c r="H124" s="20">
        <f t="shared" si="4"/>
        <v>26.862887499999999</v>
      </c>
      <c r="I124" s="5"/>
      <c r="J124" s="33">
        <v>304.8184</v>
      </c>
      <c r="K124" s="34">
        <v>25.4892</v>
      </c>
      <c r="L124" s="34">
        <v>31.607800000000001</v>
      </c>
      <c r="M124" s="34">
        <v>30.681899999999999</v>
      </c>
      <c r="N124" s="20">
        <v>455.9271</v>
      </c>
      <c r="O124" s="20">
        <f t="shared" si="5"/>
        <v>26.903112499999999</v>
      </c>
      <c r="P124" s="7"/>
      <c r="Q124" s="13"/>
      <c r="R124" s="14"/>
      <c r="S124" s="14"/>
      <c r="T124" s="27"/>
      <c r="U124" s="28">
        <f t="shared" si="3"/>
        <v>0.94832847400000009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8.2519589553318146E-2</v>
      </c>
      <c r="R125" s="21">
        <f>AVERAGE(R9:R124)</f>
        <v>1.392986609677598E-3</v>
      </c>
      <c r="S125" s="21">
        <f>AVERAGE(S9:S124)</f>
        <v>-4.7617571355867017E-3</v>
      </c>
      <c r="T125" s="21">
        <f>AVERAGE(T9:T124)</f>
        <v>6.6424141849361892E-2</v>
      </c>
      <c r="U125" s="21">
        <f>AVERAGE(U9:U124)</f>
        <v>0.79286331679985611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35" priority="69" operator="greaterThan">
      <formula>0.03</formula>
    </cfRule>
    <cfRule type="cellIs" dxfId="134" priority="70" stopIfTrue="1" operator="lessThan">
      <formula>-0.03</formula>
    </cfRule>
  </conditionalFormatting>
  <conditionalFormatting sqref="Q33:T36">
    <cfRule type="cellIs" dxfId="133" priority="67" operator="greaterThan">
      <formula>0.03</formula>
    </cfRule>
    <cfRule type="cellIs" dxfId="132" priority="68" stopIfTrue="1" operator="lessThan">
      <formula>-0.03</formula>
    </cfRule>
  </conditionalFormatting>
  <conditionalFormatting sqref="Q45:T48 Q61:T64">
    <cfRule type="cellIs" dxfId="131" priority="65" operator="greaterThan">
      <formula>0.03</formula>
    </cfRule>
    <cfRule type="cellIs" dxfId="130" priority="66" stopIfTrue="1" operator="lessThan">
      <formula>-0.03</formula>
    </cfRule>
  </conditionalFormatting>
  <conditionalFormatting sqref="Q49:T60">
    <cfRule type="cellIs" dxfId="129" priority="63" operator="greaterThan">
      <formula>0.03</formula>
    </cfRule>
    <cfRule type="cellIs" dxfId="128" priority="64" stopIfTrue="1" operator="lessThan">
      <formula>-0.03</formula>
    </cfRule>
  </conditionalFormatting>
  <conditionalFormatting sqref="Q69:T76">
    <cfRule type="cellIs" dxfId="127" priority="61" operator="greaterThan">
      <formula>0.03</formula>
    </cfRule>
    <cfRule type="cellIs" dxfId="126" priority="62" stopIfTrue="1" operator="lessThan">
      <formula>-0.03</formula>
    </cfRule>
  </conditionalFormatting>
  <conditionalFormatting sqref="Q65:T68">
    <cfRule type="cellIs" dxfId="125" priority="59" operator="greaterThan">
      <formula>0.03</formula>
    </cfRule>
    <cfRule type="cellIs" dxfId="124" priority="60" stopIfTrue="1" operator="lessThan">
      <formula>-0.03</formula>
    </cfRule>
  </conditionalFormatting>
  <conditionalFormatting sqref="Q77:T80">
    <cfRule type="cellIs" dxfId="123" priority="57" operator="greaterThan">
      <formula>0.03</formula>
    </cfRule>
    <cfRule type="cellIs" dxfId="122" priority="58" stopIfTrue="1" operator="lessThan">
      <formula>-0.03</formula>
    </cfRule>
  </conditionalFormatting>
  <conditionalFormatting sqref="Q21:T28">
    <cfRule type="cellIs" dxfId="121" priority="55" operator="greaterThan">
      <formula>0.03</formula>
    </cfRule>
    <cfRule type="cellIs" dxfId="120" priority="56" stopIfTrue="1" operator="lessThan">
      <formula>-0.03</formula>
    </cfRule>
  </conditionalFormatting>
  <conditionalFormatting sqref="Q117:T117">
    <cfRule type="cellIs" dxfId="119" priority="3" operator="greaterThan">
      <formula>0.03</formula>
    </cfRule>
    <cfRule type="cellIs" dxfId="118" priority="4" stopIfTrue="1" operator="lessThan">
      <formula>-0.03</formula>
    </cfRule>
  </conditionalFormatting>
  <conditionalFormatting sqref="Q93:T96 Q101:T108 Q81:T84">
    <cfRule type="cellIs" dxfId="117" priority="17" operator="greaterThan">
      <formula>0.03</formula>
    </cfRule>
    <cfRule type="cellIs" dxfId="116" priority="18" stopIfTrue="1" operator="lessThan">
      <formula>-0.03</formula>
    </cfRule>
  </conditionalFormatting>
  <conditionalFormatting sqref="Q97:T100">
    <cfRule type="cellIs" dxfId="115" priority="15" operator="greaterThan">
      <formula>0.03</formula>
    </cfRule>
    <cfRule type="cellIs" dxfId="114" priority="16" stopIfTrue="1" operator="lessThan">
      <formula>-0.03</formula>
    </cfRule>
  </conditionalFormatting>
  <conditionalFormatting sqref="Q110:T112 Q122:T124">
    <cfRule type="cellIs" dxfId="113" priority="13" operator="greaterThan">
      <formula>0.03</formula>
    </cfRule>
    <cfRule type="cellIs" dxfId="112" priority="14" stopIfTrue="1" operator="lessThan">
      <formula>-0.03</formula>
    </cfRule>
  </conditionalFormatting>
  <conditionalFormatting sqref="Q114:T116 Q118:T120">
    <cfRule type="cellIs" dxfId="111" priority="11" operator="greaterThan">
      <formula>0.03</formula>
    </cfRule>
    <cfRule type="cellIs" dxfId="110" priority="12" stopIfTrue="1" operator="lessThan">
      <formula>-0.03</formula>
    </cfRule>
  </conditionalFormatting>
  <conditionalFormatting sqref="Q85:T92">
    <cfRule type="cellIs" dxfId="109" priority="9" operator="greaterThan">
      <formula>0.03</formula>
    </cfRule>
    <cfRule type="cellIs" dxfId="108" priority="10" stopIfTrue="1" operator="lessThan">
      <formula>-0.03</formula>
    </cfRule>
  </conditionalFormatting>
  <conditionalFormatting sqref="Q109:T109">
    <cfRule type="cellIs" dxfId="107" priority="7" operator="greaterThan">
      <formula>0.03</formula>
    </cfRule>
    <cfRule type="cellIs" dxfId="106" priority="8" stopIfTrue="1" operator="lessThan">
      <formula>-0.03</formula>
    </cfRule>
  </conditionalFormatting>
  <conditionalFormatting sqref="Q113:T113">
    <cfRule type="cellIs" dxfId="105" priority="5" operator="greaterThan">
      <formula>0.03</formula>
    </cfRule>
    <cfRule type="cellIs" dxfId="104" priority="6" stopIfTrue="1" operator="lessThan">
      <formula>-0.03</formula>
    </cfRule>
  </conditionalFormatting>
  <conditionalFormatting sqref="Q121:T121">
    <cfRule type="cellIs" dxfId="103" priority="1" operator="greaterThan">
      <formula>0.03</formula>
    </cfRule>
    <cfRule type="cellIs" dxfId="102" priority="2" stopIfTrue="1" operator="lessThan">
      <formula>-0.03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2" x14ac:dyDescent="0.25">
      <c r="A1" t="s">
        <v>136</v>
      </c>
      <c r="V1" t="s">
        <v>137</v>
      </c>
    </row>
    <row r="2" spans="1:22" x14ac:dyDescent="0.25">
      <c r="A2" t="s">
        <v>139</v>
      </c>
    </row>
    <row r="3" spans="1:22" x14ac:dyDescent="0.25">
      <c r="A3" t="s">
        <v>83</v>
      </c>
    </row>
    <row r="5" spans="1:22" s="35" customFormat="1" ht="15.75" customHeight="1" x14ac:dyDescent="0.25">
      <c r="B5" s="61" t="s">
        <v>29</v>
      </c>
      <c r="C5" s="63" t="s">
        <v>148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2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2" ht="16.5" customHeight="1" thickBot="1" x14ac:dyDescent="0.3">
      <c r="C7" s="69" t="s">
        <v>151</v>
      </c>
      <c r="D7" s="70"/>
      <c r="E7" s="70"/>
      <c r="F7" s="70"/>
      <c r="G7" s="70"/>
      <c r="H7" s="70"/>
      <c r="I7" s="5"/>
      <c r="J7" s="69" t="s">
        <v>203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2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2" x14ac:dyDescent="0.25">
      <c r="A9" s="6" t="s">
        <v>35</v>
      </c>
      <c r="B9" s="6" t="s">
        <v>46</v>
      </c>
      <c r="C9" s="15">
        <v>3734.1650390625</v>
      </c>
      <c r="D9" s="16">
        <v>37.544400000000003</v>
      </c>
      <c r="E9" s="16">
        <v>39.116999999999997</v>
      </c>
      <c r="F9" s="16">
        <v>41.506700000000002</v>
      </c>
      <c r="G9" s="16">
        <v>50.083472454090149</v>
      </c>
      <c r="H9" s="16">
        <f t="shared" ref="H9:H80" si="0">(6*D9+E9+F9)/8</f>
        <v>38.236262500000009</v>
      </c>
      <c r="I9" s="5"/>
      <c r="J9" s="15">
        <v>4009.152</v>
      </c>
      <c r="K9" s="16">
        <v>37.856900000000003</v>
      </c>
      <c r="L9" s="16">
        <v>39.448999999999998</v>
      </c>
      <c r="M9" s="16">
        <v>41.932699999999997</v>
      </c>
      <c r="N9" s="16">
        <v>51.247</v>
      </c>
      <c r="O9" s="16">
        <f t="shared" ref="O9:O80" si="1">(6*K9+L9+M9)/8</f>
        <v>38.565387500000007</v>
      </c>
      <c r="P9" s="7"/>
      <c r="Q9" s="8">
        <f>bdrate(C9:C12,D9:D12,J9:J12,K9:K12)</f>
        <v>-7.2803675375382793E-2</v>
      </c>
      <c r="R9" s="8">
        <f>bdrate(C9:C12,E9:E12,J9:J12,L9:L12)</f>
        <v>-0.12897366969039481</v>
      </c>
      <c r="S9" s="8">
        <f>bdrate(C9:C12,F9:F12,J9:J12,M9:M12)</f>
        <v>-0.11291350423800983</v>
      </c>
      <c r="T9" s="25">
        <f>bdrate(C9:C12,H9:H12,J9:J12,O9:O12)</f>
        <v>-7.943406468977543E-2</v>
      </c>
      <c r="U9" s="28">
        <f t="shared" ref="U9:U72" si="2">(N9-G9)/G9</f>
        <v>2.3231766666666688E-2</v>
      </c>
    </row>
    <row r="10" spans="1:22" x14ac:dyDescent="0.25">
      <c r="A10" s="9" t="s">
        <v>36</v>
      </c>
      <c r="B10" s="9"/>
      <c r="C10" s="17">
        <v>2769.625</v>
      </c>
      <c r="D10" s="18">
        <v>36.486499999999999</v>
      </c>
      <c r="E10" s="18">
        <v>38.604700000000001</v>
      </c>
      <c r="F10" s="18">
        <v>40.958100000000002</v>
      </c>
      <c r="G10" s="18">
        <v>55.289347585698486</v>
      </c>
      <c r="H10" s="18">
        <f t="shared" si="0"/>
        <v>37.310224999999996</v>
      </c>
      <c r="I10" s="5"/>
      <c r="J10" s="17">
        <v>2945.1712000000002</v>
      </c>
      <c r="K10" s="18">
        <v>36.852200000000003</v>
      </c>
      <c r="L10" s="18">
        <v>38.866700000000002</v>
      </c>
      <c r="M10" s="18">
        <v>41.218299999999999</v>
      </c>
      <c r="N10" s="18">
        <v>62.214799999999997</v>
      </c>
      <c r="O10" s="18">
        <f t="shared" si="1"/>
        <v>37.649774999999998</v>
      </c>
      <c r="P10" s="7"/>
      <c r="Q10" s="10"/>
      <c r="R10" s="11"/>
      <c r="S10" s="11"/>
      <c r="T10" s="26"/>
      <c r="U10" s="28">
        <f t="shared" si="2"/>
        <v>0.12525834933333332</v>
      </c>
    </row>
    <row r="11" spans="1:22" x14ac:dyDescent="0.25">
      <c r="B11" s="9"/>
      <c r="C11" s="17">
        <v>1872.43359375</v>
      </c>
      <c r="D11" s="18">
        <v>34.852200000000003</v>
      </c>
      <c r="E11" s="18">
        <v>37.8748</v>
      </c>
      <c r="F11" s="18">
        <v>40.170699999999997</v>
      </c>
      <c r="G11" s="18">
        <v>60.362173038229379</v>
      </c>
      <c r="H11" s="18">
        <f t="shared" si="0"/>
        <v>35.894837500000001</v>
      </c>
      <c r="I11" s="5"/>
      <c r="J11" s="17">
        <v>1885.3008</v>
      </c>
      <c r="K11" s="18">
        <v>35.212499999999999</v>
      </c>
      <c r="L11" s="18">
        <v>38.179600000000001</v>
      </c>
      <c r="M11" s="18">
        <v>40.479700000000001</v>
      </c>
      <c r="N11" s="18">
        <v>72.428799999999995</v>
      </c>
      <c r="O11" s="18">
        <f t="shared" si="1"/>
        <v>36.241787499999994</v>
      </c>
      <c r="P11" s="7"/>
      <c r="Q11" s="10"/>
      <c r="R11" s="11"/>
      <c r="S11" s="11"/>
      <c r="T11" s="26"/>
      <c r="U11" s="28">
        <f t="shared" si="2"/>
        <v>0.19990378666666653</v>
      </c>
    </row>
    <row r="12" spans="1:22" ht="16.5" thickBot="1" x14ac:dyDescent="0.3">
      <c r="B12" s="12"/>
      <c r="C12" s="19">
        <v>922.94140625</v>
      </c>
      <c r="D12" s="20">
        <v>31.920999999999999</v>
      </c>
      <c r="E12" s="20">
        <v>36.762999999999998</v>
      </c>
      <c r="F12" s="20">
        <v>39.026699999999998</v>
      </c>
      <c r="G12" s="20">
        <v>67.598017124831003</v>
      </c>
      <c r="H12" s="20">
        <f t="shared" si="0"/>
        <v>33.414462499999999</v>
      </c>
      <c r="I12" s="5"/>
      <c r="J12" s="19">
        <v>916.84640000000002</v>
      </c>
      <c r="K12" s="20">
        <v>32.309800000000003</v>
      </c>
      <c r="L12" s="20">
        <v>36.903199999999998</v>
      </c>
      <c r="M12" s="20">
        <v>39.090200000000003</v>
      </c>
      <c r="N12" s="20">
        <v>94.697000000000003</v>
      </c>
      <c r="O12" s="20">
        <f t="shared" si="1"/>
        <v>33.731525000000005</v>
      </c>
      <c r="P12" s="7"/>
      <c r="Q12" s="13"/>
      <c r="R12" s="14"/>
      <c r="S12" s="14"/>
      <c r="T12" s="27"/>
      <c r="U12" s="28">
        <f t="shared" si="2"/>
        <v>0.40088428666666676</v>
      </c>
    </row>
    <row r="13" spans="1:22" x14ac:dyDescent="0.25">
      <c r="B13" s="6" t="s">
        <v>47</v>
      </c>
      <c r="C13" s="15">
        <v>3753.380859375</v>
      </c>
      <c r="D13" s="16">
        <v>28.6983</v>
      </c>
      <c r="E13" s="16">
        <v>39.041699999999999</v>
      </c>
      <c r="F13" s="16">
        <v>40.024099999999997</v>
      </c>
      <c r="G13" s="16">
        <v>37.650602409638552</v>
      </c>
      <c r="H13" s="16">
        <f t="shared" si="0"/>
        <v>31.406949999999998</v>
      </c>
      <c r="I13" s="5"/>
      <c r="J13" s="15">
        <v>4046.5776000000001</v>
      </c>
      <c r="K13" s="16">
        <v>29.401800000000001</v>
      </c>
      <c r="L13" s="16">
        <v>39.331200000000003</v>
      </c>
      <c r="M13" s="16">
        <v>40.264499999999998</v>
      </c>
      <c r="N13" s="16">
        <v>44.117600000000003</v>
      </c>
      <c r="O13" s="16">
        <f t="shared" si="1"/>
        <v>32.000812499999995</v>
      </c>
      <c r="P13" s="7"/>
      <c r="Q13" s="8">
        <f>bdrate(C13:C16,D13:D16,J13:J16,K13:K16)</f>
        <v>-2.2324590570859226E-2</v>
      </c>
      <c r="R13" s="8">
        <f>bdrate(C13:C16,E13:E16,J13:J16,L13:L16)</f>
        <v>-3.9053378071561395E-2</v>
      </c>
      <c r="S13" s="8">
        <f>bdrate(C13:C16,F13:F16,J13:J16,M13:M16)</f>
        <v>-5.1493002085705619E-2</v>
      </c>
      <c r="T13" s="25">
        <f>bdrate(C13:C16,H13:H16,J13:J16,O13:O16)</f>
        <v>-2.4933033818605566E-2</v>
      </c>
      <c r="U13" s="28">
        <f t="shared" si="2"/>
        <v>0.17176345600000015</v>
      </c>
    </row>
    <row r="14" spans="1:22" x14ac:dyDescent="0.25">
      <c r="B14" s="9"/>
      <c r="C14" s="17">
        <v>2795.591796875</v>
      </c>
      <c r="D14" s="18">
        <v>27.468900000000001</v>
      </c>
      <c r="E14" s="18">
        <v>38.607399999999998</v>
      </c>
      <c r="F14" s="18">
        <v>39.610799999999998</v>
      </c>
      <c r="G14" s="18">
        <v>47.483380816714153</v>
      </c>
      <c r="H14" s="18">
        <f t="shared" si="0"/>
        <v>30.378949999999996</v>
      </c>
      <c r="I14" s="5"/>
      <c r="J14" s="17">
        <v>3043.6527999999998</v>
      </c>
      <c r="K14" s="18">
        <v>28.076499999999999</v>
      </c>
      <c r="L14" s="18">
        <v>38.828499999999998</v>
      </c>
      <c r="M14" s="18">
        <v>39.822200000000002</v>
      </c>
      <c r="N14" s="18">
        <v>50.864699999999999</v>
      </c>
      <c r="O14" s="18">
        <f t="shared" si="1"/>
        <v>30.8887125</v>
      </c>
      <c r="P14" s="7"/>
      <c r="Q14" s="10"/>
      <c r="R14" s="11"/>
      <c r="S14" s="11"/>
      <c r="T14" s="26"/>
      <c r="U14" s="28">
        <f t="shared" si="2"/>
        <v>7.1210581999999925E-2</v>
      </c>
    </row>
    <row r="15" spans="1:22" x14ac:dyDescent="0.25">
      <c r="B15" s="9"/>
      <c r="C15" s="17">
        <v>1848.671875</v>
      </c>
      <c r="D15" s="18">
        <v>25.880199999999999</v>
      </c>
      <c r="E15" s="18">
        <v>37.8202</v>
      </c>
      <c r="F15" s="18">
        <v>38.917299999999997</v>
      </c>
      <c r="G15" s="18">
        <v>47.60393525864805</v>
      </c>
      <c r="H15" s="18">
        <f t="shared" si="0"/>
        <v>29.002337499999996</v>
      </c>
      <c r="I15" s="5"/>
      <c r="J15" s="17">
        <v>2009.1343999999999</v>
      </c>
      <c r="K15" s="18">
        <v>26.240600000000001</v>
      </c>
      <c r="L15" s="18">
        <v>38.101399999999998</v>
      </c>
      <c r="M15" s="18">
        <v>39.197400000000002</v>
      </c>
      <c r="N15" s="18">
        <v>62.972299999999997</v>
      </c>
      <c r="O15" s="18">
        <f t="shared" si="1"/>
        <v>29.342800000000004</v>
      </c>
      <c r="P15" s="7"/>
      <c r="Q15" s="10"/>
      <c r="R15" s="11"/>
      <c r="S15" s="11"/>
      <c r="T15" s="26"/>
      <c r="U15" s="28">
        <f t="shared" si="2"/>
        <v>0.32283811533333323</v>
      </c>
    </row>
    <row r="16" spans="1:22" ht="16.5" thickBot="1" x14ac:dyDescent="0.3">
      <c r="B16" s="12"/>
      <c r="C16" s="19">
        <v>1051.65625</v>
      </c>
      <c r="D16" s="20">
        <v>23.982099999999999</v>
      </c>
      <c r="E16" s="20">
        <v>36.368400000000001</v>
      </c>
      <c r="F16" s="20">
        <v>37.640799999999999</v>
      </c>
      <c r="G16" s="20">
        <v>46.831095847642835</v>
      </c>
      <c r="H16" s="20">
        <f t="shared" si="0"/>
        <v>27.237724999999998</v>
      </c>
      <c r="I16" s="5"/>
      <c r="J16" s="19">
        <v>1139.3679999999999</v>
      </c>
      <c r="K16" s="20">
        <v>24.157299999999999</v>
      </c>
      <c r="L16" s="20">
        <v>36.595500000000001</v>
      </c>
      <c r="M16" s="20">
        <v>37.850299999999997</v>
      </c>
      <c r="N16" s="20">
        <v>78.822900000000004</v>
      </c>
      <c r="O16" s="20">
        <f t="shared" si="1"/>
        <v>27.423700000000004</v>
      </c>
      <c r="P16" s="7"/>
      <c r="Q16" s="13"/>
      <c r="R16" s="14"/>
      <c r="S16" s="14"/>
      <c r="T16" s="27"/>
      <c r="U16" s="28">
        <f t="shared" si="2"/>
        <v>0.68313165800000009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39.180199999999999</v>
      </c>
      <c r="E17" s="16">
        <v>41.775199999999998</v>
      </c>
      <c r="F17" s="16">
        <v>43.1252</v>
      </c>
      <c r="G17" s="16">
        <v>61.680801850424054</v>
      </c>
      <c r="H17" s="16">
        <f t="shared" si="0"/>
        <v>39.997700000000002</v>
      </c>
      <c r="I17" s="5"/>
      <c r="J17" s="15">
        <v>2387.6183999999998</v>
      </c>
      <c r="K17" s="16">
        <v>39.052999999999997</v>
      </c>
      <c r="L17" s="16">
        <v>41.879899999999999</v>
      </c>
      <c r="M17" s="16">
        <v>43.224499999999999</v>
      </c>
      <c r="N17" s="16">
        <v>102.0842</v>
      </c>
      <c r="O17" s="16">
        <f t="shared" si="1"/>
        <v>39.927799999999998</v>
      </c>
      <c r="P17" s="7"/>
      <c r="Q17" s="8">
        <f>bdrate(C17:C20,D17:D20,J17:J20,K17:K20)</f>
        <v>1.2865338878546684E-2</v>
      </c>
      <c r="R17" s="8">
        <f>bdrate(C17:C20,E17:E20,J17:J20,L17:L20)</f>
        <v>-1.4880572104352008E-2</v>
      </c>
      <c r="S17" s="8">
        <f>bdrate(C17:C20,F17:F20,J17:J20,M17:M20)</f>
        <v>-5.9893036688329904E-4</v>
      </c>
      <c r="T17" s="25">
        <f>bdrate(C17:C20,H17:H20,J17:J20,O17:O20)</f>
        <v>1.0501709367430889E-2</v>
      </c>
      <c r="U17" s="28">
        <f t="shared" si="2"/>
        <v>0.65504009249999995</v>
      </c>
    </row>
    <row r="18" spans="1:21" x14ac:dyDescent="0.25">
      <c r="A18" s="9" t="s">
        <v>38</v>
      </c>
      <c r="B18" s="9"/>
      <c r="C18" s="17">
        <v>1484.376953125</v>
      </c>
      <c r="D18" s="18">
        <v>37.775399999999998</v>
      </c>
      <c r="E18" s="18">
        <v>41.140700000000002</v>
      </c>
      <c r="F18" s="18">
        <v>42.39</v>
      </c>
      <c r="G18" s="18">
        <v>80</v>
      </c>
      <c r="H18" s="18">
        <f t="shared" si="0"/>
        <v>38.772887499999996</v>
      </c>
      <c r="I18" s="5"/>
      <c r="J18" s="17">
        <v>1556.4903999999999</v>
      </c>
      <c r="K18" s="18">
        <v>37.793799999999997</v>
      </c>
      <c r="L18" s="18">
        <v>41.183900000000001</v>
      </c>
      <c r="M18" s="18">
        <v>42.427500000000002</v>
      </c>
      <c r="N18" s="18">
        <v>118.16840000000001</v>
      </c>
      <c r="O18" s="18">
        <f t="shared" si="1"/>
        <v>38.796774999999997</v>
      </c>
      <c r="P18" s="7"/>
      <c r="Q18" s="10"/>
      <c r="R18" s="11"/>
      <c r="S18" s="11"/>
      <c r="T18" s="26"/>
      <c r="U18" s="28">
        <f t="shared" si="2"/>
        <v>0.47710500000000006</v>
      </c>
    </row>
    <row r="19" spans="1:21" x14ac:dyDescent="0.25">
      <c r="B19" s="9"/>
      <c r="C19" s="17">
        <v>927.3447265625</v>
      </c>
      <c r="D19" s="18">
        <v>36.075899999999997</v>
      </c>
      <c r="E19" s="18">
        <v>40.323099999999997</v>
      </c>
      <c r="F19" s="18">
        <v>41.5351</v>
      </c>
      <c r="G19" s="18">
        <v>96.618357487922708</v>
      </c>
      <c r="H19" s="18">
        <f t="shared" si="0"/>
        <v>37.289200000000001</v>
      </c>
      <c r="I19" s="5"/>
      <c r="J19" s="17">
        <v>950.81679999999994</v>
      </c>
      <c r="K19" s="18">
        <v>36.192999999999998</v>
      </c>
      <c r="L19" s="18">
        <v>40.4131</v>
      </c>
      <c r="M19" s="18">
        <v>41.608800000000002</v>
      </c>
      <c r="N19" s="18">
        <v>137.45699999999999</v>
      </c>
      <c r="O19" s="18">
        <f t="shared" si="1"/>
        <v>37.397487499999997</v>
      </c>
      <c r="P19" s="7"/>
      <c r="Q19" s="10"/>
      <c r="R19" s="11"/>
      <c r="S19" s="11"/>
      <c r="T19" s="26"/>
      <c r="U19" s="28">
        <f t="shared" si="2"/>
        <v>0.42267994999999992</v>
      </c>
    </row>
    <row r="20" spans="1:21" ht="16.5" thickBot="1" x14ac:dyDescent="0.3">
      <c r="B20" s="12"/>
      <c r="C20" s="19">
        <v>556.25</v>
      </c>
      <c r="D20" s="20">
        <v>34.1935</v>
      </c>
      <c r="E20" s="20">
        <v>39.565899999999999</v>
      </c>
      <c r="F20" s="20">
        <v>40.850700000000003</v>
      </c>
      <c r="G20" s="20">
        <v>112.09715086408221</v>
      </c>
      <c r="H20" s="20">
        <f t="shared" si="0"/>
        <v>35.697200000000002</v>
      </c>
      <c r="I20" s="5"/>
      <c r="J20" s="19">
        <v>549.97119999999995</v>
      </c>
      <c r="K20" s="20">
        <v>34.344799999999999</v>
      </c>
      <c r="L20" s="20">
        <v>39.664000000000001</v>
      </c>
      <c r="M20" s="20">
        <v>40.886899999999997</v>
      </c>
      <c r="N20" s="20">
        <v>164.15870000000001</v>
      </c>
      <c r="O20" s="20">
        <f t="shared" si="1"/>
        <v>35.827462499999996</v>
      </c>
      <c r="P20" s="7"/>
      <c r="Q20" s="13"/>
      <c r="R20" s="14"/>
      <c r="S20" s="14"/>
      <c r="T20" s="27"/>
      <c r="U20" s="28">
        <f t="shared" si="2"/>
        <v>0.46443240291666671</v>
      </c>
    </row>
    <row r="21" spans="1:21" x14ac:dyDescent="0.25">
      <c r="B21" s="6" t="s">
        <v>49</v>
      </c>
      <c r="C21" s="15">
        <v>2263.255859375</v>
      </c>
      <c r="D21" s="16">
        <v>35.997399999999999</v>
      </c>
      <c r="E21" s="16">
        <v>39.601500000000001</v>
      </c>
      <c r="F21" s="16">
        <v>40.733199999999997</v>
      </c>
      <c r="G21" s="16">
        <v>66.11570247933885</v>
      </c>
      <c r="H21" s="16">
        <f t="shared" si="0"/>
        <v>37.039887499999999</v>
      </c>
      <c r="I21" s="5"/>
      <c r="J21" s="15">
        <v>2471.3607999999999</v>
      </c>
      <c r="K21" s="16">
        <v>35.988500000000002</v>
      </c>
      <c r="L21" s="16">
        <v>39.926900000000003</v>
      </c>
      <c r="M21" s="16">
        <v>41.145800000000001</v>
      </c>
      <c r="N21" s="16">
        <v>90.977999999999994</v>
      </c>
      <c r="O21" s="16">
        <f t="shared" si="1"/>
        <v>37.125462500000005</v>
      </c>
      <c r="P21" s="7"/>
      <c r="Q21" s="8">
        <f>bdrate(C21:C24,D21:D24,J21:J24,K21:K24)</f>
        <v>4.8651538863487165E-2</v>
      </c>
      <c r="R21" s="8">
        <f>bdrate(C21:C24,E21:E24,J21:J24,L21:L24)</f>
        <v>-7.924261278554956E-2</v>
      </c>
      <c r="S21" s="8">
        <f>bdrate(C21:C24,F21:F24,J21:J24,M21:M24)</f>
        <v>-8.7399356270833839E-2</v>
      </c>
      <c r="T21" s="25">
        <f>bdrate(C21:C24,H21:H24,J21:J24,O21:O24)</f>
        <v>2.7361644631090698E-2</v>
      </c>
      <c r="U21" s="28">
        <f t="shared" si="2"/>
        <v>0.37604224999999974</v>
      </c>
    </row>
    <row r="22" spans="1:21" x14ac:dyDescent="0.25">
      <c r="B22" s="9"/>
      <c r="C22" s="17">
        <v>1514.9853515625</v>
      </c>
      <c r="D22" s="18">
        <v>34.646500000000003</v>
      </c>
      <c r="E22" s="18">
        <v>38.808300000000003</v>
      </c>
      <c r="F22" s="18">
        <v>40.0077</v>
      </c>
      <c r="G22" s="18">
        <v>85.959885386819494</v>
      </c>
      <c r="H22" s="18">
        <f t="shared" si="0"/>
        <v>35.836875000000006</v>
      </c>
      <c r="I22" s="5"/>
      <c r="J22" s="17">
        <v>1627.2647999999999</v>
      </c>
      <c r="K22" s="18">
        <v>34.706600000000002</v>
      </c>
      <c r="L22" s="18">
        <v>39.127699999999997</v>
      </c>
      <c r="M22" s="18">
        <v>40.345100000000002</v>
      </c>
      <c r="N22" s="18">
        <v>109.99079999999999</v>
      </c>
      <c r="O22" s="18">
        <f t="shared" si="1"/>
        <v>35.96405</v>
      </c>
      <c r="P22" s="7"/>
      <c r="Q22" s="10"/>
      <c r="R22" s="11"/>
      <c r="S22" s="11"/>
      <c r="T22" s="26"/>
      <c r="U22" s="28">
        <f t="shared" si="2"/>
        <v>0.27955963999999978</v>
      </c>
    </row>
    <row r="23" spans="1:21" x14ac:dyDescent="0.25">
      <c r="B23" s="9"/>
      <c r="C23" s="17">
        <v>944.41015625</v>
      </c>
      <c r="D23" s="18">
        <v>33.099699999999999</v>
      </c>
      <c r="E23" s="18">
        <v>37.911499999999997</v>
      </c>
      <c r="F23" s="18">
        <v>39.2821</v>
      </c>
      <c r="G23" s="18">
        <v>99.543757776856069</v>
      </c>
      <c r="H23" s="18">
        <f t="shared" si="0"/>
        <v>34.473974999999996</v>
      </c>
      <c r="I23" s="5"/>
      <c r="J23" s="17">
        <v>1023.4992</v>
      </c>
      <c r="K23" s="18">
        <v>33.206400000000002</v>
      </c>
      <c r="L23" s="18">
        <v>38.194499999999998</v>
      </c>
      <c r="M23" s="18">
        <v>39.504399999999997</v>
      </c>
      <c r="N23" s="18">
        <v>126.84990000000001</v>
      </c>
      <c r="O23" s="18">
        <f t="shared" si="1"/>
        <v>34.617162499999999</v>
      </c>
      <c r="P23" s="7"/>
      <c r="Q23" s="10"/>
      <c r="R23" s="11"/>
      <c r="S23" s="11"/>
      <c r="T23" s="26"/>
      <c r="U23" s="28">
        <f t="shared" si="2"/>
        <v>0.27431295375000014</v>
      </c>
    </row>
    <row r="24" spans="1:21" ht="16.5" thickBot="1" x14ac:dyDescent="0.3">
      <c r="B24" s="12"/>
      <c r="C24" s="19">
        <v>568.34375</v>
      </c>
      <c r="D24" s="20">
        <v>31.4621</v>
      </c>
      <c r="E24" s="20">
        <v>37.134799999999998</v>
      </c>
      <c r="F24" s="20">
        <v>38.713500000000003</v>
      </c>
      <c r="G24" s="20">
        <v>117.82032400589102</v>
      </c>
      <c r="H24" s="20">
        <f t="shared" si="0"/>
        <v>33.077612500000001</v>
      </c>
      <c r="I24" s="5"/>
      <c r="J24" s="19">
        <v>579.33040000000005</v>
      </c>
      <c r="K24" s="20">
        <v>31.5151</v>
      </c>
      <c r="L24" s="20">
        <v>37.268099999999997</v>
      </c>
      <c r="M24" s="20">
        <v>38.770000000000003</v>
      </c>
      <c r="N24" s="20">
        <v>160</v>
      </c>
      <c r="O24" s="20">
        <f t="shared" si="1"/>
        <v>33.141087499999998</v>
      </c>
      <c r="P24" s="7"/>
      <c r="Q24" s="13"/>
      <c r="R24" s="14"/>
      <c r="S24" s="14"/>
      <c r="T24" s="27"/>
      <c r="U24" s="28">
        <f t="shared" si="2"/>
        <v>0.35799999999999993</v>
      </c>
    </row>
    <row r="25" spans="1:21" x14ac:dyDescent="0.25">
      <c r="B25" s="6" t="s">
        <v>50</v>
      </c>
      <c r="C25" s="15">
        <v>2302.2958984375</v>
      </c>
      <c r="D25" s="16">
        <v>33.702300000000001</v>
      </c>
      <c r="E25" s="16">
        <v>37.834600000000002</v>
      </c>
      <c r="F25" s="16">
        <v>39.494599999999998</v>
      </c>
      <c r="G25" s="16">
        <v>82.196284727930291</v>
      </c>
      <c r="H25" s="16">
        <f t="shared" si="0"/>
        <v>34.942875000000001</v>
      </c>
      <c r="I25" s="5"/>
      <c r="J25" s="15">
        <v>2411.6288</v>
      </c>
      <c r="K25" s="16">
        <v>34.028599999999997</v>
      </c>
      <c r="L25" s="16">
        <v>38.079500000000003</v>
      </c>
      <c r="M25" s="16">
        <v>40.056600000000003</v>
      </c>
      <c r="N25" s="16">
        <v>101.1327</v>
      </c>
      <c r="O25" s="16">
        <f t="shared" si="1"/>
        <v>35.288462499999994</v>
      </c>
      <c r="P25" s="7"/>
      <c r="Q25" s="8">
        <f>bdrate(C25:C28,D25:D28,J25:J28,K25:K28)</f>
        <v>-0.10630916541250657</v>
      </c>
      <c r="R25" s="8">
        <f>bdrate(C25:C28,E25:E28,J25:J28,L25:L28)</f>
        <v>-0.14859416536842185</v>
      </c>
      <c r="S25" s="8">
        <f>bdrate(C25:C28,F25:F28,J25:J28,M25:M28)</f>
        <v>-0.17411553574329663</v>
      </c>
      <c r="T25" s="25">
        <f>bdrate(C25:C28,H25:H28,J25:J28,O25:O28)</f>
        <v>-0.11526292820214146</v>
      </c>
      <c r="U25" s="28">
        <f t="shared" si="2"/>
        <v>0.2303804282000001</v>
      </c>
    </row>
    <row r="26" spans="1:21" x14ac:dyDescent="0.25">
      <c r="B26" s="9"/>
      <c r="C26" s="17">
        <v>1536.7490234375</v>
      </c>
      <c r="D26" s="18">
        <v>32.306600000000003</v>
      </c>
      <c r="E26" s="18">
        <v>37.325200000000002</v>
      </c>
      <c r="F26" s="18">
        <v>38.601599999999998</v>
      </c>
      <c r="G26" s="18">
        <v>125.18778167250876</v>
      </c>
      <c r="H26" s="18">
        <f t="shared" si="0"/>
        <v>33.720800000000004</v>
      </c>
      <c r="I26" s="5"/>
      <c r="J26" s="17">
        <v>1605.616</v>
      </c>
      <c r="K26" s="18">
        <v>32.8215</v>
      </c>
      <c r="L26" s="18">
        <v>37.637099999999997</v>
      </c>
      <c r="M26" s="18">
        <v>39.263599999999997</v>
      </c>
      <c r="N26" s="18">
        <v>156.7398</v>
      </c>
      <c r="O26" s="18">
        <f t="shared" si="1"/>
        <v>34.2287125</v>
      </c>
      <c r="P26" s="7"/>
      <c r="Q26" s="10"/>
      <c r="R26" s="11"/>
      <c r="S26" s="11"/>
      <c r="T26" s="26"/>
      <c r="U26" s="28">
        <f t="shared" si="2"/>
        <v>0.25203752240000005</v>
      </c>
    </row>
    <row r="27" spans="1:21" x14ac:dyDescent="0.25">
      <c r="B27" s="9"/>
      <c r="C27" s="17">
        <v>959.7177734375</v>
      </c>
      <c r="D27" s="18">
        <v>30.6526</v>
      </c>
      <c r="E27" s="18">
        <v>36.825000000000003</v>
      </c>
      <c r="F27" s="18">
        <v>37.863300000000002</v>
      </c>
      <c r="G27" s="18">
        <v>142.65335235378032</v>
      </c>
      <c r="H27" s="18">
        <f t="shared" si="0"/>
        <v>32.325487499999994</v>
      </c>
      <c r="I27" s="5"/>
      <c r="J27" s="17">
        <v>998.53200000000004</v>
      </c>
      <c r="K27" s="18">
        <v>31.199100000000001</v>
      </c>
      <c r="L27" s="18">
        <v>37.041499999999999</v>
      </c>
      <c r="M27" s="18">
        <v>38.2211</v>
      </c>
      <c r="N27" s="18">
        <v>182.28219999999999</v>
      </c>
      <c r="O27" s="18">
        <f t="shared" si="1"/>
        <v>32.80715</v>
      </c>
      <c r="P27" s="7"/>
      <c r="Q27" s="10"/>
      <c r="R27" s="11"/>
      <c r="S27" s="11"/>
      <c r="T27" s="26"/>
      <c r="U27" s="28">
        <f t="shared" si="2"/>
        <v>0.27779822199999987</v>
      </c>
    </row>
    <row r="28" spans="1:21" ht="16.5" thickBot="1" x14ac:dyDescent="0.3">
      <c r="B28" s="12"/>
      <c r="C28" s="19">
        <v>577.669921875</v>
      </c>
      <c r="D28" s="20">
        <v>28.8247</v>
      </c>
      <c r="E28" s="20">
        <v>36.219499999999996</v>
      </c>
      <c r="F28" s="20">
        <v>36.830800000000004</v>
      </c>
      <c r="G28" s="20">
        <v>147.3187978786093</v>
      </c>
      <c r="H28" s="20">
        <f t="shared" si="0"/>
        <v>30.749812499999997</v>
      </c>
      <c r="I28" s="5"/>
      <c r="J28" s="19">
        <v>594.78560000000004</v>
      </c>
      <c r="K28" s="20">
        <v>29.4267</v>
      </c>
      <c r="L28" s="20">
        <v>36.348999999999997</v>
      </c>
      <c r="M28" s="20">
        <v>37.092799999999997</v>
      </c>
      <c r="N28" s="20">
        <v>219.01009999999999</v>
      </c>
      <c r="O28" s="20">
        <f t="shared" si="1"/>
        <v>31.250250000000001</v>
      </c>
      <c r="P28" s="7"/>
      <c r="Q28" s="13"/>
      <c r="R28" s="14"/>
      <c r="S28" s="14"/>
      <c r="T28" s="27"/>
      <c r="U28" s="28">
        <f t="shared" si="2"/>
        <v>0.48664055880000007</v>
      </c>
    </row>
    <row r="29" spans="1:21" x14ac:dyDescent="0.25">
      <c r="B29" s="6" t="s">
        <v>51</v>
      </c>
      <c r="C29" s="29">
        <v>2296.3505859375</v>
      </c>
      <c r="D29" s="30">
        <v>34.024099999999997</v>
      </c>
      <c r="E29" s="30">
        <v>40.217199999999998</v>
      </c>
      <c r="F29" s="30">
        <v>39.823700000000002</v>
      </c>
      <c r="G29" s="16">
        <v>79.415501905972036</v>
      </c>
      <c r="H29" s="16">
        <f t="shared" si="0"/>
        <v>35.523187499999992</v>
      </c>
      <c r="I29" s="5"/>
      <c r="J29" s="29">
        <v>2415.5992000000001</v>
      </c>
      <c r="K29" s="30">
        <v>33.9895</v>
      </c>
      <c r="L29" s="30">
        <v>40.2468</v>
      </c>
      <c r="M29" s="30">
        <v>39.842500000000001</v>
      </c>
      <c r="N29" s="16">
        <v>99.920100000000005</v>
      </c>
      <c r="O29" s="16">
        <f t="shared" si="1"/>
        <v>35.503287499999999</v>
      </c>
      <c r="P29" s="7"/>
      <c r="Q29" s="8">
        <f>bdrate(C29:C32,D29:D32,J29:J32,K29:K32)</f>
        <v>2.9123604358640698E-2</v>
      </c>
      <c r="R29" s="8">
        <f>bdrate(C29:C32,E29:E32,J29:J32,L29:L32)</f>
        <v>7.1420791598630018E-2</v>
      </c>
      <c r="S29" s="8">
        <f>bdrate(C29:C32,F29:F32,J29:J32,M29:M32)</f>
        <v>8.8799688015404055E-3</v>
      </c>
      <c r="T29" s="25">
        <f>bdrate(C29:C32,H29:H32,J29:J32,O29:O32)</f>
        <v>3.0617004158334238E-2</v>
      </c>
      <c r="U29" s="28">
        <f t="shared" si="2"/>
        <v>0.25819389920000024</v>
      </c>
    </row>
    <row r="30" spans="1:21" x14ac:dyDescent="0.25">
      <c r="B30" s="9"/>
      <c r="C30" s="31">
        <v>1529.2265625</v>
      </c>
      <c r="D30" s="32">
        <v>32.523299999999999</v>
      </c>
      <c r="E30" s="32">
        <v>39.479700000000001</v>
      </c>
      <c r="F30" s="32">
        <v>38.791499999999999</v>
      </c>
      <c r="G30" s="18">
        <v>112.15791834903544</v>
      </c>
      <c r="H30" s="18">
        <f t="shared" si="0"/>
        <v>34.176375</v>
      </c>
      <c r="I30" s="5"/>
      <c r="J30" s="31">
        <v>1607.376</v>
      </c>
      <c r="K30" s="32">
        <v>32.585999999999999</v>
      </c>
      <c r="L30" s="32">
        <v>39.498800000000003</v>
      </c>
      <c r="M30" s="32">
        <v>38.874099999999999</v>
      </c>
      <c r="N30" s="18">
        <v>131.85650000000001</v>
      </c>
      <c r="O30" s="18">
        <f t="shared" si="1"/>
        <v>34.236112499999997</v>
      </c>
      <c r="P30" s="7"/>
      <c r="Q30" s="10"/>
      <c r="R30" s="11"/>
      <c r="S30" s="11"/>
      <c r="T30" s="26"/>
      <c r="U30" s="28">
        <f t="shared" si="2"/>
        <v>0.17563255400000011</v>
      </c>
    </row>
    <row r="31" spans="1:21" x14ac:dyDescent="0.25">
      <c r="B31" s="9"/>
      <c r="C31" s="31">
        <v>955.12109375</v>
      </c>
      <c r="D31" s="32">
        <v>30.737300000000001</v>
      </c>
      <c r="E31" s="32">
        <v>38.533999999999999</v>
      </c>
      <c r="F31" s="32">
        <v>37.4955</v>
      </c>
      <c r="G31" s="18">
        <v>121.32977432661974</v>
      </c>
      <c r="H31" s="18">
        <f t="shared" si="0"/>
        <v>32.556662500000002</v>
      </c>
      <c r="I31" s="5"/>
      <c r="J31" s="31">
        <v>999.61919999999998</v>
      </c>
      <c r="K31" s="32">
        <v>30.799199999999999</v>
      </c>
      <c r="L31" s="32">
        <v>38.457799999999999</v>
      </c>
      <c r="M31" s="32">
        <v>37.622799999999998</v>
      </c>
      <c r="N31" s="18">
        <v>159.08369999999999</v>
      </c>
      <c r="O31" s="18">
        <f t="shared" si="1"/>
        <v>32.609474999999996</v>
      </c>
      <c r="P31" s="7"/>
      <c r="Q31" s="10"/>
      <c r="R31" s="11"/>
      <c r="S31" s="11"/>
      <c r="T31" s="26"/>
      <c r="U31" s="28">
        <f t="shared" si="2"/>
        <v>0.31116785540000008</v>
      </c>
    </row>
    <row r="32" spans="1:21" ht="16.5" thickBot="1" x14ac:dyDescent="0.3">
      <c r="B32" s="12"/>
      <c r="C32" s="33">
        <v>573.96875</v>
      </c>
      <c r="D32" s="34">
        <v>28.715299999999999</v>
      </c>
      <c r="E32" s="34">
        <v>37.025199999999998</v>
      </c>
      <c r="F32" s="34">
        <v>35.732100000000003</v>
      </c>
      <c r="G32" s="20">
        <v>137.85497656465398</v>
      </c>
      <c r="H32" s="20">
        <f t="shared" si="0"/>
        <v>30.631137500000001</v>
      </c>
      <c r="I32" s="5"/>
      <c r="J32" s="33">
        <v>599.17280000000005</v>
      </c>
      <c r="K32" s="34">
        <v>28.914899999999999</v>
      </c>
      <c r="L32" s="34">
        <v>36.764499999999998</v>
      </c>
      <c r="M32" s="34">
        <v>35.930799999999998</v>
      </c>
      <c r="N32" s="20">
        <v>189.96960000000001</v>
      </c>
      <c r="O32" s="20">
        <f t="shared" si="1"/>
        <v>30.773087499999999</v>
      </c>
      <c r="P32" s="7"/>
      <c r="Q32" s="13"/>
      <c r="R32" s="14"/>
      <c r="S32" s="14"/>
      <c r="T32" s="27"/>
      <c r="U32" s="28">
        <f t="shared" si="2"/>
        <v>0.37803947840000013</v>
      </c>
    </row>
    <row r="33" spans="1:21" x14ac:dyDescent="0.25">
      <c r="B33" s="6" t="s">
        <v>52</v>
      </c>
      <c r="C33" s="15">
        <v>2319.078125</v>
      </c>
      <c r="D33" s="16">
        <v>33.500900000000001</v>
      </c>
      <c r="E33" s="16">
        <v>39.625300000000003</v>
      </c>
      <c r="F33" s="16">
        <v>42.035699999999999</v>
      </c>
      <c r="G33" s="16">
        <v>86.667629640329338</v>
      </c>
      <c r="H33" s="16">
        <f t="shared" si="0"/>
        <v>35.333300000000001</v>
      </c>
      <c r="I33" s="5"/>
      <c r="J33" s="15">
        <v>2420.8503999999998</v>
      </c>
      <c r="K33" s="16">
        <v>33.574300000000001</v>
      </c>
      <c r="L33" s="16">
        <v>39.725900000000003</v>
      </c>
      <c r="M33" s="16">
        <v>42.195</v>
      </c>
      <c r="N33" s="16">
        <v>100.6711</v>
      </c>
      <c r="O33" s="16">
        <f t="shared" si="1"/>
        <v>35.420837500000005</v>
      </c>
      <c r="P33" s="7"/>
      <c r="Q33" s="8">
        <f>bdrate(C33:C36,D33:D36,J33:J36,K33:K36)</f>
        <v>-3.7032537314945047E-2</v>
      </c>
      <c r="R33" s="8">
        <f>bdrate(C33:C36,E33:E36,J33:J36,L33:L36)</f>
        <v>1.8782908830641487E-2</v>
      </c>
      <c r="S33" s="8">
        <f>bdrate(C33:C36,F33:F36,J33:J36,M33:M36)</f>
        <v>9.7347449761233662E-3</v>
      </c>
      <c r="T33" s="25">
        <f>bdrate(C33:C36,H33:H36,J33:J36,O33:O36)</f>
        <v>-3.0988714737843703E-2</v>
      </c>
      <c r="U33" s="28">
        <f t="shared" si="2"/>
        <v>0.16157670883333328</v>
      </c>
    </row>
    <row r="34" spans="1:21" x14ac:dyDescent="0.25">
      <c r="B34" s="9"/>
      <c r="C34" s="17">
        <v>1536.4267578125</v>
      </c>
      <c r="D34" s="18">
        <v>32.718000000000004</v>
      </c>
      <c r="E34" s="18">
        <v>39.182000000000002</v>
      </c>
      <c r="F34" s="18">
        <v>41.625</v>
      </c>
      <c r="G34" s="18">
        <v>123.68583797155226</v>
      </c>
      <c r="H34" s="18">
        <f t="shared" si="0"/>
        <v>34.639375000000001</v>
      </c>
      <c r="I34" s="5"/>
      <c r="J34" s="17">
        <v>1600.9839999999999</v>
      </c>
      <c r="K34" s="18">
        <v>32.839599999999997</v>
      </c>
      <c r="L34" s="18">
        <v>39.243899999999996</v>
      </c>
      <c r="M34" s="18">
        <v>41.760800000000003</v>
      </c>
      <c r="N34" s="18">
        <v>158.94040000000001</v>
      </c>
      <c r="O34" s="18">
        <f t="shared" si="1"/>
        <v>34.755287500000001</v>
      </c>
      <c r="P34" s="7"/>
      <c r="Q34" s="10"/>
      <c r="R34" s="11"/>
      <c r="S34" s="11"/>
      <c r="T34" s="26"/>
      <c r="U34" s="28">
        <f t="shared" si="2"/>
        <v>0.28503313400000008</v>
      </c>
    </row>
    <row r="35" spans="1:21" x14ac:dyDescent="0.25">
      <c r="B35" s="9"/>
      <c r="C35" s="17">
        <v>955.3603515625</v>
      </c>
      <c r="D35" s="18">
        <v>31.467300000000002</v>
      </c>
      <c r="E35" s="18">
        <v>38.5411</v>
      </c>
      <c r="F35" s="18">
        <v>41.084699999999998</v>
      </c>
      <c r="G35" s="18">
        <v>134.7103726986978</v>
      </c>
      <c r="H35" s="18">
        <f t="shared" si="0"/>
        <v>33.553700000000006</v>
      </c>
      <c r="I35" s="5"/>
      <c r="J35" s="17">
        <v>1016.2352</v>
      </c>
      <c r="K35" s="18">
        <v>31.7423</v>
      </c>
      <c r="L35" s="18">
        <v>38.567300000000003</v>
      </c>
      <c r="M35" s="18">
        <v>41.069600000000001</v>
      </c>
      <c r="N35" s="18">
        <v>182.64840000000001</v>
      </c>
      <c r="O35" s="18">
        <f t="shared" si="1"/>
        <v>33.761337499999996</v>
      </c>
      <c r="P35" s="7"/>
      <c r="Q35" s="10"/>
      <c r="R35" s="11"/>
      <c r="S35" s="11"/>
      <c r="T35" s="26"/>
      <c r="U35" s="28">
        <f t="shared" si="2"/>
        <v>0.35585995600000009</v>
      </c>
    </row>
    <row r="36" spans="1:21" ht="16.5" thickBot="1" x14ac:dyDescent="0.3">
      <c r="B36" s="12"/>
      <c r="C36" s="19">
        <v>573.6943359375</v>
      </c>
      <c r="D36" s="20">
        <v>29.7821</v>
      </c>
      <c r="E36" s="20">
        <v>38.049500000000002</v>
      </c>
      <c r="F36" s="20">
        <v>40.638500000000001</v>
      </c>
      <c r="G36" s="20">
        <v>147.38393515106856</v>
      </c>
      <c r="H36" s="20">
        <f t="shared" si="0"/>
        <v>32.172575000000002</v>
      </c>
      <c r="I36" s="5"/>
      <c r="J36" s="19">
        <v>591.97680000000003</v>
      </c>
      <c r="K36" s="20">
        <v>30.2319</v>
      </c>
      <c r="L36" s="20">
        <v>38.012900000000002</v>
      </c>
      <c r="M36" s="20">
        <v>40.5623</v>
      </c>
      <c r="N36" s="20">
        <v>210.82220000000001</v>
      </c>
      <c r="O36" s="20">
        <f t="shared" si="1"/>
        <v>32.495825000000004</v>
      </c>
      <c r="P36" s="7"/>
      <c r="Q36" s="13"/>
      <c r="R36" s="14"/>
      <c r="S36" s="14"/>
      <c r="T36" s="27"/>
      <c r="U36" s="28">
        <f t="shared" si="2"/>
        <v>0.43042862699999984</v>
      </c>
    </row>
    <row r="37" spans="1:21" x14ac:dyDescent="0.25">
      <c r="A37" s="6" t="s">
        <v>39</v>
      </c>
      <c r="B37" s="6" t="s">
        <v>53</v>
      </c>
      <c r="C37" s="15">
        <v>1154.859375</v>
      </c>
      <c r="D37" s="16">
        <v>34.786900000000003</v>
      </c>
      <c r="E37" s="16">
        <v>38.6633</v>
      </c>
      <c r="F37" s="16">
        <v>38.4512</v>
      </c>
      <c r="G37" s="16">
        <v>234.96240601503757</v>
      </c>
      <c r="H37" s="16">
        <f t="shared" si="0"/>
        <v>35.729487500000005</v>
      </c>
      <c r="I37" s="5"/>
      <c r="J37" s="15">
        <v>1206.5527999999999</v>
      </c>
      <c r="K37" s="16">
        <v>34.956200000000003</v>
      </c>
      <c r="L37" s="16">
        <v>38.950200000000002</v>
      </c>
      <c r="M37" s="16">
        <v>38.798200000000001</v>
      </c>
      <c r="N37" s="16">
        <v>415.2824</v>
      </c>
      <c r="O37" s="16">
        <f t="shared" si="1"/>
        <v>35.935700000000004</v>
      </c>
      <c r="P37" s="7"/>
      <c r="Q37" s="8">
        <f>bdrate(C37:C40,D37:D40,J37:J40,K37:K40)</f>
        <v>-5.582877612059034E-2</v>
      </c>
      <c r="R37" s="8">
        <f>bdrate(C37:C40,E37:E40,J37:J40,L37:L40)</f>
        <v>-3.857790251624249E-2</v>
      </c>
      <c r="S37" s="8">
        <f>bdrate(C37:C40,F37:F40,J37:J40,M37:M40)</f>
        <v>-5.2382151925251974E-2</v>
      </c>
      <c r="T37" s="25">
        <f>bdrate(C37:C40,H37:H40,J37:J40,O37:O40)</f>
        <v>-5.4204790901273725E-2</v>
      </c>
      <c r="U37" s="28">
        <f t="shared" si="2"/>
        <v>0.7674418944000001</v>
      </c>
    </row>
    <row r="38" spans="1:21" x14ac:dyDescent="0.25">
      <c r="A38" s="9" t="s">
        <v>40</v>
      </c>
      <c r="B38" s="9"/>
      <c r="C38" s="17">
        <v>769.4033203125</v>
      </c>
      <c r="D38" s="18">
        <v>33.098199999999999</v>
      </c>
      <c r="E38" s="18">
        <v>37.614899999999999</v>
      </c>
      <c r="F38" s="18">
        <v>37.263300000000001</v>
      </c>
      <c r="G38" s="18">
        <v>305.99755201958385</v>
      </c>
      <c r="H38" s="18">
        <f t="shared" si="0"/>
        <v>34.183425</v>
      </c>
      <c r="I38" s="5"/>
      <c r="J38" s="17">
        <v>803.37360000000001</v>
      </c>
      <c r="K38" s="18">
        <v>33.412599999999998</v>
      </c>
      <c r="L38" s="18">
        <v>37.778799999999997</v>
      </c>
      <c r="M38" s="18">
        <v>37.517499999999998</v>
      </c>
      <c r="N38" s="18">
        <v>481.23200000000003</v>
      </c>
      <c r="O38" s="18">
        <f t="shared" si="1"/>
        <v>34.471487499999995</v>
      </c>
      <c r="P38" s="7"/>
      <c r="Q38" s="10"/>
      <c r="R38" s="11"/>
      <c r="S38" s="11"/>
      <c r="T38" s="26"/>
      <c r="U38" s="28">
        <f t="shared" si="2"/>
        <v>0.57266617600000003</v>
      </c>
    </row>
    <row r="39" spans="1:21" x14ac:dyDescent="0.25">
      <c r="B39" s="9"/>
      <c r="C39" s="17">
        <v>480.7216796875</v>
      </c>
      <c r="D39" s="18">
        <v>31.103100000000001</v>
      </c>
      <c r="E39" s="18">
        <v>36.302100000000003</v>
      </c>
      <c r="F39" s="18">
        <v>35.783700000000003</v>
      </c>
      <c r="G39" s="18">
        <v>407.49796251018739</v>
      </c>
      <c r="H39" s="18">
        <f t="shared" si="0"/>
        <v>32.338050000000003</v>
      </c>
      <c r="I39" s="5"/>
      <c r="J39" s="17">
        <v>501.64159999999998</v>
      </c>
      <c r="K39" s="18">
        <v>31.603300000000001</v>
      </c>
      <c r="L39" s="18">
        <v>36.554000000000002</v>
      </c>
      <c r="M39" s="18">
        <v>36.0869</v>
      </c>
      <c r="N39" s="18">
        <v>573.39449999999999</v>
      </c>
      <c r="O39" s="18">
        <f t="shared" si="1"/>
        <v>32.782587499999998</v>
      </c>
      <c r="P39" s="7"/>
      <c r="Q39" s="10"/>
      <c r="R39" s="11"/>
      <c r="S39" s="11"/>
      <c r="T39" s="26"/>
      <c r="U39" s="28">
        <f t="shared" si="2"/>
        <v>0.40711010300000017</v>
      </c>
    </row>
    <row r="40" spans="1:21" ht="16.5" thickBot="1" x14ac:dyDescent="0.3">
      <c r="B40" s="12"/>
      <c r="C40" s="19">
        <v>288.7939453125</v>
      </c>
      <c r="D40" s="20">
        <v>29.160799999999998</v>
      </c>
      <c r="E40" s="20">
        <v>35.025399999999998</v>
      </c>
      <c r="F40" s="20">
        <v>34.383299999999998</v>
      </c>
      <c r="G40" s="20">
        <v>504.54086781029264</v>
      </c>
      <c r="H40" s="20">
        <f t="shared" si="0"/>
        <v>30.546687499999997</v>
      </c>
      <c r="I40" s="5"/>
      <c r="J40" s="19">
        <v>302.58</v>
      </c>
      <c r="K40" s="20">
        <v>29.660399999999999</v>
      </c>
      <c r="L40" s="20">
        <v>35.251300000000001</v>
      </c>
      <c r="M40" s="20">
        <v>34.683300000000003</v>
      </c>
      <c r="N40" s="20">
        <v>697.3501</v>
      </c>
      <c r="O40" s="20">
        <f t="shared" si="1"/>
        <v>30.987125000000002</v>
      </c>
      <c r="P40" s="7"/>
      <c r="Q40" s="13"/>
      <c r="R40" s="14"/>
      <c r="S40" s="14"/>
      <c r="T40" s="27"/>
      <c r="U40" s="28">
        <f t="shared" si="2"/>
        <v>0.3821478982</v>
      </c>
    </row>
    <row r="41" spans="1:21" x14ac:dyDescent="0.25">
      <c r="B41" s="6" t="s">
        <v>54</v>
      </c>
      <c r="C41" s="15">
        <v>1203.3740234375</v>
      </c>
      <c r="D41" s="16">
        <v>35.0901</v>
      </c>
      <c r="E41" s="16">
        <v>40.210299999999997</v>
      </c>
      <c r="F41" s="16">
        <v>41.058599999999998</v>
      </c>
      <c r="G41" s="16">
        <v>270.51397655545537</v>
      </c>
      <c r="H41" s="16">
        <f t="shared" si="0"/>
        <v>36.476187499999995</v>
      </c>
      <c r="I41" s="5"/>
      <c r="J41" s="15">
        <v>1234.1856</v>
      </c>
      <c r="K41" s="16">
        <v>35.164400000000001</v>
      </c>
      <c r="L41" s="16">
        <v>40.432699999999997</v>
      </c>
      <c r="M41" s="16">
        <v>41.281799999999997</v>
      </c>
      <c r="N41" s="16">
        <v>384.61540000000002</v>
      </c>
      <c r="O41" s="16">
        <f t="shared" si="1"/>
        <v>36.587612499999999</v>
      </c>
      <c r="P41" s="7"/>
      <c r="Q41" s="8">
        <f>bdrate(C41:C44,D41:D44,J41:J44,K41:K44)</f>
        <v>-5.8190561806174212E-2</v>
      </c>
      <c r="R41" s="8">
        <f>bdrate(C41:C44,E41:E44,J41:J44,L41:L44)</f>
        <v>-0.11344214501573335</v>
      </c>
      <c r="S41" s="8">
        <f>bdrate(C41:C44,F41:F44,J41:J44,M41:M44)</f>
        <v>-8.0191283894296639E-2</v>
      </c>
      <c r="T41" s="25">
        <f>bdrate(C41:C44,H41:H44,J41:J44,O41:O44)</f>
        <v>-6.4425323730870621E-2</v>
      </c>
      <c r="U41" s="28">
        <f t="shared" si="2"/>
        <v>0.42179492866666674</v>
      </c>
    </row>
    <row r="42" spans="1:21" x14ac:dyDescent="0.25">
      <c r="B42" s="9"/>
      <c r="C42" s="17">
        <v>803.1669921875</v>
      </c>
      <c r="D42" s="18">
        <v>33.314599999999999</v>
      </c>
      <c r="E42" s="18">
        <v>39.159500000000001</v>
      </c>
      <c r="F42" s="18">
        <v>39.919400000000003</v>
      </c>
      <c r="G42" s="18">
        <v>376.1755485893417</v>
      </c>
      <c r="H42" s="18">
        <f t="shared" si="0"/>
        <v>34.8708125</v>
      </c>
      <c r="I42" s="5"/>
      <c r="J42" s="17">
        <v>820.46</v>
      </c>
      <c r="K42" s="18">
        <v>33.591000000000001</v>
      </c>
      <c r="L42" s="18">
        <v>39.5032</v>
      </c>
      <c r="M42" s="18">
        <v>40.209000000000003</v>
      </c>
      <c r="N42" s="18">
        <v>451.80720000000002</v>
      </c>
      <c r="O42" s="18">
        <f t="shared" si="1"/>
        <v>35.157274999999998</v>
      </c>
      <c r="P42" s="7"/>
      <c r="Q42" s="10"/>
      <c r="R42" s="11"/>
      <c r="S42" s="11"/>
      <c r="T42" s="26"/>
      <c r="U42" s="28">
        <f t="shared" si="2"/>
        <v>0.20105414000000002</v>
      </c>
    </row>
    <row r="43" spans="1:21" x14ac:dyDescent="0.25">
      <c r="B43" s="9"/>
      <c r="C43" s="17">
        <v>502.2822265625</v>
      </c>
      <c r="D43" s="18">
        <v>31.2483</v>
      </c>
      <c r="E43" s="18">
        <v>38.1083</v>
      </c>
      <c r="F43" s="18">
        <v>38.745199999999997</v>
      </c>
      <c r="G43" s="18">
        <v>463.32046332046332</v>
      </c>
      <c r="H43" s="18">
        <f t="shared" si="0"/>
        <v>33.0429125</v>
      </c>
      <c r="I43" s="5"/>
      <c r="J43" s="17">
        <v>512.31679999999994</v>
      </c>
      <c r="K43" s="18">
        <v>31.681000000000001</v>
      </c>
      <c r="L43" s="18">
        <v>38.444499999999998</v>
      </c>
      <c r="M43" s="18">
        <v>39.018900000000002</v>
      </c>
      <c r="N43" s="18">
        <v>530.03530000000001</v>
      </c>
      <c r="O43" s="18">
        <f t="shared" si="1"/>
        <v>33.443674999999999</v>
      </c>
      <c r="P43" s="7"/>
      <c r="Q43" s="10"/>
      <c r="R43" s="11"/>
      <c r="S43" s="11"/>
      <c r="T43" s="26"/>
      <c r="U43" s="28">
        <f t="shared" si="2"/>
        <v>0.14399285583333335</v>
      </c>
    </row>
    <row r="44" spans="1:21" ht="16.5" thickBot="1" x14ac:dyDescent="0.3">
      <c r="B44" s="12"/>
      <c r="C44" s="19">
        <v>301.619140625</v>
      </c>
      <c r="D44" s="20">
        <v>29.146100000000001</v>
      </c>
      <c r="E44" s="20">
        <v>37.1342</v>
      </c>
      <c r="F44" s="20">
        <v>37.638500000000001</v>
      </c>
      <c r="G44" s="20">
        <v>519.03114186851212</v>
      </c>
      <c r="H44" s="20">
        <f t="shared" si="0"/>
        <v>31.206162499999998</v>
      </c>
      <c r="I44" s="5"/>
      <c r="J44" s="19">
        <v>307.92239999999998</v>
      </c>
      <c r="K44" s="20">
        <v>29.566600000000001</v>
      </c>
      <c r="L44" s="20">
        <v>37.345100000000002</v>
      </c>
      <c r="M44" s="20">
        <v>37.795499999999997</v>
      </c>
      <c r="N44" s="20">
        <v>672.64570000000003</v>
      </c>
      <c r="O44" s="20">
        <f t="shared" si="1"/>
        <v>31.567525000000003</v>
      </c>
      <c r="P44" s="7"/>
      <c r="Q44" s="13"/>
      <c r="R44" s="14"/>
      <c r="S44" s="14"/>
      <c r="T44" s="27"/>
      <c r="U44" s="28">
        <f t="shared" si="2"/>
        <v>0.2959640486666667</v>
      </c>
    </row>
    <row r="45" spans="1:21" x14ac:dyDescent="0.25">
      <c r="B45" s="6" t="s">
        <v>55</v>
      </c>
      <c r="C45" s="15">
        <v>1183.5654296875</v>
      </c>
      <c r="D45" s="16">
        <v>30.094200000000001</v>
      </c>
      <c r="E45" s="16">
        <v>36.2821</v>
      </c>
      <c r="F45" s="16">
        <v>37.010599999999997</v>
      </c>
      <c r="G45" s="16">
        <v>232.55813953488374</v>
      </c>
      <c r="H45" s="16">
        <f t="shared" si="0"/>
        <v>31.732237500000004</v>
      </c>
      <c r="I45" s="5"/>
      <c r="J45" s="15">
        <v>1211.54</v>
      </c>
      <c r="K45" s="16">
        <v>30.2881</v>
      </c>
      <c r="L45" s="16">
        <v>36.677100000000003</v>
      </c>
      <c r="M45" s="16">
        <v>37.448900000000002</v>
      </c>
      <c r="N45" s="16">
        <v>358.68009999999998</v>
      </c>
      <c r="O45" s="16">
        <f t="shared" si="1"/>
        <v>31.981825000000001</v>
      </c>
      <c r="P45" s="7"/>
      <c r="Q45" s="8">
        <f>bdrate(C45:C48,D45:D48,J45:J48,K45:K48)</f>
        <v>-0.10618672979710186</v>
      </c>
      <c r="R45" s="8">
        <f>bdrate(C45:C48,E45:E48,J45:J48,L45:L48)</f>
        <v>-0.15008292748377094</v>
      </c>
      <c r="S45" s="8">
        <f>bdrate(C45:C48,F45:F48,J45:J48,M45:M48)</f>
        <v>-0.16673367536505623</v>
      </c>
      <c r="T45" s="25">
        <f>bdrate(C45:C48,H45:H48,J45:J48,O45:O48)</f>
        <v>-0.11522466542684928</v>
      </c>
      <c r="U45" s="28">
        <f t="shared" si="2"/>
        <v>0.54232442999999986</v>
      </c>
    </row>
    <row r="46" spans="1:21" x14ac:dyDescent="0.25">
      <c r="B46" s="9"/>
      <c r="C46" s="17">
        <v>782.6728515625</v>
      </c>
      <c r="D46" s="18">
        <v>28.5319</v>
      </c>
      <c r="E46" s="18">
        <v>35.499200000000002</v>
      </c>
      <c r="F46" s="18">
        <v>36.215200000000003</v>
      </c>
      <c r="G46" s="18">
        <v>301.93236714975848</v>
      </c>
      <c r="H46" s="18">
        <f t="shared" si="0"/>
        <v>30.363225</v>
      </c>
      <c r="I46" s="5"/>
      <c r="J46" s="17">
        <v>808.25360000000001</v>
      </c>
      <c r="K46" s="18">
        <v>28.933599999999998</v>
      </c>
      <c r="L46" s="18">
        <v>35.860399999999998</v>
      </c>
      <c r="M46" s="18">
        <v>36.641399999999997</v>
      </c>
      <c r="N46" s="18">
        <v>423.01179999999999</v>
      </c>
      <c r="O46" s="18">
        <f t="shared" si="1"/>
        <v>30.762924999999999</v>
      </c>
      <c r="P46" s="7"/>
      <c r="Q46" s="10"/>
      <c r="R46" s="11"/>
      <c r="S46" s="11"/>
      <c r="T46" s="26"/>
      <c r="U46" s="28">
        <f t="shared" si="2"/>
        <v>0.40101508159999988</v>
      </c>
    </row>
    <row r="47" spans="1:21" x14ac:dyDescent="0.25">
      <c r="B47" s="9"/>
      <c r="C47" s="17">
        <v>497.37890625</v>
      </c>
      <c r="D47" s="18">
        <v>26.8782</v>
      </c>
      <c r="E47" s="18">
        <v>34.656599999999997</v>
      </c>
      <c r="F47" s="18">
        <v>35.377099999999999</v>
      </c>
      <c r="G47" s="18">
        <v>379.93920972644378</v>
      </c>
      <c r="H47" s="18">
        <f t="shared" si="0"/>
        <v>28.912862500000003</v>
      </c>
      <c r="I47" s="5"/>
      <c r="J47" s="17">
        <v>508.4</v>
      </c>
      <c r="K47" s="18">
        <v>27.441199999999998</v>
      </c>
      <c r="L47" s="18">
        <v>35.005800000000001</v>
      </c>
      <c r="M47" s="18">
        <v>35.755600000000001</v>
      </c>
      <c r="N47" s="18">
        <v>509.16500000000002</v>
      </c>
      <c r="O47" s="18">
        <f t="shared" si="1"/>
        <v>29.426074999999997</v>
      </c>
      <c r="P47" s="7"/>
      <c r="Q47" s="10"/>
      <c r="R47" s="11"/>
      <c r="S47" s="11"/>
      <c r="T47" s="26"/>
      <c r="U47" s="28">
        <f t="shared" si="2"/>
        <v>0.34012228</v>
      </c>
    </row>
    <row r="48" spans="1:21" ht="16.5" thickBot="1" x14ac:dyDescent="0.3">
      <c r="B48" s="12"/>
      <c r="C48" s="19">
        <v>297.640625</v>
      </c>
      <c r="D48" s="20">
        <v>25.255299999999998</v>
      </c>
      <c r="E48" s="20">
        <v>33.981699999999996</v>
      </c>
      <c r="F48" s="20">
        <v>34.665199999999999</v>
      </c>
      <c r="G48" s="20">
        <v>438.21209465381241</v>
      </c>
      <c r="H48" s="20">
        <f t="shared" si="0"/>
        <v>27.522337499999995</v>
      </c>
      <c r="I48" s="5"/>
      <c r="J48" s="19">
        <v>305.37759999999997</v>
      </c>
      <c r="K48" s="20">
        <v>25.863499999999998</v>
      </c>
      <c r="L48" s="20">
        <v>34.136699999999998</v>
      </c>
      <c r="M48" s="20">
        <v>34.845399999999998</v>
      </c>
      <c r="N48" s="20">
        <v>615.76350000000002</v>
      </c>
      <c r="O48" s="20">
        <f t="shared" si="1"/>
        <v>28.020387499999998</v>
      </c>
      <c r="P48" s="7"/>
      <c r="Q48" s="13"/>
      <c r="R48" s="14"/>
      <c r="S48" s="14"/>
      <c r="T48" s="27"/>
      <c r="U48" s="28">
        <f t="shared" si="2"/>
        <v>0.40517230700000018</v>
      </c>
    </row>
    <row r="49" spans="1:21" x14ac:dyDescent="0.25">
      <c r="B49" s="6" t="s">
        <v>56</v>
      </c>
      <c r="C49" s="15">
        <v>1144.103515625</v>
      </c>
      <c r="D49" s="16">
        <v>32.784700000000001</v>
      </c>
      <c r="E49" s="16">
        <v>36.922499999999999</v>
      </c>
      <c r="F49" s="16">
        <v>38.481699999999996</v>
      </c>
      <c r="G49" s="16">
        <v>186.79950186799502</v>
      </c>
      <c r="H49" s="16">
        <f t="shared" si="0"/>
        <v>34.014049999999997</v>
      </c>
      <c r="I49" s="5"/>
      <c r="J49" s="15">
        <v>1204.2103999999999</v>
      </c>
      <c r="K49" s="16">
        <v>32.344799999999999</v>
      </c>
      <c r="L49" s="16">
        <v>36.831299999999999</v>
      </c>
      <c r="M49" s="16">
        <v>38.380099999999999</v>
      </c>
      <c r="N49" s="16">
        <v>287.6318</v>
      </c>
      <c r="O49" s="16">
        <f t="shared" si="1"/>
        <v>33.660025000000005</v>
      </c>
      <c r="P49" s="7"/>
      <c r="Q49" s="8">
        <f>bdrate(C49:C52,D49:D52,J49:J52,K49:K52)</f>
        <v>0.12835028859450048</v>
      </c>
      <c r="R49" s="8">
        <f>bdrate(C49:C52,E49:E52,J49:J52,L49:L52)</f>
        <v>7.0065846176058821E-2</v>
      </c>
      <c r="S49" s="8">
        <f>bdrate(C49:C52,F49:F52,J49:J52,M49:M52)</f>
        <v>7.3938178754024309E-2</v>
      </c>
      <c r="T49" s="25">
        <f>bdrate(C49:C52,H49:H52,J49:J52,O49:O52)</f>
        <v>0.1191696398679587</v>
      </c>
      <c r="U49" s="28">
        <f t="shared" si="2"/>
        <v>0.53978890266666668</v>
      </c>
    </row>
    <row r="50" spans="1:21" x14ac:dyDescent="0.25">
      <c r="B50" s="9"/>
      <c r="C50" s="17">
        <v>764.11328125</v>
      </c>
      <c r="D50" s="18">
        <v>31.145499999999998</v>
      </c>
      <c r="E50" s="18">
        <v>36.048999999999999</v>
      </c>
      <c r="F50" s="18">
        <v>37.6175</v>
      </c>
      <c r="G50" s="18">
        <v>247.72914946325349</v>
      </c>
      <c r="H50" s="18">
        <f t="shared" si="0"/>
        <v>32.567437499999997</v>
      </c>
      <c r="I50" s="5"/>
      <c r="J50" s="17">
        <v>801.10559999999998</v>
      </c>
      <c r="K50" s="18">
        <v>30.7973</v>
      </c>
      <c r="L50" s="18">
        <v>35.942</v>
      </c>
      <c r="M50" s="18">
        <v>37.476500000000001</v>
      </c>
      <c r="N50" s="18">
        <v>330.76069999999999</v>
      </c>
      <c r="O50" s="18">
        <f t="shared" si="1"/>
        <v>32.275287499999997</v>
      </c>
      <c r="P50" s="7"/>
      <c r="Q50" s="10"/>
      <c r="R50" s="11"/>
      <c r="S50" s="11"/>
      <c r="T50" s="26"/>
      <c r="U50" s="28">
        <f t="shared" si="2"/>
        <v>0.33517069233333335</v>
      </c>
    </row>
    <row r="51" spans="1:21" x14ac:dyDescent="0.25">
      <c r="B51" s="9"/>
      <c r="C51" s="17">
        <v>487.0693359375</v>
      </c>
      <c r="D51" s="18">
        <v>29.4223</v>
      </c>
      <c r="E51" s="18">
        <v>35.076599999999999</v>
      </c>
      <c r="F51" s="18">
        <v>36.597999999999999</v>
      </c>
      <c r="G51" s="18">
        <v>337.07865168539325</v>
      </c>
      <c r="H51" s="18">
        <f t="shared" si="0"/>
        <v>31.026049999999998</v>
      </c>
      <c r="I51" s="5"/>
      <c r="J51" s="17">
        <v>500.72559999999999</v>
      </c>
      <c r="K51" s="18">
        <v>29.137799999999999</v>
      </c>
      <c r="L51" s="18">
        <v>35.026400000000002</v>
      </c>
      <c r="M51" s="18">
        <v>36.540500000000002</v>
      </c>
      <c r="N51" s="18">
        <v>396.8254</v>
      </c>
      <c r="O51" s="18">
        <f t="shared" si="1"/>
        <v>30.799212499999999</v>
      </c>
      <c r="P51" s="7"/>
      <c r="Q51" s="10"/>
      <c r="R51" s="11"/>
      <c r="S51" s="11"/>
      <c r="T51" s="26"/>
      <c r="U51" s="28">
        <f t="shared" si="2"/>
        <v>0.17724868666666668</v>
      </c>
    </row>
    <row r="52" spans="1:21" ht="16.5" thickBot="1" x14ac:dyDescent="0.3">
      <c r="B52" s="12"/>
      <c r="C52" s="19">
        <v>300.0771484375</v>
      </c>
      <c r="D52" s="20">
        <v>27.738299999999999</v>
      </c>
      <c r="E52" s="20">
        <v>34.113199999999999</v>
      </c>
      <c r="F52" s="20">
        <v>35.523400000000002</v>
      </c>
      <c r="G52" s="20">
        <v>408.16326530612247</v>
      </c>
      <c r="H52" s="20">
        <f t="shared" si="0"/>
        <v>29.508300000000002</v>
      </c>
      <c r="I52" s="5"/>
      <c r="J52" s="19">
        <v>300.83920000000001</v>
      </c>
      <c r="K52" s="20">
        <v>27.521599999999999</v>
      </c>
      <c r="L52" s="20">
        <v>34.107599999999998</v>
      </c>
      <c r="M52" s="20">
        <v>35.546399999999998</v>
      </c>
      <c r="N52" s="20">
        <v>490.1961</v>
      </c>
      <c r="O52" s="20">
        <f t="shared" si="1"/>
        <v>29.347949999999997</v>
      </c>
      <c r="P52" s="7"/>
      <c r="Q52" s="13"/>
      <c r="R52" s="14"/>
      <c r="S52" s="14"/>
      <c r="T52" s="27"/>
      <c r="U52" s="28">
        <f t="shared" si="2"/>
        <v>0.20098044499999995</v>
      </c>
    </row>
    <row r="53" spans="1:21" x14ac:dyDescent="0.25">
      <c r="A53" s="6" t="s">
        <v>41</v>
      </c>
      <c r="B53" s="6" t="s">
        <v>57</v>
      </c>
      <c r="C53" s="15">
        <v>576.86328125</v>
      </c>
      <c r="D53" s="16">
        <v>34.4801</v>
      </c>
      <c r="E53" s="16">
        <v>39.499899999999997</v>
      </c>
      <c r="F53" s="16">
        <v>38.0627</v>
      </c>
      <c r="G53" s="16">
        <v>588.23529411764707</v>
      </c>
      <c r="H53" s="16">
        <f t="shared" si="0"/>
        <v>35.555399999999999</v>
      </c>
      <c r="I53" s="5"/>
      <c r="J53" s="15">
        <v>601.65120000000002</v>
      </c>
      <c r="K53" s="16">
        <v>34.314599999999999</v>
      </c>
      <c r="L53" s="16">
        <v>39.604599999999998</v>
      </c>
      <c r="M53" s="16">
        <v>38.126300000000001</v>
      </c>
      <c r="N53" s="16">
        <v>841.75080000000003</v>
      </c>
      <c r="O53" s="16">
        <f t="shared" si="1"/>
        <v>35.452312499999998</v>
      </c>
      <c r="P53" s="7"/>
      <c r="Q53" s="8">
        <f>bdrate(C53:C56,D53:D56,J53:J56,K53:K56)</f>
        <v>1.9181279141054386E-2</v>
      </c>
      <c r="R53" s="8">
        <f>bdrate(C53:C56,E53:E56,J53:J56,L53:L56)</f>
        <v>-2.2678453196492754E-2</v>
      </c>
      <c r="S53" s="8">
        <f>bdrate(C53:C56,F53:F56,J53:J56,M53:M56)</f>
        <v>-6.6667148114477603E-3</v>
      </c>
      <c r="T53" s="25">
        <f>bdrate(C53:C56,H53:H56,J53:J56,O53:O56)</f>
        <v>1.3481950046746016E-2</v>
      </c>
      <c r="U53" s="28">
        <f t="shared" si="2"/>
        <v>0.43097636</v>
      </c>
    </row>
    <row r="54" spans="1:21" x14ac:dyDescent="0.25">
      <c r="A54" s="9" t="s">
        <v>42</v>
      </c>
      <c r="B54" s="9"/>
      <c r="C54" s="17">
        <v>394.443359375</v>
      </c>
      <c r="D54" s="18">
        <v>32.641500000000001</v>
      </c>
      <c r="E54" s="18">
        <v>38.3703</v>
      </c>
      <c r="F54" s="18">
        <v>36.839500000000001</v>
      </c>
      <c r="G54" s="18">
        <v>683.99452804377563</v>
      </c>
      <c r="H54" s="18">
        <f t="shared" si="0"/>
        <v>33.882349999999995</v>
      </c>
      <c r="I54" s="5"/>
      <c r="J54" s="17">
        <v>402.37360000000001</v>
      </c>
      <c r="K54" s="18">
        <v>32.524799999999999</v>
      </c>
      <c r="L54" s="18">
        <v>38.434399999999997</v>
      </c>
      <c r="M54" s="18">
        <v>36.832299999999996</v>
      </c>
      <c r="N54" s="18">
        <v>978.47360000000003</v>
      </c>
      <c r="O54" s="18">
        <f t="shared" si="1"/>
        <v>33.801937499999994</v>
      </c>
      <c r="P54" s="7"/>
      <c r="Q54" s="10"/>
      <c r="R54" s="11"/>
      <c r="S54" s="11"/>
      <c r="T54" s="26"/>
      <c r="U54" s="28">
        <f t="shared" si="2"/>
        <v>0.43052840320000008</v>
      </c>
    </row>
    <row r="55" spans="1:21" x14ac:dyDescent="0.25">
      <c r="B55" s="9"/>
      <c r="C55" s="17">
        <v>248.203125</v>
      </c>
      <c r="D55" s="18">
        <v>30.513000000000002</v>
      </c>
      <c r="E55" s="18">
        <v>37.202100000000002</v>
      </c>
      <c r="F55" s="18">
        <v>35.494399999999999</v>
      </c>
      <c r="G55" s="18">
        <v>825.08250825082507</v>
      </c>
      <c r="H55" s="18">
        <f t="shared" si="0"/>
        <v>31.971812499999999</v>
      </c>
      <c r="I55" s="5"/>
      <c r="J55" s="17">
        <v>252.1336</v>
      </c>
      <c r="K55" s="18">
        <v>30.543199999999999</v>
      </c>
      <c r="L55" s="18">
        <v>37.316800000000001</v>
      </c>
      <c r="M55" s="18">
        <v>35.553199999999997</v>
      </c>
      <c r="N55" s="18">
        <v>1160.0927999999999</v>
      </c>
      <c r="O55" s="18">
        <f t="shared" si="1"/>
        <v>32.016149999999996</v>
      </c>
      <c r="P55" s="7"/>
      <c r="Q55" s="10"/>
      <c r="R55" s="11"/>
      <c r="S55" s="11"/>
      <c r="T55" s="26"/>
      <c r="U55" s="28">
        <f t="shared" si="2"/>
        <v>0.40603247359999989</v>
      </c>
    </row>
    <row r="56" spans="1:21" ht="16.5" thickBot="1" x14ac:dyDescent="0.3">
      <c r="B56" s="12"/>
      <c r="C56" s="19">
        <v>120.03515625</v>
      </c>
      <c r="D56" s="20">
        <v>27.503900000000002</v>
      </c>
      <c r="E56" s="20">
        <v>35.559899999999999</v>
      </c>
      <c r="F56" s="20">
        <v>33.322699999999998</v>
      </c>
      <c r="G56" s="20">
        <v>1072.9613733905578</v>
      </c>
      <c r="H56" s="20">
        <f t="shared" si="0"/>
        <v>29.238250000000001</v>
      </c>
      <c r="I56" s="5"/>
      <c r="J56" s="19">
        <v>121.46639999999999</v>
      </c>
      <c r="K56" s="20">
        <v>27.667999999999999</v>
      </c>
      <c r="L56" s="20">
        <v>35.699800000000003</v>
      </c>
      <c r="M56" s="20">
        <v>33.594900000000003</v>
      </c>
      <c r="N56" s="20">
        <v>1587.3016</v>
      </c>
      <c r="O56" s="20">
        <f t="shared" si="1"/>
        <v>29.412837499999998</v>
      </c>
      <c r="P56" s="7"/>
      <c r="Q56" s="13"/>
      <c r="R56" s="14"/>
      <c r="S56" s="14"/>
      <c r="T56" s="27"/>
      <c r="U56" s="28">
        <f t="shared" si="2"/>
        <v>0.4793650912000002</v>
      </c>
    </row>
    <row r="57" spans="1:21" x14ac:dyDescent="0.25">
      <c r="B57" s="6" t="s">
        <v>58</v>
      </c>
      <c r="C57" s="15">
        <v>575.205078125</v>
      </c>
      <c r="D57" s="16">
        <v>33.565899999999999</v>
      </c>
      <c r="E57" s="16">
        <v>40.760599999999997</v>
      </c>
      <c r="F57" s="16">
        <v>41.595199999999998</v>
      </c>
      <c r="G57" s="16">
        <v>555.55555555555554</v>
      </c>
      <c r="H57" s="16">
        <f t="shared" si="0"/>
        <v>35.468899999999998</v>
      </c>
      <c r="I57" s="5"/>
      <c r="J57" s="15">
        <v>600.24480000000005</v>
      </c>
      <c r="K57" s="16">
        <v>33.603200000000001</v>
      </c>
      <c r="L57" s="16">
        <v>41.319299999999998</v>
      </c>
      <c r="M57" s="16">
        <v>42.112400000000001</v>
      </c>
      <c r="N57" s="16">
        <v>931.67700000000002</v>
      </c>
      <c r="O57" s="16">
        <f t="shared" si="1"/>
        <v>35.631362500000002</v>
      </c>
      <c r="P57" s="7"/>
      <c r="Q57" s="8">
        <f>bdrate(C57:C60,D57:D60,J57:J60,K57:K60)</f>
        <v>-6.038740216992744E-2</v>
      </c>
      <c r="R57" s="8">
        <f>bdrate(C57:C60,E57:E60,J57:J60,L57:L60)</f>
        <v>-0.1451810306049176</v>
      </c>
      <c r="S57" s="8">
        <f>bdrate(C57:C60,F57:F60,J57:J60,M57:M60)</f>
        <v>-0.1045281844149919</v>
      </c>
      <c r="T57" s="25">
        <f>bdrate(C57:C60,H57:H60,J57:J60,O57:O60)</f>
        <v>-7.3860829853983234E-2</v>
      </c>
      <c r="U57" s="28">
        <f t="shared" si="2"/>
        <v>0.67701860000000003</v>
      </c>
    </row>
    <row r="58" spans="1:21" x14ac:dyDescent="0.25">
      <c r="B58" s="9"/>
      <c r="C58" s="17">
        <v>383.29296875</v>
      </c>
      <c r="D58" s="18">
        <v>32.137999999999998</v>
      </c>
      <c r="E58" s="18">
        <v>39.9544</v>
      </c>
      <c r="F58" s="18">
        <v>40.748100000000001</v>
      </c>
      <c r="G58" s="18">
        <v>632.2444678609063</v>
      </c>
      <c r="H58" s="18">
        <f t="shared" si="0"/>
        <v>34.191312499999995</v>
      </c>
      <c r="I58" s="5"/>
      <c r="J58" s="17">
        <v>399.14159999999998</v>
      </c>
      <c r="K58" s="18">
        <v>32.302399999999999</v>
      </c>
      <c r="L58" s="18">
        <v>40.451999999999998</v>
      </c>
      <c r="M58" s="18">
        <v>41.223500000000001</v>
      </c>
      <c r="N58" s="18">
        <v>1127.8195000000001</v>
      </c>
      <c r="O58" s="18">
        <f t="shared" si="1"/>
        <v>34.436237499999997</v>
      </c>
      <c r="P58" s="7"/>
      <c r="Q58" s="10"/>
      <c r="R58" s="11"/>
      <c r="S58" s="11"/>
      <c r="T58" s="26"/>
      <c r="U58" s="28">
        <f t="shared" si="2"/>
        <v>0.78383450916666653</v>
      </c>
    </row>
    <row r="59" spans="1:21" x14ac:dyDescent="0.25">
      <c r="B59" s="9"/>
      <c r="C59" s="17">
        <v>239.17578125</v>
      </c>
      <c r="D59" s="18">
        <v>30.3567</v>
      </c>
      <c r="E59" s="18">
        <v>39.040999999999997</v>
      </c>
      <c r="F59" s="18">
        <v>39.828699999999998</v>
      </c>
      <c r="G59" s="18">
        <v>684.15051311288482</v>
      </c>
      <c r="H59" s="18">
        <f t="shared" si="0"/>
        <v>32.626237500000002</v>
      </c>
      <c r="I59" s="5"/>
      <c r="J59" s="17">
        <v>249.36879999999999</v>
      </c>
      <c r="K59" s="18">
        <v>30.7805</v>
      </c>
      <c r="L59" s="18">
        <v>39.477899999999998</v>
      </c>
      <c r="M59" s="18">
        <v>40.174500000000002</v>
      </c>
      <c r="N59" s="18">
        <v>1354.4018000000001</v>
      </c>
      <c r="O59" s="18">
        <f t="shared" si="1"/>
        <v>33.041924999999999</v>
      </c>
      <c r="P59" s="7"/>
      <c r="Q59" s="10"/>
      <c r="R59" s="11"/>
      <c r="S59" s="11"/>
      <c r="T59" s="26"/>
      <c r="U59" s="28">
        <f t="shared" si="2"/>
        <v>0.97968396433333349</v>
      </c>
    </row>
    <row r="60" spans="1:21" ht="16.5" thickBot="1" x14ac:dyDescent="0.3">
      <c r="B60" s="12"/>
      <c r="C60" s="19">
        <v>114.9755859375</v>
      </c>
      <c r="D60" s="20">
        <v>27.282399999999999</v>
      </c>
      <c r="E60" s="20">
        <v>38.140900000000002</v>
      </c>
      <c r="F60" s="20">
        <v>38.807200000000002</v>
      </c>
      <c r="G60" s="20">
        <v>843.88185654008441</v>
      </c>
      <c r="H60" s="20">
        <f t="shared" si="0"/>
        <v>30.080312500000002</v>
      </c>
      <c r="I60" s="5"/>
      <c r="J60" s="19">
        <v>119.6344</v>
      </c>
      <c r="K60" s="20">
        <v>28.157499999999999</v>
      </c>
      <c r="L60" s="20">
        <v>38.066299999999998</v>
      </c>
      <c r="M60" s="20">
        <v>38.612000000000002</v>
      </c>
      <c r="N60" s="20">
        <v>1880.8777</v>
      </c>
      <c r="O60" s="20">
        <f t="shared" si="1"/>
        <v>30.7029125</v>
      </c>
      <c r="P60" s="7"/>
      <c r="Q60" s="13"/>
      <c r="R60" s="14"/>
      <c r="S60" s="14"/>
      <c r="T60" s="27"/>
      <c r="U60" s="28">
        <f t="shared" si="2"/>
        <v>1.2288400745000001</v>
      </c>
    </row>
    <row r="61" spans="1:21" x14ac:dyDescent="0.25">
      <c r="B61" s="6" t="s">
        <v>59</v>
      </c>
      <c r="C61" s="29">
        <v>594.4072265625</v>
      </c>
      <c r="D61" s="30">
        <v>33.198900000000002</v>
      </c>
      <c r="E61" s="30">
        <v>37.646299999999997</v>
      </c>
      <c r="F61" s="30">
        <v>38.326900000000002</v>
      </c>
      <c r="G61" s="16">
        <v>349.40600978336823</v>
      </c>
      <c r="H61" s="16">
        <f t="shared" si="0"/>
        <v>34.395825000000002</v>
      </c>
      <c r="I61" s="5"/>
      <c r="J61" s="29">
        <v>635.62239999999997</v>
      </c>
      <c r="K61" s="30">
        <v>33.070500000000003</v>
      </c>
      <c r="L61" s="30">
        <v>38.054499999999997</v>
      </c>
      <c r="M61" s="30">
        <v>38.820700000000002</v>
      </c>
      <c r="N61" s="16">
        <v>750.75080000000003</v>
      </c>
      <c r="O61" s="16">
        <f t="shared" si="1"/>
        <v>34.412275000000001</v>
      </c>
      <c r="P61" s="7"/>
      <c r="Q61" s="8">
        <f>bdrate(C61:C64,D61:D64,J61:J64,K61:K64)</f>
        <v>-1.8759662395589904E-3</v>
      </c>
      <c r="R61" s="8">
        <f>bdrate(C61:C64,E61:E64,J61:J64,L61:L64)</f>
        <v>-9.004772742238687E-2</v>
      </c>
      <c r="S61" s="8">
        <f>bdrate(C61:C64,F61:F64,J61:J64,M61:M64)</f>
        <v>-0.12334718692472402</v>
      </c>
      <c r="T61" s="25">
        <f>bdrate(C61:C64,H61:H64,J61:J64,O61:O64)</f>
        <v>-1.9845768759972127E-2</v>
      </c>
      <c r="U61" s="28">
        <f t="shared" si="2"/>
        <v>1.1486487896000004</v>
      </c>
    </row>
    <row r="62" spans="1:21" x14ac:dyDescent="0.25">
      <c r="B62" s="9"/>
      <c r="C62" s="31">
        <v>399.44140625</v>
      </c>
      <c r="D62" s="32">
        <v>31.483599999999999</v>
      </c>
      <c r="E62" s="32">
        <v>36.6357</v>
      </c>
      <c r="F62" s="32">
        <v>37.283299999999997</v>
      </c>
      <c r="G62" s="18">
        <v>397.45627980922097</v>
      </c>
      <c r="H62" s="18">
        <f t="shared" si="0"/>
        <v>32.852575000000002</v>
      </c>
      <c r="I62" s="5"/>
      <c r="J62" s="31">
        <v>425.82560000000001</v>
      </c>
      <c r="K62" s="32">
        <v>31.590399999999999</v>
      </c>
      <c r="L62" s="32">
        <v>37.027000000000001</v>
      </c>
      <c r="M62" s="32">
        <v>37.763399999999997</v>
      </c>
      <c r="N62" s="18">
        <v>775.19380000000001</v>
      </c>
      <c r="O62" s="18">
        <f t="shared" si="1"/>
        <v>33.041599999999995</v>
      </c>
      <c r="P62" s="7"/>
      <c r="Q62" s="10"/>
      <c r="R62" s="11"/>
      <c r="S62" s="11"/>
      <c r="T62" s="26"/>
      <c r="U62" s="28">
        <f t="shared" si="2"/>
        <v>0.95038760080000007</v>
      </c>
    </row>
    <row r="63" spans="1:21" x14ac:dyDescent="0.25">
      <c r="B63" s="9"/>
      <c r="C63" s="31">
        <v>250.3994140625</v>
      </c>
      <c r="D63" s="32">
        <v>29.625499999999999</v>
      </c>
      <c r="E63" s="32">
        <v>35.511699999999998</v>
      </c>
      <c r="F63" s="32">
        <v>36.165700000000001</v>
      </c>
      <c r="G63" s="18">
        <v>517.59834368530028</v>
      </c>
      <c r="H63" s="18">
        <f t="shared" si="0"/>
        <v>31.178799999999995</v>
      </c>
      <c r="I63" s="5"/>
      <c r="J63" s="31">
        <v>265.29919999999998</v>
      </c>
      <c r="K63" s="32">
        <v>29.8962</v>
      </c>
      <c r="L63" s="32">
        <v>35.866700000000002</v>
      </c>
      <c r="M63" s="32">
        <v>36.595599999999997</v>
      </c>
      <c r="N63" s="18">
        <v>863.55790000000002</v>
      </c>
      <c r="O63" s="18">
        <f t="shared" si="1"/>
        <v>31.479937500000002</v>
      </c>
      <c r="P63" s="7"/>
      <c r="Q63" s="10"/>
      <c r="R63" s="11"/>
      <c r="S63" s="11"/>
      <c r="T63" s="26"/>
      <c r="U63" s="28">
        <f t="shared" si="2"/>
        <v>0.66839386279999979</v>
      </c>
    </row>
    <row r="64" spans="1:21" ht="16.5" thickBot="1" x14ac:dyDescent="0.3">
      <c r="B64" s="12"/>
      <c r="C64" s="33">
        <v>120.2216796875</v>
      </c>
      <c r="D64" s="34">
        <v>26.921900000000001</v>
      </c>
      <c r="E64" s="34">
        <v>34.068100000000001</v>
      </c>
      <c r="F64" s="34">
        <v>34.6813</v>
      </c>
      <c r="G64" s="20">
        <v>718.39080459770116</v>
      </c>
      <c r="H64" s="20">
        <f t="shared" si="0"/>
        <v>28.785100000000003</v>
      </c>
      <c r="I64" s="5"/>
      <c r="J64" s="33">
        <v>126.68640000000001</v>
      </c>
      <c r="K64" s="34">
        <v>27.449400000000001</v>
      </c>
      <c r="L64" s="34">
        <v>34.319299999999998</v>
      </c>
      <c r="M64" s="34">
        <v>35.068199999999997</v>
      </c>
      <c r="N64" s="20">
        <v>1718.2130999999999</v>
      </c>
      <c r="O64" s="20">
        <f t="shared" si="1"/>
        <v>29.2604875</v>
      </c>
      <c r="P64" s="7"/>
      <c r="Q64" s="13"/>
      <c r="R64" s="14"/>
      <c r="S64" s="14"/>
      <c r="T64" s="27"/>
      <c r="U64" s="28">
        <f t="shared" si="2"/>
        <v>1.3917526351999998</v>
      </c>
    </row>
    <row r="65" spans="1:21" x14ac:dyDescent="0.25">
      <c r="B65" s="6" t="s">
        <v>60</v>
      </c>
      <c r="C65" s="15">
        <v>574.19921875</v>
      </c>
      <c r="D65" s="16">
        <v>34.341500000000003</v>
      </c>
      <c r="E65" s="16">
        <v>37.766100000000002</v>
      </c>
      <c r="F65" s="16">
        <v>38.832099999999997</v>
      </c>
      <c r="G65" s="16">
        <v>258.39793281653743</v>
      </c>
      <c r="H65" s="16">
        <f t="shared" si="0"/>
        <v>35.3309</v>
      </c>
      <c r="I65" s="5"/>
      <c r="J65" s="15">
        <v>601.45839999999998</v>
      </c>
      <c r="K65" s="16">
        <v>33.930500000000002</v>
      </c>
      <c r="L65" s="16">
        <v>37.721800000000002</v>
      </c>
      <c r="M65" s="16">
        <v>38.785499999999999</v>
      </c>
      <c r="N65" s="16">
        <v>579.15060000000005</v>
      </c>
      <c r="O65" s="16">
        <f t="shared" si="1"/>
        <v>35.011287500000002</v>
      </c>
      <c r="P65" s="7"/>
      <c r="Q65" s="8">
        <f>bdrate(C65:C68,D65:D68,J65:J68,K65:K68)</f>
        <v>6.9808647896767884E-2</v>
      </c>
      <c r="R65" s="8">
        <f>bdrate(C65:C68,E65:E68,J65:J68,L65:L68)</f>
        <v>3.9486404643226169E-2</v>
      </c>
      <c r="S65" s="8">
        <f>bdrate(C65:C68,F65:F68,J65:J68,M65:M68)</f>
        <v>3.5151869531178326E-2</v>
      </c>
      <c r="T65" s="25">
        <f>bdrate(C65:C68,H65:H68,J65:J68,O65:O68)</f>
        <v>6.4406042506748751E-2</v>
      </c>
      <c r="U65" s="28">
        <f t="shared" si="2"/>
        <v>1.2413128220000005</v>
      </c>
    </row>
    <row r="66" spans="1:21" x14ac:dyDescent="0.25">
      <c r="B66" s="9"/>
      <c r="C66" s="17">
        <v>385.6953125</v>
      </c>
      <c r="D66" s="18">
        <v>32.3596</v>
      </c>
      <c r="E66" s="18">
        <v>36.571199999999997</v>
      </c>
      <c r="F66" s="18">
        <v>37.637799999999999</v>
      </c>
      <c r="G66" s="18">
        <v>314.79538300104934</v>
      </c>
      <c r="H66" s="18">
        <f t="shared" si="0"/>
        <v>33.545825000000001</v>
      </c>
      <c r="I66" s="5"/>
      <c r="J66" s="17">
        <v>400.83600000000001</v>
      </c>
      <c r="K66" s="18">
        <v>32.069000000000003</v>
      </c>
      <c r="L66" s="18">
        <v>36.554699999999997</v>
      </c>
      <c r="M66" s="18">
        <v>37.634099999999997</v>
      </c>
      <c r="N66" s="18">
        <v>635.59320000000002</v>
      </c>
      <c r="O66" s="18">
        <f t="shared" si="1"/>
        <v>33.32535</v>
      </c>
      <c r="P66" s="7"/>
      <c r="Q66" s="10"/>
      <c r="R66" s="11"/>
      <c r="S66" s="11"/>
      <c r="T66" s="26"/>
      <c r="U66" s="28">
        <f t="shared" si="2"/>
        <v>1.0190677319999999</v>
      </c>
    </row>
    <row r="67" spans="1:21" x14ac:dyDescent="0.25">
      <c r="B67" s="9"/>
      <c r="C67" s="17">
        <v>243.861328125</v>
      </c>
      <c r="D67" s="18">
        <v>30.2883</v>
      </c>
      <c r="E67" s="18">
        <v>35.394500000000001</v>
      </c>
      <c r="F67" s="18">
        <v>36.410899999999998</v>
      </c>
      <c r="G67" s="18">
        <v>439.23865300146412</v>
      </c>
      <c r="H67" s="18">
        <f t="shared" si="0"/>
        <v>31.6919</v>
      </c>
      <c r="I67" s="5"/>
      <c r="J67" s="17">
        <v>250.82159999999999</v>
      </c>
      <c r="K67" s="18">
        <v>30.170300000000001</v>
      </c>
      <c r="L67" s="18">
        <v>35.333399999999997</v>
      </c>
      <c r="M67" s="18">
        <v>36.357900000000001</v>
      </c>
      <c r="N67" s="18">
        <v>777.20209999999997</v>
      </c>
      <c r="O67" s="18">
        <f t="shared" si="1"/>
        <v>31.589137500000003</v>
      </c>
      <c r="P67" s="7"/>
      <c r="Q67" s="10"/>
      <c r="R67" s="11"/>
      <c r="S67" s="11"/>
      <c r="T67" s="26"/>
      <c r="U67" s="28">
        <f t="shared" si="2"/>
        <v>0.7694301143333333</v>
      </c>
    </row>
    <row r="68" spans="1:21" ht="16.5" thickBot="1" x14ac:dyDescent="0.3">
      <c r="B68" s="12"/>
      <c r="C68" s="19">
        <v>120.19921875</v>
      </c>
      <c r="D68" s="20">
        <v>27.599499999999999</v>
      </c>
      <c r="E68" s="20">
        <v>33.801400000000001</v>
      </c>
      <c r="F68" s="20">
        <v>34.719000000000001</v>
      </c>
      <c r="G68" s="20">
        <v>694.44444444444446</v>
      </c>
      <c r="H68" s="20">
        <f t="shared" si="0"/>
        <v>29.264674999999997</v>
      </c>
      <c r="I68" s="5"/>
      <c r="J68" s="19">
        <v>120.9464</v>
      </c>
      <c r="K68" s="20">
        <v>27.656500000000001</v>
      </c>
      <c r="L68" s="20">
        <v>33.885100000000001</v>
      </c>
      <c r="M68" s="20">
        <v>34.817300000000003</v>
      </c>
      <c r="N68" s="20">
        <v>1048.951</v>
      </c>
      <c r="O68" s="20">
        <f t="shared" si="1"/>
        <v>29.330175000000004</v>
      </c>
      <c r="P68" s="7"/>
      <c r="Q68" s="13"/>
      <c r="R68" s="14"/>
      <c r="S68" s="14"/>
      <c r="T68" s="27"/>
      <c r="U68" s="28">
        <f t="shared" si="2"/>
        <v>0.51048943999999996</v>
      </c>
    </row>
    <row r="69" spans="1:21" x14ac:dyDescent="0.25">
      <c r="A69" s="6" t="s">
        <v>43</v>
      </c>
      <c r="B69" s="6" t="s">
        <v>61</v>
      </c>
      <c r="C69" s="15">
        <v>1419.8583984375</v>
      </c>
      <c r="D69" s="16">
        <v>41.099200000000003</v>
      </c>
      <c r="E69" s="16">
        <v>45.161799999999999</v>
      </c>
      <c r="F69" s="16">
        <v>46.3384</v>
      </c>
      <c r="G69" s="16">
        <v>193.36126329358683</v>
      </c>
      <c r="H69" s="16">
        <f t="shared" si="0"/>
        <v>42.261925000000005</v>
      </c>
      <c r="I69" s="5"/>
      <c r="J69" s="15">
        <v>1493.5255999999999</v>
      </c>
      <c r="K69" s="16">
        <v>41.353099999999998</v>
      </c>
      <c r="L69" s="16">
        <v>45.6357</v>
      </c>
      <c r="M69" s="16">
        <v>46.823700000000002</v>
      </c>
      <c r="N69" s="16">
        <v>233.64490000000001</v>
      </c>
      <c r="O69" s="16">
        <f t="shared" si="1"/>
        <v>42.572249999999997</v>
      </c>
      <c r="P69" s="7"/>
      <c r="Q69" s="8">
        <f>bdrate(C69:C72,D69:D72,J69:J72,K69:K72)</f>
        <v>-0.11623509241561603</v>
      </c>
      <c r="R69" s="8">
        <f>bdrate(C69:C72,E69:E72,J69:J72,L69:L72)</f>
        <v>-0.14010504488162556</v>
      </c>
      <c r="S69" s="8">
        <f>bdrate(C69:C72,F69:F72,J69:J72,M69:M72)</f>
        <v>-0.13168989886365889</v>
      </c>
      <c r="T69" s="25">
        <f>bdrate(C69:C72,H69:H72,J69:J72,O69:O72)</f>
        <v>-0.12020357060975584</v>
      </c>
      <c r="U69" s="28">
        <f t="shared" si="2"/>
        <v>0.20833354116666683</v>
      </c>
    </row>
    <row r="70" spans="1:21" x14ac:dyDescent="0.25">
      <c r="A70" s="9" t="s">
        <v>44</v>
      </c>
      <c r="B70" s="9"/>
      <c r="C70" s="17">
        <v>936.0751953125</v>
      </c>
      <c r="D70" s="18">
        <v>39.740600000000001</v>
      </c>
      <c r="E70" s="18">
        <v>44.003500000000003</v>
      </c>
      <c r="F70" s="18">
        <v>45.191200000000002</v>
      </c>
      <c r="G70" s="18">
        <v>299.25187032418955</v>
      </c>
      <c r="H70" s="18">
        <f t="shared" si="0"/>
        <v>40.954787499999995</v>
      </c>
      <c r="I70" s="5"/>
      <c r="J70" s="17">
        <v>986.04319999999996</v>
      </c>
      <c r="K70" s="18">
        <v>40.180900000000001</v>
      </c>
      <c r="L70" s="18">
        <v>44.638800000000003</v>
      </c>
      <c r="M70" s="18">
        <v>45.776000000000003</v>
      </c>
      <c r="N70" s="18">
        <v>320</v>
      </c>
      <c r="O70" s="18">
        <f t="shared" si="1"/>
        <v>41.437525000000001</v>
      </c>
      <c r="P70" s="7"/>
      <c r="Q70" s="10"/>
      <c r="R70" s="11"/>
      <c r="S70" s="11"/>
      <c r="T70" s="26"/>
      <c r="U70" s="28">
        <f t="shared" si="2"/>
        <v>6.9333333333333233E-2</v>
      </c>
    </row>
    <row r="71" spans="1:21" x14ac:dyDescent="0.25">
      <c r="B71" s="9"/>
      <c r="C71" s="17">
        <v>561.4296875</v>
      </c>
      <c r="D71" s="18">
        <v>37.498800000000003</v>
      </c>
      <c r="E71" s="18">
        <v>42.691299999999998</v>
      </c>
      <c r="F71" s="18">
        <v>43.767000000000003</v>
      </c>
      <c r="G71" s="18">
        <v>354.19126328217237</v>
      </c>
      <c r="H71" s="18">
        <f t="shared" si="0"/>
        <v>38.9313875</v>
      </c>
      <c r="I71" s="5"/>
      <c r="J71" s="17">
        <v>578.18880000000001</v>
      </c>
      <c r="K71" s="18">
        <v>38.2104</v>
      </c>
      <c r="L71" s="18">
        <v>43.151000000000003</v>
      </c>
      <c r="M71" s="18">
        <v>44.2502</v>
      </c>
      <c r="N71" s="18">
        <v>362.10019999999997</v>
      </c>
      <c r="O71" s="18">
        <f t="shared" si="1"/>
        <v>39.582950000000004</v>
      </c>
      <c r="P71" s="7"/>
      <c r="Q71" s="10"/>
      <c r="R71" s="11"/>
      <c r="S71" s="11"/>
      <c r="T71" s="26"/>
      <c r="U71" s="28">
        <f t="shared" si="2"/>
        <v>2.2329564666666593E-2</v>
      </c>
    </row>
    <row r="72" spans="1:21" ht="16.5" thickBot="1" x14ac:dyDescent="0.3">
      <c r="B72" s="12"/>
      <c r="C72" s="19">
        <v>282.4560546875</v>
      </c>
      <c r="D72" s="20">
        <v>33.774700000000003</v>
      </c>
      <c r="E72" s="20">
        <v>41.007199999999997</v>
      </c>
      <c r="F72" s="20">
        <v>41.8902</v>
      </c>
      <c r="G72" s="20">
        <v>409.55631399317406</v>
      </c>
      <c r="H72" s="20">
        <f t="shared" si="0"/>
        <v>35.693200000000004</v>
      </c>
      <c r="I72" s="5"/>
      <c r="J72" s="19">
        <v>282.30880000000002</v>
      </c>
      <c r="K72" s="20">
        <v>34.863999999999997</v>
      </c>
      <c r="L72" s="20">
        <v>41.253100000000003</v>
      </c>
      <c r="M72" s="20">
        <v>42.175800000000002</v>
      </c>
      <c r="N72" s="20">
        <v>492.20670000000001</v>
      </c>
      <c r="O72" s="20">
        <f t="shared" si="1"/>
        <v>36.576612499999996</v>
      </c>
      <c r="P72" s="7"/>
      <c r="Q72" s="13"/>
      <c r="R72" s="14"/>
      <c r="S72" s="14"/>
      <c r="T72" s="27"/>
      <c r="U72" s="28">
        <f t="shared" si="2"/>
        <v>0.20180469250000005</v>
      </c>
    </row>
    <row r="73" spans="1:21" x14ac:dyDescent="0.25">
      <c r="B73" s="6" t="s">
        <v>62</v>
      </c>
      <c r="C73" s="15">
        <v>1423.1220703125</v>
      </c>
      <c r="D73" s="16">
        <v>42.507800000000003</v>
      </c>
      <c r="E73" s="16">
        <v>47.160499999999999</v>
      </c>
      <c r="F73" s="16">
        <v>47.769199999999998</v>
      </c>
      <c r="G73" s="16">
        <v>194.99512512187195</v>
      </c>
      <c r="H73" s="16">
        <f t="shared" si="0"/>
        <v>43.747062500000006</v>
      </c>
      <c r="I73" s="5"/>
      <c r="J73" s="15">
        <v>1472.7808</v>
      </c>
      <c r="K73" s="16">
        <v>42.600999999999999</v>
      </c>
      <c r="L73" s="16">
        <v>47.607100000000003</v>
      </c>
      <c r="M73" s="16">
        <v>48.2836</v>
      </c>
      <c r="N73" s="16">
        <v>231.3922</v>
      </c>
      <c r="O73" s="16">
        <f t="shared" si="1"/>
        <v>43.937087499999997</v>
      </c>
      <c r="P73" s="7"/>
      <c r="Q73" s="8">
        <f>bdrate(C73:C76,D73:D76,J73:J76,K73:K76)</f>
        <v>-4.1942310039837838E-2</v>
      </c>
      <c r="R73" s="8">
        <f>bdrate(C73:C76,E73:E76,J73:J76,L73:L76)</f>
        <v>-0.20985725331865568</v>
      </c>
      <c r="S73" s="8">
        <f>bdrate(C73:C76,F73:F76,J73:J76,M73:M76)</f>
        <v>-0.23128654834663687</v>
      </c>
      <c r="T73" s="25">
        <f>bdrate(C73:C76,H73:H76,J73:J76,O73:O76)</f>
        <v>-8.8700931811114825E-2</v>
      </c>
      <c r="U73" s="28">
        <f t="shared" ref="U73:U124" si="3">(N73-G73)/G73</f>
        <v>0.18665633233333337</v>
      </c>
    </row>
    <row r="74" spans="1:21" x14ac:dyDescent="0.25">
      <c r="B74" s="9"/>
      <c r="C74" s="17">
        <v>950.8447265625</v>
      </c>
      <c r="D74" s="18">
        <v>41.957000000000001</v>
      </c>
      <c r="E74" s="18">
        <v>46.612499999999997</v>
      </c>
      <c r="F74" s="18">
        <v>47.146999999999998</v>
      </c>
      <c r="G74" s="18">
        <v>275.1031636863824</v>
      </c>
      <c r="H74" s="18">
        <f t="shared" si="0"/>
        <v>43.187687500000003</v>
      </c>
      <c r="I74" s="5"/>
      <c r="J74" s="17">
        <v>964.33680000000004</v>
      </c>
      <c r="K74" s="18">
        <v>42.040500000000002</v>
      </c>
      <c r="L74" s="18">
        <v>47.128599999999999</v>
      </c>
      <c r="M74" s="18">
        <v>47.760100000000001</v>
      </c>
      <c r="N74" s="18">
        <v>389.86349999999999</v>
      </c>
      <c r="O74" s="18">
        <f t="shared" si="1"/>
        <v>43.391462500000003</v>
      </c>
      <c r="P74" s="7"/>
      <c r="Q74" s="10"/>
      <c r="R74" s="11"/>
      <c r="S74" s="11"/>
      <c r="T74" s="26"/>
      <c r="U74" s="28">
        <f t="shared" si="3"/>
        <v>0.41715382249999994</v>
      </c>
    </row>
    <row r="75" spans="1:21" x14ac:dyDescent="0.25">
      <c r="B75" s="9"/>
      <c r="C75" s="17">
        <v>573.9287109375</v>
      </c>
      <c r="D75" s="18">
        <v>41.058500000000002</v>
      </c>
      <c r="E75" s="18">
        <v>45.721899999999998</v>
      </c>
      <c r="F75" s="18">
        <v>46.278799999999997</v>
      </c>
      <c r="G75" s="18">
        <v>304.72320975114269</v>
      </c>
      <c r="H75" s="18">
        <f t="shared" si="0"/>
        <v>42.293962499999999</v>
      </c>
      <c r="I75" s="5"/>
      <c r="J75" s="17">
        <v>571.05920000000003</v>
      </c>
      <c r="K75" s="18">
        <v>41.099600000000002</v>
      </c>
      <c r="L75" s="18">
        <v>46.164900000000003</v>
      </c>
      <c r="M75" s="18">
        <v>46.770099999999999</v>
      </c>
      <c r="N75" s="18">
        <v>452.48869999999999</v>
      </c>
      <c r="O75" s="18">
        <f t="shared" si="1"/>
        <v>42.441575</v>
      </c>
      <c r="P75" s="7"/>
      <c r="Q75" s="10"/>
      <c r="R75" s="11"/>
      <c r="S75" s="11"/>
      <c r="T75" s="26"/>
      <c r="U75" s="28">
        <f t="shared" si="3"/>
        <v>0.48491708383333343</v>
      </c>
    </row>
    <row r="76" spans="1:21" ht="16.5" thickBot="1" x14ac:dyDescent="0.3">
      <c r="B76" s="12"/>
      <c r="C76" s="19">
        <v>287.96875</v>
      </c>
      <c r="D76" s="20">
        <v>38.976900000000001</v>
      </c>
      <c r="E76" s="20">
        <v>44.133000000000003</v>
      </c>
      <c r="F76" s="20">
        <v>44.405900000000003</v>
      </c>
      <c r="G76" s="20">
        <v>388.09831824062093</v>
      </c>
      <c r="H76" s="20">
        <f t="shared" si="0"/>
        <v>40.300037500000002</v>
      </c>
      <c r="I76" s="5"/>
      <c r="J76" s="19">
        <v>276.584</v>
      </c>
      <c r="K76" s="20">
        <v>39.187199999999997</v>
      </c>
      <c r="L76" s="20">
        <v>44.461500000000001</v>
      </c>
      <c r="M76" s="20">
        <v>44.973999999999997</v>
      </c>
      <c r="N76" s="20">
        <v>534.75940000000003</v>
      </c>
      <c r="O76" s="20">
        <f t="shared" si="1"/>
        <v>40.569837499999998</v>
      </c>
      <c r="P76" s="7"/>
      <c r="Q76" s="13"/>
      <c r="R76" s="14"/>
      <c r="S76" s="14"/>
      <c r="T76" s="27"/>
      <c r="U76" s="28">
        <f t="shared" si="3"/>
        <v>0.37789672066666685</v>
      </c>
    </row>
    <row r="77" spans="1:21" x14ac:dyDescent="0.25">
      <c r="B77" s="6" t="s">
        <v>63</v>
      </c>
      <c r="C77" s="15">
        <v>1440.6064453125</v>
      </c>
      <c r="D77" s="16">
        <v>42.221699999999998</v>
      </c>
      <c r="E77" s="16">
        <v>46.094499999999996</v>
      </c>
      <c r="F77" s="16">
        <v>46.9343</v>
      </c>
      <c r="G77" s="16">
        <v>191.69329073482427</v>
      </c>
      <c r="H77" s="16">
        <f t="shared" si="0"/>
        <v>43.294874999999998</v>
      </c>
      <c r="I77" s="5"/>
      <c r="J77" s="15">
        <v>1534.0311999999999</v>
      </c>
      <c r="K77" s="16">
        <v>42.481400000000001</v>
      </c>
      <c r="L77" s="16">
        <v>46.762500000000003</v>
      </c>
      <c r="M77" s="16">
        <v>47.602899999999998</v>
      </c>
      <c r="N77" s="16">
        <v>232.01859999999999</v>
      </c>
      <c r="O77" s="16">
        <f t="shared" si="1"/>
        <v>43.656724999999994</v>
      </c>
      <c r="P77" s="7"/>
      <c r="Q77" s="8">
        <f>bdrate(C77:C80,D77:D80,J77:J80,K77:K80)</f>
        <v>-0.11044471341737561</v>
      </c>
      <c r="R77" s="8">
        <f>bdrate(C77:C80,E77:E80,J77:J80,L77:L80)</f>
        <v>-0.22192109090033529</v>
      </c>
      <c r="S77" s="8">
        <f>bdrate(C77:C80,F77:F80,J77:J80,M77:M80)</f>
        <v>-0.23652003234283614</v>
      </c>
      <c r="T77" s="25">
        <f>bdrate(C77:C80,H77:H80,J77:J80,O77:O80)</f>
        <v>-0.13766396473758846</v>
      </c>
      <c r="U77" s="28">
        <f t="shared" si="3"/>
        <v>0.21036369666666668</v>
      </c>
    </row>
    <row r="78" spans="1:21" x14ac:dyDescent="0.25">
      <c r="B78" s="9"/>
      <c r="C78" s="17">
        <v>964.6123046875</v>
      </c>
      <c r="D78" s="18">
        <v>41.340499999999999</v>
      </c>
      <c r="E78" s="18">
        <v>45.2697</v>
      </c>
      <c r="F78" s="18">
        <v>46.075099999999999</v>
      </c>
      <c r="G78" s="18">
        <v>278.68091035764047</v>
      </c>
      <c r="H78" s="18">
        <f t="shared" si="0"/>
        <v>42.423475000000003</v>
      </c>
      <c r="I78" s="5"/>
      <c r="J78" s="17">
        <v>1004.8024</v>
      </c>
      <c r="K78" s="18">
        <v>41.645699999999998</v>
      </c>
      <c r="L78" s="18">
        <v>45.957299999999996</v>
      </c>
      <c r="M78" s="18">
        <v>46.815300000000001</v>
      </c>
      <c r="N78" s="18">
        <v>332.5942</v>
      </c>
      <c r="O78" s="18">
        <f t="shared" si="1"/>
        <v>42.830849999999991</v>
      </c>
      <c r="P78" s="7"/>
      <c r="Q78" s="10"/>
      <c r="R78" s="11"/>
      <c r="S78" s="11"/>
      <c r="T78" s="26"/>
      <c r="U78" s="28">
        <f t="shared" si="3"/>
        <v>0.19345885433333346</v>
      </c>
    </row>
    <row r="79" spans="1:21" x14ac:dyDescent="0.25">
      <c r="B79" s="9"/>
      <c r="C79" s="17">
        <v>583.0009765625</v>
      </c>
      <c r="D79" s="18">
        <v>39.774500000000003</v>
      </c>
      <c r="E79" s="18">
        <v>43.991</v>
      </c>
      <c r="F79" s="18">
        <v>44.681899999999999</v>
      </c>
      <c r="G79" s="18">
        <v>314.13612565445027</v>
      </c>
      <c r="H79" s="18">
        <f t="shared" si="0"/>
        <v>40.914987500000002</v>
      </c>
      <c r="I79" s="5"/>
      <c r="J79" s="17">
        <v>596.40959999999995</v>
      </c>
      <c r="K79" s="18">
        <v>40.239100000000001</v>
      </c>
      <c r="L79" s="18">
        <v>44.7652</v>
      </c>
      <c r="M79" s="18">
        <v>45.529499999999999</v>
      </c>
      <c r="N79" s="18">
        <v>392.15690000000001</v>
      </c>
      <c r="O79" s="18">
        <f t="shared" si="1"/>
        <v>41.466162499999996</v>
      </c>
      <c r="P79" s="7"/>
      <c r="Q79" s="10"/>
      <c r="R79" s="11"/>
      <c r="S79" s="11"/>
      <c r="T79" s="26"/>
      <c r="U79" s="28">
        <f t="shared" si="3"/>
        <v>0.24836613166666666</v>
      </c>
    </row>
    <row r="80" spans="1:21" ht="16.5" thickBot="1" x14ac:dyDescent="0.3">
      <c r="B80" s="12"/>
      <c r="C80" s="19">
        <v>294.5234375</v>
      </c>
      <c r="D80" s="20">
        <v>36.710799999999999</v>
      </c>
      <c r="E80" s="20">
        <v>42.1098</v>
      </c>
      <c r="F80" s="20">
        <v>43.0047</v>
      </c>
      <c r="G80" s="20">
        <v>385.35645472061657</v>
      </c>
      <c r="H80" s="20">
        <f t="shared" si="0"/>
        <v>38.1724125</v>
      </c>
      <c r="I80" s="5"/>
      <c r="J80" s="19">
        <v>292.80880000000002</v>
      </c>
      <c r="K80" s="20">
        <v>37.482599999999998</v>
      </c>
      <c r="L80" s="20">
        <v>42.546900000000001</v>
      </c>
      <c r="M80" s="20">
        <v>43.438899999999997</v>
      </c>
      <c r="N80" s="20">
        <v>462.60599999999999</v>
      </c>
      <c r="O80" s="20">
        <f t="shared" si="1"/>
        <v>38.860174999999998</v>
      </c>
      <c r="P80" s="7"/>
      <c r="Q80" s="13"/>
      <c r="R80" s="14"/>
      <c r="S80" s="14"/>
      <c r="T80" s="27"/>
      <c r="U80" s="28">
        <f t="shared" si="3"/>
        <v>0.20046256999999998</v>
      </c>
    </row>
    <row r="81" spans="1:21" x14ac:dyDescent="0.25">
      <c r="A81" s="6" t="s">
        <v>99</v>
      </c>
      <c r="B81" s="6" t="s">
        <v>100</v>
      </c>
      <c r="C81" s="15">
        <v>1476.3330078125</v>
      </c>
      <c r="D81" s="16">
        <v>36.355800000000002</v>
      </c>
      <c r="E81" s="16">
        <v>42.019399999999997</v>
      </c>
      <c r="F81" s="16">
        <v>42.573099999999997</v>
      </c>
      <c r="G81" s="16">
        <v>147.58937356510333</v>
      </c>
      <c r="H81" s="16">
        <f t="shared" ref="H81:H124" si="4">(6*D81+E81+F81)/8</f>
        <v>37.840912500000002</v>
      </c>
      <c r="I81" s="5"/>
      <c r="J81" s="15">
        <v>1515.4501</v>
      </c>
      <c r="K81" s="16">
        <v>35.926299999999998</v>
      </c>
      <c r="L81" s="16">
        <v>41.761099999999999</v>
      </c>
      <c r="M81" s="16">
        <v>42.412700000000001</v>
      </c>
      <c r="N81" s="16">
        <v>163.39869999999999</v>
      </c>
      <c r="O81" s="16">
        <f t="shared" ref="O81:O124" si="5">(6*K81+L81+M81)/8</f>
        <v>37.466449999999995</v>
      </c>
      <c r="P81" s="7"/>
      <c r="Q81" s="8">
        <f>bdrate(C81:C84,D81:D84,J81:J84,K81:K84)</f>
        <v>6.1211245046152385E-2</v>
      </c>
      <c r="R81" s="8">
        <f>bdrate(C81:C84,E81:E84,J81:J84,L81:L84)</f>
        <v>5.9287024287940415E-2</v>
      </c>
      <c r="S81" s="8">
        <f>bdrate(C81:C84,F81:F84,J81:J84,M81:M84)</f>
        <v>2.3161961850316271E-2</v>
      </c>
      <c r="T81" s="25">
        <f>bdrate(C81:C84,H81:H84,J81:J84,O81:O84)</f>
        <v>5.7791552070337149E-2</v>
      </c>
      <c r="U81" s="28">
        <f t="shared" si="3"/>
        <v>0.10711696955555537</v>
      </c>
    </row>
    <row r="82" spans="1:21" x14ac:dyDescent="0.25">
      <c r="A82" s="9" t="s">
        <v>77</v>
      </c>
      <c r="B82" s="9"/>
      <c r="C82" s="17">
        <v>985.09765625</v>
      </c>
      <c r="D82" s="18">
        <v>34.304200000000002</v>
      </c>
      <c r="E82" s="18">
        <v>40.718400000000003</v>
      </c>
      <c r="F82" s="18">
        <v>41.259599999999999</v>
      </c>
      <c r="G82" s="18">
        <v>191.53011278995533</v>
      </c>
      <c r="H82" s="18">
        <f t="shared" si="4"/>
        <v>35.9754</v>
      </c>
      <c r="I82" s="5"/>
      <c r="J82" s="17">
        <v>1011.9661</v>
      </c>
      <c r="K82" s="18">
        <v>34.0792</v>
      </c>
      <c r="L82" s="18">
        <v>40.5642</v>
      </c>
      <c r="M82" s="18">
        <v>41.223300000000002</v>
      </c>
      <c r="N82" s="18">
        <v>192.43100000000001</v>
      </c>
      <c r="O82" s="18">
        <f t="shared" si="5"/>
        <v>35.782837499999999</v>
      </c>
      <c r="P82" s="7"/>
      <c r="Q82" s="10"/>
      <c r="R82" s="11"/>
      <c r="S82" s="11"/>
      <c r="T82" s="26"/>
      <c r="U82" s="28">
        <f t="shared" si="3"/>
        <v>4.7036322222222017E-3</v>
      </c>
    </row>
    <row r="83" spans="1:21" x14ac:dyDescent="0.25">
      <c r="B83" s="9"/>
      <c r="C83" s="17">
        <v>591.2626953125</v>
      </c>
      <c r="D83" s="18">
        <v>31.789100000000001</v>
      </c>
      <c r="E83" s="18">
        <v>39.226399999999998</v>
      </c>
      <c r="F83" s="18">
        <v>39.767499999999998</v>
      </c>
      <c r="G83" s="18">
        <v>239.1708743024183</v>
      </c>
      <c r="H83" s="18">
        <f t="shared" si="4"/>
        <v>33.7160625</v>
      </c>
      <c r="I83" s="5"/>
      <c r="J83" s="17">
        <v>606.07249999999999</v>
      </c>
      <c r="K83" s="18">
        <v>31.691700000000001</v>
      </c>
      <c r="L83" s="18">
        <v>39.194699999999997</v>
      </c>
      <c r="M83" s="18">
        <v>39.826900000000002</v>
      </c>
      <c r="N83" s="18">
        <v>233.4025</v>
      </c>
      <c r="O83" s="18">
        <f t="shared" si="5"/>
        <v>33.646475000000002</v>
      </c>
      <c r="P83" s="7"/>
      <c r="Q83" s="10"/>
      <c r="R83" s="11"/>
      <c r="S83" s="11"/>
      <c r="T83" s="26"/>
      <c r="U83" s="28">
        <f t="shared" si="3"/>
        <v>-2.4118213888888934E-2</v>
      </c>
    </row>
    <row r="84" spans="1:21" ht="16.5" thickBot="1" x14ac:dyDescent="0.3">
      <c r="B84" s="12"/>
      <c r="C84" s="19">
        <v>295.70703125</v>
      </c>
      <c r="D84" s="20">
        <v>28.612300000000001</v>
      </c>
      <c r="E84" s="20">
        <v>37.363100000000003</v>
      </c>
      <c r="F84" s="20">
        <v>37.874899999999997</v>
      </c>
      <c r="G84" s="20">
        <v>275.39779681762548</v>
      </c>
      <c r="H84" s="20">
        <f t="shared" si="4"/>
        <v>30.863975</v>
      </c>
      <c r="I84" s="5"/>
      <c r="J84" s="19">
        <v>303.5659</v>
      </c>
      <c r="K84" s="20">
        <v>28.506599999999999</v>
      </c>
      <c r="L84" s="20">
        <v>37.290700000000001</v>
      </c>
      <c r="M84" s="20">
        <v>37.893900000000002</v>
      </c>
      <c r="N84" s="20">
        <v>303.23450000000003</v>
      </c>
      <c r="O84" s="20">
        <f t="shared" si="5"/>
        <v>30.778025000000003</v>
      </c>
      <c r="P84" s="7"/>
      <c r="Q84" s="13"/>
      <c r="R84" s="14"/>
      <c r="S84" s="14"/>
      <c r="T84" s="27"/>
      <c r="U84" s="28">
        <f t="shared" si="3"/>
        <v>0.10107816222222224</v>
      </c>
    </row>
    <row r="85" spans="1:21" x14ac:dyDescent="0.25">
      <c r="B85" s="6" t="s">
        <v>101</v>
      </c>
      <c r="C85" s="15">
        <v>1441.2705078125</v>
      </c>
      <c r="D85" s="16">
        <v>52.4696</v>
      </c>
      <c r="E85" s="16">
        <v>51.265099999999997</v>
      </c>
      <c r="F85" s="16">
        <v>51.523499999999999</v>
      </c>
      <c r="G85" s="16">
        <v>184.72906403940888</v>
      </c>
      <c r="H85" s="16">
        <f t="shared" si="4"/>
        <v>52.200775</v>
      </c>
      <c r="I85" s="5"/>
      <c r="J85" s="15">
        <v>1468.1547</v>
      </c>
      <c r="K85" s="16">
        <v>51.643999999999998</v>
      </c>
      <c r="L85" s="16">
        <v>52.6419</v>
      </c>
      <c r="M85" s="16">
        <v>53.188099999999999</v>
      </c>
      <c r="N85" s="16">
        <v>228.7748</v>
      </c>
      <c r="O85" s="16">
        <f t="shared" si="5"/>
        <v>51.961750000000002</v>
      </c>
      <c r="P85" s="7"/>
      <c r="Q85" s="8">
        <f>bdrate(C85:C88,D85:D88,J85:J88,K85:K88)</f>
        <v>1.4808591761779955E-2</v>
      </c>
      <c r="R85" s="8">
        <f>bdrate(C85:C88,E85:E88,J85:J88,L85:L88)</f>
        <v>-0.2477283767643752</v>
      </c>
      <c r="S85" s="8">
        <f>bdrate(C85:C88,F85:F88,J85:J88,M85:M88)</f>
        <v>-0.27903566914260136</v>
      </c>
      <c r="T85" s="25">
        <f>bdrate(C85:C88,H85:H88,J85:J88,O85:O88)</f>
        <v>-5.2020081568875387E-2</v>
      </c>
      <c r="U85" s="28">
        <f t="shared" si="3"/>
        <v>0.23843425066666657</v>
      </c>
    </row>
    <row r="86" spans="1:21" x14ac:dyDescent="0.25">
      <c r="B86" s="9"/>
      <c r="C86" s="17">
        <v>962.974609375</v>
      </c>
      <c r="D86" s="18">
        <v>49.691600000000001</v>
      </c>
      <c r="E86" s="18">
        <v>48.862299999999998</v>
      </c>
      <c r="F86" s="18">
        <v>49.140999999999998</v>
      </c>
      <c r="G86" s="18">
        <v>269.29982046678634</v>
      </c>
      <c r="H86" s="18">
        <f t="shared" si="4"/>
        <v>49.519112500000006</v>
      </c>
      <c r="I86" s="5"/>
      <c r="J86" s="17">
        <v>985.55550000000005</v>
      </c>
      <c r="K86" s="18">
        <v>49.494199999999999</v>
      </c>
      <c r="L86" s="18">
        <v>50.628700000000002</v>
      </c>
      <c r="M86" s="18">
        <v>51.187100000000001</v>
      </c>
      <c r="N86" s="18">
        <v>382.9787</v>
      </c>
      <c r="O86" s="18">
        <f t="shared" si="5"/>
        <v>49.847624999999994</v>
      </c>
      <c r="P86" s="7"/>
      <c r="Q86" s="10"/>
      <c r="R86" s="11"/>
      <c r="S86" s="11"/>
      <c r="T86" s="26"/>
      <c r="U86" s="28">
        <f t="shared" si="3"/>
        <v>0.42212757266666673</v>
      </c>
    </row>
    <row r="87" spans="1:21" x14ac:dyDescent="0.25">
      <c r="B87" s="9"/>
      <c r="C87" s="17">
        <v>580.1142578125</v>
      </c>
      <c r="D87" s="18">
        <v>46.4649</v>
      </c>
      <c r="E87" s="18">
        <v>46.29</v>
      </c>
      <c r="F87" s="18">
        <v>46.558500000000002</v>
      </c>
      <c r="G87" s="18">
        <v>310.23784901758017</v>
      </c>
      <c r="H87" s="18">
        <f t="shared" si="4"/>
        <v>46.4547375</v>
      </c>
      <c r="I87" s="5"/>
      <c r="J87" s="17">
        <v>604.23040000000003</v>
      </c>
      <c r="K87" s="18">
        <v>46.785299999999999</v>
      </c>
      <c r="L87" s="18">
        <v>48.074300000000001</v>
      </c>
      <c r="M87" s="18">
        <v>48.585599999999999</v>
      </c>
      <c r="N87" s="18">
        <v>473.68419999999998</v>
      </c>
      <c r="O87" s="18">
        <f t="shared" si="5"/>
        <v>47.171462499999997</v>
      </c>
      <c r="P87" s="7"/>
      <c r="Q87" s="10"/>
      <c r="R87" s="11"/>
      <c r="S87" s="11"/>
      <c r="T87" s="26"/>
      <c r="U87" s="28">
        <f t="shared" si="3"/>
        <v>0.52684207133333316</v>
      </c>
    </row>
    <row r="88" spans="1:21" ht="16.5" thickBot="1" x14ac:dyDescent="0.3">
      <c r="B88" s="12"/>
      <c r="C88" s="19">
        <v>290.912109375</v>
      </c>
      <c r="D88" s="20">
        <v>42.029499999999999</v>
      </c>
      <c r="E88" s="20">
        <v>42.747199999999999</v>
      </c>
      <c r="F88" s="20">
        <v>43.011200000000002</v>
      </c>
      <c r="G88" s="20">
        <v>363.63636363636363</v>
      </c>
      <c r="H88" s="20">
        <f t="shared" si="4"/>
        <v>42.241924999999995</v>
      </c>
      <c r="I88" s="5"/>
      <c r="J88" s="19">
        <v>304.08690000000001</v>
      </c>
      <c r="K88" s="20">
        <v>42.484400000000001</v>
      </c>
      <c r="L88" s="20">
        <v>44.105800000000002</v>
      </c>
      <c r="M88" s="20">
        <v>44.514600000000002</v>
      </c>
      <c r="N88" s="20">
        <v>539.24509999999998</v>
      </c>
      <c r="O88" s="20">
        <f t="shared" si="5"/>
        <v>42.940849999999998</v>
      </c>
      <c r="P88" s="7"/>
      <c r="Q88" s="13"/>
      <c r="R88" s="14"/>
      <c r="S88" s="14"/>
      <c r="T88" s="27"/>
      <c r="U88" s="28">
        <f t="shared" si="3"/>
        <v>0.48292402499999998</v>
      </c>
    </row>
    <row r="89" spans="1:21" x14ac:dyDescent="0.25">
      <c r="B89" s="6" t="s">
        <v>102</v>
      </c>
      <c r="C89" s="15">
        <v>1446.8310546875</v>
      </c>
      <c r="D89" s="16">
        <v>43.945099999999996</v>
      </c>
      <c r="E89" s="16">
        <v>46.0246</v>
      </c>
      <c r="F89" s="16">
        <v>46.492699999999999</v>
      </c>
      <c r="G89" s="16">
        <v>164.17365924844947</v>
      </c>
      <c r="H89" s="16">
        <f t="shared" si="4"/>
        <v>44.523487500000002</v>
      </c>
      <c r="I89" s="5"/>
      <c r="J89" s="15">
        <v>1497.8176000000001</v>
      </c>
      <c r="K89" s="16">
        <v>43.537700000000001</v>
      </c>
      <c r="L89" s="16">
        <v>46.18</v>
      </c>
      <c r="M89" s="16">
        <v>46.653100000000002</v>
      </c>
      <c r="N89" s="16">
        <v>222.22219999999999</v>
      </c>
      <c r="O89" s="16">
        <f t="shared" si="5"/>
        <v>44.257412500000001</v>
      </c>
      <c r="P89" s="7"/>
      <c r="Q89" s="8">
        <f>bdrate(C89:C92,D89:D92,J89:J92,K89:K92)</f>
        <v>3.0443371558570576E-2</v>
      </c>
      <c r="R89" s="8">
        <f>bdrate(C89:C92,E89:E92,J89:J92,L89:L92)</f>
        <v>-5.4143483550233684E-2</v>
      </c>
      <c r="S89" s="8">
        <f>bdrate(C89:C92,F89:F92,J89:J92,M89:M92)</f>
        <v>-4.5558158665743642E-2</v>
      </c>
      <c r="T89" s="25">
        <f>bdrate(C89:C92,H89:H92,J89:J92,O89:O92)</f>
        <v>1.5021123225251065E-2</v>
      </c>
      <c r="U89" s="28">
        <f t="shared" si="3"/>
        <v>0.35358011155555552</v>
      </c>
    </row>
    <row r="90" spans="1:21" x14ac:dyDescent="0.25">
      <c r="B90" s="9"/>
      <c r="C90" s="17">
        <v>966.6953125</v>
      </c>
      <c r="D90" s="18">
        <v>41.816699999999997</v>
      </c>
      <c r="E90" s="18">
        <v>44.484900000000003</v>
      </c>
      <c r="F90" s="18">
        <v>44.978499999999997</v>
      </c>
      <c r="G90" s="18">
        <v>222.05773501110289</v>
      </c>
      <c r="H90" s="18">
        <f t="shared" si="4"/>
        <v>42.545449999999995</v>
      </c>
      <c r="I90" s="5"/>
      <c r="J90" s="17">
        <v>999.83730000000003</v>
      </c>
      <c r="K90" s="18">
        <v>41.702100000000002</v>
      </c>
      <c r="L90" s="18">
        <v>44.829500000000003</v>
      </c>
      <c r="M90" s="18">
        <v>45.289700000000003</v>
      </c>
      <c r="N90" s="18">
        <v>286.89830000000001</v>
      </c>
      <c r="O90" s="18">
        <f t="shared" si="5"/>
        <v>42.541474999999998</v>
      </c>
      <c r="P90" s="7"/>
      <c r="Q90" s="10"/>
      <c r="R90" s="11"/>
      <c r="S90" s="11"/>
      <c r="T90" s="26"/>
      <c r="U90" s="28">
        <f t="shared" si="3"/>
        <v>0.29199867766666665</v>
      </c>
    </row>
    <row r="91" spans="1:21" x14ac:dyDescent="0.25">
      <c r="B91" s="9"/>
      <c r="C91" s="17">
        <v>583.962890625</v>
      </c>
      <c r="D91" s="18">
        <v>39.040199999999999</v>
      </c>
      <c r="E91" s="18">
        <v>42.557000000000002</v>
      </c>
      <c r="F91" s="18">
        <v>43.052300000000002</v>
      </c>
      <c r="G91" s="18">
        <v>261.09660574412533</v>
      </c>
      <c r="H91" s="18">
        <f t="shared" si="4"/>
        <v>39.981312500000001</v>
      </c>
      <c r="I91" s="5"/>
      <c r="J91" s="17">
        <v>602.98479999999995</v>
      </c>
      <c r="K91" s="18">
        <v>39.182600000000001</v>
      </c>
      <c r="L91" s="18">
        <v>42.959600000000002</v>
      </c>
      <c r="M91" s="18">
        <v>43.396500000000003</v>
      </c>
      <c r="N91" s="18">
        <v>334.44819999999999</v>
      </c>
      <c r="O91" s="18">
        <f t="shared" si="5"/>
        <v>40.181462500000002</v>
      </c>
      <c r="P91" s="7"/>
      <c r="Q91" s="10"/>
      <c r="R91" s="11"/>
      <c r="S91" s="11"/>
      <c r="T91" s="26"/>
      <c r="U91" s="28">
        <f t="shared" si="3"/>
        <v>0.28093660599999992</v>
      </c>
    </row>
    <row r="92" spans="1:21" ht="16.5" thickBot="1" x14ac:dyDescent="0.3">
      <c r="B92" s="12"/>
      <c r="C92" s="19">
        <v>294.2578125</v>
      </c>
      <c r="D92" s="20">
        <v>35.276000000000003</v>
      </c>
      <c r="E92" s="20">
        <v>39.944800000000001</v>
      </c>
      <c r="F92" s="20">
        <v>40.4497</v>
      </c>
      <c r="G92" s="20">
        <v>309.38466827088348</v>
      </c>
      <c r="H92" s="20">
        <f t="shared" si="4"/>
        <v>36.5063125</v>
      </c>
      <c r="I92" s="5"/>
      <c r="J92" s="19">
        <v>301.46159999999998</v>
      </c>
      <c r="K92" s="20">
        <v>35.261699999999998</v>
      </c>
      <c r="L92" s="20">
        <v>40.1173</v>
      </c>
      <c r="M92" s="20">
        <v>40.6312</v>
      </c>
      <c r="N92" s="20">
        <v>410.39670000000001</v>
      </c>
      <c r="O92" s="20">
        <f t="shared" si="5"/>
        <v>36.539837499999997</v>
      </c>
      <c r="P92" s="7"/>
      <c r="Q92" s="13"/>
      <c r="R92" s="14"/>
      <c r="S92" s="14"/>
      <c r="T92" s="27"/>
      <c r="U92" s="28">
        <f t="shared" si="3"/>
        <v>0.32649333366666661</v>
      </c>
    </row>
    <row r="93" spans="1:21" x14ac:dyDescent="0.25">
      <c r="B93" s="6" t="s">
        <v>103</v>
      </c>
      <c r="C93" s="29">
        <v>1452.072265625</v>
      </c>
      <c r="D93" s="30">
        <v>38.467500000000001</v>
      </c>
      <c r="E93" s="30">
        <v>42.371099999999998</v>
      </c>
      <c r="F93" s="30">
        <v>42.114800000000002</v>
      </c>
      <c r="G93" s="16">
        <v>150.45135406218657</v>
      </c>
      <c r="H93" s="16">
        <f t="shared" si="4"/>
        <v>39.411362500000003</v>
      </c>
      <c r="I93" s="5"/>
      <c r="J93" s="29">
        <v>1510.1155000000001</v>
      </c>
      <c r="K93" s="30">
        <v>38.216099999999997</v>
      </c>
      <c r="L93" s="30">
        <v>42.523400000000002</v>
      </c>
      <c r="M93" s="30">
        <v>42.304200000000002</v>
      </c>
      <c r="N93" s="16">
        <v>213.27010000000001</v>
      </c>
      <c r="O93" s="16">
        <f t="shared" si="5"/>
        <v>39.265524999999997</v>
      </c>
      <c r="P93" s="7"/>
      <c r="Q93" s="8">
        <f>bdrate(C93:C96,D93:D96,J93:J96,K93:K96)</f>
        <v>4.8646537379343657E-2</v>
      </c>
      <c r="R93" s="8">
        <f>bdrate(C93:C96,E93:E96,J93:J96,L93:L96)</f>
        <v>1.2855121784082657E-2</v>
      </c>
      <c r="S93" s="8">
        <f>bdrate(C93:C96,F93:F96,J93:J96,M93:M96)</f>
        <v>2.0326164216366571E-3</v>
      </c>
      <c r="T93" s="25">
        <f>bdrate(C93:C96,H93:H96,J93:J96,O93:O96)</f>
        <v>4.1449784148002378E-2</v>
      </c>
      <c r="U93" s="28">
        <f t="shared" si="3"/>
        <v>0.41753526466666668</v>
      </c>
    </row>
    <row r="94" spans="1:21" x14ac:dyDescent="0.25">
      <c r="B94" s="9"/>
      <c r="C94" s="31">
        <v>968.689453125</v>
      </c>
      <c r="D94" s="32">
        <v>36.529000000000003</v>
      </c>
      <c r="E94" s="32">
        <v>41.1599</v>
      </c>
      <c r="F94" s="32">
        <v>40.875700000000002</v>
      </c>
      <c r="G94" s="18">
        <v>191.77498401875135</v>
      </c>
      <c r="H94" s="18">
        <f t="shared" si="4"/>
        <v>37.651200000000003</v>
      </c>
      <c r="I94" s="5"/>
      <c r="J94" s="31">
        <v>1007.4309</v>
      </c>
      <c r="K94" s="32">
        <v>36.389000000000003</v>
      </c>
      <c r="L94" s="32">
        <v>41.261800000000001</v>
      </c>
      <c r="M94" s="32">
        <v>41.010300000000001</v>
      </c>
      <c r="N94" s="18">
        <v>250.69640000000001</v>
      </c>
      <c r="O94" s="18">
        <f t="shared" si="5"/>
        <v>37.575762499999996</v>
      </c>
      <c r="P94" s="7"/>
      <c r="Q94" s="10"/>
      <c r="R94" s="11"/>
      <c r="S94" s="11"/>
      <c r="T94" s="26"/>
      <c r="U94" s="28">
        <f t="shared" si="3"/>
        <v>0.30724245022222213</v>
      </c>
    </row>
    <row r="95" spans="1:21" x14ac:dyDescent="0.25">
      <c r="B95" s="9"/>
      <c r="C95" s="31">
        <v>583.119140625</v>
      </c>
      <c r="D95" s="32">
        <v>34.175400000000003</v>
      </c>
      <c r="E95" s="32">
        <v>39.715200000000003</v>
      </c>
      <c r="F95" s="32">
        <v>39.3857</v>
      </c>
      <c r="G95" s="18">
        <v>235.47880690737833</v>
      </c>
      <c r="H95" s="18">
        <f t="shared" si="4"/>
        <v>35.519162500000007</v>
      </c>
      <c r="I95" s="5"/>
      <c r="J95" s="31">
        <v>603.05650000000003</v>
      </c>
      <c r="K95" s="32">
        <v>34.151800000000001</v>
      </c>
      <c r="L95" s="32">
        <v>39.760899999999999</v>
      </c>
      <c r="M95" s="32">
        <v>39.474899999999998</v>
      </c>
      <c r="N95" s="18">
        <v>287.26459999999997</v>
      </c>
      <c r="O95" s="18">
        <f t="shared" si="5"/>
        <v>35.518324999999997</v>
      </c>
      <c r="P95" s="7"/>
      <c r="Q95" s="10"/>
      <c r="R95" s="11"/>
      <c r="S95" s="11"/>
      <c r="T95" s="26"/>
      <c r="U95" s="28">
        <f t="shared" si="3"/>
        <v>0.21991700133333325</v>
      </c>
    </row>
    <row r="96" spans="1:21" ht="16.5" thickBot="1" x14ac:dyDescent="0.3">
      <c r="B96" s="12"/>
      <c r="C96" s="33">
        <v>294.1953125</v>
      </c>
      <c r="D96" s="34">
        <v>31.112300000000001</v>
      </c>
      <c r="E96" s="34">
        <v>37.935600000000001</v>
      </c>
      <c r="F96" s="34">
        <v>37.536799999999999</v>
      </c>
      <c r="G96" s="20">
        <v>297.91459781529295</v>
      </c>
      <c r="H96" s="20">
        <f t="shared" si="4"/>
        <v>32.768275000000003</v>
      </c>
      <c r="I96" s="5"/>
      <c r="J96" s="33">
        <v>301.85250000000002</v>
      </c>
      <c r="K96" s="34">
        <v>31.188800000000001</v>
      </c>
      <c r="L96" s="34">
        <v>37.929000000000002</v>
      </c>
      <c r="M96" s="34">
        <v>37.537500000000001</v>
      </c>
      <c r="N96" s="20">
        <v>363.63639999999998</v>
      </c>
      <c r="O96" s="20">
        <f t="shared" si="5"/>
        <v>32.824912500000003</v>
      </c>
      <c r="P96" s="7"/>
      <c r="Q96" s="13"/>
      <c r="R96" s="14"/>
      <c r="S96" s="14"/>
      <c r="T96" s="27"/>
      <c r="U96" s="28">
        <f t="shared" si="3"/>
        <v>0.22060618266666659</v>
      </c>
    </row>
    <row r="97" spans="2:21" x14ac:dyDescent="0.25">
      <c r="B97" s="6" t="s">
        <v>104</v>
      </c>
      <c r="C97" s="15">
        <v>1472.2236328125</v>
      </c>
      <c r="D97" s="16">
        <v>37.090699999999998</v>
      </c>
      <c r="E97" s="16">
        <v>40.999200000000002</v>
      </c>
      <c r="F97" s="16">
        <v>41.6905</v>
      </c>
      <c r="G97" s="16">
        <v>158.00561797752809</v>
      </c>
      <c r="H97" s="16">
        <f t="shared" si="4"/>
        <v>38.154237500000001</v>
      </c>
      <c r="I97" s="5"/>
      <c r="J97" s="15">
        <v>1499.9802999999999</v>
      </c>
      <c r="K97" s="16">
        <v>36.835999999999999</v>
      </c>
      <c r="L97" s="16">
        <v>41.426000000000002</v>
      </c>
      <c r="M97" s="16">
        <v>41.920299999999997</v>
      </c>
      <c r="N97" s="16">
        <v>204.96469999999999</v>
      </c>
      <c r="O97" s="16">
        <f t="shared" si="5"/>
        <v>38.045287500000001</v>
      </c>
      <c r="P97" s="7"/>
      <c r="Q97" s="8">
        <f>bdrate(C97:C100,D97:D100,J97:J100,K97:K100)</f>
        <v>1.1708740577862642E-3</v>
      </c>
      <c r="R97" s="8">
        <f>bdrate(C97:C100,E97:E100,J97:J100,L97:L100)</f>
        <v>-0.13494308081392803</v>
      </c>
      <c r="S97" s="8">
        <f>bdrate(C97:C100,F97:F100,J97:J100,M97:M100)</f>
        <v>-7.6752113954877133E-2</v>
      </c>
      <c r="T97" s="25">
        <f>bdrate(C97:C100,H97:H100,J97:J100,O97:O100)</f>
        <v>-1.8372812802999849E-2</v>
      </c>
      <c r="U97" s="28">
        <f t="shared" si="3"/>
        <v>0.2971988124444444</v>
      </c>
    </row>
    <row r="98" spans="2:21" x14ac:dyDescent="0.25">
      <c r="B98" s="9"/>
      <c r="C98" s="17">
        <v>983.173828125</v>
      </c>
      <c r="D98" s="18">
        <v>35.045200000000001</v>
      </c>
      <c r="E98" s="18">
        <v>39.601399999999998</v>
      </c>
      <c r="F98" s="18">
        <v>40.353099999999998</v>
      </c>
      <c r="G98" s="18">
        <v>208.33333333333331</v>
      </c>
      <c r="H98" s="18">
        <f t="shared" si="4"/>
        <v>36.278212500000002</v>
      </c>
      <c r="I98" s="5"/>
      <c r="J98" s="17">
        <v>1000.7464</v>
      </c>
      <c r="K98" s="18">
        <v>34.918999999999997</v>
      </c>
      <c r="L98" s="18">
        <v>40.039099999999998</v>
      </c>
      <c r="M98" s="18">
        <v>40.573599999999999</v>
      </c>
      <c r="N98" s="18">
        <v>243.70429999999999</v>
      </c>
      <c r="O98" s="18">
        <f t="shared" si="5"/>
        <v>36.265837499999996</v>
      </c>
      <c r="P98" s="7"/>
      <c r="Q98" s="10"/>
      <c r="R98" s="11"/>
      <c r="S98" s="11"/>
      <c r="T98" s="26"/>
      <c r="U98" s="28">
        <f t="shared" si="3"/>
        <v>0.16978064000000007</v>
      </c>
    </row>
    <row r="99" spans="2:21" x14ac:dyDescent="0.25">
      <c r="B99" s="9"/>
      <c r="C99" s="17">
        <v>591.3369140625</v>
      </c>
      <c r="D99" s="18">
        <v>32.427700000000002</v>
      </c>
      <c r="E99" s="18">
        <v>37.819200000000002</v>
      </c>
      <c r="F99" s="18">
        <v>38.620699999999999</v>
      </c>
      <c r="G99" s="18">
        <v>245.56616643929058</v>
      </c>
      <c r="H99" s="18">
        <f t="shared" si="4"/>
        <v>33.8757625</v>
      </c>
      <c r="I99" s="5"/>
      <c r="J99" s="17">
        <v>601.38589999999999</v>
      </c>
      <c r="K99" s="18">
        <v>32.608400000000003</v>
      </c>
      <c r="L99" s="18">
        <v>38.421300000000002</v>
      </c>
      <c r="M99" s="18">
        <v>39.007899999999999</v>
      </c>
      <c r="N99" s="18">
        <v>287.6318</v>
      </c>
      <c r="O99" s="18">
        <f t="shared" si="5"/>
        <v>34.134950000000003</v>
      </c>
      <c r="P99" s="7"/>
      <c r="Q99" s="10"/>
      <c r="R99" s="11"/>
      <c r="S99" s="11"/>
      <c r="T99" s="26"/>
      <c r="U99" s="28">
        <f t="shared" si="3"/>
        <v>0.17130060777777778</v>
      </c>
    </row>
    <row r="100" spans="2:21" ht="16.5" thickBot="1" x14ac:dyDescent="0.3">
      <c r="B100" s="12"/>
      <c r="C100" s="19">
        <v>295.623046875</v>
      </c>
      <c r="D100" s="20">
        <v>29.045999999999999</v>
      </c>
      <c r="E100" s="20">
        <v>35.814500000000002</v>
      </c>
      <c r="F100" s="20">
        <v>36.721299999999999</v>
      </c>
      <c r="G100" s="20">
        <v>311.52647975077883</v>
      </c>
      <c r="H100" s="20">
        <f t="shared" si="4"/>
        <v>30.851475000000001</v>
      </c>
      <c r="I100" s="5"/>
      <c r="J100" s="19">
        <v>301.09039999999999</v>
      </c>
      <c r="K100" s="20">
        <v>29.371700000000001</v>
      </c>
      <c r="L100" s="20">
        <v>36.305700000000002</v>
      </c>
      <c r="M100" s="20">
        <v>36.963700000000003</v>
      </c>
      <c r="N100" s="20">
        <v>357.42649999999998</v>
      </c>
      <c r="O100" s="20">
        <f t="shared" si="5"/>
        <v>31.187449999999998</v>
      </c>
      <c r="P100" s="7"/>
      <c r="Q100" s="13"/>
      <c r="R100" s="14"/>
      <c r="S100" s="14"/>
      <c r="T100" s="27"/>
      <c r="U100" s="28">
        <f t="shared" si="3"/>
        <v>0.14733906499999985</v>
      </c>
    </row>
    <row r="101" spans="2:21" x14ac:dyDescent="0.25">
      <c r="B101" s="6" t="s">
        <v>105</v>
      </c>
      <c r="C101" s="15">
        <v>1477.38671875</v>
      </c>
      <c r="D101" s="16">
        <v>37.803800000000003</v>
      </c>
      <c r="E101" s="16">
        <v>43.225700000000003</v>
      </c>
      <c r="F101" s="16">
        <v>45.104199999999999</v>
      </c>
      <c r="G101" s="16">
        <v>151.20967741935485</v>
      </c>
      <c r="H101" s="16">
        <f t="shared" si="4"/>
        <v>39.394087500000005</v>
      </c>
      <c r="I101" s="5"/>
      <c r="J101" s="15">
        <v>1525.7117000000001</v>
      </c>
      <c r="K101" s="16">
        <v>37.189300000000003</v>
      </c>
      <c r="L101" s="16">
        <v>43.076799999999999</v>
      </c>
      <c r="M101" s="16">
        <v>44.9223</v>
      </c>
      <c r="N101" s="16">
        <v>197.84569999999999</v>
      </c>
      <c r="O101" s="16">
        <f t="shared" si="5"/>
        <v>38.891862500000002</v>
      </c>
      <c r="P101" s="7"/>
      <c r="Q101" s="8">
        <f>bdrate(C101:C104,D101:D104,J101:J104,K101:K104)</f>
        <v>0.16358095509063708</v>
      </c>
      <c r="R101" s="8">
        <f>bdrate(C101:C104,E101:E104,J101:J104,L101:L104)</f>
        <v>0.11314191359156811</v>
      </c>
      <c r="S101" s="8">
        <f>bdrate(C101:C104,F101:F104,J101:J104,M101:M104)</f>
        <v>9.4577936931337092E-2</v>
      </c>
      <c r="T101" s="25">
        <f>bdrate(C101:C104,H101:H104,J101:J104,O101:O104)</f>
        <v>0.15208951949432792</v>
      </c>
      <c r="U101" s="28">
        <f t="shared" si="3"/>
        <v>0.30841956266666654</v>
      </c>
    </row>
    <row r="102" spans="2:21" x14ac:dyDescent="0.25">
      <c r="B102" s="9"/>
      <c r="C102" s="17">
        <v>984.8251953125</v>
      </c>
      <c r="D102" s="18">
        <v>36.333199999999998</v>
      </c>
      <c r="E102" s="18">
        <v>42.295400000000001</v>
      </c>
      <c r="F102" s="18">
        <v>44.089399999999998</v>
      </c>
      <c r="G102" s="18">
        <v>193.631669535284</v>
      </c>
      <c r="H102" s="18">
        <f t="shared" si="4"/>
        <v>38.047999999999995</v>
      </c>
      <c r="I102" s="5"/>
      <c r="J102" s="17">
        <v>1004.5995</v>
      </c>
      <c r="K102" s="18">
        <v>35.729799999999997</v>
      </c>
      <c r="L102" s="18">
        <v>42.0715</v>
      </c>
      <c r="M102" s="18">
        <v>43.808700000000002</v>
      </c>
      <c r="N102" s="18">
        <v>230.88759999999999</v>
      </c>
      <c r="O102" s="18">
        <f t="shared" si="5"/>
        <v>37.532374999999995</v>
      </c>
      <c r="P102" s="7"/>
      <c r="Q102" s="10"/>
      <c r="R102" s="11"/>
      <c r="S102" s="11"/>
      <c r="T102" s="26"/>
      <c r="U102" s="28">
        <f t="shared" si="3"/>
        <v>0.19240618311111099</v>
      </c>
    </row>
    <row r="103" spans="2:21" x14ac:dyDescent="0.25">
      <c r="B103" s="9"/>
      <c r="C103" s="17">
        <v>592.34375</v>
      </c>
      <c r="D103" s="18">
        <v>34.521999999999998</v>
      </c>
      <c r="E103" s="18">
        <v>41.136600000000001</v>
      </c>
      <c r="F103" s="18">
        <v>42.698900000000002</v>
      </c>
      <c r="G103" s="18">
        <v>235.97273203985316</v>
      </c>
      <c r="H103" s="18">
        <f t="shared" si="4"/>
        <v>36.370937499999997</v>
      </c>
      <c r="I103" s="5"/>
      <c r="J103" s="17">
        <v>603.29759999999999</v>
      </c>
      <c r="K103" s="18">
        <v>34.122500000000002</v>
      </c>
      <c r="L103" s="18">
        <v>40.957700000000003</v>
      </c>
      <c r="M103" s="18">
        <v>42.569600000000001</v>
      </c>
      <c r="N103" s="18">
        <v>272.6447</v>
      </c>
      <c r="O103" s="18">
        <f t="shared" si="5"/>
        <v>36.032787499999998</v>
      </c>
      <c r="P103" s="7"/>
      <c r="Q103" s="10"/>
      <c r="R103" s="11"/>
      <c r="S103" s="11"/>
      <c r="T103" s="26"/>
      <c r="U103" s="28">
        <f t="shared" si="3"/>
        <v>0.15540765088888897</v>
      </c>
    </row>
    <row r="104" spans="2:21" ht="16.5" thickBot="1" x14ac:dyDescent="0.3">
      <c r="B104" s="12"/>
      <c r="C104" s="19">
        <v>297.251953125</v>
      </c>
      <c r="D104" s="20">
        <v>32.197499999999998</v>
      </c>
      <c r="E104" s="20">
        <v>39.676200000000001</v>
      </c>
      <c r="F104" s="20">
        <v>41.012300000000003</v>
      </c>
      <c r="G104" s="20">
        <v>314.68531468531472</v>
      </c>
      <c r="H104" s="20">
        <f t="shared" si="4"/>
        <v>34.234187499999997</v>
      </c>
      <c r="I104" s="5"/>
      <c r="J104" s="19">
        <v>301.41969999999998</v>
      </c>
      <c r="K104" s="20">
        <v>31.979099999999999</v>
      </c>
      <c r="L104" s="20">
        <v>39.465800000000002</v>
      </c>
      <c r="M104" s="20">
        <v>40.876899999999999</v>
      </c>
      <c r="N104" s="20">
        <v>349.65030000000002</v>
      </c>
      <c r="O104" s="20">
        <f t="shared" si="5"/>
        <v>34.027162499999996</v>
      </c>
      <c r="P104" s="7"/>
      <c r="Q104" s="13"/>
      <c r="R104" s="14"/>
      <c r="S104" s="14"/>
      <c r="T104" s="27"/>
      <c r="U104" s="28">
        <f t="shared" si="3"/>
        <v>0.11111095333333325</v>
      </c>
    </row>
    <row r="105" spans="2:21" x14ac:dyDescent="0.25">
      <c r="B105" s="6" t="s">
        <v>106</v>
      </c>
      <c r="C105" s="15">
        <v>1455.9482421875</v>
      </c>
      <c r="D105" s="16">
        <v>49.102699999999999</v>
      </c>
      <c r="E105" s="16">
        <v>54.517000000000003</v>
      </c>
      <c r="F105" s="16">
        <v>54.462600000000002</v>
      </c>
      <c r="G105" s="16">
        <v>167.5977653631285</v>
      </c>
      <c r="H105" s="16">
        <f t="shared" si="4"/>
        <v>50.449475</v>
      </c>
      <c r="I105" s="5"/>
      <c r="J105" s="15">
        <v>1512.6619000000001</v>
      </c>
      <c r="K105" s="16">
        <v>48.283299999999997</v>
      </c>
      <c r="L105" s="16">
        <v>54.612699999999997</v>
      </c>
      <c r="M105" s="16">
        <v>54.5045</v>
      </c>
      <c r="N105" s="16">
        <v>224.1036</v>
      </c>
      <c r="O105" s="16">
        <f t="shared" si="5"/>
        <v>49.852125000000001</v>
      </c>
      <c r="P105" s="7"/>
      <c r="Q105" s="8">
        <f>bdrate(C105:C108,D105:D108,J105:J108,K105:K108)</f>
        <v>0.25327155232203302</v>
      </c>
      <c r="R105" s="8">
        <f>bdrate(C105:C108,E105:E108,J105:J108,L105:L108)</f>
        <v>6.0441407995641461E-2</v>
      </c>
      <c r="S105" s="8">
        <f>bdrate(C105:C108,F105:F108,J105:J108,M105:M108)</f>
        <v>6.0868509431188933E-2</v>
      </c>
      <c r="T105" s="25">
        <f>bdrate(C105:C108,H105:H108,J105:J108,O105:O108)</f>
        <v>0.20505911637331597</v>
      </c>
      <c r="U105" s="28">
        <f t="shared" si="3"/>
        <v>0.33715147999999989</v>
      </c>
    </row>
    <row r="106" spans="2:21" x14ac:dyDescent="0.25">
      <c r="B106" s="9"/>
      <c r="C106" s="17">
        <v>970.0771484375</v>
      </c>
      <c r="D106" s="18">
        <v>47.197400000000002</v>
      </c>
      <c r="E106" s="18">
        <v>52.861600000000003</v>
      </c>
      <c r="F106" s="18">
        <v>52.752699999999997</v>
      </c>
      <c r="G106" s="18">
        <v>230.47375160051217</v>
      </c>
      <c r="H106" s="18">
        <f t="shared" si="4"/>
        <v>48.5998375</v>
      </c>
      <c r="I106" s="5"/>
      <c r="J106" s="17">
        <v>1010.3365</v>
      </c>
      <c r="K106" s="18">
        <v>46.524700000000003</v>
      </c>
      <c r="L106" s="18">
        <v>52.9846</v>
      </c>
      <c r="M106" s="18">
        <v>52.840899999999998</v>
      </c>
      <c r="N106" s="18">
        <v>294.59899999999999</v>
      </c>
      <c r="O106" s="18">
        <f t="shared" si="5"/>
        <v>48.121712500000001</v>
      </c>
      <c r="P106" s="7"/>
      <c r="Q106" s="10"/>
      <c r="R106" s="11"/>
      <c r="S106" s="11"/>
      <c r="T106" s="26"/>
      <c r="U106" s="28">
        <f t="shared" si="3"/>
        <v>0.27823232777777768</v>
      </c>
    </row>
    <row r="107" spans="2:21" x14ac:dyDescent="0.25">
      <c r="B107" s="9"/>
      <c r="C107" s="17">
        <v>581.96484375</v>
      </c>
      <c r="D107" s="18">
        <v>45.080100000000002</v>
      </c>
      <c r="E107" s="18">
        <v>50.968600000000002</v>
      </c>
      <c r="F107" s="18">
        <v>50.829900000000002</v>
      </c>
      <c r="G107" s="18">
        <v>274.22303473491775</v>
      </c>
      <c r="H107" s="18">
        <f t="shared" si="4"/>
        <v>46.534887499999996</v>
      </c>
      <c r="I107" s="5"/>
      <c r="J107" s="17">
        <v>607.06269999999995</v>
      </c>
      <c r="K107" s="18">
        <v>44.231200000000001</v>
      </c>
      <c r="L107" s="18">
        <v>50.844499999999996</v>
      </c>
      <c r="M107" s="18">
        <v>50.739600000000003</v>
      </c>
      <c r="N107" s="18">
        <v>341.4264</v>
      </c>
      <c r="O107" s="18">
        <f t="shared" si="5"/>
        <v>45.871412499999998</v>
      </c>
      <c r="P107" s="7"/>
      <c r="Q107" s="10"/>
      <c r="R107" s="11"/>
      <c r="S107" s="11"/>
      <c r="T107" s="26"/>
      <c r="U107" s="28">
        <f t="shared" si="3"/>
        <v>0.24506827199999995</v>
      </c>
    </row>
    <row r="108" spans="2:21" ht="16.5" thickBot="1" x14ac:dyDescent="0.3">
      <c r="B108" s="12"/>
      <c r="C108" s="19">
        <v>291.5322265625</v>
      </c>
      <c r="D108" s="20">
        <v>42.0441</v>
      </c>
      <c r="E108" s="20">
        <v>48.212400000000002</v>
      </c>
      <c r="F108" s="20">
        <v>48.078099999999999</v>
      </c>
      <c r="G108" s="20">
        <v>341.1675511751327</v>
      </c>
      <c r="H108" s="20">
        <f t="shared" si="4"/>
        <v>43.569387499999998</v>
      </c>
      <c r="I108" s="5"/>
      <c r="J108" s="19">
        <v>303.10719999999998</v>
      </c>
      <c r="K108" s="20">
        <v>40.969000000000001</v>
      </c>
      <c r="L108" s="20">
        <v>47.816600000000001</v>
      </c>
      <c r="M108" s="20">
        <v>47.642899999999997</v>
      </c>
      <c r="N108" s="20">
        <v>432.48439999999999</v>
      </c>
      <c r="O108" s="20">
        <f t="shared" si="5"/>
        <v>42.659187500000002</v>
      </c>
      <c r="P108" s="7"/>
      <c r="Q108" s="13"/>
      <c r="R108" s="14"/>
      <c r="S108" s="14"/>
      <c r="T108" s="27"/>
      <c r="U108" s="28">
        <f t="shared" si="3"/>
        <v>0.26765983022222212</v>
      </c>
    </row>
    <row r="109" spans="2:21" x14ac:dyDescent="0.25">
      <c r="B109" s="6" t="s">
        <v>107</v>
      </c>
      <c r="C109" s="15">
        <v>1472.69921875</v>
      </c>
      <c r="D109" s="16">
        <v>31.409300000000002</v>
      </c>
      <c r="E109" s="16">
        <v>40.091000000000001</v>
      </c>
      <c r="F109" s="16">
        <v>39.360199999999999</v>
      </c>
      <c r="G109" s="16">
        <v>147.58937356510333</v>
      </c>
      <c r="H109" s="16">
        <f t="shared" si="4"/>
        <v>33.488375000000005</v>
      </c>
      <c r="I109" s="5"/>
      <c r="J109" s="15">
        <v>1504.7643</v>
      </c>
      <c r="K109" s="16">
        <v>31.027200000000001</v>
      </c>
      <c r="L109" s="16">
        <v>39.779699999999998</v>
      </c>
      <c r="M109" s="16">
        <v>38.956699999999998</v>
      </c>
      <c r="N109" s="16">
        <v>164.0839</v>
      </c>
      <c r="O109" s="16">
        <f t="shared" si="5"/>
        <v>33.112450000000003</v>
      </c>
      <c r="P109" s="7"/>
      <c r="Q109" s="8">
        <f>bdrate(C109:C112,D109:D112,J109:J112,K109:K112)</f>
        <v>5.9419186762061926E-2</v>
      </c>
      <c r="R109" s="8">
        <f>bdrate(C109:C112,E109:E112,J109:J112,L109:L112)</f>
        <v>7.7956230988489583E-2</v>
      </c>
      <c r="S109" s="8">
        <f>bdrate(C109:C112,F109:F112,J109:J112,M109:M112)</f>
        <v>9.503085556635682E-2</v>
      </c>
      <c r="T109" s="25">
        <f>bdrate(C109:C112,H109:H112,J109:J112,O109:O112)</f>
        <v>6.4309002321934816E-2</v>
      </c>
      <c r="U109" s="28">
        <f t="shared" si="3"/>
        <v>0.1117595802222221</v>
      </c>
    </row>
    <row r="110" spans="2:21" x14ac:dyDescent="0.25">
      <c r="B110" s="9"/>
      <c r="C110" s="17">
        <v>982.4912109375</v>
      </c>
      <c r="D110" s="18">
        <v>29.501899999999999</v>
      </c>
      <c r="E110" s="18">
        <v>39.070099999999996</v>
      </c>
      <c r="F110" s="18">
        <v>38.253500000000003</v>
      </c>
      <c r="G110" s="18">
        <v>194.21665947345704</v>
      </c>
      <c r="H110" s="18">
        <f t="shared" si="4"/>
        <v>31.791874999999997</v>
      </c>
      <c r="I110" s="5"/>
      <c r="J110" s="17">
        <v>1004.8176</v>
      </c>
      <c r="K110" s="18">
        <v>29.248699999999999</v>
      </c>
      <c r="L110" s="18">
        <v>38.916600000000003</v>
      </c>
      <c r="M110" s="18">
        <v>38.037300000000002</v>
      </c>
      <c r="N110" s="18">
        <v>192.55459999999999</v>
      </c>
      <c r="O110" s="18">
        <f t="shared" si="5"/>
        <v>31.5557625</v>
      </c>
      <c r="P110" s="7"/>
      <c r="Q110" s="10"/>
      <c r="R110" s="11"/>
      <c r="S110" s="11"/>
      <c r="T110" s="26"/>
      <c r="U110" s="28">
        <f t="shared" si="3"/>
        <v>-8.5577595555555164E-3</v>
      </c>
    </row>
    <row r="111" spans="2:21" x14ac:dyDescent="0.25">
      <c r="B111" s="9"/>
      <c r="C111" s="17">
        <v>589.6591796875</v>
      </c>
      <c r="D111" s="18">
        <v>27.1706</v>
      </c>
      <c r="E111" s="18">
        <v>37.723300000000002</v>
      </c>
      <c r="F111" s="18">
        <v>36.814900000000002</v>
      </c>
      <c r="G111" s="18">
        <v>219.99511121975067</v>
      </c>
      <c r="H111" s="18">
        <f t="shared" si="4"/>
        <v>29.695224999999997</v>
      </c>
      <c r="I111" s="5"/>
      <c r="J111" s="17">
        <v>601.34130000000005</v>
      </c>
      <c r="K111" s="18">
        <v>27.024100000000001</v>
      </c>
      <c r="L111" s="18">
        <v>37.584099999999999</v>
      </c>
      <c r="M111" s="18">
        <v>36.628399999999999</v>
      </c>
      <c r="N111" s="18">
        <v>238.47380000000001</v>
      </c>
      <c r="O111" s="18">
        <f t="shared" si="5"/>
        <v>29.5446375</v>
      </c>
      <c r="P111" s="7"/>
      <c r="Q111" s="10"/>
      <c r="R111" s="11"/>
      <c r="S111" s="11"/>
      <c r="T111" s="26"/>
      <c r="U111" s="28">
        <f t="shared" si="3"/>
        <v>8.3995906444444518E-2</v>
      </c>
    </row>
    <row r="112" spans="2:21" ht="16.5" thickBot="1" x14ac:dyDescent="0.3">
      <c r="B112" s="12"/>
      <c r="C112" s="19">
        <v>296.564453125</v>
      </c>
      <c r="D112" s="20">
        <v>24.260400000000001</v>
      </c>
      <c r="E112" s="20">
        <v>35.425699999999999</v>
      </c>
      <c r="F112" s="20">
        <v>34.617100000000001</v>
      </c>
      <c r="G112" s="20">
        <v>222.82743253280518</v>
      </c>
      <c r="H112" s="20">
        <f t="shared" si="4"/>
        <v>26.95065</v>
      </c>
      <c r="I112" s="5"/>
      <c r="J112" s="19">
        <v>301.83440000000002</v>
      </c>
      <c r="K112" s="20">
        <v>24.305199999999999</v>
      </c>
      <c r="L112" s="20">
        <v>35.246699999999997</v>
      </c>
      <c r="M112" s="20">
        <v>34.438800000000001</v>
      </c>
      <c r="N112" s="20">
        <v>305.70650000000001</v>
      </c>
      <c r="O112" s="20">
        <f t="shared" si="5"/>
        <v>26.939587500000002</v>
      </c>
      <c r="P112" s="7"/>
      <c r="Q112" s="13"/>
      <c r="R112" s="14"/>
      <c r="S112" s="14"/>
      <c r="T112" s="27"/>
      <c r="U112" s="28">
        <f t="shared" si="3"/>
        <v>0.3719428372222221</v>
      </c>
    </row>
    <row r="113" spans="2:21" x14ac:dyDescent="0.25">
      <c r="B113" s="6" t="s">
        <v>108</v>
      </c>
      <c r="C113" s="15">
        <v>1450.359375</v>
      </c>
      <c r="D113" s="16">
        <v>46.554600000000001</v>
      </c>
      <c r="E113" s="16">
        <v>46.803100000000001</v>
      </c>
      <c r="F113" s="16">
        <v>46.842700000000001</v>
      </c>
      <c r="G113" s="16">
        <v>169.36394429808055</v>
      </c>
      <c r="H113" s="16">
        <f t="shared" si="4"/>
        <v>46.621675000000003</v>
      </c>
      <c r="I113" s="5"/>
      <c r="J113" s="15">
        <v>1376.2707</v>
      </c>
      <c r="K113" s="16">
        <v>45.5976</v>
      </c>
      <c r="L113" s="16">
        <v>46.486899999999999</v>
      </c>
      <c r="M113" s="16">
        <v>46.494900000000001</v>
      </c>
      <c r="N113" s="16">
        <v>208.47810000000001</v>
      </c>
      <c r="O113" s="16">
        <f t="shared" si="5"/>
        <v>45.820925000000003</v>
      </c>
      <c r="P113" s="7"/>
      <c r="Q113" s="8">
        <f>bdrate(C113:C116,D113:D116,J113:J116,K113:K116)</f>
        <v>6.2658506498859845E-2</v>
      </c>
      <c r="R113" s="8">
        <f>bdrate(C113:C116,E113:E116,J113:J116,L113:L116)</f>
        <v>-9.1970821125093583E-3</v>
      </c>
      <c r="S113" s="8">
        <f>bdrate(C113:C116,F113:F116,J113:J116,M113:M116)</f>
        <v>-1.4462462777701468E-2</v>
      </c>
      <c r="T113" s="25">
        <f>bdrate(C113:C116,H113:H116,J113:J116,O113:O116)</f>
        <v>4.6934262700587537E-2</v>
      </c>
      <c r="U113" s="28">
        <f t="shared" si="3"/>
        <v>0.23094735933333332</v>
      </c>
    </row>
    <row r="114" spans="2:21" x14ac:dyDescent="0.25">
      <c r="B114" s="9"/>
      <c r="C114" s="17">
        <v>984.310546875</v>
      </c>
      <c r="D114" s="18">
        <v>44.634799999999998</v>
      </c>
      <c r="E114" s="18">
        <v>45.098999999999997</v>
      </c>
      <c r="F114" s="18">
        <v>45.123399999999997</v>
      </c>
      <c r="G114" s="18">
        <v>240.25627335824879</v>
      </c>
      <c r="H114" s="18">
        <f t="shared" si="4"/>
        <v>44.753900000000002</v>
      </c>
      <c r="I114" s="5"/>
      <c r="J114" s="17">
        <v>932.4683</v>
      </c>
      <c r="K114" s="18">
        <v>43.678600000000003</v>
      </c>
      <c r="L114" s="18">
        <v>44.816200000000002</v>
      </c>
      <c r="M114" s="18">
        <v>44.839599999999997</v>
      </c>
      <c r="N114" s="18">
        <v>274.47390000000001</v>
      </c>
      <c r="O114" s="18">
        <f t="shared" si="5"/>
        <v>43.965924999999999</v>
      </c>
      <c r="P114" s="7"/>
      <c r="Q114" s="10"/>
      <c r="R114" s="11"/>
      <c r="S114" s="11"/>
      <c r="T114" s="26"/>
      <c r="U114" s="28">
        <f t="shared" si="3"/>
        <v>0.1424213660000001</v>
      </c>
    </row>
    <row r="115" spans="2:21" x14ac:dyDescent="0.25">
      <c r="B115" s="9"/>
      <c r="C115" s="17">
        <v>599.50390625</v>
      </c>
      <c r="D115" s="18">
        <v>41.557699999999997</v>
      </c>
      <c r="E115" s="18">
        <v>42.658700000000003</v>
      </c>
      <c r="F115" s="18">
        <v>42.663800000000002</v>
      </c>
      <c r="G115" s="18">
        <v>286.16852146263909</v>
      </c>
      <c r="H115" s="18">
        <f t="shared" si="4"/>
        <v>41.833587499999993</v>
      </c>
      <c r="I115" s="5"/>
      <c r="J115" s="17">
        <v>570.29600000000005</v>
      </c>
      <c r="K115" s="18">
        <v>40.886499999999998</v>
      </c>
      <c r="L115" s="18">
        <v>42.466500000000003</v>
      </c>
      <c r="M115" s="18">
        <v>42.503900000000002</v>
      </c>
      <c r="N115" s="18">
        <v>325.61509999999998</v>
      </c>
      <c r="O115" s="18">
        <f t="shared" si="5"/>
        <v>41.286175</v>
      </c>
      <c r="P115" s="7"/>
      <c r="Q115" s="10"/>
      <c r="R115" s="11"/>
      <c r="S115" s="11"/>
      <c r="T115" s="26"/>
      <c r="U115" s="28">
        <f t="shared" si="3"/>
        <v>0.13784387722222224</v>
      </c>
    </row>
    <row r="116" spans="2:21" ht="16.5" thickBot="1" x14ac:dyDescent="0.3">
      <c r="B116" s="12"/>
      <c r="C116" s="19">
        <v>301.1416015625</v>
      </c>
      <c r="D116" s="20">
        <v>36.687399999999997</v>
      </c>
      <c r="E116" s="20">
        <v>39.153300000000002</v>
      </c>
      <c r="F116" s="20">
        <v>39.094299999999997</v>
      </c>
      <c r="G116" s="20">
        <v>336.82634730538922</v>
      </c>
      <c r="H116" s="20">
        <f t="shared" si="4"/>
        <v>37.296499999999995</v>
      </c>
      <c r="I116" s="5"/>
      <c r="J116" s="19">
        <v>285.46190000000001</v>
      </c>
      <c r="K116" s="20">
        <v>36.441800000000001</v>
      </c>
      <c r="L116" s="20">
        <v>39.088299999999997</v>
      </c>
      <c r="M116" s="20">
        <v>39.087899999999998</v>
      </c>
      <c r="N116" s="20">
        <v>405.22289999999998</v>
      </c>
      <c r="O116" s="20">
        <f t="shared" si="5"/>
        <v>37.103375</v>
      </c>
      <c r="P116" s="7"/>
      <c r="Q116" s="13"/>
      <c r="R116" s="14"/>
      <c r="S116" s="14"/>
      <c r="T116" s="27"/>
      <c r="U116" s="28">
        <f t="shared" si="3"/>
        <v>0.20306176533333328</v>
      </c>
    </row>
    <row r="117" spans="2:21" x14ac:dyDescent="0.25">
      <c r="B117" s="6" t="s">
        <v>109</v>
      </c>
      <c r="C117" s="15">
        <v>1440.3330078125</v>
      </c>
      <c r="D117" s="16">
        <v>51.007199999999997</v>
      </c>
      <c r="E117" s="16">
        <v>51.074300000000001</v>
      </c>
      <c r="F117" s="16">
        <v>51.265700000000002</v>
      </c>
      <c r="G117" s="16">
        <v>186.06574322927435</v>
      </c>
      <c r="H117" s="16">
        <f t="shared" si="4"/>
        <v>51.047899999999991</v>
      </c>
      <c r="I117" s="5"/>
      <c r="J117" s="15">
        <v>767.64559999999994</v>
      </c>
      <c r="K117" s="16">
        <v>50.177599999999998</v>
      </c>
      <c r="L117" s="16">
        <v>51.11</v>
      </c>
      <c r="M117" s="16">
        <v>51.415300000000002</v>
      </c>
      <c r="N117" s="16">
        <v>216.1902</v>
      </c>
      <c r="O117" s="16">
        <f t="shared" si="5"/>
        <v>50.448862500000004</v>
      </c>
      <c r="P117" s="7"/>
      <c r="Q117" s="8">
        <f>bdrate(C117:C120,D117:D120,J117:J120,K117:K120)</f>
        <v>-0.32290710563611336</v>
      </c>
      <c r="R117" s="8">
        <f>bdrate(C117:C120,E117:E120,J117:J120,L117:L120)</f>
        <v>-0.36594394662282947</v>
      </c>
      <c r="S117" s="8">
        <f>bdrate(C117:C120,F117:F120,J117:J120,M117:M120)</f>
        <v>-0.37164885073687615</v>
      </c>
      <c r="T117" s="25">
        <f>bdrate(C117:C120,H117:H120,J117:J120,O117:O120)</f>
        <v>-0.33374912925330014</v>
      </c>
      <c r="U117" s="28">
        <f t="shared" si="3"/>
        <v>0.16190221933333335</v>
      </c>
    </row>
    <row r="118" spans="2:21" x14ac:dyDescent="0.25">
      <c r="B118" s="9"/>
      <c r="C118" s="17">
        <v>960.15625</v>
      </c>
      <c r="D118" s="18">
        <v>48.1021</v>
      </c>
      <c r="E118" s="18">
        <v>48.442300000000003</v>
      </c>
      <c r="F118" s="18">
        <v>48.691000000000003</v>
      </c>
      <c r="G118" s="18">
        <v>275.14521553041885</v>
      </c>
      <c r="H118" s="18">
        <f t="shared" si="4"/>
        <v>48.218237500000001</v>
      </c>
      <c r="I118" s="5"/>
      <c r="J118" s="17">
        <v>588.01969999999994</v>
      </c>
      <c r="K118" s="18">
        <v>47.816200000000002</v>
      </c>
      <c r="L118" s="18">
        <v>48.706000000000003</v>
      </c>
      <c r="M118" s="18">
        <v>49.03</v>
      </c>
      <c r="N118" s="18">
        <v>261.09660000000002</v>
      </c>
      <c r="O118" s="18">
        <f t="shared" si="5"/>
        <v>48.079149999999998</v>
      </c>
      <c r="P118" s="7"/>
      <c r="Q118" s="10"/>
      <c r="R118" s="11"/>
      <c r="S118" s="11"/>
      <c r="T118" s="26"/>
      <c r="U118" s="28">
        <f t="shared" si="3"/>
        <v>-5.105891266666665E-2</v>
      </c>
    </row>
    <row r="119" spans="2:21" x14ac:dyDescent="0.25">
      <c r="B119" s="9"/>
      <c r="C119" s="17">
        <v>578.9990234375</v>
      </c>
      <c r="D119" s="18">
        <v>44.004600000000003</v>
      </c>
      <c r="E119" s="18">
        <v>44.700899999999997</v>
      </c>
      <c r="F119" s="18">
        <v>44.980800000000002</v>
      </c>
      <c r="G119" s="18">
        <v>314.02651779483602</v>
      </c>
      <c r="H119" s="18">
        <f t="shared" si="4"/>
        <v>44.213662499999998</v>
      </c>
      <c r="I119" s="5"/>
      <c r="J119" s="17">
        <v>415.91570000000002</v>
      </c>
      <c r="K119" s="18">
        <v>44.425899999999999</v>
      </c>
      <c r="L119" s="18">
        <v>45.436799999999998</v>
      </c>
      <c r="M119" s="18">
        <v>45.793300000000002</v>
      </c>
      <c r="N119" s="18">
        <v>277.34980000000002</v>
      </c>
      <c r="O119" s="18">
        <f t="shared" si="5"/>
        <v>44.723187499999995</v>
      </c>
      <c r="P119" s="7"/>
      <c r="Q119" s="10"/>
      <c r="R119" s="11"/>
      <c r="S119" s="11"/>
      <c r="T119" s="26"/>
      <c r="U119" s="28">
        <f t="shared" si="3"/>
        <v>-0.11679497022222221</v>
      </c>
    </row>
    <row r="120" spans="2:21" ht="16.5" thickBot="1" x14ac:dyDescent="0.3">
      <c r="B120" s="12"/>
      <c r="C120" s="19">
        <v>291.5244140625</v>
      </c>
      <c r="D120" s="20">
        <v>38.2256</v>
      </c>
      <c r="E120" s="20">
        <v>39.879899999999999</v>
      </c>
      <c r="F120" s="20">
        <v>40.199399999999997</v>
      </c>
      <c r="G120" s="20">
        <v>357.85288270377731</v>
      </c>
      <c r="H120" s="20">
        <f t="shared" si="4"/>
        <v>38.679112500000002</v>
      </c>
      <c r="I120" s="5"/>
      <c r="J120" s="19">
        <v>278.92770000000002</v>
      </c>
      <c r="K120" s="20">
        <v>40.001600000000003</v>
      </c>
      <c r="L120" s="20">
        <v>41.552700000000002</v>
      </c>
      <c r="M120" s="20">
        <v>41.913800000000002</v>
      </c>
      <c r="N120" s="20">
        <v>488.06939999999997</v>
      </c>
      <c r="O120" s="20">
        <f t="shared" si="5"/>
        <v>40.434512500000004</v>
      </c>
      <c r="P120" s="7"/>
      <c r="Q120" s="13"/>
      <c r="R120" s="14"/>
      <c r="S120" s="14"/>
      <c r="T120" s="27"/>
      <c r="U120" s="28">
        <f t="shared" si="3"/>
        <v>0.36388282333333333</v>
      </c>
    </row>
    <row r="121" spans="2:21" x14ac:dyDescent="0.25">
      <c r="B121" s="6" t="s">
        <v>110</v>
      </c>
      <c r="C121" s="29">
        <v>1476.84765625</v>
      </c>
      <c r="D121" s="30">
        <v>32.707099999999997</v>
      </c>
      <c r="E121" s="30">
        <v>36.402900000000002</v>
      </c>
      <c r="F121" s="30">
        <v>35.685400000000001</v>
      </c>
      <c r="G121" s="16">
        <v>143.83890043151672</v>
      </c>
      <c r="H121" s="16">
        <f t="shared" si="4"/>
        <v>33.541362499999998</v>
      </c>
      <c r="I121" s="5"/>
      <c r="J121" s="29">
        <v>1513.6315</v>
      </c>
      <c r="K121" s="30">
        <v>32.5655</v>
      </c>
      <c r="L121" s="30">
        <v>36.355200000000004</v>
      </c>
      <c r="M121" s="30">
        <v>35.645200000000003</v>
      </c>
      <c r="N121" s="16">
        <v>182.81540000000001</v>
      </c>
      <c r="O121" s="16">
        <f t="shared" si="5"/>
        <v>33.424174999999998</v>
      </c>
      <c r="P121" s="7"/>
      <c r="Q121" s="8">
        <f>bdrate(C121:C124,D121:D124,J121:J124,K121:K124)</f>
        <v>1.2257452540480163E-2</v>
      </c>
      <c r="R121" s="8">
        <f>bdrate(C121:C124,E121:E124,J121:J124,L121:L124)</f>
        <v>2.6423138934997814E-2</v>
      </c>
      <c r="S121" s="8">
        <f>bdrate(C121:C124,F121:F124,J121:J124,M121:M124)</f>
        <v>1.1928897140112138E-2</v>
      </c>
      <c r="T121" s="25">
        <f>bdrate(C121:C124,H121:H124,J121:J124,O121:O124)</f>
        <v>1.3114413192605978E-2</v>
      </c>
      <c r="U121" s="28">
        <f t="shared" si="3"/>
        <v>0.27097328644444435</v>
      </c>
    </row>
    <row r="122" spans="2:21" x14ac:dyDescent="0.25">
      <c r="B122" s="9"/>
      <c r="C122" s="31">
        <v>987.0419921875</v>
      </c>
      <c r="D122" s="32">
        <v>30.686900000000001</v>
      </c>
      <c r="E122" s="32">
        <v>35.232799999999997</v>
      </c>
      <c r="F122" s="32">
        <v>34.450299999999999</v>
      </c>
      <c r="G122" s="18">
        <v>190.71837253655434</v>
      </c>
      <c r="H122" s="18">
        <f t="shared" si="4"/>
        <v>31.725562499999999</v>
      </c>
      <c r="I122" s="5"/>
      <c r="J122" s="31">
        <v>1005.7283</v>
      </c>
      <c r="K122" s="32">
        <v>30.598400000000002</v>
      </c>
      <c r="L122" s="32">
        <v>35.243299999999998</v>
      </c>
      <c r="M122" s="32">
        <v>34.491500000000002</v>
      </c>
      <c r="N122" s="18">
        <v>220.4802</v>
      </c>
      <c r="O122" s="18">
        <f t="shared" si="5"/>
        <v>31.665650000000003</v>
      </c>
      <c r="P122" s="7"/>
      <c r="Q122" s="10"/>
      <c r="R122" s="11"/>
      <c r="S122" s="11"/>
      <c r="T122" s="26"/>
      <c r="U122" s="28">
        <f t="shared" si="3"/>
        <v>0.15605118200000007</v>
      </c>
    </row>
    <row r="123" spans="2:21" x14ac:dyDescent="0.25">
      <c r="B123" s="9"/>
      <c r="C123" s="31">
        <v>592.76953125</v>
      </c>
      <c r="D123" s="32">
        <v>28.279199999999999</v>
      </c>
      <c r="E123" s="32">
        <v>33.8504</v>
      </c>
      <c r="F123" s="32">
        <v>33.0017</v>
      </c>
      <c r="G123" s="18">
        <v>223.26966013396182</v>
      </c>
      <c r="H123" s="18">
        <f t="shared" si="4"/>
        <v>29.5659125</v>
      </c>
      <c r="I123" s="5"/>
      <c r="J123" s="31">
        <v>604.18079999999998</v>
      </c>
      <c r="K123" s="32">
        <v>28.323899999999998</v>
      </c>
      <c r="L123" s="32">
        <v>33.8523</v>
      </c>
      <c r="M123" s="32">
        <v>33.044600000000003</v>
      </c>
      <c r="N123" s="18">
        <v>267.37970000000001</v>
      </c>
      <c r="O123" s="18">
        <f t="shared" si="5"/>
        <v>29.605037500000002</v>
      </c>
      <c r="P123" s="7"/>
      <c r="Q123" s="10"/>
      <c r="R123" s="11"/>
      <c r="S123" s="11"/>
      <c r="T123" s="26"/>
      <c r="U123" s="28">
        <f t="shared" si="3"/>
        <v>0.19756396744444438</v>
      </c>
    </row>
    <row r="124" spans="2:21" ht="16.5" thickBot="1" x14ac:dyDescent="0.3">
      <c r="B124" s="12"/>
      <c r="C124" s="33">
        <v>297.03125</v>
      </c>
      <c r="D124" s="34">
        <v>25.349299999999999</v>
      </c>
      <c r="E124" s="34">
        <v>31.880199999999999</v>
      </c>
      <c r="F124" s="34">
        <v>30.927099999999999</v>
      </c>
      <c r="G124" s="20">
        <v>234.00936037441497</v>
      </c>
      <c r="H124" s="20">
        <f t="shared" si="4"/>
        <v>26.862887499999999</v>
      </c>
      <c r="I124" s="5"/>
      <c r="J124" s="33">
        <v>305.25279999999998</v>
      </c>
      <c r="K124" s="34">
        <v>25.719799999999999</v>
      </c>
      <c r="L124" s="34">
        <v>31.783799999999999</v>
      </c>
      <c r="M124" s="34">
        <v>30.9161</v>
      </c>
      <c r="N124" s="20">
        <v>344.69549999999998</v>
      </c>
      <c r="O124" s="20">
        <f t="shared" si="5"/>
        <v>27.127337499999999</v>
      </c>
      <c r="P124" s="7"/>
      <c r="Q124" s="13"/>
      <c r="R124" s="14"/>
      <c r="S124" s="14"/>
      <c r="T124" s="27"/>
      <c r="U124" s="28">
        <f t="shared" si="3"/>
        <v>0.47299876999999996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-3.3455053643202458E-3</v>
      </c>
      <c r="R125" s="21">
        <f>AVERAGE(R9:R124)</f>
        <v>-6.2232177737691019E-2</v>
      </c>
      <c r="S125" s="21">
        <f>AVERAGE(S9:S124)</f>
        <v>-6.6621300740262596E-2</v>
      </c>
      <c r="T125" s="21">
        <f>AVERAGE(T9:T124)</f>
        <v>-1.61235809241475E-2</v>
      </c>
      <c r="U125" s="21">
        <f>AVERAGE(U9:U124)</f>
        <v>0.35057279052729878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01" priority="69" operator="greaterThan">
      <formula>0.03</formula>
    </cfRule>
    <cfRule type="cellIs" dxfId="100" priority="70" stopIfTrue="1" operator="lessThan">
      <formula>-0.03</formula>
    </cfRule>
  </conditionalFormatting>
  <conditionalFormatting sqref="Q33:T36">
    <cfRule type="cellIs" dxfId="99" priority="67" operator="greaterThan">
      <formula>0.03</formula>
    </cfRule>
    <cfRule type="cellIs" dxfId="98" priority="68" stopIfTrue="1" operator="lessThan">
      <formula>-0.03</formula>
    </cfRule>
  </conditionalFormatting>
  <conditionalFormatting sqref="Q45:T48 Q61:T64">
    <cfRule type="cellIs" dxfId="97" priority="65" operator="greaterThan">
      <formula>0.03</formula>
    </cfRule>
    <cfRule type="cellIs" dxfId="96" priority="66" stopIfTrue="1" operator="lessThan">
      <formula>-0.03</formula>
    </cfRule>
  </conditionalFormatting>
  <conditionalFormatting sqref="Q49:T60">
    <cfRule type="cellIs" dxfId="95" priority="63" operator="greaterThan">
      <formula>0.03</formula>
    </cfRule>
    <cfRule type="cellIs" dxfId="94" priority="64" stopIfTrue="1" operator="lessThan">
      <formula>-0.03</formula>
    </cfRule>
  </conditionalFormatting>
  <conditionalFormatting sqref="Q69:T76">
    <cfRule type="cellIs" dxfId="93" priority="61" operator="greaterThan">
      <formula>0.03</formula>
    </cfRule>
    <cfRule type="cellIs" dxfId="92" priority="62" stopIfTrue="1" operator="lessThan">
      <formula>-0.03</formula>
    </cfRule>
  </conditionalFormatting>
  <conditionalFormatting sqref="Q65:T68">
    <cfRule type="cellIs" dxfId="91" priority="59" operator="greaterThan">
      <formula>0.03</formula>
    </cfRule>
    <cfRule type="cellIs" dxfId="90" priority="60" stopIfTrue="1" operator="lessThan">
      <formula>-0.03</formula>
    </cfRule>
  </conditionalFormatting>
  <conditionalFormatting sqref="Q77:T80">
    <cfRule type="cellIs" dxfId="89" priority="57" operator="greaterThan">
      <formula>0.03</formula>
    </cfRule>
    <cfRule type="cellIs" dxfId="88" priority="58" stopIfTrue="1" operator="lessThan">
      <formula>-0.03</formula>
    </cfRule>
  </conditionalFormatting>
  <conditionalFormatting sqref="Q21:T28">
    <cfRule type="cellIs" dxfId="87" priority="55" operator="greaterThan">
      <formula>0.03</formula>
    </cfRule>
    <cfRule type="cellIs" dxfId="86" priority="56" stopIfTrue="1" operator="lessThan">
      <formula>-0.03</formula>
    </cfRule>
  </conditionalFormatting>
  <conditionalFormatting sqref="Q117:T117">
    <cfRule type="cellIs" dxfId="85" priority="3" operator="greaterThan">
      <formula>0.03</formula>
    </cfRule>
    <cfRule type="cellIs" dxfId="84" priority="4" stopIfTrue="1" operator="lessThan">
      <formula>-0.03</formula>
    </cfRule>
  </conditionalFormatting>
  <conditionalFormatting sqref="Q93:T96 Q101:T108 Q81:T84">
    <cfRule type="cellIs" dxfId="83" priority="17" operator="greaterThan">
      <formula>0.03</formula>
    </cfRule>
    <cfRule type="cellIs" dxfId="82" priority="18" stopIfTrue="1" operator="lessThan">
      <formula>-0.03</formula>
    </cfRule>
  </conditionalFormatting>
  <conditionalFormatting sqref="Q97:T100">
    <cfRule type="cellIs" dxfId="81" priority="15" operator="greaterThan">
      <formula>0.03</formula>
    </cfRule>
    <cfRule type="cellIs" dxfId="80" priority="16" stopIfTrue="1" operator="lessThan">
      <formula>-0.03</formula>
    </cfRule>
  </conditionalFormatting>
  <conditionalFormatting sqref="Q110:T112 Q122:T124">
    <cfRule type="cellIs" dxfId="79" priority="13" operator="greaterThan">
      <formula>0.03</formula>
    </cfRule>
    <cfRule type="cellIs" dxfId="78" priority="14" stopIfTrue="1" operator="lessThan">
      <formula>-0.03</formula>
    </cfRule>
  </conditionalFormatting>
  <conditionalFormatting sqref="Q114:T116 Q118:T120">
    <cfRule type="cellIs" dxfId="77" priority="11" operator="greaterThan">
      <formula>0.03</formula>
    </cfRule>
    <cfRule type="cellIs" dxfId="76" priority="12" stopIfTrue="1" operator="lessThan">
      <formula>-0.03</formula>
    </cfRule>
  </conditionalFormatting>
  <conditionalFormatting sqref="Q85:T92">
    <cfRule type="cellIs" dxfId="75" priority="9" operator="greaterThan">
      <formula>0.03</formula>
    </cfRule>
    <cfRule type="cellIs" dxfId="74" priority="10" stopIfTrue="1" operator="lessThan">
      <formula>-0.03</formula>
    </cfRule>
  </conditionalFormatting>
  <conditionalFormatting sqref="Q109:T109">
    <cfRule type="cellIs" dxfId="73" priority="7" operator="greaterThan">
      <formula>0.03</formula>
    </cfRule>
    <cfRule type="cellIs" dxfId="72" priority="8" stopIfTrue="1" operator="lessThan">
      <formula>-0.03</formula>
    </cfRule>
  </conditionalFormatting>
  <conditionalFormatting sqref="Q113:T113">
    <cfRule type="cellIs" dxfId="71" priority="5" operator="greaterThan">
      <formula>0.03</formula>
    </cfRule>
    <cfRule type="cellIs" dxfId="70" priority="6" stopIfTrue="1" operator="lessThan">
      <formula>-0.03</formula>
    </cfRule>
  </conditionalFormatting>
  <conditionalFormatting sqref="Q121:T121">
    <cfRule type="cellIs" dxfId="69" priority="1" operator="greaterThan">
      <formula>0.03</formula>
    </cfRule>
    <cfRule type="cellIs" dxfId="68" priority="2" stopIfTrue="1" operator="lessThan">
      <formula>-0.03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140</v>
      </c>
      <c r="U1" t="s">
        <v>141</v>
      </c>
    </row>
    <row r="2" spans="1:21" x14ac:dyDescent="0.25">
      <c r="A2" t="s">
        <v>142</v>
      </c>
    </row>
    <row r="3" spans="1:21" x14ac:dyDescent="0.25">
      <c r="A3" t="s">
        <v>83</v>
      </c>
    </row>
    <row r="5" spans="1:21" s="35" customFormat="1" ht="15.75" customHeight="1" x14ac:dyDescent="0.25">
      <c r="B5" s="61" t="s">
        <v>29</v>
      </c>
      <c r="C5" s="63" t="s">
        <v>149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152</v>
      </c>
      <c r="D7" s="70"/>
      <c r="E7" s="70"/>
      <c r="F7" s="70"/>
      <c r="G7" s="70"/>
      <c r="H7" s="70"/>
      <c r="I7" s="5"/>
      <c r="J7" s="69" t="s">
        <v>204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3730.490234375</v>
      </c>
      <c r="D9" s="16">
        <v>37.8626</v>
      </c>
      <c r="E9" s="16">
        <v>39.442900000000002</v>
      </c>
      <c r="F9" s="16">
        <v>41.863999999999997</v>
      </c>
      <c r="G9" s="16">
        <v>22.50562640660165</v>
      </c>
      <c r="H9" s="16">
        <f t="shared" ref="H9:H80" si="0">(6*D9+E9+F9)/8</f>
        <v>38.560312499999995</v>
      </c>
      <c r="I9" s="5"/>
      <c r="J9" s="15">
        <v>4112.88</v>
      </c>
      <c r="K9" s="16">
        <v>38.526800000000001</v>
      </c>
      <c r="L9" s="16">
        <v>40.186500000000002</v>
      </c>
      <c r="M9" s="16">
        <v>42.958399999999997</v>
      </c>
      <c r="N9" s="16">
        <v>10.923400000000001</v>
      </c>
      <c r="O9" s="16">
        <f t="shared" ref="O9:O80" si="1">(6*K9+L9+M9)/8</f>
        <v>39.2882125</v>
      </c>
      <c r="P9" s="7"/>
      <c r="Q9" s="8">
        <f>bdrate(C9:C12,D9:D12,J9:J12,K9:K12)</f>
        <v>-0.17205295018830791</v>
      </c>
      <c r="R9" s="8">
        <f>bdrate(C9:C12,E9:E12,J9:J12,L9:L12)</f>
        <v>-0.38437614853888125</v>
      </c>
      <c r="S9" s="8">
        <f>bdrate(C9:C12,F9:F12,J9:J12,M9:M12)</f>
        <v>-0.38912240214105942</v>
      </c>
      <c r="T9" s="25">
        <f>bdrate(C9:C12,H9:H12,J9:J12,O9:O12)</f>
        <v>-0.20740185790052101</v>
      </c>
      <c r="U9" s="28">
        <f t="shared" ref="U9:U72" si="2">(N9-G9)/G9</f>
        <v>-0.51463692666666661</v>
      </c>
    </row>
    <row r="10" spans="1:21" x14ac:dyDescent="0.25">
      <c r="A10" s="9" t="s">
        <v>36</v>
      </c>
      <c r="B10" s="9"/>
      <c r="C10" s="17">
        <v>2794.39453125</v>
      </c>
      <c r="D10" s="18">
        <v>36.859299999999998</v>
      </c>
      <c r="E10" s="18">
        <v>38.8782</v>
      </c>
      <c r="F10" s="18">
        <v>41.252200000000002</v>
      </c>
      <c r="G10" s="18">
        <v>28.620492272467089</v>
      </c>
      <c r="H10" s="18">
        <f t="shared" si="0"/>
        <v>37.660775000000001</v>
      </c>
      <c r="I10" s="5"/>
      <c r="J10" s="17">
        <v>3008.5792000000001</v>
      </c>
      <c r="K10" s="18">
        <v>37.523499999999999</v>
      </c>
      <c r="L10" s="18">
        <v>39.731900000000003</v>
      </c>
      <c r="M10" s="18">
        <v>42.336300000000001</v>
      </c>
      <c r="N10" s="18">
        <v>13.4626</v>
      </c>
      <c r="O10" s="18">
        <f t="shared" si="1"/>
        <v>38.401150000000001</v>
      </c>
      <c r="P10" s="7"/>
      <c r="Q10" s="10"/>
      <c r="R10" s="11"/>
      <c r="S10" s="11"/>
      <c r="T10" s="26"/>
      <c r="U10" s="28">
        <f t="shared" si="2"/>
        <v>-0.52961675600000002</v>
      </c>
    </row>
    <row r="11" spans="1:21" x14ac:dyDescent="0.25">
      <c r="B11" s="9"/>
      <c r="C11" s="17">
        <v>1866.021484375</v>
      </c>
      <c r="D11" s="18">
        <v>35.301000000000002</v>
      </c>
      <c r="E11" s="18">
        <v>38.113100000000003</v>
      </c>
      <c r="F11" s="18">
        <v>40.427</v>
      </c>
      <c r="G11" s="18">
        <v>33.557046979865774</v>
      </c>
      <c r="H11" s="18">
        <f t="shared" si="0"/>
        <v>36.293262500000004</v>
      </c>
      <c r="I11" s="5"/>
      <c r="J11" s="17">
        <v>1977.3776</v>
      </c>
      <c r="K11" s="18">
        <v>36.195599999999999</v>
      </c>
      <c r="L11" s="18">
        <v>39.092100000000002</v>
      </c>
      <c r="M11" s="18">
        <v>41.536299999999997</v>
      </c>
      <c r="N11" s="18">
        <v>15.779500000000001</v>
      </c>
      <c r="O11" s="18">
        <f t="shared" si="1"/>
        <v>37.225249999999996</v>
      </c>
      <c r="P11" s="7"/>
      <c r="Q11" s="10"/>
      <c r="R11" s="11"/>
      <c r="S11" s="11"/>
      <c r="T11" s="26"/>
      <c r="U11" s="28">
        <f t="shared" si="2"/>
        <v>-0.52977090000000004</v>
      </c>
    </row>
    <row r="12" spans="1:21" ht="16.5" thickBot="1" x14ac:dyDescent="0.3">
      <c r="B12" s="12"/>
      <c r="C12" s="19">
        <v>929.8046875</v>
      </c>
      <c r="D12" s="20">
        <v>32.343200000000003</v>
      </c>
      <c r="E12" s="20">
        <v>36.924599999999998</v>
      </c>
      <c r="F12" s="20">
        <v>39.191400000000002</v>
      </c>
      <c r="G12" s="20">
        <v>42.205965109735509</v>
      </c>
      <c r="H12" s="20">
        <f t="shared" si="0"/>
        <v>33.771900000000002</v>
      </c>
      <c r="I12" s="5"/>
      <c r="J12" s="19">
        <v>912.11519999999996</v>
      </c>
      <c r="K12" s="20">
        <v>33.437399999999997</v>
      </c>
      <c r="L12" s="20">
        <v>37.733499999999999</v>
      </c>
      <c r="M12" s="20">
        <v>39.996600000000001</v>
      </c>
      <c r="N12" s="20">
        <v>20.531099999999999</v>
      </c>
      <c r="O12" s="20">
        <f t="shared" si="1"/>
        <v>34.794312499999997</v>
      </c>
      <c r="P12" s="7"/>
      <c r="Q12" s="13"/>
      <c r="R12" s="14"/>
      <c r="S12" s="14"/>
      <c r="T12" s="27"/>
      <c r="U12" s="28">
        <f t="shared" si="2"/>
        <v>-0.51354980400000005</v>
      </c>
    </row>
    <row r="13" spans="1:21" x14ac:dyDescent="0.25">
      <c r="B13" s="6" t="s">
        <v>47</v>
      </c>
      <c r="C13" s="15">
        <v>3753.2041015625</v>
      </c>
      <c r="D13" s="16">
        <v>29.191199999999998</v>
      </c>
      <c r="E13" s="16">
        <v>39.403199999999998</v>
      </c>
      <c r="F13" s="16">
        <v>40.381300000000003</v>
      </c>
      <c r="G13" s="16">
        <v>22.414823670053796</v>
      </c>
      <c r="H13" s="16">
        <f t="shared" si="0"/>
        <v>31.866462500000001</v>
      </c>
      <c r="I13" s="5"/>
      <c r="J13" s="15">
        <v>4153.4975999999997</v>
      </c>
      <c r="K13" s="16">
        <v>29.881399999999999</v>
      </c>
      <c r="L13" s="16">
        <v>40.851100000000002</v>
      </c>
      <c r="M13" s="16">
        <v>41.650700000000001</v>
      </c>
      <c r="N13" s="16">
        <v>8.4579000000000004</v>
      </c>
      <c r="O13" s="16">
        <f t="shared" si="1"/>
        <v>32.723775000000003</v>
      </c>
      <c r="P13" s="7"/>
      <c r="Q13" s="8">
        <f>bdrate(C13:C16,D13:D16,J13:J16,K13:K16)</f>
        <v>-6.2897408398687626E-2</v>
      </c>
      <c r="R13" s="8">
        <f>bdrate(C13:C16,E13:E16,J13:J16,L13:L16)</f>
        <v>-0.43065097989504209</v>
      </c>
      <c r="S13" s="8">
        <f>bdrate(C13:C16,F13:F16,J13:J16,M13:M16)</f>
        <v>-0.45398222355109641</v>
      </c>
      <c r="T13" s="25">
        <f>bdrate(C13:C16,H13:H16,J13:J16,O13:O16)</f>
        <v>-0.13228219880608605</v>
      </c>
      <c r="U13" s="28">
        <f t="shared" si="2"/>
        <v>-0.62266488799999997</v>
      </c>
    </row>
    <row r="14" spans="1:21" x14ac:dyDescent="0.25">
      <c r="B14" s="9"/>
      <c r="C14" s="17">
        <v>2775.62890625</v>
      </c>
      <c r="D14" s="18">
        <v>27.819800000000001</v>
      </c>
      <c r="E14" s="18">
        <v>38.8673</v>
      </c>
      <c r="F14" s="18">
        <v>39.888500000000001</v>
      </c>
      <c r="G14" s="18">
        <v>27.568461679838265</v>
      </c>
      <c r="H14" s="18">
        <f t="shared" si="0"/>
        <v>30.709325</v>
      </c>
      <c r="I14" s="5"/>
      <c r="J14" s="17">
        <v>3074.384</v>
      </c>
      <c r="K14" s="18">
        <v>28.515999999999998</v>
      </c>
      <c r="L14" s="18">
        <v>40.326799999999999</v>
      </c>
      <c r="M14" s="18">
        <v>41.233899999999998</v>
      </c>
      <c r="N14" s="18">
        <v>9.8879000000000001</v>
      </c>
      <c r="O14" s="18">
        <f t="shared" si="1"/>
        <v>31.5820875</v>
      </c>
      <c r="P14" s="7"/>
      <c r="Q14" s="10"/>
      <c r="R14" s="11"/>
      <c r="S14" s="11"/>
      <c r="T14" s="26"/>
      <c r="U14" s="28">
        <f t="shared" si="2"/>
        <v>-0.64133290733333326</v>
      </c>
    </row>
    <row r="15" spans="1:21" x14ac:dyDescent="0.25">
      <c r="B15" s="9"/>
      <c r="C15" s="17">
        <v>1853.7060546875</v>
      </c>
      <c r="D15" s="18">
        <v>26.196000000000002</v>
      </c>
      <c r="E15" s="18">
        <v>38.0321</v>
      </c>
      <c r="F15" s="18">
        <v>39.153100000000002</v>
      </c>
      <c r="G15" s="18">
        <v>29.429075927015891</v>
      </c>
      <c r="H15" s="18">
        <f t="shared" si="0"/>
        <v>29.29515</v>
      </c>
      <c r="I15" s="5"/>
      <c r="J15" s="17">
        <v>2083.4832000000001</v>
      </c>
      <c r="K15" s="18">
        <v>26.875800000000002</v>
      </c>
      <c r="L15" s="18">
        <v>39.5593</v>
      </c>
      <c r="M15" s="18">
        <v>40.595799999999997</v>
      </c>
      <c r="N15" s="18">
        <v>11.268000000000001</v>
      </c>
      <c r="O15" s="18">
        <f t="shared" si="1"/>
        <v>30.176237500000003</v>
      </c>
      <c r="P15" s="7"/>
      <c r="Q15" s="10"/>
      <c r="R15" s="11"/>
      <c r="S15" s="11"/>
      <c r="T15" s="26"/>
      <c r="U15" s="28">
        <f t="shared" si="2"/>
        <v>-0.61711335999999994</v>
      </c>
    </row>
    <row r="16" spans="1:21" ht="16.5" thickBot="1" x14ac:dyDescent="0.3">
      <c r="B16" s="12"/>
      <c r="C16" s="19">
        <v>1082.73828125</v>
      </c>
      <c r="D16" s="20">
        <v>24.3537</v>
      </c>
      <c r="E16" s="20">
        <v>36.570599999999999</v>
      </c>
      <c r="F16" s="20">
        <v>37.796999999999997</v>
      </c>
      <c r="G16" s="20">
        <v>29.928172386272948</v>
      </c>
      <c r="H16" s="20">
        <f t="shared" si="0"/>
        <v>27.561224999999997</v>
      </c>
      <c r="I16" s="5"/>
      <c r="J16" s="19">
        <v>1416.7295999999999</v>
      </c>
      <c r="K16" s="20">
        <v>25.655999999999999</v>
      </c>
      <c r="L16" s="20">
        <v>38.465200000000003</v>
      </c>
      <c r="M16" s="20">
        <v>39.597799999999999</v>
      </c>
      <c r="N16" s="20">
        <v>12.0579</v>
      </c>
      <c r="O16" s="20">
        <f t="shared" si="1"/>
        <v>28.999874999999999</v>
      </c>
      <c r="P16" s="7"/>
      <c r="Q16" s="13"/>
      <c r="R16" s="14"/>
      <c r="S16" s="14"/>
      <c r="T16" s="27"/>
      <c r="U16" s="28">
        <f t="shared" si="2"/>
        <v>-0.59710536800000003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39.387999999999998</v>
      </c>
      <c r="E17" s="16">
        <v>42.0839</v>
      </c>
      <c r="F17" s="16">
        <v>43.482100000000003</v>
      </c>
      <c r="G17" s="16">
        <v>30.773176048211308</v>
      </c>
      <c r="H17" s="16">
        <f t="shared" si="0"/>
        <v>40.236749999999994</v>
      </c>
      <c r="I17" s="5"/>
      <c r="J17" s="15">
        <v>2383.3919999999998</v>
      </c>
      <c r="K17" s="16">
        <v>39.374099999999999</v>
      </c>
      <c r="L17" s="16">
        <v>42.381399999999999</v>
      </c>
      <c r="M17" s="16">
        <v>44.107500000000002</v>
      </c>
      <c r="N17" s="16">
        <v>19.180099999999999</v>
      </c>
      <c r="O17" s="16">
        <f t="shared" si="1"/>
        <v>40.341687499999999</v>
      </c>
      <c r="P17" s="7"/>
      <c r="Q17" s="8">
        <f>bdrate(C17:C20,D17:D20,J17:J20,K17:K20)</f>
        <v>-2.1737657271127753E-2</v>
      </c>
      <c r="R17" s="8">
        <f>bdrate(C17:C20,E17:E20,J17:J20,L17:L20)</f>
        <v>-0.25831259002892037</v>
      </c>
      <c r="S17" s="8">
        <f>bdrate(C17:C20,F17:F20,J17:J20,M17:M20)</f>
        <v>-0.28922695859059799</v>
      </c>
      <c r="T17" s="25">
        <f>bdrate(C17:C20,H17:H20,J17:J20,O17:O20)</f>
        <v>-6.3857660258524684E-2</v>
      </c>
      <c r="U17" s="28">
        <f t="shared" si="2"/>
        <v>-0.37672666708333336</v>
      </c>
    </row>
    <row r="18" spans="1:21" x14ac:dyDescent="0.25">
      <c r="A18" s="9" t="s">
        <v>38</v>
      </c>
      <c r="B18" s="9"/>
      <c r="C18" s="17">
        <v>1484.9169921875</v>
      </c>
      <c r="D18" s="18">
        <v>38.078699999999998</v>
      </c>
      <c r="E18" s="18">
        <v>41.361699999999999</v>
      </c>
      <c r="F18" s="18">
        <v>42.626399999999997</v>
      </c>
      <c r="G18" s="18">
        <v>40.712468193384225</v>
      </c>
      <c r="H18" s="18">
        <f t="shared" si="0"/>
        <v>39.057537499999995</v>
      </c>
      <c r="I18" s="5"/>
      <c r="J18" s="17">
        <v>1561.2808</v>
      </c>
      <c r="K18" s="18">
        <v>38.229199999999999</v>
      </c>
      <c r="L18" s="18">
        <v>41.843800000000002</v>
      </c>
      <c r="M18" s="18">
        <v>43.338500000000003</v>
      </c>
      <c r="N18" s="18">
        <v>23.582599999999999</v>
      </c>
      <c r="O18" s="18">
        <f t="shared" si="1"/>
        <v>39.319687500000001</v>
      </c>
      <c r="P18" s="7"/>
      <c r="Q18" s="10"/>
      <c r="R18" s="11"/>
      <c r="S18" s="11"/>
      <c r="T18" s="26"/>
      <c r="U18" s="28">
        <f t="shared" si="2"/>
        <v>-0.42075238750000005</v>
      </c>
    </row>
    <row r="19" spans="1:21" x14ac:dyDescent="0.25">
      <c r="B19" s="9"/>
      <c r="C19" s="17">
        <v>927.345703125</v>
      </c>
      <c r="D19" s="18">
        <v>36.427799999999998</v>
      </c>
      <c r="E19" s="18">
        <v>40.5229</v>
      </c>
      <c r="F19" s="18">
        <v>41.728099999999998</v>
      </c>
      <c r="G19" s="18">
        <v>53.203280868986923</v>
      </c>
      <c r="H19" s="18">
        <f t="shared" si="0"/>
        <v>37.602224999999997</v>
      </c>
      <c r="I19" s="5"/>
      <c r="J19" s="17">
        <v>965.22479999999996</v>
      </c>
      <c r="K19" s="18">
        <v>36.708599999999997</v>
      </c>
      <c r="L19" s="18">
        <v>41.139699999999998</v>
      </c>
      <c r="M19" s="18">
        <v>42.432899999999997</v>
      </c>
      <c r="N19" s="18">
        <v>28.169</v>
      </c>
      <c r="O19" s="18">
        <f t="shared" si="1"/>
        <v>37.978025000000002</v>
      </c>
      <c r="P19" s="7"/>
      <c r="Q19" s="10"/>
      <c r="R19" s="11"/>
      <c r="S19" s="11"/>
      <c r="T19" s="26"/>
      <c r="U19" s="28">
        <f t="shared" si="2"/>
        <v>-0.47054017083333333</v>
      </c>
    </row>
    <row r="20" spans="1:21" ht="16.5" thickBot="1" x14ac:dyDescent="0.3">
      <c r="B20" s="12"/>
      <c r="C20" s="19">
        <v>556.2509765625</v>
      </c>
      <c r="D20" s="20">
        <v>34.506999999999998</v>
      </c>
      <c r="E20" s="20">
        <v>39.708799999999997</v>
      </c>
      <c r="F20" s="20">
        <v>40.970399999999998</v>
      </c>
      <c r="G20" s="20">
        <v>68.065796937039138</v>
      </c>
      <c r="H20" s="20">
        <f t="shared" si="0"/>
        <v>35.965149999999994</v>
      </c>
      <c r="I20" s="5"/>
      <c r="J20" s="19">
        <v>570.99839999999995</v>
      </c>
      <c r="K20" s="20">
        <v>34.950800000000001</v>
      </c>
      <c r="L20" s="20">
        <v>40.417099999999998</v>
      </c>
      <c r="M20" s="20">
        <v>41.6629</v>
      </c>
      <c r="N20" s="20">
        <v>33.840899999999998</v>
      </c>
      <c r="O20" s="20">
        <f t="shared" si="1"/>
        <v>36.473100000000002</v>
      </c>
      <c r="P20" s="7"/>
      <c r="Q20" s="13"/>
      <c r="R20" s="14"/>
      <c r="S20" s="14"/>
      <c r="T20" s="27"/>
      <c r="U20" s="28">
        <f t="shared" si="2"/>
        <v>-0.50282077749999998</v>
      </c>
    </row>
    <row r="21" spans="1:21" x14ac:dyDescent="0.25">
      <c r="B21" s="6" t="s">
        <v>49</v>
      </c>
      <c r="C21" s="15">
        <v>2265.12890625</v>
      </c>
      <c r="D21" s="16">
        <v>36.337200000000003</v>
      </c>
      <c r="E21" s="16">
        <v>40.003700000000002</v>
      </c>
      <c r="F21" s="16">
        <v>41.100099999999998</v>
      </c>
      <c r="G21" s="16">
        <v>30.690537084398976</v>
      </c>
      <c r="H21" s="16">
        <f t="shared" si="0"/>
        <v>37.390875000000001</v>
      </c>
      <c r="I21" s="5"/>
      <c r="J21" s="15">
        <v>2533.1855999999998</v>
      </c>
      <c r="K21" s="16">
        <v>36.577399999999997</v>
      </c>
      <c r="L21" s="16">
        <v>40.829599999999999</v>
      </c>
      <c r="M21" s="16">
        <v>42.176900000000003</v>
      </c>
      <c r="N21" s="16">
        <v>17.8718</v>
      </c>
      <c r="O21" s="16">
        <f t="shared" si="1"/>
        <v>37.808862499999996</v>
      </c>
      <c r="P21" s="7"/>
      <c r="Q21" s="8">
        <f>bdrate(C21:C24,D21:D24,J21:J24,K21:K24)</f>
        <v>-1.2822033438369518E-2</v>
      </c>
      <c r="R21" s="8">
        <f>bdrate(C21:C24,E21:E24,J21:J24,L21:L24)</f>
        <v>-0.31201647092795526</v>
      </c>
      <c r="S21" s="8">
        <f>bdrate(C21:C24,F21:F24,J21:J24,M21:M24)</f>
        <v>-0.34556323312609916</v>
      </c>
      <c r="T21" s="25">
        <f>bdrate(C21:C24,H21:H24,J21:J24,O21:O24)</f>
        <v>-7.3305688987533091E-2</v>
      </c>
      <c r="U21" s="28">
        <f t="shared" si="2"/>
        <v>-0.41767718333333331</v>
      </c>
    </row>
    <row r="22" spans="1:21" x14ac:dyDescent="0.25">
      <c r="B22" s="9"/>
      <c r="C22" s="17">
        <v>1510.69921875</v>
      </c>
      <c r="D22" s="18">
        <v>35.002800000000001</v>
      </c>
      <c r="E22" s="18">
        <v>39.119500000000002</v>
      </c>
      <c r="F22" s="18">
        <v>40.255699999999997</v>
      </c>
      <c r="G22" s="18">
        <v>40.547389761784089</v>
      </c>
      <c r="H22" s="18">
        <f t="shared" si="0"/>
        <v>36.173999999999999</v>
      </c>
      <c r="I22" s="5"/>
      <c r="J22" s="17">
        <v>1665.7752</v>
      </c>
      <c r="K22" s="18">
        <v>35.337499999999999</v>
      </c>
      <c r="L22" s="18">
        <v>40.023200000000003</v>
      </c>
      <c r="M22" s="18">
        <v>41.250100000000003</v>
      </c>
      <c r="N22" s="18">
        <v>22.1096</v>
      </c>
      <c r="O22" s="18">
        <f t="shared" si="1"/>
        <v>36.662287499999998</v>
      </c>
      <c r="P22" s="7"/>
      <c r="Q22" s="10"/>
      <c r="R22" s="11"/>
      <c r="S22" s="11"/>
      <c r="T22" s="26"/>
      <c r="U22" s="28">
        <f t="shared" si="2"/>
        <v>-0.45472199000000002</v>
      </c>
    </row>
    <row r="23" spans="1:21" x14ac:dyDescent="0.25">
      <c r="B23" s="9"/>
      <c r="C23" s="17">
        <v>942.9580078125</v>
      </c>
      <c r="D23" s="18">
        <v>33.466099999999997</v>
      </c>
      <c r="E23" s="18">
        <v>38.149900000000002</v>
      </c>
      <c r="F23" s="18">
        <v>39.444400000000002</v>
      </c>
      <c r="G23" s="18">
        <v>52.677787532923617</v>
      </c>
      <c r="H23" s="18">
        <f t="shared" si="0"/>
        <v>34.798862499999998</v>
      </c>
      <c r="I23" s="5"/>
      <c r="J23" s="17">
        <v>1059.6848</v>
      </c>
      <c r="K23" s="18">
        <v>33.878700000000002</v>
      </c>
      <c r="L23" s="18">
        <v>39.1449</v>
      </c>
      <c r="M23" s="18">
        <v>40.383499999999998</v>
      </c>
      <c r="N23" s="18">
        <v>26.4375</v>
      </c>
      <c r="O23" s="18">
        <f t="shared" si="1"/>
        <v>35.350075000000004</v>
      </c>
      <c r="P23" s="7"/>
      <c r="Q23" s="10"/>
      <c r="R23" s="11"/>
      <c r="S23" s="11"/>
      <c r="T23" s="26"/>
      <c r="U23" s="28">
        <f t="shared" si="2"/>
        <v>-0.49812812499999998</v>
      </c>
    </row>
    <row r="24" spans="1:21" ht="16.5" thickBot="1" x14ac:dyDescent="0.3">
      <c r="B24" s="12"/>
      <c r="C24" s="19">
        <v>566.7060546875</v>
      </c>
      <c r="D24" s="20">
        <v>31.7959</v>
      </c>
      <c r="E24" s="20">
        <v>37.300699999999999</v>
      </c>
      <c r="F24" s="20">
        <v>38.817700000000002</v>
      </c>
      <c r="G24" s="20">
        <v>65.934065934065927</v>
      </c>
      <c r="H24" s="20">
        <f t="shared" si="0"/>
        <v>33.361725</v>
      </c>
      <c r="I24" s="5"/>
      <c r="J24" s="19">
        <v>615.56079999999997</v>
      </c>
      <c r="K24" s="20">
        <v>32.274900000000002</v>
      </c>
      <c r="L24" s="20">
        <v>38.159700000000001</v>
      </c>
      <c r="M24" s="20">
        <v>39.4818</v>
      </c>
      <c r="N24" s="20">
        <v>31.9191</v>
      </c>
      <c r="O24" s="20">
        <f t="shared" si="1"/>
        <v>33.911362500000003</v>
      </c>
      <c r="P24" s="7"/>
      <c r="Q24" s="13"/>
      <c r="R24" s="14"/>
      <c r="S24" s="14"/>
      <c r="T24" s="27"/>
      <c r="U24" s="28">
        <f t="shared" si="2"/>
        <v>-0.51589364999999998</v>
      </c>
    </row>
    <row r="25" spans="1:21" x14ac:dyDescent="0.25">
      <c r="B25" s="6" t="s">
        <v>50</v>
      </c>
      <c r="C25" s="15">
        <v>2301.6904296875</v>
      </c>
      <c r="D25" s="16">
        <v>34.073599999999999</v>
      </c>
      <c r="E25" s="16">
        <v>38.042400000000001</v>
      </c>
      <c r="F25" s="16">
        <v>39.887599999999999</v>
      </c>
      <c r="G25" s="16">
        <v>44.460252534234392</v>
      </c>
      <c r="H25" s="16">
        <f t="shared" si="0"/>
        <v>35.29645</v>
      </c>
      <c r="I25" s="5"/>
      <c r="J25" s="15">
        <v>2409.9263999999998</v>
      </c>
      <c r="K25" s="16">
        <v>34.872500000000002</v>
      </c>
      <c r="L25" s="16">
        <v>38.602899999999998</v>
      </c>
      <c r="M25" s="16">
        <v>41.209899999999998</v>
      </c>
      <c r="N25" s="16">
        <v>26.5745</v>
      </c>
      <c r="O25" s="16">
        <f t="shared" si="1"/>
        <v>36.130974999999999</v>
      </c>
      <c r="P25" s="7"/>
      <c r="Q25" s="8">
        <f>bdrate(C25:C28,D25:D28,J25:J28,K25:K28)</f>
        <v>-0.25728702714178187</v>
      </c>
      <c r="R25" s="8">
        <f>bdrate(C25:C28,E25:E28,J25:J28,L25:L28)</f>
        <v>-0.50961735202945757</v>
      </c>
      <c r="S25" s="8">
        <f>bdrate(C25:C28,F25:F28,J25:J28,M25:M28)</f>
        <v>-0.5002707420139848</v>
      </c>
      <c r="T25" s="25">
        <f>bdrate(C25:C28,H25:H28,J25:J28,O25:O28)</f>
        <v>-0.29467702493997194</v>
      </c>
      <c r="U25" s="28">
        <f t="shared" si="2"/>
        <v>-0.40228634599999996</v>
      </c>
    </row>
    <row r="26" spans="1:21" x14ac:dyDescent="0.25">
      <c r="B26" s="9"/>
      <c r="C26" s="17">
        <v>1537.359375</v>
      </c>
      <c r="D26" s="18">
        <v>32.6813</v>
      </c>
      <c r="E26" s="18">
        <v>37.449599999999997</v>
      </c>
      <c r="F26" s="18">
        <v>38.902700000000003</v>
      </c>
      <c r="G26" s="18">
        <v>61.766522544780727</v>
      </c>
      <c r="H26" s="18">
        <f t="shared" si="0"/>
        <v>34.055012500000004</v>
      </c>
      <c r="I26" s="5"/>
      <c r="J26" s="17">
        <v>1602.9215999999999</v>
      </c>
      <c r="K26" s="18">
        <v>33.728200000000001</v>
      </c>
      <c r="L26" s="18">
        <v>38.256599999999999</v>
      </c>
      <c r="M26" s="18">
        <v>40.400199999999998</v>
      </c>
      <c r="N26" s="18">
        <v>32.208199999999998</v>
      </c>
      <c r="O26" s="18">
        <f t="shared" si="1"/>
        <v>35.128250000000001</v>
      </c>
      <c r="P26" s="7"/>
      <c r="Q26" s="10"/>
      <c r="R26" s="11"/>
      <c r="S26" s="11"/>
      <c r="T26" s="26"/>
      <c r="U26" s="28">
        <f t="shared" si="2"/>
        <v>-0.47854924200000004</v>
      </c>
    </row>
    <row r="27" spans="1:21" x14ac:dyDescent="0.25">
      <c r="B27" s="9"/>
      <c r="C27" s="17">
        <v>959.1865234375</v>
      </c>
      <c r="D27" s="18">
        <v>31.0152</v>
      </c>
      <c r="E27" s="18">
        <v>36.988799999999998</v>
      </c>
      <c r="F27" s="18">
        <v>38.127200000000002</v>
      </c>
      <c r="G27" s="18">
        <v>78.222778473091367</v>
      </c>
      <c r="H27" s="18">
        <f t="shared" si="0"/>
        <v>32.6509</v>
      </c>
      <c r="I27" s="5"/>
      <c r="J27" s="17">
        <v>1000.196</v>
      </c>
      <c r="K27" s="18">
        <v>32.226199999999999</v>
      </c>
      <c r="L27" s="18">
        <v>37.818100000000001</v>
      </c>
      <c r="M27" s="18">
        <v>39.484400000000001</v>
      </c>
      <c r="N27" s="18">
        <v>38.077800000000003</v>
      </c>
      <c r="O27" s="18">
        <f t="shared" si="1"/>
        <v>33.832462499999998</v>
      </c>
      <c r="P27" s="7"/>
      <c r="Q27" s="10"/>
      <c r="R27" s="11"/>
      <c r="S27" s="11"/>
      <c r="T27" s="26"/>
      <c r="U27" s="28">
        <f t="shared" si="2"/>
        <v>-0.51321340479999999</v>
      </c>
    </row>
    <row r="28" spans="1:21" ht="16.5" thickBot="1" x14ac:dyDescent="0.3">
      <c r="B28" s="12"/>
      <c r="C28" s="19">
        <v>575.51171875</v>
      </c>
      <c r="D28" s="20">
        <v>29.150700000000001</v>
      </c>
      <c r="E28" s="20">
        <v>36.3795</v>
      </c>
      <c r="F28" s="20">
        <v>37.1389</v>
      </c>
      <c r="G28" s="20">
        <v>85.660442007880761</v>
      </c>
      <c r="H28" s="20">
        <f t="shared" si="0"/>
        <v>31.052825000000002</v>
      </c>
      <c r="I28" s="5"/>
      <c r="J28" s="19">
        <v>588.6232</v>
      </c>
      <c r="K28" s="20">
        <v>30.4681</v>
      </c>
      <c r="L28" s="20">
        <v>37.165199999999999</v>
      </c>
      <c r="M28" s="20">
        <v>38.410200000000003</v>
      </c>
      <c r="N28" s="20">
        <v>46.339199999999998</v>
      </c>
      <c r="O28" s="20">
        <f t="shared" si="1"/>
        <v>32.298000000000002</v>
      </c>
      <c r="P28" s="7"/>
      <c r="Q28" s="13"/>
      <c r="R28" s="14"/>
      <c r="S28" s="14"/>
      <c r="T28" s="27"/>
      <c r="U28" s="28">
        <f t="shared" si="2"/>
        <v>-0.45903617920000001</v>
      </c>
    </row>
    <row r="29" spans="1:21" x14ac:dyDescent="0.25">
      <c r="B29" s="6" t="s">
        <v>51</v>
      </c>
      <c r="C29" s="29">
        <v>2291.6455078125</v>
      </c>
      <c r="D29" s="30">
        <v>34.459000000000003</v>
      </c>
      <c r="E29" s="30">
        <v>40.654299999999999</v>
      </c>
      <c r="F29" s="30">
        <v>40.423400000000001</v>
      </c>
      <c r="G29" s="16">
        <v>46.036276585949729</v>
      </c>
      <c r="H29" s="16">
        <f t="shared" si="0"/>
        <v>35.978962500000002</v>
      </c>
      <c r="I29" s="5"/>
      <c r="J29" s="29">
        <v>2453.8159999999998</v>
      </c>
      <c r="K29" s="30">
        <v>34.627200000000002</v>
      </c>
      <c r="L29" s="30">
        <v>41.189399999999999</v>
      </c>
      <c r="M29" s="30">
        <v>40.935299999999998</v>
      </c>
      <c r="N29" s="16">
        <v>21.7685</v>
      </c>
      <c r="O29" s="16">
        <f t="shared" si="1"/>
        <v>36.2359875</v>
      </c>
      <c r="P29" s="7"/>
      <c r="Q29" s="8">
        <f>bdrate(C29:C32,D29:D32,J29:J32,K29:K32)</f>
        <v>-5.2061355729699499E-2</v>
      </c>
      <c r="R29" s="8">
        <f>bdrate(C29:C32,E29:E32,J29:J32,L29:L32)</f>
        <v>-0.28060292920005026</v>
      </c>
      <c r="S29" s="8">
        <f>bdrate(C29:C32,F29:F32,J29:J32,M29:M32)</f>
        <v>-0.2116237395088465</v>
      </c>
      <c r="T29" s="25">
        <f>bdrate(C29:C32,H29:H32,J29:J32,O29:O32)</f>
        <v>-8.6900230366511177E-2</v>
      </c>
      <c r="U29" s="28">
        <f t="shared" si="2"/>
        <v>-0.52714464299999997</v>
      </c>
    </row>
    <row r="30" spans="1:21" x14ac:dyDescent="0.25">
      <c r="B30" s="9"/>
      <c r="C30" s="31">
        <v>1531.1728515625</v>
      </c>
      <c r="D30" s="32">
        <v>32.985399999999998</v>
      </c>
      <c r="E30" s="32">
        <v>39.906199999999998</v>
      </c>
      <c r="F30" s="32">
        <v>39.3718</v>
      </c>
      <c r="G30" s="18">
        <v>59.887411666067791</v>
      </c>
      <c r="H30" s="18">
        <f t="shared" si="0"/>
        <v>34.648800000000001</v>
      </c>
      <c r="I30" s="5"/>
      <c r="J30" s="31">
        <v>1624.2080000000001</v>
      </c>
      <c r="K30" s="32">
        <v>33.2958</v>
      </c>
      <c r="L30" s="32">
        <v>40.526600000000002</v>
      </c>
      <c r="M30" s="32">
        <v>40.010599999999997</v>
      </c>
      <c r="N30" s="18">
        <v>25.528400000000001</v>
      </c>
      <c r="O30" s="18">
        <f t="shared" si="1"/>
        <v>35.039000000000001</v>
      </c>
      <c r="P30" s="7"/>
      <c r="Q30" s="10"/>
      <c r="R30" s="11"/>
      <c r="S30" s="11"/>
      <c r="T30" s="26"/>
      <c r="U30" s="28">
        <f t="shared" si="2"/>
        <v>-0.57372677679999995</v>
      </c>
    </row>
    <row r="31" spans="1:21" x14ac:dyDescent="0.25">
      <c r="B31" s="9"/>
      <c r="C31" s="31">
        <v>954.90234375</v>
      </c>
      <c r="D31" s="32">
        <v>31.170999999999999</v>
      </c>
      <c r="E31" s="32">
        <v>39.000999999999998</v>
      </c>
      <c r="F31" s="32">
        <v>38.055399999999999</v>
      </c>
      <c r="G31" s="18">
        <v>68.82312456985548</v>
      </c>
      <c r="H31" s="18">
        <f t="shared" si="0"/>
        <v>33.010300000000001</v>
      </c>
      <c r="I31" s="5"/>
      <c r="J31" s="31">
        <v>1009.9808</v>
      </c>
      <c r="K31" s="32">
        <v>31.6493</v>
      </c>
      <c r="L31" s="32">
        <v>39.775700000000001</v>
      </c>
      <c r="M31" s="32">
        <v>38.937899999999999</v>
      </c>
      <c r="N31" s="18">
        <v>30.321400000000001</v>
      </c>
      <c r="O31" s="18">
        <f t="shared" si="1"/>
        <v>33.576174999999999</v>
      </c>
      <c r="P31" s="7"/>
      <c r="Q31" s="10"/>
      <c r="R31" s="11"/>
      <c r="S31" s="11"/>
      <c r="T31" s="26"/>
      <c r="U31" s="28">
        <f t="shared" si="2"/>
        <v>-0.55943005800000012</v>
      </c>
    </row>
    <row r="32" spans="1:21" ht="16.5" thickBot="1" x14ac:dyDescent="0.3">
      <c r="B32" s="12"/>
      <c r="C32" s="33">
        <v>573.79296875</v>
      </c>
      <c r="D32" s="34">
        <v>29.178599999999999</v>
      </c>
      <c r="E32" s="34">
        <v>37.805100000000003</v>
      </c>
      <c r="F32" s="34">
        <v>36.500900000000001</v>
      </c>
      <c r="G32" s="20">
        <v>72.358900144717794</v>
      </c>
      <c r="H32" s="20">
        <f t="shared" si="0"/>
        <v>31.1722</v>
      </c>
      <c r="I32" s="5"/>
      <c r="J32" s="33">
        <v>606.92399999999998</v>
      </c>
      <c r="K32" s="34">
        <v>29.853000000000002</v>
      </c>
      <c r="L32" s="34">
        <v>38.768700000000003</v>
      </c>
      <c r="M32" s="34">
        <v>37.502800000000001</v>
      </c>
      <c r="N32" s="20">
        <v>36.374200000000002</v>
      </c>
      <c r="O32" s="20">
        <f t="shared" si="1"/>
        <v>31.9236875</v>
      </c>
      <c r="P32" s="7"/>
      <c r="Q32" s="13"/>
      <c r="R32" s="14"/>
      <c r="S32" s="14"/>
      <c r="T32" s="27"/>
      <c r="U32" s="28">
        <f t="shared" si="2"/>
        <v>-0.4973085559999999</v>
      </c>
    </row>
    <row r="33" spans="1:21" x14ac:dyDescent="0.25">
      <c r="B33" s="6" t="s">
        <v>52</v>
      </c>
      <c r="C33" s="15">
        <v>2327.220703125</v>
      </c>
      <c r="D33" s="16">
        <v>33.741500000000002</v>
      </c>
      <c r="E33" s="16">
        <v>39.884999999999998</v>
      </c>
      <c r="F33" s="16">
        <v>42.281999999999996</v>
      </c>
      <c r="G33" s="16">
        <v>53.036329885971888</v>
      </c>
      <c r="H33" s="16">
        <f t="shared" si="0"/>
        <v>35.576999999999998</v>
      </c>
      <c r="I33" s="5"/>
      <c r="J33" s="15">
        <v>2410.2552000000001</v>
      </c>
      <c r="K33" s="16">
        <v>33.988900000000001</v>
      </c>
      <c r="L33" s="16">
        <v>40.373899999999999</v>
      </c>
      <c r="M33" s="16">
        <v>42.812600000000003</v>
      </c>
      <c r="N33" s="16">
        <v>24.324000000000002</v>
      </c>
      <c r="O33" s="16">
        <f t="shared" si="1"/>
        <v>35.889987500000004</v>
      </c>
      <c r="P33" s="7"/>
      <c r="Q33" s="8">
        <f>bdrate(C33:C36,D33:D36,J33:J36,K33:K36)</f>
        <v>-0.15642095826405589</v>
      </c>
      <c r="R33" s="8">
        <f>bdrate(C33:C36,E33:E36,J33:J36,L33:L36)</f>
        <v>-0.29480785727218317</v>
      </c>
      <c r="S33" s="8">
        <f>bdrate(C33:C36,F33:F36,J33:J36,M33:M36)</f>
        <v>-0.35793307055951296</v>
      </c>
      <c r="T33" s="25">
        <f>bdrate(C33:C36,H33:H36,J33:J36,O33:O36)</f>
        <v>-0.18512803429388613</v>
      </c>
      <c r="U33" s="28">
        <f t="shared" si="2"/>
        <v>-0.54137097999999995</v>
      </c>
    </row>
    <row r="34" spans="1:21" x14ac:dyDescent="0.25">
      <c r="B34" s="9"/>
      <c r="C34" s="17">
        <v>1542.5654296875</v>
      </c>
      <c r="D34" s="18">
        <v>32.9925</v>
      </c>
      <c r="E34" s="18">
        <v>39.433</v>
      </c>
      <c r="F34" s="18">
        <v>41.862699999999997</v>
      </c>
      <c r="G34" s="18">
        <v>63.197809142616393</v>
      </c>
      <c r="H34" s="18">
        <f t="shared" si="0"/>
        <v>34.906337499999999</v>
      </c>
      <c r="I34" s="5"/>
      <c r="J34" s="17">
        <v>1585.2583999999999</v>
      </c>
      <c r="K34" s="18">
        <v>33.332799999999999</v>
      </c>
      <c r="L34" s="18">
        <v>39.930500000000002</v>
      </c>
      <c r="M34" s="18">
        <v>42.408999999999999</v>
      </c>
      <c r="N34" s="18">
        <v>29.272600000000001</v>
      </c>
      <c r="O34" s="18">
        <f t="shared" si="1"/>
        <v>35.292037499999999</v>
      </c>
      <c r="P34" s="7"/>
      <c r="Q34" s="10"/>
      <c r="R34" s="11"/>
      <c r="S34" s="11"/>
      <c r="T34" s="26"/>
      <c r="U34" s="28">
        <f t="shared" si="2"/>
        <v>-0.53680989266666679</v>
      </c>
    </row>
    <row r="35" spans="1:21" x14ac:dyDescent="0.25">
      <c r="B35" s="9"/>
      <c r="C35" s="17">
        <v>956.6728515625</v>
      </c>
      <c r="D35" s="18">
        <v>31.809699999999999</v>
      </c>
      <c r="E35" s="18">
        <v>38.745899999999999</v>
      </c>
      <c r="F35" s="18">
        <v>41.224699999999999</v>
      </c>
      <c r="G35" s="18">
        <v>72.709646146388749</v>
      </c>
      <c r="H35" s="18">
        <f t="shared" si="0"/>
        <v>33.8536</v>
      </c>
      <c r="I35" s="5"/>
      <c r="J35" s="17">
        <v>983.01919999999996</v>
      </c>
      <c r="K35" s="18">
        <v>32.332099999999997</v>
      </c>
      <c r="L35" s="18">
        <v>39.2194</v>
      </c>
      <c r="M35" s="18">
        <v>41.788600000000002</v>
      </c>
      <c r="N35" s="18">
        <v>35.046700000000001</v>
      </c>
      <c r="O35" s="18">
        <f t="shared" si="1"/>
        <v>34.375074999999995</v>
      </c>
      <c r="P35" s="7"/>
      <c r="Q35" s="10"/>
      <c r="R35" s="11"/>
      <c r="S35" s="11"/>
      <c r="T35" s="26"/>
      <c r="U35" s="28">
        <f t="shared" si="2"/>
        <v>-0.51799105266666656</v>
      </c>
    </row>
    <row r="36" spans="1:21" ht="16.5" thickBot="1" x14ac:dyDescent="0.3">
      <c r="B36" s="12"/>
      <c r="C36" s="19">
        <v>575.08984375</v>
      </c>
      <c r="D36" s="20">
        <v>30.165199999999999</v>
      </c>
      <c r="E36" s="20">
        <v>38.1616</v>
      </c>
      <c r="F36" s="20">
        <v>40.741900000000001</v>
      </c>
      <c r="G36" s="20">
        <v>81.62154808869542</v>
      </c>
      <c r="H36" s="20">
        <f t="shared" si="0"/>
        <v>32.4868375</v>
      </c>
      <c r="I36" s="5"/>
      <c r="J36" s="19">
        <v>578.88879999999995</v>
      </c>
      <c r="K36" s="20">
        <v>30.906600000000001</v>
      </c>
      <c r="L36" s="20">
        <v>38.684800000000003</v>
      </c>
      <c r="M36" s="20">
        <v>41.2926</v>
      </c>
      <c r="N36" s="20">
        <v>43.770099999999999</v>
      </c>
      <c r="O36" s="20">
        <f t="shared" si="1"/>
        <v>33.177125000000004</v>
      </c>
      <c r="P36" s="7"/>
      <c r="Q36" s="13"/>
      <c r="R36" s="14"/>
      <c r="S36" s="14"/>
      <c r="T36" s="27"/>
      <c r="U36" s="28">
        <f t="shared" si="2"/>
        <v>-0.46374332483333336</v>
      </c>
    </row>
    <row r="37" spans="1:21" x14ac:dyDescent="0.25">
      <c r="A37" s="6" t="s">
        <v>39</v>
      </c>
      <c r="B37" s="6" t="s">
        <v>53</v>
      </c>
      <c r="C37" s="15">
        <v>1154.4580078125</v>
      </c>
      <c r="D37" s="16">
        <v>35.302700000000002</v>
      </c>
      <c r="E37" s="16">
        <v>39.477499999999999</v>
      </c>
      <c r="F37" s="16">
        <v>39.485999999999997</v>
      </c>
      <c r="G37" s="16">
        <v>84.846427965382659</v>
      </c>
      <c r="H37" s="16">
        <f t="shared" si="0"/>
        <v>36.347462499999999</v>
      </c>
      <c r="I37" s="5"/>
      <c r="J37" s="15">
        <v>1201.6232</v>
      </c>
      <c r="K37" s="16">
        <v>36.611400000000003</v>
      </c>
      <c r="L37" s="16">
        <v>40.959099999999999</v>
      </c>
      <c r="M37" s="16">
        <v>40.940100000000001</v>
      </c>
      <c r="N37" s="16">
        <v>76.429199999999994</v>
      </c>
      <c r="O37" s="16">
        <f t="shared" si="1"/>
        <v>37.695949999999996</v>
      </c>
      <c r="P37" s="7"/>
      <c r="Q37" s="8">
        <f>bdrate(C37:C40,D37:D40,J37:J40,K37:K40)</f>
        <v>-0.23294774150609621</v>
      </c>
      <c r="R37" s="8">
        <f>bdrate(C37:C40,E37:E40,J37:J40,L37:L40)</f>
        <v>-0.37253007246606318</v>
      </c>
      <c r="S37" s="8">
        <f>bdrate(C37:C40,F37:F40,J37:J40,M37:M40)</f>
        <v>-0.3297191971177249</v>
      </c>
      <c r="T37" s="25">
        <f>bdrate(C37:C40,H37:H40,J37:J40,O37:O40)</f>
        <v>-0.25844213918170866</v>
      </c>
      <c r="U37" s="28">
        <f t="shared" si="2"/>
        <v>-9.9205448800000082E-2</v>
      </c>
    </row>
    <row r="38" spans="1:21" x14ac:dyDescent="0.25">
      <c r="A38" s="9" t="s">
        <v>40</v>
      </c>
      <c r="B38" s="9"/>
      <c r="C38" s="17">
        <v>769.57421875</v>
      </c>
      <c r="D38" s="18">
        <v>33.599299999999999</v>
      </c>
      <c r="E38" s="18">
        <v>38.301000000000002</v>
      </c>
      <c r="F38" s="18">
        <v>38.162199999999999</v>
      </c>
      <c r="G38" s="18">
        <v>115.55350127108852</v>
      </c>
      <c r="H38" s="18">
        <f t="shared" si="0"/>
        <v>34.757374999999996</v>
      </c>
      <c r="I38" s="5"/>
      <c r="J38" s="17">
        <v>797.39599999999996</v>
      </c>
      <c r="K38" s="18">
        <v>34.813000000000002</v>
      </c>
      <c r="L38" s="18">
        <v>39.6798</v>
      </c>
      <c r="M38" s="18">
        <v>39.450499999999998</v>
      </c>
      <c r="N38" s="18">
        <v>86.865899999999996</v>
      </c>
      <c r="O38" s="18">
        <f t="shared" si="1"/>
        <v>36.001037500000002</v>
      </c>
      <c r="P38" s="7"/>
      <c r="Q38" s="10"/>
      <c r="R38" s="11"/>
      <c r="S38" s="11"/>
      <c r="T38" s="26"/>
      <c r="U38" s="28">
        <f t="shared" si="2"/>
        <v>-0.24826250140000009</v>
      </c>
    </row>
    <row r="39" spans="1:21" x14ac:dyDescent="0.25">
      <c r="B39" s="9"/>
      <c r="C39" s="17">
        <v>480.328125</v>
      </c>
      <c r="D39" s="18">
        <v>31.639199999999999</v>
      </c>
      <c r="E39" s="18">
        <v>36.784799999999997</v>
      </c>
      <c r="F39" s="18">
        <v>36.459000000000003</v>
      </c>
      <c r="G39" s="18">
        <v>168.63406408094437</v>
      </c>
      <c r="H39" s="18">
        <f t="shared" si="0"/>
        <v>32.884874999999994</v>
      </c>
      <c r="I39" s="5"/>
      <c r="J39" s="17">
        <v>500.81040000000002</v>
      </c>
      <c r="K39" s="18">
        <v>32.8934</v>
      </c>
      <c r="L39" s="18">
        <v>38.3508</v>
      </c>
      <c r="M39" s="18">
        <v>38.023000000000003</v>
      </c>
      <c r="N39" s="18">
        <v>99.383799999999994</v>
      </c>
      <c r="O39" s="18">
        <f t="shared" si="1"/>
        <v>34.216774999999998</v>
      </c>
      <c r="P39" s="7"/>
      <c r="Q39" s="10"/>
      <c r="R39" s="11"/>
      <c r="S39" s="11"/>
      <c r="T39" s="26"/>
      <c r="U39" s="28">
        <f t="shared" si="2"/>
        <v>-0.4106540660000001</v>
      </c>
    </row>
    <row r="40" spans="1:21" ht="16.5" thickBot="1" x14ac:dyDescent="0.3">
      <c r="B40" s="12"/>
      <c r="C40" s="19">
        <v>288.98046875</v>
      </c>
      <c r="D40" s="20">
        <v>29.596699999999998</v>
      </c>
      <c r="E40" s="20">
        <v>35.389499999999998</v>
      </c>
      <c r="F40" s="20">
        <v>34.810499999999998</v>
      </c>
      <c r="G40" s="20">
        <v>245.33856722276744</v>
      </c>
      <c r="H40" s="20">
        <f t="shared" si="0"/>
        <v>30.972524999999997</v>
      </c>
      <c r="I40" s="5"/>
      <c r="J40" s="19">
        <v>298.44880000000001</v>
      </c>
      <c r="K40" s="20">
        <v>30.9178</v>
      </c>
      <c r="L40" s="20">
        <v>36.9955</v>
      </c>
      <c r="M40" s="20">
        <v>36.439399999999999</v>
      </c>
      <c r="N40" s="20">
        <v>116.95910000000001</v>
      </c>
      <c r="O40" s="20">
        <f t="shared" si="1"/>
        <v>32.367712499999996</v>
      </c>
      <c r="P40" s="7"/>
      <c r="Q40" s="13"/>
      <c r="R40" s="14"/>
      <c r="S40" s="14"/>
      <c r="T40" s="27"/>
      <c r="U40" s="28">
        <f t="shared" si="2"/>
        <v>-0.52327470840000001</v>
      </c>
    </row>
    <row r="41" spans="1:21" x14ac:dyDescent="0.25">
      <c r="B41" s="6" t="s">
        <v>54</v>
      </c>
      <c r="C41" s="15">
        <v>1204.4208984375</v>
      </c>
      <c r="D41" s="16">
        <v>35.580300000000001</v>
      </c>
      <c r="E41" s="16">
        <v>40.716900000000003</v>
      </c>
      <c r="F41" s="16">
        <v>41.697499999999998</v>
      </c>
      <c r="G41" s="16">
        <v>100.51934997487015</v>
      </c>
      <c r="H41" s="16">
        <f t="shared" si="0"/>
        <v>36.987025000000003</v>
      </c>
      <c r="I41" s="5"/>
      <c r="J41" s="15">
        <v>1209.8112000000001</v>
      </c>
      <c r="K41" s="16">
        <v>36.0274</v>
      </c>
      <c r="L41" s="16">
        <v>41.651200000000003</v>
      </c>
      <c r="M41" s="16">
        <v>42.640099999999997</v>
      </c>
      <c r="N41" s="16">
        <v>79.375600000000006</v>
      </c>
      <c r="O41" s="16">
        <f t="shared" si="1"/>
        <v>37.556962500000004</v>
      </c>
      <c r="P41" s="7"/>
      <c r="Q41" s="8">
        <f>bdrate(C41:C44,D41:D44,J41:J44,K41:K44)</f>
        <v>-0.1823741666174139</v>
      </c>
      <c r="R41" s="8">
        <f>bdrate(C41:C44,E41:E44,J41:J44,L41:L44)</f>
        <v>-0.38586000396869991</v>
      </c>
      <c r="S41" s="8">
        <f>bdrate(C41:C44,F41:F44,J41:J44,M41:M44)</f>
        <v>-0.3480216684425852</v>
      </c>
      <c r="T41" s="25">
        <f>bdrate(C41:C44,H41:H44,J41:J44,O41:O44)</f>
        <v>-0.21597850229210946</v>
      </c>
      <c r="U41" s="28">
        <f t="shared" si="2"/>
        <v>-0.21034507266666652</v>
      </c>
    </row>
    <row r="42" spans="1:21" x14ac:dyDescent="0.25">
      <c r="B42" s="9"/>
      <c r="C42" s="17">
        <v>804.0498046875</v>
      </c>
      <c r="D42" s="18">
        <v>33.795499999999997</v>
      </c>
      <c r="E42" s="18">
        <v>39.5989</v>
      </c>
      <c r="F42" s="18">
        <v>40.442599999999999</v>
      </c>
      <c r="G42" s="18">
        <v>136.36363636363635</v>
      </c>
      <c r="H42" s="18">
        <f t="shared" si="0"/>
        <v>35.351812499999994</v>
      </c>
      <c r="I42" s="5"/>
      <c r="J42" s="17">
        <v>805.98879999999997</v>
      </c>
      <c r="K42" s="18">
        <v>34.517200000000003</v>
      </c>
      <c r="L42" s="18">
        <v>40.697600000000001</v>
      </c>
      <c r="M42" s="18">
        <v>41.541400000000003</v>
      </c>
      <c r="N42" s="18">
        <v>90.375100000000003</v>
      </c>
      <c r="O42" s="18">
        <f t="shared" si="1"/>
        <v>36.167774999999999</v>
      </c>
      <c r="P42" s="7"/>
      <c r="Q42" s="10"/>
      <c r="R42" s="11"/>
      <c r="S42" s="11"/>
      <c r="T42" s="26"/>
      <c r="U42" s="28">
        <f t="shared" si="2"/>
        <v>-0.33724926666666655</v>
      </c>
    </row>
    <row r="43" spans="1:21" x14ac:dyDescent="0.25">
      <c r="B43" s="9"/>
      <c r="C43" s="17">
        <v>502.3291015625</v>
      </c>
      <c r="D43" s="18">
        <v>31.695</v>
      </c>
      <c r="E43" s="18">
        <v>38.481900000000003</v>
      </c>
      <c r="F43" s="18">
        <v>39.212299999999999</v>
      </c>
      <c r="G43" s="18">
        <v>201.47750167897917</v>
      </c>
      <c r="H43" s="18">
        <f t="shared" si="0"/>
        <v>33.483024999999998</v>
      </c>
      <c r="I43" s="5"/>
      <c r="J43" s="17">
        <v>503.99520000000001</v>
      </c>
      <c r="K43" s="18">
        <v>32.683900000000001</v>
      </c>
      <c r="L43" s="18">
        <v>39.671500000000002</v>
      </c>
      <c r="M43" s="18">
        <v>40.368400000000001</v>
      </c>
      <c r="N43" s="18">
        <v>104.4932</v>
      </c>
      <c r="O43" s="18">
        <f t="shared" si="1"/>
        <v>34.517912500000001</v>
      </c>
      <c r="P43" s="7"/>
      <c r="Q43" s="10"/>
      <c r="R43" s="11"/>
      <c r="S43" s="11"/>
      <c r="T43" s="26"/>
      <c r="U43" s="28">
        <f t="shared" si="2"/>
        <v>-0.48136541733333327</v>
      </c>
    </row>
    <row r="44" spans="1:21" ht="16.5" thickBot="1" x14ac:dyDescent="0.3">
      <c r="B44" s="12"/>
      <c r="C44" s="19">
        <v>301.990234375</v>
      </c>
      <c r="D44" s="20">
        <v>29.498699999999999</v>
      </c>
      <c r="E44" s="20">
        <v>37.413200000000003</v>
      </c>
      <c r="F44" s="20">
        <v>37.947000000000003</v>
      </c>
      <c r="G44" s="20">
        <v>257.40025740025743</v>
      </c>
      <c r="H44" s="20">
        <f t="shared" si="0"/>
        <v>31.544049999999999</v>
      </c>
      <c r="I44" s="5"/>
      <c r="J44" s="19">
        <v>303.84960000000001</v>
      </c>
      <c r="K44" s="20">
        <v>30.6433</v>
      </c>
      <c r="L44" s="20">
        <v>38.585000000000001</v>
      </c>
      <c r="M44" s="20">
        <v>39.166400000000003</v>
      </c>
      <c r="N44" s="20">
        <v>121.8274</v>
      </c>
      <c r="O44" s="20">
        <f t="shared" si="1"/>
        <v>32.7014</v>
      </c>
      <c r="P44" s="7"/>
      <c r="Q44" s="13"/>
      <c r="R44" s="14"/>
      <c r="S44" s="14"/>
      <c r="T44" s="27"/>
      <c r="U44" s="28">
        <f t="shared" si="2"/>
        <v>-0.52670055100000002</v>
      </c>
    </row>
    <row r="45" spans="1:21" x14ac:dyDescent="0.25">
      <c r="B45" s="6" t="s">
        <v>55</v>
      </c>
      <c r="C45" s="15">
        <v>1182.232421875</v>
      </c>
      <c r="D45" s="16">
        <v>30.3751</v>
      </c>
      <c r="E45" s="16">
        <v>36.7346</v>
      </c>
      <c r="F45" s="16">
        <v>37.469700000000003</v>
      </c>
      <c r="G45" s="16">
        <v>87.858021437357237</v>
      </c>
      <c r="H45" s="16">
        <f t="shared" si="0"/>
        <v>32.056862500000001</v>
      </c>
      <c r="I45" s="5"/>
      <c r="J45" s="15">
        <v>1199.3456000000001</v>
      </c>
      <c r="K45" s="16">
        <v>30.976700000000001</v>
      </c>
      <c r="L45" s="16">
        <v>37.6614</v>
      </c>
      <c r="M45" s="16">
        <v>38.502800000000001</v>
      </c>
      <c r="N45" s="16">
        <v>71.952799999999996</v>
      </c>
      <c r="O45" s="16">
        <f t="shared" si="1"/>
        <v>32.753050000000002</v>
      </c>
      <c r="P45" s="7"/>
      <c r="Q45" s="8">
        <f>bdrate(C45:C48,D45:D48,J45:J48,K45:K48)</f>
        <v>-0.22718757812396029</v>
      </c>
      <c r="R45" s="8">
        <f>bdrate(C45:C48,E45:E48,J45:J48,L45:L48)</f>
        <v>-0.38135386445201014</v>
      </c>
      <c r="S45" s="8">
        <f>bdrate(C45:C48,F45:F48,J45:J48,M45:M48)</f>
        <v>-0.39471607090503957</v>
      </c>
      <c r="T45" s="25">
        <f>bdrate(C45:C48,H45:H48,J45:J48,O45:O48)</f>
        <v>-0.25567166335891522</v>
      </c>
      <c r="U45" s="28">
        <f t="shared" si="2"/>
        <v>-0.18103323040000011</v>
      </c>
    </row>
    <row r="46" spans="1:21" x14ac:dyDescent="0.25">
      <c r="B46" s="9"/>
      <c r="C46" s="17">
        <v>780.67578125</v>
      </c>
      <c r="D46" s="18">
        <v>28.756599999999999</v>
      </c>
      <c r="E46" s="18">
        <v>35.869599999999998</v>
      </c>
      <c r="F46" s="18">
        <v>36.591200000000001</v>
      </c>
      <c r="G46" s="18">
        <v>119.61722488038278</v>
      </c>
      <c r="H46" s="18">
        <f t="shared" si="0"/>
        <v>30.625050000000002</v>
      </c>
      <c r="I46" s="5"/>
      <c r="J46" s="17">
        <v>792.75760000000002</v>
      </c>
      <c r="K46" s="18">
        <v>29.5944</v>
      </c>
      <c r="L46" s="18">
        <v>36.744199999999999</v>
      </c>
      <c r="M46" s="18">
        <v>37.554099999999998</v>
      </c>
      <c r="N46" s="18">
        <v>82.480999999999995</v>
      </c>
      <c r="O46" s="18">
        <f t="shared" si="1"/>
        <v>31.4830875</v>
      </c>
      <c r="P46" s="7"/>
      <c r="Q46" s="10"/>
      <c r="R46" s="11"/>
      <c r="S46" s="11"/>
      <c r="T46" s="26"/>
      <c r="U46" s="28">
        <f t="shared" si="2"/>
        <v>-0.31045884000000007</v>
      </c>
    </row>
    <row r="47" spans="1:21" x14ac:dyDescent="0.25">
      <c r="B47" s="9"/>
      <c r="C47" s="17">
        <v>488.7021484375</v>
      </c>
      <c r="D47" s="18">
        <v>27.080400000000001</v>
      </c>
      <c r="E47" s="18">
        <v>34.936399999999999</v>
      </c>
      <c r="F47" s="18">
        <v>35.6297</v>
      </c>
      <c r="G47" s="18">
        <v>172.95053614666205</v>
      </c>
      <c r="H47" s="18">
        <f t="shared" si="0"/>
        <v>29.131062499999999</v>
      </c>
      <c r="I47" s="5"/>
      <c r="J47" s="17">
        <v>505.87200000000001</v>
      </c>
      <c r="K47" s="18">
        <v>28.165500000000002</v>
      </c>
      <c r="L47" s="18">
        <v>35.954900000000002</v>
      </c>
      <c r="M47" s="18">
        <v>36.712400000000002</v>
      </c>
      <c r="N47" s="18">
        <v>95.020899999999997</v>
      </c>
      <c r="O47" s="18">
        <f t="shared" si="1"/>
        <v>30.207537500000001</v>
      </c>
      <c r="P47" s="7"/>
      <c r="Q47" s="10"/>
      <c r="R47" s="11"/>
      <c r="S47" s="11"/>
      <c r="T47" s="26"/>
      <c r="U47" s="28">
        <f t="shared" si="2"/>
        <v>-0.45058915620000001</v>
      </c>
    </row>
    <row r="48" spans="1:21" ht="16.5" thickBot="1" x14ac:dyDescent="0.3">
      <c r="B48" s="12"/>
      <c r="C48" s="19">
        <v>297.2998046875</v>
      </c>
      <c r="D48" s="20">
        <v>25.551200000000001</v>
      </c>
      <c r="E48" s="20">
        <v>34.1922</v>
      </c>
      <c r="F48" s="20">
        <v>34.884300000000003</v>
      </c>
      <c r="G48" s="20">
        <v>216.26297577854672</v>
      </c>
      <c r="H48" s="20">
        <f t="shared" si="0"/>
        <v>27.797962500000004</v>
      </c>
      <c r="I48" s="5"/>
      <c r="J48" s="19">
        <v>303.51280000000003</v>
      </c>
      <c r="K48" s="20">
        <v>26.6737</v>
      </c>
      <c r="L48" s="20">
        <v>35.088000000000001</v>
      </c>
      <c r="M48" s="20">
        <v>35.822699999999998</v>
      </c>
      <c r="N48" s="20">
        <v>116.0093</v>
      </c>
      <c r="O48" s="20">
        <f t="shared" si="1"/>
        <v>28.8691125</v>
      </c>
      <c r="P48" s="7"/>
      <c r="Q48" s="13"/>
      <c r="R48" s="14"/>
      <c r="S48" s="14"/>
      <c r="T48" s="27"/>
      <c r="U48" s="28">
        <f t="shared" si="2"/>
        <v>-0.46357299680000003</v>
      </c>
    </row>
    <row r="49" spans="1:21" x14ac:dyDescent="0.25">
      <c r="B49" s="6" t="s">
        <v>56</v>
      </c>
      <c r="C49" s="15">
        <v>1145.3271484375</v>
      </c>
      <c r="D49" s="16">
        <v>33.327300000000001</v>
      </c>
      <c r="E49" s="16">
        <v>37.531399999999998</v>
      </c>
      <c r="F49" s="16">
        <v>39.128</v>
      </c>
      <c r="G49" s="16">
        <v>62.021914409758118</v>
      </c>
      <c r="H49" s="16">
        <f t="shared" si="0"/>
        <v>34.5779</v>
      </c>
      <c r="I49" s="5"/>
      <c r="J49" s="15">
        <v>1192.3856000000001</v>
      </c>
      <c r="K49" s="16">
        <v>32.934800000000003</v>
      </c>
      <c r="L49" s="16">
        <v>37.782499999999999</v>
      </c>
      <c r="M49" s="16">
        <v>39.36</v>
      </c>
      <c r="N49" s="16">
        <v>57.471299999999999</v>
      </c>
      <c r="O49" s="16">
        <f t="shared" si="1"/>
        <v>34.343912500000002</v>
      </c>
      <c r="P49" s="7"/>
      <c r="Q49" s="8">
        <f>bdrate(C49:C52,D49:D52,J49:J52,K49:K52)</f>
        <v>6.6910125411268284E-2</v>
      </c>
      <c r="R49" s="8">
        <f>bdrate(C49:C52,E49:E52,J49:J52,L49:L52)</f>
        <v>-0.16031697822885094</v>
      </c>
      <c r="S49" s="8">
        <f>bdrate(C49:C52,F49:F52,J49:J52,M49:M52)</f>
        <v>-0.1746970580203504</v>
      </c>
      <c r="T49" s="25">
        <f>bdrate(C49:C52,H49:H52,J49:J52,O49:O52)</f>
        <v>2.5966486690960355E-2</v>
      </c>
      <c r="U49" s="28">
        <f t="shared" si="2"/>
        <v>-7.3371073000000064E-2</v>
      </c>
    </row>
    <row r="50" spans="1:21" x14ac:dyDescent="0.25">
      <c r="B50" s="9"/>
      <c r="C50" s="17">
        <v>763.310546875</v>
      </c>
      <c r="D50" s="18">
        <v>31.674399999999999</v>
      </c>
      <c r="E50" s="18">
        <v>36.515099999999997</v>
      </c>
      <c r="F50" s="18">
        <v>38.1404</v>
      </c>
      <c r="G50" s="18">
        <v>82.804305823902837</v>
      </c>
      <c r="H50" s="18">
        <f t="shared" si="0"/>
        <v>33.087737500000003</v>
      </c>
      <c r="I50" s="5"/>
      <c r="J50" s="17">
        <v>794.13199999999995</v>
      </c>
      <c r="K50" s="18">
        <v>31.453099999999999</v>
      </c>
      <c r="L50" s="18">
        <v>36.911299999999997</v>
      </c>
      <c r="M50" s="18">
        <v>38.521500000000003</v>
      </c>
      <c r="N50" s="18">
        <v>64.034199999999998</v>
      </c>
      <c r="O50" s="18">
        <f t="shared" si="1"/>
        <v>33.018924999999996</v>
      </c>
      <c r="P50" s="7"/>
      <c r="Q50" s="10"/>
      <c r="R50" s="11"/>
      <c r="S50" s="11"/>
      <c r="T50" s="26"/>
      <c r="U50" s="28">
        <f t="shared" si="2"/>
        <v>-0.2266803113333333</v>
      </c>
    </row>
    <row r="51" spans="1:21" x14ac:dyDescent="0.25">
      <c r="B51" s="9"/>
      <c r="C51" s="17">
        <v>482.673828125</v>
      </c>
      <c r="D51" s="18">
        <v>29.842300000000002</v>
      </c>
      <c r="E51" s="18">
        <v>35.4908</v>
      </c>
      <c r="F51" s="18">
        <v>37.075099999999999</v>
      </c>
      <c r="G51" s="18">
        <v>123.96694214876034</v>
      </c>
      <c r="H51" s="18">
        <f t="shared" si="0"/>
        <v>31.452462500000003</v>
      </c>
      <c r="I51" s="5"/>
      <c r="J51" s="17">
        <v>496.58960000000002</v>
      </c>
      <c r="K51" s="18">
        <v>29.779299999999999</v>
      </c>
      <c r="L51" s="18">
        <v>35.984400000000001</v>
      </c>
      <c r="M51" s="18">
        <v>37.6541</v>
      </c>
      <c r="N51" s="18">
        <v>72.886300000000006</v>
      </c>
      <c r="O51" s="18">
        <f t="shared" si="1"/>
        <v>31.539287499999997</v>
      </c>
      <c r="P51" s="7"/>
      <c r="Q51" s="10"/>
      <c r="R51" s="11"/>
      <c r="S51" s="11"/>
      <c r="T51" s="26"/>
      <c r="U51" s="28">
        <f t="shared" si="2"/>
        <v>-0.41205051333333331</v>
      </c>
    </row>
    <row r="52" spans="1:21" ht="16.5" thickBot="1" x14ac:dyDescent="0.3">
      <c r="B52" s="12"/>
      <c r="C52" s="19">
        <v>300.263671875</v>
      </c>
      <c r="D52" s="20">
        <v>28.112300000000001</v>
      </c>
      <c r="E52" s="20">
        <v>34.531100000000002</v>
      </c>
      <c r="F52" s="20">
        <v>36.054900000000004</v>
      </c>
      <c r="G52" s="20">
        <v>174.82517482517483</v>
      </c>
      <c r="H52" s="20">
        <f t="shared" si="0"/>
        <v>29.907475000000002</v>
      </c>
      <c r="I52" s="5"/>
      <c r="J52" s="19">
        <v>298.18720000000002</v>
      </c>
      <c r="K52" s="20">
        <v>28.1721</v>
      </c>
      <c r="L52" s="20">
        <v>35.085500000000003</v>
      </c>
      <c r="M52" s="20">
        <v>36.759799999999998</v>
      </c>
      <c r="N52" s="20">
        <v>86.281300000000002</v>
      </c>
      <c r="O52" s="20">
        <f t="shared" si="1"/>
        <v>30.109737500000001</v>
      </c>
      <c r="P52" s="7"/>
      <c r="Q52" s="13"/>
      <c r="R52" s="14"/>
      <c r="S52" s="14"/>
      <c r="T52" s="27"/>
      <c r="U52" s="28">
        <f t="shared" si="2"/>
        <v>-0.50647096400000002</v>
      </c>
    </row>
    <row r="53" spans="1:21" x14ac:dyDescent="0.25">
      <c r="A53" s="6" t="s">
        <v>41</v>
      </c>
      <c r="B53" s="6" t="s">
        <v>57</v>
      </c>
      <c r="C53" s="15">
        <v>578.8828125</v>
      </c>
      <c r="D53" s="16">
        <v>35.110599999999998</v>
      </c>
      <c r="E53" s="16">
        <v>40.219700000000003</v>
      </c>
      <c r="F53" s="16">
        <v>38.870899999999999</v>
      </c>
      <c r="G53" s="16">
        <v>116.17100371747212</v>
      </c>
      <c r="H53" s="16">
        <f t="shared" si="0"/>
        <v>36.219274999999996</v>
      </c>
      <c r="I53" s="5"/>
      <c r="J53" s="15">
        <v>602.76800000000003</v>
      </c>
      <c r="K53" s="16">
        <v>35.217599999999997</v>
      </c>
      <c r="L53" s="16">
        <v>40.962400000000002</v>
      </c>
      <c r="M53" s="16">
        <v>39.345199999999998</v>
      </c>
      <c r="N53" s="16">
        <v>179.8561</v>
      </c>
      <c r="O53" s="16">
        <f t="shared" si="1"/>
        <v>36.451649999999994</v>
      </c>
      <c r="P53" s="7"/>
      <c r="Q53" s="8">
        <f>bdrate(C53:C56,D53:D56,J53:J56,K53:K56)</f>
        <v>-4.9505440042288962E-2</v>
      </c>
      <c r="R53" s="8">
        <f>bdrate(C53:C56,E53:E56,J53:J56,L53:L56)</f>
        <v>-0.27408439863606371</v>
      </c>
      <c r="S53" s="8">
        <f>bdrate(C53:C56,F53:F56,J53:J56,M53:M56)</f>
        <v>-0.17257629730123103</v>
      </c>
      <c r="T53" s="25">
        <f>bdrate(C53:C56,H53:H56,J53:J56,O53:O56)</f>
        <v>-8.2271878679027632E-2</v>
      </c>
      <c r="U53" s="28">
        <f t="shared" si="2"/>
        <v>0.54820130879999995</v>
      </c>
    </row>
    <row r="54" spans="1:21" x14ac:dyDescent="0.25">
      <c r="A54" s="9" t="s">
        <v>42</v>
      </c>
      <c r="B54" s="9"/>
      <c r="C54" s="17">
        <v>393.048828125</v>
      </c>
      <c r="D54" s="18">
        <v>33.1721</v>
      </c>
      <c r="E54" s="18">
        <v>39.032499999999999</v>
      </c>
      <c r="F54" s="18">
        <v>37.598300000000002</v>
      </c>
      <c r="G54" s="18">
        <v>116.55011655011656</v>
      </c>
      <c r="H54" s="18">
        <f t="shared" si="0"/>
        <v>34.457925000000003</v>
      </c>
      <c r="I54" s="5"/>
      <c r="J54" s="17">
        <v>401.20159999999998</v>
      </c>
      <c r="K54" s="18">
        <v>33.311999999999998</v>
      </c>
      <c r="L54" s="18">
        <v>39.750300000000003</v>
      </c>
      <c r="M54" s="18">
        <v>38.0182</v>
      </c>
      <c r="N54" s="18">
        <v>203.9152</v>
      </c>
      <c r="O54" s="18">
        <f t="shared" si="1"/>
        <v>34.705062499999997</v>
      </c>
      <c r="P54" s="7"/>
      <c r="Q54" s="10"/>
      <c r="R54" s="11"/>
      <c r="S54" s="11"/>
      <c r="T54" s="26"/>
      <c r="U54" s="28">
        <f t="shared" si="2"/>
        <v>0.74959241599999993</v>
      </c>
    </row>
    <row r="55" spans="1:21" x14ac:dyDescent="0.25">
      <c r="B55" s="9"/>
      <c r="C55" s="17">
        <v>248.181640625</v>
      </c>
      <c r="D55" s="18">
        <v>30.973400000000002</v>
      </c>
      <c r="E55" s="18">
        <v>37.665500000000002</v>
      </c>
      <c r="F55" s="18">
        <v>36.082700000000003</v>
      </c>
      <c r="G55" s="18">
        <v>166.05778811026235</v>
      </c>
      <c r="H55" s="18">
        <f t="shared" si="0"/>
        <v>32.448575000000005</v>
      </c>
      <c r="I55" s="5"/>
      <c r="J55" s="17">
        <v>250.45840000000001</v>
      </c>
      <c r="K55" s="18">
        <v>31.302800000000001</v>
      </c>
      <c r="L55" s="18">
        <v>38.616799999999998</v>
      </c>
      <c r="M55" s="18">
        <v>36.741700000000002</v>
      </c>
      <c r="N55" s="18">
        <v>231.37440000000001</v>
      </c>
      <c r="O55" s="18">
        <f t="shared" si="1"/>
        <v>32.896912499999999</v>
      </c>
      <c r="P55" s="7"/>
      <c r="Q55" s="10"/>
      <c r="R55" s="11"/>
      <c r="S55" s="11"/>
      <c r="T55" s="26"/>
      <c r="U55" s="28">
        <f t="shared" si="2"/>
        <v>0.39333663680000025</v>
      </c>
    </row>
    <row r="56" spans="1:21" ht="16.5" thickBot="1" x14ac:dyDescent="0.3">
      <c r="B56" s="12"/>
      <c r="C56" s="19">
        <v>119.93359375</v>
      </c>
      <c r="D56" s="20">
        <v>27.827500000000001</v>
      </c>
      <c r="E56" s="20">
        <v>35.902999999999999</v>
      </c>
      <c r="F56" s="20">
        <v>33.795999999999999</v>
      </c>
      <c r="G56" s="20">
        <v>308.64197530864197</v>
      </c>
      <c r="H56" s="20">
        <f t="shared" si="0"/>
        <v>29.582999999999998</v>
      </c>
      <c r="I56" s="5"/>
      <c r="J56" s="19">
        <v>120.2016</v>
      </c>
      <c r="K56" s="20">
        <v>28.380299999999998</v>
      </c>
      <c r="L56" s="20">
        <v>36.991900000000001</v>
      </c>
      <c r="M56" s="20">
        <v>34.804000000000002</v>
      </c>
      <c r="N56" s="20">
        <v>302.66340000000002</v>
      </c>
      <c r="O56" s="20">
        <f t="shared" si="1"/>
        <v>30.259712499999996</v>
      </c>
      <c r="P56" s="7"/>
      <c r="Q56" s="13"/>
      <c r="R56" s="14"/>
      <c r="S56" s="14"/>
      <c r="T56" s="27"/>
      <c r="U56" s="28">
        <f t="shared" si="2"/>
        <v>-1.937058399999992E-2</v>
      </c>
    </row>
    <row r="57" spans="1:21" x14ac:dyDescent="0.25">
      <c r="B57" s="6" t="s">
        <v>58</v>
      </c>
      <c r="C57" s="15">
        <v>574.2626953125</v>
      </c>
      <c r="D57" s="16">
        <v>33.892099999999999</v>
      </c>
      <c r="E57" s="16">
        <v>41.0745</v>
      </c>
      <c r="F57" s="16">
        <v>41.980499999999999</v>
      </c>
      <c r="G57" s="16">
        <v>149.36519790888721</v>
      </c>
      <c r="H57" s="16">
        <f t="shared" si="0"/>
        <v>35.80095</v>
      </c>
      <c r="I57" s="5"/>
      <c r="J57" s="15">
        <v>592.31200000000001</v>
      </c>
      <c r="K57" s="16">
        <v>34.097000000000001</v>
      </c>
      <c r="L57" s="16">
        <v>42.081800000000001</v>
      </c>
      <c r="M57" s="16">
        <v>43.033499999999997</v>
      </c>
      <c r="N57" s="16">
        <v>229.27019999999999</v>
      </c>
      <c r="O57" s="16">
        <f t="shared" si="1"/>
        <v>36.212162499999998</v>
      </c>
      <c r="P57" s="7"/>
      <c r="Q57" s="8">
        <f>bdrate(C57:C60,D57:D60,J57:J60,K57:K60)</f>
        <v>-0.10433096343208215</v>
      </c>
      <c r="R57" s="8">
        <f>bdrate(C57:C60,E57:E60,J57:J60,L57:L60)</f>
        <v>-0.32350592986678806</v>
      </c>
      <c r="S57" s="8">
        <f>bdrate(C57:C60,F57:F60,J57:J60,M57:M60)</f>
        <v>-0.32886104663188598</v>
      </c>
      <c r="T57" s="25">
        <f>bdrate(C57:C60,H57:H60,J57:J60,O57:O60)</f>
        <v>-0.1449891237202523</v>
      </c>
      <c r="U57" s="28">
        <f t="shared" si="2"/>
        <v>0.53496398900000008</v>
      </c>
    </row>
    <row r="58" spans="1:21" x14ac:dyDescent="0.25">
      <c r="B58" s="9"/>
      <c r="C58" s="17">
        <v>383.3671875</v>
      </c>
      <c r="D58" s="18">
        <v>32.470500000000001</v>
      </c>
      <c r="E58" s="18">
        <v>40.353999999999999</v>
      </c>
      <c r="F58" s="18">
        <v>41.2117</v>
      </c>
      <c r="G58" s="18">
        <v>187.38288569643973</v>
      </c>
      <c r="H58" s="18">
        <f t="shared" si="0"/>
        <v>34.548587500000004</v>
      </c>
      <c r="I58" s="5"/>
      <c r="J58" s="17">
        <v>395.048</v>
      </c>
      <c r="K58" s="18">
        <v>32.752600000000001</v>
      </c>
      <c r="L58" s="18">
        <v>41.2821</v>
      </c>
      <c r="M58" s="18">
        <v>42.167200000000001</v>
      </c>
      <c r="N58" s="18">
        <v>269.05829999999997</v>
      </c>
      <c r="O58" s="18">
        <f t="shared" si="1"/>
        <v>34.9956125</v>
      </c>
      <c r="P58" s="7"/>
      <c r="Q58" s="10"/>
      <c r="R58" s="11"/>
      <c r="S58" s="11"/>
      <c r="T58" s="26"/>
      <c r="U58" s="28">
        <f t="shared" si="2"/>
        <v>0.43587446099999982</v>
      </c>
    </row>
    <row r="59" spans="1:21" x14ac:dyDescent="0.25">
      <c r="B59" s="9"/>
      <c r="C59" s="17">
        <v>239.205078125</v>
      </c>
      <c r="D59" s="18">
        <v>30.704599999999999</v>
      </c>
      <c r="E59" s="18">
        <v>39.432000000000002</v>
      </c>
      <c r="F59" s="18">
        <v>40.185499999999998</v>
      </c>
      <c r="G59" s="18">
        <v>245.29844644317251</v>
      </c>
      <c r="H59" s="18">
        <f t="shared" si="0"/>
        <v>32.9806375</v>
      </c>
      <c r="I59" s="5"/>
      <c r="J59" s="17">
        <v>247.63040000000001</v>
      </c>
      <c r="K59" s="18">
        <v>31.259599999999999</v>
      </c>
      <c r="L59" s="18">
        <v>40.224299999999999</v>
      </c>
      <c r="M59" s="18">
        <v>41.052399999999999</v>
      </c>
      <c r="N59" s="18">
        <v>317.29239999999999</v>
      </c>
      <c r="O59" s="18">
        <f t="shared" si="1"/>
        <v>33.604287499999998</v>
      </c>
      <c r="P59" s="7"/>
      <c r="Q59" s="10"/>
      <c r="R59" s="11"/>
      <c r="S59" s="11"/>
      <c r="T59" s="26"/>
      <c r="U59" s="28">
        <f t="shared" si="2"/>
        <v>0.29349535066666671</v>
      </c>
    </row>
    <row r="60" spans="1:21" ht="16.5" thickBot="1" x14ac:dyDescent="0.3">
      <c r="B60" s="12"/>
      <c r="C60" s="19">
        <v>114.630859375</v>
      </c>
      <c r="D60" s="20">
        <v>27.567499999999999</v>
      </c>
      <c r="E60" s="20">
        <v>38.201900000000002</v>
      </c>
      <c r="F60" s="20">
        <v>38.9422</v>
      </c>
      <c r="G60" s="20">
        <v>368.0981595092025</v>
      </c>
      <c r="H60" s="20">
        <f t="shared" si="0"/>
        <v>30.318637500000001</v>
      </c>
      <c r="I60" s="5"/>
      <c r="J60" s="19">
        <v>118.7424</v>
      </c>
      <c r="K60" s="20">
        <v>28.694299999999998</v>
      </c>
      <c r="L60" s="20">
        <v>38.889200000000002</v>
      </c>
      <c r="M60" s="20">
        <v>39.702100000000002</v>
      </c>
      <c r="N60" s="20">
        <v>429.18450000000001</v>
      </c>
      <c r="O60" s="20">
        <f t="shared" si="1"/>
        <v>31.344637500000001</v>
      </c>
      <c r="P60" s="7"/>
      <c r="Q60" s="13"/>
      <c r="R60" s="14"/>
      <c r="S60" s="14"/>
      <c r="T60" s="27"/>
      <c r="U60" s="28">
        <f t="shared" si="2"/>
        <v>0.16595122499999987</v>
      </c>
    </row>
    <row r="61" spans="1:21" x14ac:dyDescent="0.25">
      <c r="B61" s="6" t="s">
        <v>59</v>
      </c>
      <c r="C61" s="29">
        <v>594.46484375</v>
      </c>
      <c r="D61" s="30">
        <v>33.536499999999997</v>
      </c>
      <c r="E61" s="30">
        <v>38.188699999999997</v>
      </c>
      <c r="F61" s="30">
        <v>38.872399999999999</v>
      </c>
      <c r="G61" s="16">
        <v>110.03521126760565</v>
      </c>
      <c r="H61" s="16">
        <f t="shared" si="0"/>
        <v>34.785012499999993</v>
      </c>
      <c r="I61" s="5"/>
      <c r="J61" s="29">
        <v>594.96479999999997</v>
      </c>
      <c r="K61" s="30">
        <v>33.425400000000003</v>
      </c>
      <c r="L61" s="30">
        <v>39.047899999999998</v>
      </c>
      <c r="M61" s="30">
        <v>39.987900000000003</v>
      </c>
      <c r="N61" s="16">
        <v>217.86490000000001</v>
      </c>
      <c r="O61" s="16">
        <f t="shared" si="1"/>
        <v>34.948525000000004</v>
      </c>
      <c r="P61" s="7"/>
      <c r="Q61" s="8">
        <f>bdrate(C61:C64,D61:D64,J61:J64,K61:K64)</f>
        <v>-8.4894069676819894E-2</v>
      </c>
      <c r="R61" s="8">
        <f>bdrate(C61:C64,E61:E64,J61:J64,L61:L64)</f>
        <v>-0.27559594777595886</v>
      </c>
      <c r="S61" s="8">
        <f>bdrate(C61:C64,F61:F64,J61:J64,M61:M64)</f>
        <v>-0.33118074586357305</v>
      </c>
      <c r="T61" s="25">
        <f>bdrate(C61:C64,H61:H64,J61:J64,O61:O64)</f>
        <v>-0.12713703797458054</v>
      </c>
      <c r="U61" s="28">
        <f t="shared" si="2"/>
        <v>0.97995621119999987</v>
      </c>
    </row>
    <row r="62" spans="1:21" x14ac:dyDescent="0.25">
      <c r="B62" s="9"/>
      <c r="C62" s="31">
        <v>398.2705078125</v>
      </c>
      <c r="D62" s="32">
        <v>31.786200000000001</v>
      </c>
      <c r="E62" s="32">
        <v>37.187399999999997</v>
      </c>
      <c r="F62" s="32">
        <v>37.8337</v>
      </c>
      <c r="G62" s="18">
        <v>139.70382788488405</v>
      </c>
      <c r="H62" s="18">
        <f t="shared" si="0"/>
        <v>33.217287499999998</v>
      </c>
      <c r="I62" s="5"/>
      <c r="J62" s="31">
        <v>382.21359999999999</v>
      </c>
      <c r="K62" s="32">
        <v>31.735800000000001</v>
      </c>
      <c r="L62" s="32">
        <v>37.780200000000001</v>
      </c>
      <c r="M62" s="32">
        <v>38.5946</v>
      </c>
      <c r="N62" s="18">
        <v>243.9024</v>
      </c>
      <c r="O62" s="18">
        <f t="shared" si="1"/>
        <v>33.348700000000001</v>
      </c>
      <c r="P62" s="7"/>
      <c r="Q62" s="10"/>
      <c r="R62" s="11"/>
      <c r="S62" s="11"/>
      <c r="T62" s="26"/>
      <c r="U62" s="28">
        <f t="shared" si="2"/>
        <v>0.74585337919999994</v>
      </c>
    </row>
    <row r="63" spans="1:21" x14ac:dyDescent="0.25">
      <c r="B63" s="9"/>
      <c r="C63" s="31">
        <v>250.4248046875</v>
      </c>
      <c r="D63" s="32">
        <v>29.862100000000002</v>
      </c>
      <c r="E63" s="32">
        <v>36.047800000000002</v>
      </c>
      <c r="F63" s="32">
        <v>36.646799999999999</v>
      </c>
      <c r="G63" s="18">
        <v>180.57060310581437</v>
      </c>
      <c r="H63" s="18">
        <f t="shared" si="0"/>
        <v>31.483400000000003</v>
      </c>
      <c r="I63" s="5"/>
      <c r="J63" s="31">
        <v>245.1968</v>
      </c>
      <c r="K63" s="32">
        <v>30.220800000000001</v>
      </c>
      <c r="L63" s="32">
        <v>36.747999999999998</v>
      </c>
      <c r="M63" s="32">
        <v>37.598399999999998</v>
      </c>
      <c r="N63" s="18">
        <v>284.57600000000002</v>
      </c>
      <c r="O63" s="18">
        <f t="shared" si="1"/>
        <v>31.9589</v>
      </c>
      <c r="P63" s="7"/>
      <c r="Q63" s="10"/>
      <c r="R63" s="11"/>
      <c r="S63" s="11"/>
      <c r="T63" s="26"/>
      <c r="U63" s="28">
        <f t="shared" si="2"/>
        <v>0.57598188800000016</v>
      </c>
    </row>
    <row r="64" spans="1:21" ht="16.5" thickBot="1" x14ac:dyDescent="0.3">
      <c r="B64" s="12"/>
      <c r="C64" s="33">
        <v>120.4296875</v>
      </c>
      <c r="D64" s="34">
        <v>27.125399999999999</v>
      </c>
      <c r="E64" s="34">
        <v>34.4133</v>
      </c>
      <c r="F64" s="34">
        <v>34.944000000000003</v>
      </c>
      <c r="G64" s="20">
        <v>321.95750160978753</v>
      </c>
      <c r="H64" s="20">
        <f t="shared" si="0"/>
        <v>29.013712499999997</v>
      </c>
      <c r="I64" s="5"/>
      <c r="J64" s="33">
        <v>117.61199999999999</v>
      </c>
      <c r="K64" s="34">
        <v>27.792000000000002</v>
      </c>
      <c r="L64" s="34">
        <v>35.258099999999999</v>
      </c>
      <c r="M64" s="34">
        <v>35.974299999999999</v>
      </c>
      <c r="N64" s="20">
        <v>348.67500000000001</v>
      </c>
      <c r="O64" s="20">
        <f t="shared" si="1"/>
        <v>29.748050000000003</v>
      </c>
      <c r="P64" s="7"/>
      <c r="Q64" s="13"/>
      <c r="R64" s="14"/>
      <c r="S64" s="14"/>
      <c r="T64" s="27"/>
      <c r="U64" s="28">
        <f t="shared" si="2"/>
        <v>8.2984549999999963E-2</v>
      </c>
    </row>
    <row r="65" spans="1:21" x14ac:dyDescent="0.25">
      <c r="B65" s="6" t="s">
        <v>60</v>
      </c>
      <c r="C65" s="15">
        <v>574.9091796875</v>
      </c>
      <c r="D65" s="16">
        <v>34.9998</v>
      </c>
      <c r="E65" s="16">
        <v>38.399099999999997</v>
      </c>
      <c r="F65" s="16">
        <v>39.556800000000003</v>
      </c>
      <c r="G65" s="16">
        <v>69.783670621074663</v>
      </c>
      <c r="H65" s="16">
        <f t="shared" si="0"/>
        <v>35.9943375</v>
      </c>
      <c r="I65" s="5"/>
      <c r="J65" s="15">
        <v>584.05439999999999</v>
      </c>
      <c r="K65" s="16">
        <v>34.493200000000002</v>
      </c>
      <c r="L65" s="16">
        <v>38.645099999999999</v>
      </c>
      <c r="M65" s="16">
        <v>39.796599999999998</v>
      </c>
      <c r="N65" s="16">
        <v>124.6883</v>
      </c>
      <c r="O65" s="16">
        <f t="shared" si="1"/>
        <v>35.675112500000004</v>
      </c>
      <c r="P65" s="7"/>
      <c r="Q65" s="8">
        <f>bdrate(C65:C68,D65:D68,J65:J68,K65:K68)</f>
        <v>4.4472272373202504E-2</v>
      </c>
      <c r="R65" s="8">
        <f>bdrate(C65:C68,E65:E68,J65:J68,L65:L68)</f>
        <v>-0.14072328716783955</v>
      </c>
      <c r="S65" s="8">
        <f>bdrate(C65:C68,F65:F68,J65:J68,M65:M68)</f>
        <v>-0.1424050149356727</v>
      </c>
      <c r="T65" s="25">
        <f>bdrate(C65:C68,H65:H68,J65:J68,O65:O68)</f>
        <v>1.0887551275929885E-2</v>
      </c>
      <c r="U65" s="28">
        <f t="shared" si="2"/>
        <v>0.78678333900000008</v>
      </c>
    </row>
    <row r="66" spans="1:21" x14ac:dyDescent="0.25">
      <c r="B66" s="9"/>
      <c r="C66" s="17">
        <v>386.0908203125</v>
      </c>
      <c r="D66" s="18">
        <v>32.969000000000001</v>
      </c>
      <c r="E66" s="18">
        <v>37.196899999999999</v>
      </c>
      <c r="F66" s="18">
        <v>38.3566</v>
      </c>
      <c r="G66" s="18">
        <v>86.430423509075197</v>
      </c>
      <c r="H66" s="18">
        <f t="shared" si="0"/>
        <v>34.170937500000001</v>
      </c>
      <c r="I66" s="5"/>
      <c r="J66" s="17">
        <v>387.2552</v>
      </c>
      <c r="K66" s="18">
        <v>32.561</v>
      </c>
      <c r="L66" s="18">
        <v>37.528599999999997</v>
      </c>
      <c r="M66" s="18">
        <v>38.683199999999999</v>
      </c>
      <c r="N66" s="18">
        <v>144.85759999999999</v>
      </c>
      <c r="O66" s="18">
        <f t="shared" si="1"/>
        <v>33.947224999999996</v>
      </c>
      <c r="P66" s="7"/>
      <c r="Q66" s="10"/>
      <c r="R66" s="11"/>
      <c r="S66" s="11"/>
      <c r="T66" s="26"/>
      <c r="U66" s="28">
        <f t="shared" si="2"/>
        <v>0.67600243199999988</v>
      </c>
    </row>
    <row r="67" spans="1:21" x14ac:dyDescent="0.25">
      <c r="B67" s="9"/>
      <c r="C67" s="17">
        <v>243.8857421875</v>
      </c>
      <c r="D67" s="18">
        <v>30.810300000000002</v>
      </c>
      <c r="E67" s="18">
        <v>35.971499999999999</v>
      </c>
      <c r="F67" s="18">
        <v>37.079900000000002</v>
      </c>
      <c r="G67" s="18">
        <v>112.99435028248588</v>
      </c>
      <c r="H67" s="18">
        <f t="shared" si="0"/>
        <v>32.239150000000002</v>
      </c>
      <c r="I67" s="5"/>
      <c r="J67" s="17">
        <v>243.0592</v>
      </c>
      <c r="K67" s="18">
        <v>30.6616</v>
      </c>
      <c r="L67" s="18">
        <v>36.325899999999997</v>
      </c>
      <c r="M67" s="18">
        <v>37.453200000000002</v>
      </c>
      <c r="N67" s="18">
        <v>169.39580000000001</v>
      </c>
      <c r="O67" s="18">
        <f t="shared" si="1"/>
        <v>32.218587499999998</v>
      </c>
      <c r="P67" s="7"/>
      <c r="Q67" s="10"/>
      <c r="R67" s="11"/>
      <c r="S67" s="11"/>
      <c r="T67" s="26"/>
      <c r="U67" s="28">
        <f t="shared" si="2"/>
        <v>0.49915282999999999</v>
      </c>
    </row>
    <row r="68" spans="1:21" ht="16.5" thickBot="1" x14ac:dyDescent="0.3">
      <c r="B68" s="12"/>
      <c r="C68" s="19">
        <v>120.2783203125</v>
      </c>
      <c r="D68" s="20">
        <v>27.958500000000001</v>
      </c>
      <c r="E68" s="20">
        <v>34.186700000000002</v>
      </c>
      <c r="F68" s="20">
        <v>35.200099999999999</v>
      </c>
      <c r="G68" s="20">
        <v>206.7539627842867</v>
      </c>
      <c r="H68" s="20">
        <f t="shared" si="0"/>
        <v>29.642225</v>
      </c>
      <c r="I68" s="5"/>
      <c r="J68" s="19">
        <v>116.4032</v>
      </c>
      <c r="K68" s="20">
        <v>28.0456</v>
      </c>
      <c r="L68" s="20">
        <v>34.861199999999997</v>
      </c>
      <c r="M68" s="20">
        <v>35.953099999999999</v>
      </c>
      <c r="N68" s="20">
        <v>214.59229999999999</v>
      </c>
      <c r="O68" s="20">
        <f t="shared" si="1"/>
        <v>29.885987499999999</v>
      </c>
      <c r="P68" s="7"/>
      <c r="Q68" s="13"/>
      <c r="R68" s="14"/>
      <c r="S68" s="14"/>
      <c r="T68" s="27"/>
      <c r="U68" s="28">
        <f t="shared" si="2"/>
        <v>3.7911424333333305E-2</v>
      </c>
    </row>
    <row r="69" spans="1:21" x14ac:dyDescent="0.25">
      <c r="A69" s="6" t="s">
        <v>43</v>
      </c>
      <c r="B69" s="6" t="s">
        <v>61</v>
      </c>
      <c r="C69" s="15">
        <v>1412.6982421875</v>
      </c>
      <c r="D69" s="16">
        <v>41.425800000000002</v>
      </c>
      <c r="E69" s="16">
        <v>45.745100000000001</v>
      </c>
      <c r="F69" s="16">
        <v>46.961399999999998</v>
      </c>
      <c r="G69" s="16">
        <v>86.98173383589446</v>
      </c>
      <c r="H69" s="16">
        <f t="shared" si="0"/>
        <v>42.657662500000001</v>
      </c>
      <c r="I69" s="5"/>
      <c r="J69" s="15">
        <v>1506.6632</v>
      </c>
      <c r="K69" s="16">
        <v>41.905799999999999</v>
      </c>
      <c r="L69" s="16">
        <v>46.518999999999998</v>
      </c>
      <c r="M69" s="16">
        <v>47.8005</v>
      </c>
      <c r="N69" s="16">
        <v>53.409300000000002</v>
      </c>
      <c r="O69" s="16">
        <f t="shared" si="1"/>
        <v>43.2192875</v>
      </c>
      <c r="P69" s="7"/>
      <c r="Q69" s="8">
        <f>bdrate(C69:C72,D69:D72,J69:J72,K69:K72)</f>
        <v>-0.19312842199475178</v>
      </c>
      <c r="R69" s="8">
        <f>bdrate(C69:C72,E69:E72,J69:J72,L69:L72)</f>
        <v>-0.29589706368383029</v>
      </c>
      <c r="S69" s="8">
        <f>bdrate(C69:C72,F69:F72,J69:J72,M69:M72)</f>
        <v>-0.28911788003959027</v>
      </c>
      <c r="T69" s="25">
        <f>bdrate(C69:C72,H69:H72,J69:J72,O69:O72)</f>
        <v>-0.21324553749868846</v>
      </c>
      <c r="U69" s="28">
        <f t="shared" si="2"/>
        <v>-0.38597108099999994</v>
      </c>
    </row>
    <row r="70" spans="1:21" x14ac:dyDescent="0.25">
      <c r="A70" s="9" t="s">
        <v>44</v>
      </c>
      <c r="B70" s="9"/>
      <c r="C70" s="17">
        <v>936.3505859375</v>
      </c>
      <c r="D70" s="18">
        <v>40.137500000000003</v>
      </c>
      <c r="E70" s="18">
        <v>44.665399999999998</v>
      </c>
      <c r="F70" s="18">
        <v>45.8887</v>
      </c>
      <c r="G70" s="18">
        <v>121.2856276531231</v>
      </c>
      <c r="H70" s="18">
        <f t="shared" si="0"/>
        <v>41.422387499999999</v>
      </c>
      <c r="I70" s="5"/>
      <c r="J70" s="17">
        <v>997.3424</v>
      </c>
      <c r="K70" s="18">
        <v>40.901800000000001</v>
      </c>
      <c r="L70" s="18">
        <v>45.715600000000002</v>
      </c>
      <c r="M70" s="18">
        <v>46.918700000000001</v>
      </c>
      <c r="N70" s="18">
        <v>65.681399999999996</v>
      </c>
      <c r="O70" s="18">
        <f t="shared" si="1"/>
        <v>42.255637499999999</v>
      </c>
      <c r="P70" s="7"/>
      <c r="Q70" s="10"/>
      <c r="R70" s="11"/>
      <c r="S70" s="11"/>
      <c r="T70" s="26"/>
      <c r="U70" s="28">
        <f t="shared" si="2"/>
        <v>-0.458456857</v>
      </c>
    </row>
    <row r="71" spans="1:21" x14ac:dyDescent="0.25">
      <c r="B71" s="9"/>
      <c r="C71" s="17">
        <v>561.609375</v>
      </c>
      <c r="D71" s="18">
        <v>37.998899999999999</v>
      </c>
      <c r="E71" s="18">
        <v>43.137</v>
      </c>
      <c r="F71" s="18">
        <v>44.341299999999997</v>
      </c>
      <c r="G71" s="18">
        <v>154.5993300695697</v>
      </c>
      <c r="H71" s="18">
        <f t="shared" si="0"/>
        <v>39.4339625</v>
      </c>
      <c r="I71" s="5"/>
      <c r="J71" s="17">
        <v>593.33360000000005</v>
      </c>
      <c r="K71" s="18">
        <v>39.152999999999999</v>
      </c>
      <c r="L71" s="18">
        <v>44.326000000000001</v>
      </c>
      <c r="M71" s="18">
        <v>45.509099999999997</v>
      </c>
      <c r="N71" s="18">
        <v>80.645200000000003</v>
      </c>
      <c r="O71" s="18">
        <f t="shared" si="1"/>
        <v>40.594137500000002</v>
      </c>
      <c r="P71" s="7"/>
      <c r="Q71" s="10"/>
      <c r="R71" s="11"/>
      <c r="S71" s="11"/>
      <c r="T71" s="26"/>
      <c r="U71" s="28">
        <f t="shared" si="2"/>
        <v>-0.47835996466666664</v>
      </c>
    </row>
    <row r="72" spans="1:21" ht="16.5" thickBot="1" x14ac:dyDescent="0.3">
      <c r="B72" s="12"/>
      <c r="C72" s="19">
        <v>282.6416015625</v>
      </c>
      <c r="D72" s="20">
        <v>34.326799999999999</v>
      </c>
      <c r="E72" s="20">
        <v>41.190100000000001</v>
      </c>
      <c r="F72" s="20">
        <v>42.210799999999999</v>
      </c>
      <c r="G72" s="20">
        <v>197.23865877712032</v>
      </c>
      <c r="H72" s="20">
        <f t="shared" si="0"/>
        <v>36.170212499999998</v>
      </c>
      <c r="I72" s="5"/>
      <c r="J72" s="19">
        <v>291.084</v>
      </c>
      <c r="K72" s="20">
        <v>36.01</v>
      </c>
      <c r="L72" s="20">
        <v>42.283200000000001</v>
      </c>
      <c r="M72" s="20">
        <v>43.464799999999997</v>
      </c>
      <c r="N72" s="20">
        <v>103.3058</v>
      </c>
      <c r="O72" s="20">
        <f t="shared" si="1"/>
        <v>37.725999999999999</v>
      </c>
      <c r="P72" s="7"/>
      <c r="Q72" s="13"/>
      <c r="R72" s="14"/>
      <c r="S72" s="14"/>
      <c r="T72" s="27"/>
      <c r="U72" s="28">
        <f t="shared" si="2"/>
        <v>-0.47623959399999999</v>
      </c>
    </row>
    <row r="73" spans="1:21" x14ac:dyDescent="0.25">
      <c r="B73" s="6" t="s">
        <v>62</v>
      </c>
      <c r="C73" s="15">
        <v>1432.09375</v>
      </c>
      <c r="D73" s="16">
        <v>42.691200000000002</v>
      </c>
      <c r="E73" s="16">
        <v>47.895499999999998</v>
      </c>
      <c r="F73" s="16">
        <v>48.5443</v>
      </c>
      <c r="G73" s="16">
        <v>100.41841004184101</v>
      </c>
      <c r="H73" s="16">
        <f t="shared" si="0"/>
        <v>44.073374999999999</v>
      </c>
      <c r="I73" s="5"/>
      <c r="J73" s="15">
        <v>1502.3144</v>
      </c>
      <c r="K73" s="16">
        <v>42.907299999999999</v>
      </c>
      <c r="L73" s="16">
        <v>48.336100000000002</v>
      </c>
      <c r="M73" s="16">
        <v>49.075000000000003</v>
      </c>
      <c r="N73" s="16">
        <v>60.734900000000003</v>
      </c>
      <c r="O73" s="16">
        <f t="shared" si="1"/>
        <v>44.356862499999998</v>
      </c>
      <c r="P73" s="7"/>
      <c r="Q73" s="8">
        <f>bdrate(C73:C76,D73:D76,J73:J76,K73:K76)</f>
        <v>-0.18851107464271133</v>
      </c>
      <c r="R73" s="8">
        <f>bdrate(C73:C76,E73:E76,J73:J76,L73:L76)</f>
        <v>-0.32177244054268261</v>
      </c>
      <c r="S73" s="8">
        <f>bdrate(C73:C76,F73:F76,J73:J76,M73:M76)</f>
        <v>-0.31814750869688779</v>
      </c>
      <c r="T73" s="25">
        <f>bdrate(C73:C76,H73:H76,J73:J76,O73:O76)</f>
        <v>-0.22353696379028742</v>
      </c>
      <c r="U73" s="28">
        <f t="shared" ref="U73:U124" si="3">(N73-G73)/G73</f>
        <v>-0.39518162083333336</v>
      </c>
    </row>
    <row r="74" spans="1:21" x14ac:dyDescent="0.25">
      <c r="B74" s="9"/>
      <c r="C74" s="17">
        <v>947.546875</v>
      </c>
      <c r="D74" s="18">
        <v>42.162199999999999</v>
      </c>
      <c r="E74" s="18">
        <v>47.356900000000003</v>
      </c>
      <c r="F74" s="18">
        <v>48.024299999999997</v>
      </c>
      <c r="G74" s="18">
        <v>123.50761630300536</v>
      </c>
      <c r="H74" s="18">
        <f t="shared" si="0"/>
        <v>43.5443</v>
      </c>
      <c r="I74" s="5"/>
      <c r="J74" s="17">
        <v>993.26559999999995</v>
      </c>
      <c r="K74" s="18">
        <v>42.470300000000002</v>
      </c>
      <c r="L74" s="18">
        <v>47.992899999999999</v>
      </c>
      <c r="M74" s="18">
        <v>48.690199999999997</v>
      </c>
      <c r="N74" s="18">
        <v>72.665599999999998</v>
      </c>
      <c r="O74" s="18">
        <f t="shared" si="1"/>
        <v>43.938112500000003</v>
      </c>
      <c r="P74" s="7"/>
      <c r="Q74" s="10"/>
      <c r="R74" s="11"/>
      <c r="S74" s="11"/>
      <c r="T74" s="26"/>
      <c r="U74" s="28">
        <f t="shared" si="3"/>
        <v>-0.41165085866666673</v>
      </c>
    </row>
    <row r="75" spans="1:21" x14ac:dyDescent="0.25">
      <c r="B75" s="9"/>
      <c r="C75" s="17">
        <v>572.65234375</v>
      </c>
      <c r="D75" s="18">
        <v>41.285200000000003</v>
      </c>
      <c r="E75" s="18">
        <v>46.487299999999998</v>
      </c>
      <c r="F75" s="18">
        <v>47.1571</v>
      </c>
      <c r="G75" s="18">
        <v>146.52014652014654</v>
      </c>
      <c r="H75" s="18">
        <f t="shared" si="0"/>
        <v>42.669450000000005</v>
      </c>
      <c r="I75" s="5"/>
      <c r="J75" s="17">
        <v>572.26639999999998</v>
      </c>
      <c r="K75" s="18">
        <v>41.683500000000002</v>
      </c>
      <c r="L75" s="18">
        <v>47.224899999999998</v>
      </c>
      <c r="M75" s="18">
        <v>47.916499999999999</v>
      </c>
      <c r="N75" s="18">
        <v>88.968000000000004</v>
      </c>
      <c r="O75" s="18">
        <f t="shared" si="1"/>
        <v>43.155299999999997</v>
      </c>
      <c r="P75" s="7"/>
      <c r="Q75" s="10"/>
      <c r="R75" s="11"/>
      <c r="S75" s="11"/>
      <c r="T75" s="26"/>
      <c r="U75" s="28">
        <f t="shared" si="3"/>
        <v>-0.39279340000000007</v>
      </c>
    </row>
    <row r="76" spans="1:21" ht="16.5" thickBot="1" x14ac:dyDescent="0.3">
      <c r="B76" s="12"/>
      <c r="C76" s="19">
        <v>287.5810546875</v>
      </c>
      <c r="D76" s="20">
        <v>39.337200000000003</v>
      </c>
      <c r="E76" s="20">
        <v>44.847299999999997</v>
      </c>
      <c r="F76" s="20">
        <v>45.556800000000003</v>
      </c>
      <c r="G76" s="20">
        <v>183.48623853211009</v>
      </c>
      <c r="H76" s="20">
        <f t="shared" si="0"/>
        <v>40.803412500000007</v>
      </c>
      <c r="I76" s="5"/>
      <c r="J76" s="19">
        <v>271.1096</v>
      </c>
      <c r="K76" s="20">
        <v>39.891300000000001</v>
      </c>
      <c r="L76" s="20">
        <v>45.471800000000002</v>
      </c>
      <c r="M76" s="20">
        <v>46.041400000000003</v>
      </c>
      <c r="N76" s="20">
        <v>116.5954</v>
      </c>
      <c r="O76" s="20">
        <f t="shared" si="1"/>
        <v>41.357625000000006</v>
      </c>
      <c r="P76" s="7"/>
      <c r="Q76" s="13"/>
      <c r="R76" s="14"/>
      <c r="S76" s="14"/>
      <c r="T76" s="27"/>
      <c r="U76" s="28">
        <f t="shared" si="3"/>
        <v>-0.36455507000000004</v>
      </c>
    </row>
    <row r="77" spans="1:21" x14ac:dyDescent="0.25">
      <c r="B77" s="6" t="s">
        <v>63</v>
      </c>
      <c r="C77" s="15">
        <v>1441.4599609375</v>
      </c>
      <c r="D77" s="16">
        <v>42.464700000000001</v>
      </c>
      <c r="E77" s="16">
        <v>46.841999999999999</v>
      </c>
      <c r="F77" s="16">
        <v>47.710900000000002</v>
      </c>
      <c r="G77" s="16">
        <v>88.928412627834589</v>
      </c>
      <c r="H77" s="16">
        <f t="shared" si="0"/>
        <v>43.667637499999998</v>
      </c>
      <c r="I77" s="5"/>
      <c r="J77" s="15">
        <v>1538.4232</v>
      </c>
      <c r="K77" s="16">
        <v>42.849499999999999</v>
      </c>
      <c r="L77" s="16">
        <v>47.5458</v>
      </c>
      <c r="M77" s="16">
        <v>48.448599999999999</v>
      </c>
      <c r="N77" s="16">
        <v>56.248199999999997</v>
      </c>
      <c r="O77" s="16">
        <f t="shared" si="1"/>
        <v>44.136424999999996</v>
      </c>
      <c r="P77" s="7"/>
      <c r="Q77" s="8">
        <f>bdrate(C77:C80,D77:D80,J77:J80,K77:K80)</f>
        <v>-0.18937580306338209</v>
      </c>
      <c r="R77" s="8">
        <f>bdrate(C77:C80,E77:E80,J77:J80,L77:L80)</f>
        <v>-0.3165898918361103</v>
      </c>
      <c r="S77" s="8">
        <f>bdrate(C77:C80,F77:F80,J77:J80,M77:M80)</f>
        <v>-0.31148357492213818</v>
      </c>
      <c r="T77" s="25">
        <f>bdrate(C77:C80,H77:H80,J77:J80,O77:O80)</f>
        <v>-0.21799890123207188</v>
      </c>
      <c r="U77" s="28">
        <f t="shared" si="3"/>
        <v>-0.36748899099999999</v>
      </c>
    </row>
    <row r="78" spans="1:21" x14ac:dyDescent="0.25">
      <c r="B78" s="9"/>
      <c r="C78" s="17">
        <v>965.86328125</v>
      </c>
      <c r="D78" s="18">
        <v>41.6175</v>
      </c>
      <c r="E78" s="18">
        <v>46.019199999999998</v>
      </c>
      <c r="F78" s="18">
        <v>46.918399999999998</v>
      </c>
      <c r="G78" s="18">
        <v>113.65788975184694</v>
      </c>
      <c r="H78" s="18">
        <f t="shared" si="0"/>
        <v>42.830325000000002</v>
      </c>
      <c r="I78" s="5"/>
      <c r="J78" s="17">
        <v>1023.6096</v>
      </c>
      <c r="K78" s="18">
        <v>42.132599999999996</v>
      </c>
      <c r="L78" s="18">
        <v>46.9238</v>
      </c>
      <c r="M78" s="18">
        <v>47.810099999999998</v>
      </c>
      <c r="N78" s="18">
        <v>68.626300000000001</v>
      </c>
      <c r="O78" s="18">
        <f t="shared" si="1"/>
        <v>43.441187499999991</v>
      </c>
      <c r="P78" s="7"/>
      <c r="Q78" s="10"/>
      <c r="R78" s="11"/>
      <c r="S78" s="11"/>
      <c r="T78" s="26"/>
      <c r="U78" s="28">
        <f t="shared" si="3"/>
        <v>-0.39620293716666666</v>
      </c>
    </row>
    <row r="79" spans="1:21" x14ac:dyDescent="0.25">
      <c r="B79" s="9"/>
      <c r="C79" s="17">
        <v>583.5849609375</v>
      </c>
      <c r="D79" s="18">
        <v>40.112099999999998</v>
      </c>
      <c r="E79" s="18">
        <v>44.761299999999999</v>
      </c>
      <c r="F79" s="18">
        <v>45.648499999999999</v>
      </c>
      <c r="G79" s="18">
        <v>144.0576230492197</v>
      </c>
      <c r="H79" s="18">
        <f t="shared" si="0"/>
        <v>41.385300000000001</v>
      </c>
      <c r="I79" s="5"/>
      <c r="J79" s="17">
        <v>600.95039999999995</v>
      </c>
      <c r="K79" s="18">
        <v>40.847700000000003</v>
      </c>
      <c r="L79" s="18">
        <v>45.755699999999997</v>
      </c>
      <c r="M79" s="18">
        <v>46.625999999999998</v>
      </c>
      <c r="N79" s="18">
        <v>86.009200000000007</v>
      </c>
      <c r="O79" s="18">
        <f t="shared" si="1"/>
        <v>42.183487499999998</v>
      </c>
      <c r="P79" s="7"/>
      <c r="Q79" s="10"/>
      <c r="R79" s="11"/>
      <c r="S79" s="11"/>
      <c r="T79" s="26"/>
      <c r="U79" s="28">
        <f t="shared" si="3"/>
        <v>-0.40295280333333333</v>
      </c>
    </row>
    <row r="80" spans="1:21" ht="16.5" thickBot="1" x14ac:dyDescent="0.3">
      <c r="B80" s="12"/>
      <c r="C80" s="19">
        <v>293.2900390625</v>
      </c>
      <c r="D80" s="20">
        <v>37.2254</v>
      </c>
      <c r="E80" s="20">
        <v>42.662700000000001</v>
      </c>
      <c r="F80" s="20">
        <v>43.512799999999999</v>
      </c>
      <c r="G80" s="20">
        <v>185.64356435643563</v>
      </c>
      <c r="H80" s="20">
        <f t="shared" si="0"/>
        <v>38.690987499999991</v>
      </c>
      <c r="I80" s="5"/>
      <c r="J80" s="19">
        <v>292.06799999999998</v>
      </c>
      <c r="K80" s="20">
        <v>38.399099999999997</v>
      </c>
      <c r="L80" s="20">
        <v>43.988100000000003</v>
      </c>
      <c r="M80" s="20">
        <v>44.859200000000001</v>
      </c>
      <c r="N80" s="20">
        <v>112.5492</v>
      </c>
      <c r="O80" s="20">
        <f t="shared" si="1"/>
        <v>39.905237499999998</v>
      </c>
      <c r="P80" s="7"/>
      <c r="Q80" s="13"/>
      <c r="R80" s="14"/>
      <c r="S80" s="14"/>
      <c r="T80" s="27"/>
      <c r="U80" s="28">
        <f t="shared" si="3"/>
        <v>-0.39373497599999996</v>
      </c>
    </row>
    <row r="81" spans="1:21" x14ac:dyDescent="0.25">
      <c r="A81" s="6" t="s">
        <v>99</v>
      </c>
      <c r="B81" s="6" t="s">
        <v>100</v>
      </c>
      <c r="C81" s="15">
        <v>1475.3935546875</v>
      </c>
      <c r="D81" s="16">
        <v>37.018099999999997</v>
      </c>
      <c r="E81" s="16">
        <v>42.940199999999997</v>
      </c>
      <c r="F81" s="16">
        <v>43.580800000000004</v>
      </c>
      <c r="G81" s="16">
        <v>53.995680345572353</v>
      </c>
      <c r="H81" s="16">
        <f t="shared" ref="H81:H124" si="4">(6*D81+E81+F81)/8</f>
        <v>38.578699999999998</v>
      </c>
      <c r="I81" s="5"/>
      <c r="J81" s="15">
        <v>1523.7692999999999</v>
      </c>
      <c r="K81" s="16">
        <v>37.271900000000002</v>
      </c>
      <c r="L81" s="16">
        <v>43.377899999999997</v>
      </c>
      <c r="M81" s="16">
        <v>44.035299999999999</v>
      </c>
      <c r="N81" s="16">
        <v>33.066400000000002</v>
      </c>
      <c r="O81" s="16">
        <f t="shared" ref="O81:O124" si="5">(6*K81+L81+M81)/8</f>
        <v>38.880575</v>
      </c>
      <c r="P81" s="7"/>
      <c r="Q81" s="8">
        <f>bdrate(C81:C84,D81:D84,J81:J84,K81:K84)</f>
        <v>-9.497263537284828E-2</v>
      </c>
      <c r="R81" s="8">
        <f>bdrate(C81:C84,E81:E84,J81:J84,L81:L84)</f>
        <v>-0.20530259734633893</v>
      </c>
      <c r="S81" s="8">
        <f>bdrate(C81:C84,F81:F84,J81:J84,M81:M84)</f>
        <v>-0.22038025812000128</v>
      </c>
      <c r="T81" s="25">
        <f>bdrate(C81:C84,H81:H84,J81:J84,O81:O84)</f>
        <v>-0.11621190044576823</v>
      </c>
      <c r="U81" s="28">
        <f t="shared" si="3"/>
        <v>-0.38761027199999998</v>
      </c>
    </row>
    <row r="82" spans="1:21" x14ac:dyDescent="0.25">
      <c r="A82" s="9" t="s">
        <v>77</v>
      </c>
      <c r="B82" s="9"/>
      <c r="C82" s="17">
        <v>984.763671875</v>
      </c>
      <c r="D82" s="18">
        <v>34.962800000000001</v>
      </c>
      <c r="E82" s="18">
        <v>41.578000000000003</v>
      </c>
      <c r="F82" s="18">
        <v>42.217100000000002</v>
      </c>
      <c r="G82" s="18">
        <v>72.481275670451808</v>
      </c>
      <c r="H82" s="18">
        <f t="shared" si="4"/>
        <v>36.696487500000003</v>
      </c>
      <c r="I82" s="5"/>
      <c r="J82" s="17">
        <v>1015.0389</v>
      </c>
      <c r="K82" s="18">
        <v>35.425600000000003</v>
      </c>
      <c r="L82" s="18">
        <v>42.176200000000001</v>
      </c>
      <c r="M82" s="18">
        <v>42.8581</v>
      </c>
      <c r="N82" s="18">
        <v>37.341299999999997</v>
      </c>
      <c r="O82" s="18">
        <f t="shared" si="5"/>
        <v>37.198487499999999</v>
      </c>
      <c r="P82" s="7"/>
      <c r="Q82" s="10"/>
      <c r="R82" s="11"/>
      <c r="S82" s="11"/>
      <c r="T82" s="26"/>
      <c r="U82" s="28">
        <f t="shared" si="3"/>
        <v>-0.4848145310000001</v>
      </c>
    </row>
    <row r="83" spans="1:21" x14ac:dyDescent="0.25">
      <c r="B83" s="9"/>
      <c r="C83" s="17">
        <v>591.3310546875</v>
      </c>
      <c r="D83" s="18">
        <v>32.384099999999997</v>
      </c>
      <c r="E83" s="18">
        <v>39.980800000000002</v>
      </c>
      <c r="F83" s="18">
        <v>40.603900000000003</v>
      </c>
      <c r="G83" s="18">
        <v>107.37294201861131</v>
      </c>
      <c r="H83" s="18">
        <f t="shared" si="4"/>
        <v>34.361162499999999</v>
      </c>
      <c r="I83" s="5"/>
      <c r="J83" s="17">
        <v>607.91520000000003</v>
      </c>
      <c r="K83" s="18">
        <v>33.054699999999997</v>
      </c>
      <c r="L83" s="18">
        <v>40.817100000000003</v>
      </c>
      <c r="M83" s="18">
        <v>41.512700000000002</v>
      </c>
      <c r="N83" s="18">
        <v>43.406999999999996</v>
      </c>
      <c r="O83" s="18">
        <f t="shared" si="5"/>
        <v>35.082250000000002</v>
      </c>
      <c r="P83" s="7"/>
      <c r="Q83" s="10"/>
      <c r="R83" s="11"/>
      <c r="S83" s="11"/>
      <c r="T83" s="26"/>
      <c r="U83" s="28">
        <f t="shared" si="3"/>
        <v>-0.59573614000000008</v>
      </c>
    </row>
    <row r="84" spans="1:21" ht="16.5" thickBot="1" x14ac:dyDescent="0.3">
      <c r="B84" s="12"/>
      <c r="C84" s="19">
        <v>295.8271484375</v>
      </c>
      <c r="D84" s="20">
        <v>29.0366</v>
      </c>
      <c r="E84" s="20">
        <v>37.979599999999998</v>
      </c>
      <c r="F84" s="20">
        <v>38.565600000000003</v>
      </c>
      <c r="G84" s="20">
        <v>144.25388684083987</v>
      </c>
      <c r="H84" s="20">
        <f t="shared" si="4"/>
        <v>31.345600000000005</v>
      </c>
      <c r="I84" s="5"/>
      <c r="J84" s="19">
        <v>302.8845</v>
      </c>
      <c r="K84" s="20">
        <v>30.002800000000001</v>
      </c>
      <c r="L84" s="20">
        <v>39.029299999999999</v>
      </c>
      <c r="M84" s="20">
        <v>39.695300000000003</v>
      </c>
      <c r="N84" s="20">
        <v>55.459699999999998</v>
      </c>
      <c r="O84" s="20">
        <f t="shared" si="5"/>
        <v>32.342675</v>
      </c>
      <c r="P84" s="7"/>
      <c r="Q84" s="13"/>
      <c r="R84" s="14"/>
      <c r="S84" s="14"/>
      <c r="T84" s="27"/>
      <c r="U84" s="28">
        <f t="shared" si="3"/>
        <v>-0.61554103522222225</v>
      </c>
    </row>
    <row r="85" spans="1:21" x14ac:dyDescent="0.25">
      <c r="B85" s="6" t="s">
        <v>101</v>
      </c>
      <c r="C85" s="15">
        <v>1440.4501953125</v>
      </c>
      <c r="D85" s="16">
        <v>53.115099999999998</v>
      </c>
      <c r="E85" s="16">
        <v>53.6098</v>
      </c>
      <c r="F85" s="16">
        <v>54.142000000000003</v>
      </c>
      <c r="G85" s="16">
        <v>74.232926426921807</v>
      </c>
      <c r="H85" s="16">
        <f t="shared" si="4"/>
        <v>53.305300000000003</v>
      </c>
      <c r="I85" s="5"/>
      <c r="J85" s="15">
        <v>1450.2307000000001</v>
      </c>
      <c r="K85" s="16">
        <v>53.376199999999997</v>
      </c>
      <c r="L85" s="16">
        <v>54.388599999999997</v>
      </c>
      <c r="M85" s="16">
        <v>54.997700000000002</v>
      </c>
      <c r="N85" s="16">
        <v>71.787499999999994</v>
      </c>
      <c r="O85" s="16">
        <f t="shared" si="5"/>
        <v>53.705437500000002</v>
      </c>
      <c r="P85" s="7"/>
      <c r="Q85" s="8">
        <f>bdrate(C85:C88,D85:D88,J85:J88,K85:K88)</f>
        <v>-0.12780123807408594</v>
      </c>
      <c r="R85" s="8">
        <f>bdrate(C85:C88,E85:E88,J85:J88,L85:L88)</f>
        <v>-0.23530303882116366</v>
      </c>
      <c r="S85" s="8">
        <f>bdrate(C85:C88,F85:F88,J85:J88,M85:M88)</f>
        <v>-0.2272445916396415</v>
      </c>
      <c r="T85" s="25">
        <f>bdrate(C85:C88,H85:H88,J85:J88,O85:O88)</f>
        <v>-0.15237760717805182</v>
      </c>
      <c r="U85" s="28">
        <f t="shared" si="3"/>
        <v>-3.2942611111111179E-2</v>
      </c>
    </row>
    <row r="86" spans="1:21" x14ac:dyDescent="0.25">
      <c r="B86" s="9"/>
      <c r="C86" s="17">
        <v>961.9765625</v>
      </c>
      <c r="D86" s="18">
        <v>50.411200000000001</v>
      </c>
      <c r="E86" s="18">
        <v>51.224699999999999</v>
      </c>
      <c r="F86" s="18">
        <v>51.820799999999998</v>
      </c>
      <c r="G86" s="18">
        <v>93.574547723019336</v>
      </c>
      <c r="H86" s="18">
        <f t="shared" si="4"/>
        <v>50.689087499999999</v>
      </c>
      <c r="I86" s="5"/>
      <c r="J86" s="17">
        <v>988.28560000000004</v>
      </c>
      <c r="K86" s="18">
        <v>51.400199999999998</v>
      </c>
      <c r="L86" s="18">
        <v>52.742100000000001</v>
      </c>
      <c r="M86" s="18">
        <v>53.312600000000003</v>
      </c>
      <c r="N86" s="18">
        <v>89.7577</v>
      </c>
      <c r="O86" s="18">
        <f t="shared" si="5"/>
        <v>51.806987500000005</v>
      </c>
      <c r="P86" s="7"/>
      <c r="Q86" s="10"/>
      <c r="R86" s="11"/>
      <c r="S86" s="11"/>
      <c r="T86" s="26"/>
      <c r="U86" s="28">
        <f t="shared" si="3"/>
        <v>-4.0789379333333306E-2</v>
      </c>
    </row>
    <row r="87" spans="1:21" x14ac:dyDescent="0.25">
      <c r="B87" s="9"/>
      <c r="C87" s="17">
        <v>579.7529296875</v>
      </c>
      <c r="D87" s="18">
        <v>46.992800000000003</v>
      </c>
      <c r="E87" s="18">
        <v>48.181600000000003</v>
      </c>
      <c r="F87" s="18">
        <v>48.7879</v>
      </c>
      <c r="G87" s="18">
        <v>113.59333585762968</v>
      </c>
      <c r="H87" s="18">
        <f t="shared" si="4"/>
        <v>47.365787500000003</v>
      </c>
      <c r="I87" s="5"/>
      <c r="J87" s="17">
        <v>606.48720000000003</v>
      </c>
      <c r="K87" s="18">
        <v>48.320300000000003</v>
      </c>
      <c r="L87" s="18">
        <v>50.115600000000001</v>
      </c>
      <c r="M87" s="18">
        <v>50.638399999999997</v>
      </c>
      <c r="N87" s="18">
        <v>109.4225</v>
      </c>
      <c r="O87" s="18">
        <f t="shared" si="5"/>
        <v>48.834475000000005</v>
      </c>
      <c r="P87" s="7"/>
      <c r="Q87" s="10"/>
      <c r="R87" s="11"/>
      <c r="S87" s="11"/>
      <c r="T87" s="26"/>
      <c r="U87" s="28">
        <f t="shared" si="3"/>
        <v>-3.6717258333333308E-2</v>
      </c>
    </row>
    <row r="88" spans="1:21" ht="16.5" thickBot="1" x14ac:dyDescent="0.3">
      <c r="B88" s="12"/>
      <c r="C88" s="19">
        <v>290.35546875</v>
      </c>
      <c r="D88" s="20">
        <v>42.581800000000001</v>
      </c>
      <c r="E88" s="20">
        <v>44.369900000000001</v>
      </c>
      <c r="F88" s="20">
        <v>44.941099999999999</v>
      </c>
      <c r="G88" s="20">
        <v>144.90420222186444</v>
      </c>
      <c r="H88" s="20">
        <f t="shared" si="4"/>
        <v>43.100225000000002</v>
      </c>
      <c r="I88" s="5"/>
      <c r="J88" s="19">
        <v>311.64769999999999</v>
      </c>
      <c r="K88" s="20">
        <v>43.868899999999996</v>
      </c>
      <c r="L88" s="20">
        <v>46.235300000000002</v>
      </c>
      <c r="M88" s="20">
        <v>46.736199999999997</v>
      </c>
      <c r="N88" s="20">
        <v>136.75729999999999</v>
      </c>
      <c r="O88" s="20">
        <f t="shared" si="5"/>
        <v>44.523112499999996</v>
      </c>
      <c r="P88" s="7"/>
      <c r="Q88" s="13"/>
      <c r="R88" s="14"/>
      <c r="S88" s="14"/>
      <c r="T88" s="27"/>
      <c r="U88" s="28">
        <f t="shared" si="3"/>
        <v>-5.6222677444444563E-2</v>
      </c>
    </row>
    <row r="89" spans="1:21" x14ac:dyDescent="0.25">
      <c r="B89" s="6" t="s">
        <v>102</v>
      </c>
      <c r="C89" s="15">
        <v>1446.9736328125</v>
      </c>
      <c r="D89" s="16">
        <v>44.573599999999999</v>
      </c>
      <c r="E89" s="16">
        <v>46.930599999999998</v>
      </c>
      <c r="F89" s="16">
        <v>47.409799999999997</v>
      </c>
      <c r="G89" s="16">
        <v>62.262193012798342</v>
      </c>
      <c r="H89" s="16">
        <f t="shared" si="4"/>
        <v>45.222750000000005</v>
      </c>
      <c r="I89" s="5"/>
      <c r="J89" s="15">
        <v>1485.0069000000001</v>
      </c>
      <c r="K89" s="16">
        <v>45.072800000000001</v>
      </c>
      <c r="L89" s="16">
        <v>47.74</v>
      </c>
      <c r="M89" s="16">
        <v>48.224899999999998</v>
      </c>
      <c r="N89" s="16">
        <v>46.019300000000001</v>
      </c>
      <c r="O89" s="16">
        <f t="shared" si="5"/>
        <v>45.800212500000001</v>
      </c>
      <c r="P89" s="7"/>
      <c r="Q89" s="8">
        <f>bdrate(C89:C92,D89:D92,J89:J92,K89:K92)</f>
        <v>-0.11484966676870823</v>
      </c>
      <c r="R89" s="8">
        <f>bdrate(C89:C92,E89:E92,J89:J92,L89:L92)</f>
        <v>-0.23696403011723144</v>
      </c>
      <c r="S89" s="8">
        <f>bdrate(C89:C92,F89:F92,J89:J92,M89:M92)</f>
        <v>-0.22999127519162743</v>
      </c>
      <c r="T89" s="25">
        <f>bdrate(C89:C92,H89:H92,J89:J92,O89:O92)</f>
        <v>-0.13915325711550186</v>
      </c>
      <c r="U89" s="28">
        <f t="shared" si="3"/>
        <v>-0.26087890944444447</v>
      </c>
    </row>
    <row r="90" spans="1:21" x14ac:dyDescent="0.25">
      <c r="B90" s="9"/>
      <c r="C90" s="17">
        <v>965.9970703125</v>
      </c>
      <c r="D90" s="18">
        <v>42.445300000000003</v>
      </c>
      <c r="E90" s="18">
        <v>45.314500000000002</v>
      </c>
      <c r="F90" s="18">
        <v>45.788499999999999</v>
      </c>
      <c r="G90" s="18">
        <v>78.451882845188294</v>
      </c>
      <c r="H90" s="18">
        <f t="shared" si="4"/>
        <v>43.221850000000003</v>
      </c>
      <c r="I90" s="5"/>
      <c r="J90" s="17">
        <v>1000.336</v>
      </c>
      <c r="K90" s="18">
        <v>43.279299999999999</v>
      </c>
      <c r="L90" s="18">
        <v>46.422899999999998</v>
      </c>
      <c r="M90" s="18">
        <v>46.874400000000001</v>
      </c>
      <c r="N90" s="18">
        <v>55.333500000000001</v>
      </c>
      <c r="O90" s="18">
        <f t="shared" si="5"/>
        <v>44.121637499999999</v>
      </c>
      <c r="P90" s="7"/>
      <c r="Q90" s="10"/>
      <c r="R90" s="11"/>
      <c r="S90" s="11"/>
      <c r="T90" s="26"/>
      <c r="U90" s="28">
        <f t="shared" si="3"/>
        <v>-0.29468232000000005</v>
      </c>
    </row>
    <row r="91" spans="1:21" x14ac:dyDescent="0.25">
      <c r="B91" s="9"/>
      <c r="C91" s="17">
        <v>583.18359375</v>
      </c>
      <c r="D91" s="18">
        <v>39.705800000000004</v>
      </c>
      <c r="E91" s="18">
        <v>43.288800000000002</v>
      </c>
      <c r="F91" s="18">
        <v>43.793500000000002</v>
      </c>
      <c r="G91" s="18">
        <v>102.58748432691212</v>
      </c>
      <c r="H91" s="18">
        <f t="shared" si="4"/>
        <v>40.664637499999998</v>
      </c>
      <c r="I91" s="5"/>
      <c r="J91" s="17">
        <v>601.28399999999999</v>
      </c>
      <c r="K91" s="18">
        <v>40.551299999999998</v>
      </c>
      <c r="L91" s="18">
        <v>44.447699999999998</v>
      </c>
      <c r="M91" s="18">
        <v>44.928199999999997</v>
      </c>
      <c r="N91" s="18">
        <v>67.745599999999996</v>
      </c>
      <c r="O91" s="18">
        <f t="shared" si="5"/>
        <v>41.585462499999998</v>
      </c>
      <c r="P91" s="7"/>
      <c r="Q91" s="10"/>
      <c r="R91" s="11"/>
      <c r="S91" s="11"/>
      <c r="T91" s="26"/>
      <c r="U91" s="28">
        <f t="shared" si="3"/>
        <v>-0.3396309457777778</v>
      </c>
    </row>
    <row r="92" spans="1:21" ht="16.5" thickBot="1" x14ac:dyDescent="0.3">
      <c r="B92" s="12"/>
      <c r="C92" s="19">
        <v>293.27734375</v>
      </c>
      <c r="D92" s="20">
        <v>35.850200000000001</v>
      </c>
      <c r="E92" s="20">
        <v>40.643099999999997</v>
      </c>
      <c r="F92" s="20">
        <v>41.1554</v>
      </c>
      <c r="G92" s="20">
        <v>139.55652039075827</v>
      </c>
      <c r="H92" s="20">
        <f t="shared" si="4"/>
        <v>37.112462499999999</v>
      </c>
      <c r="I92" s="5"/>
      <c r="J92" s="19">
        <v>303.90350000000001</v>
      </c>
      <c r="K92" s="20">
        <v>36.756900000000002</v>
      </c>
      <c r="L92" s="20">
        <v>42.058999999999997</v>
      </c>
      <c r="M92" s="20">
        <v>42.434100000000001</v>
      </c>
      <c r="N92" s="20">
        <v>82.751000000000005</v>
      </c>
      <c r="O92" s="20">
        <f t="shared" si="5"/>
        <v>38.129312500000005</v>
      </c>
      <c r="P92" s="7"/>
      <c r="Q92" s="13"/>
      <c r="R92" s="14"/>
      <c r="S92" s="14"/>
      <c r="T92" s="27"/>
      <c r="U92" s="28">
        <f t="shared" si="3"/>
        <v>-0.40704311222222223</v>
      </c>
    </row>
    <row r="93" spans="1:21" x14ac:dyDescent="0.25">
      <c r="B93" s="6" t="s">
        <v>103</v>
      </c>
      <c r="C93" s="29">
        <v>1451.9609375</v>
      </c>
      <c r="D93" s="30">
        <v>38.993200000000002</v>
      </c>
      <c r="E93" s="30">
        <v>43.1218</v>
      </c>
      <c r="F93" s="30">
        <v>42.876199999999997</v>
      </c>
      <c r="G93" s="16">
        <v>54.804530507855311</v>
      </c>
      <c r="H93" s="16">
        <f t="shared" si="4"/>
        <v>39.99465</v>
      </c>
      <c r="I93" s="5"/>
      <c r="J93" s="29">
        <v>1515.3751999999999</v>
      </c>
      <c r="K93" s="30">
        <v>39.283299999999997</v>
      </c>
      <c r="L93" s="30">
        <v>43.780999999999999</v>
      </c>
      <c r="M93" s="30">
        <v>43.5608</v>
      </c>
      <c r="N93" s="16">
        <v>44.4818</v>
      </c>
      <c r="O93" s="16">
        <f t="shared" si="5"/>
        <v>40.380200000000002</v>
      </c>
      <c r="P93" s="7"/>
      <c r="Q93" s="8">
        <f>bdrate(C93:C96,D93:D96,J93:J96,K93:K96)</f>
        <v>-7.4005526158266388E-2</v>
      </c>
      <c r="R93" s="8">
        <f>bdrate(C93:C96,E93:E96,J93:J96,L93:L96)</f>
        <v>-0.22248997276767191</v>
      </c>
      <c r="S93" s="8">
        <f>bdrate(C93:C96,F93:F96,J93:J96,M93:M96)</f>
        <v>-0.21503189518953847</v>
      </c>
      <c r="T93" s="25">
        <f>bdrate(C93:C96,H93:H96,J93:J96,O93:O96)</f>
        <v>-0.10154596352643941</v>
      </c>
      <c r="U93" s="28">
        <f t="shared" si="3"/>
        <v>-0.18835542266666661</v>
      </c>
    </row>
    <row r="94" spans="1:21" x14ac:dyDescent="0.25">
      <c r="B94" s="9"/>
      <c r="C94" s="31">
        <v>968.7119140625</v>
      </c>
      <c r="D94" s="32">
        <v>37.025100000000002</v>
      </c>
      <c r="E94" s="32">
        <v>41.807699999999997</v>
      </c>
      <c r="F94" s="32">
        <v>41.546100000000003</v>
      </c>
      <c r="G94" s="18">
        <v>69.428373061791262</v>
      </c>
      <c r="H94" s="18">
        <f t="shared" si="4"/>
        <v>38.188050000000004</v>
      </c>
      <c r="I94" s="5"/>
      <c r="J94" s="31">
        <v>1007.9019</v>
      </c>
      <c r="K94" s="32">
        <v>37.428400000000003</v>
      </c>
      <c r="L94" s="32">
        <v>42.5473</v>
      </c>
      <c r="M94" s="32">
        <v>42.284399999999998</v>
      </c>
      <c r="N94" s="18">
        <v>51.337600000000002</v>
      </c>
      <c r="O94" s="18">
        <f t="shared" si="5"/>
        <v>38.675262500000002</v>
      </c>
      <c r="P94" s="7"/>
      <c r="Q94" s="10"/>
      <c r="R94" s="11"/>
      <c r="S94" s="11"/>
      <c r="T94" s="26"/>
      <c r="U94" s="28">
        <f t="shared" si="3"/>
        <v>-0.26056743466666676</v>
      </c>
    </row>
    <row r="95" spans="1:21" x14ac:dyDescent="0.25">
      <c r="B95" s="9"/>
      <c r="C95" s="31">
        <v>583.5888671875</v>
      </c>
      <c r="D95" s="32">
        <v>34.642499999999998</v>
      </c>
      <c r="E95" s="32">
        <v>40.220199999999998</v>
      </c>
      <c r="F95" s="32">
        <v>39.917299999999997</v>
      </c>
      <c r="G95" s="18">
        <v>96.972309018424738</v>
      </c>
      <c r="H95" s="18">
        <f t="shared" si="4"/>
        <v>35.999062500000001</v>
      </c>
      <c r="I95" s="5"/>
      <c r="J95" s="31">
        <v>602.61969999999997</v>
      </c>
      <c r="K95" s="32">
        <v>35.180999999999997</v>
      </c>
      <c r="L95" s="32">
        <v>41.098500000000001</v>
      </c>
      <c r="M95" s="32">
        <v>40.787700000000001</v>
      </c>
      <c r="N95" s="18">
        <v>60.253100000000003</v>
      </c>
      <c r="O95" s="18">
        <f t="shared" si="5"/>
        <v>36.621524999999998</v>
      </c>
      <c r="P95" s="7"/>
      <c r="Q95" s="10"/>
      <c r="R95" s="11"/>
      <c r="S95" s="11"/>
      <c r="T95" s="26"/>
      <c r="U95" s="28">
        <f t="shared" si="3"/>
        <v>-0.3786566432222222</v>
      </c>
    </row>
    <row r="96" spans="1:21" ht="16.5" thickBot="1" x14ac:dyDescent="0.3">
      <c r="B96" s="12"/>
      <c r="C96" s="33">
        <v>294.2412109375</v>
      </c>
      <c r="D96" s="34">
        <v>31.5381</v>
      </c>
      <c r="E96" s="34">
        <v>38.420900000000003</v>
      </c>
      <c r="F96" s="34">
        <v>38.032299999999999</v>
      </c>
      <c r="G96" s="20">
        <v>139.59981386691484</v>
      </c>
      <c r="H96" s="20">
        <f t="shared" si="4"/>
        <v>33.210225000000001</v>
      </c>
      <c r="I96" s="5"/>
      <c r="J96" s="33">
        <v>300.51089999999999</v>
      </c>
      <c r="K96" s="34">
        <v>32.250500000000002</v>
      </c>
      <c r="L96" s="34">
        <v>39.330800000000004</v>
      </c>
      <c r="M96" s="34">
        <v>38.941600000000001</v>
      </c>
      <c r="N96" s="20">
        <v>74.404799999999994</v>
      </c>
      <c r="O96" s="20">
        <f t="shared" si="5"/>
        <v>33.971925000000006</v>
      </c>
      <c r="P96" s="7"/>
      <c r="Q96" s="13"/>
      <c r="R96" s="14"/>
      <c r="S96" s="14"/>
      <c r="T96" s="27"/>
      <c r="U96" s="28">
        <f t="shared" si="3"/>
        <v>-0.46701361600000002</v>
      </c>
    </row>
    <row r="97" spans="2:21" x14ac:dyDescent="0.25">
      <c r="B97" s="6" t="s">
        <v>104</v>
      </c>
      <c r="C97" s="15">
        <v>1473.435546875</v>
      </c>
      <c r="D97" s="16">
        <v>37.668300000000002</v>
      </c>
      <c r="E97" s="16">
        <v>42.110500000000002</v>
      </c>
      <c r="F97" s="16">
        <v>42.5321</v>
      </c>
      <c r="G97" s="16">
        <v>62.370062370062371</v>
      </c>
      <c r="H97" s="16">
        <f t="shared" si="4"/>
        <v>38.831550000000007</v>
      </c>
      <c r="I97" s="5"/>
      <c r="J97" s="15">
        <v>1513.9517000000001</v>
      </c>
      <c r="K97" s="16">
        <v>38.022199999999998</v>
      </c>
      <c r="L97" s="16">
        <v>43.055700000000002</v>
      </c>
      <c r="M97" s="16">
        <v>43.481999999999999</v>
      </c>
      <c r="N97" s="16">
        <v>45.285299999999999</v>
      </c>
      <c r="O97" s="16">
        <f t="shared" si="5"/>
        <v>39.333862499999995</v>
      </c>
      <c r="P97" s="7"/>
      <c r="Q97" s="8">
        <f>bdrate(C97:C100,D97:D100,J97:J100,K97:K100)</f>
        <v>-0.14353587252748734</v>
      </c>
      <c r="R97" s="8">
        <f>bdrate(C97:C100,E97:E100,J97:J100,L97:L100)</f>
        <v>-0.31260233761509471</v>
      </c>
      <c r="S97" s="8">
        <f>bdrate(C97:C100,F97:F100,J97:J100,M97:M100)</f>
        <v>-0.3198898782519376</v>
      </c>
      <c r="T97" s="25">
        <f>bdrate(C97:C100,H97:H100,J97:J100,O97:O100)</f>
        <v>-0.17917553414325005</v>
      </c>
      <c r="U97" s="28">
        <f t="shared" si="3"/>
        <v>-0.27392569</v>
      </c>
    </row>
    <row r="98" spans="2:21" x14ac:dyDescent="0.25">
      <c r="B98" s="9"/>
      <c r="C98" s="17">
        <v>982.6318359375</v>
      </c>
      <c r="D98" s="18">
        <v>35.589599999999997</v>
      </c>
      <c r="E98" s="18">
        <v>40.632599999999996</v>
      </c>
      <c r="F98" s="18">
        <v>41.103999999999999</v>
      </c>
      <c r="G98" s="18">
        <v>76.589226448812866</v>
      </c>
      <c r="H98" s="18">
        <f t="shared" si="4"/>
        <v>36.909275000000001</v>
      </c>
      <c r="I98" s="5"/>
      <c r="J98" s="17">
        <v>1009.0181</v>
      </c>
      <c r="K98" s="18">
        <v>36.203400000000002</v>
      </c>
      <c r="L98" s="18">
        <v>41.816800000000001</v>
      </c>
      <c r="M98" s="18">
        <v>42.300600000000003</v>
      </c>
      <c r="N98" s="18">
        <v>52.705599999999997</v>
      </c>
      <c r="O98" s="18">
        <f t="shared" si="5"/>
        <v>37.667225000000002</v>
      </c>
      <c r="P98" s="7"/>
      <c r="Q98" s="10"/>
      <c r="R98" s="11"/>
      <c r="S98" s="11"/>
      <c r="T98" s="26"/>
      <c r="U98" s="28">
        <f t="shared" si="3"/>
        <v>-0.31184054933333338</v>
      </c>
    </row>
    <row r="99" spans="2:21" x14ac:dyDescent="0.25">
      <c r="B99" s="9"/>
      <c r="C99" s="17">
        <v>591.474609375</v>
      </c>
      <c r="D99" s="18">
        <v>32.909399999999998</v>
      </c>
      <c r="E99" s="18">
        <v>38.669199999999996</v>
      </c>
      <c r="F99" s="18">
        <v>39.197400000000002</v>
      </c>
      <c r="G99" s="18">
        <v>103.79425671779495</v>
      </c>
      <c r="H99" s="18">
        <f t="shared" si="4"/>
        <v>34.415374999999997</v>
      </c>
      <c r="I99" s="5"/>
      <c r="J99" s="17">
        <v>607.20770000000005</v>
      </c>
      <c r="K99" s="18">
        <v>33.917099999999998</v>
      </c>
      <c r="L99" s="18">
        <v>40.153100000000002</v>
      </c>
      <c r="M99" s="18">
        <v>40.652200000000001</v>
      </c>
      <c r="N99" s="18">
        <v>61.037599999999998</v>
      </c>
      <c r="O99" s="18">
        <f t="shared" si="5"/>
        <v>35.538487499999995</v>
      </c>
      <c r="P99" s="7"/>
      <c r="Q99" s="10"/>
      <c r="R99" s="11"/>
      <c r="S99" s="11"/>
      <c r="T99" s="26"/>
      <c r="U99" s="28">
        <f t="shared" si="3"/>
        <v>-0.41193663377777784</v>
      </c>
    </row>
    <row r="100" spans="2:21" ht="16.5" thickBot="1" x14ac:dyDescent="0.3">
      <c r="B100" s="12"/>
      <c r="C100" s="19">
        <v>295.91796875</v>
      </c>
      <c r="D100" s="20">
        <v>29.428999999999998</v>
      </c>
      <c r="E100" s="20">
        <v>36.422600000000003</v>
      </c>
      <c r="F100" s="20">
        <v>37.0717</v>
      </c>
      <c r="G100" s="20">
        <v>148.8095238095238</v>
      </c>
      <c r="H100" s="20">
        <f t="shared" si="4"/>
        <v>31.258537499999999</v>
      </c>
      <c r="I100" s="5"/>
      <c r="J100" s="19">
        <v>302.82639999999998</v>
      </c>
      <c r="K100" s="20">
        <v>30.8293</v>
      </c>
      <c r="L100" s="20">
        <v>38.036799999999999</v>
      </c>
      <c r="M100" s="20">
        <v>38.6843</v>
      </c>
      <c r="N100" s="20">
        <v>75.795900000000003</v>
      </c>
      <c r="O100" s="20">
        <f t="shared" si="5"/>
        <v>32.712112499999996</v>
      </c>
      <c r="P100" s="7"/>
      <c r="Q100" s="13"/>
      <c r="R100" s="14"/>
      <c r="S100" s="14"/>
      <c r="T100" s="27"/>
      <c r="U100" s="28">
        <f t="shared" si="3"/>
        <v>-0.49065155199999994</v>
      </c>
    </row>
    <row r="101" spans="2:21" x14ac:dyDescent="0.25">
      <c r="B101" s="6" t="s">
        <v>105</v>
      </c>
      <c r="C101" s="15">
        <v>1477.4033203125</v>
      </c>
      <c r="D101" s="16">
        <v>38.211199999999998</v>
      </c>
      <c r="E101" s="16">
        <v>43.844099999999997</v>
      </c>
      <c r="F101" s="16">
        <v>45.8262</v>
      </c>
      <c r="G101" s="16">
        <v>55.282555282555279</v>
      </c>
      <c r="H101" s="16">
        <f t="shared" si="4"/>
        <v>39.8671875</v>
      </c>
      <c r="I101" s="5"/>
      <c r="J101" s="15">
        <v>1527.2330999999999</v>
      </c>
      <c r="K101" s="16">
        <v>38.1</v>
      </c>
      <c r="L101" s="16">
        <v>44.178400000000003</v>
      </c>
      <c r="M101" s="16">
        <v>46.153399999999998</v>
      </c>
      <c r="N101" s="16">
        <v>43.453099999999999</v>
      </c>
      <c r="O101" s="16">
        <f t="shared" si="5"/>
        <v>39.866475000000001</v>
      </c>
      <c r="P101" s="7"/>
      <c r="Q101" s="8">
        <f>bdrate(C101:C104,D101:D104,J101:J104,K101:K104)</f>
        <v>4.2757663976082938E-3</v>
      </c>
      <c r="R101" s="8">
        <f>bdrate(C101:C104,E101:E104,J101:J104,L101:L104)</f>
        <v>-0.18972464632300678</v>
      </c>
      <c r="S101" s="8">
        <f>bdrate(C101:C104,F101:F104,J101:J104,M101:M104)</f>
        <v>-0.20615854970460223</v>
      </c>
      <c r="T101" s="25">
        <f>bdrate(C101:C104,H101:H104,J101:J104,O101:O104)</f>
        <v>-3.634555630509273E-2</v>
      </c>
      <c r="U101" s="28">
        <f t="shared" si="3"/>
        <v>-0.21398170222222218</v>
      </c>
    </row>
    <row r="102" spans="2:21" x14ac:dyDescent="0.25">
      <c r="B102" s="9"/>
      <c r="C102" s="17">
        <v>984.7783203125</v>
      </c>
      <c r="D102" s="18">
        <v>36.737400000000001</v>
      </c>
      <c r="E102" s="18">
        <v>42.905000000000001</v>
      </c>
      <c r="F102" s="18">
        <v>44.811799999999998</v>
      </c>
      <c r="G102" s="18">
        <v>70.682478598916205</v>
      </c>
      <c r="H102" s="18">
        <f t="shared" si="4"/>
        <v>38.517649999999996</v>
      </c>
      <c r="I102" s="5"/>
      <c r="J102" s="17">
        <v>1017.1</v>
      </c>
      <c r="K102" s="18">
        <v>36.749699999999997</v>
      </c>
      <c r="L102" s="18">
        <v>43.307499999999997</v>
      </c>
      <c r="M102" s="18">
        <v>45.2774</v>
      </c>
      <c r="N102" s="18">
        <v>50.420200000000001</v>
      </c>
      <c r="O102" s="18">
        <f t="shared" si="5"/>
        <v>38.6353875</v>
      </c>
      <c r="P102" s="7"/>
      <c r="Q102" s="10"/>
      <c r="R102" s="11"/>
      <c r="S102" s="11"/>
      <c r="T102" s="26"/>
      <c r="U102" s="28">
        <f t="shared" si="3"/>
        <v>-0.28666621488888888</v>
      </c>
    </row>
    <row r="103" spans="2:21" x14ac:dyDescent="0.25">
      <c r="B103" s="9"/>
      <c r="C103" s="17">
        <v>593.1298828125</v>
      </c>
      <c r="D103" s="18">
        <v>34.944899999999997</v>
      </c>
      <c r="E103" s="18">
        <v>41.637999999999998</v>
      </c>
      <c r="F103" s="18">
        <v>43.4101</v>
      </c>
      <c r="G103" s="18">
        <v>96.246390760346472</v>
      </c>
      <c r="H103" s="18">
        <f t="shared" si="4"/>
        <v>36.839687499999997</v>
      </c>
      <c r="I103" s="5"/>
      <c r="J103" s="17">
        <v>607.04480000000001</v>
      </c>
      <c r="K103" s="18">
        <v>35.025700000000001</v>
      </c>
      <c r="L103" s="18">
        <v>42.216700000000003</v>
      </c>
      <c r="M103" s="18">
        <v>44.120199999999997</v>
      </c>
      <c r="N103" s="18">
        <v>59.868299999999998</v>
      </c>
      <c r="O103" s="18">
        <f t="shared" si="5"/>
        <v>37.061387500000002</v>
      </c>
      <c r="P103" s="7"/>
      <c r="Q103" s="10"/>
      <c r="R103" s="11"/>
      <c r="S103" s="11"/>
      <c r="T103" s="26"/>
      <c r="U103" s="28">
        <f t="shared" si="3"/>
        <v>-0.37796836299999992</v>
      </c>
    </row>
    <row r="104" spans="2:21" ht="16.5" thickBot="1" x14ac:dyDescent="0.3">
      <c r="B104" s="12"/>
      <c r="C104" s="19">
        <v>297.2607421875</v>
      </c>
      <c r="D104" s="20">
        <v>32.596200000000003</v>
      </c>
      <c r="E104" s="20">
        <v>40.078499999999998</v>
      </c>
      <c r="F104" s="20">
        <v>41.646000000000001</v>
      </c>
      <c r="G104" s="20">
        <v>146.38906961613534</v>
      </c>
      <c r="H104" s="20">
        <f t="shared" si="4"/>
        <v>34.662712499999998</v>
      </c>
      <c r="I104" s="5"/>
      <c r="J104" s="19">
        <v>301.72030000000001</v>
      </c>
      <c r="K104" s="20">
        <v>32.859499999999997</v>
      </c>
      <c r="L104" s="20">
        <v>40.868200000000002</v>
      </c>
      <c r="M104" s="20">
        <v>42.566699999999997</v>
      </c>
      <c r="N104" s="20">
        <v>75.162899999999993</v>
      </c>
      <c r="O104" s="20">
        <f t="shared" si="5"/>
        <v>35.073987500000001</v>
      </c>
      <c r="P104" s="7"/>
      <c r="Q104" s="13"/>
      <c r="R104" s="14"/>
      <c r="S104" s="14"/>
      <c r="T104" s="27"/>
      <c r="U104" s="28">
        <f t="shared" si="3"/>
        <v>-0.48655387866666677</v>
      </c>
    </row>
    <row r="105" spans="2:21" x14ac:dyDescent="0.25">
      <c r="B105" s="6" t="s">
        <v>106</v>
      </c>
      <c r="C105" s="15">
        <v>1456.259765625</v>
      </c>
      <c r="D105" s="16">
        <v>49.7654</v>
      </c>
      <c r="E105" s="16">
        <v>55.873600000000003</v>
      </c>
      <c r="F105" s="16">
        <v>55.929099999999998</v>
      </c>
      <c r="G105" s="16">
        <v>73.940190601380209</v>
      </c>
      <c r="H105" s="16">
        <f t="shared" si="4"/>
        <v>51.299387500000002</v>
      </c>
      <c r="I105" s="5"/>
      <c r="J105" s="15">
        <v>1509.0291</v>
      </c>
      <c r="K105" s="16">
        <v>50.305700000000002</v>
      </c>
      <c r="L105" s="16">
        <v>56.161900000000003</v>
      </c>
      <c r="M105" s="16">
        <v>56.2652</v>
      </c>
      <c r="N105" s="16">
        <v>55.005499999999998</v>
      </c>
      <c r="O105" s="16">
        <f t="shared" si="5"/>
        <v>51.782662500000001</v>
      </c>
      <c r="P105" s="7"/>
      <c r="Q105" s="8">
        <f>bdrate(C105:C108,D105:D108,J105:J108,K105:K108)</f>
        <v>-0.16649210997757846</v>
      </c>
      <c r="R105" s="8">
        <f>bdrate(C105:C108,E105:E108,J105:J108,L105:L108)</f>
        <v>-0.15666362524291444</v>
      </c>
      <c r="S105" s="8">
        <f>bdrate(C105:C108,F105:F108,J105:J108,M105:M108)</f>
        <v>-0.14232771374792019</v>
      </c>
      <c r="T105" s="25">
        <f>bdrate(C105:C108,H105:H108,J105:J108,O105:O108)</f>
        <v>-0.16262369370845109</v>
      </c>
      <c r="U105" s="28">
        <f t="shared" si="3"/>
        <v>-0.25608117111111106</v>
      </c>
    </row>
    <row r="106" spans="2:21" x14ac:dyDescent="0.25">
      <c r="B106" s="9"/>
      <c r="C106" s="17">
        <v>970.435546875</v>
      </c>
      <c r="D106" s="18">
        <v>47.886299999999999</v>
      </c>
      <c r="E106" s="18">
        <v>54.249200000000002</v>
      </c>
      <c r="F106" s="18">
        <v>54.264800000000001</v>
      </c>
      <c r="G106" s="18">
        <v>92.583067585639341</v>
      </c>
      <c r="H106" s="18">
        <f t="shared" si="4"/>
        <v>49.478974999999998</v>
      </c>
      <c r="I106" s="5"/>
      <c r="J106" s="17">
        <v>1006.3421</v>
      </c>
      <c r="K106" s="18">
        <v>48.7029</v>
      </c>
      <c r="L106" s="18">
        <v>54.816000000000003</v>
      </c>
      <c r="M106" s="18">
        <v>54.851300000000002</v>
      </c>
      <c r="N106" s="18">
        <v>63.6312</v>
      </c>
      <c r="O106" s="18">
        <f t="shared" si="5"/>
        <v>50.235587500000001</v>
      </c>
      <c r="P106" s="7"/>
      <c r="Q106" s="10"/>
      <c r="R106" s="11"/>
      <c r="S106" s="11"/>
      <c r="T106" s="26"/>
      <c r="U106" s="28">
        <f t="shared" si="3"/>
        <v>-0.3127123386666667</v>
      </c>
    </row>
    <row r="107" spans="2:21" x14ac:dyDescent="0.25">
      <c r="B107" s="9"/>
      <c r="C107" s="17">
        <v>582.1650390625</v>
      </c>
      <c r="D107" s="18">
        <v>45.715899999999998</v>
      </c>
      <c r="E107" s="18">
        <v>52.336599999999997</v>
      </c>
      <c r="F107" s="18">
        <v>52.271799999999999</v>
      </c>
      <c r="G107" s="18">
        <v>119.61722488038278</v>
      </c>
      <c r="H107" s="18">
        <f t="shared" si="4"/>
        <v>47.362974999999992</v>
      </c>
      <c r="I107" s="5"/>
      <c r="J107" s="17">
        <v>604.50509999999997</v>
      </c>
      <c r="K107" s="18">
        <v>46.697299999999998</v>
      </c>
      <c r="L107" s="18">
        <v>53.207599999999999</v>
      </c>
      <c r="M107" s="18">
        <v>53.078099999999999</v>
      </c>
      <c r="N107" s="18">
        <v>73.553399999999996</v>
      </c>
      <c r="O107" s="18">
        <f t="shared" si="5"/>
        <v>48.308687500000005</v>
      </c>
      <c r="P107" s="7"/>
      <c r="Q107" s="10"/>
      <c r="R107" s="11"/>
      <c r="S107" s="11"/>
      <c r="T107" s="26"/>
      <c r="U107" s="28">
        <f t="shared" si="3"/>
        <v>-0.38509357600000005</v>
      </c>
    </row>
    <row r="108" spans="2:21" ht="16.5" thickBot="1" x14ac:dyDescent="0.3">
      <c r="B108" s="12"/>
      <c r="C108" s="19">
        <v>291.8974609375</v>
      </c>
      <c r="D108" s="20">
        <v>42.791499999999999</v>
      </c>
      <c r="E108" s="20">
        <v>49.573799999999999</v>
      </c>
      <c r="F108" s="20">
        <v>49.478700000000003</v>
      </c>
      <c r="G108" s="20">
        <v>153.87245683022738</v>
      </c>
      <c r="H108" s="20">
        <f t="shared" si="4"/>
        <v>44.475187500000004</v>
      </c>
      <c r="I108" s="5"/>
      <c r="J108" s="19">
        <v>301.7749</v>
      </c>
      <c r="K108" s="20">
        <v>43.860999999999997</v>
      </c>
      <c r="L108" s="20">
        <v>50.6404</v>
      </c>
      <c r="M108" s="20">
        <v>50.444699999999997</v>
      </c>
      <c r="N108" s="20">
        <v>92.373999999999995</v>
      </c>
      <c r="O108" s="20">
        <f t="shared" si="5"/>
        <v>45.531387500000001</v>
      </c>
      <c r="P108" s="7"/>
      <c r="Q108" s="13"/>
      <c r="R108" s="14"/>
      <c r="S108" s="14"/>
      <c r="T108" s="27"/>
      <c r="U108" s="28">
        <f t="shared" si="3"/>
        <v>-0.39967163777777776</v>
      </c>
    </row>
    <row r="109" spans="2:21" x14ac:dyDescent="0.25">
      <c r="B109" s="6" t="s">
        <v>107</v>
      </c>
      <c r="C109" s="15">
        <v>1472.00390625</v>
      </c>
      <c r="D109" s="16">
        <v>31.9223</v>
      </c>
      <c r="E109" s="16">
        <v>40.719499999999996</v>
      </c>
      <c r="F109" s="16">
        <v>40.038899999999998</v>
      </c>
      <c r="G109" s="16">
        <v>55.607043558850791</v>
      </c>
      <c r="H109" s="16">
        <f t="shared" si="4"/>
        <v>34.036524999999997</v>
      </c>
      <c r="I109" s="5"/>
      <c r="J109" s="15">
        <v>1503.5107</v>
      </c>
      <c r="K109" s="16">
        <v>32.153399999999998</v>
      </c>
      <c r="L109" s="16">
        <v>41.170999999999999</v>
      </c>
      <c r="M109" s="16">
        <v>40.345500000000001</v>
      </c>
      <c r="N109" s="16">
        <v>30.199300000000001</v>
      </c>
      <c r="O109" s="16">
        <f t="shared" si="5"/>
        <v>34.304612499999998</v>
      </c>
      <c r="P109" s="7"/>
      <c r="Q109" s="8">
        <f>bdrate(C109:C112,D109:D112,J109:J112,K109:K112)</f>
        <v>-0.13684589730887298</v>
      </c>
      <c r="R109" s="8">
        <f>bdrate(C109:C112,E109:E112,J109:J112,L109:L112)</f>
        <v>-0.27936442599515676</v>
      </c>
      <c r="S109" s="8">
        <f>bdrate(C109:C112,F109:F112,J109:J112,M109:M112)</f>
        <v>-0.26012206294118057</v>
      </c>
      <c r="T109" s="25">
        <f>bdrate(C109:C112,H109:H112,J109:J112,O109:O112)</f>
        <v>-0.16102102515695349</v>
      </c>
      <c r="U109" s="28">
        <f t="shared" si="3"/>
        <v>-0.45691592166666667</v>
      </c>
    </row>
    <row r="110" spans="2:21" x14ac:dyDescent="0.25">
      <c r="B110" s="9"/>
      <c r="C110" s="17">
        <v>982.494140625</v>
      </c>
      <c r="D110" s="18">
        <v>29.946899999999999</v>
      </c>
      <c r="E110" s="18">
        <v>39.621600000000001</v>
      </c>
      <c r="F110" s="18">
        <v>38.8446</v>
      </c>
      <c r="G110" s="18">
        <v>82.026977761574926</v>
      </c>
      <c r="H110" s="18">
        <f t="shared" si="4"/>
        <v>32.268450000000001</v>
      </c>
      <c r="I110" s="5"/>
      <c r="J110" s="17">
        <v>1003.804</v>
      </c>
      <c r="K110" s="18">
        <v>30.504000000000001</v>
      </c>
      <c r="L110" s="18">
        <v>40.394599999999997</v>
      </c>
      <c r="M110" s="18">
        <v>39.557899999999997</v>
      </c>
      <c r="N110" s="18">
        <v>34.343299999999999</v>
      </c>
      <c r="O110" s="18">
        <f t="shared" si="5"/>
        <v>32.872062499999998</v>
      </c>
      <c r="P110" s="7"/>
      <c r="Q110" s="10"/>
      <c r="R110" s="11"/>
      <c r="S110" s="11"/>
      <c r="T110" s="26"/>
      <c r="U110" s="28">
        <f t="shared" si="3"/>
        <v>-0.58131701377777778</v>
      </c>
    </row>
    <row r="111" spans="2:21" x14ac:dyDescent="0.25">
      <c r="B111" s="9"/>
      <c r="C111" s="17">
        <v>589.8818359375</v>
      </c>
      <c r="D111" s="18">
        <v>27.575600000000001</v>
      </c>
      <c r="E111" s="18">
        <v>38.202500000000001</v>
      </c>
      <c r="F111" s="18">
        <v>37.330599999999997</v>
      </c>
      <c r="G111" s="18">
        <v>107.70703685974151</v>
      </c>
      <c r="H111" s="18">
        <f t="shared" si="4"/>
        <v>30.123337499999998</v>
      </c>
      <c r="I111" s="5"/>
      <c r="J111" s="17">
        <v>601.5299</v>
      </c>
      <c r="K111" s="18">
        <v>28.393000000000001</v>
      </c>
      <c r="L111" s="18">
        <v>39.207500000000003</v>
      </c>
      <c r="M111" s="18">
        <v>38.3277</v>
      </c>
      <c r="N111" s="18">
        <v>40.360599999999998</v>
      </c>
      <c r="O111" s="18">
        <f t="shared" si="5"/>
        <v>30.986650000000001</v>
      </c>
      <c r="P111" s="7"/>
      <c r="Q111" s="10"/>
      <c r="R111" s="11"/>
      <c r="S111" s="11"/>
      <c r="T111" s="26"/>
      <c r="U111" s="28">
        <f t="shared" si="3"/>
        <v>-0.6252742515555556</v>
      </c>
    </row>
    <row r="112" spans="2:21" ht="16.5" thickBot="1" x14ac:dyDescent="0.3">
      <c r="B112" s="12"/>
      <c r="C112" s="19">
        <v>296.5439453125</v>
      </c>
      <c r="D112" s="20">
        <v>24.608599999999999</v>
      </c>
      <c r="E112" s="20">
        <v>35.890599999999999</v>
      </c>
      <c r="F112" s="20">
        <v>35.136200000000002</v>
      </c>
      <c r="G112" s="20">
        <v>108.82708585247885</v>
      </c>
      <c r="H112" s="20">
        <f t="shared" si="4"/>
        <v>27.334800000000001</v>
      </c>
      <c r="I112" s="5"/>
      <c r="J112" s="19">
        <v>300.62</v>
      </c>
      <c r="K112" s="20">
        <v>25.7302</v>
      </c>
      <c r="L112" s="20">
        <v>37.216099999999997</v>
      </c>
      <c r="M112" s="20">
        <v>36.359699999999997</v>
      </c>
      <c r="N112" s="20">
        <v>49.339399999999998</v>
      </c>
      <c r="O112" s="20">
        <f t="shared" si="5"/>
        <v>28.494625000000003</v>
      </c>
      <c r="P112" s="7"/>
      <c r="Q112" s="13"/>
      <c r="R112" s="14"/>
      <c r="S112" s="14"/>
      <c r="T112" s="27"/>
      <c r="U112" s="28">
        <f t="shared" si="3"/>
        <v>-0.5466257355555556</v>
      </c>
    </row>
    <row r="113" spans="2:21" x14ac:dyDescent="0.25">
      <c r="B113" s="6" t="s">
        <v>108</v>
      </c>
      <c r="C113" s="15">
        <v>1454.080078125</v>
      </c>
      <c r="D113" s="16">
        <v>47.2423</v>
      </c>
      <c r="E113" s="16">
        <v>47.833300000000001</v>
      </c>
      <c r="F113" s="16">
        <v>47.866700000000002</v>
      </c>
      <c r="G113" s="16">
        <v>68.073519400953032</v>
      </c>
      <c r="H113" s="16">
        <f t="shared" si="4"/>
        <v>47.394224999999999</v>
      </c>
      <c r="I113" s="5"/>
      <c r="J113" s="15">
        <v>1364.0947000000001</v>
      </c>
      <c r="K113" s="16">
        <v>47.446800000000003</v>
      </c>
      <c r="L113" s="16">
        <v>48.636099999999999</v>
      </c>
      <c r="M113" s="16">
        <v>48.661799999999999</v>
      </c>
      <c r="N113" s="16">
        <v>40.586199999999998</v>
      </c>
      <c r="O113" s="16">
        <f t="shared" si="5"/>
        <v>47.7473375</v>
      </c>
      <c r="P113" s="7"/>
      <c r="Q113" s="8">
        <f>bdrate(C113:C116,D113:D116,J113:J116,K113:K116)</f>
        <v>-0.15553802456455812</v>
      </c>
      <c r="R113" s="8">
        <f>bdrate(C113:C116,E113:E116,J113:J116,L113:L116)</f>
        <v>-0.27685195146213648</v>
      </c>
      <c r="S113" s="8">
        <f>bdrate(C113:C116,F113:F116,J113:J116,M113:M116)</f>
        <v>-0.27773688457379953</v>
      </c>
      <c r="T113" s="25">
        <f>bdrate(C113:C116,H113:H116,J113:J116,O113:O116)</f>
        <v>-0.18322581163718454</v>
      </c>
      <c r="U113" s="28">
        <f t="shared" si="3"/>
        <v>-0.40378872200000004</v>
      </c>
    </row>
    <row r="114" spans="2:21" x14ac:dyDescent="0.25">
      <c r="B114" s="9"/>
      <c r="C114" s="17">
        <v>982.419921875</v>
      </c>
      <c r="D114" s="18">
        <v>45.320700000000002</v>
      </c>
      <c r="E114" s="18">
        <v>46.125</v>
      </c>
      <c r="F114" s="18">
        <v>46.147500000000001</v>
      </c>
      <c r="G114" s="18">
        <v>87.446560435289541</v>
      </c>
      <c r="H114" s="18">
        <f t="shared" si="4"/>
        <v>45.524587500000003</v>
      </c>
      <c r="I114" s="5"/>
      <c r="J114" s="17">
        <v>927.11389999999994</v>
      </c>
      <c r="K114" s="18">
        <v>45.8538</v>
      </c>
      <c r="L114" s="18">
        <v>47.276600000000002</v>
      </c>
      <c r="M114" s="18">
        <v>47.307000000000002</v>
      </c>
      <c r="N114" s="18">
        <v>53.377600000000001</v>
      </c>
      <c r="O114" s="18">
        <f t="shared" si="5"/>
        <v>46.213300000000004</v>
      </c>
      <c r="P114" s="7"/>
      <c r="Q114" s="10"/>
      <c r="R114" s="11"/>
      <c r="S114" s="11"/>
      <c r="T114" s="26"/>
      <c r="U114" s="28">
        <f t="shared" si="3"/>
        <v>-0.38959748977777775</v>
      </c>
    </row>
    <row r="115" spans="2:21" x14ac:dyDescent="0.25">
      <c r="B115" s="9"/>
      <c r="C115" s="17">
        <v>598.125</v>
      </c>
      <c r="D115" s="18">
        <v>42.322400000000002</v>
      </c>
      <c r="E115" s="18">
        <v>43.624899999999997</v>
      </c>
      <c r="F115" s="18">
        <v>43.622700000000002</v>
      </c>
      <c r="G115" s="18">
        <v>113.43584572724981</v>
      </c>
      <c r="H115" s="18">
        <f t="shared" si="4"/>
        <v>42.647750000000002</v>
      </c>
      <c r="I115" s="5"/>
      <c r="J115" s="17">
        <v>573.45889999999997</v>
      </c>
      <c r="K115" s="18">
        <v>43.087299999999999</v>
      </c>
      <c r="L115" s="18">
        <v>45.036099999999998</v>
      </c>
      <c r="M115" s="18">
        <v>45.045000000000002</v>
      </c>
      <c r="N115" s="18">
        <v>66.127799999999993</v>
      </c>
      <c r="O115" s="18">
        <f t="shared" si="5"/>
        <v>43.575612499999998</v>
      </c>
      <c r="P115" s="7"/>
      <c r="Q115" s="10"/>
      <c r="R115" s="11"/>
      <c r="S115" s="11"/>
      <c r="T115" s="26"/>
      <c r="U115" s="28">
        <f t="shared" si="3"/>
        <v>-0.41704670533333338</v>
      </c>
    </row>
    <row r="116" spans="2:21" ht="16.5" thickBot="1" x14ac:dyDescent="0.3">
      <c r="B116" s="12"/>
      <c r="C116" s="19">
        <v>303.7705078125</v>
      </c>
      <c r="D116" s="20">
        <v>37.528300000000002</v>
      </c>
      <c r="E116" s="20">
        <v>40.040599999999998</v>
      </c>
      <c r="F116" s="20">
        <v>39.985199999999999</v>
      </c>
      <c r="G116" s="20">
        <v>150.7537688442211</v>
      </c>
      <c r="H116" s="20">
        <f t="shared" si="4"/>
        <v>38.149450000000002</v>
      </c>
      <c r="I116" s="5"/>
      <c r="J116" s="19">
        <v>291.65710000000001</v>
      </c>
      <c r="K116" s="20">
        <v>38.803400000000003</v>
      </c>
      <c r="L116" s="20">
        <v>41.657600000000002</v>
      </c>
      <c r="M116" s="20">
        <v>41.672899999999998</v>
      </c>
      <c r="N116" s="20">
        <v>82.184299999999993</v>
      </c>
      <c r="O116" s="20">
        <f t="shared" si="5"/>
        <v>39.518862499999997</v>
      </c>
      <c r="P116" s="7"/>
      <c r="Q116" s="13"/>
      <c r="R116" s="14"/>
      <c r="S116" s="14"/>
      <c r="T116" s="27"/>
      <c r="U116" s="28">
        <f t="shared" si="3"/>
        <v>-0.45484414333333334</v>
      </c>
    </row>
    <row r="117" spans="2:21" x14ac:dyDescent="0.25">
      <c r="B117" s="6" t="s">
        <v>109</v>
      </c>
      <c r="C117" s="15">
        <v>1440.3330078125</v>
      </c>
      <c r="D117" s="16">
        <v>52.229300000000002</v>
      </c>
      <c r="E117" s="16">
        <v>52.0991</v>
      </c>
      <c r="F117" s="16">
        <v>52.307899999999997</v>
      </c>
      <c r="G117" s="16">
        <v>94.647176359238614</v>
      </c>
      <c r="H117" s="16">
        <f t="shared" si="4"/>
        <v>52.222850000000008</v>
      </c>
      <c r="I117" s="5"/>
      <c r="J117" s="15">
        <v>758.13490000000002</v>
      </c>
      <c r="K117" s="16">
        <v>52.238999999999997</v>
      </c>
      <c r="L117" s="16">
        <v>54.257899999999999</v>
      </c>
      <c r="M117" s="16">
        <v>54.330300000000001</v>
      </c>
      <c r="N117" s="16">
        <v>46.950800000000001</v>
      </c>
      <c r="O117" s="16">
        <f t="shared" si="5"/>
        <v>52.752775</v>
      </c>
      <c r="P117" s="7"/>
      <c r="Q117" s="8">
        <f>bdrate(C117:C120,D117:D120,J117:J120,K117:K120)</f>
        <v>-0.40388807946930394</v>
      </c>
      <c r="R117" s="8">
        <f>bdrate(C117:C120,E117:E120,J117:J120,L117:L120)</f>
        <v>-0.47851478499389355</v>
      </c>
      <c r="S117" s="8">
        <f>bdrate(C117:C120,F117:F120,J117:J120,M117:M120)</f>
        <v>-0.48436332266073767</v>
      </c>
      <c r="T117" s="25">
        <f>bdrate(C117:C120,H117:H120,J117:J120,O117:O120)</f>
        <v>-0.42588102824382312</v>
      </c>
      <c r="U117" s="28">
        <f t="shared" si="3"/>
        <v>-0.50393871422222225</v>
      </c>
    </row>
    <row r="118" spans="2:21" x14ac:dyDescent="0.25">
      <c r="B118" s="9"/>
      <c r="C118" s="17">
        <v>960.15625</v>
      </c>
      <c r="D118" s="18">
        <v>49.139499999999998</v>
      </c>
      <c r="E118" s="18">
        <v>49.467399999999998</v>
      </c>
      <c r="F118" s="18">
        <v>49.727699999999999</v>
      </c>
      <c r="G118" s="18">
        <v>109.78287387167602</v>
      </c>
      <c r="H118" s="18">
        <f t="shared" si="4"/>
        <v>49.254012500000002</v>
      </c>
      <c r="I118" s="5"/>
      <c r="J118" s="17">
        <v>596.51790000000005</v>
      </c>
      <c r="K118" s="18">
        <v>51.069800000000001</v>
      </c>
      <c r="L118" s="18">
        <v>53.206899999999997</v>
      </c>
      <c r="M118" s="18">
        <v>53.339599999999997</v>
      </c>
      <c r="N118" s="18">
        <v>58.203499999999998</v>
      </c>
      <c r="O118" s="18">
        <f t="shared" si="5"/>
        <v>51.620662500000009</v>
      </c>
      <c r="P118" s="7"/>
      <c r="Q118" s="10"/>
      <c r="R118" s="11"/>
      <c r="S118" s="11"/>
      <c r="T118" s="26"/>
      <c r="U118" s="28">
        <f t="shared" si="3"/>
        <v>-0.46983078555555557</v>
      </c>
    </row>
    <row r="119" spans="2:21" x14ac:dyDescent="0.25">
      <c r="B119" s="9"/>
      <c r="C119" s="17">
        <v>579.1748046875</v>
      </c>
      <c r="D119" s="18">
        <v>44.977600000000002</v>
      </c>
      <c r="E119" s="18">
        <v>45.627200000000002</v>
      </c>
      <c r="F119" s="18">
        <v>45.911200000000001</v>
      </c>
      <c r="G119" s="18">
        <v>133.412392528906</v>
      </c>
      <c r="H119" s="18">
        <f t="shared" si="4"/>
        <v>45.175500000000007</v>
      </c>
      <c r="I119" s="5"/>
      <c r="J119" s="17">
        <v>426.8528</v>
      </c>
      <c r="K119" s="18">
        <v>46.447200000000002</v>
      </c>
      <c r="L119" s="18">
        <v>48.2149</v>
      </c>
      <c r="M119" s="18">
        <v>48.660899999999998</v>
      </c>
      <c r="N119" s="18">
        <v>50.293399999999998</v>
      </c>
      <c r="O119" s="18">
        <f t="shared" si="5"/>
        <v>46.944874999999996</v>
      </c>
      <c r="P119" s="7"/>
      <c r="Q119" s="10"/>
      <c r="R119" s="11"/>
      <c r="S119" s="11"/>
      <c r="T119" s="26"/>
      <c r="U119" s="28">
        <f t="shared" si="3"/>
        <v>-0.62302302622222228</v>
      </c>
    </row>
    <row r="120" spans="2:21" ht="16.5" thickBot="1" x14ac:dyDescent="0.3">
      <c r="B120" s="12"/>
      <c r="C120" s="19">
        <v>291.3720703125</v>
      </c>
      <c r="D120" s="20">
        <v>37.897500000000001</v>
      </c>
      <c r="E120" s="20">
        <v>39.717799999999997</v>
      </c>
      <c r="F120" s="20">
        <v>40.045099999999998</v>
      </c>
      <c r="G120" s="20">
        <v>126.26262626262626</v>
      </c>
      <c r="H120" s="20">
        <f t="shared" si="4"/>
        <v>38.393487499999999</v>
      </c>
      <c r="I120" s="5"/>
      <c r="J120" s="19">
        <v>281.38850000000002</v>
      </c>
      <c r="K120" s="20">
        <v>41.254300000000001</v>
      </c>
      <c r="L120" s="20">
        <v>43.372799999999998</v>
      </c>
      <c r="M120" s="20">
        <v>43.759099999999997</v>
      </c>
      <c r="N120" s="20">
        <v>83.364199999999997</v>
      </c>
      <c r="O120" s="20">
        <f t="shared" si="5"/>
        <v>41.832212499999997</v>
      </c>
      <c r="P120" s="7"/>
      <c r="Q120" s="13"/>
      <c r="R120" s="14"/>
      <c r="S120" s="14"/>
      <c r="T120" s="27"/>
      <c r="U120" s="28">
        <f t="shared" si="3"/>
        <v>-0.33975553599999997</v>
      </c>
    </row>
    <row r="121" spans="2:21" x14ac:dyDescent="0.25">
      <c r="B121" s="6" t="s">
        <v>110</v>
      </c>
      <c r="C121" s="29">
        <v>1476.599609375</v>
      </c>
      <c r="D121" s="30">
        <v>33.2819</v>
      </c>
      <c r="E121" s="30">
        <v>37.1</v>
      </c>
      <c r="F121" s="30">
        <v>36.424199999999999</v>
      </c>
      <c r="G121" s="16">
        <v>52.545539467538532</v>
      </c>
      <c r="H121" s="16">
        <f t="shared" si="4"/>
        <v>34.151949999999999</v>
      </c>
      <c r="I121" s="5"/>
      <c r="J121" s="29">
        <v>1516.8605</v>
      </c>
      <c r="K121" s="30">
        <v>33.673699999999997</v>
      </c>
      <c r="L121" s="30">
        <v>37.708300000000001</v>
      </c>
      <c r="M121" s="30">
        <v>36.968400000000003</v>
      </c>
      <c r="N121" s="16">
        <v>35.3996</v>
      </c>
      <c r="O121" s="16">
        <f t="shared" si="5"/>
        <v>34.589862499999995</v>
      </c>
      <c r="P121" s="7"/>
      <c r="Q121" s="8">
        <f>bdrate(C121:C124,D121:D124,J121:J124,K121:K124)</f>
        <v>-0.12739439064559333</v>
      </c>
      <c r="R121" s="8">
        <f>bdrate(C121:C124,E121:E124,J121:J124,L121:L124)</f>
        <v>-0.26260845190655047</v>
      </c>
      <c r="S121" s="8">
        <f>bdrate(C121:C124,F121:F124,J121:J124,M121:M124)</f>
        <v>-0.23890305762025943</v>
      </c>
      <c r="T121" s="25">
        <f>bdrate(C121:C124,H121:H124,J121:J124,O121:O124)</f>
        <v>-0.14965449282445975</v>
      </c>
      <c r="U121" s="28">
        <f t="shared" si="3"/>
        <v>-0.3263062791111111</v>
      </c>
    </row>
    <row r="122" spans="2:21" x14ac:dyDescent="0.25">
      <c r="B122" s="9"/>
      <c r="C122" s="31">
        <v>987.791015625</v>
      </c>
      <c r="D122" s="32">
        <v>31.177700000000002</v>
      </c>
      <c r="E122" s="32">
        <v>35.768500000000003</v>
      </c>
      <c r="F122" s="32">
        <v>35.052199999999999</v>
      </c>
      <c r="G122" s="18">
        <v>71.000315556958029</v>
      </c>
      <c r="H122" s="18">
        <f t="shared" si="4"/>
        <v>32.235862499999996</v>
      </c>
      <c r="I122" s="5"/>
      <c r="J122" s="31">
        <v>1009.4307</v>
      </c>
      <c r="K122" s="32">
        <v>31.741199999999999</v>
      </c>
      <c r="L122" s="32">
        <v>36.614600000000003</v>
      </c>
      <c r="M122" s="32">
        <v>35.835900000000002</v>
      </c>
      <c r="N122" s="18">
        <v>40.286499999999997</v>
      </c>
      <c r="O122" s="18">
        <f t="shared" si="5"/>
        <v>32.862212499999998</v>
      </c>
      <c r="P122" s="7"/>
      <c r="Q122" s="10"/>
      <c r="R122" s="11"/>
      <c r="S122" s="11"/>
      <c r="T122" s="26"/>
      <c r="U122" s="28">
        <f t="shared" si="3"/>
        <v>-0.43258702888888889</v>
      </c>
    </row>
    <row r="123" spans="2:21" x14ac:dyDescent="0.25">
      <c r="B123" s="9"/>
      <c r="C123" s="31">
        <v>593.513671875</v>
      </c>
      <c r="D123" s="32">
        <v>28.7117</v>
      </c>
      <c r="E123" s="32">
        <v>34.350900000000003</v>
      </c>
      <c r="F123" s="32">
        <v>33.5884</v>
      </c>
      <c r="G123" s="18">
        <v>96.452684599721366</v>
      </c>
      <c r="H123" s="18">
        <f t="shared" si="4"/>
        <v>30.026187499999999</v>
      </c>
      <c r="I123" s="5"/>
      <c r="J123" s="31">
        <v>605.96079999999995</v>
      </c>
      <c r="K123" s="32">
        <v>29.486699999999999</v>
      </c>
      <c r="L123" s="32">
        <v>35.301299999999998</v>
      </c>
      <c r="M123" s="32">
        <v>34.476100000000002</v>
      </c>
      <c r="N123" s="18">
        <v>47.727600000000002</v>
      </c>
      <c r="O123" s="18">
        <f t="shared" si="5"/>
        <v>30.837199999999999</v>
      </c>
      <c r="P123" s="7"/>
      <c r="Q123" s="10"/>
      <c r="R123" s="11"/>
      <c r="S123" s="11"/>
      <c r="T123" s="26"/>
      <c r="U123" s="28">
        <f t="shared" si="3"/>
        <v>-0.50517084933333334</v>
      </c>
    </row>
    <row r="124" spans="2:21" ht="16.5" thickBot="1" x14ac:dyDescent="0.3">
      <c r="B124" s="12"/>
      <c r="C124" s="33">
        <v>296.7890625</v>
      </c>
      <c r="D124" s="34">
        <v>25.773800000000001</v>
      </c>
      <c r="E124" s="34">
        <v>32.484200000000001</v>
      </c>
      <c r="F124" s="34">
        <v>31.652000000000001</v>
      </c>
      <c r="G124" s="20">
        <v>111.26220793670416</v>
      </c>
      <c r="H124" s="20">
        <f t="shared" si="4"/>
        <v>27.347375</v>
      </c>
      <c r="I124" s="5"/>
      <c r="J124" s="33">
        <v>308.22160000000002</v>
      </c>
      <c r="K124" s="34">
        <v>26.943300000000001</v>
      </c>
      <c r="L124" s="34">
        <v>33.490400000000001</v>
      </c>
      <c r="M124" s="34">
        <v>32.627600000000001</v>
      </c>
      <c r="N124" s="20">
        <v>57.570500000000003</v>
      </c>
      <c r="O124" s="20">
        <f t="shared" si="5"/>
        <v>28.472225000000002</v>
      </c>
      <c r="P124" s="7"/>
      <c r="Q124" s="13"/>
      <c r="R124" s="14"/>
      <c r="S124" s="14"/>
      <c r="T124" s="27"/>
      <c r="U124" s="28">
        <f t="shared" si="3"/>
        <v>-0.48256913944444441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-0.12473103193850901</v>
      </c>
      <c r="R125" s="21">
        <f>AVERAGE(R9:R124)</f>
        <v>-0.29568979548650159</v>
      </c>
      <c r="S125" s="21">
        <f>AVERAGE(S9:S124)</f>
        <v>-0.29347579041410771</v>
      </c>
      <c r="T125" s="21">
        <f>AVERAGE(T9:T124)</f>
        <v>-0.15700642329650896</v>
      </c>
      <c r="U125" s="21">
        <f>AVERAGE(U9:U124)</f>
        <v>-0.29142017835244244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67" priority="69" operator="greaterThan">
      <formula>0.03</formula>
    </cfRule>
    <cfRule type="cellIs" dxfId="66" priority="70" stopIfTrue="1" operator="lessThan">
      <formula>-0.03</formula>
    </cfRule>
  </conditionalFormatting>
  <conditionalFormatting sqref="Q33:T36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Q45:T48 Q61:T64">
    <cfRule type="cellIs" dxfId="63" priority="65" operator="greaterThan">
      <formula>0.03</formula>
    </cfRule>
    <cfRule type="cellIs" dxfId="62" priority="66" stopIfTrue="1" operator="lessThan">
      <formula>-0.03</formula>
    </cfRule>
  </conditionalFormatting>
  <conditionalFormatting sqref="Q49:T60">
    <cfRule type="cellIs" dxfId="61" priority="63" operator="greaterThan">
      <formula>0.03</formula>
    </cfRule>
    <cfRule type="cellIs" dxfId="60" priority="64" stopIfTrue="1" operator="lessThan">
      <formula>-0.03</formula>
    </cfRule>
  </conditionalFormatting>
  <conditionalFormatting sqref="Q69:T76">
    <cfRule type="cellIs" dxfId="59" priority="61" operator="greaterThan">
      <formula>0.03</formula>
    </cfRule>
    <cfRule type="cellIs" dxfId="58" priority="62" stopIfTrue="1" operator="lessThan">
      <formula>-0.03</formula>
    </cfRule>
  </conditionalFormatting>
  <conditionalFormatting sqref="Q65:T68">
    <cfRule type="cellIs" dxfId="57" priority="59" operator="greaterThan">
      <formula>0.03</formula>
    </cfRule>
    <cfRule type="cellIs" dxfId="56" priority="60" stopIfTrue="1" operator="lessThan">
      <formula>-0.03</formula>
    </cfRule>
  </conditionalFormatting>
  <conditionalFormatting sqref="Q77:T80">
    <cfRule type="cellIs" dxfId="55" priority="57" operator="greaterThan">
      <formula>0.03</formula>
    </cfRule>
    <cfRule type="cellIs" dxfId="54" priority="58" stopIfTrue="1" operator="lessThan">
      <formula>-0.03</formula>
    </cfRule>
  </conditionalFormatting>
  <conditionalFormatting sqref="Q21:T28">
    <cfRule type="cellIs" dxfId="53" priority="55" operator="greaterThan">
      <formula>0.03</formula>
    </cfRule>
    <cfRule type="cellIs" dxfId="52" priority="56" stopIfTrue="1" operator="lessThan">
      <formula>-0.03</formula>
    </cfRule>
  </conditionalFormatting>
  <conditionalFormatting sqref="Q117:T117">
    <cfRule type="cellIs" dxfId="51" priority="3" operator="greaterThan">
      <formula>0.03</formula>
    </cfRule>
    <cfRule type="cellIs" dxfId="50" priority="4" stopIfTrue="1" operator="lessThan">
      <formula>-0.03</formula>
    </cfRule>
  </conditionalFormatting>
  <conditionalFormatting sqref="Q93:T96 Q101:T108 Q81:T84">
    <cfRule type="cellIs" dxfId="49" priority="17" operator="greaterThan">
      <formula>0.03</formula>
    </cfRule>
    <cfRule type="cellIs" dxfId="48" priority="18" stopIfTrue="1" operator="lessThan">
      <formula>-0.03</formula>
    </cfRule>
  </conditionalFormatting>
  <conditionalFormatting sqref="Q97:T100">
    <cfRule type="cellIs" dxfId="47" priority="15" operator="greaterThan">
      <formula>0.03</formula>
    </cfRule>
    <cfRule type="cellIs" dxfId="46" priority="16" stopIfTrue="1" operator="lessThan">
      <formula>-0.03</formula>
    </cfRule>
  </conditionalFormatting>
  <conditionalFormatting sqref="Q110:T112 Q122:T124">
    <cfRule type="cellIs" dxfId="45" priority="13" operator="greaterThan">
      <formula>0.03</formula>
    </cfRule>
    <cfRule type="cellIs" dxfId="44" priority="14" stopIfTrue="1" operator="lessThan">
      <formula>-0.03</formula>
    </cfRule>
  </conditionalFormatting>
  <conditionalFormatting sqref="Q114:T116 Q118:T120">
    <cfRule type="cellIs" dxfId="43" priority="11" operator="greaterThan">
      <formula>0.03</formula>
    </cfRule>
    <cfRule type="cellIs" dxfId="42" priority="12" stopIfTrue="1" operator="lessThan">
      <formula>-0.03</formula>
    </cfRule>
  </conditionalFormatting>
  <conditionalFormatting sqref="Q85:T92">
    <cfRule type="cellIs" dxfId="41" priority="9" operator="greaterThan">
      <formula>0.03</formula>
    </cfRule>
    <cfRule type="cellIs" dxfId="40" priority="10" stopIfTrue="1" operator="lessThan">
      <formula>-0.03</formula>
    </cfRule>
  </conditionalFormatting>
  <conditionalFormatting sqref="Q109:T109">
    <cfRule type="cellIs" dxfId="39" priority="7" operator="greaterThan">
      <formula>0.03</formula>
    </cfRule>
    <cfRule type="cellIs" dxfId="38" priority="8" stopIfTrue="1" operator="lessThan">
      <formula>-0.03</formula>
    </cfRule>
  </conditionalFormatting>
  <conditionalFormatting sqref="Q113:T113">
    <cfRule type="cellIs" dxfId="37" priority="5" operator="greaterThan">
      <formula>0.03</formula>
    </cfRule>
    <cfRule type="cellIs" dxfId="36" priority="6" stopIfTrue="1" operator="lessThan">
      <formula>-0.03</formula>
    </cfRule>
  </conditionalFormatting>
  <conditionalFormatting sqref="Q121:T121">
    <cfRule type="cellIs" dxfId="35" priority="1" operator="greaterThan">
      <formula>0.03</formula>
    </cfRule>
    <cfRule type="cellIs" dxfId="34" priority="2" stopIfTrue="1" operator="lessThan">
      <formula>-0.03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0" width="6.625" customWidth="1"/>
    <col min="21" max="21" width="9.25" customWidth="1"/>
  </cols>
  <sheetData>
    <row r="1" spans="1:21" x14ac:dyDescent="0.25">
      <c r="A1" t="s">
        <v>143</v>
      </c>
      <c r="U1" t="s">
        <v>144</v>
      </c>
    </row>
    <row r="2" spans="1:21" x14ac:dyDescent="0.25">
      <c r="A2" t="s">
        <v>145</v>
      </c>
    </row>
    <row r="3" spans="1:21" x14ac:dyDescent="0.25">
      <c r="A3" t="s">
        <v>146</v>
      </c>
    </row>
    <row r="5" spans="1:21" s="35" customFormat="1" ht="15.75" customHeight="1" x14ac:dyDescent="0.25">
      <c r="B5" s="61" t="s">
        <v>29</v>
      </c>
      <c r="C5" s="63" t="s">
        <v>150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153</v>
      </c>
      <c r="D7" s="70"/>
      <c r="E7" s="70"/>
      <c r="F7" s="70"/>
      <c r="G7" s="70"/>
      <c r="H7" s="70"/>
      <c r="I7" s="5"/>
      <c r="J7" s="69" t="s">
        <v>205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3677.06640625</v>
      </c>
      <c r="D9" s="16">
        <v>38.516199999999998</v>
      </c>
      <c r="E9" s="16">
        <v>39.7104</v>
      </c>
      <c r="F9" s="16">
        <v>42.244999999999997</v>
      </c>
      <c r="G9" s="16">
        <v>2.7046520014424811</v>
      </c>
      <c r="H9" s="16">
        <f t="shared" ref="H9:H80" si="0">(6*D9+E9+F9)/8</f>
        <v>39.131574999999998</v>
      </c>
      <c r="I9" s="5"/>
      <c r="J9" s="15">
        <v>4078.6336000000001</v>
      </c>
      <c r="K9" s="16">
        <v>38.7545</v>
      </c>
      <c r="L9" s="16">
        <v>40.276800000000001</v>
      </c>
      <c r="M9" s="16">
        <v>43.075699999999998</v>
      </c>
      <c r="N9" s="16">
        <v>1.7134</v>
      </c>
      <c r="O9" s="16">
        <f t="shared" ref="O9:O80" si="1">(6*K9+L9+M9)/8</f>
        <v>39.484937499999994</v>
      </c>
      <c r="P9" s="7"/>
      <c r="Q9" s="8">
        <f>bdrate(C9:C12,D9:D12,J9:J12,K9:K12)</f>
        <v>-6.0024840886151454E-3</v>
      </c>
      <c r="R9" s="8">
        <f>bdrate(C9:C12,E9:E12,J9:J12,L9:L12)</f>
        <v>-0.28209875014377572</v>
      </c>
      <c r="S9" s="8">
        <f>bdrate(C9:C12,F9:F12,J9:J12,M9:M12)</f>
        <v>-0.25363071603605536</v>
      </c>
      <c r="T9" s="25">
        <f>bdrate(C9:C12,H9:H12,J9:J12,O9:O12)</f>
        <v>-4.9469888782218252E-2</v>
      </c>
      <c r="U9" s="28">
        <f t="shared" ref="U9:U72" si="2">(N9-G9)/G9</f>
        <v>-0.36649890666666668</v>
      </c>
    </row>
    <row r="10" spans="1:21" x14ac:dyDescent="0.25">
      <c r="A10" s="9" t="s">
        <v>36</v>
      </c>
      <c r="B10" s="9"/>
      <c r="C10" s="17">
        <v>2779.9873046875</v>
      </c>
      <c r="D10" s="18">
        <v>37.6004</v>
      </c>
      <c r="E10" s="18">
        <v>39.179299999999998</v>
      </c>
      <c r="F10" s="18">
        <v>41.6661</v>
      </c>
      <c r="G10" s="18">
        <v>3.1432702583768153</v>
      </c>
      <c r="H10" s="18">
        <f t="shared" si="0"/>
        <v>38.305975000000004</v>
      </c>
      <c r="I10" s="5"/>
      <c r="J10" s="17">
        <v>2992.2640000000001</v>
      </c>
      <c r="K10" s="18">
        <v>37.789099999999998</v>
      </c>
      <c r="L10" s="18">
        <v>39.8202</v>
      </c>
      <c r="M10" s="18">
        <v>42.431899999999999</v>
      </c>
      <c r="N10" s="18">
        <v>2.0175000000000001</v>
      </c>
      <c r="O10" s="18">
        <f t="shared" si="1"/>
        <v>38.623337499999998</v>
      </c>
      <c r="P10" s="7"/>
      <c r="Q10" s="10"/>
      <c r="R10" s="11"/>
      <c r="S10" s="11"/>
      <c r="T10" s="26"/>
      <c r="U10" s="28">
        <f t="shared" si="2"/>
        <v>-0.35815255000000001</v>
      </c>
    </row>
    <row r="11" spans="1:21" x14ac:dyDescent="0.25">
      <c r="B11" s="9"/>
      <c r="C11" s="17">
        <v>1824.279296875</v>
      </c>
      <c r="D11" s="18">
        <v>36.136400000000002</v>
      </c>
      <c r="E11" s="18">
        <v>38.397799999999997</v>
      </c>
      <c r="F11" s="18">
        <v>40.842700000000001</v>
      </c>
      <c r="G11" s="18">
        <v>3.9144050104384132</v>
      </c>
      <c r="H11" s="18">
        <f t="shared" si="0"/>
        <v>37.007362499999999</v>
      </c>
      <c r="I11" s="5"/>
      <c r="J11" s="17">
        <v>1973.4272000000001</v>
      </c>
      <c r="K11" s="18">
        <v>36.384300000000003</v>
      </c>
      <c r="L11" s="18">
        <v>39.137900000000002</v>
      </c>
      <c r="M11" s="18">
        <v>41.593800000000002</v>
      </c>
      <c r="N11" s="18">
        <v>2.4900000000000002</v>
      </c>
      <c r="O11" s="18">
        <f t="shared" si="1"/>
        <v>37.379687500000003</v>
      </c>
      <c r="P11" s="7"/>
      <c r="Q11" s="10"/>
      <c r="R11" s="11"/>
      <c r="S11" s="11"/>
      <c r="T11" s="26"/>
      <c r="U11" s="28">
        <f t="shared" si="2"/>
        <v>-0.36388799999999993</v>
      </c>
    </row>
    <row r="12" spans="1:21" ht="16.5" thickBot="1" x14ac:dyDescent="0.3">
      <c r="B12" s="12"/>
      <c r="C12" s="19">
        <v>919.037109375</v>
      </c>
      <c r="D12" s="20">
        <v>33.348300000000002</v>
      </c>
      <c r="E12" s="20">
        <v>37.190399999999997</v>
      </c>
      <c r="F12" s="20">
        <v>39.642499999999998</v>
      </c>
      <c r="G12" s="20">
        <v>5.7544021176199793</v>
      </c>
      <c r="H12" s="20">
        <f t="shared" si="0"/>
        <v>34.615337500000003</v>
      </c>
      <c r="I12" s="5"/>
      <c r="J12" s="19">
        <v>904.64480000000003</v>
      </c>
      <c r="K12" s="20">
        <v>33.593899999999998</v>
      </c>
      <c r="L12" s="20">
        <v>37.765099999999997</v>
      </c>
      <c r="M12" s="20">
        <v>40.028799999999997</v>
      </c>
      <c r="N12" s="20">
        <v>3.6720999999999999</v>
      </c>
      <c r="O12" s="20">
        <f t="shared" si="1"/>
        <v>34.919662500000001</v>
      </c>
      <c r="P12" s="7"/>
      <c r="Q12" s="13"/>
      <c r="R12" s="14"/>
      <c r="S12" s="14"/>
      <c r="T12" s="27"/>
      <c r="U12" s="28">
        <f t="shared" si="2"/>
        <v>-0.361862462</v>
      </c>
    </row>
    <row r="13" spans="1:21" x14ac:dyDescent="0.25">
      <c r="B13" s="6" t="s">
        <v>47</v>
      </c>
      <c r="C13" s="15">
        <v>3700.9482421875</v>
      </c>
      <c r="D13" s="16">
        <v>30.376899999999999</v>
      </c>
      <c r="E13" s="16">
        <v>40.074599999999997</v>
      </c>
      <c r="F13" s="16">
        <v>40.9</v>
      </c>
      <c r="G13" s="16">
        <v>1.4924482120470419</v>
      </c>
      <c r="H13" s="16">
        <f t="shared" si="0"/>
        <v>32.904499999999999</v>
      </c>
      <c r="I13" s="5"/>
      <c r="J13" s="15">
        <v>4117.0816000000004</v>
      </c>
      <c r="K13" s="16">
        <v>30.192900000000002</v>
      </c>
      <c r="L13" s="16">
        <v>41.094299999999997</v>
      </c>
      <c r="M13" s="16">
        <v>41.912700000000001</v>
      </c>
      <c r="N13" s="16">
        <v>1.169</v>
      </c>
      <c r="O13" s="16">
        <f t="shared" si="1"/>
        <v>33.02055</v>
      </c>
      <c r="P13" s="7"/>
      <c r="Q13" s="8">
        <f>bdrate(C13:C16,D13:D16,J13:J16,K13:K16)</f>
        <v>0.11723506279795681</v>
      </c>
      <c r="R13" s="8">
        <f>bdrate(C13:C16,E13:E16,J13:J16,L13:L16)</f>
        <v>-0.27210052838183552</v>
      </c>
      <c r="S13" s="8">
        <f>bdrate(C13:C16,F13:F16,J13:J16,M13:M16)</f>
        <v>-0.34289877512654232</v>
      </c>
      <c r="T13" s="25">
        <f>bdrate(C13:C16,H13:H16,J13:J16,O13:O16)</f>
        <v>4.3865378205432792E-2</v>
      </c>
      <c r="U13" s="28">
        <f t="shared" si="2"/>
        <v>-0.21672323999999996</v>
      </c>
    </row>
    <row r="14" spans="1:21" x14ac:dyDescent="0.25">
      <c r="B14" s="9"/>
      <c r="C14" s="17">
        <v>2788.73046875</v>
      </c>
      <c r="D14" s="18">
        <v>28.988399999999999</v>
      </c>
      <c r="E14" s="18">
        <v>39.610500000000002</v>
      </c>
      <c r="F14" s="18">
        <v>40.499699999999997</v>
      </c>
      <c r="G14" s="18">
        <v>1.8069459000397528</v>
      </c>
      <c r="H14" s="18">
        <f t="shared" si="0"/>
        <v>31.755074999999998</v>
      </c>
      <c r="I14" s="5"/>
      <c r="J14" s="17">
        <v>3069.1776</v>
      </c>
      <c r="K14" s="18">
        <v>28.846299999999999</v>
      </c>
      <c r="L14" s="18">
        <v>40.583500000000001</v>
      </c>
      <c r="M14" s="18">
        <v>41.475000000000001</v>
      </c>
      <c r="N14" s="18">
        <v>1.3481000000000001</v>
      </c>
      <c r="O14" s="18">
        <f t="shared" si="1"/>
        <v>31.892037499999997</v>
      </c>
      <c r="P14" s="7"/>
      <c r="Q14" s="10"/>
      <c r="R14" s="11"/>
      <c r="S14" s="11"/>
      <c r="T14" s="26"/>
      <c r="U14" s="28">
        <f t="shared" si="2"/>
        <v>-0.25393449799999995</v>
      </c>
    </row>
    <row r="15" spans="1:21" x14ac:dyDescent="0.25">
      <c r="B15" s="9"/>
      <c r="C15" s="17">
        <v>1867.6171875</v>
      </c>
      <c r="D15" s="18">
        <v>27.1374</v>
      </c>
      <c r="E15" s="18">
        <v>38.729300000000002</v>
      </c>
      <c r="F15" s="18">
        <v>39.723799999999997</v>
      </c>
      <c r="G15" s="18">
        <v>2.3219454807201125</v>
      </c>
      <c r="H15" s="18">
        <f t="shared" si="0"/>
        <v>30.159687499999997</v>
      </c>
      <c r="I15" s="5"/>
      <c r="J15" s="17">
        <v>2071.3103999999998</v>
      </c>
      <c r="K15" s="18">
        <v>27.1235</v>
      </c>
      <c r="L15" s="18">
        <v>39.738199999999999</v>
      </c>
      <c r="M15" s="18">
        <v>40.817300000000003</v>
      </c>
      <c r="N15" s="18">
        <v>1.6355999999999999</v>
      </c>
      <c r="O15" s="18">
        <f t="shared" si="1"/>
        <v>30.412062499999998</v>
      </c>
      <c r="P15" s="7"/>
      <c r="Q15" s="10"/>
      <c r="R15" s="11"/>
      <c r="S15" s="11"/>
      <c r="T15" s="26"/>
      <c r="U15" s="28">
        <f t="shared" si="2"/>
        <v>-0.29559069599999999</v>
      </c>
    </row>
    <row r="16" spans="1:21" ht="16.5" thickBot="1" x14ac:dyDescent="0.3">
      <c r="B16" s="12"/>
      <c r="C16" s="19">
        <v>1025.5029296875</v>
      </c>
      <c r="D16" s="20">
        <v>24.916799999999999</v>
      </c>
      <c r="E16" s="20">
        <v>37.034700000000001</v>
      </c>
      <c r="F16" s="20">
        <v>38.233400000000003</v>
      </c>
      <c r="G16" s="20">
        <v>3.0281619057232261</v>
      </c>
      <c r="H16" s="20">
        <f t="shared" si="0"/>
        <v>28.096112500000004</v>
      </c>
      <c r="I16" s="5"/>
      <c r="J16" s="19">
        <v>1388.9232</v>
      </c>
      <c r="K16" s="20">
        <v>25.844899999999999</v>
      </c>
      <c r="L16" s="20">
        <v>38.554900000000004</v>
      </c>
      <c r="M16" s="20">
        <v>39.773499999999999</v>
      </c>
      <c r="N16" s="20">
        <v>1.8753</v>
      </c>
      <c r="O16" s="20">
        <f t="shared" si="1"/>
        <v>29.174725000000002</v>
      </c>
      <c r="P16" s="7"/>
      <c r="Q16" s="13"/>
      <c r="R16" s="14"/>
      <c r="S16" s="14"/>
      <c r="T16" s="27"/>
      <c r="U16" s="28">
        <f t="shared" si="2"/>
        <v>-0.38071343000000002</v>
      </c>
    </row>
    <row r="17" spans="1:21" x14ac:dyDescent="0.25">
      <c r="A17" s="6" t="s">
        <v>37</v>
      </c>
      <c r="B17" s="6" t="s">
        <v>48</v>
      </c>
      <c r="C17" s="15">
        <v>2226.5634765625</v>
      </c>
      <c r="D17" s="16">
        <v>39.743200000000002</v>
      </c>
      <c r="E17" s="16">
        <v>42.2149</v>
      </c>
      <c r="F17" s="16">
        <v>43.6068</v>
      </c>
      <c r="G17" s="16">
        <v>2.7374760470845882</v>
      </c>
      <c r="H17" s="16">
        <f t="shared" si="0"/>
        <v>40.535112500000004</v>
      </c>
      <c r="I17" s="5"/>
      <c r="J17" s="15">
        <v>2369.4479999999999</v>
      </c>
      <c r="K17" s="16">
        <v>39.588500000000003</v>
      </c>
      <c r="L17" s="16">
        <v>42.525199999999998</v>
      </c>
      <c r="M17" s="16">
        <v>44.276000000000003</v>
      </c>
      <c r="N17" s="16">
        <v>2.0905999999999998</v>
      </c>
      <c r="O17" s="16">
        <f t="shared" si="1"/>
        <v>40.541525</v>
      </c>
      <c r="P17" s="7"/>
      <c r="Q17" s="8">
        <f>bdrate(C17:C20,D17:D20,J17:J20,K17:K20)</f>
        <v>3.8634259434248142E-2</v>
      </c>
      <c r="R17" s="8">
        <f>bdrate(C17:C20,E17:E20,J17:J20,L17:L20)</f>
        <v>-0.2059837882483071</v>
      </c>
      <c r="S17" s="8">
        <f>bdrate(C17:C20,F17:F20,J17:J20,M17:M20)</f>
        <v>-0.26204812542173517</v>
      </c>
      <c r="T17" s="25">
        <f>bdrate(C17:C20,H17:H20,J17:J20,O17:O20)</f>
        <v>-4.7125692706251332E-3</v>
      </c>
      <c r="U17" s="28">
        <f t="shared" si="2"/>
        <v>-0.23630382000000014</v>
      </c>
    </row>
    <row r="18" spans="1:21" x14ac:dyDescent="0.25">
      <c r="A18" s="9" t="s">
        <v>38</v>
      </c>
      <c r="B18" s="9"/>
      <c r="C18" s="17">
        <v>1484.376953125</v>
      </c>
      <c r="D18" s="18">
        <v>38.467700000000001</v>
      </c>
      <c r="E18" s="18">
        <v>41.563400000000001</v>
      </c>
      <c r="F18" s="18">
        <v>42.821399999999997</v>
      </c>
      <c r="G18" s="18">
        <v>3.5410242412617849</v>
      </c>
      <c r="H18" s="18">
        <f t="shared" si="0"/>
        <v>39.398874999999997</v>
      </c>
      <c r="I18" s="5"/>
      <c r="J18" s="17">
        <v>1557.376</v>
      </c>
      <c r="K18" s="18">
        <v>38.432000000000002</v>
      </c>
      <c r="L18" s="18">
        <v>41.944400000000002</v>
      </c>
      <c r="M18" s="18">
        <v>43.4771</v>
      </c>
      <c r="N18" s="18">
        <v>2.5749</v>
      </c>
      <c r="O18" s="18">
        <f t="shared" si="1"/>
        <v>39.501687500000003</v>
      </c>
      <c r="P18" s="7"/>
      <c r="Q18" s="10"/>
      <c r="R18" s="11"/>
      <c r="S18" s="11"/>
      <c r="T18" s="26"/>
      <c r="U18" s="28">
        <f t="shared" si="2"/>
        <v>-0.27283751125</v>
      </c>
    </row>
    <row r="19" spans="1:21" x14ac:dyDescent="0.25">
      <c r="B19" s="9"/>
      <c r="C19" s="17">
        <v>927.345703125</v>
      </c>
      <c r="D19" s="18">
        <v>36.831800000000001</v>
      </c>
      <c r="E19" s="18">
        <v>40.759700000000002</v>
      </c>
      <c r="F19" s="18">
        <v>41.956400000000002</v>
      </c>
      <c r="G19" s="18">
        <v>4.8009601920384073</v>
      </c>
      <c r="H19" s="18">
        <f t="shared" si="0"/>
        <v>37.963362500000002</v>
      </c>
      <c r="I19" s="5"/>
      <c r="J19" s="17">
        <v>963.91359999999997</v>
      </c>
      <c r="K19" s="18">
        <v>36.886499999999998</v>
      </c>
      <c r="L19" s="18">
        <v>41.214599999999997</v>
      </c>
      <c r="M19" s="18">
        <v>42.542200000000001</v>
      </c>
      <c r="N19" s="18">
        <v>3.2936000000000001</v>
      </c>
      <c r="O19" s="18">
        <f t="shared" si="1"/>
        <v>38.134474999999995</v>
      </c>
      <c r="P19" s="7"/>
      <c r="Q19" s="10"/>
      <c r="R19" s="11"/>
      <c r="S19" s="11"/>
      <c r="T19" s="26"/>
      <c r="U19" s="28">
        <f t="shared" si="2"/>
        <v>-0.31397056666666662</v>
      </c>
    </row>
    <row r="20" spans="1:21" ht="16.5" thickBot="1" x14ac:dyDescent="0.3">
      <c r="B20" s="12"/>
      <c r="C20" s="19">
        <v>556.2509765625</v>
      </c>
      <c r="D20" s="20">
        <v>35.003799999999998</v>
      </c>
      <c r="E20" s="20">
        <v>40.002000000000002</v>
      </c>
      <c r="F20" s="20">
        <v>41.250599999999999</v>
      </c>
      <c r="G20" s="20">
        <v>6.6670370576143121</v>
      </c>
      <c r="H20" s="20">
        <f t="shared" si="0"/>
        <v>36.409424999999999</v>
      </c>
      <c r="I20" s="5"/>
      <c r="J20" s="19">
        <v>562.5752</v>
      </c>
      <c r="K20" s="20">
        <v>35.064500000000002</v>
      </c>
      <c r="L20" s="20">
        <v>40.488199999999999</v>
      </c>
      <c r="M20" s="20">
        <v>41.761099999999999</v>
      </c>
      <c r="N20" s="20">
        <v>4.4329000000000001</v>
      </c>
      <c r="O20" s="20">
        <f t="shared" si="1"/>
        <v>36.579537500000001</v>
      </c>
      <c r="P20" s="7"/>
      <c r="Q20" s="13"/>
      <c r="R20" s="14"/>
      <c r="S20" s="14"/>
      <c r="T20" s="27"/>
      <c r="U20" s="28">
        <f t="shared" si="2"/>
        <v>-0.33510194083333333</v>
      </c>
    </row>
    <row r="21" spans="1:21" x14ac:dyDescent="0.25">
      <c r="B21" s="6" t="s">
        <v>49</v>
      </c>
      <c r="C21" s="15">
        <v>2269.1201171875</v>
      </c>
      <c r="D21" s="16">
        <v>36.813800000000001</v>
      </c>
      <c r="E21" s="16">
        <v>40.293799999999997</v>
      </c>
      <c r="F21" s="16">
        <v>41.335799999999999</v>
      </c>
      <c r="G21" s="16">
        <v>3.6964591002202476</v>
      </c>
      <c r="H21" s="16">
        <f t="shared" si="0"/>
        <v>37.814050000000002</v>
      </c>
      <c r="I21" s="5"/>
      <c r="J21" s="15">
        <v>2555.7431999999999</v>
      </c>
      <c r="K21" s="16">
        <v>36.860500000000002</v>
      </c>
      <c r="L21" s="16">
        <v>40.999099999999999</v>
      </c>
      <c r="M21" s="16">
        <v>42.380499999999998</v>
      </c>
      <c r="N21" s="16">
        <v>2.4392999999999998</v>
      </c>
      <c r="O21" s="16">
        <f t="shared" si="1"/>
        <v>38.067824999999999</v>
      </c>
      <c r="P21" s="7"/>
      <c r="Q21" s="8">
        <f>bdrate(C21:C24,D21:D24,J21:J24,K21:K24)</f>
        <v>6.4796754547564506E-2</v>
      </c>
      <c r="R21" s="8">
        <f>bdrate(C21:C24,E21:E24,J21:J24,L21:L24)</f>
        <v>-0.23797947333455605</v>
      </c>
      <c r="S21" s="8">
        <f>bdrate(C21:C24,F21:F24,J21:J24,M21:M24)</f>
        <v>-0.28278904901485635</v>
      </c>
      <c r="T21" s="25">
        <f>bdrate(C21:C24,H21:H24,J21:J24,O21:O24)</f>
        <v>2.8865664238622024E-3</v>
      </c>
      <c r="U21" s="28">
        <f t="shared" si="2"/>
        <v>-0.34009820375000011</v>
      </c>
    </row>
    <row r="22" spans="1:21" x14ac:dyDescent="0.25">
      <c r="B22" s="9"/>
      <c r="C22" s="17">
        <v>1518.53515625</v>
      </c>
      <c r="D22" s="18">
        <v>35.484900000000003</v>
      </c>
      <c r="E22" s="18">
        <v>39.444299999999998</v>
      </c>
      <c r="F22" s="18">
        <v>40.551699999999997</v>
      </c>
      <c r="G22" s="18">
        <v>4.5580582671781817</v>
      </c>
      <c r="H22" s="18">
        <f t="shared" si="0"/>
        <v>36.613174999999998</v>
      </c>
      <c r="I22" s="5"/>
      <c r="J22" s="17">
        <v>1664.884</v>
      </c>
      <c r="K22" s="18">
        <v>35.558999999999997</v>
      </c>
      <c r="L22" s="18">
        <v>40.137099999999997</v>
      </c>
      <c r="M22" s="18">
        <v>41.393700000000003</v>
      </c>
      <c r="N22" s="18">
        <v>2.9948000000000001</v>
      </c>
      <c r="O22" s="18">
        <f t="shared" si="1"/>
        <v>36.860599999999998</v>
      </c>
      <c r="P22" s="7"/>
      <c r="Q22" s="10"/>
      <c r="R22" s="11"/>
      <c r="S22" s="11"/>
      <c r="T22" s="26"/>
      <c r="U22" s="28">
        <f t="shared" si="2"/>
        <v>-0.34296583666666658</v>
      </c>
    </row>
    <row r="23" spans="1:21" x14ac:dyDescent="0.25">
      <c r="B23" s="9"/>
      <c r="C23" s="17">
        <v>948.263671875</v>
      </c>
      <c r="D23" s="18">
        <v>33.958300000000001</v>
      </c>
      <c r="E23" s="18">
        <v>38.4679</v>
      </c>
      <c r="F23" s="18">
        <v>39.7408</v>
      </c>
      <c r="G23" s="18">
        <v>5.7625816365731843</v>
      </c>
      <c r="H23" s="18">
        <f t="shared" si="0"/>
        <v>35.244812499999995</v>
      </c>
      <c r="I23" s="5"/>
      <c r="J23" s="17">
        <v>1030.2392</v>
      </c>
      <c r="K23" s="18">
        <v>34.047899999999998</v>
      </c>
      <c r="L23" s="18">
        <v>39.206899999999997</v>
      </c>
      <c r="M23" s="18">
        <v>40.456699999999998</v>
      </c>
      <c r="N23" s="18">
        <v>3.8069000000000002</v>
      </c>
      <c r="O23" s="18">
        <f t="shared" si="1"/>
        <v>35.493874999999996</v>
      </c>
      <c r="P23" s="7"/>
      <c r="Q23" s="10"/>
      <c r="R23" s="11"/>
      <c r="S23" s="11"/>
      <c r="T23" s="26"/>
      <c r="U23" s="28">
        <f t="shared" si="2"/>
        <v>-0.33937595333333326</v>
      </c>
    </row>
    <row r="24" spans="1:21" ht="16.5" thickBot="1" x14ac:dyDescent="0.3">
      <c r="B24" s="12"/>
      <c r="C24" s="19">
        <v>565.5625</v>
      </c>
      <c r="D24" s="20">
        <v>32.299500000000002</v>
      </c>
      <c r="E24" s="20">
        <v>37.6188</v>
      </c>
      <c r="F24" s="20">
        <v>39.109299999999998</v>
      </c>
      <c r="G24" s="20">
        <v>7.5</v>
      </c>
      <c r="H24" s="20">
        <f t="shared" si="0"/>
        <v>33.815637500000001</v>
      </c>
      <c r="I24" s="5"/>
      <c r="J24" s="19">
        <v>611.36959999999999</v>
      </c>
      <c r="K24" s="20">
        <v>32.420999999999999</v>
      </c>
      <c r="L24" s="20">
        <v>38.197499999999998</v>
      </c>
      <c r="M24" s="20">
        <v>39.537700000000001</v>
      </c>
      <c r="N24" s="20">
        <v>4.9173999999999998</v>
      </c>
      <c r="O24" s="20">
        <f t="shared" si="1"/>
        <v>34.032650000000004</v>
      </c>
      <c r="P24" s="7"/>
      <c r="Q24" s="13"/>
      <c r="R24" s="14"/>
      <c r="S24" s="14"/>
      <c r="T24" s="27"/>
      <c r="U24" s="28">
        <f t="shared" si="2"/>
        <v>-0.34434666666666669</v>
      </c>
    </row>
    <row r="25" spans="1:21" x14ac:dyDescent="0.25">
      <c r="B25" s="6" t="s">
        <v>50</v>
      </c>
      <c r="C25" s="15">
        <v>2300.8251953125</v>
      </c>
      <c r="D25" s="16">
        <v>34.587499999999999</v>
      </c>
      <c r="E25" s="16">
        <v>38.1599</v>
      </c>
      <c r="F25" s="16">
        <v>40.179200000000002</v>
      </c>
      <c r="G25" s="16">
        <v>4.4624529211216828</v>
      </c>
      <c r="H25" s="16">
        <f t="shared" si="0"/>
        <v>35.733012499999994</v>
      </c>
      <c r="I25" s="5"/>
      <c r="J25" s="15">
        <v>2406.2384000000002</v>
      </c>
      <c r="K25" s="16">
        <v>35.130699999999997</v>
      </c>
      <c r="L25" s="16">
        <v>38.703200000000002</v>
      </c>
      <c r="M25" s="16">
        <v>41.353700000000003</v>
      </c>
      <c r="N25" s="16">
        <v>3.2004999999999999</v>
      </c>
      <c r="O25" s="16">
        <f t="shared" si="1"/>
        <v>36.355137499999998</v>
      </c>
      <c r="P25" s="7"/>
      <c r="Q25" s="8">
        <f>bdrate(C25:C28,D25:D28,J25:J28,K25:K28)</f>
        <v>-0.16534707308928975</v>
      </c>
      <c r="R25" s="8">
        <f>bdrate(C25:C28,E25:E28,J25:J28,L25:L28)</f>
        <v>-0.44446820478372573</v>
      </c>
      <c r="S25" s="8">
        <f>bdrate(C25:C28,F25:F28,J25:J28,M25:M28)</f>
        <v>-0.41910900764242165</v>
      </c>
      <c r="T25" s="25">
        <f>bdrate(C25:C28,H25:H28,J25:J28,O25:O28)</f>
        <v>-0.20754800610806001</v>
      </c>
      <c r="U25" s="28">
        <f t="shared" si="2"/>
        <v>-0.28279355400000011</v>
      </c>
    </row>
    <row r="26" spans="1:21" x14ac:dyDescent="0.25">
      <c r="B26" s="9"/>
      <c r="C26" s="17">
        <v>1533.79296875</v>
      </c>
      <c r="D26" s="18">
        <v>33.302900000000001</v>
      </c>
      <c r="E26" s="18">
        <v>37.682899999999997</v>
      </c>
      <c r="F26" s="18">
        <v>39.335999999999999</v>
      </c>
      <c r="G26" s="18">
        <v>5.4677675105254533</v>
      </c>
      <c r="H26" s="18">
        <f t="shared" si="0"/>
        <v>34.604537499999999</v>
      </c>
      <c r="I26" s="5"/>
      <c r="J26" s="17">
        <v>1602.2688000000001</v>
      </c>
      <c r="K26" s="18">
        <v>34.005600000000001</v>
      </c>
      <c r="L26" s="18">
        <v>38.337800000000001</v>
      </c>
      <c r="M26" s="18">
        <v>40.541499999999999</v>
      </c>
      <c r="N26" s="18">
        <v>3.9314</v>
      </c>
      <c r="O26" s="18">
        <f t="shared" si="1"/>
        <v>35.364112499999997</v>
      </c>
      <c r="P26" s="7"/>
      <c r="Q26" s="10"/>
      <c r="R26" s="11"/>
      <c r="S26" s="11"/>
      <c r="T26" s="26"/>
      <c r="U26" s="28">
        <f t="shared" si="2"/>
        <v>-0.2809862540000001</v>
      </c>
    </row>
    <row r="27" spans="1:21" x14ac:dyDescent="0.25">
      <c r="B27" s="9"/>
      <c r="C27" s="17">
        <v>960.15234375</v>
      </c>
      <c r="D27" s="18">
        <v>31.739799999999999</v>
      </c>
      <c r="E27" s="18">
        <v>37.1297</v>
      </c>
      <c r="F27" s="18">
        <v>38.435699999999997</v>
      </c>
      <c r="G27" s="18">
        <v>6.9677671093521374</v>
      </c>
      <c r="H27" s="18">
        <f t="shared" si="0"/>
        <v>33.250524999999996</v>
      </c>
      <c r="I27" s="5"/>
      <c r="J27" s="17">
        <v>996.91840000000002</v>
      </c>
      <c r="K27" s="18">
        <v>32.478700000000003</v>
      </c>
      <c r="L27" s="18">
        <v>37.8855</v>
      </c>
      <c r="M27" s="18">
        <v>39.581200000000003</v>
      </c>
      <c r="N27" s="18">
        <v>4.9896000000000003</v>
      </c>
      <c r="O27" s="18">
        <f t="shared" si="1"/>
        <v>34.042362500000003</v>
      </c>
      <c r="P27" s="7"/>
      <c r="Q27" s="10"/>
      <c r="R27" s="11"/>
      <c r="S27" s="11"/>
      <c r="T27" s="26"/>
      <c r="U27" s="28">
        <f t="shared" si="2"/>
        <v>-0.2839025872</v>
      </c>
    </row>
    <row r="28" spans="1:21" ht="16.5" thickBot="1" x14ac:dyDescent="0.3">
      <c r="B28" s="12"/>
      <c r="C28" s="19">
        <v>576.4541015625</v>
      </c>
      <c r="D28" s="20">
        <v>29.915500000000002</v>
      </c>
      <c r="E28" s="20">
        <v>36.467199999999998</v>
      </c>
      <c r="F28" s="20">
        <v>37.341700000000003</v>
      </c>
      <c r="G28" s="20">
        <v>9.2286679340703959</v>
      </c>
      <c r="H28" s="20">
        <f t="shared" si="0"/>
        <v>31.662737499999999</v>
      </c>
      <c r="I28" s="5"/>
      <c r="J28" s="19">
        <v>590.548</v>
      </c>
      <c r="K28" s="20">
        <v>30.706099999999999</v>
      </c>
      <c r="L28" s="20">
        <v>37.197600000000001</v>
      </c>
      <c r="M28" s="20">
        <v>38.506900000000002</v>
      </c>
      <c r="N28" s="20">
        <v>6.6494</v>
      </c>
      <c r="O28" s="20">
        <f t="shared" si="1"/>
        <v>32.492637500000001</v>
      </c>
      <c r="P28" s="7"/>
      <c r="Q28" s="13"/>
      <c r="R28" s="14"/>
      <c r="S28" s="14"/>
      <c r="T28" s="27"/>
      <c r="U28" s="28">
        <f t="shared" si="2"/>
        <v>-0.27948431479999997</v>
      </c>
    </row>
    <row r="29" spans="1:21" x14ac:dyDescent="0.25">
      <c r="B29" s="6" t="s">
        <v>51</v>
      </c>
      <c r="C29" s="29">
        <v>2291.212890625</v>
      </c>
      <c r="D29" s="30">
        <v>35.055399999999999</v>
      </c>
      <c r="E29" s="30">
        <v>41.005000000000003</v>
      </c>
      <c r="F29" s="30">
        <v>40.771500000000003</v>
      </c>
      <c r="G29" s="16">
        <v>3.8970250111065212</v>
      </c>
      <c r="H29" s="16">
        <f t="shared" si="0"/>
        <v>36.513612500000001</v>
      </c>
      <c r="I29" s="5"/>
      <c r="J29" s="29">
        <v>2439.0464000000002</v>
      </c>
      <c r="K29" s="30">
        <v>34.902200000000001</v>
      </c>
      <c r="L29" s="30">
        <v>41.376800000000003</v>
      </c>
      <c r="M29" s="30">
        <v>41.165300000000002</v>
      </c>
      <c r="N29" s="16">
        <v>2.6783999999999999</v>
      </c>
      <c r="O29" s="16">
        <f t="shared" si="1"/>
        <v>36.494412500000003</v>
      </c>
      <c r="P29" s="7"/>
      <c r="Q29" s="8">
        <f>bdrate(C29:C32,D29:D32,J29:J32,K29:K32)</f>
        <v>0.10561650058993699</v>
      </c>
      <c r="R29" s="8">
        <f>bdrate(C29:C32,E29:E32,J29:J32,L29:L32)</f>
        <v>-0.17239060044223486</v>
      </c>
      <c r="S29" s="8">
        <f>bdrate(C29:C32,F29:F32,J29:J32,M29:M32)</f>
        <v>-0.13213423746716646</v>
      </c>
      <c r="T29" s="25">
        <f>bdrate(C29:C32,H29:H32,J29:J32,O29:O32)</f>
        <v>5.8248251295124343E-2</v>
      </c>
      <c r="U29" s="28">
        <f t="shared" si="2"/>
        <v>-0.31270648960000003</v>
      </c>
    </row>
    <row r="30" spans="1:21" x14ac:dyDescent="0.25">
      <c r="B30" s="9"/>
      <c r="C30" s="31">
        <v>1526.27734375</v>
      </c>
      <c r="D30" s="32">
        <v>33.748399999999997</v>
      </c>
      <c r="E30" s="32">
        <v>40.275599999999997</v>
      </c>
      <c r="F30" s="32">
        <v>39.755299999999998</v>
      </c>
      <c r="G30" s="18">
        <v>4.850460308683294</v>
      </c>
      <c r="H30" s="18">
        <f t="shared" si="0"/>
        <v>35.315162499999992</v>
      </c>
      <c r="I30" s="5"/>
      <c r="J30" s="31">
        <v>1630.0216</v>
      </c>
      <c r="K30" s="32">
        <v>33.610199999999999</v>
      </c>
      <c r="L30" s="32">
        <v>40.720500000000001</v>
      </c>
      <c r="M30" s="32">
        <v>40.252299999999998</v>
      </c>
      <c r="N30" s="18">
        <v>3.2254999999999998</v>
      </c>
      <c r="O30" s="18">
        <f t="shared" si="1"/>
        <v>35.329250000000002</v>
      </c>
      <c r="P30" s="7"/>
      <c r="Q30" s="10"/>
      <c r="R30" s="11"/>
      <c r="S30" s="11"/>
      <c r="T30" s="26"/>
      <c r="U30" s="28">
        <f t="shared" si="2"/>
        <v>-0.33501156700000001</v>
      </c>
    </row>
    <row r="31" spans="1:21" x14ac:dyDescent="0.25">
      <c r="B31" s="9"/>
      <c r="C31" s="31">
        <v>955.7216796875</v>
      </c>
      <c r="D31" s="32">
        <v>32.0989</v>
      </c>
      <c r="E31" s="32">
        <v>39.539099999999998</v>
      </c>
      <c r="F31" s="32">
        <v>38.625799999999998</v>
      </c>
      <c r="G31" s="18">
        <v>6.3419583967529167</v>
      </c>
      <c r="H31" s="18">
        <f t="shared" si="0"/>
        <v>33.844787499999995</v>
      </c>
      <c r="I31" s="5"/>
      <c r="J31" s="31">
        <v>1015.064</v>
      </c>
      <c r="K31" s="32">
        <v>31.959499999999998</v>
      </c>
      <c r="L31" s="32">
        <v>39.962800000000001</v>
      </c>
      <c r="M31" s="32">
        <v>39.164499999999997</v>
      </c>
      <c r="N31" s="18">
        <v>4.2469999999999999</v>
      </c>
      <c r="O31" s="18">
        <f t="shared" si="1"/>
        <v>33.8605375</v>
      </c>
      <c r="P31" s="7"/>
      <c r="Q31" s="10"/>
      <c r="R31" s="11"/>
      <c r="S31" s="11"/>
      <c r="T31" s="26"/>
      <c r="U31" s="28">
        <f t="shared" si="2"/>
        <v>-0.33033303999999997</v>
      </c>
    </row>
    <row r="32" spans="1:21" ht="16.5" thickBot="1" x14ac:dyDescent="0.3">
      <c r="B32" s="12"/>
      <c r="C32" s="33">
        <v>572.798828125</v>
      </c>
      <c r="D32" s="34">
        <v>30.206900000000001</v>
      </c>
      <c r="E32" s="34">
        <v>38.494100000000003</v>
      </c>
      <c r="F32" s="34">
        <v>37.230699999999999</v>
      </c>
      <c r="G32" s="20">
        <v>8.4796065462562531</v>
      </c>
      <c r="H32" s="20">
        <f t="shared" si="0"/>
        <v>32.120775000000002</v>
      </c>
      <c r="I32" s="5"/>
      <c r="J32" s="33">
        <v>607.68719999999996</v>
      </c>
      <c r="K32" s="34">
        <v>30.121700000000001</v>
      </c>
      <c r="L32" s="34">
        <v>38.987299999999998</v>
      </c>
      <c r="M32" s="34">
        <v>37.718899999999998</v>
      </c>
      <c r="N32" s="20">
        <v>5.569</v>
      </c>
      <c r="O32" s="20">
        <f t="shared" si="1"/>
        <v>32.179549999999999</v>
      </c>
      <c r="P32" s="7"/>
      <c r="Q32" s="13"/>
      <c r="R32" s="14"/>
      <c r="S32" s="14"/>
      <c r="T32" s="27"/>
      <c r="U32" s="28">
        <f t="shared" si="2"/>
        <v>-0.34324782999999998</v>
      </c>
    </row>
    <row r="33" spans="1:21" x14ac:dyDescent="0.25">
      <c r="B33" s="6" t="s">
        <v>52</v>
      </c>
      <c r="C33" s="15">
        <v>2297.48828125</v>
      </c>
      <c r="D33" s="16">
        <v>33.968499999999999</v>
      </c>
      <c r="E33" s="16">
        <v>39.957999999999998</v>
      </c>
      <c r="F33" s="16">
        <v>42.471499999999999</v>
      </c>
      <c r="G33" s="16">
        <v>7.7682975775858729</v>
      </c>
      <c r="H33" s="16">
        <f t="shared" si="0"/>
        <v>35.7800625</v>
      </c>
      <c r="I33" s="5"/>
      <c r="J33" s="15">
        <v>2391.3856000000001</v>
      </c>
      <c r="K33" s="16">
        <v>34.128399999999999</v>
      </c>
      <c r="L33" s="16">
        <v>40.460500000000003</v>
      </c>
      <c r="M33" s="16">
        <v>42.922699999999999</v>
      </c>
      <c r="N33" s="16">
        <v>3.9533999999999998</v>
      </c>
      <c r="O33" s="16">
        <f t="shared" si="1"/>
        <v>36.019199999999998</v>
      </c>
      <c r="P33" s="7"/>
      <c r="Q33" s="8">
        <f>bdrate(C33:C36,D33:D36,J33:J36,K33:K36)</f>
        <v>-6.6376965995539106E-2</v>
      </c>
      <c r="R33" s="8">
        <f>bdrate(C33:C36,E33:E36,J33:J36,L33:L36)</f>
        <v>-0.29300247023071002</v>
      </c>
      <c r="S33" s="8">
        <f>bdrate(C33:C36,F33:F36,J33:J36,M33:M36)</f>
        <v>-0.27290593356425774</v>
      </c>
      <c r="T33" s="25">
        <f>bdrate(C33:C36,H33:H36,J33:J36,O33:O36)</f>
        <v>-0.1038995332951943</v>
      </c>
      <c r="U33" s="28">
        <f t="shared" si="2"/>
        <v>-0.49108540700000008</v>
      </c>
    </row>
    <row r="34" spans="1:21" x14ac:dyDescent="0.25">
      <c r="B34" s="9"/>
      <c r="C34" s="17">
        <v>1534.548828125</v>
      </c>
      <c r="D34" s="18">
        <v>33.2941</v>
      </c>
      <c r="E34" s="18">
        <v>39.467799999999997</v>
      </c>
      <c r="F34" s="18">
        <v>42.067</v>
      </c>
      <c r="G34" s="18">
        <v>9.5790028258058335</v>
      </c>
      <c r="H34" s="18">
        <f t="shared" si="0"/>
        <v>35.162424999999999</v>
      </c>
      <c r="I34" s="5"/>
      <c r="J34" s="17">
        <v>1580.9336000000001</v>
      </c>
      <c r="K34" s="18">
        <v>33.489199999999997</v>
      </c>
      <c r="L34" s="18">
        <v>39.998699999999999</v>
      </c>
      <c r="M34" s="18">
        <v>42.506700000000002</v>
      </c>
      <c r="N34" s="18">
        <v>5.0289999999999999</v>
      </c>
      <c r="O34" s="18">
        <f t="shared" si="1"/>
        <v>35.430075000000002</v>
      </c>
      <c r="P34" s="7"/>
      <c r="Q34" s="10"/>
      <c r="R34" s="11"/>
      <c r="S34" s="11"/>
      <c r="T34" s="26"/>
      <c r="U34" s="28">
        <f t="shared" si="2"/>
        <v>-0.47499754500000002</v>
      </c>
    </row>
    <row r="35" spans="1:21" x14ac:dyDescent="0.25">
      <c r="B35" s="9"/>
      <c r="C35" s="17">
        <v>955.625</v>
      </c>
      <c r="D35" s="18">
        <v>32.279400000000003</v>
      </c>
      <c r="E35" s="18">
        <v>38.863700000000001</v>
      </c>
      <c r="F35" s="18">
        <v>41.516100000000002</v>
      </c>
      <c r="G35" s="18">
        <v>12.054244098442993</v>
      </c>
      <c r="H35" s="18">
        <f t="shared" si="0"/>
        <v>34.257024999999999</v>
      </c>
      <c r="I35" s="5"/>
      <c r="J35" s="17">
        <v>982.48800000000006</v>
      </c>
      <c r="K35" s="18">
        <v>32.506999999999998</v>
      </c>
      <c r="L35" s="18">
        <v>39.296599999999998</v>
      </c>
      <c r="M35" s="18">
        <v>41.8673</v>
      </c>
      <c r="N35" s="18">
        <v>6.7176999999999998</v>
      </c>
      <c r="O35" s="18">
        <f t="shared" si="1"/>
        <v>34.525737499999998</v>
      </c>
      <c r="P35" s="7"/>
      <c r="Q35" s="10"/>
      <c r="R35" s="11"/>
      <c r="S35" s="11"/>
      <c r="T35" s="26"/>
      <c r="U35" s="28">
        <f t="shared" si="2"/>
        <v>-0.44271080416666664</v>
      </c>
    </row>
    <row r="36" spans="1:21" ht="16.5" thickBot="1" x14ac:dyDescent="0.3">
      <c r="B36" s="12"/>
      <c r="C36" s="19">
        <v>572.73046875</v>
      </c>
      <c r="D36" s="20">
        <v>30.8904</v>
      </c>
      <c r="E36" s="20">
        <v>38.317599999999999</v>
      </c>
      <c r="F36" s="20">
        <v>40.997700000000002</v>
      </c>
      <c r="G36" s="20">
        <v>15.284287752190748</v>
      </c>
      <c r="H36" s="20">
        <f t="shared" si="0"/>
        <v>33.082212499999997</v>
      </c>
      <c r="I36" s="5"/>
      <c r="J36" s="19">
        <v>579.53520000000003</v>
      </c>
      <c r="K36" s="20">
        <v>31.086200000000002</v>
      </c>
      <c r="L36" s="20">
        <v>38.722499999999997</v>
      </c>
      <c r="M36" s="20">
        <v>41.380099999999999</v>
      </c>
      <c r="N36" s="20">
        <v>9.1115999999999993</v>
      </c>
      <c r="O36" s="20">
        <f t="shared" si="1"/>
        <v>33.327475</v>
      </c>
      <c r="P36" s="7"/>
      <c r="Q36" s="13"/>
      <c r="R36" s="14"/>
      <c r="S36" s="14"/>
      <c r="T36" s="27"/>
      <c r="U36" s="28">
        <f t="shared" si="2"/>
        <v>-0.40385838400000007</v>
      </c>
    </row>
    <row r="37" spans="1:21" x14ac:dyDescent="0.25">
      <c r="A37" s="6" t="s">
        <v>39</v>
      </c>
      <c r="B37" s="6" t="s">
        <v>53</v>
      </c>
      <c r="C37" s="15">
        <v>1148.5625</v>
      </c>
      <c r="D37" s="16">
        <v>36.118299999999998</v>
      </c>
      <c r="E37" s="16">
        <v>40.017299999999999</v>
      </c>
      <c r="F37" s="16">
        <v>40.011699999999998</v>
      </c>
      <c r="G37" s="16">
        <v>12.545792141315802</v>
      </c>
      <c r="H37" s="16">
        <f t="shared" si="0"/>
        <v>37.092349999999996</v>
      </c>
      <c r="I37" s="5"/>
      <c r="J37" s="15">
        <v>1199.6551999999999</v>
      </c>
      <c r="K37" s="16">
        <v>37.046999999999997</v>
      </c>
      <c r="L37" s="16">
        <v>41.2331</v>
      </c>
      <c r="M37" s="16">
        <v>41.241999999999997</v>
      </c>
      <c r="N37" s="16">
        <v>8.5265000000000004</v>
      </c>
      <c r="O37" s="16">
        <f t="shared" si="1"/>
        <v>38.094637499999997</v>
      </c>
      <c r="P37" s="7"/>
      <c r="Q37" s="8">
        <f>bdrate(C37:C40,D37:D40,J37:J40,K37:K40)</f>
        <v>-0.12048654126207581</v>
      </c>
      <c r="R37" s="8">
        <f>bdrate(C37:C40,E37:E40,J37:J40,L37:L40)</f>
        <v>-0.29556417553743364</v>
      </c>
      <c r="S37" s="8">
        <f>bdrate(C37:C40,F37:F40,J37:J40,M37:M40)</f>
        <v>-0.27151960567737909</v>
      </c>
      <c r="T37" s="25">
        <f>bdrate(C37:C40,H37:H40,J37:J40,O37:O40)</f>
        <v>-0.15537949383932481</v>
      </c>
      <c r="U37" s="28">
        <f t="shared" si="2"/>
        <v>-0.32036973799999996</v>
      </c>
    </row>
    <row r="38" spans="1:21" x14ac:dyDescent="0.25">
      <c r="A38" s="9" t="s">
        <v>40</v>
      </c>
      <c r="B38" s="9"/>
      <c r="C38" s="17">
        <v>767.650390625</v>
      </c>
      <c r="D38" s="18">
        <v>34.4696</v>
      </c>
      <c r="E38" s="18">
        <v>38.7714</v>
      </c>
      <c r="F38" s="18">
        <v>38.596200000000003</v>
      </c>
      <c r="G38" s="18">
        <v>15.582634711877082</v>
      </c>
      <c r="H38" s="18">
        <f t="shared" si="0"/>
        <v>35.523150000000001</v>
      </c>
      <c r="I38" s="5"/>
      <c r="J38" s="17">
        <v>796.66079999999999</v>
      </c>
      <c r="K38" s="18">
        <v>35.192100000000003</v>
      </c>
      <c r="L38" s="18">
        <v>39.888199999999998</v>
      </c>
      <c r="M38" s="18">
        <v>39.709000000000003</v>
      </c>
      <c r="N38" s="18">
        <v>10.178699999999999</v>
      </c>
      <c r="O38" s="18">
        <f t="shared" si="1"/>
        <v>36.343724999999999</v>
      </c>
      <c r="P38" s="7"/>
      <c r="Q38" s="10"/>
      <c r="R38" s="11"/>
      <c r="S38" s="11"/>
      <c r="T38" s="26"/>
      <c r="U38" s="28">
        <f t="shared" si="2"/>
        <v>-0.34679210619999995</v>
      </c>
    </row>
    <row r="39" spans="1:21" x14ac:dyDescent="0.25">
      <c r="B39" s="9"/>
      <c r="C39" s="17">
        <v>480.12890625</v>
      </c>
      <c r="D39" s="18">
        <v>32.5886</v>
      </c>
      <c r="E39" s="18">
        <v>37.465000000000003</v>
      </c>
      <c r="F39" s="18">
        <v>37.055700000000002</v>
      </c>
      <c r="G39" s="18">
        <v>20.475858962283468</v>
      </c>
      <c r="H39" s="18">
        <f t="shared" si="0"/>
        <v>33.7565375</v>
      </c>
      <c r="I39" s="5"/>
      <c r="J39" s="17">
        <v>500.80799999999999</v>
      </c>
      <c r="K39" s="18">
        <v>33.243299999999998</v>
      </c>
      <c r="L39" s="18">
        <v>38.569499999999998</v>
      </c>
      <c r="M39" s="18">
        <v>38.258000000000003</v>
      </c>
      <c r="N39" s="18">
        <v>12.4589</v>
      </c>
      <c r="O39" s="18">
        <f t="shared" si="1"/>
        <v>34.535912499999995</v>
      </c>
      <c r="P39" s="7"/>
      <c r="Q39" s="10"/>
      <c r="R39" s="11"/>
      <c r="S39" s="11"/>
      <c r="T39" s="26"/>
      <c r="U39" s="28">
        <f t="shared" si="2"/>
        <v>-0.39153224180000001</v>
      </c>
    </row>
    <row r="40" spans="1:21" ht="16.5" thickBot="1" x14ac:dyDescent="0.3">
      <c r="B40" s="12"/>
      <c r="C40" s="19">
        <v>288.2529296875</v>
      </c>
      <c r="D40" s="20">
        <v>30.597000000000001</v>
      </c>
      <c r="E40" s="20">
        <v>36.152799999999999</v>
      </c>
      <c r="F40" s="20">
        <v>35.491900000000001</v>
      </c>
      <c r="G40" s="20">
        <v>28.285342535498106</v>
      </c>
      <c r="H40" s="20">
        <f t="shared" si="0"/>
        <v>31.903337499999999</v>
      </c>
      <c r="I40" s="5"/>
      <c r="J40" s="19">
        <v>300.18079999999998</v>
      </c>
      <c r="K40" s="20">
        <v>31.1981</v>
      </c>
      <c r="L40" s="20">
        <v>37.170699999999997</v>
      </c>
      <c r="M40" s="20">
        <v>36.639000000000003</v>
      </c>
      <c r="N40" s="20">
        <v>16.198</v>
      </c>
      <c r="O40" s="20">
        <f t="shared" si="1"/>
        <v>32.624787500000004</v>
      </c>
      <c r="P40" s="7"/>
      <c r="Q40" s="13"/>
      <c r="R40" s="14"/>
      <c r="S40" s="14"/>
      <c r="T40" s="27"/>
      <c r="U40" s="28">
        <f t="shared" si="2"/>
        <v>-0.42733590800000004</v>
      </c>
    </row>
    <row r="41" spans="1:21" x14ac:dyDescent="0.25">
      <c r="B41" s="6" t="s">
        <v>54</v>
      </c>
      <c r="C41" s="15">
        <v>1202.9140625</v>
      </c>
      <c r="D41" s="16">
        <v>36.354199999999999</v>
      </c>
      <c r="E41" s="16">
        <v>41.282299999999999</v>
      </c>
      <c r="F41" s="16">
        <v>42.326300000000003</v>
      </c>
      <c r="G41" s="16">
        <v>16.611755585702817</v>
      </c>
      <c r="H41" s="16">
        <f t="shared" si="0"/>
        <v>37.716725000000004</v>
      </c>
      <c r="I41" s="5"/>
      <c r="J41" s="15">
        <v>1207.1079999999999</v>
      </c>
      <c r="K41" s="16">
        <v>36.375</v>
      </c>
      <c r="L41" s="16">
        <v>41.851900000000001</v>
      </c>
      <c r="M41" s="16">
        <v>42.9026</v>
      </c>
      <c r="N41" s="16">
        <v>10.7614</v>
      </c>
      <c r="O41" s="16">
        <f t="shared" si="1"/>
        <v>37.875562500000001</v>
      </c>
      <c r="P41" s="7"/>
      <c r="Q41" s="8">
        <f>bdrate(C41:C44,D41:D44,J41:J44,K41:K44)</f>
        <v>-4.1924273114338662E-2</v>
      </c>
      <c r="R41" s="8">
        <f>bdrate(C41:C44,E41:E44,J41:J44,L41:L44)</f>
        <v>-0.22362057703437033</v>
      </c>
      <c r="S41" s="8">
        <f>bdrate(C41:C44,F41:F44,J41:J44,M41:M44)</f>
        <v>-0.20479809688610051</v>
      </c>
      <c r="T41" s="25">
        <f>bdrate(C41:C44,H41:H44,J41:J44,O41:O44)</f>
        <v>-7.3485687009153144E-2</v>
      </c>
      <c r="U41" s="28">
        <f t="shared" si="2"/>
        <v>-0.3521816556666667</v>
      </c>
    </row>
    <row r="42" spans="1:21" x14ac:dyDescent="0.25">
      <c r="B42" s="9"/>
      <c r="C42" s="17">
        <v>803.173828125</v>
      </c>
      <c r="D42" s="18">
        <v>34.702800000000003</v>
      </c>
      <c r="E42" s="18">
        <v>40.269100000000002</v>
      </c>
      <c r="F42" s="18">
        <v>41.172600000000003</v>
      </c>
      <c r="G42" s="18">
        <v>20.451291839934555</v>
      </c>
      <c r="H42" s="18">
        <f t="shared" si="0"/>
        <v>36.207312500000008</v>
      </c>
      <c r="I42" s="5"/>
      <c r="J42" s="17">
        <v>806.6096</v>
      </c>
      <c r="K42" s="18">
        <v>34.856999999999999</v>
      </c>
      <c r="L42" s="18">
        <v>40.893500000000003</v>
      </c>
      <c r="M42" s="18">
        <v>41.802500000000002</v>
      </c>
      <c r="N42" s="18">
        <v>12.911300000000001</v>
      </c>
      <c r="O42" s="18">
        <f t="shared" si="1"/>
        <v>36.479750000000003</v>
      </c>
      <c r="P42" s="7"/>
      <c r="Q42" s="10"/>
      <c r="R42" s="11"/>
      <c r="S42" s="11"/>
      <c r="T42" s="26"/>
      <c r="U42" s="28">
        <f t="shared" si="2"/>
        <v>-0.36868046766666662</v>
      </c>
    </row>
    <row r="43" spans="1:21" x14ac:dyDescent="0.25">
      <c r="B43" s="9"/>
      <c r="C43" s="17">
        <v>502.5068359375</v>
      </c>
      <c r="D43" s="18">
        <v>32.747300000000003</v>
      </c>
      <c r="E43" s="18">
        <v>39.2074</v>
      </c>
      <c r="F43" s="18">
        <v>39.951500000000003</v>
      </c>
      <c r="G43" s="18">
        <v>26.066556607872098</v>
      </c>
      <c r="H43" s="18">
        <f t="shared" si="0"/>
        <v>34.455337500000006</v>
      </c>
      <c r="I43" s="5"/>
      <c r="J43" s="17">
        <v>504.24079999999998</v>
      </c>
      <c r="K43" s="18">
        <v>32.980800000000002</v>
      </c>
      <c r="L43" s="18">
        <v>39.802999999999997</v>
      </c>
      <c r="M43" s="18">
        <v>40.557699999999997</v>
      </c>
      <c r="N43" s="18">
        <v>15.9549</v>
      </c>
      <c r="O43" s="18">
        <f t="shared" si="1"/>
        <v>34.780687499999999</v>
      </c>
      <c r="P43" s="7"/>
      <c r="Q43" s="10"/>
      <c r="R43" s="11"/>
      <c r="S43" s="11"/>
      <c r="T43" s="26"/>
      <c r="U43" s="28">
        <f t="shared" si="2"/>
        <v>-0.38791685299999995</v>
      </c>
    </row>
    <row r="44" spans="1:21" ht="16.5" thickBot="1" x14ac:dyDescent="0.3">
      <c r="B44" s="12"/>
      <c r="C44" s="19">
        <v>301.5087890625</v>
      </c>
      <c r="D44" s="20">
        <v>30.570399999999999</v>
      </c>
      <c r="E44" s="20">
        <v>38.0535</v>
      </c>
      <c r="F44" s="20">
        <v>38.634300000000003</v>
      </c>
      <c r="G44" s="20">
        <v>34.930430226465624</v>
      </c>
      <c r="H44" s="20">
        <f t="shared" si="0"/>
        <v>32.513774999999995</v>
      </c>
      <c r="I44" s="5"/>
      <c r="J44" s="19">
        <v>303.5104</v>
      </c>
      <c r="K44" s="20">
        <v>30.8766</v>
      </c>
      <c r="L44" s="20">
        <v>38.599200000000003</v>
      </c>
      <c r="M44" s="20">
        <v>39.274299999999997</v>
      </c>
      <c r="N44" s="20">
        <v>20.062899999999999</v>
      </c>
      <c r="O44" s="20">
        <f t="shared" si="1"/>
        <v>32.891637500000002</v>
      </c>
      <c r="P44" s="7"/>
      <c r="Q44" s="13"/>
      <c r="R44" s="14"/>
      <c r="S44" s="14"/>
      <c r="T44" s="27"/>
      <c r="U44" s="28">
        <f t="shared" si="2"/>
        <v>-0.42563261116666673</v>
      </c>
    </row>
    <row r="45" spans="1:21" x14ac:dyDescent="0.25">
      <c r="B45" s="6" t="s">
        <v>55</v>
      </c>
      <c r="C45" s="15">
        <v>1187.98828125</v>
      </c>
      <c r="D45" s="16">
        <v>30.945699999999999</v>
      </c>
      <c r="E45" s="16">
        <v>36.900300000000001</v>
      </c>
      <c r="F45" s="16">
        <v>37.728400000000001</v>
      </c>
      <c r="G45" s="16">
        <v>16.31960310725243</v>
      </c>
      <c r="H45" s="16">
        <f t="shared" si="0"/>
        <v>32.537862500000003</v>
      </c>
      <c r="I45" s="5"/>
      <c r="J45" s="15">
        <v>1192.3463999999999</v>
      </c>
      <c r="K45" s="16">
        <v>31.282599999999999</v>
      </c>
      <c r="L45" s="16">
        <v>37.741100000000003</v>
      </c>
      <c r="M45" s="16">
        <v>38.576500000000003</v>
      </c>
      <c r="N45" s="16">
        <v>11.161199999999999</v>
      </c>
      <c r="O45" s="16">
        <f t="shared" si="1"/>
        <v>33.001649999999998</v>
      </c>
      <c r="P45" s="7"/>
      <c r="Q45" s="8">
        <f>bdrate(C45:C48,D45:D48,J45:J48,K45:K48)</f>
        <v>-0.13707328707859512</v>
      </c>
      <c r="R45" s="8">
        <f>bdrate(C45:C48,E45:E48,J45:J48,L45:L48)</f>
        <v>-0.34814442083678887</v>
      </c>
      <c r="S45" s="8">
        <f>bdrate(C45:C48,F45:F48,J45:J48,M45:M48)</f>
        <v>-0.34004836862728771</v>
      </c>
      <c r="T45" s="25">
        <f>bdrate(C45:C48,H45:H48,J45:J48,O45:O48)</f>
        <v>-0.17377143195736922</v>
      </c>
      <c r="U45" s="28">
        <f t="shared" si="2"/>
        <v>-0.31608630879999999</v>
      </c>
    </row>
    <row r="46" spans="1:21" x14ac:dyDescent="0.25">
      <c r="B46" s="9"/>
      <c r="C46" s="17">
        <v>786.029296875</v>
      </c>
      <c r="D46" s="18">
        <v>29.402799999999999</v>
      </c>
      <c r="E46" s="18">
        <v>36.070500000000003</v>
      </c>
      <c r="F46" s="18">
        <v>36.875599999999999</v>
      </c>
      <c r="G46" s="18">
        <v>20.297974262168637</v>
      </c>
      <c r="H46" s="18">
        <f t="shared" si="0"/>
        <v>31.1703625</v>
      </c>
      <c r="I46" s="5"/>
      <c r="J46" s="17">
        <v>796.94880000000001</v>
      </c>
      <c r="K46" s="18">
        <v>29.911300000000001</v>
      </c>
      <c r="L46" s="18">
        <v>36.897500000000001</v>
      </c>
      <c r="M46" s="18">
        <v>37.720599999999997</v>
      </c>
      <c r="N46" s="18">
        <v>13.1937</v>
      </c>
      <c r="O46" s="18">
        <f t="shared" si="1"/>
        <v>31.760737500000001</v>
      </c>
      <c r="P46" s="7"/>
      <c r="Q46" s="10"/>
      <c r="R46" s="11"/>
      <c r="S46" s="11"/>
      <c r="T46" s="26"/>
      <c r="U46" s="28">
        <f t="shared" si="2"/>
        <v>-0.34999917580000006</v>
      </c>
    </row>
    <row r="47" spans="1:21" x14ac:dyDescent="0.25">
      <c r="B47" s="9"/>
      <c r="C47" s="17">
        <v>491.021484375</v>
      </c>
      <c r="D47" s="18">
        <v>27.752400000000002</v>
      </c>
      <c r="E47" s="18">
        <v>35.185000000000002</v>
      </c>
      <c r="F47" s="18">
        <v>35.969700000000003</v>
      </c>
      <c r="G47" s="18">
        <v>26.081059934275729</v>
      </c>
      <c r="H47" s="18">
        <f t="shared" si="0"/>
        <v>29.708637500000002</v>
      </c>
      <c r="I47" s="5"/>
      <c r="J47" s="17">
        <v>503.20400000000001</v>
      </c>
      <c r="K47" s="18">
        <v>28.383900000000001</v>
      </c>
      <c r="L47" s="18">
        <v>36.032699999999998</v>
      </c>
      <c r="M47" s="18">
        <v>36.816200000000002</v>
      </c>
      <c r="N47" s="18">
        <v>16.376300000000001</v>
      </c>
      <c r="O47" s="18">
        <f t="shared" si="1"/>
        <v>30.394037500000003</v>
      </c>
      <c r="P47" s="7"/>
      <c r="Q47" s="10"/>
      <c r="R47" s="11"/>
      <c r="S47" s="11"/>
      <c r="T47" s="26"/>
      <c r="U47" s="28">
        <f t="shared" si="2"/>
        <v>-0.37209990539999999</v>
      </c>
    </row>
    <row r="48" spans="1:21" ht="16.5" thickBot="1" x14ac:dyDescent="0.3">
      <c r="B48" s="12"/>
      <c r="C48" s="19">
        <v>297.8837890625</v>
      </c>
      <c r="D48" s="20">
        <v>26.190799999999999</v>
      </c>
      <c r="E48" s="20">
        <v>34.434399999999997</v>
      </c>
      <c r="F48" s="20">
        <v>35.202100000000002</v>
      </c>
      <c r="G48" s="20">
        <v>33.541289327161735</v>
      </c>
      <c r="H48" s="20">
        <f t="shared" si="0"/>
        <v>28.347662500000002</v>
      </c>
      <c r="I48" s="5"/>
      <c r="J48" s="19">
        <v>302.97519999999997</v>
      </c>
      <c r="K48" s="20">
        <v>26.805599999999998</v>
      </c>
      <c r="L48" s="20">
        <v>35.133800000000001</v>
      </c>
      <c r="M48" s="20">
        <v>35.863599999999998</v>
      </c>
      <c r="N48" s="20">
        <v>20.4742</v>
      </c>
      <c r="O48" s="20">
        <f t="shared" si="1"/>
        <v>28.978874999999999</v>
      </c>
      <c r="P48" s="7"/>
      <c r="Q48" s="13"/>
      <c r="R48" s="14"/>
      <c r="S48" s="14"/>
      <c r="T48" s="27"/>
      <c r="U48" s="28">
        <f t="shared" si="2"/>
        <v>-0.38958220119999998</v>
      </c>
    </row>
    <row r="49" spans="1:21" x14ac:dyDescent="0.25">
      <c r="B49" s="6" t="s">
        <v>56</v>
      </c>
      <c r="C49" s="15">
        <v>1143.35546875</v>
      </c>
      <c r="D49" s="16">
        <v>33.916800000000002</v>
      </c>
      <c r="E49" s="16">
        <v>37.897599999999997</v>
      </c>
      <c r="F49" s="16">
        <v>39.648099999999999</v>
      </c>
      <c r="G49" s="16">
        <v>8.3010514665190929</v>
      </c>
      <c r="H49" s="16">
        <f t="shared" si="0"/>
        <v>35.130812500000005</v>
      </c>
      <c r="I49" s="5"/>
      <c r="J49" s="15">
        <v>1192.2991999999999</v>
      </c>
      <c r="K49" s="16">
        <v>33.554699999999997</v>
      </c>
      <c r="L49" s="16">
        <v>38.164499999999997</v>
      </c>
      <c r="M49" s="16">
        <v>39.782600000000002</v>
      </c>
      <c r="N49" s="16">
        <v>6.5209000000000001</v>
      </c>
      <c r="O49" s="16">
        <f t="shared" si="1"/>
        <v>34.909412500000002</v>
      </c>
      <c r="P49" s="7"/>
      <c r="Q49" s="8">
        <f>bdrate(C49:C52,D49:D52,J49:J52,K49:K52)</f>
        <v>0.13431102132857009</v>
      </c>
      <c r="R49" s="8">
        <f>bdrate(C49:C52,E49:E52,J49:J52,L49:L52)</f>
        <v>-0.11178884173384085</v>
      </c>
      <c r="S49" s="8">
        <f>bdrate(C49:C52,F49:F52,J49:J52,M49:M52)</f>
        <v>-7.9230361237842661E-2</v>
      </c>
      <c r="T49" s="25">
        <f>bdrate(C49:C52,H49:H52,J49:J52,O49:O52)</f>
        <v>9.4815947083936702E-2</v>
      </c>
      <c r="U49" s="28">
        <f t="shared" si="2"/>
        <v>-0.21444891333333335</v>
      </c>
    </row>
    <row r="50" spans="1:21" x14ac:dyDescent="0.25">
      <c r="B50" s="9"/>
      <c r="C50" s="17">
        <v>767.8955078125</v>
      </c>
      <c r="D50" s="18">
        <v>32.378999999999998</v>
      </c>
      <c r="E50" s="18">
        <v>36.912500000000001</v>
      </c>
      <c r="F50" s="18">
        <v>38.678699999999999</v>
      </c>
      <c r="G50" s="18">
        <v>10.14576076296121</v>
      </c>
      <c r="H50" s="18">
        <f t="shared" si="0"/>
        <v>33.733150000000002</v>
      </c>
      <c r="I50" s="5"/>
      <c r="J50" s="17">
        <v>794.88800000000003</v>
      </c>
      <c r="K50" s="18">
        <v>31.9983</v>
      </c>
      <c r="L50" s="18">
        <v>37.222299999999997</v>
      </c>
      <c r="M50" s="18">
        <v>38.905000000000001</v>
      </c>
      <c r="N50" s="18">
        <v>7.7911999999999999</v>
      </c>
      <c r="O50" s="18">
        <f t="shared" si="1"/>
        <v>33.514637499999999</v>
      </c>
      <c r="P50" s="7"/>
      <c r="Q50" s="10"/>
      <c r="R50" s="11"/>
      <c r="S50" s="11"/>
      <c r="T50" s="26"/>
      <c r="U50" s="28">
        <f t="shared" si="2"/>
        <v>-0.23207335733333337</v>
      </c>
    </row>
    <row r="51" spans="1:21" x14ac:dyDescent="0.25">
      <c r="B51" s="9"/>
      <c r="C51" s="17">
        <v>487.4072265625</v>
      </c>
      <c r="D51" s="18">
        <v>30.623100000000001</v>
      </c>
      <c r="E51" s="18">
        <v>35.950200000000002</v>
      </c>
      <c r="F51" s="18">
        <v>37.7254</v>
      </c>
      <c r="G51" s="18">
        <v>13.068478829064297</v>
      </c>
      <c r="H51" s="18">
        <f t="shared" si="0"/>
        <v>32.176774999999999</v>
      </c>
      <c r="I51" s="5"/>
      <c r="J51" s="17">
        <v>496.18959999999998</v>
      </c>
      <c r="K51" s="18">
        <v>30.242000000000001</v>
      </c>
      <c r="L51" s="18">
        <v>36.265999999999998</v>
      </c>
      <c r="M51" s="18">
        <v>37.964199999999998</v>
      </c>
      <c r="N51" s="18">
        <v>9.5599000000000007</v>
      </c>
      <c r="O51" s="18">
        <f t="shared" si="1"/>
        <v>31.960274999999999</v>
      </c>
      <c r="P51" s="7"/>
      <c r="Q51" s="10"/>
      <c r="R51" s="11"/>
      <c r="S51" s="11"/>
      <c r="T51" s="26"/>
      <c r="U51" s="28">
        <f t="shared" si="2"/>
        <v>-0.26847645199999998</v>
      </c>
    </row>
    <row r="52" spans="1:21" ht="16.5" thickBot="1" x14ac:dyDescent="0.3">
      <c r="B52" s="12"/>
      <c r="C52" s="19">
        <v>298.8984375</v>
      </c>
      <c r="D52" s="20">
        <v>28.8842</v>
      </c>
      <c r="E52" s="20">
        <v>35.112499999999997</v>
      </c>
      <c r="F52" s="20">
        <v>36.839700000000001</v>
      </c>
      <c r="G52" s="20">
        <v>17.5049597385926</v>
      </c>
      <c r="H52" s="20">
        <f t="shared" si="0"/>
        <v>30.657175000000002</v>
      </c>
      <c r="I52" s="5"/>
      <c r="J52" s="19">
        <v>296.56400000000002</v>
      </c>
      <c r="K52" s="20">
        <v>28.514700000000001</v>
      </c>
      <c r="L52" s="20">
        <v>35.305700000000002</v>
      </c>
      <c r="M52" s="20">
        <v>37.027200000000001</v>
      </c>
      <c r="N52" s="20">
        <v>12.0168</v>
      </c>
      <c r="O52" s="20">
        <f t="shared" si="1"/>
        <v>30.427637499999999</v>
      </c>
      <c r="P52" s="7"/>
      <c r="Q52" s="13"/>
      <c r="R52" s="14"/>
      <c r="S52" s="14"/>
      <c r="T52" s="27"/>
      <c r="U52" s="28">
        <f t="shared" si="2"/>
        <v>-0.31352027199999993</v>
      </c>
    </row>
    <row r="53" spans="1:21" x14ac:dyDescent="0.25">
      <c r="A53" s="6" t="s">
        <v>41</v>
      </c>
      <c r="B53" s="6" t="s">
        <v>57</v>
      </c>
      <c r="C53" s="15">
        <v>579.8828125</v>
      </c>
      <c r="D53" s="16">
        <v>35.902200000000001</v>
      </c>
      <c r="E53" s="16">
        <v>40.8872</v>
      </c>
      <c r="F53" s="16">
        <v>39.416699999999999</v>
      </c>
      <c r="G53" s="16">
        <v>27.928280176506732</v>
      </c>
      <c r="H53" s="16">
        <f t="shared" si="0"/>
        <v>36.964637500000002</v>
      </c>
      <c r="I53" s="5"/>
      <c r="J53" s="15">
        <v>601.95839999999998</v>
      </c>
      <c r="K53" s="16">
        <v>35.846699999999998</v>
      </c>
      <c r="L53" s="16">
        <v>41.375500000000002</v>
      </c>
      <c r="M53" s="16">
        <v>39.778799999999997</v>
      </c>
      <c r="N53" s="16">
        <v>19.4054</v>
      </c>
      <c r="O53" s="16">
        <f t="shared" si="1"/>
        <v>37.029312499999996</v>
      </c>
      <c r="P53" s="7"/>
      <c r="Q53" s="8">
        <f>bdrate(C53:C56,D53:D56,J53:J56,K53:K56)</f>
        <v>5.2878954513912779E-2</v>
      </c>
      <c r="R53" s="8">
        <f>bdrate(C53:C56,E53:E56,J53:J56,L53:L56)</f>
        <v>-0.15851848375730726</v>
      </c>
      <c r="S53" s="8">
        <f>bdrate(C53:C56,F53:F56,J53:J56,M53:M56)</f>
        <v>-0.10971115670729892</v>
      </c>
      <c r="T53" s="25">
        <f>bdrate(C53:C56,H53:H56,J53:J56,O53:O56)</f>
        <v>1.7962684689219355E-2</v>
      </c>
      <c r="U53" s="28">
        <f t="shared" si="2"/>
        <v>-0.3051702476</v>
      </c>
    </row>
    <row r="54" spans="1:21" x14ac:dyDescent="0.25">
      <c r="A54" s="9" t="s">
        <v>42</v>
      </c>
      <c r="B54" s="9"/>
      <c r="C54" s="17">
        <v>392.2607421875</v>
      </c>
      <c r="D54" s="18">
        <v>34.022399999999998</v>
      </c>
      <c r="E54" s="18">
        <v>39.652700000000003</v>
      </c>
      <c r="F54" s="18">
        <v>38.051699999999997</v>
      </c>
      <c r="G54" s="18">
        <v>33.59989248034406</v>
      </c>
      <c r="H54" s="18">
        <f t="shared" si="0"/>
        <v>35.229849999999999</v>
      </c>
      <c r="I54" s="5"/>
      <c r="J54" s="17">
        <v>400.55840000000001</v>
      </c>
      <c r="K54" s="18">
        <v>33.797800000000002</v>
      </c>
      <c r="L54" s="18">
        <v>40.136099999999999</v>
      </c>
      <c r="M54" s="18">
        <v>38.390900000000002</v>
      </c>
      <c r="N54" s="18">
        <v>22.694299999999998</v>
      </c>
      <c r="O54" s="18">
        <f t="shared" si="1"/>
        <v>35.164225000000002</v>
      </c>
      <c r="P54" s="7"/>
      <c r="Q54" s="10"/>
      <c r="R54" s="11"/>
      <c r="S54" s="11"/>
      <c r="T54" s="26"/>
      <c r="U54" s="28">
        <f t="shared" si="2"/>
        <v>-0.32457224340000002</v>
      </c>
    </row>
    <row r="55" spans="1:21" x14ac:dyDescent="0.25">
      <c r="B55" s="9"/>
      <c r="C55" s="17">
        <v>246.9892578125</v>
      </c>
      <c r="D55" s="18">
        <v>31.874600000000001</v>
      </c>
      <c r="E55" s="18">
        <v>38.395200000000003</v>
      </c>
      <c r="F55" s="18">
        <v>36.616399999999999</v>
      </c>
      <c r="G55" s="18">
        <v>42.929509744998711</v>
      </c>
      <c r="H55" s="18">
        <f t="shared" si="0"/>
        <v>33.282400000000003</v>
      </c>
      <c r="I55" s="5"/>
      <c r="J55" s="17">
        <v>248.26079999999999</v>
      </c>
      <c r="K55" s="18">
        <v>31.650200000000002</v>
      </c>
      <c r="L55" s="18">
        <v>38.866799999999998</v>
      </c>
      <c r="M55" s="18">
        <v>37.002099999999999</v>
      </c>
      <c r="N55" s="18">
        <v>27.1843</v>
      </c>
      <c r="O55" s="18">
        <f t="shared" si="1"/>
        <v>33.221262500000002</v>
      </c>
      <c r="P55" s="7"/>
      <c r="Q55" s="10"/>
      <c r="R55" s="11"/>
      <c r="S55" s="11"/>
      <c r="T55" s="26"/>
      <c r="U55" s="28">
        <f t="shared" si="2"/>
        <v>-0.36676891579999998</v>
      </c>
    </row>
    <row r="56" spans="1:21" ht="16.5" thickBot="1" x14ac:dyDescent="0.3">
      <c r="B56" s="12"/>
      <c r="C56" s="19">
        <v>119.44921875</v>
      </c>
      <c r="D56" s="20">
        <v>28.668199999999999</v>
      </c>
      <c r="E56" s="20">
        <v>36.583199999999998</v>
      </c>
      <c r="F56" s="20">
        <v>34.445799999999998</v>
      </c>
      <c r="G56" s="20">
        <v>65.513626834381554</v>
      </c>
      <c r="H56" s="20">
        <f t="shared" si="0"/>
        <v>30.379774999999999</v>
      </c>
      <c r="I56" s="5"/>
      <c r="J56" s="19">
        <v>120.2016</v>
      </c>
      <c r="K56" s="20">
        <v>28.639600000000002</v>
      </c>
      <c r="L56" s="20">
        <v>37.183500000000002</v>
      </c>
      <c r="M56" s="20">
        <v>34.995399999999997</v>
      </c>
      <c r="N56" s="20">
        <v>37.467199999999998</v>
      </c>
      <c r="O56" s="20">
        <f t="shared" si="1"/>
        <v>30.502062500000001</v>
      </c>
      <c r="P56" s="7"/>
      <c r="Q56" s="13"/>
      <c r="R56" s="14"/>
      <c r="S56" s="14"/>
      <c r="T56" s="27"/>
      <c r="U56" s="28">
        <f t="shared" si="2"/>
        <v>-0.42810065920000007</v>
      </c>
    </row>
    <row r="57" spans="1:21" x14ac:dyDescent="0.25">
      <c r="B57" s="6" t="s">
        <v>58</v>
      </c>
      <c r="C57" s="15">
        <v>575.984375</v>
      </c>
      <c r="D57" s="16">
        <v>34.2866</v>
      </c>
      <c r="E57" s="16">
        <v>41.39</v>
      </c>
      <c r="F57" s="16">
        <v>42.3596</v>
      </c>
      <c r="G57" s="16">
        <v>51.661787497847421</v>
      </c>
      <c r="H57" s="16">
        <f t="shared" si="0"/>
        <v>36.18365</v>
      </c>
      <c r="I57" s="5"/>
      <c r="J57" s="15">
        <v>558.91279999999995</v>
      </c>
      <c r="K57" s="16">
        <v>34.410499999999999</v>
      </c>
      <c r="L57" s="16">
        <v>41.912100000000002</v>
      </c>
      <c r="M57" s="16">
        <v>42.827500000000001</v>
      </c>
      <c r="N57" s="16">
        <v>27.134599999999999</v>
      </c>
      <c r="O57" s="16">
        <f t="shared" si="1"/>
        <v>36.400325000000002</v>
      </c>
      <c r="P57" s="7"/>
      <c r="Q57" s="8">
        <f>bdrate(C57:C60,D57:D60,J57:J60,K57:K60)</f>
        <v>-4.8420713254210268E-2</v>
      </c>
      <c r="R57" s="8">
        <f>bdrate(C57:C60,E57:E60,J57:J60,L57:L60)</f>
        <v>-0.16545551539010273</v>
      </c>
      <c r="S57" s="8">
        <f>bdrate(C57:C60,F57:F60,J57:J60,M57:M60)</f>
        <v>-0.19178727336560786</v>
      </c>
      <c r="T57" s="25">
        <f>bdrate(C57:C60,H57:H60,J57:J60,O57:O60)</f>
        <v>-6.9105202472975025E-2</v>
      </c>
      <c r="U57" s="28">
        <f t="shared" si="2"/>
        <v>-0.47476459266666665</v>
      </c>
    </row>
    <row r="58" spans="1:21" x14ac:dyDescent="0.25">
      <c r="B58" s="9"/>
      <c r="C58" s="17">
        <v>383.537109375</v>
      </c>
      <c r="D58" s="18">
        <v>32.929900000000004</v>
      </c>
      <c r="E58" s="18">
        <v>40.654800000000002</v>
      </c>
      <c r="F58" s="18">
        <v>41.591500000000003</v>
      </c>
      <c r="G58" s="18">
        <v>62.860136196961761</v>
      </c>
      <c r="H58" s="18">
        <f t="shared" si="0"/>
        <v>34.978212500000005</v>
      </c>
      <c r="I58" s="5"/>
      <c r="J58" s="17">
        <v>369.85199999999998</v>
      </c>
      <c r="K58" s="18">
        <v>32.955500000000001</v>
      </c>
      <c r="L58" s="18">
        <v>41.030200000000001</v>
      </c>
      <c r="M58" s="18">
        <v>41.9572</v>
      </c>
      <c r="N58" s="18">
        <v>35.058999999999997</v>
      </c>
      <c r="O58" s="18">
        <f t="shared" si="1"/>
        <v>35.090050000000005</v>
      </c>
      <c r="P58" s="7"/>
      <c r="Q58" s="10"/>
      <c r="R58" s="11"/>
      <c r="S58" s="11"/>
      <c r="T58" s="26"/>
      <c r="U58" s="28">
        <f t="shared" si="2"/>
        <v>-0.44226974166666672</v>
      </c>
    </row>
    <row r="59" spans="1:21" x14ac:dyDescent="0.25">
      <c r="B59" s="9"/>
      <c r="C59" s="17">
        <v>240.48828125</v>
      </c>
      <c r="D59" s="18">
        <v>31.317399999999999</v>
      </c>
      <c r="E59" s="18">
        <v>39.8797</v>
      </c>
      <c r="F59" s="18">
        <v>40.705800000000004</v>
      </c>
      <c r="G59" s="18">
        <v>78.32898172323759</v>
      </c>
      <c r="H59" s="18">
        <f t="shared" si="0"/>
        <v>33.561237500000004</v>
      </c>
      <c r="I59" s="5"/>
      <c r="J59" s="17">
        <v>231.67679999999999</v>
      </c>
      <c r="K59" s="18">
        <v>31.3401</v>
      </c>
      <c r="L59" s="18">
        <v>40.131999999999998</v>
      </c>
      <c r="M59" s="18">
        <v>41.024900000000002</v>
      </c>
      <c r="N59" s="18">
        <v>47.502200000000002</v>
      </c>
      <c r="O59" s="18">
        <f t="shared" si="1"/>
        <v>33.649687499999999</v>
      </c>
      <c r="P59" s="7"/>
      <c r="Q59" s="10"/>
      <c r="R59" s="11"/>
      <c r="S59" s="11"/>
      <c r="T59" s="26"/>
      <c r="U59" s="28">
        <f t="shared" si="2"/>
        <v>-0.39355524666666658</v>
      </c>
    </row>
    <row r="60" spans="1:21" ht="16.5" thickBot="1" x14ac:dyDescent="0.3">
      <c r="B60" s="12"/>
      <c r="C60" s="19">
        <v>115.4150390625</v>
      </c>
      <c r="D60" s="20">
        <v>28.491099999999999</v>
      </c>
      <c r="E60" s="20">
        <v>38.824599999999997</v>
      </c>
      <c r="F60" s="20">
        <v>39.4818</v>
      </c>
      <c r="G60" s="20">
        <v>120.28869286287087</v>
      </c>
      <c r="H60" s="20">
        <f t="shared" si="0"/>
        <v>31.156624999999998</v>
      </c>
      <c r="I60" s="5"/>
      <c r="J60" s="19">
        <v>119.044</v>
      </c>
      <c r="K60" s="20">
        <v>28.8873</v>
      </c>
      <c r="L60" s="20">
        <v>38.918300000000002</v>
      </c>
      <c r="M60" s="20">
        <v>39.831400000000002</v>
      </c>
      <c r="N60" s="20">
        <v>75.700199999999995</v>
      </c>
      <c r="O60" s="20">
        <f t="shared" si="1"/>
        <v>31.509187499999999</v>
      </c>
      <c r="P60" s="7"/>
      <c r="Q60" s="13"/>
      <c r="R60" s="14"/>
      <c r="S60" s="14"/>
      <c r="T60" s="27"/>
      <c r="U60" s="28">
        <f t="shared" si="2"/>
        <v>-0.37067900399999998</v>
      </c>
    </row>
    <row r="61" spans="1:21" x14ac:dyDescent="0.25">
      <c r="B61" s="6" t="s">
        <v>59</v>
      </c>
      <c r="C61" s="29">
        <v>592.5615234375</v>
      </c>
      <c r="D61" s="30">
        <v>34.059100000000001</v>
      </c>
      <c r="E61" s="30">
        <v>38.566600000000001</v>
      </c>
      <c r="F61" s="30">
        <v>39.316800000000001</v>
      </c>
      <c r="G61" s="16">
        <v>38.340618050762977</v>
      </c>
      <c r="H61" s="16">
        <f t="shared" si="0"/>
        <v>35.27975</v>
      </c>
      <c r="I61" s="5"/>
      <c r="J61" s="29">
        <v>559.97040000000004</v>
      </c>
      <c r="K61" s="30">
        <v>33.752400000000002</v>
      </c>
      <c r="L61" s="30">
        <v>38.893900000000002</v>
      </c>
      <c r="M61" s="30">
        <v>39.723700000000001</v>
      </c>
      <c r="N61" s="16">
        <v>22.223199999999999</v>
      </c>
      <c r="O61" s="16">
        <f t="shared" si="1"/>
        <v>35.141500000000001</v>
      </c>
      <c r="P61" s="7"/>
      <c r="Q61" s="8">
        <f>bdrate(C61:C64,D61:D64,J61:J64,K61:K64)</f>
        <v>-2.6995208609974619E-2</v>
      </c>
      <c r="R61" s="8">
        <f>bdrate(C61:C64,E61:E64,J61:J64,L61:L64)</f>
        <v>-0.18177237818466019</v>
      </c>
      <c r="S61" s="8">
        <f>bdrate(C61:C64,F61:F64,J61:J64,M61:M64)</f>
        <v>-0.20451057488197699</v>
      </c>
      <c r="T61" s="25">
        <f>bdrate(C61:C64,H61:H64,J61:J64,O61:O64)</f>
        <v>-5.7333474371858428E-2</v>
      </c>
      <c r="U61" s="28">
        <f t="shared" si="2"/>
        <v>-0.42037449760000001</v>
      </c>
    </row>
    <row r="62" spans="1:21" x14ac:dyDescent="0.25">
      <c r="B62" s="9"/>
      <c r="C62" s="31">
        <v>397.0830078125</v>
      </c>
      <c r="D62" s="32">
        <v>32.377800000000001</v>
      </c>
      <c r="E62" s="32">
        <v>37.486400000000003</v>
      </c>
      <c r="F62" s="32">
        <v>38.213299999999997</v>
      </c>
      <c r="G62" s="18">
        <v>45.7205559619605</v>
      </c>
      <c r="H62" s="18">
        <f t="shared" si="0"/>
        <v>33.7458125</v>
      </c>
      <c r="I62" s="5"/>
      <c r="J62" s="31">
        <v>376.9248</v>
      </c>
      <c r="K62" s="32">
        <v>32.176000000000002</v>
      </c>
      <c r="L62" s="32">
        <v>37.725099999999998</v>
      </c>
      <c r="M62" s="32">
        <v>38.495800000000003</v>
      </c>
      <c r="N62" s="18">
        <v>26.625499999999999</v>
      </c>
      <c r="O62" s="18">
        <f t="shared" si="1"/>
        <v>33.659612500000001</v>
      </c>
      <c r="P62" s="7"/>
      <c r="Q62" s="10"/>
      <c r="R62" s="11"/>
      <c r="S62" s="11"/>
      <c r="T62" s="26"/>
      <c r="U62" s="28">
        <f t="shared" si="2"/>
        <v>-0.41764706400000007</v>
      </c>
    </row>
    <row r="63" spans="1:21" x14ac:dyDescent="0.25">
      <c r="B63" s="9"/>
      <c r="C63" s="31">
        <v>250.6220703125</v>
      </c>
      <c r="D63" s="32">
        <v>30.523399999999999</v>
      </c>
      <c r="E63" s="32">
        <v>36.296799999999998</v>
      </c>
      <c r="F63" s="32">
        <v>37.032800000000002</v>
      </c>
      <c r="G63" s="18">
        <v>56.110425317023903</v>
      </c>
      <c r="H63" s="18">
        <f t="shared" si="0"/>
        <v>32.058749999999996</v>
      </c>
      <c r="I63" s="5"/>
      <c r="J63" s="31">
        <v>237.3184</v>
      </c>
      <c r="K63" s="32">
        <v>30.408000000000001</v>
      </c>
      <c r="L63" s="32">
        <v>36.6892</v>
      </c>
      <c r="M63" s="32">
        <v>37.502600000000001</v>
      </c>
      <c r="N63" s="18">
        <v>33.679099999999998</v>
      </c>
      <c r="O63" s="18">
        <f t="shared" si="1"/>
        <v>32.079975000000005</v>
      </c>
      <c r="P63" s="7"/>
      <c r="Q63" s="10"/>
      <c r="R63" s="11"/>
      <c r="S63" s="11"/>
      <c r="T63" s="26"/>
      <c r="U63" s="28">
        <f t="shared" si="2"/>
        <v>-0.39977107980000004</v>
      </c>
    </row>
    <row r="64" spans="1:21" ht="16.5" thickBot="1" x14ac:dyDescent="0.3">
      <c r="B64" s="12"/>
      <c r="C64" s="33">
        <v>120.162109375</v>
      </c>
      <c r="D64" s="34">
        <v>27.749400000000001</v>
      </c>
      <c r="E64" s="34">
        <v>34.733600000000003</v>
      </c>
      <c r="F64" s="34">
        <v>35.450000000000003</v>
      </c>
      <c r="G64" s="20">
        <v>79.013906447534765</v>
      </c>
      <c r="H64" s="20">
        <f t="shared" si="0"/>
        <v>29.585000000000001</v>
      </c>
      <c r="I64" s="5"/>
      <c r="J64" s="33">
        <v>114.78400000000001</v>
      </c>
      <c r="K64" s="34">
        <v>27.959</v>
      </c>
      <c r="L64" s="34">
        <v>35.194800000000001</v>
      </c>
      <c r="M64" s="34">
        <v>36.005099999999999</v>
      </c>
      <c r="N64" s="20">
        <v>47.537599999999998</v>
      </c>
      <c r="O64" s="20">
        <f t="shared" si="1"/>
        <v>29.869237500000001</v>
      </c>
      <c r="P64" s="7"/>
      <c r="Q64" s="13"/>
      <c r="R64" s="14"/>
      <c r="S64" s="14"/>
      <c r="T64" s="27"/>
      <c r="U64" s="28">
        <f t="shared" si="2"/>
        <v>-0.39836413440000001</v>
      </c>
    </row>
    <row r="65" spans="1:21" x14ac:dyDescent="0.25">
      <c r="B65" s="6" t="s">
        <v>60</v>
      </c>
      <c r="C65" s="15">
        <v>577.271484375</v>
      </c>
      <c r="D65" s="16">
        <v>35.731900000000003</v>
      </c>
      <c r="E65" s="16">
        <v>39.017299999999999</v>
      </c>
      <c r="F65" s="16">
        <v>40.244100000000003</v>
      </c>
      <c r="G65" s="16">
        <v>20.193861066235865</v>
      </c>
      <c r="H65" s="16">
        <f t="shared" si="0"/>
        <v>36.706600000000009</v>
      </c>
      <c r="I65" s="5"/>
      <c r="J65" s="15">
        <v>577.94960000000003</v>
      </c>
      <c r="K65" s="16">
        <v>35.258099999999999</v>
      </c>
      <c r="L65" s="16">
        <v>39.160800000000002</v>
      </c>
      <c r="M65" s="16">
        <v>40.3414</v>
      </c>
      <c r="N65" s="16">
        <v>12.4131</v>
      </c>
      <c r="O65" s="16">
        <f t="shared" si="1"/>
        <v>36.381349999999998</v>
      </c>
      <c r="P65" s="7"/>
      <c r="Q65" s="8">
        <f>bdrate(C65:C68,D65:D68,J65:J68,K65:K68)</f>
        <v>9.1454411190926121E-2</v>
      </c>
      <c r="R65" s="8">
        <f>bdrate(C65:C68,E65:E68,J65:J68,L65:L68)</f>
        <v>-8.1697104604051773E-2</v>
      </c>
      <c r="S65" s="8">
        <f>bdrate(C65:C68,F65:F68,J65:J68,M65:M68)</f>
        <v>-7.3640933544492526E-2</v>
      </c>
      <c r="T65" s="25">
        <f>bdrate(C65:C68,H65:H68,J65:J68,O65:O68)</f>
        <v>6.0550392846990597E-2</v>
      </c>
      <c r="U65" s="28">
        <f t="shared" si="2"/>
        <v>-0.38530328800000002</v>
      </c>
    </row>
    <row r="66" spans="1:21" x14ac:dyDescent="0.25">
      <c r="B66" s="9"/>
      <c r="C66" s="17">
        <v>388.015625</v>
      </c>
      <c r="D66" s="18">
        <v>33.733899999999998</v>
      </c>
      <c r="E66" s="18">
        <v>37.802999999999997</v>
      </c>
      <c r="F66" s="18">
        <v>39.0319</v>
      </c>
      <c r="G66" s="18">
        <v>24.216984178237002</v>
      </c>
      <c r="H66" s="18">
        <f t="shared" si="0"/>
        <v>34.904787499999998</v>
      </c>
      <c r="I66" s="5"/>
      <c r="J66" s="17">
        <v>387.10079999999999</v>
      </c>
      <c r="K66" s="18">
        <v>33.258000000000003</v>
      </c>
      <c r="L66" s="18">
        <v>37.965899999999998</v>
      </c>
      <c r="M66" s="18">
        <v>39.155500000000004</v>
      </c>
      <c r="N66" s="18">
        <v>15.023999999999999</v>
      </c>
      <c r="O66" s="18">
        <f t="shared" si="1"/>
        <v>34.583674999999999</v>
      </c>
      <c r="P66" s="7"/>
      <c r="Q66" s="10"/>
      <c r="R66" s="11"/>
      <c r="S66" s="11"/>
      <c r="T66" s="26"/>
      <c r="U66" s="28">
        <f t="shared" si="2"/>
        <v>-0.37960896</v>
      </c>
    </row>
    <row r="67" spans="1:21" x14ac:dyDescent="0.25">
      <c r="B67" s="9"/>
      <c r="C67" s="17">
        <v>242.68359375</v>
      </c>
      <c r="D67" s="18">
        <v>31.563700000000001</v>
      </c>
      <c r="E67" s="18">
        <v>36.479500000000002</v>
      </c>
      <c r="F67" s="18">
        <v>37.673299999999998</v>
      </c>
      <c r="G67" s="18">
        <v>30.41362530413625</v>
      </c>
      <c r="H67" s="18">
        <f t="shared" si="0"/>
        <v>32.941875000000003</v>
      </c>
      <c r="I67" s="5"/>
      <c r="J67" s="17">
        <v>237.46080000000001</v>
      </c>
      <c r="K67" s="18">
        <v>31.0989</v>
      </c>
      <c r="L67" s="18">
        <v>36.636099999999999</v>
      </c>
      <c r="M67" s="18">
        <v>37.819499999999998</v>
      </c>
      <c r="N67" s="18">
        <v>18.1675</v>
      </c>
      <c r="O67" s="18">
        <f t="shared" si="1"/>
        <v>32.631124999999997</v>
      </c>
      <c r="P67" s="7"/>
      <c r="Q67" s="10"/>
      <c r="R67" s="11"/>
      <c r="S67" s="11"/>
      <c r="T67" s="26"/>
      <c r="U67" s="28">
        <f t="shared" si="2"/>
        <v>-0.40265259999999992</v>
      </c>
    </row>
    <row r="68" spans="1:21" ht="16.5" thickBot="1" x14ac:dyDescent="0.3">
      <c r="B68" s="12"/>
      <c r="C68" s="19">
        <v>120.1640625</v>
      </c>
      <c r="D68" s="20">
        <v>28.751100000000001</v>
      </c>
      <c r="E68" s="20">
        <v>34.808999999999997</v>
      </c>
      <c r="F68" s="20">
        <v>35.932899999999997</v>
      </c>
      <c r="G68" s="20">
        <v>45.153521974714025</v>
      </c>
      <c r="H68" s="20">
        <f t="shared" si="0"/>
        <v>30.406062499999997</v>
      </c>
      <c r="I68" s="5"/>
      <c r="J68" s="19">
        <v>114.7808</v>
      </c>
      <c r="K68" s="20">
        <v>28.376200000000001</v>
      </c>
      <c r="L68" s="20">
        <v>35.116100000000003</v>
      </c>
      <c r="M68" s="20">
        <v>36.242899999999999</v>
      </c>
      <c r="N68" s="20">
        <v>25.718</v>
      </c>
      <c r="O68" s="20">
        <f t="shared" si="1"/>
        <v>30.202025000000003</v>
      </c>
      <c r="P68" s="7"/>
      <c r="Q68" s="13"/>
      <c r="R68" s="14"/>
      <c r="S68" s="14"/>
      <c r="T68" s="27"/>
      <c r="U68" s="28">
        <f t="shared" si="2"/>
        <v>-0.43043202666666663</v>
      </c>
    </row>
    <row r="69" spans="1:21" x14ac:dyDescent="0.25">
      <c r="A69" s="6" t="s">
        <v>43</v>
      </c>
      <c r="B69" s="6" t="s">
        <v>61</v>
      </c>
      <c r="C69" s="15">
        <v>1411.28125</v>
      </c>
      <c r="D69" s="16">
        <v>41.926600000000001</v>
      </c>
      <c r="E69" s="16">
        <v>46.1907</v>
      </c>
      <c r="F69" s="16">
        <v>47.527799999999999</v>
      </c>
      <c r="G69" s="16">
        <v>12.558869701726845</v>
      </c>
      <c r="H69" s="16">
        <f t="shared" si="0"/>
        <v>43.159762499999999</v>
      </c>
      <c r="I69" s="5"/>
      <c r="J69" s="15">
        <v>1506.3664000000001</v>
      </c>
      <c r="K69" s="16">
        <v>42.103700000000003</v>
      </c>
      <c r="L69" s="16">
        <v>46.612900000000003</v>
      </c>
      <c r="M69" s="16">
        <v>47.8842</v>
      </c>
      <c r="N69" s="16">
        <v>7.2286999999999999</v>
      </c>
      <c r="O69" s="16">
        <f t="shared" si="1"/>
        <v>43.389912500000008</v>
      </c>
      <c r="P69" s="7"/>
      <c r="Q69" s="8">
        <f>bdrate(C69:C72,D69:D72,J69:J72,K69:K72)</f>
        <v>-3.8964018006281131E-3</v>
      </c>
      <c r="R69" s="8">
        <f>bdrate(C69:C72,E69:E72,J69:J72,L69:L72)</f>
        <v>-0.13442291056086886</v>
      </c>
      <c r="S69" s="8">
        <f>bdrate(C69:C72,F69:F72,J69:J72,M69:M72)</f>
        <v>-8.6823534084127685E-2</v>
      </c>
      <c r="T69" s="25">
        <f>bdrate(C69:C72,H69:H72,J69:J72,O69:O72)</f>
        <v>-2.5263933467360111E-2</v>
      </c>
      <c r="U69" s="28">
        <f t="shared" si="2"/>
        <v>-0.42441476250000004</v>
      </c>
    </row>
    <row r="70" spans="1:21" x14ac:dyDescent="0.25">
      <c r="A70" s="9" t="s">
        <v>44</v>
      </c>
      <c r="B70" s="9"/>
      <c r="C70" s="17">
        <v>935.4755859375</v>
      </c>
      <c r="D70" s="18">
        <v>40.917900000000003</v>
      </c>
      <c r="E70" s="18">
        <v>45.278399999999998</v>
      </c>
      <c r="F70" s="18">
        <v>46.611899999999999</v>
      </c>
      <c r="G70" s="18">
        <v>15.403573629081947</v>
      </c>
      <c r="H70" s="18">
        <f t="shared" si="0"/>
        <v>42.174712499999998</v>
      </c>
      <c r="I70" s="5"/>
      <c r="J70" s="17">
        <v>992.00879999999995</v>
      </c>
      <c r="K70" s="18">
        <v>41.131799999999998</v>
      </c>
      <c r="L70" s="18">
        <v>45.856400000000001</v>
      </c>
      <c r="M70" s="18">
        <v>47.067599999999999</v>
      </c>
      <c r="N70" s="18">
        <v>9.0780999999999992</v>
      </c>
      <c r="O70" s="18">
        <f t="shared" si="1"/>
        <v>42.464349999999996</v>
      </c>
      <c r="P70" s="7"/>
      <c r="Q70" s="10"/>
      <c r="R70" s="11"/>
      <c r="S70" s="11"/>
      <c r="T70" s="26"/>
      <c r="U70" s="28">
        <f t="shared" si="2"/>
        <v>-0.41064974800000004</v>
      </c>
    </row>
    <row r="71" spans="1:21" x14ac:dyDescent="0.25">
      <c r="B71" s="9"/>
      <c r="C71" s="17">
        <v>559.8603515625</v>
      </c>
      <c r="D71" s="18">
        <v>39.1312</v>
      </c>
      <c r="E71" s="18">
        <v>43.929299999999998</v>
      </c>
      <c r="F71" s="18">
        <v>45.241500000000002</v>
      </c>
      <c r="G71" s="18">
        <v>19.712849492394124</v>
      </c>
      <c r="H71" s="18">
        <f t="shared" si="0"/>
        <v>40.494749999999996</v>
      </c>
      <c r="I71" s="5"/>
      <c r="J71" s="17">
        <v>591.70960000000002</v>
      </c>
      <c r="K71" s="18">
        <v>39.343600000000002</v>
      </c>
      <c r="L71" s="18">
        <v>44.394100000000002</v>
      </c>
      <c r="M71" s="18">
        <v>45.578699999999998</v>
      </c>
      <c r="N71" s="18">
        <v>11.792199999999999</v>
      </c>
      <c r="O71" s="18">
        <f t="shared" si="1"/>
        <v>40.754300000000001</v>
      </c>
      <c r="P71" s="7"/>
      <c r="Q71" s="10"/>
      <c r="R71" s="11"/>
      <c r="S71" s="11"/>
      <c r="T71" s="26"/>
      <c r="U71" s="28">
        <f t="shared" si="2"/>
        <v>-0.40180134766666664</v>
      </c>
    </row>
    <row r="72" spans="1:21" ht="16.5" thickBot="1" x14ac:dyDescent="0.3">
      <c r="B72" s="12"/>
      <c r="C72" s="19">
        <v>280.140625</v>
      </c>
      <c r="D72" s="20">
        <v>36.171599999999998</v>
      </c>
      <c r="E72" s="20">
        <v>42.124600000000001</v>
      </c>
      <c r="F72" s="20">
        <v>43.324100000000001</v>
      </c>
      <c r="G72" s="20">
        <v>27.829313543599259</v>
      </c>
      <c r="H72" s="20">
        <f t="shared" si="0"/>
        <v>37.809787499999999</v>
      </c>
      <c r="I72" s="5"/>
      <c r="J72" s="19">
        <v>289.28399999999999</v>
      </c>
      <c r="K72" s="20">
        <v>36.302599999999998</v>
      </c>
      <c r="L72" s="20">
        <v>42.597999999999999</v>
      </c>
      <c r="M72" s="20">
        <v>43.675199999999997</v>
      </c>
      <c r="N72" s="20">
        <v>17.247800000000002</v>
      </c>
      <c r="O72" s="20">
        <f t="shared" si="1"/>
        <v>38.011099999999999</v>
      </c>
      <c r="P72" s="7"/>
      <c r="Q72" s="13"/>
      <c r="R72" s="14"/>
      <c r="S72" s="14"/>
      <c r="T72" s="27"/>
      <c r="U72" s="28">
        <f t="shared" si="2"/>
        <v>-0.38022905333333329</v>
      </c>
    </row>
    <row r="73" spans="1:21" x14ac:dyDescent="0.25">
      <c r="B73" s="6" t="s">
        <v>62</v>
      </c>
      <c r="C73" s="15">
        <v>1427.796875</v>
      </c>
      <c r="D73" s="16">
        <v>42.885599999999997</v>
      </c>
      <c r="E73" s="16">
        <v>48.055500000000002</v>
      </c>
      <c r="F73" s="16">
        <v>48.787999999999997</v>
      </c>
      <c r="G73" s="16">
        <v>14.155951397900202</v>
      </c>
      <c r="H73" s="16">
        <f t="shared" si="0"/>
        <v>44.269637499999995</v>
      </c>
      <c r="I73" s="5"/>
      <c r="J73" s="15">
        <v>1506.16</v>
      </c>
      <c r="K73" s="16">
        <v>43.050400000000003</v>
      </c>
      <c r="L73" s="16">
        <v>48.503300000000003</v>
      </c>
      <c r="M73" s="16">
        <v>49.2288</v>
      </c>
      <c r="N73" s="16">
        <v>7.9275000000000002</v>
      </c>
      <c r="O73" s="16">
        <f t="shared" si="1"/>
        <v>44.504312500000005</v>
      </c>
      <c r="P73" s="7"/>
      <c r="Q73" s="8">
        <f>bdrate(C73:C76,D73:D76,J73:J76,K73:K76)</f>
        <v>-7.9769853441629013E-2</v>
      </c>
      <c r="R73" s="8">
        <f>bdrate(C73:C76,E73:E76,J73:J76,L73:L76)</f>
        <v>-0.23467624239631957</v>
      </c>
      <c r="S73" s="8">
        <f>bdrate(C73:C76,F73:F76,J73:J76,M73:M76)</f>
        <v>-0.17889677726197839</v>
      </c>
      <c r="T73" s="25">
        <f>bdrate(C73:C76,H73:H76,J73:J76,O73:O76)</f>
        <v>-0.11361003094541877</v>
      </c>
      <c r="U73" s="28">
        <f t="shared" ref="U73:U124" si="3">(N73-G73)/G73</f>
        <v>-0.43998818750000002</v>
      </c>
    </row>
    <row r="74" spans="1:21" x14ac:dyDescent="0.25">
      <c r="B74" s="9"/>
      <c r="C74" s="17">
        <v>939.1962890625</v>
      </c>
      <c r="D74" s="18">
        <v>42.425800000000002</v>
      </c>
      <c r="E74" s="18">
        <v>47.619399999999999</v>
      </c>
      <c r="F74" s="18">
        <v>48.348599999999998</v>
      </c>
      <c r="G74" s="18">
        <v>17.32952083874881</v>
      </c>
      <c r="H74" s="18">
        <f t="shared" si="0"/>
        <v>43.815349999999995</v>
      </c>
      <c r="I74" s="5"/>
      <c r="J74" s="17">
        <v>986.70240000000001</v>
      </c>
      <c r="K74" s="18">
        <v>42.624099999999999</v>
      </c>
      <c r="L74" s="18">
        <v>48.116300000000003</v>
      </c>
      <c r="M74" s="18">
        <v>48.802799999999998</v>
      </c>
      <c r="N74" s="18">
        <v>9.7942999999999998</v>
      </c>
      <c r="O74" s="18">
        <f t="shared" si="1"/>
        <v>44.082962500000001</v>
      </c>
      <c r="P74" s="7"/>
      <c r="Q74" s="10"/>
      <c r="R74" s="11"/>
      <c r="S74" s="11"/>
      <c r="T74" s="26"/>
      <c r="U74" s="28">
        <f t="shared" si="3"/>
        <v>-0.43481991850000007</v>
      </c>
    </row>
    <row r="75" spans="1:21" x14ac:dyDescent="0.25">
      <c r="B75" s="9"/>
      <c r="C75" s="17">
        <v>568.7490234375</v>
      </c>
      <c r="D75" s="18">
        <v>41.699399999999997</v>
      </c>
      <c r="E75" s="18">
        <v>46.845399999999998</v>
      </c>
      <c r="F75" s="18">
        <v>47.622300000000003</v>
      </c>
      <c r="G75" s="18">
        <v>21.888224135415147</v>
      </c>
      <c r="H75" s="18">
        <f t="shared" si="0"/>
        <v>43.083012499999995</v>
      </c>
      <c r="I75" s="5"/>
      <c r="J75" s="17">
        <v>569.08960000000002</v>
      </c>
      <c r="K75" s="18">
        <v>41.857500000000002</v>
      </c>
      <c r="L75" s="18">
        <v>47.365000000000002</v>
      </c>
      <c r="M75" s="18">
        <v>48.026600000000002</v>
      </c>
      <c r="N75" s="18">
        <v>12.924099999999999</v>
      </c>
      <c r="O75" s="18">
        <f t="shared" si="1"/>
        <v>43.317075000000003</v>
      </c>
      <c r="P75" s="7"/>
      <c r="Q75" s="10"/>
      <c r="R75" s="11"/>
      <c r="S75" s="11"/>
      <c r="T75" s="26"/>
      <c r="U75" s="28">
        <f t="shared" si="3"/>
        <v>-0.40954095133333335</v>
      </c>
    </row>
    <row r="76" spans="1:21" ht="16.5" thickBot="1" x14ac:dyDescent="0.3">
      <c r="B76" s="12"/>
      <c r="C76" s="19">
        <v>286.0625</v>
      </c>
      <c r="D76" s="20">
        <v>40.145299999999999</v>
      </c>
      <c r="E76" s="20">
        <v>45.431199999999997</v>
      </c>
      <c r="F76" s="20">
        <v>46.239699999999999</v>
      </c>
      <c r="G76" s="20">
        <v>30.001500075003751</v>
      </c>
      <c r="H76" s="20">
        <f t="shared" si="0"/>
        <v>41.567837499999996</v>
      </c>
      <c r="I76" s="5"/>
      <c r="J76" s="19">
        <v>272.8648</v>
      </c>
      <c r="K76" s="20">
        <v>40.081699999999998</v>
      </c>
      <c r="L76" s="20">
        <v>45.579599999999999</v>
      </c>
      <c r="M76" s="20">
        <v>46.103900000000003</v>
      </c>
      <c r="N76" s="20">
        <v>19.2148</v>
      </c>
      <c r="O76" s="20">
        <f t="shared" si="1"/>
        <v>41.5217125</v>
      </c>
      <c r="P76" s="7"/>
      <c r="Q76" s="13"/>
      <c r="R76" s="14"/>
      <c r="S76" s="14"/>
      <c r="T76" s="27"/>
      <c r="U76" s="28">
        <f t="shared" si="3"/>
        <v>-0.35953869133333333</v>
      </c>
    </row>
    <row r="77" spans="1:21" x14ac:dyDescent="0.25">
      <c r="B77" s="6" t="s">
        <v>63</v>
      </c>
      <c r="C77" s="15">
        <v>1440.275390625</v>
      </c>
      <c r="D77" s="16">
        <v>42.846400000000003</v>
      </c>
      <c r="E77" s="16">
        <v>47.222099999999998</v>
      </c>
      <c r="F77" s="16">
        <v>48.116</v>
      </c>
      <c r="G77" s="16">
        <v>11.746280344557556</v>
      </c>
      <c r="H77" s="16">
        <f t="shared" si="0"/>
        <v>44.052062499999998</v>
      </c>
      <c r="I77" s="5"/>
      <c r="J77" s="15">
        <v>1540.184</v>
      </c>
      <c r="K77" s="16">
        <v>42.9985</v>
      </c>
      <c r="L77" s="16">
        <v>47.682899999999997</v>
      </c>
      <c r="M77" s="16">
        <v>48.6128</v>
      </c>
      <c r="N77" s="16">
        <v>7.2050999999999998</v>
      </c>
      <c r="O77" s="16">
        <f t="shared" si="1"/>
        <v>44.2858375</v>
      </c>
      <c r="P77" s="7"/>
      <c r="Q77" s="8">
        <f>bdrate(C77:C80,D77:D80,J77:J80,K77:K80)</f>
        <v>-1.6960991085741228E-2</v>
      </c>
      <c r="R77" s="8">
        <f>bdrate(C77:C80,E77:E80,J77:J80,L77:L80)</f>
        <v>-0.18276976735421679</v>
      </c>
      <c r="S77" s="8">
        <f>bdrate(C77:C80,F77:F80,J77:J80,M77:M80)</f>
        <v>-0.15410307055785799</v>
      </c>
      <c r="T77" s="25">
        <f>bdrate(C77:C80,H77:H80,J77:J80,O77:O80)</f>
        <v>-5.1942655383901526E-2</v>
      </c>
      <c r="U77" s="28">
        <f t="shared" si="3"/>
        <v>-0.38660581999999999</v>
      </c>
    </row>
    <row r="78" spans="1:21" x14ac:dyDescent="0.25">
      <c r="B78" s="9"/>
      <c r="C78" s="17">
        <v>963.015625</v>
      </c>
      <c r="D78" s="18">
        <v>42.138199999999998</v>
      </c>
      <c r="E78" s="18">
        <v>46.534100000000002</v>
      </c>
      <c r="F78" s="18">
        <v>47.4741</v>
      </c>
      <c r="G78" s="18">
        <v>14.349604190084422</v>
      </c>
      <c r="H78" s="18">
        <f t="shared" si="0"/>
        <v>43.354675</v>
      </c>
      <c r="I78" s="5"/>
      <c r="J78" s="17">
        <v>1019.7248</v>
      </c>
      <c r="K78" s="18">
        <v>42.301200000000001</v>
      </c>
      <c r="L78" s="18">
        <v>47.048000000000002</v>
      </c>
      <c r="M78" s="18">
        <v>47.953200000000002</v>
      </c>
      <c r="N78" s="18">
        <v>8.8567</v>
      </c>
      <c r="O78" s="18">
        <f t="shared" si="1"/>
        <v>43.601050000000001</v>
      </c>
      <c r="P78" s="7"/>
      <c r="Q78" s="10"/>
      <c r="R78" s="11"/>
      <c r="S78" s="11"/>
      <c r="T78" s="26"/>
      <c r="U78" s="28">
        <f t="shared" si="3"/>
        <v>-0.38279133816666661</v>
      </c>
    </row>
    <row r="79" spans="1:21" x14ac:dyDescent="0.25">
      <c r="B79" s="9"/>
      <c r="C79" s="17">
        <v>581.5439453125</v>
      </c>
      <c r="D79" s="18">
        <v>40.9315</v>
      </c>
      <c r="E79" s="18">
        <v>45.414499999999997</v>
      </c>
      <c r="F79" s="18">
        <v>46.367600000000003</v>
      </c>
      <c r="G79" s="18">
        <v>18.382352941176471</v>
      </c>
      <c r="H79" s="18">
        <f t="shared" si="0"/>
        <v>42.171387499999994</v>
      </c>
      <c r="I79" s="5"/>
      <c r="J79" s="17">
        <v>598.7056</v>
      </c>
      <c r="K79" s="18">
        <v>41.042400000000001</v>
      </c>
      <c r="L79" s="18">
        <v>45.933</v>
      </c>
      <c r="M79" s="18">
        <v>46.796999999999997</v>
      </c>
      <c r="N79" s="18">
        <v>11.748100000000001</v>
      </c>
      <c r="O79" s="18">
        <f t="shared" si="1"/>
        <v>42.373050000000006</v>
      </c>
      <c r="P79" s="7"/>
      <c r="Q79" s="10"/>
      <c r="R79" s="11"/>
      <c r="S79" s="11"/>
      <c r="T79" s="26"/>
      <c r="U79" s="28">
        <f t="shared" si="3"/>
        <v>-0.36090335999999995</v>
      </c>
    </row>
    <row r="80" spans="1:21" ht="16.5" thickBot="1" x14ac:dyDescent="0.3">
      <c r="B80" s="12"/>
      <c r="C80" s="19">
        <v>294.17578125</v>
      </c>
      <c r="D80" s="20">
        <v>38.532800000000002</v>
      </c>
      <c r="E80" s="20">
        <v>43.56</v>
      </c>
      <c r="F80" s="20">
        <v>44.6479</v>
      </c>
      <c r="G80" s="20">
        <v>25.816445075513101</v>
      </c>
      <c r="H80" s="20">
        <f t="shared" si="0"/>
        <v>39.925587499999999</v>
      </c>
      <c r="I80" s="5"/>
      <c r="J80" s="19">
        <v>291.68</v>
      </c>
      <c r="K80" s="20">
        <v>38.589799999999997</v>
      </c>
      <c r="L80" s="20">
        <v>44.127000000000002</v>
      </c>
      <c r="M80" s="20">
        <v>45.025799999999997</v>
      </c>
      <c r="N80" s="20">
        <v>17.684000000000001</v>
      </c>
      <c r="O80" s="20">
        <f t="shared" si="1"/>
        <v>40.086449999999999</v>
      </c>
      <c r="P80" s="7"/>
      <c r="Q80" s="13"/>
      <c r="R80" s="14"/>
      <c r="S80" s="14"/>
      <c r="T80" s="27"/>
      <c r="U80" s="28">
        <f t="shared" si="3"/>
        <v>-0.31501025999999993</v>
      </c>
    </row>
    <row r="81" spans="1:21" x14ac:dyDescent="0.25">
      <c r="A81" s="6" t="s">
        <v>99</v>
      </c>
      <c r="B81" s="6" t="s">
        <v>100</v>
      </c>
      <c r="C81" s="15">
        <v>1474.4560546875</v>
      </c>
      <c r="D81" s="16">
        <v>37.854300000000002</v>
      </c>
      <c r="E81" s="16">
        <v>43.393000000000001</v>
      </c>
      <c r="F81" s="16">
        <v>44.0473</v>
      </c>
      <c r="G81" s="16">
        <v>4.5793370137634515</v>
      </c>
      <c r="H81" s="16">
        <f t="shared" ref="H81:H124" si="4">(6*D81+E81+F81)/8</f>
        <v>39.320762500000008</v>
      </c>
      <c r="I81" s="5"/>
      <c r="J81" s="15">
        <v>1517.3683000000001</v>
      </c>
      <c r="K81" s="16">
        <v>37.904000000000003</v>
      </c>
      <c r="L81" s="16">
        <v>43.850999999999999</v>
      </c>
      <c r="M81" s="16">
        <v>44.519799999999996</v>
      </c>
      <c r="N81" s="16">
        <v>3.3308</v>
      </c>
      <c r="O81" s="16">
        <f t="shared" ref="O81:O124" si="5">(6*K81+L81+M81)/8</f>
        <v>39.474350000000001</v>
      </c>
      <c r="P81" s="7"/>
      <c r="Q81" s="8">
        <f>bdrate(C81:C84,D81:D84,J81:J84,K81:K84)</f>
        <v>-7.6794755687723537E-3</v>
      </c>
      <c r="R81" s="8">
        <f>bdrate(C81:C84,E81:E84,J81:J84,L81:L84)</f>
        <v>-0.1829327264399444</v>
      </c>
      <c r="S81" s="8">
        <f>bdrate(C81:C84,F81:F84,J81:J84,M81:M84)</f>
        <v>-0.19396816040908338</v>
      </c>
      <c r="T81" s="25">
        <f>bdrate(C81:C84,H81:H84,J81:J84,O81:O84)</f>
        <v>-4.1472562369462285E-2</v>
      </c>
      <c r="U81" s="28">
        <f t="shared" si="3"/>
        <v>-0.27264580222222218</v>
      </c>
    </row>
    <row r="82" spans="1:21" x14ac:dyDescent="0.25">
      <c r="A82" s="9" t="s">
        <v>77</v>
      </c>
      <c r="B82" s="9"/>
      <c r="C82" s="17">
        <v>983.8623046875</v>
      </c>
      <c r="D82" s="18">
        <v>35.912100000000002</v>
      </c>
      <c r="E82" s="18">
        <v>42.03</v>
      </c>
      <c r="F82" s="18">
        <v>42.703600000000002</v>
      </c>
      <c r="G82" s="18">
        <v>5.5406436996724864</v>
      </c>
      <c r="H82" s="18">
        <f t="shared" si="4"/>
        <v>37.525775000000003</v>
      </c>
      <c r="I82" s="5"/>
      <c r="J82" s="17">
        <v>1011.5608</v>
      </c>
      <c r="K82" s="18">
        <v>36.048299999999998</v>
      </c>
      <c r="L82" s="18">
        <v>42.621400000000001</v>
      </c>
      <c r="M82" s="18">
        <v>43.333199999999998</v>
      </c>
      <c r="N82" s="18">
        <v>3.9409000000000001</v>
      </c>
      <c r="O82" s="18">
        <f t="shared" si="5"/>
        <v>37.780549999999998</v>
      </c>
      <c r="P82" s="7"/>
      <c r="Q82" s="10"/>
      <c r="R82" s="11"/>
      <c r="S82" s="11"/>
      <c r="T82" s="26"/>
      <c r="U82" s="28">
        <f t="shared" si="3"/>
        <v>-0.28872885288888889</v>
      </c>
    </row>
    <row r="83" spans="1:21" x14ac:dyDescent="0.25">
      <c r="B83" s="9"/>
      <c r="C83" s="17">
        <v>591.130859375</v>
      </c>
      <c r="D83" s="18">
        <v>33.484900000000003</v>
      </c>
      <c r="E83" s="18">
        <v>40.485999999999997</v>
      </c>
      <c r="F83" s="18">
        <v>41.152000000000001</v>
      </c>
      <c r="G83" s="18">
        <v>7.1879816946066173</v>
      </c>
      <c r="H83" s="18">
        <f t="shared" si="4"/>
        <v>35.318424999999998</v>
      </c>
      <c r="I83" s="5"/>
      <c r="J83" s="17">
        <v>608.4221</v>
      </c>
      <c r="K83" s="18">
        <v>33.662500000000001</v>
      </c>
      <c r="L83" s="18">
        <v>41.193800000000003</v>
      </c>
      <c r="M83" s="18">
        <v>41.905700000000003</v>
      </c>
      <c r="N83" s="18">
        <v>4.9371</v>
      </c>
      <c r="O83" s="18">
        <f t="shared" si="5"/>
        <v>35.634312500000007</v>
      </c>
      <c r="P83" s="7"/>
      <c r="Q83" s="10"/>
      <c r="R83" s="11"/>
      <c r="S83" s="11"/>
      <c r="T83" s="26"/>
      <c r="U83" s="28">
        <f t="shared" si="3"/>
        <v>-0.31314516233333328</v>
      </c>
    </row>
    <row r="84" spans="1:21" ht="16.5" thickBot="1" x14ac:dyDescent="0.3">
      <c r="B84" s="12"/>
      <c r="C84" s="19">
        <v>295.576171875</v>
      </c>
      <c r="D84" s="20">
        <v>30.206199999999999</v>
      </c>
      <c r="E84" s="20">
        <v>38.509599999999999</v>
      </c>
      <c r="F84" s="20">
        <v>39.201799999999999</v>
      </c>
      <c r="G84" s="20">
        <v>10.610705022400378</v>
      </c>
      <c r="H84" s="20">
        <f t="shared" si="4"/>
        <v>32.368575</v>
      </c>
      <c r="I84" s="5"/>
      <c r="J84" s="19">
        <v>303.72050000000002</v>
      </c>
      <c r="K84" s="20">
        <v>30.477</v>
      </c>
      <c r="L84" s="20">
        <v>39.384999999999998</v>
      </c>
      <c r="M84" s="20">
        <v>40.071899999999999</v>
      </c>
      <c r="N84" s="20">
        <v>7.1288999999999998</v>
      </c>
      <c r="O84" s="20">
        <f t="shared" si="5"/>
        <v>32.789862499999998</v>
      </c>
      <c r="P84" s="7"/>
      <c r="Q84" s="13"/>
      <c r="R84" s="14"/>
      <c r="S84" s="14"/>
      <c r="T84" s="27"/>
      <c r="U84" s="28">
        <f t="shared" si="3"/>
        <v>-0.32814078000000008</v>
      </c>
    </row>
    <row r="85" spans="1:21" x14ac:dyDescent="0.25">
      <c r="B85" s="6" t="s">
        <v>101</v>
      </c>
      <c r="C85" s="15">
        <v>1440.3330078125</v>
      </c>
      <c r="D85" s="16">
        <v>54.366999999999997</v>
      </c>
      <c r="E85" s="16">
        <v>54.964100000000002</v>
      </c>
      <c r="F85" s="16">
        <v>55.459099999999999</v>
      </c>
      <c r="G85" s="16">
        <v>17.813316443670335</v>
      </c>
      <c r="H85" s="16">
        <f t="shared" si="4"/>
        <v>54.578150000000001</v>
      </c>
      <c r="I85" s="5"/>
      <c r="J85" s="15">
        <v>1448.1675</v>
      </c>
      <c r="K85" s="16">
        <v>54.060400000000001</v>
      </c>
      <c r="L85" s="16">
        <v>54.885300000000001</v>
      </c>
      <c r="M85" s="16">
        <v>55.531500000000001</v>
      </c>
      <c r="N85" s="16">
        <v>11.306100000000001</v>
      </c>
      <c r="O85" s="16">
        <f t="shared" si="5"/>
        <v>54.3474</v>
      </c>
      <c r="P85" s="7"/>
      <c r="Q85" s="8">
        <f>bdrate(C85:C88,D85:D88,J85:J88,K85:K88)</f>
        <v>-7.2416306795631602E-2</v>
      </c>
      <c r="R85" s="8">
        <f>bdrate(C85:C88,E85:E88,J85:J88,L85:L88)</f>
        <v>-0.11734243023637092</v>
      </c>
      <c r="S85" s="8">
        <f>bdrate(C85:C88,F85:F88,J85:J88,M85:M88)</f>
        <v>-0.11482311471515494</v>
      </c>
      <c r="T85" s="25">
        <f>bdrate(C85:C88,H85:H88,J85:J88,O85:O88)</f>
        <v>-8.2520863939011924E-2</v>
      </c>
      <c r="U85" s="28">
        <f t="shared" si="3"/>
        <v>-0.3653006706666666</v>
      </c>
    </row>
    <row r="86" spans="1:21" x14ac:dyDescent="0.25">
      <c r="B86" s="9"/>
      <c r="C86" s="17">
        <v>961.939453125</v>
      </c>
      <c r="D86" s="18">
        <v>51.673299999999998</v>
      </c>
      <c r="E86" s="18">
        <v>52.587600000000002</v>
      </c>
      <c r="F86" s="18">
        <v>53.158200000000001</v>
      </c>
      <c r="G86" s="18">
        <v>20.525919675234338</v>
      </c>
      <c r="H86" s="18">
        <f t="shared" si="4"/>
        <v>51.973200000000006</v>
      </c>
      <c r="I86" s="5"/>
      <c r="J86" s="17">
        <v>988.97249999999997</v>
      </c>
      <c r="K86" s="18">
        <v>51.937100000000001</v>
      </c>
      <c r="L86" s="18">
        <v>53.092300000000002</v>
      </c>
      <c r="M86" s="18">
        <v>53.674199999999999</v>
      </c>
      <c r="N86" s="18">
        <v>12.463800000000001</v>
      </c>
      <c r="O86" s="18">
        <f t="shared" si="5"/>
        <v>52.298637500000005</v>
      </c>
      <c r="P86" s="7"/>
      <c r="Q86" s="10"/>
      <c r="R86" s="11"/>
      <c r="S86" s="11"/>
      <c r="T86" s="26"/>
      <c r="U86" s="28">
        <f t="shared" si="3"/>
        <v>-0.39277751266666661</v>
      </c>
    </row>
    <row r="87" spans="1:21" x14ac:dyDescent="0.25">
      <c r="B87" s="9"/>
      <c r="C87" s="17">
        <v>579.822265625</v>
      </c>
      <c r="D87" s="18">
        <v>48.2012</v>
      </c>
      <c r="E87" s="18">
        <v>49.508699999999997</v>
      </c>
      <c r="F87" s="18">
        <v>50.069499999999998</v>
      </c>
      <c r="G87" s="18">
        <v>24.645380360370229</v>
      </c>
      <c r="H87" s="18">
        <f t="shared" si="4"/>
        <v>48.598174999999998</v>
      </c>
      <c r="I87" s="5"/>
      <c r="J87" s="17">
        <v>603.91250000000002</v>
      </c>
      <c r="K87" s="18">
        <v>49.305199999999999</v>
      </c>
      <c r="L87" s="18">
        <v>50.7547</v>
      </c>
      <c r="M87" s="18">
        <v>51.273499999999999</v>
      </c>
      <c r="N87" s="18">
        <v>14.5382</v>
      </c>
      <c r="O87" s="18">
        <f t="shared" si="5"/>
        <v>49.732424999999999</v>
      </c>
      <c r="P87" s="7"/>
      <c r="Q87" s="10"/>
      <c r="R87" s="11"/>
      <c r="S87" s="11"/>
      <c r="T87" s="26"/>
      <c r="U87" s="28">
        <f t="shared" si="3"/>
        <v>-0.41010445822222225</v>
      </c>
    </row>
    <row r="88" spans="1:21" ht="16.5" thickBot="1" x14ac:dyDescent="0.3">
      <c r="B88" s="12"/>
      <c r="C88" s="19">
        <v>290.8310546875</v>
      </c>
      <c r="D88" s="20">
        <v>43.865299999999998</v>
      </c>
      <c r="E88" s="20">
        <v>45.557200000000002</v>
      </c>
      <c r="F88" s="20">
        <v>46.086399999999998</v>
      </c>
      <c r="G88" s="20">
        <v>31.743792325056432</v>
      </c>
      <c r="H88" s="20">
        <f t="shared" si="4"/>
        <v>44.354425000000006</v>
      </c>
      <c r="I88" s="5"/>
      <c r="J88" s="19">
        <v>311.17329999999998</v>
      </c>
      <c r="K88" s="20">
        <v>44.718299999999999</v>
      </c>
      <c r="L88" s="20">
        <v>46.7774</v>
      </c>
      <c r="M88" s="20">
        <v>47.262900000000002</v>
      </c>
      <c r="N88" s="20">
        <v>19.2637</v>
      </c>
      <c r="O88" s="20">
        <f t="shared" si="5"/>
        <v>45.2937625</v>
      </c>
      <c r="P88" s="7"/>
      <c r="Q88" s="13"/>
      <c r="R88" s="14"/>
      <c r="S88" s="14"/>
      <c r="T88" s="27"/>
      <c r="U88" s="28">
        <f t="shared" si="3"/>
        <v>-0.39315064177777775</v>
      </c>
    </row>
    <row r="89" spans="1:21" x14ac:dyDescent="0.25">
      <c r="B89" s="6" t="s">
        <v>102</v>
      </c>
      <c r="C89" s="15">
        <v>1454.94921875</v>
      </c>
      <c r="D89" s="16">
        <v>45.563200000000002</v>
      </c>
      <c r="E89" s="16">
        <v>47.733499999999999</v>
      </c>
      <c r="F89" s="16">
        <v>48.235300000000002</v>
      </c>
      <c r="G89" s="16">
        <v>8.5893434878460777</v>
      </c>
      <c r="H89" s="16">
        <f t="shared" si="4"/>
        <v>46.168500000000002</v>
      </c>
      <c r="I89" s="5"/>
      <c r="J89" s="15">
        <v>1486.2147</v>
      </c>
      <c r="K89" s="16">
        <v>45.858499999999999</v>
      </c>
      <c r="L89" s="16">
        <v>48.300600000000003</v>
      </c>
      <c r="M89" s="16">
        <v>48.805999999999997</v>
      </c>
      <c r="N89" s="16">
        <v>5.9261999999999997</v>
      </c>
      <c r="O89" s="16">
        <f t="shared" si="5"/>
        <v>46.532199999999996</v>
      </c>
      <c r="P89" s="7"/>
      <c r="Q89" s="8">
        <f>bdrate(C89:C92,D89:D92,J89:J92,K89:K92)</f>
        <v>-5.8720613968978763E-2</v>
      </c>
      <c r="R89" s="8">
        <f>bdrate(C89:C92,E89:E92,J89:J92,L89:L92)</f>
        <v>-0.17062466272499432</v>
      </c>
      <c r="S89" s="8">
        <f>bdrate(C89:C92,F89:F92,J89:J92,M89:M92)</f>
        <v>-0.16154040918668311</v>
      </c>
      <c r="T89" s="25">
        <f>bdrate(C89:C92,H89:H92,J89:J92,O89:O92)</f>
        <v>-8.0988756091407987E-2</v>
      </c>
      <c r="U89" s="28">
        <f t="shared" si="3"/>
        <v>-0.31005204199999992</v>
      </c>
    </row>
    <row r="90" spans="1:21" x14ac:dyDescent="0.25">
      <c r="B90" s="9"/>
      <c r="C90" s="17">
        <v>971.6787109375</v>
      </c>
      <c r="D90" s="18">
        <v>43.484699999999997</v>
      </c>
      <c r="E90" s="18">
        <v>46.0745</v>
      </c>
      <c r="F90" s="18">
        <v>46.594299999999997</v>
      </c>
      <c r="G90" s="18">
        <v>10.227388947601678</v>
      </c>
      <c r="H90" s="18">
        <f t="shared" si="4"/>
        <v>44.197124999999993</v>
      </c>
      <c r="I90" s="5"/>
      <c r="J90" s="17">
        <v>999.25310000000002</v>
      </c>
      <c r="K90" s="18">
        <v>43.989400000000003</v>
      </c>
      <c r="L90" s="18">
        <v>46.9193</v>
      </c>
      <c r="M90" s="18">
        <v>47.405200000000001</v>
      </c>
      <c r="N90" s="18">
        <v>6.9714</v>
      </c>
      <c r="O90" s="18">
        <f t="shared" si="5"/>
        <v>44.782612500000006</v>
      </c>
      <c r="P90" s="7"/>
      <c r="Q90" s="10"/>
      <c r="R90" s="11"/>
      <c r="S90" s="11"/>
      <c r="T90" s="26"/>
      <c r="U90" s="28">
        <f t="shared" si="3"/>
        <v>-0.31835974600000005</v>
      </c>
    </row>
    <row r="91" spans="1:21" x14ac:dyDescent="0.25">
      <c r="B91" s="9"/>
      <c r="C91" s="17">
        <v>587.0458984375</v>
      </c>
      <c r="D91" s="18">
        <v>40.833399999999997</v>
      </c>
      <c r="E91" s="18">
        <v>44.101399999999998</v>
      </c>
      <c r="F91" s="18">
        <v>44.621699999999997</v>
      </c>
      <c r="G91" s="18">
        <v>12.696083963435278</v>
      </c>
      <c r="H91" s="18">
        <f t="shared" si="4"/>
        <v>41.715437499999993</v>
      </c>
      <c r="I91" s="5"/>
      <c r="J91" s="17">
        <v>595.17309999999998</v>
      </c>
      <c r="K91" s="18">
        <v>41.218800000000002</v>
      </c>
      <c r="L91" s="18">
        <v>44.843299999999999</v>
      </c>
      <c r="M91" s="18">
        <v>45.326799999999999</v>
      </c>
      <c r="N91" s="18">
        <v>8.5256000000000007</v>
      </c>
      <c r="O91" s="18">
        <f t="shared" si="5"/>
        <v>42.185362500000004</v>
      </c>
      <c r="P91" s="7"/>
      <c r="Q91" s="10"/>
      <c r="R91" s="11"/>
      <c r="S91" s="11"/>
      <c r="T91" s="26"/>
      <c r="U91" s="28">
        <f t="shared" si="3"/>
        <v>-0.32848585244444439</v>
      </c>
    </row>
    <row r="92" spans="1:21" ht="16.5" thickBot="1" x14ac:dyDescent="0.3">
      <c r="B92" s="12"/>
      <c r="C92" s="19">
        <v>295.1259765625</v>
      </c>
      <c r="D92" s="20">
        <v>37.115000000000002</v>
      </c>
      <c r="E92" s="20">
        <v>41.422800000000002</v>
      </c>
      <c r="F92" s="20">
        <v>41.952300000000001</v>
      </c>
      <c r="G92" s="20">
        <v>17.181146555180113</v>
      </c>
      <c r="H92" s="20">
        <f t="shared" si="4"/>
        <v>38.258137499999997</v>
      </c>
      <c r="I92" s="5"/>
      <c r="J92" s="19">
        <v>301.48770000000002</v>
      </c>
      <c r="K92" s="20">
        <v>37.546900000000001</v>
      </c>
      <c r="L92" s="20">
        <v>42.414400000000001</v>
      </c>
      <c r="M92" s="20">
        <v>42.8491</v>
      </c>
      <c r="N92" s="20">
        <v>11.584899999999999</v>
      </c>
      <c r="O92" s="20">
        <f t="shared" si="5"/>
        <v>38.818112500000005</v>
      </c>
      <c r="P92" s="7"/>
      <c r="Q92" s="13"/>
      <c r="R92" s="14"/>
      <c r="S92" s="14"/>
      <c r="T92" s="27"/>
      <c r="U92" s="28">
        <f t="shared" si="3"/>
        <v>-0.3257202036666666</v>
      </c>
    </row>
    <row r="93" spans="1:21" x14ac:dyDescent="0.25">
      <c r="B93" s="6" t="s">
        <v>103</v>
      </c>
      <c r="C93" s="29">
        <v>1452.13671875</v>
      </c>
      <c r="D93" s="30">
        <v>39.75</v>
      </c>
      <c r="E93" s="30">
        <v>43.700499999999998</v>
      </c>
      <c r="F93" s="30">
        <v>43.503999999999998</v>
      </c>
      <c r="G93" s="16">
        <v>6.8609588571167208</v>
      </c>
      <c r="H93" s="16">
        <f t="shared" si="4"/>
        <v>40.713062499999999</v>
      </c>
      <c r="I93" s="5"/>
      <c r="J93" s="29">
        <v>1510.7760000000001</v>
      </c>
      <c r="K93" s="30">
        <v>39.866999999999997</v>
      </c>
      <c r="L93" s="30">
        <v>44.1554</v>
      </c>
      <c r="M93" s="30">
        <v>43.939799999999998</v>
      </c>
      <c r="N93" s="16">
        <v>4.7667999999999999</v>
      </c>
      <c r="O93" s="16">
        <f t="shared" si="5"/>
        <v>40.912149999999997</v>
      </c>
      <c r="P93" s="7"/>
      <c r="Q93" s="8">
        <f>bdrate(C93:C96,D93:D96,J93:J96,K93:K96)</f>
        <v>8.5923999335295598E-3</v>
      </c>
      <c r="R93" s="8">
        <f>bdrate(C93:C96,E93:E96,J93:J96,L93:L96)</f>
        <v>-0.13605179139798773</v>
      </c>
      <c r="S93" s="8">
        <f>bdrate(C93:C96,F93:F96,J93:J96,M93:M96)</f>
        <v>-0.12268083461929136</v>
      </c>
      <c r="T93" s="25">
        <f>bdrate(C93:C96,H93:H96,J93:J96,O93:O96)</f>
        <v>-1.7729368418327507E-2</v>
      </c>
      <c r="U93" s="28">
        <f t="shared" si="3"/>
        <v>-0.30522830711111121</v>
      </c>
    </row>
    <row r="94" spans="1:21" x14ac:dyDescent="0.25">
      <c r="B94" s="9"/>
      <c r="C94" s="31">
        <v>969.05859375</v>
      </c>
      <c r="D94" s="32">
        <v>37.874299999999998</v>
      </c>
      <c r="E94" s="32">
        <v>42.383899999999997</v>
      </c>
      <c r="F94" s="32">
        <v>42.1511</v>
      </c>
      <c r="G94" s="18">
        <v>8.3674228337671988</v>
      </c>
      <c r="H94" s="18">
        <f t="shared" si="4"/>
        <v>38.972599999999993</v>
      </c>
      <c r="I94" s="5"/>
      <c r="J94" s="31">
        <v>1006.1858999999999</v>
      </c>
      <c r="K94" s="32">
        <v>37.990099999999998</v>
      </c>
      <c r="L94" s="32">
        <v>42.8765</v>
      </c>
      <c r="M94" s="32">
        <v>42.6282</v>
      </c>
      <c r="N94" s="18">
        <v>5.7234999999999996</v>
      </c>
      <c r="O94" s="18">
        <f t="shared" si="5"/>
        <v>39.180662499999997</v>
      </c>
      <c r="P94" s="7"/>
      <c r="Q94" s="10"/>
      <c r="R94" s="11"/>
      <c r="S94" s="11"/>
      <c r="T94" s="26"/>
      <c r="U94" s="28">
        <f t="shared" si="3"/>
        <v>-0.31597815555555553</v>
      </c>
    </row>
    <row r="95" spans="1:21" x14ac:dyDescent="0.25">
      <c r="B95" s="9"/>
      <c r="C95" s="31">
        <v>584.6982421875</v>
      </c>
      <c r="D95" s="32">
        <v>35.592300000000002</v>
      </c>
      <c r="E95" s="32">
        <v>40.832999999999998</v>
      </c>
      <c r="F95" s="32">
        <v>40.566299999999998</v>
      </c>
      <c r="G95" s="18">
        <v>10.684268008927299</v>
      </c>
      <c r="H95" s="18">
        <f t="shared" si="4"/>
        <v>36.869137500000001</v>
      </c>
      <c r="I95" s="5"/>
      <c r="J95" s="31">
        <v>604.32240000000002</v>
      </c>
      <c r="K95" s="32">
        <v>35.6845</v>
      </c>
      <c r="L95" s="32">
        <v>41.374400000000001</v>
      </c>
      <c r="M95" s="32">
        <v>41.066200000000002</v>
      </c>
      <c r="N95" s="18">
        <v>7.1097000000000001</v>
      </c>
      <c r="O95" s="18">
        <f t="shared" si="5"/>
        <v>37.068449999999999</v>
      </c>
      <c r="P95" s="7"/>
      <c r="Q95" s="10"/>
      <c r="R95" s="11"/>
      <c r="S95" s="11"/>
      <c r="T95" s="26"/>
      <c r="U95" s="28">
        <f t="shared" si="3"/>
        <v>-0.33456367866666664</v>
      </c>
    </row>
    <row r="96" spans="1:21" ht="16.5" thickBot="1" x14ac:dyDescent="0.3">
      <c r="B96" s="12"/>
      <c r="C96" s="33">
        <v>294.8076171875</v>
      </c>
      <c r="D96" s="34">
        <v>32.517299999999999</v>
      </c>
      <c r="E96" s="34">
        <v>38.977699999999999</v>
      </c>
      <c r="F96" s="34">
        <v>38.657499999999999</v>
      </c>
      <c r="G96" s="20">
        <v>15.245451773554223</v>
      </c>
      <c r="H96" s="20">
        <f t="shared" si="4"/>
        <v>34.092374999999997</v>
      </c>
      <c r="I96" s="5"/>
      <c r="J96" s="33">
        <v>300.68270000000001</v>
      </c>
      <c r="K96" s="34">
        <v>32.660600000000002</v>
      </c>
      <c r="L96" s="34">
        <v>39.552999999999997</v>
      </c>
      <c r="M96" s="34">
        <v>39.193100000000001</v>
      </c>
      <c r="N96" s="20">
        <v>9.7905999999999995</v>
      </c>
      <c r="O96" s="20">
        <f t="shared" si="5"/>
        <v>34.3387125</v>
      </c>
      <c r="P96" s="7"/>
      <c r="Q96" s="13"/>
      <c r="R96" s="14"/>
      <c r="S96" s="14"/>
      <c r="T96" s="27"/>
      <c r="U96" s="28">
        <f t="shared" si="3"/>
        <v>-0.35780191066666667</v>
      </c>
    </row>
    <row r="97" spans="2:21" x14ac:dyDescent="0.25">
      <c r="B97" s="6" t="s">
        <v>104</v>
      </c>
      <c r="C97" s="15">
        <v>1457.966796875</v>
      </c>
      <c r="D97" s="16">
        <v>38.745399999999997</v>
      </c>
      <c r="E97" s="16">
        <v>43.069800000000001</v>
      </c>
      <c r="F97" s="16">
        <v>43.5032</v>
      </c>
      <c r="G97" s="16">
        <v>8.4158554717086993</v>
      </c>
      <c r="H97" s="16">
        <f t="shared" si="4"/>
        <v>39.880674999999997</v>
      </c>
      <c r="I97" s="5"/>
      <c r="J97" s="15">
        <v>1512.4971</v>
      </c>
      <c r="K97" s="16">
        <v>38.756999999999998</v>
      </c>
      <c r="L97" s="16">
        <v>43.6145</v>
      </c>
      <c r="M97" s="16">
        <v>44.042900000000003</v>
      </c>
      <c r="N97" s="16">
        <v>5.7516999999999996</v>
      </c>
      <c r="O97" s="16">
        <f t="shared" si="5"/>
        <v>40.024924999999996</v>
      </c>
      <c r="P97" s="7"/>
      <c r="Q97" s="8">
        <f>bdrate(C97:C100,D97:D100,J97:J100,K97:K100)</f>
        <v>1.8580154982032804E-2</v>
      </c>
      <c r="R97" s="8">
        <f>bdrate(C97:C100,E97:E100,J97:J100,L97:L100)</f>
        <v>-0.17087273869615882</v>
      </c>
      <c r="S97" s="8">
        <f>bdrate(C97:C100,F97:F100,J97:J100,M97:M100)</f>
        <v>-0.17415649535731248</v>
      </c>
      <c r="T97" s="25">
        <f>bdrate(C97:C100,H97:H100,J97:J100,O97:O100)</f>
        <v>-2.125395743753411E-2</v>
      </c>
      <c r="U97" s="28">
        <f t="shared" si="3"/>
        <v>-0.31656383366666674</v>
      </c>
    </row>
    <row r="98" spans="2:21" x14ac:dyDescent="0.25">
      <c r="B98" s="9"/>
      <c r="C98" s="17">
        <v>975.517578125</v>
      </c>
      <c r="D98" s="18">
        <v>36.839399999999998</v>
      </c>
      <c r="E98" s="18">
        <v>41.596499999999999</v>
      </c>
      <c r="F98" s="18">
        <v>42.100900000000003</v>
      </c>
      <c r="G98" s="18">
        <v>10.118953925029794</v>
      </c>
      <c r="H98" s="18">
        <f t="shared" si="4"/>
        <v>38.091725000000004</v>
      </c>
      <c r="I98" s="5"/>
      <c r="J98" s="17">
        <v>1008.3973</v>
      </c>
      <c r="K98" s="18">
        <v>36.857700000000001</v>
      </c>
      <c r="L98" s="18">
        <v>42.259</v>
      </c>
      <c r="M98" s="18">
        <v>42.743200000000002</v>
      </c>
      <c r="N98" s="18">
        <v>6.9340000000000002</v>
      </c>
      <c r="O98" s="18">
        <f t="shared" si="5"/>
        <v>38.268550000000005</v>
      </c>
      <c r="P98" s="7"/>
      <c r="Q98" s="10"/>
      <c r="R98" s="11"/>
      <c r="S98" s="11"/>
      <c r="T98" s="26"/>
      <c r="U98" s="28">
        <f t="shared" si="3"/>
        <v>-0.3147513022222222</v>
      </c>
    </row>
    <row r="99" spans="2:21" x14ac:dyDescent="0.25">
      <c r="B99" s="9"/>
      <c r="C99" s="17">
        <v>589.1650390625</v>
      </c>
      <c r="D99" s="18">
        <v>34.404299999999999</v>
      </c>
      <c r="E99" s="18">
        <v>39.717599999999997</v>
      </c>
      <c r="F99" s="18">
        <v>40.260199999999998</v>
      </c>
      <c r="G99" s="18">
        <v>12.713300937959092</v>
      </c>
      <c r="H99" s="18">
        <f t="shared" si="4"/>
        <v>35.800449999999998</v>
      </c>
      <c r="I99" s="5"/>
      <c r="J99" s="17">
        <v>604.23810000000003</v>
      </c>
      <c r="K99" s="18">
        <v>34.43</v>
      </c>
      <c r="L99" s="18">
        <v>40.505600000000001</v>
      </c>
      <c r="M99" s="18">
        <v>41.038899999999998</v>
      </c>
      <c r="N99" s="18">
        <v>8.5526</v>
      </c>
      <c r="O99" s="18">
        <f t="shared" si="5"/>
        <v>36.015562500000001</v>
      </c>
      <c r="P99" s="7"/>
      <c r="Q99" s="10"/>
      <c r="R99" s="11"/>
      <c r="S99" s="11"/>
      <c r="T99" s="26"/>
      <c r="U99" s="28">
        <f t="shared" si="3"/>
        <v>-0.32727148977777781</v>
      </c>
    </row>
    <row r="100" spans="2:21" ht="16.5" thickBot="1" x14ac:dyDescent="0.3">
      <c r="B100" s="12"/>
      <c r="C100" s="19">
        <v>295.740234375</v>
      </c>
      <c r="D100" s="20">
        <v>31.036100000000001</v>
      </c>
      <c r="E100" s="20">
        <v>37.4</v>
      </c>
      <c r="F100" s="20">
        <v>38.021999999999998</v>
      </c>
      <c r="G100" s="20">
        <v>17.662643508978512</v>
      </c>
      <c r="H100" s="20">
        <f t="shared" si="4"/>
        <v>32.704825</v>
      </c>
      <c r="I100" s="5"/>
      <c r="J100" s="19">
        <v>302.31150000000002</v>
      </c>
      <c r="K100" s="20">
        <v>31.210100000000001</v>
      </c>
      <c r="L100" s="20">
        <v>38.290799999999997</v>
      </c>
      <c r="M100" s="20">
        <v>38.915599999999998</v>
      </c>
      <c r="N100" s="20">
        <v>11.338200000000001</v>
      </c>
      <c r="O100" s="20">
        <f t="shared" si="5"/>
        <v>33.058374999999998</v>
      </c>
      <c r="P100" s="7"/>
      <c r="Q100" s="13"/>
      <c r="R100" s="14"/>
      <c r="S100" s="14"/>
      <c r="T100" s="27"/>
      <c r="U100" s="28">
        <f t="shared" si="3"/>
        <v>-0.35806891000000002</v>
      </c>
    </row>
    <row r="101" spans="2:21" x14ac:dyDescent="0.25">
      <c r="B101" s="6" t="s">
        <v>105</v>
      </c>
      <c r="C101" s="15">
        <v>1478.134765625</v>
      </c>
      <c r="D101" s="16">
        <v>38.918799999999997</v>
      </c>
      <c r="E101" s="16">
        <v>44.343499999999999</v>
      </c>
      <c r="F101" s="16">
        <v>46.467500000000001</v>
      </c>
      <c r="G101" s="16">
        <v>5.8122638767800057</v>
      </c>
      <c r="H101" s="16">
        <f t="shared" si="4"/>
        <v>40.540475000000001</v>
      </c>
      <c r="I101" s="5"/>
      <c r="J101" s="15">
        <v>1520.4584</v>
      </c>
      <c r="K101" s="16">
        <v>38.747599999999998</v>
      </c>
      <c r="L101" s="16">
        <v>44.62</v>
      </c>
      <c r="M101" s="16">
        <v>46.622</v>
      </c>
      <c r="N101" s="16">
        <v>4.3141999999999996</v>
      </c>
      <c r="O101" s="16">
        <f t="shared" si="5"/>
        <v>40.465949999999999</v>
      </c>
      <c r="P101" s="7"/>
      <c r="Q101" s="8">
        <f>bdrate(C101:C104,D101:D104,J101:J104,K101:K104)</f>
        <v>6.383394904720241E-2</v>
      </c>
      <c r="R101" s="8">
        <f>bdrate(C101:C104,E101:E104,J101:J104,L101:L104)</f>
        <v>-0.12778934589012181</v>
      </c>
      <c r="S101" s="8">
        <f>bdrate(C101:C104,F101:F104,J101:J104,M101:M104)</f>
        <v>-6.578087762059015E-2</v>
      </c>
      <c r="T101" s="25">
        <f>bdrate(C101:C104,H101:H104,J101:J104,O101:O104)</f>
        <v>3.3057079065223816E-2</v>
      </c>
      <c r="U101" s="28">
        <f t="shared" si="3"/>
        <v>-0.25774189000000003</v>
      </c>
    </row>
    <row r="102" spans="2:21" x14ac:dyDescent="0.25">
      <c r="B102" s="9"/>
      <c r="C102" s="17">
        <v>985.4462890625</v>
      </c>
      <c r="D102" s="18">
        <v>37.420099999999998</v>
      </c>
      <c r="E102" s="18">
        <v>43.387700000000002</v>
      </c>
      <c r="F102" s="18">
        <v>45.513599999999997</v>
      </c>
      <c r="G102" s="18">
        <v>7.1669745811301526</v>
      </c>
      <c r="H102" s="18">
        <f t="shared" si="4"/>
        <v>39.177737499999999</v>
      </c>
      <c r="I102" s="5"/>
      <c r="J102" s="17">
        <v>1015.4643</v>
      </c>
      <c r="K102" s="18">
        <v>37.323700000000002</v>
      </c>
      <c r="L102" s="18">
        <v>43.727600000000002</v>
      </c>
      <c r="M102" s="18">
        <v>45.716799999999999</v>
      </c>
      <c r="N102" s="18">
        <v>5.2175000000000002</v>
      </c>
      <c r="O102" s="18">
        <f t="shared" si="5"/>
        <v>39.173324999999998</v>
      </c>
      <c r="P102" s="7"/>
      <c r="Q102" s="10"/>
      <c r="R102" s="11"/>
      <c r="S102" s="11"/>
      <c r="T102" s="26"/>
      <c r="U102" s="28">
        <f t="shared" si="3"/>
        <v>-0.2720080222222222</v>
      </c>
    </row>
    <row r="103" spans="2:21" x14ac:dyDescent="0.25">
      <c r="B103" s="9"/>
      <c r="C103" s="17">
        <v>592.0791015625</v>
      </c>
      <c r="D103" s="18">
        <v>35.627200000000002</v>
      </c>
      <c r="E103" s="18">
        <v>42.193600000000004</v>
      </c>
      <c r="F103" s="18">
        <v>44.2483</v>
      </c>
      <c r="G103" s="18">
        <v>9.3765627604600752</v>
      </c>
      <c r="H103" s="18">
        <f t="shared" si="4"/>
        <v>37.525637500000002</v>
      </c>
      <c r="I103" s="5"/>
      <c r="J103" s="17">
        <v>607.16719999999998</v>
      </c>
      <c r="K103" s="18">
        <v>35.497799999999998</v>
      </c>
      <c r="L103" s="18">
        <v>42.573700000000002</v>
      </c>
      <c r="M103" s="18">
        <v>44.466700000000003</v>
      </c>
      <c r="N103" s="18">
        <v>6.6276999999999999</v>
      </c>
      <c r="O103" s="18">
        <f t="shared" si="5"/>
        <v>37.503399999999999</v>
      </c>
      <c r="P103" s="7"/>
      <c r="Q103" s="10"/>
      <c r="R103" s="11"/>
      <c r="S103" s="11"/>
      <c r="T103" s="26"/>
      <c r="U103" s="28">
        <f t="shared" si="3"/>
        <v>-0.29316315911111102</v>
      </c>
    </row>
    <row r="104" spans="2:21" ht="16.5" thickBot="1" x14ac:dyDescent="0.3">
      <c r="B104" s="12"/>
      <c r="C104" s="19">
        <v>297.2734375</v>
      </c>
      <c r="D104" s="20">
        <v>33.357300000000002</v>
      </c>
      <c r="E104" s="20">
        <v>40.777099999999997</v>
      </c>
      <c r="F104" s="20">
        <v>42.649700000000003</v>
      </c>
      <c r="G104" s="20">
        <v>13.912505796877415</v>
      </c>
      <c r="H104" s="20">
        <f t="shared" si="4"/>
        <v>35.446325000000002</v>
      </c>
      <c r="I104" s="5"/>
      <c r="J104" s="19">
        <v>302.39870000000002</v>
      </c>
      <c r="K104" s="20">
        <v>33.216200000000001</v>
      </c>
      <c r="L104" s="20">
        <v>41.138399999999997</v>
      </c>
      <c r="M104" s="20">
        <v>42.941699999999997</v>
      </c>
      <c r="N104" s="20">
        <v>9.2471999999999994</v>
      </c>
      <c r="O104" s="20">
        <f t="shared" si="5"/>
        <v>35.422162499999999</v>
      </c>
      <c r="P104" s="7"/>
      <c r="Q104" s="13"/>
      <c r="R104" s="14"/>
      <c r="S104" s="14"/>
      <c r="T104" s="27"/>
      <c r="U104" s="28">
        <f t="shared" si="3"/>
        <v>-0.33533181333333334</v>
      </c>
    </row>
    <row r="105" spans="2:21" x14ac:dyDescent="0.25">
      <c r="B105" s="6" t="s">
        <v>106</v>
      </c>
      <c r="C105" s="15">
        <v>1455.296875</v>
      </c>
      <c r="D105" s="16">
        <v>51.281399999999998</v>
      </c>
      <c r="E105" s="16">
        <v>56.755299999999998</v>
      </c>
      <c r="F105" s="16">
        <v>56.878700000000002</v>
      </c>
      <c r="G105" s="16">
        <v>7.608934580071355</v>
      </c>
      <c r="H105" s="16">
        <f t="shared" si="4"/>
        <v>52.665299999999995</v>
      </c>
      <c r="I105" s="5"/>
      <c r="J105" s="15">
        <v>1512.2472</v>
      </c>
      <c r="K105" s="16">
        <v>51.6004</v>
      </c>
      <c r="L105" s="16">
        <v>57.2819</v>
      </c>
      <c r="M105" s="16">
        <v>57.374000000000002</v>
      </c>
      <c r="N105" s="16">
        <v>4.9359000000000002</v>
      </c>
      <c r="O105" s="16">
        <f t="shared" si="5"/>
        <v>53.032287500000002</v>
      </c>
      <c r="P105" s="7"/>
      <c r="Q105" s="8">
        <f>bdrate(C105:C108,D105:D108,J105:J108,K105:K108)</f>
        <v>-4.0074923172647048E-2</v>
      </c>
      <c r="R105" s="8">
        <f>bdrate(C105:C108,E105:E108,J105:J108,L105:L108)</f>
        <v>-0.13955435305674468</v>
      </c>
      <c r="S105" s="8">
        <f>bdrate(C105:C108,F105:F108,J105:J108,M105:M108)</f>
        <v>-0.12487896342790994</v>
      </c>
      <c r="T105" s="25">
        <f>bdrate(C105:C108,H105:H108,J105:J108,O105:O108)</f>
        <v>-6.1813442837128196E-2</v>
      </c>
      <c r="U105" s="28">
        <f t="shared" si="3"/>
        <v>-0.35130208466666668</v>
      </c>
    </row>
    <row r="106" spans="2:21" x14ac:dyDescent="0.25">
      <c r="B106" s="9"/>
      <c r="C106" s="17">
        <v>969.693359375</v>
      </c>
      <c r="D106" s="18">
        <v>49.661700000000003</v>
      </c>
      <c r="E106" s="18">
        <v>55.2896</v>
      </c>
      <c r="F106" s="18">
        <v>55.3767</v>
      </c>
      <c r="G106" s="18">
        <v>10.017140440308973</v>
      </c>
      <c r="H106" s="18">
        <f t="shared" si="4"/>
        <v>51.079562500000009</v>
      </c>
      <c r="I106" s="5"/>
      <c r="J106" s="17">
        <v>1007.1227</v>
      </c>
      <c r="K106" s="18">
        <v>49.997599999999998</v>
      </c>
      <c r="L106" s="18">
        <v>55.889699999999998</v>
      </c>
      <c r="M106" s="18">
        <v>55.9377</v>
      </c>
      <c r="N106" s="18">
        <v>5.9279000000000002</v>
      </c>
      <c r="O106" s="18">
        <f t="shared" si="5"/>
        <v>51.476624999999999</v>
      </c>
      <c r="P106" s="7"/>
      <c r="Q106" s="10"/>
      <c r="R106" s="11"/>
      <c r="S106" s="11"/>
      <c r="T106" s="26"/>
      <c r="U106" s="28">
        <f t="shared" si="3"/>
        <v>-0.40822432955555554</v>
      </c>
    </row>
    <row r="107" spans="2:21" x14ac:dyDescent="0.25">
      <c r="B107" s="9"/>
      <c r="C107" s="17">
        <v>581.5078125</v>
      </c>
      <c r="D107" s="18">
        <v>47.519199999999998</v>
      </c>
      <c r="E107" s="18">
        <v>53.491700000000002</v>
      </c>
      <c r="F107" s="18">
        <v>53.422899999999998</v>
      </c>
      <c r="G107" s="18">
        <v>13.981668479105172</v>
      </c>
      <c r="H107" s="18">
        <f t="shared" si="4"/>
        <v>49.003724999999989</v>
      </c>
      <c r="I107" s="5"/>
      <c r="J107" s="17">
        <v>602.66930000000002</v>
      </c>
      <c r="K107" s="18">
        <v>47.834800000000001</v>
      </c>
      <c r="L107" s="18">
        <v>54.181100000000001</v>
      </c>
      <c r="M107" s="18">
        <v>54.095500000000001</v>
      </c>
      <c r="N107" s="18">
        <v>7.8495999999999997</v>
      </c>
      <c r="O107" s="18">
        <f t="shared" si="5"/>
        <v>49.410675000000005</v>
      </c>
      <c r="P107" s="7"/>
      <c r="Q107" s="10"/>
      <c r="R107" s="11"/>
      <c r="S107" s="11"/>
      <c r="T107" s="26"/>
      <c r="U107" s="28">
        <f t="shared" si="3"/>
        <v>-0.43857916444444445</v>
      </c>
    </row>
    <row r="108" spans="2:21" ht="16.5" thickBot="1" x14ac:dyDescent="0.3">
      <c r="B108" s="12"/>
      <c r="C108" s="19">
        <v>291.47265625</v>
      </c>
      <c r="D108" s="20">
        <v>44.4377</v>
      </c>
      <c r="E108" s="20">
        <v>50.686599999999999</v>
      </c>
      <c r="F108" s="20">
        <v>50.511600000000001</v>
      </c>
      <c r="G108" s="20">
        <v>21.663778162911612</v>
      </c>
      <c r="H108" s="20">
        <f t="shared" si="4"/>
        <v>45.978049999999996</v>
      </c>
      <c r="I108" s="5"/>
      <c r="J108" s="19">
        <v>301.03120000000001</v>
      </c>
      <c r="K108" s="20">
        <v>44.7821</v>
      </c>
      <c r="L108" s="20">
        <v>51.564</v>
      </c>
      <c r="M108" s="20">
        <v>51.349800000000002</v>
      </c>
      <c r="N108" s="20">
        <v>11.8665</v>
      </c>
      <c r="O108" s="20">
        <f t="shared" si="5"/>
        <v>46.450800000000001</v>
      </c>
      <c r="P108" s="7"/>
      <c r="Q108" s="13"/>
      <c r="R108" s="14"/>
      <c r="S108" s="14"/>
      <c r="T108" s="27"/>
      <c r="U108" s="28">
        <f t="shared" si="3"/>
        <v>-0.45224236000000001</v>
      </c>
    </row>
    <row r="109" spans="2:21" x14ac:dyDescent="0.25">
      <c r="B109" s="6" t="s">
        <v>107</v>
      </c>
      <c r="C109" s="15">
        <v>1472.4541015625</v>
      </c>
      <c r="D109" s="16">
        <v>32.8354</v>
      </c>
      <c r="E109" s="16">
        <v>41.186399999999999</v>
      </c>
      <c r="F109" s="16">
        <v>40.433</v>
      </c>
      <c r="G109" s="16">
        <v>4.6650252688868727</v>
      </c>
      <c r="H109" s="16">
        <f t="shared" si="4"/>
        <v>34.828975</v>
      </c>
      <c r="I109" s="5"/>
      <c r="J109" s="15">
        <v>1502.9891</v>
      </c>
      <c r="K109" s="16">
        <v>32.748199999999997</v>
      </c>
      <c r="L109" s="16">
        <v>41.561399999999999</v>
      </c>
      <c r="M109" s="16">
        <v>40.7971</v>
      </c>
      <c r="N109" s="16">
        <v>3.4964</v>
      </c>
      <c r="O109" s="16">
        <f t="shared" si="5"/>
        <v>34.855962499999997</v>
      </c>
      <c r="P109" s="7"/>
      <c r="Q109" s="8">
        <f>bdrate(C109:C112,D109:D112,J109:J112,K109:K112)</f>
        <v>-9.2352212081859841E-3</v>
      </c>
      <c r="R109" s="8">
        <f>bdrate(C109:C112,E109:E112,J109:J112,L109:L112)</f>
        <v>-0.22400739677463388</v>
      </c>
      <c r="S109" s="8">
        <f>bdrate(C109:C112,F109:F112,J109:J112,M109:M112)</f>
        <v>-0.23007049953054848</v>
      </c>
      <c r="T109" s="25">
        <f>bdrate(C109:C112,H109:H112,J109:J112,O109:O112)</f>
        <v>-4.9427163572946742E-2</v>
      </c>
      <c r="U109" s="28">
        <f t="shared" si="3"/>
        <v>-0.25050781111111103</v>
      </c>
    </row>
    <row r="110" spans="2:21" x14ac:dyDescent="0.25">
      <c r="B110" s="9"/>
      <c r="C110" s="17">
        <v>982.541015625</v>
      </c>
      <c r="D110" s="18">
        <v>31.0989</v>
      </c>
      <c r="E110" s="18">
        <v>40.127699999999997</v>
      </c>
      <c r="F110" s="18">
        <v>39.328000000000003</v>
      </c>
      <c r="G110" s="18">
        <v>5.7320824655597384</v>
      </c>
      <c r="H110" s="18">
        <f t="shared" si="4"/>
        <v>33.256137500000001</v>
      </c>
      <c r="I110" s="5"/>
      <c r="J110" s="17">
        <v>999.22749999999996</v>
      </c>
      <c r="K110" s="18">
        <v>31.086300000000001</v>
      </c>
      <c r="L110" s="18">
        <v>40.718800000000002</v>
      </c>
      <c r="M110" s="18">
        <v>39.969000000000001</v>
      </c>
      <c r="N110" s="18">
        <v>4.1276000000000002</v>
      </c>
      <c r="O110" s="18">
        <f t="shared" si="5"/>
        <v>33.400700000000001</v>
      </c>
      <c r="P110" s="7"/>
      <c r="Q110" s="10"/>
      <c r="R110" s="11"/>
      <c r="S110" s="11"/>
      <c r="T110" s="26"/>
      <c r="U110" s="28">
        <f t="shared" si="3"/>
        <v>-0.2799126626666667</v>
      </c>
    </row>
    <row r="111" spans="2:21" x14ac:dyDescent="0.25">
      <c r="B111" s="9"/>
      <c r="C111" s="17">
        <v>589.7109375</v>
      </c>
      <c r="D111" s="18">
        <v>28.770299999999999</v>
      </c>
      <c r="E111" s="18">
        <v>38.820300000000003</v>
      </c>
      <c r="F111" s="18">
        <v>37.957999999999998</v>
      </c>
      <c r="G111" s="18">
        <v>7.593398805305255</v>
      </c>
      <c r="H111" s="18">
        <f t="shared" si="4"/>
        <v>31.175012500000001</v>
      </c>
      <c r="I111" s="5"/>
      <c r="J111" s="17">
        <v>598.95550000000003</v>
      </c>
      <c r="K111" s="18">
        <v>28.902799999999999</v>
      </c>
      <c r="L111" s="18">
        <v>39.5779</v>
      </c>
      <c r="M111" s="18">
        <v>38.749899999999997</v>
      </c>
      <c r="N111" s="18">
        <v>5.2168999999999999</v>
      </c>
      <c r="O111" s="18">
        <f t="shared" si="5"/>
        <v>31.468074999999999</v>
      </c>
      <c r="P111" s="7"/>
      <c r="Q111" s="10"/>
      <c r="R111" s="11"/>
      <c r="S111" s="11"/>
      <c r="T111" s="26"/>
      <c r="U111" s="28">
        <f t="shared" si="3"/>
        <v>-0.31296904933333336</v>
      </c>
    </row>
    <row r="112" spans="2:21" ht="16.5" thickBot="1" x14ac:dyDescent="0.3">
      <c r="B112" s="12"/>
      <c r="C112" s="19">
        <v>296.2353515625</v>
      </c>
      <c r="D112" s="20">
        <v>25.743400000000001</v>
      </c>
      <c r="E112" s="20">
        <v>36.549900000000001</v>
      </c>
      <c r="F112" s="20">
        <v>35.660200000000003</v>
      </c>
      <c r="G112" s="20">
        <v>10.600456997479446</v>
      </c>
      <c r="H112" s="20">
        <f t="shared" si="4"/>
        <v>28.333812500000001</v>
      </c>
      <c r="I112" s="5"/>
      <c r="J112" s="19">
        <v>299.96929999999998</v>
      </c>
      <c r="K112" s="20">
        <v>26.131799999999998</v>
      </c>
      <c r="L112" s="20">
        <v>37.533900000000003</v>
      </c>
      <c r="M112" s="20">
        <v>36.734999999999999</v>
      </c>
      <c r="N112" s="20">
        <v>7.3413000000000004</v>
      </c>
      <c r="O112" s="20">
        <f t="shared" si="5"/>
        <v>28.882462500000003</v>
      </c>
      <c r="P112" s="7"/>
      <c r="Q112" s="13"/>
      <c r="R112" s="14"/>
      <c r="S112" s="14"/>
      <c r="T112" s="27"/>
      <c r="U112" s="28">
        <f t="shared" si="3"/>
        <v>-0.30745438599999991</v>
      </c>
    </row>
    <row r="113" spans="2:21" x14ac:dyDescent="0.25">
      <c r="B113" s="6" t="s">
        <v>108</v>
      </c>
      <c r="C113" s="15">
        <v>1461.462890625</v>
      </c>
      <c r="D113" s="16">
        <v>48.370699999999999</v>
      </c>
      <c r="E113" s="16">
        <v>48.950600000000001</v>
      </c>
      <c r="F113" s="16">
        <v>48.963799999999999</v>
      </c>
      <c r="G113" s="16">
        <v>9.5213913926621814</v>
      </c>
      <c r="H113" s="16">
        <f t="shared" si="4"/>
        <v>48.517325</v>
      </c>
      <c r="I113" s="5"/>
      <c r="J113" s="15">
        <v>1355.3834999999999</v>
      </c>
      <c r="K113" s="16">
        <v>48.142200000000003</v>
      </c>
      <c r="L113" s="16">
        <v>49.180100000000003</v>
      </c>
      <c r="M113" s="16">
        <v>49.194800000000001</v>
      </c>
      <c r="N113" s="16">
        <v>5.8754999999999997</v>
      </c>
      <c r="O113" s="16">
        <f t="shared" si="5"/>
        <v>48.403512499999998</v>
      </c>
      <c r="P113" s="7"/>
      <c r="Q113" s="8">
        <f>bdrate(C113:C116,D113:D116,J113:J116,K113:K116)</f>
        <v>-0.11829323744287756</v>
      </c>
      <c r="R113" s="8">
        <f>bdrate(C113:C116,E113:E116,J113:J116,L113:L116)</f>
        <v>-0.20366543343637966</v>
      </c>
      <c r="S113" s="8">
        <f>bdrate(C113:C116,F113:F116,J113:J116,M113:M116)</f>
        <v>-0.21196441413906941</v>
      </c>
      <c r="T113" s="25">
        <f>bdrate(C113:C116,H113:H116,J113:J116,O113:O116)</f>
        <v>-0.13823497097042181</v>
      </c>
      <c r="U113" s="28">
        <f t="shared" si="3"/>
        <v>-0.38291582000000007</v>
      </c>
    </row>
    <row r="114" spans="2:21" x14ac:dyDescent="0.25">
      <c r="B114" s="9"/>
      <c r="C114" s="17">
        <v>965.2509765625</v>
      </c>
      <c r="D114" s="18">
        <v>46.369700000000002</v>
      </c>
      <c r="E114" s="18">
        <v>47.137099999999997</v>
      </c>
      <c r="F114" s="18">
        <v>47.146000000000001</v>
      </c>
      <c r="G114" s="18">
        <v>11.382463418027292</v>
      </c>
      <c r="H114" s="18">
        <f t="shared" si="4"/>
        <v>46.562662500000002</v>
      </c>
      <c r="I114" s="5"/>
      <c r="J114" s="17">
        <v>926.50030000000004</v>
      </c>
      <c r="K114" s="18">
        <v>46.745800000000003</v>
      </c>
      <c r="L114" s="18">
        <v>47.872300000000003</v>
      </c>
      <c r="M114" s="18">
        <v>47.894500000000001</v>
      </c>
      <c r="N114" s="18">
        <v>6.9953000000000003</v>
      </c>
      <c r="O114" s="18">
        <f t="shared" si="5"/>
        <v>47.030200000000001</v>
      </c>
      <c r="P114" s="7"/>
      <c r="Q114" s="10"/>
      <c r="R114" s="11"/>
      <c r="S114" s="11"/>
      <c r="T114" s="26"/>
      <c r="U114" s="28">
        <f t="shared" si="3"/>
        <v>-0.38543180477777772</v>
      </c>
    </row>
    <row r="115" spans="2:21" x14ac:dyDescent="0.25">
      <c r="B115" s="9"/>
      <c r="C115" s="17">
        <v>595.783203125</v>
      </c>
      <c r="D115" s="18">
        <v>43.433999999999997</v>
      </c>
      <c r="E115" s="18">
        <v>44.6248</v>
      </c>
      <c r="F115" s="18">
        <v>44.548900000000003</v>
      </c>
      <c r="G115" s="18">
        <v>13.847432070652676</v>
      </c>
      <c r="H115" s="18">
        <f t="shared" si="4"/>
        <v>43.722212499999998</v>
      </c>
      <c r="I115" s="5"/>
      <c r="J115" s="17">
        <v>571.05920000000003</v>
      </c>
      <c r="K115" s="18">
        <v>44.104300000000002</v>
      </c>
      <c r="L115" s="18">
        <v>45.691899999999997</v>
      </c>
      <c r="M115" s="18">
        <v>45.71</v>
      </c>
      <c r="N115" s="18">
        <v>8.7225000000000001</v>
      </c>
      <c r="O115" s="18">
        <f t="shared" si="5"/>
        <v>44.503462499999998</v>
      </c>
      <c r="P115" s="7"/>
      <c r="Q115" s="10"/>
      <c r="R115" s="11"/>
      <c r="S115" s="11"/>
      <c r="T115" s="26"/>
      <c r="U115" s="28">
        <f t="shared" si="3"/>
        <v>-0.37009981666666669</v>
      </c>
    </row>
    <row r="116" spans="2:21" ht="16.5" thickBot="1" x14ac:dyDescent="0.3">
      <c r="B116" s="12"/>
      <c r="C116" s="19">
        <v>301.3134765625</v>
      </c>
      <c r="D116" s="20">
        <v>39.127600000000001</v>
      </c>
      <c r="E116" s="20">
        <v>41.2087</v>
      </c>
      <c r="F116" s="20">
        <v>41.091299999999997</v>
      </c>
      <c r="G116" s="20">
        <v>18.865551502955601</v>
      </c>
      <c r="H116" s="20">
        <f t="shared" si="4"/>
        <v>39.633200000000002</v>
      </c>
      <c r="I116" s="5"/>
      <c r="J116" s="19">
        <v>291.4579</v>
      </c>
      <c r="K116" s="20">
        <v>39.531500000000001</v>
      </c>
      <c r="L116" s="20">
        <v>42.097799999999999</v>
      </c>
      <c r="M116" s="20">
        <v>42.0657</v>
      </c>
      <c r="N116" s="20">
        <v>11.9152</v>
      </c>
      <c r="O116" s="20">
        <f t="shared" si="5"/>
        <v>40.169062500000003</v>
      </c>
      <c r="P116" s="7"/>
      <c r="Q116" s="13"/>
      <c r="R116" s="14"/>
      <c r="S116" s="14"/>
      <c r="T116" s="27"/>
      <c r="U116" s="28">
        <f t="shared" si="3"/>
        <v>-0.36841496533333323</v>
      </c>
    </row>
    <row r="117" spans="2:21" x14ac:dyDescent="0.25">
      <c r="B117" s="6" t="s">
        <v>109</v>
      </c>
      <c r="C117" s="15">
        <v>1440.3330078125</v>
      </c>
      <c r="D117" s="16">
        <v>53.002400000000002</v>
      </c>
      <c r="E117" s="16">
        <v>53.659799999999997</v>
      </c>
      <c r="F117" s="16">
        <v>53.910400000000003</v>
      </c>
      <c r="G117" s="16">
        <v>20.361990950226243</v>
      </c>
      <c r="H117" s="16">
        <f t="shared" si="4"/>
        <v>53.198075000000003</v>
      </c>
      <c r="I117" s="5"/>
      <c r="J117" s="15">
        <v>752.29759999999999</v>
      </c>
      <c r="K117" s="16">
        <v>52.861899999999999</v>
      </c>
      <c r="L117" s="16">
        <v>54.560600000000001</v>
      </c>
      <c r="M117" s="16">
        <v>54.531599999999997</v>
      </c>
      <c r="N117" s="16">
        <v>12.1127</v>
      </c>
      <c r="O117" s="16">
        <f t="shared" si="5"/>
        <v>53.28295</v>
      </c>
      <c r="P117" s="7"/>
      <c r="Q117" s="8">
        <f>bdrate(C117:C120,D117:D120,J117:J120,K117:K120)</f>
        <v>-0.4399282198320883</v>
      </c>
      <c r="R117" s="8">
        <f>bdrate(C117:C120,E117:E120,J117:J120,L117:L120)</f>
        <v>-0.49489012087000284</v>
      </c>
      <c r="S117" s="8">
        <f>bdrate(C117:C120,F117:F120,J117:J120,M117:M120)</f>
        <v>-0.48974166744672221</v>
      </c>
      <c r="T117" s="25">
        <f>bdrate(C117:C120,H117:H120,J117:J120,O117:O120)</f>
        <v>-0.45373834550068082</v>
      </c>
      <c r="U117" s="28">
        <f t="shared" si="3"/>
        <v>-0.40513184444444439</v>
      </c>
    </row>
    <row r="118" spans="2:21" x14ac:dyDescent="0.25">
      <c r="B118" s="9"/>
      <c r="C118" s="17">
        <v>960.15625</v>
      </c>
      <c r="D118" s="18">
        <v>48.327199999999998</v>
      </c>
      <c r="E118" s="18">
        <v>49.042900000000003</v>
      </c>
      <c r="F118" s="18">
        <v>49.442999999999998</v>
      </c>
      <c r="G118" s="18">
        <v>23.973150071919449</v>
      </c>
      <c r="H118" s="18">
        <f t="shared" si="4"/>
        <v>48.556137499999991</v>
      </c>
      <c r="I118" s="5"/>
      <c r="J118" s="17">
        <v>591.5643</v>
      </c>
      <c r="K118" s="18">
        <v>51.575699999999998</v>
      </c>
      <c r="L118" s="18">
        <v>53.354999999999997</v>
      </c>
      <c r="M118" s="18">
        <v>53.400500000000001</v>
      </c>
      <c r="N118" s="18">
        <v>13.737500000000001</v>
      </c>
      <c r="O118" s="18">
        <f t="shared" si="5"/>
        <v>52.026212500000007</v>
      </c>
      <c r="P118" s="7"/>
      <c r="Q118" s="10"/>
      <c r="R118" s="11"/>
      <c r="S118" s="11"/>
      <c r="T118" s="26"/>
      <c r="U118" s="28">
        <f t="shared" si="3"/>
        <v>-0.42696308333333327</v>
      </c>
    </row>
    <row r="119" spans="2:21" x14ac:dyDescent="0.25">
      <c r="B119" s="9"/>
      <c r="C119" s="17">
        <v>576.0419921875</v>
      </c>
      <c r="D119" s="18">
        <v>45.671500000000002</v>
      </c>
      <c r="E119" s="18">
        <v>46.509399999999999</v>
      </c>
      <c r="F119" s="18">
        <v>46.9696</v>
      </c>
      <c r="G119" s="18">
        <v>30.15378429992964</v>
      </c>
      <c r="H119" s="18">
        <f t="shared" si="4"/>
        <v>45.938500000000005</v>
      </c>
      <c r="I119" s="5"/>
      <c r="J119" s="17">
        <v>422.4624</v>
      </c>
      <c r="K119" s="18">
        <v>47.180999999999997</v>
      </c>
      <c r="L119" s="18">
        <v>48.6798</v>
      </c>
      <c r="M119" s="18">
        <v>49.101500000000001</v>
      </c>
      <c r="N119" s="18">
        <v>14.2699</v>
      </c>
      <c r="O119" s="18">
        <f t="shared" si="5"/>
        <v>47.6084125</v>
      </c>
      <c r="P119" s="7"/>
      <c r="Q119" s="10"/>
      <c r="R119" s="11"/>
      <c r="S119" s="11"/>
      <c r="T119" s="26"/>
      <c r="U119" s="28">
        <f t="shared" si="3"/>
        <v>-0.52676254966666669</v>
      </c>
    </row>
    <row r="120" spans="2:21" ht="16.5" thickBot="1" x14ac:dyDescent="0.3">
      <c r="B120" s="12"/>
      <c r="C120" s="19">
        <v>295.5380859375</v>
      </c>
      <c r="D120" s="20">
        <v>38.649000000000001</v>
      </c>
      <c r="E120" s="20">
        <v>40.486199999999997</v>
      </c>
      <c r="F120" s="20">
        <v>40.781700000000001</v>
      </c>
      <c r="G120" s="20">
        <v>35.680304471931493</v>
      </c>
      <c r="H120" s="20">
        <f t="shared" si="4"/>
        <v>39.1452375</v>
      </c>
      <c r="I120" s="5"/>
      <c r="J120" s="19">
        <v>280.33600000000001</v>
      </c>
      <c r="K120" s="20">
        <v>41.782299999999999</v>
      </c>
      <c r="L120" s="20">
        <v>43.596499999999999</v>
      </c>
      <c r="M120" s="20">
        <v>44.006100000000004</v>
      </c>
      <c r="N120" s="20">
        <v>19.5627</v>
      </c>
      <c r="O120" s="20">
        <f t="shared" si="5"/>
        <v>42.287050000000001</v>
      </c>
      <c r="P120" s="7"/>
      <c r="Q120" s="13"/>
      <c r="R120" s="14"/>
      <c r="S120" s="14"/>
      <c r="T120" s="27"/>
      <c r="U120" s="28">
        <f t="shared" si="3"/>
        <v>-0.45172272800000002</v>
      </c>
    </row>
    <row r="121" spans="2:21" x14ac:dyDescent="0.25">
      <c r="B121" s="6" t="s">
        <v>110</v>
      </c>
      <c r="C121" s="29">
        <v>1475.6953125</v>
      </c>
      <c r="D121" s="30">
        <v>34.352400000000003</v>
      </c>
      <c r="E121" s="30">
        <v>37.487400000000001</v>
      </c>
      <c r="F121" s="30">
        <v>36.752800000000001</v>
      </c>
      <c r="G121" s="16">
        <v>5.7738942992416957</v>
      </c>
      <c r="H121" s="16">
        <f t="shared" si="4"/>
        <v>35.044325000000001</v>
      </c>
      <c r="I121" s="5"/>
      <c r="J121" s="29">
        <v>1515.0690999999999</v>
      </c>
      <c r="K121" s="30">
        <v>34.254300000000001</v>
      </c>
      <c r="L121" s="30">
        <v>38.016500000000001</v>
      </c>
      <c r="M121" s="30">
        <v>37.271799999999999</v>
      </c>
      <c r="N121" s="16">
        <v>4.2649999999999997</v>
      </c>
      <c r="O121" s="16">
        <f t="shared" si="5"/>
        <v>35.1017625</v>
      </c>
      <c r="P121" s="7"/>
      <c r="Q121" s="8">
        <f>bdrate(C121:C124,D121:D124,J121:J124,K121:K124)</f>
        <v>2.0298951025246037E-2</v>
      </c>
      <c r="R121" s="8">
        <f>bdrate(C121:C124,E121:E124,J121:J124,L121:L124)</f>
        <v>-0.21660945911418084</v>
      </c>
      <c r="S121" s="8">
        <f>bdrate(C121:C124,F121:F124,J121:J124,M121:M124)</f>
        <v>-0.20973442020496791</v>
      </c>
      <c r="T121" s="25">
        <f>bdrate(C121:C124,H121:H124,J121:J124,O121:O124)</f>
        <v>-2.426586560345223E-2</v>
      </c>
      <c r="U121" s="28">
        <f t="shared" si="3"/>
        <v>-0.26133043333333345</v>
      </c>
    </row>
    <row r="122" spans="2:21" x14ac:dyDescent="0.25">
      <c r="B122" s="9"/>
      <c r="C122" s="31">
        <v>986.494140625</v>
      </c>
      <c r="D122" s="32">
        <v>32.346800000000002</v>
      </c>
      <c r="E122" s="32">
        <v>36.227400000000003</v>
      </c>
      <c r="F122" s="32">
        <v>35.459200000000003</v>
      </c>
      <c r="G122" s="18">
        <v>7.0099463349663909</v>
      </c>
      <c r="H122" s="18">
        <f t="shared" si="4"/>
        <v>33.220925000000001</v>
      </c>
      <c r="I122" s="5"/>
      <c r="J122" s="31">
        <v>1009.9715</v>
      </c>
      <c r="K122" s="32">
        <v>32.266599999999997</v>
      </c>
      <c r="L122" s="32">
        <v>36.885199999999998</v>
      </c>
      <c r="M122" s="32">
        <v>36.106900000000003</v>
      </c>
      <c r="N122" s="18">
        <v>4.9886999999999997</v>
      </c>
      <c r="O122" s="18">
        <f t="shared" si="5"/>
        <v>33.3239625</v>
      </c>
      <c r="P122" s="7"/>
      <c r="Q122" s="10"/>
      <c r="R122" s="11"/>
      <c r="S122" s="11"/>
      <c r="T122" s="26"/>
      <c r="U122" s="28">
        <f t="shared" si="3"/>
        <v>-0.28833977300000002</v>
      </c>
    </row>
    <row r="123" spans="2:21" x14ac:dyDescent="0.25">
      <c r="B123" s="9"/>
      <c r="C123" s="31">
        <v>592.5</v>
      </c>
      <c r="D123" s="32">
        <v>29.895600000000002</v>
      </c>
      <c r="E123" s="32">
        <v>34.735399999999998</v>
      </c>
      <c r="F123" s="32">
        <v>33.919800000000002</v>
      </c>
      <c r="G123" s="18">
        <v>8.9791683294756162</v>
      </c>
      <c r="H123" s="18">
        <f t="shared" si="4"/>
        <v>31.003600000000002</v>
      </c>
      <c r="I123" s="5"/>
      <c r="J123" s="31">
        <v>606.27549999999997</v>
      </c>
      <c r="K123" s="32">
        <v>29.920400000000001</v>
      </c>
      <c r="L123" s="32">
        <v>35.542700000000004</v>
      </c>
      <c r="M123" s="32">
        <v>34.728000000000002</v>
      </c>
      <c r="N123" s="18">
        <v>6.1620999999999997</v>
      </c>
      <c r="O123" s="18">
        <f t="shared" si="5"/>
        <v>31.224137500000001</v>
      </c>
      <c r="P123" s="7"/>
      <c r="Q123" s="10"/>
      <c r="R123" s="11"/>
      <c r="S123" s="11"/>
      <c r="T123" s="26"/>
      <c r="U123" s="28">
        <f t="shared" si="3"/>
        <v>-0.31373376977777778</v>
      </c>
    </row>
    <row r="124" spans="2:21" ht="16.5" thickBot="1" x14ac:dyDescent="0.3">
      <c r="B124" s="12"/>
      <c r="C124" s="33">
        <v>296.064453125</v>
      </c>
      <c r="D124" s="34">
        <v>26.956900000000001</v>
      </c>
      <c r="E124" s="34">
        <v>32.697800000000001</v>
      </c>
      <c r="F124" s="34">
        <v>31.842600000000001</v>
      </c>
      <c r="G124" s="20">
        <v>12.48145117672348</v>
      </c>
      <c r="H124" s="20">
        <f t="shared" si="4"/>
        <v>28.285225000000001</v>
      </c>
      <c r="I124" s="5"/>
      <c r="J124" s="33">
        <v>306.6669</v>
      </c>
      <c r="K124" s="34">
        <v>27.238499999999998</v>
      </c>
      <c r="L124" s="34">
        <v>33.695599999999999</v>
      </c>
      <c r="M124" s="34">
        <v>32.830100000000002</v>
      </c>
      <c r="N124" s="20">
        <v>8.3216000000000001</v>
      </c>
      <c r="O124" s="20">
        <f t="shared" si="5"/>
        <v>28.744587500000002</v>
      </c>
      <c r="P124" s="7"/>
      <c r="Q124" s="13"/>
      <c r="R124" s="14"/>
      <c r="S124" s="14"/>
      <c r="T124" s="27"/>
      <c r="U124" s="28">
        <f t="shared" si="3"/>
        <v>-0.3332826542222222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-2.5633426600644559E-2</v>
      </c>
      <c r="R125" s="21">
        <f>AVERAGE(R9:R124)</f>
        <v>-0.21416533419284914</v>
      </c>
      <c r="S125" s="21">
        <f>AVERAGE(S9:S124)</f>
        <v>-0.20551467081939032</v>
      </c>
      <c r="T125" s="21">
        <f>AVERAGE(T9:T124)</f>
        <v>-6.0192444966691128E-2</v>
      </c>
      <c r="U125" s="21">
        <f>AVERAGE(U9:U124)</f>
        <v>-0.35393916597691572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33:T36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45:T48 Q61:T64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49:T60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69:T76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65:T68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77:T80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21:T2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117:T117">
    <cfRule type="cellIs" dxfId="17" priority="3" operator="greaterThan">
      <formula>0.03</formula>
    </cfRule>
    <cfRule type="cellIs" dxfId="16" priority="4" stopIfTrue="1" operator="lessThan">
      <formula>-0.03</formula>
    </cfRule>
  </conditionalFormatting>
  <conditionalFormatting sqref="Q93:T96 Q101:T108 Q81:T84">
    <cfRule type="cellIs" dxfId="15" priority="17" operator="greaterThan">
      <formula>0.03</formula>
    </cfRule>
    <cfRule type="cellIs" dxfId="14" priority="18" stopIfTrue="1" operator="lessThan">
      <formula>-0.03</formula>
    </cfRule>
  </conditionalFormatting>
  <conditionalFormatting sqref="Q97:T100">
    <cfRule type="cellIs" dxfId="13" priority="15" operator="greaterThan">
      <formula>0.03</formula>
    </cfRule>
    <cfRule type="cellIs" dxfId="12" priority="16" stopIfTrue="1" operator="lessThan">
      <formula>-0.03</formula>
    </cfRule>
  </conditionalFormatting>
  <conditionalFormatting sqref="Q110:T112 Q122:T124">
    <cfRule type="cellIs" dxfId="11" priority="13" operator="greaterThan">
      <formula>0.03</formula>
    </cfRule>
    <cfRule type="cellIs" dxfId="10" priority="14" stopIfTrue="1" operator="lessThan">
      <formula>-0.03</formula>
    </cfRule>
  </conditionalFormatting>
  <conditionalFormatting sqref="Q114:T116 Q118:T120">
    <cfRule type="cellIs" dxfId="9" priority="11" operator="greaterThan">
      <formula>0.03</formula>
    </cfRule>
    <cfRule type="cellIs" dxfId="8" priority="12" stopIfTrue="1" operator="lessThan">
      <formula>-0.03</formula>
    </cfRule>
  </conditionalFormatting>
  <conditionalFormatting sqref="Q85:T92">
    <cfRule type="cellIs" dxfId="7" priority="9" operator="greaterThan">
      <formula>0.03</formula>
    </cfRule>
    <cfRule type="cellIs" dxfId="6" priority="10" stopIfTrue="1" operator="lessThan">
      <formula>-0.03</formula>
    </cfRule>
  </conditionalFormatting>
  <conditionalFormatting sqref="Q109:T109">
    <cfRule type="cellIs" dxfId="5" priority="7" operator="greaterThan">
      <formula>0.03</formula>
    </cfRule>
    <cfRule type="cellIs" dxfId="4" priority="8" stopIfTrue="1" operator="lessThan">
      <formula>-0.03</formula>
    </cfRule>
  </conditionalFormatting>
  <conditionalFormatting sqref="Q113:T113">
    <cfRule type="cellIs" dxfId="3" priority="5" operator="greaterThan">
      <formula>0.03</formula>
    </cfRule>
    <cfRule type="cellIs" dxfId="2" priority="6" stopIfTrue="1" operator="lessThan">
      <formula>-0.03</formula>
    </cfRule>
  </conditionalFormatting>
  <conditionalFormatting sqref="Q121:T121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Intra All-I</vt:lpstr>
      <vt:lpstr>Summary-sim</vt:lpstr>
      <vt:lpstr>Summary-detail</vt:lpstr>
      <vt:lpstr>X264vsQY265_offline_superfast</vt:lpstr>
      <vt:lpstr>X264vsQY265_offline_veryfast</vt:lpstr>
      <vt:lpstr>X264vsQY265_offline_slow</vt:lpstr>
      <vt:lpstr>X264vsQY265_offline_placebo</vt:lpstr>
      <vt:lpstr>X265 ultrafast svsQY265_superfa</vt:lpstr>
      <vt:lpstr>X265 ultrafast vsQY265_veryfast</vt:lpstr>
      <vt:lpstr>X265vsQY265_offline_slow</vt:lpstr>
      <vt:lpstr>X265vsQY265_offline_veryslow</vt:lpstr>
      <vt:lpstr>VP9vsQY265_offline_superfast</vt:lpstr>
      <vt:lpstr>VP9vsQY265_offline_veryfast</vt:lpstr>
      <vt:lpstr>VP9vsQY265_offline_slow</vt:lpstr>
      <vt:lpstr>VP9vsQY265_offline_veryslow</vt:lpstr>
      <vt:lpstr>IntelvsQY265_offline_superfast</vt:lpstr>
      <vt:lpstr>IntelvsQY265_offline_veryfast</vt:lpstr>
      <vt:lpstr>IntelvsQY265_offline_slow</vt:lpstr>
      <vt:lpstr>IntelvsQY265_offline_veryslow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2017-06-16T08:33:59Z</dcterms:modified>
</cp:coreProperties>
</file>