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材料\客户交流\"/>
    </mc:Choice>
  </mc:AlternateContent>
  <bookViews>
    <workbookView xWindow="0" yWindow="0" windowWidth="28800" windowHeight="12450" tabRatio="813" firstSheet="1" activeTab="1"/>
  </bookViews>
  <sheets>
    <sheet name="Intra All-I" sheetId="69" state="hidden" r:id="rId1"/>
    <sheet name="Summary-sim" sheetId="164" r:id="rId2"/>
    <sheet name="Summary-detail" sheetId="135" r:id="rId3"/>
    <sheet name="X264vsQY265_offline_superfast" sheetId="157" r:id="rId4"/>
    <sheet name="X264vsQY265_offline_veryfast" sheetId="112" r:id="rId5"/>
    <sheet name="X264vsQY265_offline_slow" sheetId="118" r:id="rId6"/>
    <sheet name="X264vsQY265_offline_placebo" sheetId="144" r:id="rId7"/>
    <sheet name="X265vsQY265_offline_superfast" sheetId="158" r:id="rId8"/>
    <sheet name="X265vsQY265_offline_veryfast" sheetId="150" r:id="rId9"/>
    <sheet name="X265vsQY265_offline_slow" sheetId="126" r:id="rId10"/>
    <sheet name="X265vsQY265_offline_veryslow" sheetId="153" r:id="rId11"/>
    <sheet name="VP9vsQY265_offline_superfast" sheetId="159" r:id="rId12"/>
    <sheet name="VP9vsQY265_offline_veryfast" sheetId="156" r:id="rId13"/>
    <sheet name="VP9vsQY265_offline_slow" sheetId="155" r:id="rId14"/>
    <sheet name="VP9vsQY265_offline_veryslow" sheetId="154" r:id="rId15"/>
    <sheet name="IntelvsQY265_offline_superfast" sheetId="163" r:id="rId16"/>
    <sheet name="IntelvsQY265_offline_veryfast" sheetId="162" r:id="rId17"/>
    <sheet name="IntelvsQY265_offline_slow" sheetId="161" r:id="rId18"/>
    <sheet name="IntelvsQY265_offline_veryslow" sheetId="160" r:id="rId19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I3" i="164" l="1"/>
  <c r="H6" i="164"/>
  <c r="H5" i="164"/>
  <c r="H4" i="164"/>
  <c r="H3" i="164"/>
  <c r="G3" i="164"/>
  <c r="F6" i="164"/>
  <c r="F5" i="164"/>
  <c r="F4" i="164"/>
  <c r="F3" i="164"/>
  <c r="D6" i="164"/>
  <c r="D5" i="164"/>
  <c r="D4" i="164"/>
  <c r="D3" i="164"/>
  <c r="B6" i="164"/>
  <c r="B5" i="164"/>
  <c r="B4" i="164"/>
  <c r="B3" i="164"/>
  <c r="G6" i="164"/>
  <c r="T9" i="154"/>
  <c r="T13" i="154"/>
  <c r="T17" i="154"/>
  <c r="T21" i="154"/>
  <c r="T25" i="154"/>
  <c r="T29" i="154"/>
  <c r="T33" i="154"/>
  <c r="T37" i="154"/>
  <c r="T41" i="154"/>
  <c r="T45" i="154"/>
  <c r="T49" i="154"/>
  <c r="T53" i="154"/>
  <c r="T57" i="154"/>
  <c r="T61" i="154"/>
  <c r="T65" i="154"/>
  <c r="T69" i="154"/>
  <c r="T73" i="154"/>
  <c r="T77" i="154"/>
  <c r="T81" i="154"/>
  <c r="T85" i="154"/>
  <c r="T89" i="154"/>
  <c r="T93" i="154"/>
  <c r="T97" i="154"/>
  <c r="T101" i="154"/>
  <c r="T105" i="154"/>
  <c r="T109" i="154"/>
  <c r="T113" i="154"/>
  <c r="T117" i="154"/>
  <c r="T121" i="154"/>
  <c r="T125" i="154"/>
  <c r="X57" i="135"/>
  <c r="G5" i="164"/>
  <c r="T131" i="155"/>
  <c r="T135" i="155"/>
  <c r="T139" i="155"/>
  <c r="T143" i="155"/>
  <c r="T147" i="155"/>
  <c r="T151" i="155"/>
  <c r="T155" i="155"/>
  <c r="T159" i="155"/>
  <c r="T163" i="155"/>
  <c r="T167" i="155"/>
  <c r="T171" i="155"/>
  <c r="T175" i="155"/>
  <c r="T179" i="155"/>
  <c r="T183" i="155"/>
  <c r="T187" i="155"/>
  <c r="T191" i="155"/>
  <c r="T195" i="155"/>
  <c r="T199" i="155"/>
  <c r="T203" i="155"/>
  <c r="T207" i="155"/>
  <c r="T211" i="155"/>
  <c r="T215" i="155"/>
  <c r="T219" i="155"/>
  <c r="T223" i="155"/>
  <c r="T227" i="155"/>
  <c r="T231" i="155"/>
  <c r="T235" i="155"/>
  <c r="T239" i="155"/>
  <c r="T243" i="155"/>
  <c r="T247" i="155"/>
  <c r="X48" i="135"/>
  <c r="G4" i="164"/>
  <c r="T131" i="156"/>
  <c r="T135" i="156"/>
  <c r="T139" i="156"/>
  <c r="T143" i="156"/>
  <c r="T147" i="156"/>
  <c r="T151" i="156"/>
  <c r="T155" i="156"/>
  <c r="T159" i="156"/>
  <c r="T163" i="156"/>
  <c r="T167" i="156"/>
  <c r="T171" i="156"/>
  <c r="T175" i="156"/>
  <c r="T179" i="156"/>
  <c r="T183" i="156"/>
  <c r="T187" i="156"/>
  <c r="T191" i="156"/>
  <c r="T195" i="156"/>
  <c r="T199" i="156"/>
  <c r="T203" i="156"/>
  <c r="T207" i="156"/>
  <c r="T211" i="156"/>
  <c r="T215" i="156"/>
  <c r="T219" i="156"/>
  <c r="T223" i="156"/>
  <c r="T227" i="156"/>
  <c r="T231" i="156"/>
  <c r="T235" i="156"/>
  <c r="T239" i="156"/>
  <c r="T243" i="156"/>
  <c r="T247" i="156"/>
  <c r="X32" i="135"/>
  <c r="T131" i="159"/>
  <c r="T135" i="159"/>
  <c r="T139" i="159"/>
  <c r="T143" i="159"/>
  <c r="T147" i="159"/>
  <c r="T151" i="159"/>
  <c r="T155" i="159"/>
  <c r="T159" i="159"/>
  <c r="T163" i="159"/>
  <c r="T167" i="159"/>
  <c r="T171" i="159"/>
  <c r="T175" i="159"/>
  <c r="T179" i="159"/>
  <c r="T183" i="159"/>
  <c r="T187" i="159"/>
  <c r="T191" i="159"/>
  <c r="T195" i="159"/>
  <c r="T199" i="159"/>
  <c r="T203" i="159"/>
  <c r="T207" i="159"/>
  <c r="T211" i="159"/>
  <c r="T215" i="159"/>
  <c r="T219" i="159"/>
  <c r="T223" i="159"/>
  <c r="T227" i="159"/>
  <c r="T231" i="159"/>
  <c r="T235" i="159"/>
  <c r="T239" i="159"/>
  <c r="T243" i="159"/>
  <c r="T247" i="159"/>
  <c r="X16" i="135"/>
  <c r="E6" i="164"/>
  <c r="T9" i="153"/>
  <c r="T13" i="153"/>
  <c r="T17" i="153"/>
  <c r="T21" i="153"/>
  <c r="T25" i="153"/>
  <c r="T29" i="153"/>
  <c r="T33" i="153"/>
  <c r="T37" i="153"/>
  <c r="T41" i="153"/>
  <c r="T45" i="153"/>
  <c r="T49" i="153"/>
  <c r="T53" i="153"/>
  <c r="T57" i="153"/>
  <c r="T61" i="153"/>
  <c r="T65" i="153"/>
  <c r="T69" i="153"/>
  <c r="T73" i="153"/>
  <c r="T77" i="153"/>
  <c r="T81" i="153"/>
  <c r="T85" i="153"/>
  <c r="T89" i="153"/>
  <c r="T93" i="153"/>
  <c r="T97" i="153"/>
  <c r="T101" i="153"/>
  <c r="T105" i="153"/>
  <c r="T109" i="153"/>
  <c r="T113" i="153"/>
  <c r="T117" i="153"/>
  <c r="T121" i="153"/>
  <c r="T125" i="153"/>
  <c r="O57" i="135"/>
  <c r="E5" i="164"/>
  <c r="T131" i="126"/>
  <c r="T135" i="126"/>
  <c r="T139" i="126"/>
  <c r="T143" i="126"/>
  <c r="T147" i="126"/>
  <c r="T151" i="126"/>
  <c r="T155" i="126"/>
  <c r="T159" i="126"/>
  <c r="T163" i="126"/>
  <c r="T167" i="126"/>
  <c r="T171" i="126"/>
  <c r="T175" i="126"/>
  <c r="T179" i="126"/>
  <c r="T183" i="126"/>
  <c r="T187" i="126"/>
  <c r="T191" i="126"/>
  <c r="T195" i="126"/>
  <c r="T199" i="126"/>
  <c r="T203" i="126"/>
  <c r="T207" i="126"/>
  <c r="T211" i="126"/>
  <c r="T215" i="126"/>
  <c r="T219" i="126"/>
  <c r="T223" i="126"/>
  <c r="T227" i="126"/>
  <c r="T231" i="126"/>
  <c r="T235" i="126"/>
  <c r="T239" i="126"/>
  <c r="T243" i="126"/>
  <c r="T247" i="126"/>
  <c r="O48" i="135"/>
  <c r="E4" i="164"/>
  <c r="T131" i="150"/>
  <c r="T135" i="150"/>
  <c r="T139" i="150"/>
  <c r="T143" i="150"/>
  <c r="T147" i="150"/>
  <c r="T151" i="150"/>
  <c r="T155" i="150"/>
  <c r="T159" i="150"/>
  <c r="T163" i="150"/>
  <c r="T167" i="150"/>
  <c r="T171" i="150"/>
  <c r="T175" i="150"/>
  <c r="T179" i="150"/>
  <c r="T183" i="150"/>
  <c r="T187" i="150"/>
  <c r="T191" i="150"/>
  <c r="T195" i="150"/>
  <c r="T199" i="150"/>
  <c r="T203" i="150"/>
  <c r="T207" i="150"/>
  <c r="T211" i="150"/>
  <c r="T215" i="150"/>
  <c r="T219" i="150"/>
  <c r="T223" i="150"/>
  <c r="T227" i="150"/>
  <c r="T231" i="150"/>
  <c r="T235" i="150"/>
  <c r="T239" i="150"/>
  <c r="T243" i="150"/>
  <c r="T247" i="150"/>
  <c r="O32" i="135"/>
  <c r="E3" i="164"/>
  <c r="T131" i="158"/>
  <c r="T135" i="158"/>
  <c r="T139" i="158"/>
  <c r="T143" i="158"/>
  <c r="T147" i="158"/>
  <c r="T151" i="158"/>
  <c r="T155" i="158"/>
  <c r="T159" i="158"/>
  <c r="T163" i="158"/>
  <c r="T167" i="158"/>
  <c r="T171" i="158"/>
  <c r="T175" i="158"/>
  <c r="T179" i="158"/>
  <c r="T183" i="158"/>
  <c r="T187" i="158"/>
  <c r="T191" i="158"/>
  <c r="T195" i="158"/>
  <c r="T199" i="158"/>
  <c r="T203" i="158"/>
  <c r="T207" i="158"/>
  <c r="T211" i="158"/>
  <c r="T215" i="158"/>
  <c r="T219" i="158"/>
  <c r="T223" i="158"/>
  <c r="T227" i="158"/>
  <c r="T231" i="158"/>
  <c r="T235" i="158"/>
  <c r="T239" i="158"/>
  <c r="T243" i="158"/>
  <c r="T247" i="158"/>
  <c r="O16" i="135"/>
  <c r="C6" i="164"/>
  <c r="T9" i="144"/>
  <c r="T13" i="144"/>
  <c r="T17" i="144"/>
  <c r="T21" i="144"/>
  <c r="T25" i="144"/>
  <c r="T29" i="144"/>
  <c r="T33" i="144"/>
  <c r="T37" i="144"/>
  <c r="T41" i="144"/>
  <c r="T45" i="144"/>
  <c r="T49" i="144"/>
  <c r="T53" i="144"/>
  <c r="T57" i="144"/>
  <c r="T61" i="144"/>
  <c r="T65" i="144"/>
  <c r="T69" i="144"/>
  <c r="T73" i="144"/>
  <c r="T77" i="144"/>
  <c r="T81" i="144"/>
  <c r="T85" i="144"/>
  <c r="T89" i="144"/>
  <c r="T93" i="144"/>
  <c r="T97" i="144"/>
  <c r="T101" i="144"/>
  <c r="T105" i="144"/>
  <c r="T109" i="144"/>
  <c r="T113" i="144"/>
  <c r="T117" i="144"/>
  <c r="T121" i="144"/>
  <c r="T125" i="144"/>
  <c r="F57" i="135"/>
  <c r="C5" i="164"/>
  <c r="T131" i="118"/>
  <c r="T135" i="118"/>
  <c r="T139" i="118"/>
  <c r="T143" i="118"/>
  <c r="T147" i="118"/>
  <c r="T151" i="118"/>
  <c r="T155" i="118"/>
  <c r="T159" i="118"/>
  <c r="T163" i="118"/>
  <c r="T167" i="118"/>
  <c r="T171" i="118"/>
  <c r="T175" i="118"/>
  <c r="T179" i="118"/>
  <c r="T183" i="118"/>
  <c r="T187" i="118"/>
  <c r="T191" i="118"/>
  <c r="T195" i="118"/>
  <c r="T199" i="118"/>
  <c r="T203" i="118"/>
  <c r="T207" i="118"/>
  <c r="T211" i="118"/>
  <c r="T215" i="118"/>
  <c r="T219" i="118"/>
  <c r="T223" i="118"/>
  <c r="T227" i="118"/>
  <c r="T231" i="118"/>
  <c r="T235" i="118"/>
  <c r="T239" i="118"/>
  <c r="T243" i="118"/>
  <c r="T247" i="118"/>
  <c r="F48" i="135"/>
  <c r="C4" i="164"/>
  <c r="T131" i="112"/>
  <c r="T135" i="112"/>
  <c r="T139" i="112"/>
  <c r="T143" i="112"/>
  <c r="T147" i="112"/>
  <c r="T151" i="112"/>
  <c r="T155" i="112"/>
  <c r="T159" i="112"/>
  <c r="T163" i="112"/>
  <c r="T167" i="112"/>
  <c r="T171" i="112"/>
  <c r="T175" i="112"/>
  <c r="T179" i="112"/>
  <c r="T183" i="112"/>
  <c r="T187" i="112"/>
  <c r="T191" i="112"/>
  <c r="T195" i="112"/>
  <c r="T199" i="112"/>
  <c r="T203" i="112"/>
  <c r="T207" i="112"/>
  <c r="T211" i="112"/>
  <c r="T215" i="112"/>
  <c r="T219" i="112"/>
  <c r="T223" i="112"/>
  <c r="T227" i="112"/>
  <c r="T231" i="112"/>
  <c r="T235" i="112"/>
  <c r="T239" i="112"/>
  <c r="T243" i="112"/>
  <c r="T247" i="112"/>
  <c r="F32" i="135"/>
  <c r="C3" i="164"/>
  <c r="T131" i="157"/>
  <c r="T135" i="157"/>
  <c r="T139" i="157"/>
  <c r="T143" i="157"/>
  <c r="T147" i="157"/>
  <c r="T151" i="157"/>
  <c r="T155" i="157"/>
  <c r="T159" i="157"/>
  <c r="T163" i="157"/>
  <c r="T167" i="157"/>
  <c r="T171" i="157"/>
  <c r="T175" i="157"/>
  <c r="T179" i="157"/>
  <c r="T183" i="157"/>
  <c r="T187" i="157"/>
  <c r="T191" i="157"/>
  <c r="T195" i="157"/>
  <c r="T199" i="157"/>
  <c r="T203" i="157"/>
  <c r="T207" i="157"/>
  <c r="T211" i="157"/>
  <c r="T215" i="157"/>
  <c r="T219" i="157"/>
  <c r="T223" i="157"/>
  <c r="T227" i="157"/>
  <c r="T231" i="157"/>
  <c r="T235" i="157"/>
  <c r="T239" i="157"/>
  <c r="T243" i="157"/>
  <c r="T247" i="157"/>
  <c r="F16" i="135"/>
  <c r="I6" i="164"/>
  <c r="T9" i="160"/>
  <c r="T13" i="160"/>
  <c r="T17" i="160"/>
  <c r="T21" i="160"/>
  <c r="T25" i="160"/>
  <c r="T29" i="160"/>
  <c r="T33" i="160"/>
  <c r="T37" i="160"/>
  <c r="T41" i="160"/>
  <c r="T45" i="160"/>
  <c r="T49" i="160"/>
  <c r="T53" i="160"/>
  <c r="T57" i="160"/>
  <c r="T61" i="160"/>
  <c r="T65" i="160"/>
  <c r="T69" i="160"/>
  <c r="T73" i="160"/>
  <c r="T77" i="160"/>
  <c r="T81" i="160"/>
  <c r="T85" i="160"/>
  <c r="T89" i="160"/>
  <c r="T93" i="160"/>
  <c r="T97" i="160"/>
  <c r="T101" i="160"/>
  <c r="T105" i="160"/>
  <c r="T109" i="160"/>
  <c r="T113" i="160"/>
  <c r="T117" i="160"/>
  <c r="T121" i="160"/>
  <c r="T125" i="160"/>
  <c r="AG36" i="135"/>
  <c r="I5" i="164"/>
  <c r="T9" i="161"/>
  <c r="T13" i="161"/>
  <c r="T17" i="161"/>
  <c r="T21" i="161"/>
  <c r="T25" i="161"/>
  <c r="T29" i="161"/>
  <c r="T33" i="161"/>
  <c r="T37" i="161"/>
  <c r="T41" i="161"/>
  <c r="T45" i="161"/>
  <c r="T49" i="161"/>
  <c r="T53" i="161"/>
  <c r="T57" i="161"/>
  <c r="T61" i="161"/>
  <c r="T65" i="161"/>
  <c r="T69" i="161"/>
  <c r="T73" i="161"/>
  <c r="T77" i="161"/>
  <c r="T81" i="161"/>
  <c r="T85" i="161"/>
  <c r="T89" i="161"/>
  <c r="T93" i="161"/>
  <c r="T97" i="161"/>
  <c r="T101" i="161"/>
  <c r="T105" i="161"/>
  <c r="T109" i="161"/>
  <c r="T113" i="161"/>
  <c r="T117" i="161"/>
  <c r="T121" i="161"/>
  <c r="T125" i="161"/>
  <c r="AG27" i="135"/>
  <c r="I4" i="164"/>
  <c r="T9" i="162"/>
  <c r="T13" i="162"/>
  <c r="T17" i="162"/>
  <c r="T21" i="162"/>
  <c r="T25" i="162"/>
  <c r="T29" i="162"/>
  <c r="T33" i="162"/>
  <c r="T37" i="162"/>
  <c r="T41" i="162"/>
  <c r="T45" i="162"/>
  <c r="T49" i="162"/>
  <c r="T53" i="162"/>
  <c r="T57" i="162"/>
  <c r="T61" i="162"/>
  <c r="T65" i="162"/>
  <c r="T69" i="162"/>
  <c r="T73" i="162"/>
  <c r="T77" i="162"/>
  <c r="T81" i="162"/>
  <c r="T85" i="162"/>
  <c r="T89" i="162"/>
  <c r="T93" i="162"/>
  <c r="T97" i="162"/>
  <c r="T101" i="162"/>
  <c r="T105" i="162"/>
  <c r="T109" i="162"/>
  <c r="T113" i="162"/>
  <c r="T117" i="162"/>
  <c r="T121" i="162"/>
  <c r="T125" i="162"/>
  <c r="AG18" i="135"/>
  <c r="T9" i="163"/>
  <c r="T13" i="163"/>
  <c r="T17" i="163"/>
  <c r="T21" i="163"/>
  <c r="T25" i="163"/>
  <c r="T29" i="163"/>
  <c r="T33" i="163"/>
  <c r="T37" i="163"/>
  <c r="T41" i="163"/>
  <c r="T45" i="163"/>
  <c r="T49" i="163"/>
  <c r="T53" i="163"/>
  <c r="T57" i="163"/>
  <c r="T61" i="163"/>
  <c r="T65" i="163"/>
  <c r="T69" i="163"/>
  <c r="T73" i="163"/>
  <c r="T77" i="163"/>
  <c r="T81" i="163"/>
  <c r="T85" i="163"/>
  <c r="T89" i="163"/>
  <c r="T93" i="163"/>
  <c r="T97" i="163"/>
  <c r="T101" i="163"/>
  <c r="T105" i="163"/>
  <c r="T109" i="163"/>
  <c r="T113" i="163"/>
  <c r="T117" i="163"/>
  <c r="T121" i="163"/>
  <c r="T125" i="163"/>
  <c r="AG9" i="135"/>
  <c r="AH36" i="135"/>
  <c r="AH35" i="135"/>
  <c r="AH34" i="135"/>
  <c r="AH33" i="135"/>
  <c r="AH32" i="135"/>
  <c r="AH31" i="135"/>
  <c r="AH30" i="135"/>
  <c r="AH27" i="135"/>
  <c r="AH26" i="135"/>
  <c r="AH25" i="135"/>
  <c r="AH24" i="135"/>
  <c r="AH23" i="135"/>
  <c r="AH22" i="135"/>
  <c r="AH21" i="135"/>
  <c r="AH18" i="135"/>
  <c r="AH17" i="135"/>
  <c r="AH16" i="135"/>
  <c r="AH15" i="135"/>
  <c r="AH14" i="135"/>
  <c r="AH13" i="135"/>
  <c r="AH12" i="135"/>
  <c r="AH9" i="135"/>
  <c r="AH8" i="135"/>
  <c r="AH7" i="135"/>
  <c r="AH6" i="135"/>
  <c r="AH5" i="135"/>
  <c r="AH4" i="135"/>
  <c r="AH3" i="135"/>
  <c r="AG35" i="135"/>
  <c r="AG34" i="135"/>
  <c r="AG33" i="135"/>
  <c r="AG32" i="135"/>
  <c r="AG31" i="135"/>
  <c r="AG30" i="135"/>
  <c r="AG26" i="135"/>
  <c r="AG25" i="135"/>
  <c r="AG24" i="135"/>
  <c r="AG23" i="135"/>
  <c r="AG22" i="135"/>
  <c r="AG21" i="135"/>
  <c r="AG17" i="135"/>
  <c r="AG16" i="135"/>
  <c r="AG15" i="135"/>
  <c r="AG14" i="135"/>
  <c r="AG13" i="135"/>
  <c r="AG12" i="135"/>
  <c r="AG8" i="135"/>
  <c r="AG7" i="135"/>
  <c r="AG6" i="135"/>
  <c r="AG5" i="135"/>
  <c r="AG4" i="135"/>
  <c r="AG3" i="135"/>
  <c r="S9" i="160"/>
  <c r="S13" i="160"/>
  <c r="S17" i="160"/>
  <c r="S21" i="160"/>
  <c r="S25" i="160"/>
  <c r="S29" i="160"/>
  <c r="S33" i="160"/>
  <c r="S37" i="160"/>
  <c r="S41" i="160"/>
  <c r="S45" i="160"/>
  <c r="S49" i="160"/>
  <c r="S53" i="160"/>
  <c r="S57" i="160"/>
  <c r="S61" i="160"/>
  <c r="S65" i="160"/>
  <c r="S69" i="160"/>
  <c r="S73" i="160"/>
  <c r="S77" i="160"/>
  <c r="S81" i="160"/>
  <c r="S85" i="160"/>
  <c r="S89" i="160"/>
  <c r="S93" i="160"/>
  <c r="S97" i="160"/>
  <c r="S101" i="160"/>
  <c r="S105" i="160"/>
  <c r="S109" i="160"/>
  <c r="S113" i="160"/>
  <c r="S117" i="160"/>
  <c r="S121" i="160"/>
  <c r="S125" i="160"/>
  <c r="AF36" i="135"/>
  <c r="AF35" i="135"/>
  <c r="AF34" i="135"/>
  <c r="AF33" i="135"/>
  <c r="AF32" i="135"/>
  <c r="AF31" i="135"/>
  <c r="AF30" i="135"/>
  <c r="S9" i="161"/>
  <c r="S13" i="161"/>
  <c r="S17" i="161"/>
  <c r="S21" i="161"/>
  <c r="S25" i="161"/>
  <c r="S29" i="161"/>
  <c r="S33" i="161"/>
  <c r="S37" i="161"/>
  <c r="S41" i="161"/>
  <c r="S45" i="161"/>
  <c r="S49" i="161"/>
  <c r="S53" i="161"/>
  <c r="S57" i="161"/>
  <c r="S61" i="161"/>
  <c r="S65" i="161"/>
  <c r="S69" i="161"/>
  <c r="S73" i="161"/>
  <c r="S77" i="161"/>
  <c r="S81" i="161"/>
  <c r="S85" i="161"/>
  <c r="S89" i="161"/>
  <c r="S93" i="161"/>
  <c r="S97" i="161"/>
  <c r="S101" i="161"/>
  <c r="S105" i="161"/>
  <c r="S109" i="161"/>
  <c r="S113" i="161"/>
  <c r="S117" i="161"/>
  <c r="S121" i="161"/>
  <c r="S125" i="161"/>
  <c r="AF27" i="135"/>
  <c r="AF26" i="135"/>
  <c r="AF25" i="135"/>
  <c r="AF24" i="135"/>
  <c r="AF23" i="135"/>
  <c r="AF22" i="135"/>
  <c r="AF21" i="135"/>
  <c r="S9" i="162"/>
  <c r="S13" i="162"/>
  <c r="S17" i="162"/>
  <c r="S21" i="162"/>
  <c r="S25" i="162"/>
  <c r="S29" i="162"/>
  <c r="S33" i="162"/>
  <c r="S37" i="162"/>
  <c r="S41" i="162"/>
  <c r="S45" i="162"/>
  <c r="S49" i="162"/>
  <c r="S53" i="162"/>
  <c r="S57" i="162"/>
  <c r="S61" i="162"/>
  <c r="S65" i="162"/>
  <c r="S69" i="162"/>
  <c r="S73" i="162"/>
  <c r="S77" i="162"/>
  <c r="S81" i="162"/>
  <c r="S85" i="162"/>
  <c r="S89" i="162"/>
  <c r="S93" i="162"/>
  <c r="S97" i="162"/>
  <c r="S101" i="162"/>
  <c r="S105" i="162"/>
  <c r="S109" i="162"/>
  <c r="S113" i="162"/>
  <c r="S117" i="162"/>
  <c r="S121" i="162"/>
  <c r="S125" i="162"/>
  <c r="AF18" i="135"/>
  <c r="AF17" i="135"/>
  <c r="AF16" i="135"/>
  <c r="AF15" i="135"/>
  <c r="AF14" i="135"/>
  <c r="AF13" i="135"/>
  <c r="AF12" i="135"/>
  <c r="S9" i="163"/>
  <c r="S13" i="163"/>
  <c r="S17" i="163"/>
  <c r="S21" i="163"/>
  <c r="S25" i="163"/>
  <c r="S29" i="163"/>
  <c r="S33" i="163"/>
  <c r="S37" i="163"/>
  <c r="S41" i="163"/>
  <c r="S45" i="163"/>
  <c r="S49" i="163"/>
  <c r="S53" i="163"/>
  <c r="S57" i="163"/>
  <c r="S61" i="163"/>
  <c r="S65" i="163"/>
  <c r="S69" i="163"/>
  <c r="S73" i="163"/>
  <c r="S77" i="163"/>
  <c r="S81" i="163"/>
  <c r="S85" i="163"/>
  <c r="S89" i="163"/>
  <c r="S93" i="163"/>
  <c r="S97" i="163"/>
  <c r="S101" i="163"/>
  <c r="S105" i="163"/>
  <c r="S109" i="163"/>
  <c r="S113" i="163"/>
  <c r="S117" i="163"/>
  <c r="S121" i="163"/>
  <c r="S125" i="163"/>
  <c r="AF9" i="135"/>
  <c r="AF8" i="135"/>
  <c r="AF7" i="135"/>
  <c r="AF6" i="135"/>
  <c r="AF5" i="135"/>
  <c r="AF4" i="135"/>
  <c r="AF3" i="135"/>
  <c r="R9" i="160"/>
  <c r="R13" i="160"/>
  <c r="R17" i="160"/>
  <c r="R21" i="160"/>
  <c r="R25" i="160"/>
  <c r="R29" i="160"/>
  <c r="R33" i="160"/>
  <c r="R37" i="160"/>
  <c r="R41" i="160"/>
  <c r="R45" i="160"/>
  <c r="R49" i="160"/>
  <c r="R53" i="160"/>
  <c r="R57" i="160"/>
  <c r="R61" i="160"/>
  <c r="R65" i="160"/>
  <c r="R69" i="160"/>
  <c r="R73" i="160"/>
  <c r="R77" i="160"/>
  <c r="R81" i="160"/>
  <c r="R85" i="160"/>
  <c r="R89" i="160"/>
  <c r="R93" i="160"/>
  <c r="R97" i="160"/>
  <c r="R101" i="160"/>
  <c r="R105" i="160"/>
  <c r="R109" i="160"/>
  <c r="R113" i="160"/>
  <c r="R117" i="160"/>
  <c r="R121" i="160"/>
  <c r="R125" i="160"/>
  <c r="AE36" i="135"/>
  <c r="AE35" i="135"/>
  <c r="AE34" i="135"/>
  <c r="AE33" i="135"/>
  <c r="AE32" i="135"/>
  <c r="AE31" i="135"/>
  <c r="AE30" i="135"/>
  <c r="R9" i="161"/>
  <c r="R13" i="161"/>
  <c r="R17" i="161"/>
  <c r="R21" i="161"/>
  <c r="R25" i="161"/>
  <c r="R29" i="161"/>
  <c r="R33" i="161"/>
  <c r="R37" i="161"/>
  <c r="R41" i="161"/>
  <c r="R45" i="161"/>
  <c r="R49" i="161"/>
  <c r="R53" i="161"/>
  <c r="R57" i="161"/>
  <c r="R61" i="161"/>
  <c r="R65" i="161"/>
  <c r="R69" i="161"/>
  <c r="R73" i="161"/>
  <c r="R77" i="161"/>
  <c r="R81" i="161"/>
  <c r="R85" i="161"/>
  <c r="R89" i="161"/>
  <c r="R93" i="161"/>
  <c r="R97" i="161"/>
  <c r="R101" i="161"/>
  <c r="R105" i="161"/>
  <c r="R109" i="161"/>
  <c r="R113" i="161"/>
  <c r="R117" i="161"/>
  <c r="R121" i="161"/>
  <c r="R125" i="161"/>
  <c r="AE27" i="135"/>
  <c r="AE26" i="135"/>
  <c r="AE25" i="135"/>
  <c r="AE24" i="135"/>
  <c r="AE23" i="135"/>
  <c r="AE22" i="135"/>
  <c r="AE21" i="135"/>
  <c r="R9" i="162"/>
  <c r="R13" i="162"/>
  <c r="R17" i="162"/>
  <c r="R21" i="162"/>
  <c r="R25" i="162"/>
  <c r="R29" i="162"/>
  <c r="R33" i="162"/>
  <c r="R37" i="162"/>
  <c r="R41" i="162"/>
  <c r="R45" i="162"/>
  <c r="R49" i="162"/>
  <c r="R53" i="162"/>
  <c r="R57" i="162"/>
  <c r="R61" i="162"/>
  <c r="R65" i="162"/>
  <c r="R69" i="162"/>
  <c r="R73" i="162"/>
  <c r="R77" i="162"/>
  <c r="R81" i="162"/>
  <c r="R85" i="162"/>
  <c r="R89" i="162"/>
  <c r="R93" i="162"/>
  <c r="R97" i="162"/>
  <c r="R101" i="162"/>
  <c r="R105" i="162"/>
  <c r="R109" i="162"/>
  <c r="R113" i="162"/>
  <c r="R117" i="162"/>
  <c r="R121" i="162"/>
  <c r="R125" i="162"/>
  <c r="AE18" i="135"/>
  <c r="AE17" i="135"/>
  <c r="AE16" i="135"/>
  <c r="AE15" i="135"/>
  <c r="AE14" i="135"/>
  <c r="AE13" i="135"/>
  <c r="AE12" i="135"/>
  <c r="R9" i="163"/>
  <c r="R13" i="163"/>
  <c r="R17" i="163"/>
  <c r="R21" i="163"/>
  <c r="R25" i="163"/>
  <c r="R29" i="163"/>
  <c r="R33" i="163"/>
  <c r="R37" i="163"/>
  <c r="R41" i="163"/>
  <c r="R45" i="163"/>
  <c r="R49" i="163"/>
  <c r="R53" i="163"/>
  <c r="R57" i="163"/>
  <c r="R61" i="163"/>
  <c r="R65" i="163"/>
  <c r="R69" i="163"/>
  <c r="R73" i="163"/>
  <c r="R77" i="163"/>
  <c r="R81" i="163"/>
  <c r="R85" i="163"/>
  <c r="R89" i="163"/>
  <c r="R93" i="163"/>
  <c r="R97" i="163"/>
  <c r="R101" i="163"/>
  <c r="R105" i="163"/>
  <c r="R109" i="163"/>
  <c r="R113" i="163"/>
  <c r="R117" i="163"/>
  <c r="R121" i="163"/>
  <c r="R125" i="163"/>
  <c r="AE9" i="135"/>
  <c r="AE8" i="135"/>
  <c r="AE7" i="135"/>
  <c r="AE6" i="135"/>
  <c r="AE5" i="135"/>
  <c r="AE4" i="135"/>
  <c r="AE3" i="135"/>
  <c r="Q9" i="160"/>
  <c r="Q13" i="160"/>
  <c r="Q17" i="160"/>
  <c r="Q21" i="160"/>
  <c r="Q25" i="160"/>
  <c r="Q29" i="160"/>
  <c r="Q33" i="160"/>
  <c r="Q37" i="160"/>
  <c r="Q41" i="160"/>
  <c r="Q45" i="160"/>
  <c r="Q49" i="160"/>
  <c r="Q53" i="160"/>
  <c r="Q57" i="160"/>
  <c r="Q61" i="160"/>
  <c r="Q65" i="160"/>
  <c r="Q69" i="160"/>
  <c r="Q73" i="160"/>
  <c r="Q77" i="160"/>
  <c r="Q81" i="160"/>
  <c r="Q85" i="160"/>
  <c r="Q89" i="160"/>
  <c r="Q93" i="160"/>
  <c r="Q97" i="160"/>
  <c r="Q101" i="160"/>
  <c r="Q105" i="160"/>
  <c r="Q109" i="160"/>
  <c r="Q113" i="160"/>
  <c r="Q117" i="160"/>
  <c r="Q121" i="160"/>
  <c r="Q125" i="160"/>
  <c r="AD36" i="135"/>
  <c r="AD35" i="135"/>
  <c r="AD34" i="135"/>
  <c r="AD33" i="135"/>
  <c r="AD32" i="135"/>
  <c r="AD31" i="135"/>
  <c r="AD30" i="135"/>
  <c r="Q9" i="161"/>
  <c r="Q13" i="161"/>
  <c r="Q17" i="161"/>
  <c r="Q21" i="161"/>
  <c r="Q25" i="161"/>
  <c r="Q29" i="161"/>
  <c r="Q33" i="161"/>
  <c r="Q37" i="161"/>
  <c r="Q41" i="161"/>
  <c r="Q45" i="161"/>
  <c r="Q49" i="161"/>
  <c r="Q53" i="161"/>
  <c r="Q57" i="161"/>
  <c r="Q61" i="161"/>
  <c r="Q65" i="161"/>
  <c r="Q69" i="161"/>
  <c r="Q73" i="161"/>
  <c r="Q77" i="161"/>
  <c r="Q81" i="161"/>
  <c r="Q85" i="161"/>
  <c r="Q89" i="161"/>
  <c r="Q93" i="161"/>
  <c r="Q97" i="161"/>
  <c r="Q101" i="161"/>
  <c r="Q105" i="161"/>
  <c r="Q109" i="161"/>
  <c r="Q113" i="161"/>
  <c r="Q117" i="161"/>
  <c r="Q121" i="161"/>
  <c r="Q125" i="161"/>
  <c r="AD27" i="135"/>
  <c r="AD26" i="135"/>
  <c r="AD25" i="135"/>
  <c r="AD24" i="135"/>
  <c r="AD23" i="135"/>
  <c r="AD22" i="135"/>
  <c r="AD21" i="135"/>
  <c r="Q9" i="162"/>
  <c r="Q13" i="162"/>
  <c r="Q17" i="162"/>
  <c r="Q21" i="162"/>
  <c r="Q25" i="162"/>
  <c r="Q29" i="162"/>
  <c r="Q33" i="162"/>
  <c r="Q37" i="162"/>
  <c r="Q41" i="162"/>
  <c r="Q45" i="162"/>
  <c r="Q49" i="162"/>
  <c r="Q53" i="162"/>
  <c r="Q57" i="162"/>
  <c r="Q61" i="162"/>
  <c r="Q65" i="162"/>
  <c r="Q69" i="162"/>
  <c r="Q73" i="162"/>
  <c r="Q77" i="162"/>
  <c r="Q81" i="162"/>
  <c r="Q85" i="162"/>
  <c r="Q89" i="162"/>
  <c r="Q93" i="162"/>
  <c r="Q97" i="162"/>
  <c r="Q101" i="162"/>
  <c r="Q105" i="162"/>
  <c r="Q109" i="162"/>
  <c r="Q113" i="162"/>
  <c r="Q117" i="162"/>
  <c r="Q121" i="162"/>
  <c r="Q125" i="162"/>
  <c r="AD18" i="135"/>
  <c r="AD17" i="135"/>
  <c r="AD16" i="135"/>
  <c r="AD15" i="135"/>
  <c r="AD14" i="135"/>
  <c r="AD13" i="135"/>
  <c r="AD12" i="135"/>
  <c r="Q9" i="163"/>
  <c r="Q13" i="163"/>
  <c r="Q17" i="163"/>
  <c r="Q21" i="163"/>
  <c r="Q25" i="163"/>
  <c r="Q29" i="163"/>
  <c r="Q33" i="163"/>
  <c r="Q37" i="163"/>
  <c r="Q41" i="163"/>
  <c r="Q45" i="163"/>
  <c r="Q49" i="163"/>
  <c r="Q53" i="163"/>
  <c r="Q57" i="163"/>
  <c r="Q61" i="163"/>
  <c r="Q65" i="163"/>
  <c r="Q69" i="163"/>
  <c r="Q73" i="163"/>
  <c r="Q77" i="163"/>
  <c r="Q81" i="163"/>
  <c r="Q85" i="163"/>
  <c r="Q89" i="163"/>
  <c r="Q93" i="163"/>
  <c r="Q97" i="163"/>
  <c r="Q101" i="163"/>
  <c r="Q105" i="163"/>
  <c r="Q109" i="163"/>
  <c r="Q113" i="163"/>
  <c r="Q117" i="163"/>
  <c r="Q121" i="163"/>
  <c r="Q125" i="163"/>
  <c r="AD9" i="135"/>
  <c r="AD8" i="135"/>
  <c r="AD7" i="135"/>
  <c r="AD6" i="135"/>
  <c r="AD5" i="135"/>
  <c r="AD4" i="135"/>
  <c r="AD3" i="135"/>
  <c r="Y3" i="135"/>
  <c r="T9" i="159"/>
  <c r="T13" i="159"/>
  <c r="X3" i="135"/>
  <c r="S9" i="159"/>
  <c r="S13" i="159"/>
  <c r="W3" i="135"/>
  <c r="R9" i="159"/>
  <c r="R13" i="159"/>
  <c r="V3" i="135"/>
  <c r="U9" i="158"/>
  <c r="U10" i="158"/>
  <c r="U11" i="158"/>
  <c r="U12" i="158"/>
  <c r="U13" i="158"/>
  <c r="U14" i="158"/>
  <c r="U15" i="158"/>
  <c r="U16" i="158"/>
  <c r="P3" i="135"/>
  <c r="H9" i="158"/>
  <c r="H10" i="158"/>
  <c r="H11" i="158"/>
  <c r="H12" i="158"/>
  <c r="T9" i="158"/>
  <c r="H13" i="158"/>
  <c r="H14" i="158"/>
  <c r="H15" i="158"/>
  <c r="H16" i="158"/>
  <c r="T13" i="158"/>
  <c r="O3" i="135"/>
  <c r="S9" i="158"/>
  <c r="S13" i="158"/>
  <c r="N3" i="135"/>
  <c r="R9" i="158"/>
  <c r="R13" i="158"/>
  <c r="M3" i="135"/>
  <c r="G3" i="135"/>
  <c r="T9" i="157"/>
  <c r="T13" i="157"/>
  <c r="F3" i="135"/>
  <c r="S9" i="157"/>
  <c r="S13" i="157"/>
  <c r="E3" i="135"/>
  <c r="R9" i="157"/>
  <c r="R13" i="157"/>
  <c r="D3" i="135"/>
  <c r="U9" i="160"/>
  <c r="U10" i="160"/>
  <c r="U11" i="160"/>
  <c r="U12" i="160"/>
  <c r="U13" i="160"/>
  <c r="U14" i="160"/>
  <c r="U15" i="160"/>
  <c r="U16" i="160"/>
  <c r="U17" i="160"/>
  <c r="U18" i="160"/>
  <c r="U19" i="160"/>
  <c r="U20" i="160"/>
  <c r="U21" i="160"/>
  <c r="U22" i="160"/>
  <c r="U23" i="160"/>
  <c r="U24" i="160"/>
  <c r="U25" i="160"/>
  <c r="U26" i="160"/>
  <c r="U27" i="160"/>
  <c r="U28" i="160"/>
  <c r="U29" i="160"/>
  <c r="U30" i="160"/>
  <c r="U31" i="160"/>
  <c r="U32" i="160"/>
  <c r="U33" i="160"/>
  <c r="U34" i="160"/>
  <c r="U35" i="160"/>
  <c r="U36" i="160"/>
  <c r="U37" i="160"/>
  <c r="U38" i="160"/>
  <c r="U39" i="160"/>
  <c r="U40" i="160"/>
  <c r="U41" i="160"/>
  <c r="U42" i="160"/>
  <c r="U43" i="160"/>
  <c r="U44" i="160"/>
  <c r="U45" i="160"/>
  <c r="U46" i="160"/>
  <c r="U47" i="160"/>
  <c r="U48" i="160"/>
  <c r="U49" i="160"/>
  <c r="U50" i="160"/>
  <c r="U51" i="160"/>
  <c r="U52" i="160"/>
  <c r="U53" i="160"/>
  <c r="U54" i="160"/>
  <c r="U55" i="160"/>
  <c r="U56" i="160"/>
  <c r="U57" i="160"/>
  <c r="U58" i="160"/>
  <c r="U59" i="160"/>
  <c r="U60" i="160"/>
  <c r="U61" i="160"/>
  <c r="U62" i="160"/>
  <c r="U63" i="160"/>
  <c r="U64" i="160"/>
  <c r="U65" i="160"/>
  <c r="U66" i="160"/>
  <c r="U67" i="160"/>
  <c r="U68" i="160"/>
  <c r="U69" i="160"/>
  <c r="U70" i="160"/>
  <c r="U71" i="160"/>
  <c r="U72" i="160"/>
  <c r="U73" i="160"/>
  <c r="U74" i="160"/>
  <c r="U75" i="160"/>
  <c r="U76" i="160"/>
  <c r="U77" i="160"/>
  <c r="U78" i="160"/>
  <c r="U79" i="160"/>
  <c r="U80" i="160"/>
  <c r="U81" i="160"/>
  <c r="U82" i="160"/>
  <c r="U83" i="160"/>
  <c r="U84" i="160"/>
  <c r="U85" i="160"/>
  <c r="U86" i="160"/>
  <c r="U87" i="160"/>
  <c r="U88" i="160"/>
  <c r="U89" i="160"/>
  <c r="U90" i="160"/>
  <c r="U91" i="160"/>
  <c r="U92" i="160"/>
  <c r="U93" i="160"/>
  <c r="U94" i="160"/>
  <c r="U95" i="160"/>
  <c r="U96" i="160"/>
  <c r="U97" i="160"/>
  <c r="U98" i="160"/>
  <c r="U99" i="160"/>
  <c r="U100" i="160"/>
  <c r="U101" i="160"/>
  <c r="U102" i="160"/>
  <c r="U103" i="160"/>
  <c r="U104" i="160"/>
  <c r="U105" i="160"/>
  <c r="U106" i="160"/>
  <c r="U107" i="160"/>
  <c r="U108" i="160"/>
  <c r="U109" i="160"/>
  <c r="U110" i="160"/>
  <c r="U111" i="160"/>
  <c r="U112" i="160"/>
  <c r="U113" i="160"/>
  <c r="U114" i="160"/>
  <c r="U115" i="160"/>
  <c r="U116" i="160"/>
  <c r="U117" i="160"/>
  <c r="U118" i="160"/>
  <c r="U119" i="160"/>
  <c r="U120" i="160"/>
  <c r="U121" i="160"/>
  <c r="U122" i="160"/>
  <c r="U123" i="160"/>
  <c r="U124" i="160"/>
  <c r="U125" i="160"/>
  <c r="H9" i="160"/>
  <c r="H10" i="160"/>
  <c r="H11" i="160"/>
  <c r="O9" i="160"/>
  <c r="H12" i="160"/>
  <c r="O10" i="160"/>
  <c r="O11" i="160"/>
  <c r="O12" i="160"/>
  <c r="H13" i="160"/>
  <c r="H14" i="160"/>
  <c r="H15" i="160"/>
  <c r="O13" i="160"/>
  <c r="H16" i="160"/>
  <c r="O14" i="160"/>
  <c r="O15" i="160"/>
  <c r="O16" i="160"/>
  <c r="H17" i="160"/>
  <c r="H18" i="160"/>
  <c r="H19" i="160"/>
  <c r="O17" i="160"/>
  <c r="H20" i="160"/>
  <c r="O18" i="160"/>
  <c r="O19" i="160"/>
  <c r="O20" i="160"/>
  <c r="H21" i="160"/>
  <c r="H22" i="160"/>
  <c r="H23" i="160"/>
  <c r="O21" i="160"/>
  <c r="H24" i="160"/>
  <c r="O22" i="160"/>
  <c r="O23" i="160"/>
  <c r="O24" i="160"/>
  <c r="H25" i="160"/>
  <c r="H26" i="160"/>
  <c r="H27" i="160"/>
  <c r="O25" i="160"/>
  <c r="H28" i="160"/>
  <c r="O26" i="160"/>
  <c r="O27" i="160"/>
  <c r="O28" i="160"/>
  <c r="H29" i="160"/>
  <c r="H30" i="160"/>
  <c r="H31" i="160"/>
  <c r="O29" i="160"/>
  <c r="H32" i="160"/>
  <c r="O30" i="160"/>
  <c r="O31" i="160"/>
  <c r="O32" i="160"/>
  <c r="H33" i="160"/>
  <c r="H34" i="160"/>
  <c r="H35" i="160"/>
  <c r="O33" i="160"/>
  <c r="H36" i="160"/>
  <c r="O34" i="160"/>
  <c r="O35" i="160"/>
  <c r="O36" i="160"/>
  <c r="H37" i="160"/>
  <c r="H38" i="160"/>
  <c r="H39" i="160"/>
  <c r="O37" i="160"/>
  <c r="H40" i="160"/>
  <c r="O38" i="160"/>
  <c r="O39" i="160"/>
  <c r="O40" i="160"/>
  <c r="H41" i="160"/>
  <c r="H42" i="160"/>
  <c r="H43" i="160"/>
  <c r="O41" i="160"/>
  <c r="H44" i="160"/>
  <c r="O42" i="160"/>
  <c r="O43" i="160"/>
  <c r="O44" i="160"/>
  <c r="H45" i="160"/>
  <c r="H46" i="160"/>
  <c r="H47" i="160"/>
  <c r="O45" i="160"/>
  <c r="H48" i="160"/>
  <c r="O46" i="160"/>
  <c r="O47" i="160"/>
  <c r="O48" i="160"/>
  <c r="H49" i="160"/>
  <c r="H50" i="160"/>
  <c r="H51" i="160"/>
  <c r="O49" i="160"/>
  <c r="H52" i="160"/>
  <c r="O50" i="160"/>
  <c r="O51" i="160"/>
  <c r="O52" i="160"/>
  <c r="H53" i="160"/>
  <c r="H54" i="160"/>
  <c r="H55" i="160"/>
  <c r="O53" i="160"/>
  <c r="H56" i="160"/>
  <c r="O54" i="160"/>
  <c r="O55" i="160"/>
  <c r="O56" i="160"/>
  <c r="H57" i="160"/>
  <c r="H58" i="160"/>
  <c r="H59" i="160"/>
  <c r="O57" i="160"/>
  <c r="H60" i="160"/>
  <c r="O58" i="160"/>
  <c r="O59" i="160"/>
  <c r="O60" i="160"/>
  <c r="H61" i="160"/>
  <c r="H62" i="160"/>
  <c r="H63" i="160"/>
  <c r="O61" i="160"/>
  <c r="H64" i="160"/>
  <c r="O62" i="160"/>
  <c r="O63" i="160"/>
  <c r="O64" i="160"/>
  <c r="H65" i="160"/>
  <c r="H66" i="160"/>
  <c r="H67" i="160"/>
  <c r="O65" i="160"/>
  <c r="H68" i="160"/>
  <c r="O66" i="160"/>
  <c r="O67" i="160"/>
  <c r="O68" i="160"/>
  <c r="H69" i="160"/>
  <c r="H70" i="160"/>
  <c r="H71" i="160"/>
  <c r="O69" i="160"/>
  <c r="H72" i="160"/>
  <c r="O70" i="160"/>
  <c r="O71" i="160"/>
  <c r="O72" i="160"/>
  <c r="H73" i="160"/>
  <c r="H74" i="160"/>
  <c r="H75" i="160"/>
  <c r="O73" i="160"/>
  <c r="H76" i="160"/>
  <c r="O74" i="160"/>
  <c r="O75" i="160"/>
  <c r="O76" i="160"/>
  <c r="H77" i="160"/>
  <c r="H78" i="160"/>
  <c r="H79" i="160"/>
  <c r="O77" i="160"/>
  <c r="H80" i="160"/>
  <c r="O78" i="160"/>
  <c r="O79" i="160"/>
  <c r="O80" i="160"/>
  <c r="H81" i="160"/>
  <c r="H82" i="160"/>
  <c r="H83" i="160"/>
  <c r="O81" i="160"/>
  <c r="H84" i="160"/>
  <c r="O82" i="160"/>
  <c r="O83" i="160"/>
  <c r="O84" i="160"/>
  <c r="H85" i="160"/>
  <c r="H86" i="160"/>
  <c r="H87" i="160"/>
  <c r="O85" i="160"/>
  <c r="H88" i="160"/>
  <c r="O86" i="160"/>
  <c r="O87" i="160"/>
  <c r="O88" i="160"/>
  <c r="H89" i="160"/>
  <c r="H90" i="160"/>
  <c r="H91" i="160"/>
  <c r="O89" i="160"/>
  <c r="H92" i="160"/>
  <c r="O90" i="160"/>
  <c r="O91" i="160"/>
  <c r="O92" i="160"/>
  <c r="H93" i="160"/>
  <c r="H94" i="160"/>
  <c r="H95" i="160"/>
  <c r="O93" i="160"/>
  <c r="H96" i="160"/>
  <c r="O94" i="160"/>
  <c r="O95" i="160"/>
  <c r="O96" i="160"/>
  <c r="H97" i="160"/>
  <c r="H98" i="160"/>
  <c r="H99" i="160"/>
  <c r="O97" i="160"/>
  <c r="H100" i="160"/>
  <c r="O98" i="160"/>
  <c r="O99" i="160"/>
  <c r="O100" i="160"/>
  <c r="H101" i="160"/>
  <c r="H102" i="160"/>
  <c r="H103" i="160"/>
  <c r="O101" i="160"/>
  <c r="H104" i="160"/>
  <c r="O102" i="160"/>
  <c r="O103" i="160"/>
  <c r="O104" i="160"/>
  <c r="H105" i="160"/>
  <c r="H106" i="160"/>
  <c r="H107" i="160"/>
  <c r="O105" i="160"/>
  <c r="H108" i="160"/>
  <c r="O106" i="160"/>
  <c r="O107" i="160"/>
  <c r="O108" i="160"/>
  <c r="H109" i="160"/>
  <c r="H110" i="160"/>
  <c r="H111" i="160"/>
  <c r="O109" i="160"/>
  <c r="H112" i="160"/>
  <c r="O110" i="160"/>
  <c r="O111" i="160"/>
  <c r="O112" i="160"/>
  <c r="H113" i="160"/>
  <c r="H114" i="160"/>
  <c r="H115" i="160"/>
  <c r="O113" i="160"/>
  <c r="H116" i="160"/>
  <c r="O114" i="160"/>
  <c r="O115" i="160"/>
  <c r="O116" i="160"/>
  <c r="H117" i="160"/>
  <c r="H118" i="160"/>
  <c r="H119" i="160"/>
  <c r="O117" i="160"/>
  <c r="H120" i="160"/>
  <c r="O118" i="160"/>
  <c r="O119" i="160"/>
  <c r="O120" i="160"/>
  <c r="H121" i="160"/>
  <c r="H122" i="160"/>
  <c r="H123" i="160"/>
  <c r="O121" i="160"/>
  <c r="H124" i="160"/>
  <c r="O122" i="160"/>
  <c r="O123" i="160"/>
  <c r="O124" i="160"/>
  <c r="U9" i="161"/>
  <c r="U10" i="161"/>
  <c r="U11" i="161"/>
  <c r="U12" i="161"/>
  <c r="U13" i="161"/>
  <c r="U14" i="161"/>
  <c r="U15" i="161"/>
  <c r="U16" i="161"/>
  <c r="U17" i="161"/>
  <c r="U18" i="161"/>
  <c r="U19" i="161"/>
  <c r="U20" i="161"/>
  <c r="U21" i="161"/>
  <c r="U22" i="161"/>
  <c r="U23" i="161"/>
  <c r="U24" i="161"/>
  <c r="U25" i="161"/>
  <c r="U26" i="161"/>
  <c r="U27" i="161"/>
  <c r="U28" i="161"/>
  <c r="U29" i="161"/>
  <c r="U30" i="161"/>
  <c r="U31" i="161"/>
  <c r="U32" i="161"/>
  <c r="U33" i="161"/>
  <c r="U34" i="161"/>
  <c r="U35" i="161"/>
  <c r="U36" i="161"/>
  <c r="U37" i="161"/>
  <c r="U38" i="161"/>
  <c r="U39" i="161"/>
  <c r="U40" i="161"/>
  <c r="U41" i="161"/>
  <c r="U42" i="161"/>
  <c r="U43" i="161"/>
  <c r="U44" i="161"/>
  <c r="U45" i="161"/>
  <c r="U46" i="161"/>
  <c r="U47" i="161"/>
  <c r="U48" i="161"/>
  <c r="U49" i="161"/>
  <c r="U50" i="161"/>
  <c r="U51" i="161"/>
  <c r="U52" i="161"/>
  <c r="U53" i="161"/>
  <c r="U54" i="161"/>
  <c r="U55" i="161"/>
  <c r="U56" i="161"/>
  <c r="U57" i="161"/>
  <c r="U58" i="161"/>
  <c r="U59" i="161"/>
  <c r="U60" i="161"/>
  <c r="U61" i="161"/>
  <c r="U62" i="161"/>
  <c r="U63" i="161"/>
  <c r="U64" i="161"/>
  <c r="U65" i="161"/>
  <c r="U66" i="161"/>
  <c r="U67" i="161"/>
  <c r="U68" i="161"/>
  <c r="U69" i="161"/>
  <c r="U70" i="161"/>
  <c r="U71" i="161"/>
  <c r="U72" i="161"/>
  <c r="U73" i="161"/>
  <c r="U74" i="161"/>
  <c r="U75" i="161"/>
  <c r="U76" i="161"/>
  <c r="U77" i="161"/>
  <c r="U78" i="161"/>
  <c r="U79" i="161"/>
  <c r="U80" i="161"/>
  <c r="U81" i="161"/>
  <c r="U82" i="161"/>
  <c r="U83" i="161"/>
  <c r="U84" i="161"/>
  <c r="U85" i="161"/>
  <c r="U86" i="161"/>
  <c r="U87" i="161"/>
  <c r="U88" i="161"/>
  <c r="U89" i="161"/>
  <c r="U90" i="161"/>
  <c r="U91" i="161"/>
  <c r="U92" i="161"/>
  <c r="U93" i="161"/>
  <c r="U94" i="161"/>
  <c r="U95" i="161"/>
  <c r="U96" i="161"/>
  <c r="U97" i="161"/>
  <c r="U98" i="161"/>
  <c r="U99" i="161"/>
  <c r="U100" i="161"/>
  <c r="U101" i="161"/>
  <c r="U102" i="161"/>
  <c r="U103" i="161"/>
  <c r="U104" i="161"/>
  <c r="U105" i="161"/>
  <c r="U106" i="161"/>
  <c r="U107" i="161"/>
  <c r="U108" i="161"/>
  <c r="U109" i="161"/>
  <c r="U110" i="161"/>
  <c r="U111" i="161"/>
  <c r="U112" i="161"/>
  <c r="U113" i="161"/>
  <c r="U114" i="161"/>
  <c r="U115" i="161"/>
  <c r="U116" i="161"/>
  <c r="U117" i="161"/>
  <c r="U118" i="161"/>
  <c r="U119" i="161"/>
  <c r="U120" i="161"/>
  <c r="U121" i="161"/>
  <c r="U122" i="161"/>
  <c r="U123" i="161"/>
  <c r="U124" i="161"/>
  <c r="U125" i="161"/>
  <c r="H9" i="161"/>
  <c r="H10" i="161"/>
  <c r="H11" i="161"/>
  <c r="O9" i="161"/>
  <c r="H12" i="161"/>
  <c r="O10" i="161"/>
  <c r="O11" i="161"/>
  <c r="O12" i="161"/>
  <c r="H13" i="161"/>
  <c r="H14" i="161"/>
  <c r="H15" i="161"/>
  <c r="O13" i="161"/>
  <c r="H16" i="161"/>
  <c r="O14" i="161"/>
  <c r="O15" i="161"/>
  <c r="O16" i="161"/>
  <c r="H17" i="161"/>
  <c r="H18" i="161"/>
  <c r="H19" i="161"/>
  <c r="O17" i="161"/>
  <c r="H20" i="161"/>
  <c r="O18" i="161"/>
  <c r="O19" i="161"/>
  <c r="O20" i="161"/>
  <c r="H21" i="161"/>
  <c r="H22" i="161"/>
  <c r="H23" i="161"/>
  <c r="O21" i="161"/>
  <c r="H24" i="161"/>
  <c r="O22" i="161"/>
  <c r="O23" i="161"/>
  <c r="O24" i="161"/>
  <c r="H25" i="161"/>
  <c r="H26" i="161"/>
  <c r="H27" i="161"/>
  <c r="O25" i="161"/>
  <c r="H28" i="161"/>
  <c r="O26" i="161"/>
  <c r="O27" i="161"/>
  <c r="O28" i="161"/>
  <c r="H29" i="161"/>
  <c r="H30" i="161"/>
  <c r="H31" i="161"/>
  <c r="O29" i="161"/>
  <c r="H32" i="161"/>
  <c r="O30" i="161"/>
  <c r="O31" i="161"/>
  <c r="O32" i="161"/>
  <c r="H33" i="161"/>
  <c r="H34" i="161"/>
  <c r="H35" i="161"/>
  <c r="O33" i="161"/>
  <c r="H36" i="161"/>
  <c r="O34" i="161"/>
  <c r="O35" i="161"/>
  <c r="O36" i="161"/>
  <c r="H37" i="161"/>
  <c r="H38" i="161"/>
  <c r="H39" i="161"/>
  <c r="O37" i="161"/>
  <c r="H40" i="161"/>
  <c r="O38" i="161"/>
  <c r="O39" i="161"/>
  <c r="O40" i="161"/>
  <c r="H41" i="161"/>
  <c r="H42" i="161"/>
  <c r="H43" i="161"/>
  <c r="O41" i="161"/>
  <c r="H44" i="161"/>
  <c r="O42" i="161"/>
  <c r="O43" i="161"/>
  <c r="O44" i="161"/>
  <c r="H45" i="161"/>
  <c r="H46" i="161"/>
  <c r="H47" i="161"/>
  <c r="O45" i="161"/>
  <c r="H48" i="161"/>
  <c r="O46" i="161"/>
  <c r="O47" i="161"/>
  <c r="O48" i="161"/>
  <c r="H49" i="161"/>
  <c r="H50" i="161"/>
  <c r="H51" i="161"/>
  <c r="O49" i="161"/>
  <c r="H52" i="161"/>
  <c r="O50" i="161"/>
  <c r="O51" i="161"/>
  <c r="O52" i="161"/>
  <c r="H53" i="161"/>
  <c r="H54" i="161"/>
  <c r="H55" i="161"/>
  <c r="O53" i="161"/>
  <c r="H56" i="161"/>
  <c r="O54" i="161"/>
  <c r="O55" i="161"/>
  <c r="O56" i="161"/>
  <c r="H57" i="161"/>
  <c r="H58" i="161"/>
  <c r="H59" i="161"/>
  <c r="O57" i="161"/>
  <c r="H60" i="161"/>
  <c r="O58" i="161"/>
  <c r="O59" i="161"/>
  <c r="O60" i="161"/>
  <c r="H61" i="161"/>
  <c r="H62" i="161"/>
  <c r="H63" i="161"/>
  <c r="O61" i="161"/>
  <c r="H64" i="161"/>
  <c r="O62" i="161"/>
  <c r="O63" i="161"/>
  <c r="O64" i="161"/>
  <c r="H65" i="161"/>
  <c r="H66" i="161"/>
  <c r="H67" i="161"/>
  <c r="O65" i="161"/>
  <c r="H68" i="161"/>
  <c r="O66" i="161"/>
  <c r="O67" i="161"/>
  <c r="O68" i="161"/>
  <c r="H69" i="161"/>
  <c r="H70" i="161"/>
  <c r="H71" i="161"/>
  <c r="O69" i="161"/>
  <c r="H72" i="161"/>
  <c r="O70" i="161"/>
  <c r="O71" i="161"/>
  <c r="O72" i="161"/>
  <c r="H73" i="161"/>
  <c r="H74" i="161"/>
  <c r="H75" i="161"/>
  <c r="O73" i="161"/>
  <c r="H76" i="161"/>
  <c r="O74" i="161"/>
  <c r="O75" i="161"/>
  <c r="O76" i="161"/>
  <c r="H77" i="161"/>
  <c r="H78" i="161"/>
  <c r="H79" i="161"/>
  <c r="O77" i="161"/>
  <c r="H80" i="161"/>
  <c r="O78" i="161"/>
  <c r="O79" i="161"/>
  <c r="O80" i="161"/>
  <c r="H81" i="161"/>
  <c r="H82" i="161"/>
  <c r="H83" i="161"/>
  <c r="O81" i="161"/>
  <c r="H84" i="161"/>
  <c r="O82" i="161"/>
  <c r="O83" i="161"/>
  <c r="O84" i="161"/>
  <c r="H85" i="161"/>
  <c r="H86" i="161"/>
  <c r="H87" i="161"/>
  <c r="O85" i="161"/>
  <c r="H88" i="161"/>
  <c r="O86" i="161"/>
  <c r="O87" i="161"/>
  <c r="O88" i="161"/>
  <c r="H89" i="161"/>
  <c r="H90" i="161"/>
  <c r="H91" i="161"/>
  <c r="O89" i="161"/>
  <c r="H92" i="161"/>
  <c r="O90" i="161"/>
  <c r="O91" i="161"/>
  <c r="O92" i="161"/>
  <c r="H93" i="161"/>
  <c r="H94" i="161"/>
  <c r="H95" i="161"/>
  <c r="O93" i="161"/>
  <c r="H96" i="161"/>
  <c r="O94" i="161"/>
  <c r="O95" i="161"/>
  <c r="O96" i="161"/>
  <c r="H97" i="161"/>
  <c r="H98" i="161"/>
  <c r="H99" i="161"/>
  <c r="O97" i="161"/>
  <c r="H100" i="161"/>
  <c r="O98" i="161"/>
  <c r="O99" i="161"/>
  <c r="O100" i="161"/>
  <c r="H101" i="161"/>
  <c r="H102" i="161"/>
  <c r="H103" i="161"/>
  <c r="O101" i="161"/>
  <c r="H104" i="161"/>
  <c r="O102" i="161"/>
  <c r="O103" i="161"/>
  <c r="O104" i="161"/>
  <c r="H105" i="161"/>
  <c r="H106" i="161"/>
  <c r="H107" i="161"/>
  <c r="O105" i="161"/>
  <c r="H108" i="161"/>
  <c r="O106" i="161"/>
  <c r="O107" i="161"/>
  <c r="O108" i="161"/>
  <c r="H109" i="161"/>
  <c r="H110" i="161"/>
  <c r="H111" i="161"/>
  <c r="O109" i="161"/>
  <c r="H112" i="161"/>
  <c r="O110" i="161"/>
  <c r="O111" i="161"/>
  <c r="O112" i="161"/>
  <c r="H113" i="161"/>
  <c r="H114" i="161"/>
  <c r="H115" i="161"/>
  <c r="O113" i="161"/>
  <c r="H116" i="161"/>
  <c r="O114" i="161"/>
  <c r="O115" i="161"/>
  <c r="O116" i="161"/>
  <c r="H117" i="161"/>
  <c r="H118" i="161"/>
  <c r="H119" i="161"/>
  <c r="O117" i="161"/>
  <c r="H120" i="161"/>
  <c r="O118" i="161"/>
  <c r="O119" i="161"/>
  <c r="O120" i="161"/>
  <c r="H121" i="161"/>
  <c r="H122" i="161"/>
  <c r="H123" i="161"/>
  <c r="O121" i="161"/>
  <c r="H124" i="161"/>
  <c r="O122" i="161"/>
  <c r="O123" i="161"/>
  <c r="O124" i="161"/>
  <c r="U9" i="162"/>
  <c r="U10" i="162"/>
  <c r="U11" i="162"/>
  <c r="U12" i="162"/>
  <c r="U13" i="162"/>
  <c r="U14" i="162"/>
  <c r="U15" i="162"/>
  <c r="U16" i="162"/>
  <c r="U17" i="162"/>
  <c r="U18" i="162"/>
  <c r="U19" i="162"/>
  <c r="U20" i="162"/>
  <c r="U21" i="162"/>
  <c r="U22" i="162"/>
  <c r="U23" i="162"/>
  <c r="U24" i="162"/>
  <c r="U25" i="162"/>
  <c r="U26" i="162"/>
  <c r="U27" i="162"/>
  <c r="U28" i="162"/>
  <c r="U29" i="162"/>
  <c r="U30" i="162"/>
  <c r="U31" i="162"/>
  <c r="U32" i="162"/>
  <c r="U33" i="162"/>
  <c r="U34" i="162"/>
  <c r="U35" i="162"/>
  <c r="U36" i="162"/>
  <c r="U37" i="162"/>
  <c r="U38" i="162"/>
  <c r="U39" i="162"/>
  <c r="U40" i="162"/>
  <c r="U41" i="162"/>
  <c r="U42" i="162"/>
  <c r="U43" i="162"/>
  <c r="U44" i="162"/>
  <c r="U45" i="162"/>
  <c r="U46" i="162"/>
  <c r="U47" i="162"/>
  <c r="U48" i="162"/>
  <c r="U49" i="162"/>
  <c r="U50" i="162"/>
  <c r="U51" i="162"/>
  <c r="U52" i="162"/>
  <c r="U53" i="162"/>
  <c r="U54" i="162"/>
  <c r="U55" i="162"/>
  <c r="U56" i="162"/>
  <c r="U57" i="162"/>
  <c r="U58" i="162"/>
  <c r="U59" i="162"/>
  <c r="U60" i="162"/>
  <c r="U61" i="162"/>
  <c r="U62" i="162"/>
  <c r="U63" i="162"/>
  <c r="U64" i="162"/>
  <c r="U65" i="162"/>
  <c r="U66" i="162"/>
  <c r="U67" i="162"/>
  <c r="U68" i="162"/>
  <c r="U69" i="162"/>
  <c r="U70" i="162"/>
  <c r="U71" i="162"/>
  <c r="U72" i="162"/>
  <c r="U73" i="162"/>
  <c r="U74" i="162"/>
  <c r="U75" i="162"/>
  <c r="U76" i="162"/>
  <c r="U77" i="162"/>
  <c r="U78" i="162"/>
  <c r="U79" i="162"/>
  <c r="U80" i="162"/>
  <c r="U81" i="162"/>
  <c r="U82" i="162"/>
  <c r="U83" i="162"/>
  <c r="U84" i="162"/>
  <c r="U85" i="162"/>
  <c r="U86" i="162"/>
  <c r="U87" i="162"/>
  <c r="U88" i="162"/>
  <c r="U89" i="162"/>
  <c r="U90" i="162"/>
  <c r="U91" i="162"/>
  <c r="U92" i="162"/>
  <c r="U93" i="162"/>
  <c r="U94" i="162"/>
  <c r="U95" i="162"/>
  <c r="U96" i="162"/>
  <c r="U97" i="162"/>
  <c r="U98" i="162"/>
  <c r="U99" i="162"/>
  <c r="U100" i="162"/>
  <c r="U101" i="162"/>
  <c r="U102" i="162"/>
  <c r="U103" i="162"/>
  <c r="U104" i="162"/>
  <c r="U105" i="162"/>
  <c r="U106" i="162"/>
  <c r="U107" i="162"/>
  <c r="U108" i="162"/>
  <c r="U109" i="162"/>
  <c r="U110" i="162"/>
  <c r="U111" i="162"/>
  <c r="U112" i="162"/>
  <c r="U113" i="162"/>
  <c r="U114" i="162"/>
  <c r="U115" i="162"/>
  <c r="U116" i="162"/>
  <c r="U117" i="162"/>
  <c r="U118" i="162"/>
  <c r="U119" i="162"/>
  <c r="U120" i="162"/>
  <c r="U121" i="162"/>
  <c r="U122" i="162"/>
  <c r="U123" i="162"/>
  <c r="U124" i="162"/>
  <c r="U125" i="162"/>
  <c r="H9" i="162"/>
  <c r="H10" i="162"/>
  <c r="H11" i="162"/>
  <c r="O9" i="162"/>
  <c r="H12" i="162"/>
  <c r="O10" i="162"/>
  <c r="O11" i="162"/>
  <c r="O12" i="162"/>
  <c r="H13" i="162"/>
  <c r="H14" i="162"/>
  <c r="H15" i="162"/>
  <c r="O13" i="162"/>
  <c r="H16" i="162"/>
  <c r="O14" i="162"/>
  <c r="O15" i="162"/>
  <c r="O16" i="162"/>
  <c r="H17" i="162"/>
  <c r="H18" i="162"/>
  <c r="H19" i="162"/>
  <c r="O17" i="162"/>
  <c r="H20" i="162"/>
  <c r="O18" i="162"/>
  <c r="O19" i="162"/>
  <c r="O20" i="162"/>
  <c r="H21" i="162"/>
  <c r="H22" i="162"/>
  <c r="H23" i="162"/>
  <c r="O21" i="162"/>
  <c r="H24" i="162"/>
  <c r="O22" i="162"/>
  <c r="O23" i="162"/>
  <c r="O24" i="162"/>
  <c r="H25" i="162"/>
  <c r="H26" i="162"/>
  <c r="H27" i="162"/>
  <c r="O25" i="162"/>
  <c r="H28" i="162"/>
  <c r="O26" i="162"/>
  <c r="O27" i="162"/>
  <c r="O28" i="162"/>
  <c r="H29" i="162"/>
  <c r="H30" i="162"/>
  <c r="H31" i="162"/>
  <c r="O29" i="162"/>
  <c r="H32" i="162"/>
  <c r="O30" i="162"/>
  <c r="O31" i="162"/>
  <c r="O32" i="162"/>
  <c r="H33" i="162"/>
  <c r="H34" i="162"/>
  <c r="H35" i="162"/>
  <c r="O33" i="162"/>
  <c r="H36" i="162"/>
  <c r="O34" i="162"/>
  <c r="O35" i="162"/>
  <c r="O36" i="162"/>
  <c r="H37" i="162"/>
  <c r="H38" i="162"/>
  <c r="H39" i="162"/>
  <c r="O37" i="162"/>
  <c r="H40" i="162"/>
  <c r="O38" i="162"/>
  <c r="O39" i="162"/>
  <c r="O40" i="162"/>
  <c r="H41" i="162"/>
  <c r="H42" i="162"/>
  <c r="H43" i="162"/>
  <c r="O41" i="162"/>
  <c r="H44" i="162"/>
  <c r="O42" i="162"/>
  <c r="O43" i="162"/>
  <c r="O44" i="162"/>
  <c r="H45" i="162"/>
  <c r="H46" i="162"/>
  <c r="H47" i="162"/>
  <c r="O45" i="162"/>
  <c r="H48" i="162"/>
  <c r="O46" i="162"/>
  <c r="O47" i="162"/>
  <c r="O48" i="162"/>
  <c r="H49" i="162"/>
  <c r="H50" i="162"/>
  <c r="H51" i="162"/>
  <c r="O49" i="162"/>
  <c r="H52" i="162"/>
  <c r="O50" i="162"/>
  <c r="O51" i="162"/>
  <c r="O52" i="162"/>
  <c r="H53" i="162"/>
  <c r="H54" i="162"/>
  <c r="H55" i="162"/>
  <c r="O53" i="162"/>
  <c r="H56" i="162"/>
  <c r="O54" i="162"/>
  <c r="O55" i="162"/>
  <c r="O56" i="162"/>
  <c r="H57" i="162"/>
  <c r="H58" i="162"/>
  <c r="H59" i="162"/>
  <c r="O57" i="162"/>
  <c r="H60" i="162"/>
  <c r="O58" i="162"/>
  <c r="O59" i="162"/>
  <c r="O60" i="162"/>
  <c r="H61" i="162"/>
  <c r="H62" i="162"/>
  <c r="H63" i="162"/>
  <c r="O61" i="162"/>
  <c r="H64" i="162"/>
  <c r="O62" i="162"/>
  <c r="O63" i="162"/>
  <c r="O64" i="162"/>
  <c r="H65" i="162"/>
  <c r="H66" i="162"/>
  <c r="H67" i="162"/>
  <c r="O65" i="162"/>
  <c r="H68" i="162"/>
  <c r="O66" i="162"/>
  <c r="O67" i="162"/>
  <c r="O68" i="162"/>
  <c r="H69" i="162"/>
  <c r="H70" i="162"/>
  <c r="H71" i="162"/>
  <c r="O69" i="162"/>
  <c r="H72" i="162"/>
  <c r="O70" i="162"/>
  <c r="O71" i="162"/>
  <c r="O72" i="162"/>
  <c r="H73" i="162"/>
  <c r="H74" i="162"/>
  <c r="H75" i="162"/>
  <c r="O73" i="162"/>
  <c r="H76" i="162"/>
  <c r="O74" i="162"/>
  <c r="O75" i="162"/>
  <c r="O76" i="162"/>
  <c r="H77" i="162"/>
  <c r="H78" i="162"/>
  <c r="H79" i="162"/>
  <c r="O77" i="162"/>
  <c r="H80" i="162"/>
  <c r="O78" i="162"/>
  <c r="O79" i="162"/>
  <c r="O80" i="162"/>
  <c r="H81" i="162"/>
  <c r="H82" i="162"/>
  <c r="H83" i="162"/>
  <c r="O81" i="162"/>
  <c r="H84" i="162"/>
  <c r="O82" i="162"/>
  <c r="O83" i="162"/>
  <c r="O84" i="162"/>
  <c r="H85" i="162"/>
  <c r="H86" i="162"/>
  <c r="H87" i="162"/>
  <c r="O85" i="162"/>
  <c r="H88" i="162"/>
  <c r="O86" i="162"/>
  <c r="O87" i="162"/>
  <c r="O88" i="162"/>
  <c r="H89" i="162"/>
  <c r="H90" i="162"/>
  <c r="H91" i="162"/>
  <c r="O89" i="162"/>
  <c r="H92" i="162"/>
  <c r="O90" i="162"/>
  <c r="O91" i="162"/>
  <c r="O92" i="162"/>
  <c r="H93" i="162"/>
  <c r="H94" i="162"/>
  <c r="H95" i="162"/>
  <c r="O93" i="162"/>
  <c r="H96" i="162"/>
  <c r="O94" i="162"/>
  <c r="O95" i="162"/>
  <c r="O96" i="162"/>
  <c r="H97" i="162"/>
  <c r="H98" i="162"/>
  <c r="H99" i="162"/>
  <c r="O97" i="162"/>
  <c r="H100" i="162"/>
  <c r="O98" i="162"/>
  <c r="O99" i="162"/>
  <c r="O100" i="162"/>
  <c r="H101" i="162"/>
  <c r="H102" i="162"/>
  <c r="H103" i="162"/>
  <c r="O101" i="162"/>
  <c r="H104" i="162"/>
  <c r="O102" i="162"/>
  <c r="O103" i="162"/>
  <c r="O104" i="162"/>
  <c r="H105" i="162"/>
  <c r="H106" i="162"/>
  <c r="H107" i="162"/>
  <c r="O105" i="162"/>
  <c r="H108" i="162"/>
  <c r="O106" i="162"/>
  <c r="O107" i="162"/>
  <c r="O108" i="162"/>
  <c r="H109" i="162"/>
  <c r="H110" i="162"/>
  <c r="H111" i="162"/>
  <c r="O109" i="162"/>
  <c r="H112" i="162"/>
  <c r="O110" i="162"/>
  <c r="O111" i="162"/>
  <c r="O112" i="162"/>
  <c r="H113" i="162"/>
  <c r="H114" i="162"/>
  <c r="H115" i="162"/>
  <c r="O113" i="162"/>
  <c r="H116" i="162"/>
  <c r="O114" i="162"/>
  <c r="O115" i="162"/>
  <c r="O116" i="162"/>
  <c r="H117" i="162"/>
  <c r="H118" i="162"/>
  <c r="H119" i="162"/>
  <c r="O117" i="162"/>
  <c r="H120" i="162"/>
  <c r="O118" i="162"/>
  <c r="O119" i="162"/>
  <c r="O120" i="162"/>
  <c r="H121" i="162"/>
  <c r="H122" i="162"/>
  <c r="H123" i="162"/>
  <c r="O121" i="162"/>
  <c r="H124" i="162"/>
  <c r="O122" i="162"/>
  <c r="O123" i="162"/>
  <c r="O124" i="162"/>
  <c r="U9" i="163"/>
  <c r="U10" i="163"/>
  <c r="U11" i="163"/>
  <c r="U12" i="163"/>
  <c r="U13" i="163"/>
  <c r="U14" i="163"/>
  <c r="U15" i="163"/>
  <c r="U16" i="163"/>
  <c r="U17" i="163"/>
  <c r="U18" i="163"/>
  <c r="U19" i="163"/>
  <c r="U20" i="163"/>
  <c r="U21" i="163"/>
  <c r="U22" i="163"/>
  <c r="U23" i="163"/>
  <c r="U24" i="163"/>
  <c r="U25" i="163"/>
  <c r="U26" i="163"/>
  <c r="U27" i="163"/>
  <c r="U28" i="163"/>
  <c r="U29" i="163"/>
  <c r="U30" i="163"/>
  <c r="U31" i="163"/>
  <c r="U32" i="163"/>
  <c r="U33" i="163"/>
  <c r="U34" i="163"/>
  <c r="U35" i="163"/>
  <c r="U36" i="163"/>
  <c r="U37" i="163"/>
  <c r="U38" i="163"/>
  <c r="U39" i="163"/>
  <c r="U40" i="163"/>
  <c r="U41" i="163"/>
  <c r="U42" i="163"/>
  <c r="U43" i="163"/>
  <c r="U44" i="163"/>
  <c r="U45" i="163"/>
  <c r="U46" i="163"/>
  <c r="U47" i="163"/>
  <c r="U48" i="163"/>
  <c r="U49" i="163"/>
  <c r="U50" i="163"/>
  <c r="U51" i="163"/>
  <c r="U52" i="163"/>
  <c r="U53" i="163"/>
  <c r="U54" i="163"/>
  <c r="U55" i="163"/>
  <c r="U56" i="163"/>
  <c r="U57" i="163"/>
  <c r="U58" i="163"/>
  <c r="U59" i="163"/>
  <c r="U60" i="163"/>
  <c r="U61" i="163"/>
  <c r="U62" i="163"/>
  <c r="U63" i="163"/>
  <c r="U64" i="163"/>
  <c r="U65" i="163"/>
  <c r="U66" i="163"/>
  <c r="U67" i="163"/>
  <c r="U68" i="163"/>
  <c r="U69" i="163"/>
  <c r="U70" i="163"/>
  <c r="U71" i="163"/>
  <c r="U72" i="163"/>
  <c r="U73" i="163"/>
  <c r="U74" i="163"/>
  <c r="U75" i="163"/>
  <c r="U76" i="163"/>
  <c r="U77" i="163"/>
  <c r="U78" i="163"/>
  <c r="U79" i="163"/>
  <c r="U80" i="163"/>
  <c r="U81" i="163"/>
  <c r="U82" i="163"/>
  <c r="U83" i="163"/>
  <c r="U84" i="163"/>
  <c r="U85" i="163"/>
  <c r="U86" i="163"/>
  <c r="U87" i="163"/>
  <c r="U88" i="163"/>
  <c r="U89" i="163"/>
  <c r="U90" i="163"/>
  <c r="U91" i="163"/>
  <c r="U92" i="163"/>
  <c r="U93" i="163"/>
  <c r="U94" i="163"/>
  <c r="U95" i="163"/>
  <c r="U96" i="163"/>
  <c r="U97" i="163"/>
  <c r="U98" i="163"/>
  <c r="U99" i="163"/>
  <c r="U100" i="163"/>
  <c r="U101" i="163"/>
  <c r="U102" i="163"/>
  <c r="U103" i="163"/>
  <c r="U104" i="163"/>
  <c r="U105" i="163"/>
  <c r="U106" i="163"/>
  <c r="U107" i="163"/>
  <c r="U108" i="163"/>
  <c r="U109" i="163"/>
  <c r="U110" i="163"/>
  <c r="U111" i="163"/>
  <c r="U112" i="163"/>
  <c r="U113" i="163"/>
  <c r="U114" i="163"/>
  <c r="U115" i="163"/>
  <c r="U116" i="163"/>
  <c r="U117" i="163"/>
  <c r="U118" i="163"/>
  <c r="U119" i="163"/>
  <c r="U120" i="163"/>
  <c r="U121" i="163"/>
  <c r="U122" i="163"/>
  <c r="U123" i="163"/>
  <c r="U124" i="163"/>
  <c r="U125" i="163"/>
  <c r="H9" i="163"/>
  <c r="H10" i="163"/>
  <c r="H11" i="163"/>
  <c r="O9" i="163"/>
  <c r="H12" i="163"/>
  <c r="O10" i="163"/>
  <c r="O11" i="163"/>
  <c r="O12" i="163"/>
  <c r="H13" i="163"/>
  <c r="H14" i="163"/>
  <c r="H15" i="163"/>
  <c r="O13" i="163"/>
  <c r="H16" i="163"/>
  <c r="O14" i="163"/>
  <c r="O15" i="163"/>
  <c r="O16" i="163"/>
  <c r="H17" i="163"/>
  <c r="H18" i="163"/>
  <c r="H19" i="163"/>
  <c r="O17" i="163"/>
  <c r="H20" i="163"/>
  <c r="O18" i="163"/>
  <c r="O19" i="163"/>
  <c r="O20" i="163"/>
  <c r="H21" i="163"/>
  <c r="H22" i="163"/>
  <c r="H23" i="163"/>
  <c r="O21" i="163"/>
  <c r="H24" i="163"/>
  <c r="O22" i="163"/>
  <c r="O23" i="163"/>
  <c r="O24" i="163"/>
  <c r="H25" i="163"/>
  <c r="H26" i="163"/>
  <c r="H27" i="163"/>
  <c r="O25" i="163"/>
  <c r="H28" i="163"/>
  <c r="O26" i="163"/>
  <c r="O27" i="163"/>
  <c r="O28" i="163"/>
  <c r="H29" i="163"/>
  <c r="H30" i="163"/>
  <c r="H31" i="163"/>
  <c r="O29" i="163"/>
  <c r="H32" i="163"/>
  <c r="O30" i="163"/>
  <c r="O31" i="163"/>
  <c r="O32" i="163"/>
  <c r="H33" i="163"/>
  <c r="H34" i="163"/>
  <c r="H35" i="163"/>
  <c r="O33" i="163"/>
  <c r="H36" i="163"/>
  <c r="O34" i="163"/>
  <c r="O35" i="163"/>
  <c r="O36" i="163"/>
  <c r="H37" i="163"/>
  <c r="H38" i="163"/>
  <c r="H39" i="163"/>
  <c r="O37" i="163"/>
  <c r="H40" i="163"/>
  <c r="O38" i="163"/>
  <c r="O39" i="163"/>
  <c r="O40" i="163"/>
  <c r="H41" i="163"/>
  <c r="H42" i="163"/>
  <c r="H43" i="163"/>
  <c r="O41" i="163"/>
  <c r="H44" i="163"/>
  <c r="O42" i="163"/>
  <c r="O43" i="163"/>
  <c r="O44" i="163"/>
  <c r="H45" i="163"/>
  <c r="H46" i="163"/>
  <c r="H47" i="163"/>
  <c r="O45" i="163"/>
  <c r="H48" i="163"/>
  <c r="O46" i="163"/>
  <c r="O47" i="163"/>
  <c r="O48" i="163"/>
  <c r="H49" i="163"/>
  <c r="H50" i="163"/>
  <c r="H51" i="163"/>
  <c r="O49" i="163"/>
  <c r="H52" i="163"/>
  <c r="O50" i="163"/>
  <c r="O51" i="163"/>
  <c r="O52" i="163"/>
  <c r="H53" i="163"/>
  <c r="H54" i="163"/>
  <c r="H55" i="163"/>
  <c r="O53" i="163"/>
  <c r="H56" i="163"/>
  <c r="O54" i="163"/>
  <c r="O55" i="163"/>
  <c r="O56" i="163"/>
  <c r="H57" i="163"/>
  <c r="H58" i="163"/>
  <c r="H59" i="163"/>
  <c r="O57" i="163"/>
  <c r="H60" i="163"/>
  <c r="O58" i="163"/>
  <c r="O59" i="163"/>
  <c r="O60" i="163"/>
  <c r="H61" i="163"/>
  <c r="H62" i="163"/>
  <c r="H63" i="163"/>
  <c r="O61" i="163"/>
  <c r="H64" i="163"/>
  <c r="O62" i="163"/>
  <c r="O63" i="163"/>
  <c r="O64" i="163"/>
  <c r="H65" i="163"/>
  <c r="H66" i="163"/>
  <c r="H67" i="163"/>
  <c r="O65" i="163"/>
  <c r="H68" i="163"/>
  <c r="O66" i="163"/>
  <c r="O67" i="163"/>
  <c r="O68" i="163"/>
  <c r="H69" i="163"/>
  <c r="H70" i="163"/>
  <c r="H71" i="163"/>
  <c r="O69" i="163"/>
  <c r="H72" i="163"/>
  <c r="O70" i="163"/>
  <c r="O71" i="163"/>
  <c r="O72" i="163"/>
  <c r="H73" i="163"/>
  <c r="H74" i="163"/>
  <c r="H75" i="163"/>
  <c r="O73" i="163"/>
  <c r="H76" i="163"/>
  <c r="O74" i="163"/>
  <c r="O75" i="163"/>
  <c r="O76" i="163"/>
  <c r="H77" i="163"/>
  <c r="H78" i="163"/>
  <c r="H79" i="163"/>
  <c r="O77" i="163"/>
  <c r="H80" i="163"/>
  <c r="O78" i="163"/>
  <c r="O79" i="163"/>
  <c r="O80" i="163"/>
  <c r="H81" i="163"/>
  <c r="H82" i="163"/>
  <c r="H83" i="163"/>
  <c r="O81" i="163"/>
  <c r="H84" i="163"/>
  <c r="O82" i="163"/>
  <c r="O83" i="163"/>
  <c r="O84" i="163"/>
  <c r="H85" i="163"/>
  <c r="H86" i="163"/>
  <c r="H87" i="163"/>
  <c r="O85" i="163"/>
  <c r="H88" i="163"/>
  <c r="O86" i="163"/>
  <c r="O87" i="163"/>
  <c r="O88" i="163"/>
  <c r="H89" i="163"/>
  <c r="H90" i="163"/>
  <c r="H91" i="163"/>
  <c r="O89" i="163"/>
  <c r="H92" i="163"/>
  <c r="O90" i="163"/>
  <c r="O91" i="163"/>
  <c r="O92" i="163"/>
  <c r="H93" i="163"/>
  <c r="H94" i="163"/>
  <c r="H95" i="163"/>
  <c r="O93" i="163"/>
  <c r="H96" i="163"/>
  <c r="O94" i="163"/>
  <c r="O95" i="163"/>
  <c r="O96" i="163"/>
  <c r="H97" i="163"/>
  <c r="H98" i="163"/>
  <c r="H99" i="163"/>
  <c r="O97" i="163"/>
  <c r="H100" i="163"/>
  <c r="O98" i="163"/>
  <c r="O99" i="163"/>
  <c r="O100" i="163"/>
  <c r="H101" i="163"/>
  <c r="H102" i="163"/>
  <c r="H103" i="163"/>
  <c r="O101" i="163"/>
  <c r="H104" i="163"/>
  <c r="O102" i="163"/>
  <c r="O103" i="163"/>
  <c r="O104" i="163"/>
  <c r="H105" i="163"/>
  <c r="H106" i="163"/>
  <c r="H107" i="163"/>
  <c r="O105" i="163"/>
  <c r="H108" i="163"/>
  <c r="O106" i="163"/>
  <c r="O107" i="163"/>
  <c r="O108" i="163"/>
  <c r="H109" i="163"/>
  <c r="H110" i="163"/>
  <c r="H111" i="163"/>
  <c r="O109" i="163"/>
  <c r="H112" i="163"/>
  <c r="O110" i="163"/>
  <c r="O111" i="163"/>
  <c r="O112" i="163"/>
  <c r="H113" i="163"/>
  <c r="H114" i="163"/>
  <c r="H115" i="163"/>
  <c r="O113" i="163"/>
  <c r="H116" i="163"/>
  <c r="O114" i="163"/>
  <c r="O115" i="163"/>
  <c r="O116" i="163"/>
  <c r="H117" i="163"/>
  <c r="H118" i="163"/>
  <c r="H119" i="163"/>
  <c r="O117" i="163"/>
  <c r="H120" i="163"/>
  <c r="O118" i="163"/>
  <c r="O119" i="163"/>
  <c r="O120" i="163"/>
  <c r="H121" i="163"/>
  <c r="H122" i="163"/>
  <c r="H123" i="163"/>
  <c r="O121" i="163"/>
  <c r="H124" i="163"/>
  <c r="O122" i="163"/>
  <c r="O123" i="163"/>
  <c r="O124" i="163"/>
  <c r="Y16" i="135"/>
  <c r="S131" i="159"/>
  <c r="S135" i="159"/>
  <c r="S139" i="159"/>
  <c r="S143" i="159"/>
  <c r="S147" i="159"/>
  <c r="S151" i="159"/>
  <c r="S155" i="159"/>
  <c r="S159" i="159"/>
  <c r="S163" i="159"/>
  <c r="S167" i="159"/>
  <c r="S171" i="159"/>
  <c r="S175" i="159"/>
  <c r="S179" i="159"/>
  <c r="S183" i="159"/>
  <c r="S187" i="159"/>
  <c r="S191" i="159"/>
  <c r="S195" i="159"/>
  <c r="S199" i="159"/>
  <c r="S203" i="159"/>
  <c r="S207" i="159"/>
  <c r="S211" i="159"/>
  <c r="S215" i="159"/>
  <c r="S219" i="159"/>
  <c r="S223" i="159"/>
  <c r="S227" i="159"/>
  <c r="S231" i="159"/>
  <c r="S235" i="159"/>
  <c r="S239" i="159"/>
  <c r="S243" i="159"/>
  <c r="S247" i="159"/>
  <c r="W16" i="135"/>
  <c r="R131" i="159"/>
  <c r="R135" i="159"/>
  <c r="R139" i="159"/>
  <c r="R143" i="159"/>
  <c r="R147" i="159"/>
  <c r="R151" i="159"/>
  <c r="R155" i="159"/>
  <c r="R159" i="159"/>
  <c r="R163" i="159"/>
  <c r="R167" i="159"/>
  <c r="R171" i="159"/>
  <c r="R175" i="159"/>
  <c r="R179" i="159"/>
  <c r="R183" i="159"/>
  <c r="R187" i="159"/>
  <c r="R191" i="159"/>
  <c r="R195" i="159"/>
  <c r="R199" i="159"/>
  <c r="R203" i="159"/>
  <c r="R207" i="159"/>
  <c r="R211" i="159"/>
  <c r="R215" i="159"/>
  <c r="R219" i="159"/>
  <c r="R223" i="159"/>
  <c r="R227" i="159"/>
  <c r="R231" i="159"/>
  <c r="R235" i="159"/>
  <c r="R239" i="159"/>
  <c r="R243" i="159"/>
  <c r="R247" i="159"/>
  <c r="V16" i="135"/>
  <c r="Q131" i="159"/>
  <c r="Q135" i="159"/>
  <c r="Q139" i="159"/>
  <c r="Q143" i="159"/>
  <c r="Q147" i="159"/>
  <c r="Q151" i="159"/>
  <c r="Q155" i="159"/>
  <c r="Q159" i="159"/>
  <c r="Q163" i="159"/>
  <c r="Q167" i="159"/>
  <c r="Q171" i="159"/>
  <c r="Q175" i="159"/>
  <c r="Q179" i="159"/>
  <c r="Q183" i="159"/>
  <c r="Q187" i="159"/>
  <c r="Q191" i="159"/>
  <c r="Q195" i="159"/>
  <c r="Q199" i="159"/>
  <c r="Q203" i="159"/>
  <c r="Q207" i="159"/>
  <c r="Q211" i="159"/>
  <c r="Q215" i="159"/>
  <c r="Q219" i="159"/>
  <c r="Q223" i="159"/>
  <c r="Q227" i="159"/>
  <c r="Q231" i="159"/>
  <c r="Q235" i="159"/>
  <c r="Q239" i="159"/>
  <c r="Q243" i="159"/>
  <c r="Q247" i="159"/>
  <c r="U16" i="135"/>
  <c r="U131" i="158"/>
  <c r="U132" i="158"/>
  <c r="U133" i="158"/>
  <c r="U134" i="158"/>
  <c r="U135" i="158"/>
  <c r="U136" i="158"/>
  <c r="U137" i="158"/>
  <c r="U138" i="158"/>
  <c r="U139" i="158"/>
  <c r="U140" i="158"/>
  <c r="U141" i="158"/>
  <c r="U142" i="158"/>
  <c r="U143" i="158"/>
  <c r="U144" i="158"/>
  <c r="U145" i="158"/>
  <c r="U146" i="158"/>
  <c r="U147" i="158"/>
  <c r="U148" i="158"/>
  <c r="U149" i="158"/>
  <c r="U150" i="158"/>
  <c r="U151" i="158"/>
  <c r="U152" i="158"/>
  <c r="U153" i="158"/>
  <c r="U154" i="158"/>
  <c r="U155" i="158"/>
  <c r="U156" i="158"/>
  <c r="U157" i="158"/>
  <c r="U158" i="158"/>
  <c r="U159" i="158"/>
  <c r="U160" i="158"/>
  <c r="U161" i="158"/>
  <c r="U162" i="158"/>
  <c r="U163" i="158"/>
  <c r="U164" i="158"/>
  <c r="U165" i="158"/>
  <c r="U166" i="158"/>
  <c r="U167" i="158"/>
  <c r="U168" i="158"/>
  <c r="U169" i="158"/>
  <c r="U170" i="158"/>
  <c r="U171" i="158"/>
  <c r="U172" i="158"/>
  <c r="U173" i="158"/>
  <c r="U174" i="158"/>
  <c r="U175" i="158"/>
  <c r="U176" i="158"/>
  <c r="U177" i="158"/>
  <c r="U178" i="158"/>
  <c r="U179" i="158"/>
  <c r="U180" i="158"/>
  <c r="U181" i="158"/>
  <c r="U182" i="158"/>
  <c r="U183" i="158"/>
  <c r="U184" i="158"/>
  <c r="U185" i="158"/>
  <c r="U186" i="158"/>
  <c r="U187" i="158"/>
  <c r="U188" i="158"/>
  <c r="U189" i="158"/>
  <c r="U190" i="158"/>
  <c r="U191" i="158"/>
  <c r="U192" i="158"/>
  <c r="U193" i="158"/>
  <c r="U194" i="158"/>
  <c r="U195" i="158"/>
  <c r="U196" i="158"/>
  <c r="U197" i="158"/>
  <c r="U198" i="158"/>
  <c r="U199" i="158"/>
  <c r="U200" i="158"/>
  <c r="U201" i="158"/>
  <c r="U202" i="158"/>
  <c r="U203" i="158"/>
  <c r="U204" i="158"/>
  <c r="U205" i="158"/>
  <c r="U206" i="158"/>
  <c r="U207" i="158"/>
  <c r="U208" i="158"/>
  <c r="U209" i="158"/>
  <c r="U210" i="158"/>
  <c r="U211" i="158"/>
  <c r="U212" i="158"/>
  <c r="U213" i="158"/>
  <c r="U214" i="158"/>
  <c r="U215" i="158"/>
  <c r="U216" i="158"/>
  <c r="U217" i="158"/>
  <c r="U218" i="158"/>
  <c r="U219" i="158"/>
  <c r="U220" i="158"/>
  <c r="U221" i="158"/>
  <c r="U222" i="158"/>
  <c r="U223" i="158"/>
  <c r="U224" i="158"/>
  <c r="U225" i="158"/>
  <c r="U226" i="158"/>
  <c r="U227" i="158"/>
  <c r="U228" i="158"/>
  <c r="U229" i="158"/>
  <c r="U230" i="158"/>
  <c r="U231" i="158"/>
  <c r="U232" i="158"/>
  <c r="U233" i="158"/>
  <c r="U234" i="158"/>
  <c r="U235" i="158"/>
  <c r="U236" i="158"/>
  <c r="U237" i="158"/>
  <c r="U238" i="158"/>
  <c r="U239" i="158"/>
  <c r="U240" i="158"/>
  <c r="U241" i="158"/>
  <c r="U242" i="158"/>
  <c r="U243" i="158"/>
  <c r="U244" i="158"/>
  <c r="U245" i="158"/>
  <c r="U246" i="158"/>
  <c r="U247" i="158"/>
  <c r="P16" i="135"/>
  <c r="H131" i="158"/>
  <c r="H132" i="158"/>
  <c r="H133" i="158"/>
  <c r="H134" i="158"/>
  <c r="H135" i="158"/>
  <c r="H136" i="158"/>
  <c r="H137" i="158"/>
  <c r="H138" i="158"/>
  <c r="H139" i="158"/>
  <c r="H140" i="158"/>
  <c r="H141" i="158"/>
  <c r="H142" i="158"/>
  <c r="H143" i="158"/>
  <c r="H144" i="158"/>
  <c r="H145" i="158"/>
  <c r="H146" i="158"/>
  <c r="H147" i="158"/>
  <c r="H148" i="158"/>
  <c r="H149" i="158"/>
  <c r="H150" i="158"/>
  <c r="H151" i="158"/>
  <c r="H152" i="158"/>
  <c r="H153" i="158"/>
  <c r="H154" i="158"/>
  <c r="H155" i="158"/>
  <c r="H156" i="158"/>
  <c r="H157" i="158"/>
  <c r="H158" i="158"/>
  <c r="H159" i="158"/>
  <c r="H160" i="158"/>
  <c r="H161" i="158"/>
  <c r="H162" i="158"/>
  <c r="H163" i="158"/>
  <c r="H164" i="158"/>
  <c r="H165" i="158"/>
  <c r="H166" i="158"/>
  <c r="H167" i="158"/>
  <c r="H168" i="158"/>
  <c r="H169" i="158"/>
  <c r="H170" i="158"/>
  <c r="H171" i="158"/>
  <c r="H172" i="158"/>
  <c r="H173" i="158"/>
  <c r="H174" i="158"/>
  <c r="H175" i="158"/>
  <c r="H176" i="158"/>
  <c r="H177" i="158"/>
  <c r="H178" i="158"/>
  <c r="H179" i="158"/>
  <c r="H180" i="158"/>
  <c r="H181" i="158"/>
  <c r="H182" i="158"/>
  <c r="H183" i="158"/>
  <c r="H184" i="158"/>
  <c r="H185" i="158"/>
  <c r="H186" i="158"/>
  <c r="H187" i="158"/>
  <c r="H188" i="158"/>
  <c r="H189" i="158"/>
  <c r="H190" i="158"/>
  <c r="H191" i="158"/>
  <c r="H192" i="158"/>
  <c r="H193" i="158"/>
  <c r="H194" i="158"/>
  <c r="H195" i="158"/>
  <c r="H196" i="158"/>
  <c r="H197" i="158"/>
  <c r="H198" i="158"/>
  <c r="H199" i="158"/>
  <c r="H200" i="158"/>
  <c r="H201" i="158"/>
  <c r="H202" i="158"/>
  <c r="H203" i="158"/>
  <c r="H204" i="158"/>
  <c r="H205" i="158"/>
  <c r="H206" i="158"/>
  <c r="H207" i="158"/>
  <c r="H208" i="158"/>
  <c r="H209" i="158"/>
  <c r="H210" i="158"/>
  <c r="H211" i="158"/>
  <c r="H212" i="158"/>
  <c r="H213" i="158"/>
  <c r="H214" i="158"/>
  <c r="H215" i="158"/>
  <c r="H216" i="158"/>
  <c r="H217" i="158"/>
  <c r="H218" i="158"/>
  <c r="H219" i="158"/>
  <c r="H220" i="158"/>
  <c r="H221" i="158"/>
  <c r="H222" i="158"/>
  <c r="H223" i="158"/>
  <c r="H224" i="158"/>
  <c r="H225" i="158"/>
  <c r="H226" i="158"/>
  <c r="H227" i="158"/>
  <c r="H228" i="158"/>
  <c r="H229" i="158"/>
  <c r="H230" i="158"/>
  <c r="H231" i="158"/>
  <c r="H232" i="158"/>
  <c r="H233" i="158"/>
  <c r="H234" i="158"/>
  <c r="H235" i="158"/>
  <c r="H236" i="158"/>
  <c r="H237" i="158"/>
  <c r="H238" i="158"/>
  <c r="H239" i="158"/>
  <c r="H240" i="158"/>
  <c r="H241" i="158"/>
  <c r="H242" i="158"/>
  <c r="H243" i="158"/>
  <c r="H244" i="158"/>
  <c r="H245" i="158"/>
  <c r="H246" i="158"/>
  <c r="S131" i="158"/>
  <c r="S135" i="158"/>
  <c r="S139" i="158"/>
  <c r="S143" i="158"/>
  <c r="S147" i="158"/>
  <c r="S151" i="158"/>
  <c r="S155" i="158"/>
  <c r="S159" i="158"/>
  <c r="S163" i="158"/>
  <c r="S167" i="158"/>
  <c r="S171" i="158"/>
  <c r="S175" i="158"/>
  <c r="S179" i="158"/>
  <c r="S183" i="158"/>
  <c r="S187" i="158"/>
  <c r="S191" i="158"/>
  <c r="S195" i="158"/>
  <c r="S199" i="158"/>
  <c r="S203" i="158"/>
  <c r="S207" i="158"/>
  <c r="S211" i="158"/>
  <c r="S215" i="158"/>
  <c r="S219" i="158"/>
  <c r="S223" i="158"/>
  <c r="S227" i="158"/>
  <c r="S231" i="158"/>
  <c r="S235" i="158"/>
  <c r="S239" i="158"/>
  <c r="S243" i="158"/>
  <c r="S247" i="158"/>
  <c r="N16" i="135"/>
  <c r="R131" i="158"/>
  <c r="R135" i="158"/>
  <c r="R139" i="158"/>
  <c r="R143" i="158"/>
  <c r="R147" i="158"/>
  <c r="R151" i="158"/>
  <c r="R155" i="158"/>
  <c r="R159" i="158"/>
  <c r="R163" i="158"/>
  <c r="R167" i="158"/>
  <c r="R171" i="158"/>
  <c r="R175" i="158"/>
  <c r="R179" i="158"/>
  <c r="R183" i="158"/>
  <c r="R187" i="158"/>
  <c r="R191" i="158"/>
  <c r="R195" i="158"/>
  <c r="R199" i="158"/>
  <c r="R203" i="158"/>
  <c r="R207" i="158"/>
  <c r="R211" i="158"/>
  <c r="R215" i="158"/>
  <c r="R219" i="158"/>
  <c r="R223" i="158"/>
  <c r="R227" i="158"/>
  <c r="R231" i="158"/>
  <c r="R235" i="158"/>
  <c r="R239" i="158"/>
  <c r="R243" i="158"/>
  <c r="R247" i="158"/>
  <c r="M16" i="135"/>
  <c r="Q131" i="158"/>
  <c r="Q135" i="158"/>
  <c r="Q139" i="158"/>
  <c r="Q143" i="158"/>
  <c r="Q147" i="158"/>
  <c r="Q151" i="158"/>
  <c r="Q155" i="158"/>
  <c r="Q159" i="158"/>
  <c r="Q163" i="158"/>
  <c r="Q167" i="158"/>
  <c r="Q171" i="158"/>
  <c r="Q175" i="158"/>
  <c r="Q179" i="158"/>
  <c r="Q183" i="158"/>
  <c r="Q187" i="158"/>
  <c r="Q191" i="158"/>
  <c r="Q195" i="158"/>
  <c r="Q199" i="158"/>
  <c r="Q203" i="158"/>
  <c r="Q207" i="158"/>
  <c r="Q211" i="158"/>
  <c r="Q215" i="158"/>
  <c r="Q219" i="158"/>
  <c r="Q223" i="158"/>
  <c r="Q227" i="158"/>
  <c r="Q231" i="158"/>
  <c r="Q235" i="158"/>
  <c r="Q239" i="158"/>
  <c r="Q243" i="158"/>
  <c r="Q247" i="158"/>
  <c r="L16" i="135"/>
  <c r="G16" i="135"/>
  <c r="S131" i="157"/>
  <c r="S135" i="157"/>
  <c r="S139" i="157"/>
  <c r="S143" i="157"/>
  <c r="S147" i="157"/>
  <c r="S151" i="157"/>
  <c r="S155" i="157"/>
  <c r="S159" i="157"/>
  <c r="S163" i="157"/>
  <c r="S167" i="157"/>
  <c r="S171" i="157"/>
  <c r="S175" i="157"/>
  <c r="S179" i="157"/>
  <c r="S183" i="157"/>
  <c r="S187" i="157"/>
  <c r="S191" i="157"/>
  <c r="S195" i="157"/>
  <c r="S199" i="157"/>
  <c r="S203" i="157"/>
  <c r="S207" i="157"/>
  <c r="S211" i="157"/>
  <c r="S215" i="157"/>
  <c r="S219" i="157"/>
  <c r="S223" i="157"/>
  <c r="S227" i="157"/>
  <c r="S231" i="157"/>
  <c r="S235" i="157"/>
  <c r="S239" i="157"/>
  <c r="S243" i="157"/>
  <c r="S247" i="157"/>
  <c r="E16" i="135"/>
  <c r="R131" i="157"/>
  <c r="R135" i="157"/>
  <c r="R139" i="157"/>
  <c r="R143" i="157"/>
  <c r="R147" i="157"/>
  <c r="R151" i="157"/>
  <c r="R155" i="157"/>
  <c r="R159" i="157"/>
  <c r="R163" i="157"/>
  <c r="R167" i="157"/>
  <c r="R171" i="157"/>
  <c r="R175" i="157"/>
  <c r="R179" i="157"/>
  <c r="R183" i="157"/>
  <c r="R187" i="157"/>
  <c r="R191" i="157"/>
  <c r="R195" i="157"/>
  <c r="R199" i="157"/>
  <c r="R203" i="157"/>
  <c r="R207" i="157"/>
  <c r="R211" i="157"/>
  <c r="R215" i="157"/>
  <c r="R219" i="157"/>
  <c r="R223" i="157"/>
  <c r="R227" i="157"/>
  <c r="R231" i="157"/>
  <c r="R235" i="157"/>
  <c r="R239" i="157"/>
  <c r="R243" i="157"/>
  <c r="R247" i="157"/>
  <c r="D16" i="135"/>
  <c r="Q131" i="157"/>
  <c r="Q135" i="157"/>
  <c r="Q139" i="157"/>
  <c r="Q143" i="157"/>
  <c r="Q147" i="157"/>
  <c r="Q151" i="157"/>
  <c r="Q155" i="157"/>
  <c r="Q159" i="157"/>
  <c r="Q163" i="157"/>
  <c r="Q167" i="157"/>
  <c r="Q171" i="157"/>
  <c r="Q175" i="157"/>
  <c r="Q179" i="157"/>
  <c r="Q183" i="157"/>
  <c r="Q187" i="157"/>
  <c r="Q191" i="157"/>
  <c r="Q195" i="157"/>
  <c r="Q199" i="157"/>
  <c r="Q203" i="157"/>
  <c r="Q207" i="157"/>
  <c r="Q211" i="157"/>
  <c r="Q215" i="157"/>
  <c r="Q219" i="157"/>
  <c r="Q223" i="157"/>
  <c r="Q227" i="157"/>
  <c r="Q231" i="157"/>
  <c r="Q235" i="157"/>
  <c r="Q239" i="157"/>
  <c r="Q243" i="157"/>
  <c r="Q247" i="157"/>
  <c r="C16" i="135"/>
  <c r="Y15" i="135"/>
  <c r="X15" i="135"/>
  <c r="W15" i="135"/>
  <c r="V15" i="135"/>
  <c r="U15" i="135"/>
  <c r="P15" i="135"/>
  <c r="O15" i="135"/>
  <c r="N15" i="135"/>
  <c r="M15" i="135"/>
  <c r="L15" i="135"/>
  <c r="G15" i="135"/>
  <c r="F15" i="135"/>
  <c r="E15" i="135"/>
  <c r="D15" i="135"/>
  <c r="C15" i="135"/>
  <c r="Y14" i="135"/>
  <c r="X14" i="135"/>
  <c r="W14" i="135"/>
  <c r="V14" i="135"/>
  <c r="U14" i="135"/>
  <c r="P14" i="135"/>
  <c r="O14" i="135"/>
  <c r="N14" i="135"/>
  <c r="M14" i="135"/>
  <c r="L14" i="135"/>
  <c r="G14" i="135"/>
  <c r="F14" i="135"/>
  <c r="E14" i="135"/>
  <c r="D14" i="135"/>
  <c r="C14" i="135"/>
  <c r="Y13" i="135"/>
  <c r="X13" i="135"/>
  <c r="W13" i="135"/>
  <c r="V13" i="135"/>
  <c r="U13" i="135"/>
  <c r="P13" i="135"/>
  <c r="O13" i="135"/>
  <c r="N13" i="135"/>
  <c r="M13" i="135"/>
  <c r="L13" i="135"/>
  <c r="G13" i="135"/>
  <c r="F13" i="135"/>
  <c r="E13" i="135"/>
  <c r="D13" i="135"/>
  <c r="C13" i="135"/>
  <c r="Y12" i="135"/>
  <c r="X12" i="135"/>
  <c r="W12" i="135"/>
  <c r="V12" i="135"/>
  <c r="U12" i="135"/>
  <c r="P12" i="135"/>
  <c r="O12" i="135"/>
  <c r="N12" i="135"/>
  <c r="M12" i="135"/>
  <c r="L12" i="135"/>
  <c r="G12" i="135"/>
  <c r="F12" i="135"/>
  <c r="E12" i="135"/>
  <c r="D12" i="135"/>
  <c r="C12" i="135"/>
  <c r="Y11" i="135"/>
  <c r="X11" i="135"/>
  <c r="W11" i="135"/>
  <c r="V11" i="135"/>
  <c r="U11" i="135"/>
  <c r="P11" i="135"/>
  <c r="O11" i="135"/>
  <c r="N11" i="135"/>
  <c r="M11" i="135"/>
  <c r="L11" i="135"/>
  <c r="G11" i="135"/>
  <c r="F11" i="135"/>
  <c r="E11" i="135"/>
  <c r="D11" i="135"/>
  <c r="C11" i="135"/>
  <c r="Y10" i="135"/>
  <c r="X10" i="135"/>
  <c r="W10" i="135"/>
  <c r="V10" i="135"/>
  <c r="U10" i="135"/>
  <c r="P10" i="135"/>
  <c r="O10" i="135"/>
  <c r="N10" i="135"/>
  <c r="M10" i="135"/>
  <c r="L10" i="135"/>
  <c r="G10" i="135"/>
  <c r="F10" i="135"/>
  <c r="E10" i="135"/>
  <c r="D10" i="135"/>
  <c r="C10" i="135"/>
  <c r="Y9" i="135"/>
  <c r="T17" i="159"/>
  <c r="T21" i="159"/>
  <c r="T25" i="159"/>
  <c r="T29" i="159"/>
  <c r="T33" i="159"/>
  <c r="T37" i="159"/>
  <c r="T41" i="159"/>
  <c r="T45" i="159"/>
  <c r="T49" i="159"/>
  <c r="T53" i="159"/>
  <c r="T57" i="159"/>
  <c r="T61" i="159"/>
  <c r="T65" i="159"/>
  <c r="T69" i="159"/>
  <c r="T73" i="159"/>
  <c r="T77" i="159"/>
  <c r="T81" i="159"/>
  <c r="T85" i="159"/>
  <c r="T89" i="159"/>
  <c r="T93" i="159"/>
  <c r="T97" i="159"/>
  <c r="T101" i="159"/>
  <c r="T105" i="159"/>
  <c r="T109" i="159"/>
  <c r="T113" i="159"/>
  <c r="T117" i="159"/>
  <c r="T121" i="159"/>
  <c r="T125" i="159"/>
  <c r="X9" i="135"/>
  <c r="S17" i="159"/>
  <c r="S21" i="159"/>
  <c r="S25" i="159"/>
  <c r="S29" i="159"/>
  <c r="S33" i="159"/>
  <c r="S37" i="159"/>
  <c r="S41" i="159"/>
  <c r="S45" i="159"/>
  <c r="S49" i="159"/>
  <c r="S53" i="159"/>
  <c r="S57" i="159"/>
  <c r="S61" i="159"/>
  <c r="S65" i="159"/>
  <c r="S69" i="159"/>
  <c r="S73" i="159"/>
  <c r="S77" i="159"/>
  <c r="S81" i="159"/>
  <c r="S85" i="159"/>
  <c r="S89" i="159"/>
  <c r="S93" i="159"/>
  <c r="S97" i="159"/>
  <c r="S101" i="159"/>
  <c r="S105" i="159"/>
  <c r="S109" i="159"/>
  <c r="S113" i="159"/>
  <c r="S117" i="159"/>
  <c r="S121" i="159"/>
  <c r="S125" i="159"/>
  <c r="W9" i="135"/>
  <c r="R17" i="159"/>
  <c r="R21" i="159"/>
  <c r="R25" i="159"/>
  <c r="R29" i="159"/>
  <c r="R33" i="159"/>
  <c r="R37" i="159"/>
  <c r="R41" i="159"/>
  <c r="R45" i="159"/>
  <c r="R49" i="159"/>
  <c r="R53" i="159"/>
  <c r="R57" i="159"/>
  <c r="R61" i="159"/>
  <c r="R65" i="159"/>
  <c r="R69" i="159"/>
  <c r="R73" i="159"/>
  <c r="R77" i="159"/>
  <c r="R81" i="159"/>
  <c r="R85" i="159"/>
  <c r="R89" i="159"/>
  <c r="R93" i="159"/>
  <c r="R97" i="159"/>
  <c r="R101" i="159"/>
  <c r="R105" i="159"/>
  <c r="R109" i="159"/>
  <c r="R113" i="159"/>
  <c r="R117" i="159"/>
  <c r="R121" i="159"/>
  <c r="R125" i="159"/>
  <c r="V9" i="135"/>
  <c r="Q9" i="159"/>
  <c r="Q13" i="159"/>
  <c r="Q17" i="159"/>
  <c r="Q21" i="159"/>
  <c r="Q25" i="159"/>
  <c r="Q29" i="159"/>
  <c r="Q33" i="159"/>
  <c r="Q37" i="159"/>
  <c r="Q41" i="159"/>
  <c r="Q45" i="159"/>
  <c r="Q49" i="159"/>
  <c r="Q53" i="159"/>
  <c r="Q57" i="159"/>
  <c r="Q61" i="159"/>
  <c r="Q65" i="159"/>
  <c r="Q69" i="159"/>
  <c r="Q73" i="159"/>
  <c r="Q77" i="159"/>
  <c r="Q81" i="159"/>
  <c r="Q85" i="159"/>
  <c r="Q89" i="159"/>
  <c r="Q93" i="159"/>
  <c r="Q97" i="159"/>
  <c r="Q101" i="159"/>
  <c r="Q105" i="159"/>
  <c r="Q109" i="159"/>
  <c r="Q113" i="159"/>
  <c r="Q117" i="159"/>
  <c r="Q121" i="159"/>
  <c r="Q125" i="159"/>
  <c r="U9" i="135"/>
  <c r="U17" i="158"/>
  <c r="U18" i="158"/>
  <c r="U19" i="158"/>
  <c r="U20" i="158"/>
  <c r="U21" i="158"/>
  <c r="U22" i="158"/>
  <c r="U23" i="158"/>
  <c r="U24" i="158"/>
  <c r="U25" i="158"/>
  <c r="U26" i="158"/>
  <c r="U27" i="158"/>
  <c r="U28" i="158"/>
  <c r="U29" i="158"/>
  <c r="U30" i="158"/>
  <c r="U31" i="158"/>
  <c r="U32" i="158"/>
  <c r="U33" i="158"/>
  <c r="U34" i="158"/>
  <c r="U35" i="158"/>
  <c r="U36" i="158"/>
  <c r="U37" i="158"/>
  <c r="U38" i="158"/>
  <c r="U39" i="158"/>
  <c r="U40" i="158"/>
  <c r="U41" i="158"/>
  <c r="U42" i="158"/>
  <c r="U43" i="158"/>
  <c r="U44" i="158"/>
  <c r="U45" i="158"/>
  <c r="U46" i="158"/>
  <c r="U47" i="158"/>
  <c r="U48" i="158"/>
  <c r="U49" i="158"/>
  <c r="U50" i="158"/>
  <c r="U51" i="158"/>
  <c r="U52" i="158"/>
  <c r="U53" i="158"/>
  <c r="U54" i="158"/>
  <c r="U55" i="158"/>
  <c r="U56" i="158"/>
  <c r="U57" i="158"/>
  <c r="U58" i="158"/>
  <c r="U59" i="158"/>
  <c r="U60" i="158"/>
  <c r="U61" i="158"/>
  <c r="U62" i="158"/>
  <c r="U63" i="158"/>
  <c r="U64" i="158"/>
  <c r="U65" i="158"/>
  <c r="U66" i="158"/>
  <c r="U67" i="158"/>
  <c r="U68" i="158"/>
  <c r="U69" i="158"/>
  <c r="U70" i="158"/>
  <c r="U71" i="158"/>
  <c r="U72" i="158"/>
  <c r="U73" i="158"/>
  <c r="U74" i="158"/>
  <c r="U75" i="158"/>
  <c r="U76" i="158"/>
  <c r="U77" i="158"/>
  <c r="U78" i="158"/>
  <c r="U79" i="158"/>
  <c r="U80" i="158"/>
  <c r="U81" i="158"/>
  <c r="U82" i="158"/>
  <c r="U83" i="158"/>
  <c r="U84" i="158"/>
  <c r="U85" i="158"/>
  <c r="U86" i="158"/>
  <c r="U87" i="158"/>
  <c r="U88" i="158"/>
  <c r="U89" i="158"/>
  <c r="U90" i="158"/>
  <c r="U91" i="158"/>
  <c r="U92" i="158"/>
  <c r="U93" i="158"/>
  <c r="U94" i="158"/>
  <c r="U95" i="158"/>
  <c r="U96" i="158"/>
  <c r="U97" i="158"/>
  <c r="U98" i="158"/>
  <c r="U99" i="158"/>
  <c r="U100" i="158"/>
  <c r="U101" i="158"/>
  <c r="U102" i="158"/>
  <c r="U103" i="158"/>
  <c r="U104" i="158"/>
  <c r="U105" i="158"/>
  <c r="U106" i="158"/>
  <c r="U107" i="158"/>
  <c r="U108" i="158"/>
  <c r="U109" i="158"/>
  <c r="U110" i="158"/>
  <c r="U111" i="158"/>
  <c r="U112" i="158"/>
  <c r="U113" i="158"/>
  <c r="U114" i="158"/>
  <c r="U115" i="158"/>
  <c r="U116" i="158"/>
  <c r="U117" i="158"/>
  <c r="U118" i="158"/>
  <c r="U119" i="158"/>
  <c r="U120" i="158"/>
  <c r="U121" i="158"/>
  <c r="U122" i="158"/>
  <c r="U123" i="158"/>
  <c r="U124" i="158"/>
  <c r="U125" i="158"/>
  <c r="P9" i="135"/>
  <c r="H17" i="158"/>
  <c r="H18" i="158"/>
  <c r="H19" i="158"/>
  <c r="H20" i="158"/>
  <c r="T17" i="158"/>
  <c r="H21" i="158"/>
  <c r="H22" i="158"/>
  <c r="H23" i="158"/>
  <c r="H24" i="158"/>
  <c r="T21" i="158"/>
  <c r="H25" i="158"/>
  <c r="H26" i="158"/>
  <c r="H27" i="158"/>
  <c r="H28" i="158"/>
  <c r="T25" i="158"/>
  <c r="H29" i="158"/>
  <c r="H30" i="158"/>
  <c r="H31" i="158"/>
  <c r="H32" i="158"/>
  <c r="T29" i="158"/>
  <c r="H33" i="158"/>
  <c r="H34" i="158"/>
  <c r="H35" i="158"/>
  <c r="H36" i="158"/>
  <c r="T33" i="158"/>
  <c r="H37" i="158"/>
  <c r="H38" i="158"/>
  <c r="H39" i="158"/>
  <c r="H40" i="158"/>
  <c r="T37" i="158"/>
  <c r="H41" i="158"/>
  <c r="H42" i="158"/>
  <c r="H43" i="158"/>
  <c r="H44" i="158"/>
  <c r="T41" i="158"/>
  <c r="H45" i="158"/>
  <c r="H46" i="158"/>
  <c r="H47" i="158"/>
  <c r="H48" i="158"/>
  <c r="T45" i="158"/>
  <c r="H49" i="158"/>
  <c r="H50" i="158"/>
  <c r="H51" i="158"/>
  <c r="H52" i="158"/>
  <c r="T49" i="158"/>
  <c r="H53" i="158"/>
  <c r="H54" i="158"/>
  <c r="H55" i="158"/>
  <c r="H56" i="158"/>
  <c r="T53" i="158"/>
  <c r="H57" i="158"/>
  <c r="H58" i="158"/>
  <c r="H59" i="158"/>
  <c r="H60" i="158"/>
  <c r="T57" i="158"/>
  <c r="H61" i="158"/>
  <c r="H62" i="158"/>
  <c r="H63" i="158"/>
  <c r="H64" i="158"/>
  <c r="T61" i="158"/>
  <c r="H65" i="158"/>
  <c r="H66" i="158"/>
  <c r="H67" i="158"/>
  <c r="H68" i="158"/>
  <c r="T65" i="158"/>
  <c r="H69" i="158"/>
  <c r="H70" i="158"/>
  <c r="H71" i="158"/>
  <c r="H72" i="158"/>
  <c r="T69" i="158"/>
  <c r="H73" i="158"/>
  <c r="H74" i="158"/>
  <c r="H75" i="158"/>
  <c r="H76" i="158"/>
  <c r="T73" i="158"/>
  <c r="H77" i="158"/>
  <c r="H78" i="158"/>
  <c r="H79" i="158"/>
  <c r="H80" i="158"/>
  <c r="T77" i="158"/>
  <c r="H81" i="158"/>
  <c r="H82" i="158"/>
  <c r="H83" i="158"/>
  <c r="H84" i="158"/>
  <c r="T81" i="158"/>
  <c r="H85" i="158"/>
  <c r="H86" i="158"/>
  <c r="H87" i="158"/>
  <c r="H88" i="158"/>
  <c r="T85" i="158"/>
  <c r="H89" i="158"/>
  <c r="H90" i="158"/>
  <c r="H91" i="158"/>
  <c r="H92" i="158"/>
  <c r="T89" i="158"/>
  <c r="H93" i="158"/>
  <c r="H94" i="158"/>
  <c r="H95" i="158"/>
  <c r="H96" i="158"/>
  <c r="T93" i="158"/>
  <c r="H97" i="158"/>
  <c r="H98" i="158"/>
  <c r="H99" i="158"/>
  <c r="H100" i="158"/>
  <c r="T97" i="158"/>
  <c r="H101" i="158"/>
  <c r="H102" i="158"/>
  <c r="H103" i="158"/>
  <c r="H104" i="158"/>
  <c r="T101" i="158"/>
  <c r="H105" i="158"/>
  <c r="H106" i="158"/>
  <c r="H107" i="158"/>
  <c r="H108" i="158"/>
  <c r="T105" i="158"/>
  <c r="H109" i="158"/>
  <c r="H110" i="158"/>
  <c r="H111" i="158"/>
  <c r="H112" i="158"/>
  <c r="T109" i="158"/>
  <c r="H113" i="158"/>
  <c r="H114" i="158"/>
  <c r="H115" i="158"/>
  <c r="H116" i="158"/>
  <c r="T113" i="158"/>
  <c r="H117" i="158"/>
  <c r="H118" i="158"/>
  <c r="H119" i="158"/>
  <c r="H120" i="158"/>
  <c r="T117" i="158"/>
  <c r="H121" i="158"/>
  <c r="H122" i="158"/>
  <c r="H123" i="158"/>
  <c r="H124" i="158"/>
  <c r="T121" i="158"/>
  <c r="T125" i="158"/>
  <c r="O9" i="135"/>
  <c r="S17" i="158"/>
  <c r="S21" i="158"/>
  <c r="S25" i="158"/>
  <c r="S29" i="158"/>
  <c r="S33" i="158"/>
  <c r="S37" i="158"/>
  <c r="S41" i="158"/>
  <c r="S45" i="158"/>
  <c r="S49" i="158"/>
  <c r="S53" i="158"/>
  <c r="S57" i="158"/>
  <c r="S61" i="158"/>
  <c r="S65" i="158"/>
  <c r="S69" i="158"/>
  <c r="S73" i="158"/>
  <c r="S77" i="158"/>
  <c r="S81" i="158"/>
  <c r="S85" i="158"/>
  <c r="S89" i="158"/>
  <c r="S93" i="158"/>
  <c r="S97" i="158"/>
  <c r="S101" i="158"/>
  <c r="S105" i="158"/>
  <c r="S109" i="158"/>
  <c r="S113" i="158"/>
  <c r="S117" i="158"/>
  <c r="S121" i="158"/>
  <c r="S125" i="158"/>
  <c r="N9" i="135"/>
  <c r="R17" i="158"/>
  <c r="R21" i="158"/>
  <c r="R25" i="158"/>
  <c r="R29" i="158"/>
  <c r="R33" i="158"/>
  <c r="R37" i="158"/>
  <c r="R41" i="158"/>
  <c r="R45" i="158"/>
  <c r="R49" i="158"/>
  <c r="R53" i="158"/>
  <c r="R57" i="158"/>
  <c r="R61" i="158"/>
  <c r="R65" i="158"/>
  <c r="R69" i="158"/>
  <c r="R73" i="158"/>
  <c r="R77" i="158"/>
  <c r="R81" i="158"/>
  <c r="R85" i="158"/>
  <c r="R89" i="158"/>
  <c r="R93" i="158"/>
  <c r="R97" i="158"/>
  <c r="R101" i="158"/>
  <c r="R105" i="158"/>
  <c r="R109" i="158"/>
  <c r="R113" i="158"/>
  <c r="R117" i="158"/>
  <c r="R121" i="158"/>
  <c r="R125" i="158"/>
  <c r="M9" i="135"/>
  <c r="Q9" i="158"/>
  <c r="Q13" i="158"/>
  <c r="Q17" i="158"/>
  <c r="Q21" i="158"/>
  <c r="Q25" i="158"/>
  <c r="Q29" i="158"/>
  <c r="Q33" i="158"/>
  <c r="Q37" i="158"/>
  <c r="Q41" i="158"/>
  <c r="Q45" i="158"/>
  <c r="Q49" i="158"/>
  <c r="Q53" i="158"/>
  <c r="Q57" i="158"/>
  <c r="Q61" i="158"/>
  <c r="Q65" i="158"/>
  <c r="Q69" i="158"/>
  <c r="Q73" i="158"/>
  <c r="Q77" i="158"/>
  <c r="Q81" i="158"/>
  <c r="Q85" i="158"/>
  <c r="Q89" i="158"/>
  <c r="Q93" i="158"/>
  <c r="Q97" i="158"/>
  <c r="Q101" i="158"/>
  <c r="Q105" i="158"/>
  <c r="Q109" i="158"/>
  <c r="Q113" i="158"/>
  <c r="Q117" i="158"/>
  <c r="Q121" i="158"/>
  <c r="Q125" i="158"/>
  <c r="L9" i="135"/>
  <c r="G9" i="135"/>
  <c r="T17" i="157"/>
  <c r="T21" i="157"/>
  <c r="T25" i="157"/>
  <c r="T29" i="157"/>
  <c r="T33" i="157"/>
  <c r="T37" i="157"/>
  <c r="T41" i="157"/>
  <c r="T45" i="157"/>
  <c r="T49" i="157"/>
  <c r="T53" i="157"/>
  <c r="T57" i="157"/>
  <c r="T61" i="157"/>
  <c r="T65" i="157"/>
  <c r="T69" i="157"/>
  <c r="T73" i="157"/>
  <c r="T77" i="157"/>
  <c r="T81" i="157"/>
  <c r="T85" i="157"/>
  <c r="T89" i="157"/>
  <c r="T93" i="157"/>
  <c r="T97" i="157"/>
  <c r="T101" i="157"/>
  <c r="T105" i="157"/>
  <c r="T109" i="157"/>
  <c r="T113" i="157"/>
  <c r="T117" i="157"/>
  <c r="T121" i="157"/>
  <c r="T125" i="157"/>
  <c r="F9" i="135"/>
  <c r="S17" i="157"/>
  <c r="S21" i="157"/>
  <c r="S25" i="157"/>
  <c r="S29" i="157"/>
  <c r="S33" i="157"/>
  <c r="S37" i="157"/>
  <c r="S41" i="157"/>
  <c r="S45" i="157"/>
  <c r="S49" i="157"/>
  <c r="S53" i="157"/>
  <c r="S57" i="157"/>
  <c r="S61" i="157"/>
  <c r="S65" i="157"/>
  <c r="S69" i="157"/>
  <c r="S73" i="157"/>
  <c r="S77" i="157"/>
  <c r="S81" i="157"/>
  <c r="S85" i="157"/>
  <c r="S89" i="157"/>
  <c r="S93" i="157"/>
  <c r="S97" i="157"/>
  <c r="S101" i="157"/>
  <c r="S105" i="157"/>
  <c r="S109" i="157"/>
  <c r="S113" i="157"/>
  <c r="S117" i="157"/>
  <c r="S121" i="157"/>
  <c r="S125" i="157"/>
  <c r="E9" i="135"/>
  <c r="R17" i="157"/>
  <c r="R21" i="157"/>
  <c r="R25" i="157"/>
  <c r="R29" i="157"/>
  <c r="R33" i="157"/>
  <c r="R37" i="157"/>
  <c r="R41" i="157"/>
  <c r="R45" i="157"/>
  <c r="R49" i="157"/>
  <c r="R53" i="157"/>
  <c r="R57" i="157"/>
  <c r="R61" i="157"/>
  <c r="R65" i="157"/>
  <c r="R69" i="157"/>
  <c r="R73" i="157"/>
  <c r="R77" i="157"/>
  <c r="R81" i="157"/>
  <c r="R85" i="157"/>
  <c r="R89" i="157"/>
  <c r="R93" i="157"/>
  <c r="R97" i="157"/>
  <c r="R101" i="157"/>
  <c r="R105" i="157"/>
  <c r="R109" i="157"/>
  <c r="R113" i="157"/>
  <c r="R117" i="157"/>
  <c r="R121" i="157"/>
  <c r="R125" i="157"/>
  <c r="D9" i="135"/>
  <c r="Q9" i="157"/>
  <c r="Q13" i="157"/>
  <c r="Q17" i="157"/>
  <c r="Q21" i="157"/>
  <c r="Q25" i="157"/>
  <c r="Q29" i="157"/>
  <c r="Q33" i="157"/>
  <c r="Q37" i="157"/>
  <c r="Q41" i="157"/>
  <c r="Q45" i="157"/>
  <c r="Q49" i="157"/>
  <c r="Q53" i="157"/>
  <c r="Q57" i="157"/>
  <c r="Q61" i="157"/>
  <c r="Q65" i="157"/>
  <c r="Q69" i="157"/>
  <c r="Q73" i="157"/>
  <c r="Q77" i="157"/>
  <c r="Q81" i="157"/>
  <c r="Q85" i="157"/>
  <c r="Q89" i="157"/>
  <c r="Q93" i="157"/>
  <c r="Q97" i="157"/>
  <c r="Q101" i="157"/>
  <c r="Q105" i="157"/>
  <c r="Q109" i="157"/>
  <c r="Q113" i="157"/>
  <c r="Q117" i="157"/>
  <c r="Q121" i="157"/>
  <c r="Q125" i="157"/>
  <c r="C9" i="135"/>
  <c r="Y8" i="135"/>
  <c r="P8" i="135"/>
  <c r="G8" i="135"/>
  <c r="X8" i="135"/>
  <c r="O8" i="135"/>
  <c r="F8" i="135"/>
  <c r="W8" i="135"/>
  <c r="N8" i="135"/>
  <c r="E8" i="135"/>
  <c r="V8" i="135"/>
  <c r="M8" i="135"/>
  <c r="D8" i="135"/>
  <c r="U8" i="135"/>
  <c r="L8" i="135"/>
  <c r="C8" i="135"/>
  <c r="Y7" i="135"/>
  <c r="X7" i="135"/>
  <c r="W7" i="135"/>
  <c r="V7" i="135"/>
  <c r="U7" i="135"/>
  <c r="P7" i="135"/>
  <c r="O7" i="135"/>
  <c r="N7" i="135"/>
  <c r="M7" i="135"/>
  <c r="L7" i="135"/>
  <c r="G7" i="135"/>
  <c r="F7" i="135"/>
  <c r="E7" i="135"/>
  <c r="D7" i="135"/>
  <c r="C7" i="135"/>
  <c r="Y6" i="135"/>
  <c r="X6" i="135"/>
  <c r="W6" i="135"/>
  <c r="V6" i="135"/>
  <c r="U6" i="135"/>
  <c r="P6" i="135"/>
  <c r="O6" i="135"/>
  <c r="N6" i="135"/>
  <c r="M6" i="135"/>
  <c r="L6" i="135"/>
  <c r="G6" i="135"/>
  <c r="F6" i="135"/>
  <c r="E6" i="135"/>
  <c r="D6" i="135"/>
  <c r="C6" i="135"/>
  <c r="Y5" i="135"/>
  <c r="X5" i="135"/>
  <c r="W5" i="135"/>
  <c r="V5" i="135"/>
  <c r="U5" i="135"/>
  <c r="P5" i="135"/>
  <c r="O5" i="135"/>
  <c r="N5" i="135"/>
  <c r="M5" i="135"/>
  <c r="L5" i="135"/>
  <c r="G5" i="135"/>
  <c r="F5" i="135"/>
  <c r="E5" i="135"/>
  <c r="D5" i="135"/>
  <c r="C5" i="135"/>
  <c r="Y4" i="135"/>
  <c r="P4" i="135"/>
  <c r="G4" i="135"/>
  <c r="X4" i="135"/>
  <c r="O4" i="135"/>
  <c r="F4" i="135"/>
  <c r="W4" i="135"/>
  <c r="N4" i="135"/>
  <c r="E4" i="135"/>
  <c r="V4" i="135"/>
  <c r="M4" i="135"/>
  <c r="D4" i="135"/>
  <c r="U4" i="135"/>
  <c r="L4" i="135"/>
  <c r="C4" i="135"/>
  <c r="U3" i="135"/>
  <c r="L3" i="135"/>
  <c r="C3" i="135"/>
  <c r="U131" i="159"/>
  <c r="U132" i="159"/>
  <c r="U133" i="159"/>
  <c r="U134" i="159"/>
  <c r="U135" i="159"/>
  <c r="U136" i="159"/>
  <c r="U137" i="159"/>
  <c r="U138" i="159"/>
  <c r="U139" i="159"/>
  <c r="U140" i="159"/>
  <c r="U141" i="159"/>
  <c r="U142" i="159"/>
  <c r="U143" i="159"/>
  <c r="U144" i="159"/>
  <c r="U145" i="159"/>
  <c r="U146" i="159"/>
  <c r="U147" i="159"/>
  <c r="U148" i="159"/>
  <c r="U149" i="159"/>
  <c r="U150" i="159"/>
  <c r="U151" i="159"/>
  <c r="U152" i="159"/>
  <c r="U153" i="159"/>
  <c r="U154" i="159"/>
  <c r="U155" i="159"/>
  <c r="U156" i="159"/>
  <c r="U157" i="159"/>
  <c r="U158" i="159"/>
  <c r="U159" i="159"/>
  <c r="U160" i="159"/>
  <c r="U161" i="159"/>
  <c r="U162" i="159"/>
  <c r="U163" i="159"/>
  <c r="U164" i="159"/>
  <c r="U165" i="159"/>
  <c r="U166" i="159"/>
  <c r="U167" i="159"/>
  <c r="U168" i="159"/>
  <c r="U169" i="159"/>
  <c r="U170" i="159"/>
  <c r="U171" i="159"/>
  <c r="U172" i="159"/>
  <c r="U173" i="159"/>
  <c r="U174" i="159"/>
  <c r="U175" i="159"/>
  <c r="U176" i="159"/>
  <c r="U177" i="159"/>
  <c r="U178" i="159"/>
  <c r="U179" i="159"/>
  <c r="U180" i="159"/>
  <c r="U181" i="159"/>
  <c r="U182" i="159"/>
  <c r="U183" i="159"/>
  <c r="U184" i="159"/>
  <c r="U185" i="159"/>
  <c r="U186" i="159"/>
  <c r="U187" i="159"/>
  <c r="U188" i="159"/>
  <c r="U189" i="159"/>
  <c r="U190" i="159"/>
  <c r="U191" i="159"/>
  <c r="U192" i="159"/>
  <c r="U193" i="159"/>
  <c r="U194" i="159"/>
  <c r="U195" i="159"/>
  <c r="U196" i="159"/>
  <c r="U197" i="159"/>
  <c r="U198" i="159"/>
  <c r="U199" i="159"/>
  <c r="U200" i="159"/>
  <c r="U201" i="159"/>
  <c r="U202" i="159"/>
  <c r="U203" i="159"/>
  <c r="U204" i="159"/>
  <c r="U205" i="159"/>
  <c r="U206" i="159"/>
  <c r="U207" i="159"/>
  <c r="U208" i="159"/>
  <c r="U209" i="159"/>
  <c r="U210" i="159"/>
  <c r="U211" i="159"/>
  <c r="U212" i="159"/>
  <c r="U213" i="159"/>
  <c r="U214" i="159"/>
  <c r="U215" i="159"/>
  <c r="U216" i="159"/>
  <c r="U217" i="159"/>
  <c r="U218" i="159"/>
  <c r="U219" i="159"/>
  <c r="U220" i="159"/>
  <c r="U221" i="159"/>
  <c r="U222" i="159"/>
  <c r="U223" i="159"/>
  <c r="U224" i="159"/>
  <c r="U225" i="159"/>
  <c r="U226" i="159"/>
  <c r="U227" i="159"/>
  <c r="U228" i="159"/>
  <c r="U229" i="159"/>
  <c r="U230" i="159"/>
  <c r="U231" i="159"/>
  <c r="U232" i="159"/>
  <c r="U233" i="159"/>
  <c r="U234" i="159"/>
  <c r="U235" i="159"/>
  <c r="U236" i="159"/>
  <c r="U237" i="159"/>
  <c r="U238" i="159"/>
  <c r="U239" i="159"/>
  <c r="U240" i="159"/>
  <c r="U241" i="159"/>
  <c r="U242" i="159"/>
  <c r="U243" i="159"/>
  <c r="U244" i="159"/>
  <c r="U245" i="159"/>
  <c r="U246" i="159"/>
  <c r="U247" i="159"/>
  <c r="H131" i="159"/>
  <c r="H132" i="159"/>
  <c r="H133" i="159"/>
  <c r="O131" i="159"/>
  <c r="H134" i="159"/>
  <c r="O132" i="159"/>
  <c r="O133" i="159"/>
  <c r="O134" i="159"/>
  <c r="H135" i="159"/>
  <c r="H136" i="159"/>
  <c r="H137" i="159"/>
  <c r="O135" i="159"/>
  <c r="H138" i="159"/>
  <c r="O136" i="159"/>
  <c r="O137" i="159"/>
  <c r="O138" i="159"/>
  <c r="H139" i="159"/>
  <c r="H140" i="159"/>
  <c r="H141" i="159"/>
  <c r="O139" i="159"/>
  <c r="H142" i="159"/>
  <c r="O140" i="159"/>
  <c r="O141" i="159"/>
  <c r="O142" i="159"/>
  <c r="H143" i="159"/>
  <c r="H144" i="159"/>
  <c r="H145" i="159"/>
  <c r="O143" i="159"/>
  <c r="H146" i="159"/>
  <c r="O144" i="159"/>
  <c r="O145" i="159"/>
  <c r="O146" i="159"/>
  <c r="H147" i="159"/>
  <c r="H148" i="159"/>
  <c r="H149" i="159"/>
  <c r="O147" i="159"/>
  <c r="H150" i="159"/>
  <c r="O148" i="159"/>
  <c r="O149" i="159"/>
  <c r="O150" i="159"/>
  <c r="H151" i="159"/>
  <c r="H152" i="159"/>
  <c r="H153" i="159"/>
  <c r="O151" i="159"/>
  <c r="H154" i="159"/>
  <c r="O152" i="159"/>
  <c r="O153" i="159"/>
  <c r="O154" i="159"/>
  <c r="H155" i="159"/>
  <c r="H156" i="159"/>
  <c r="H157" i="159"/>
  <c r="O155" i="159"/>
  <c r="H158" i="159"/>
  <c r="O156" i="159"/>
  <c r="O157" i="159"/>
  <c r="O158" i="159"/>
  <c r="H159" i="159"/>
  <c r="H160" i="159"/>
  <c r="H161" i="159"/>
  <c r="O159" i="159"/>
  <c r="H162" i="159"/>
  <c r="O160" i="159"/>
  <c r="O161" i="159"/>
  <c r="O162" i="159"/>
  <c r="H163" i="159"/>
  <c r="H164" i="159"/>
  <c r="H165" i="159"/>
  <c r="O163" i="159"/>
  <c r="H166" i="159"/>
  <c r="O164" i="159"/>
  <c r="O165" i="159"/>
  <c r="O166" i="159"/>
  <c r="H167" i="159"/>
  <c r="H168" i="159"/>
  <c r="H169" i="159"/>
  <c r="O167" i="159"/>
  <c r="H170" i="159"/>
  <c r="O168" i="159"/>
  <c r="O169" i="159"/>
  <c r="O170" i="159"/>
  <c r="H171" i="159"/>
  <c r="H172" i="159"/>
  <c r="H173" i="159"/>
  <c r="O171" i="159"/>
  <c r="H174" i="159"/>
  <c r="O172" i="159"/>
  <c r="O173" i="159"/>
  <c r="O174" i="159"/>
  <c r="H175" i="159"/>
  <c r="H176" i="159"/>
  <c r="H177" i="159"/>
  <c r="O175" i="159"/>
  <c r="H178" i="159"/>
  <c r="O176" i="159"/>
  <c r="O177" i="159"/>
  <c r="O178" i="159"/>
  <c r="H179" i="159"/>
  <c r="H180" i="159"/>
  <c r="H181" i="159"/>
  <c r="O179" i="159"/>
  <c r="H182" i="159"/>
  <c r="O180" i="159"/>
  <c r="O181" i="159"/>
  <c r="O182" i="159"/>
  <c r="H183" i="159"/>
  <c r="H184" i="159"/>
  <c r="H185" i="159"/>
  <c r="O183" i="159"/>
  <c r="H186" i="159"/>
  <c r="O184" i="159"/>
  <c r="O185" i="159"/>
  <c r="O186" i="159"/>
  <c r="H187" i="159"/>
  <c r="H188" i="159"/>
  <c r="H189" i="159"/>
  <c r="O187" i="159"/>
  <c r="H190" i="159"/>
  <c r="O188" i="159"/>
  <c r="O189" i="159"/>
  <c r="O190" i="159"/>
  <c r="H191" i="159"/>
  <c r="H192" i="159"/>
  <c r="H193" i="159"/>
  <c r="O191" i="159"/>
  <c r="H194" i="159"/>
  <c r="O192" i="159"/>
  <c r="O193" i="159"/>
  <c r="O194" i="159"/>
  <c r="H195" i="159"/>
  <c r="H196" i="159"/>
  <c r="H197" i="159"/>
  <c r="O195" i="159"/>
  <c r="H198" i="159"/>
  <c r="O196" i="159"/>
  <c r="O197" i="159"/>
  <c r="O198" i="159"/>
  <c r="H199" i="159"/>
  <c r="H200" i="159"/>
  <c r="H201" i="159"/>
  <c r="O199" i="159"/>
  <c r="H202" i="159"/>
  <c r="O200" i="159"/>
  <c r="O201" i="159"/>
  <c r="O202" i="159"/>
  <c r="H203" i="159"/>
  <c r="H204" i="159"/>
  <c r="H205" i="159"/>
  <c r="O203" i="159"/>
  <c r="H206" i="159"/>
  <c r="O204" i="159"/>
  <c r="O205" i="159"/>
  <c r="O206" i="159"/>
  <c r="H207" i="159"/>
  <c r="H208" i="159"/>
  <c r="H209" i="159"/>
  <c r="O207" i="159"/>
  <c r="H210" i="159"/>
  <c r="O208" i="159"/>
  <c r="O209" i="159"/>
  <c r="O210" i="159"/>
  <c r="H211" i="159"/>
  <c r="H212" i="159"/>
  <c r="H213" i="159"/>
  <c r="O211" i="159"/>
  <c r="H214" i="159"/>
  <c r="O212" i="159"/>
  <c r="O213" i="159"/>
  <c r="O214" i="159"/>
  <c r="H215" i="159"/>
  <c r="H216" i="159"/>
  <c r="H217" i="159"/>
  <c r="O215" i="159"/>
  <c r="H218" i="159"/>
  <c r="O216" i="159"/>
  <c r="O217" i="159"/>
  <c r="O218" i="159"/>
  <c r="H219" i="159"/>
  <c r="H220" i="159"/>
  <c r="H221" i="159"/>
  <c r="O219" i="159"/>
  <c r="H222" i="159"/>
  <c r="O220" i="159"/>
  <c r="O221" i="159"/>
  <c r="O222" i="159"/>
  <c r="H223" i="159"/>
  <c r="H224" i="159"/>
  <c r="H225" i="159"/>
  <c r="O223" i="159"/>
  <c r="H226" i="159"/>
  <c r="O224" i="159"/>
  <c r="O225" i="159"/>
  <c r="O226" i="159"/>
  <c r="H227" i="159"/>
  <c r="H228" i="159"/>
  <c r="H229" i="159"/>
  <c r="O227" i="159"/>
  <c r="H230" i="159"/>
  <c r="O228" i="159"/>
  <c r="O229" i="159"/>
  <c r="O230" i="159"/>
  <c r="H231" i="159"/>
  <c r="H232" i="159"/>
  <c r="H233" i="159"/>
  <c r="O231" i="159"/>
  <c r="H234" i="159"/>
  <c r="O232" i="159"/>
  <c r="O233" i="159"/>
  <c r="O234" i="159"/>
  <c r="H235" i="159"/>
  <c r="H236" i="159"/>
  <c r="H237" i="159"/>
  <c r="O235" i="159"/>
  <c r="H238" i="159"/>
  <c r="O236" i="159"/>
  <c r="O237" i="159"/>
  <c r="O238" i="159"/>
  <c r="H239" i="159"/>
  <c r="H240" i="159"/>
  <c r="H241" i="159"/>
  <c r="O239" i="159"/>
  <c r="H242" i="159"/>
  <c r="O240" i="159"/>
  <c r="O241" i="159"/>
  <c r="O242" i="159"/>
  <c r="H243" i="159"/>
  <c r="H244" i="159"/>
  <c r="H245" i="159"/>
  <c r="O243" i="159"/>
  <c r="H246" i="159"/>
  <c r="O244" i="159"/>
  <c r="O245" i="159"/>
  <c r="O246" i="159"/>
  <c r="U9" i="159"/>
  <c r="U10" i="159"/>
  <c r="U11" i="159"/>
  <c r="U12" i="159"/>
  <c r="U13" i="159"/>
  <c r="U14" i="159"/>
  <c r="U15" i="159"/>
  <c r="U16" i="159"/>
  <c r="U17" i="159"/>
  <c r="U18" i="159"/>
  <c r="U19" i="159"/>
  <c r="U20" i="159"/>
  <c r="U21" i="159"/>
  <c r="U22" i="159"/>
  <c r="U23" i="159"/>
  <c r="U24" i="159"/>
  <c r="U25" i="159"/>
  <c r="U26" i="159"/>
  <c r="U27" i="159"/>
  <c r="U28" i="159"/>
  <c r="U29" i="159"/>
  <c r="U30" i="159"/>
  <c r="U31" i="159"/>
  <c r="U32" i="159"/>
  <c r="U33" i="159"/>
  <c r="U34" i="159"/>
  <c r="U35" i="159"/>
  <c r="U36" i="159"/>
  <c r="U37" i="159"/>
  <c r="U38" i="159"/>
  <c r="U39" i="159"/>
  <c r="U40" i="159"/>
  <c r="U41" i="159"/>
  <c r="U42" i="159"/>
  <c r="U43" i="159"/>
  <c r="U44" i="159"/>
  <c r="U45" i="159"/>
  <c r="U46" i="159"/>
  <c r="U47" i="159"/>
  <c r="U48" i="159"/>
  <c r="U49" i="159"/>
  <c r="U50" i="159"/>
  <c r="U51" i="159"/>
  <c r="U52" i="159"/>
  <c r="U53" i="159"/>
  <c r="U54" i="159"/>
  <c r="U55" i="159"/>
  <c r="U56" i="159"/>
  <c r="U57" i="159"/>
  <c r="U58" i="159"/>
  <c r="U59" i="159"/>
  <c r="U60" i="159"/>
  <c r="U61" i="159"/>
  <c r="U62" i="159"/>
  <c r="U63" i="159"/>
  <c r="U64" i="159"/>
  <c r="U65" i="159"/>
  <c r="U66" i="159"/>
  <c r="U67" i="159"/>
  <c r="U68" i="159"/>
  <c r="U69" i="159"/>
  <c r="U70" i="159"/>
  <c r="U71" i="159"/>
  <c r="U72" i="159"/>
  <c r="U73" i="159"/>
  <c r="U74" i="159"/>
  <c r="U75" i="159"/>
  <c r="U76" i="159"/>
  <c r="U77" i="159"/>
  <c r="U78" i="159"/>
  <c r="U79" i="159"/>
  <c r="U80" i="159"/>
  <c r="U81" i="159"/>
  <c r="U82" i="159"/>
  <c r="U83" i="159"/>
  <c r="U84" i="159"/>
  <c r="U85" i="159"/>
  <c r="U86" i="159"/>
  <c r="U87" i="159"/>
  <c r="U88" i="159"/>
  <c r="U89" i="159"/>
  <c r="U90" i="159"/>
  <c r="U91" i="159"/>
  <c r="U92" i="159"/>
  <c r="U93" i="159"/>
  <c r="U94" i="159"/>
  <c r="U95" i="159"/>
  <c r="U96" i="159"/>
  <c r="U97" i="159"/>
  <c r="U98" i="159"/>
  <c r="U99" i="159"/>
  <c r="U100" i="159"/>
  <c r="U101" i="159"/>
  <c r="U102" i="159"/>
  <c r="U103" i="159"/>
  <c r="U104" i="159"/>
  <c r="U105" i="159"/>
  <c r="U106" i="159"/>
  <c r="U107" i="159"/>
  <c r="U108" i="159"/>
  <c r="U109" i="159"/>
  <c r="U110" i="159"/>
  <c r="U111" i="159"/>
  <c r="U112" i="159"/>
  <c r="U113" i="159"/>
  <c r="U114" i="159"/>
  <c r="U115" i="159"/>
  <c r="U116" i="159"/>
  <c r="U117" i="159"/>
  <c r="U118" i="159"/>
  <c r="U119" i="159"/>
  <c r="U120" i="159"/>
  <c r="U121" i="159"/>
  <c r="U122" i="159"/>
  <c r="U123" i="159"/>
  <c r="U124" i="159"/>
  <c r="U125" i="159"/>
  <c r="H9" i="159"/>
  <c r="H10" i="159"/>
  <c r="H11" i="159"/>
  <c r="O9" i="159"/>
  <c r="H12" i="159"/>
  <c r="O10" i="159"/>
  <c r="O11" i="159"/>
  <c r="O12" i="159"/>
  <c r="H13" i="159"/>
  <c r="H14" i="159"/>
  <c r="H15" i="159"/>
  <c r="O13" i="159"/>
  <c r="H16" i="159"/>
  <c r="O14" i="159"/>
  <c r="O15" i="159"/>
  <c r="O16" i="159"/>
  <c r="H17" i="159"/>
  <c r="H18" i="159"/>
  <c r="H19" i="159"/>
  <c r="O17" i="159"/>
  <c r="H20" i="159"/>
  <c r="O18" i="159"/>
  <c r="O19" i="159"/>
  <c r="O20" i="159"/>
  <c r="H21" i="159"/>
  <c r="H22" i="159"/>
  <c r="H23" i="159"/>
  <c r="O21" i="159"/>
  <c r="H24" i="159"/>
  <c r="O22" i="159"/>
  <c r="O23" i="159"/>
  <c r="O24" i="159"/>
  <c r="H25" i="159"/>
  <c r="H26" i="159"/>
  <c r="H27" i="159"/>
  <c r="O25" i="159"/>
  <c r="H28" i="159"/>
  <c r="O26" i="159"/>
  <c r="O27" i="159"/>
  <c r="O28" i="159"/>
  <c r="H29" i="159"/>
  <c r="H30" i="159"/>
  <c r="H31" i="159"/>
  <c r="O29" i="159"/>
  <c r="H32" i="159"/>
  <c r="O30" i="159"/>
  <c r="O31" i="159"/>
  <c r="O32" i="159"/>
  <c r="H33" i="159"/>
  <c r="H34" i="159"/>
  <c r="H35" i="159"/>
  <c r="O33" i="159"/>
  <c r="H36" i="159"/>
  <c r="O34" i="159"/>
  <c r="O35" i="159"/>
  <c r="O36" i="159"/>
  <c r="H37" i="159"/>
  <c r="H38" i="159"/>
  <c r="H39" i="159"/>
  <c r="O37" i="159"/>
  <c r="H40" i="159"/>
  <c r="O38" i="159"/>
  <c r="O39" i="159"/>
  <c r="O40" i="159"/>
  <c r="H41" i="159"/>
  <c r="H42" i="159"/>
  <c r="H43" i="159"/>
  <c r="O41" i="159"/>
  <c r="H44" i="159"/>
  <c r="O42" i="159"/>
  <c r="O43" i="159"/>
  <c r="O44" i="159"/>
  <c r="H45" i="159"/>
  <c r="H46" i="159"/>
  <c r="H47" i="159"/>
  <c r="O45" i="159"/>
  <c r="H48" i="159"/>
  <c r="O46" i="159"/>
  <c r="O47" i="159"/>
  <c r="O48" i="159"/>
  <c r="H49" i="159"/>
  <c r="H50" i="159"/>
  <c r="H51" i="159"/>
  <c r="O49" i="159"/>
  <c r="H52" i="159"/>
  <c r="O50" i="159"/>
  <c r="O51" i="159"/>
  <c r="O52" i="159"/>
  <c r="H53" i="159"/>
  <c r="H54" i="159"/>
  <c r="H55" i="159"/>
  <c r="O53" i="159"/>
  <c r="H56" i="159"/>
  <c r="O54" i="159"/>
  <c r="O55" i="159"/>
  <c r="O56" i="159"/>
  <c r="H57" i="159"/>
  <c r="H58" i="159"/>
  <c r="H59" i="159"/>
  <c r="O57" i="159"/>
  <c r="H60" i="159"/>
  <c r="O58" i="159"/>
  <c r="O59" i="159"/>
  <c r="O60" i="159"/>
  <c r="H61" i="159"/>
  <c r="H62" i="159"/>
  <c r="H63" i="159"/>
  <c r="O61" i="159"/>
  <c r="H64" i="159"/>
  <c r="O62" i="159"/>
  <c r="O63" i="159"/>
  <c r="O64" i="159"/>
  <c r="H65" i="159"/>
  <c r="H66" i="159"/>
  <c r="H67" i="159"/>
  <c r="O65" i="159"/>
  <c r="H68" i="159"/>
  <c r="O66" i="159"/>
  <c r="O67" i="159"/>
  <c r="O68" i="159"/>
  <c r="H69" i="159"/>
  <c r="H70" i="159"/>
  <c r="H71" i="159"/>
  <c r="O69" i="159"/>
  <c r="H72" i="159"/>
  <c r="O70" i="159"/>
  <c r="O71" i="159"/>
  <c r="O72" i="159"/>
  <c r="H73" i="159"/>
  <c r="H74" i="159"/>
  <c r="H75" i="159"/>
  <c r="O73" i="159"/>
  <c r="H76" i="159"/>
  <c r="O74" i="159"/>
  <c r="O75" i="159"/>
  <c r="O76" i="159"/>
  <c r="H77" i="159"/>
  <c r="H78" i="159"/>
  <c r="H79" i="159"/>
  <c r="O77" i="159"/>
  <c r="H80" i="159"/>
  <c r="O78" i="159"/>
  <c r="O79" i="159"/>
  <c r="O80" i="159"/>
  <c r="H81" i="159"/>
  <c r="H82" i="159"/>
  <c r="H83" i="159"/>
  <c r="O81" i="159"/>
  <c r="H84" i="159"/>
  <c r="O82" i="159"/>
  <c r="O83" i="159"/>
  <c r="O84" i="159"/>
  <c r="H85" i="159"/>
  <c r="H86" i="159"/>
  <c r="H87" i="159"/>
  <c r="O85" i="159"/>
  <c r="H88" i="159"/>
  <c r="O86" i="159"/>
  <c r="O87" i="159"/>
  <c r="O88" i="159"/>
  <c r="H89" i="159"/>
  <c r="H90" i="159"/>
  <c r="H91" i="159"/>
  <c r="O89" i="159"/>
  <c r="H92" i="159"/>
  <c r="O90" i="159"/>
  <c r="O91" i="159"/>
  <c r="O92" i="159"/>
  <c r="H93" i="159"/>
  <c r="H94" i="159"/>
  <c r="H95" i="159"/>
  <c r="O93" i="159"/>
  <c r="H96" i="159"/>
  <c r="O94" i="159"/>
  <c r="O95" i="159"/>
  <c r="O96" i="159"/>
  <c r="H97" i="159"/>
  <c r="H98" i="159"/>
  <c r="H99" i="159"/>
  <c r="O97" i="159"/>
  <c r="H100" i="159"/>
  <c r="O98" i="159"/>
  <c r="O99" i="159"/>
  <c r="O100" i="159"/>
  <c r="H101" i="159"/>
  <c r="H102" i="159"/>
  <c r="H103" i="159"/>
  <c r="O101" i="159"/>
  <c r="H104" i="159"/>
  <c r="O102" i="159"/>
  <c r="O103" i="159"/>
  <c r="O104" i="159"/>
  <c r="H105" i="159"/>
  <c r="H106" i="159"/>
  <c r="H107" i="159"/>
  <c r="O105" i="159"/>
  <c r="H108" i="159"/>
  <c r="O106" i="159"/>
  <c r="O107" i="159"/>
  <c r="O108" i="159"/>
  <c r="H109" i="159"/>
  <c r="H110" i="159"/>
  <c r="H111" i="159"/>
  <c r="O109" i="159"/>
  <c r="H112" i="159"/>
  <c r="O110" i="159"/>
  <c r="O111" i="159"/>
  <c r="O112" i="159"/>
  <c r="H113" i="159"/>
  <c r="H114" i="159"/>
  <c r="H115" i="159"/>
  <c r="O113" i="159"/>
  <c r="H116" i="159"/>
  <c r="O114" i="159"/>
  <c r="O115" i="159"/>
  <c r="O116" i="159"/>
  <c r="H117" i="159"/>
  <c r="H118" i="159"/>
  <c r="H119" i="159"/>
  <c r="O117" i="159"/>
  <c r="H120" i="159"/>
  <c r="O118" i="159"/>
  <c r="O119" i="159"/>
  <c r="O120" i="159"/>
  <c r="H121" i="159"/>
  <c r="H122" i="159"/>
  <c r="H123" i="159"/>
  <c r="O121" i="159"/>
  <c r="H124" i="159"/>
  <c r="O122" i="159"/>
  <c r="O123" i="159"/>
  <c r="O124" i="159"/>
  <c r="O131" i="158"/>
  <c r="O132" i="158"/>
  <c r="O133" i="158"/>
  <c r="O134" i="158"/>
  <c r="O135" i="158"/>
  <c r="O136" i="158"/>
  <c r="O137" i="158"/>
  <c r="O138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U131" i="157"/>
  <c r="U132" i="157"/>
  <c r="U133" i="157"/>
  <c r="U134" i="157"/>
  <c r="U135" i="157"/>
  <c r="U136" i="157"/>
  <c r="U137" i="157"/>
  <c r="U138" i="157"/>
  <c r="U139" i="157"/>
  <c r="U140" i="157"/>
  <c r="U141" i="157"/>
  <c r="U142" i="157"/>
  <c r="U143" i="157"/>
  <c r="U144" i="157"/>
  <c r="U145" i="157"/>
  <c r="U146" i="157"/>
  <c r="U147" i="157"/>
  <c r="U148" i="157"/>
  <c r="U149" i="157"/>
  <c r="U150" i="157"/>
  <c r="U151" i="157"/>
  <c r="U152" i="157"/>
  <c r="U153" i="157"/>
  <c r="U154" i="157"/>
  <c r="U155" i="157"/>
  <c r="U156" i="157"/>
  <c r="U157" i="157"/>
  <c r="U158" i="157"/>
  <c r="U159" i="157"/>
  <c r="U160" i="157"/>
  <c r="U161" i="157"/>
  <c r="U162" i="157"/>
  <c r="U163" i="157"/>
  <c r="U164" i="157"/>
  <c r="U165" i="157"/>
  <c r="U166" i="157"/>
  <c r="U167" i="157"/>
  <c r="U168" i="157"/>
  <c r="U169" i="157"/>
  <c r="U170" i="157"/>
  <c r="U171" i="157"/>
  <c r="U172" i="157"/>
  <c r="U173" i="157"/>
  <c r="U174" i="157"/>
  <c r="U175" i="157"/>
  <c r="U176" i="157"/>
  <c r="U177" i="157"/>
  <c r="U178" i="157"/>
  <c r="U179" i="157"/>
  <c r="U180" i="157"/>
  <c r="U181" i="157"/>
  <c r="U182" i="157"/>
  <c r="U183" i="157"/>
  <c r="U184" i="157"/>
  <c r="U185" i="157"/>
  <c r="U186" i="157"/>
  <c r="U187" i="157"/>
  <c r="U188" i="157"/>
  <c r="U189" i="157"/>
  <c r="U190" i="157"/>
  <c r="U191" i="157"/>
  <c r="U192" i="157"/>
  <c r="U193" i="157"/>
  <c r="U194" i="157"/>
  <c r="U195" i="157"/>
  <c r="U196" i="157"/>
  <c r="U197" i="157"/>
  <c r="U198" i="157"/>
  <c r="U199" i="157"/>
  <c r="U200" i="157"/>
  <c r="U201" i="157"/>
  <c r="U202" i="157"/>
  <c r="U203" i="157"/>
  <c r="U204" i="157"/>
  <c r="U205" i="157"/>
  <c r="U206" i="157"/>
  <c r="U207" i="157"/>
  <c r="U208" i="157"/>
  <c r="U209" i="157"/>
  <c r="U210" i="157"/>
  <c r="U211" i="157"/>
  <c r="U212" i="157"/>
  <c r="U213" i="157"/>
  <c r="U214" i="157"/>
  <c r="U215" i="157"/>
  <c r="U216" i="157"/>
  <c r="U217" i="157"/>
  <c r="U218" i="157"/>
  <c r="U219" i="157"/>
  <c r="U220" i="157"/>
  <c r="U221" i="157"/>
  <c r="U222" i="157"/>
  <c r="U223" i="157"/>
  <c r="U224" i="157"/>
  <c r="U225" i="157"/>
  <c r="U226" i="157"/>
  <c r="U227" i="157"/>
  <c r="U228" i="157"/>
  <c r="U229" i="157"/>
  <c r="U230" i="157"/>
  <c r="U231" i="157"/>
  <c r="U232" i="157"/>
  <c r="U233" i="157"/>
  <c r="U234" i="157"/>
  <c r="U235" i="157"/>
  <c r="U236" i="157"/>
  <c r="U237" i="157"/>
  <c r="U238" i="157"/>
  <c r="U239" i="157"/>
  <c r="U240" i="157"/>
  <c r="U241" i="157"/>
  <c r="U242" i="157"/>
  <c r="U243" i="157"/>
  <c r="U244" i="157"/>
  <c r="U245" i="157"/>
  <c r="U246" i="157"/>
  <c r="U247" i="157"/>
  <c r="H131" i="157"/>
  <c r="H132" i="157"/>
  <c r="H133" i="157"/>
  <c r="O131" i="157"/>
  <c r="H134" i="157"/>
  <c r="O132" i="157"/>
  <c r="O133" i="157"/>
  <c r="O134" i="157"/>
  <c r="H135" i="157"/>
  <c r="H136" i="157"/>
  <c r="H137" i="157"/>
  <c r="O135" i="157"/>
  <c r="H138" i="157"/>
  <c r="O136" i="157"/>
  <c r="O137" i="157"/>
  <c r="O138" i="157"/>
  <c r="H139" i="157"/>
  <c r="H140" i="157"/>
  <c r="H141" i="157"/>
  <c r="O139" i="157"/>
  <c r="H142" i="157"/>
  <c r="O140" i="157"/>
  <c r="O141" i="157"/>
  <c r="O142" i="157"/>
  <c r="H143" i="157"/>
  <c r="H144" i="157"/>
  <c r="H145" i="157"/>
  <c r="O143" i="157"/>
  <c r="H146" i="157"/>
  <c r="O144" i="157"/>
  <c r="O145" i="157"/>
  <c r="O146" i="157"/>
  <c r="H147" i="157"/>
  <c r="H148" i="157"/>
  <c r="H149" i="157"/>
  <c r="O147" i="157"/>
  <c r="H150" i="157"/>
  <c r="O148" i="157"/>
  <c r="O149" i="157"/>
  <c r="O150" i="157"/>
  <c r="H151" i="157"/>
  <c r="H152" i="157"/>
  <c r="H153" i="157"/>
  <c r="O151" i="157"/>
  <c r="H154" i="157"/>
  <c r="O152" i="157"/>
  <c r="O153" i="157"/>
  <c r="O154" i="157"/>
  <c r="H155" i="157"/>
  <c r="H156" i="157"/>
  <c r="H157" i="157"/>
  <c r="O155" i="157"/>
  <c r="H158" i="157"/>
  <c r="O156" i="157"/>
  <c r="O157" i="157"/>
  <c r="O158" i="157"/>
  <c r="H159" i="157"/>
  <c r="H160" i="157"/>
  <c r="H161" i="157"/>
  <c r="O159" i="157"/>
  <c r="H162" i="157"/>
  <c r="O160" i="157"/>
  <c r="O161" i="157"/>
  <c r="O162" i="157"/>
  <c r="H163" i="157"/>
  <c r="H164" i="157"/>
  <c r="H165" i="157"/>
  <c r="O163" i="157"/>
  <c r="H166" i="157"/>
  <c r="O164" i="157"/>
  <c r="O165" i="157"/>
  <c r="O166" i="157"/>
  <c r="H167" i="157"/>
  <c r="H168" i="157"/>
  <c r="H169" i="157"/>
  <c r="O167" i="157"/>
  <c r="H170" i="157"/>
  <c r="O168" i="157"/>
  <c r="O169" i="157"/>
  <c r="O170" i="157"/>
  <c r="H171" i="157"/>
  <c r="H172" i="157"/>
  <c r="H173" i="157"/>
  <c r="O171" i="157"/>
  <c r="H174" i="157"/>
  <c r="O172" i="157"/>
  <c r="O173" i="157"/>
  <c r="O174" i="157"/>
  <c r="H175" i="157"/>
  <c r="H176" i="157"/>
  <c r="H177" i="157"/>
  <c r="O175" i="157"/>
  <c r="H178" i="157"/>
  <c r="O176" i="157"/>
  <c r="O177" i="157"/>
  <c r="O178" i="157"/>
  <c r="H179" i="157"/>
  <c r="H180" i="157"/>
  <c r="H181" i="157"/>
  <c r="O179" i="157"/>
  <c r="H182" i="157"/>
  <c r="O180" i="157"/>
  <c r="O181" i="157"/>
  <c r="O182" i="157"/>
  <c r="H183" i="157"/>
  <c r="H184" i="157"/>
  <c r="H185" i="157"/>
  <c r="O183" i="157"/>
  <c r="H186" i="157"/>
  <c r="O184" i="157"/>
  <c r="O185" i="157"/>
  <c r="O186" i="157"/>
  <c r="H187" i="157"/>
  <c r="H188" i="157"/>
  <c r="H189" i="157"/>
  <c r="O187" i="157"/>
  <c r="H190" i="157"/>
  <c r="O188" i="157"/>
  <c r="O189" i="157"/>
  <c r="O190" i="157"/>
  <c r="H191" i="157"/>
  <c r="H192" i="157"/>
  <c r="H193" i="157"/>
  <c r="O191" i="157"/>
  <c r="H194" i="157"/>
  <c r="O192" i="157"/>
  <c r="O193" i="157"/>
  <c r="O194" i="157"/>
  <c r="H195" i="157"/>
  <c r="H196" i="157"/>
  <c r="H197" i="157"/>
  <c r="O195" i="157"/>
  <c r="H198" i="157"/>
  <c r="O196" i="157"/>
  <c r="O197" i="157"/>
  <c r="O198" i="157"/>
  <c r="H199" i="157"/>
  <c r="H200" i="157"/>
  <c r="H201" i="157"/>
  <c r="O199" i="157"/>
  <c r="H202" i="157"/>
  <c r="O200" i="157"/>
  <c r="O201" i="157"/>
  <c r="O202" i="157"/>
  <c r="H203" i="157"/>
  <c r="H204" i="157"/>
  <c r="H205" i="157"/>
  <c r="O203" i="157"/>
  <c r="H206" i="157"/>
  <c r="O204" i="157"/>
  <c r="O205" i="157"/>
  <c r="O206" i="157"/>
  <c r="H207" i="157"/>
  <c r="H208" i="157"/>
  <c r="H209" i="157"/>
  <c r="O207" i="157"/>
  <c r="H210" i="157"/>
  <c r="O208" i="157"/>
  <c r="O209" i="157"/>
  <c r="O210" i="157"/>
  <c r="H211" i="157"/>
  <c r="H212" i="157"/>
  <c r="H213" i="157"/>
  <c r="O211" i="157"/>
  <c r="H214" i="157"/>
  <c r="O212" i="157"/>
  <c r="O213" i="157"/>
  <c r="O214" i="157"/>
  <c r="H215" i="157"/>
  <c r="H216" i="157"/>
  <c r="H217" i="157"/>
  <c r="O215" i="157"/>
  <c r="H218" i="157"/>
  <c r="O216" i="157"/>
  <c r="O217" i="157"/>
  <c r="O218" i="157"/>
  <c r="H219" i="157"/>
  <c r="H220" i="157"/>
  <c r="H221" i="157"/>
  <c r="O219" i="157"/>
  <c r="H222" i="157"/>
  <c r="O220" i="157"/>
  <c r="O221" i="157"/>
  <c r="O222" i="157"/>
  <c r="H223" i="157"/>
  <c r="H224" i="157"/>
  <c r="H225" i="157"/>
  <c r="O223" i="157"/>
  <c r="H226" i="157"/>
  <c r="O224" i="157"/>
  <c r="O225" i="157"/>
  <c r="O226" i="157"/>
  <c r="H227" i="157"/>
  <c r="H228" i="157"/>
  <c r="H229" i="157"/>
  <c r="O227" i="157"/>
  <c r="H230" i="157"/>
  <c r="O228" i="157"/>
  <c r="O229" i="157"/>
  <c r="O230" i="157"/>
  <c r="H231" i="157"/>
  <c r="H232" i="157"/>
  <c r="H233" i="157"/>
  <c r="O231" i="157"/>
  <c r="H234" i="157"/>
  <c r="O232" i="157"/>
  <c r="O233" i="157"/>
  <c r="O234" i="157"/>
  <c r="H235" i="157"/>
  <c r="H236" i="157"/>
  <c r="H237" i="157"/>
  <c r="O235" i="157"/>
  <c r="H238" i="157"/>
  <c r="O236" i="157"/>
  <c r="O237" i="157"/>
  <c r="O238" i="157"/>
  <c r="H239" i="157"/>
  <c r="H240" i="157"/>
  <c r="H241" i="157"/>
  <c r="O239" i="157"/>
  <c r="H242" i="157"/>
  <c r="O240" i="157"/>
  <c r="O241" i="157"/>
  <c r="O242" i="157"/>
  <c r="H243" i="157"/>
  <c r="H244" i="157"/>
  <c r="H245" i="157"/>
  <c r="O243" i="157"/>
  <c r="H246" i="157"/>
  <c r="O244" i="157"/>
  <c r="O245" i="157"/>
  <c r="O246" i="157"/>
  <c r="U9" i="157"/>
  <c r="U10" i="157"/>
  <c r="U11" i="157"/>
  <c r="U12" i="157"/>
  <c r="U13" i="157"/>
  <c r="U14" i="157"/>
  <c r="U15" i="157"/>
  <c r="U16" i="157"/>
  <c r="U17" i="157"/>
  <c r="U18" i="157"/>
  <c r="U19" i="157"/>
  <c r="U20" i="157"/>
  <c r="U21" i="157"/>
  <c r="U22" i="157"/>
  <c r="U23" i="157"/>
  <c r="U24" i="157"/>
  <c r="U25" i="157"/>
  <c r="U26" i="157"/>
  <c r="U27" i="157"/>
  <c r="U28" i="157"/>
  <c r="U29" i="157"/>
  <c r="U30" i="157"/>
  <c r="U31" i="157"/>
  <c r="U32" i="157"/>
  <c r="U33" i="157"/>
  <c r="U34" i="157"/>
  <c r="U35" i="157"/>
  <c r="U36" i="157"/>
  <c r="U37" i="157"/>
  <c r="U38" i="157"/>
  <c r="U39" i="157"/>
  <c r="U40" i="157"/>
  <c r="U41" i="157"/>
  <c r="U42" i="157"/>
  <c r="U43" i="157"/>
  <c r="U44" i="157"/>
  <c r="U45" i="157"/>
  <c r="U46" i="157"/>
  <c r="U47" i="157"/>
  <c r="U48" i="157"/>
  <c r="U49" i="157"/>
  <c r="U50" i="157"/>
  <c r="U51" i="157"/>
  <c r="U52" i="157"/>
  <c r="U53" i="157"/>
  <c r="U54" i="157"/>
  <c r="U55" i="157"/>
  <c r="U56" i="157"/>
  <c r="U57" i="157"/>
  <c r="U58" i="157"/>
  <c r="U59" i="157"/>
  <c r="U60" i="157"/>
  <c r="U61" i="157"/>
  <c r="U62" i="157"/>
  <c r="U63" i="157"/>
  <c r="U64" i="157"/>
  <c r="U65" i="157"/>
  <c r="U66" i="157"/>
  <c r="U67" i="157"/>
  <c r="U68" i="157"/>
  <c r="U69" i="157"/>
  <c r="U70" i="157"/>
  <c r="U71" i="157"/>
  <c r="U72" i="157"/>
  <c r="U73" i="157"/>
  <c r="U74" i="157"/>
  <c r="U75" i="157"/>
  <c r="U76" i="157"/>
  <c r="U77" i="157"/>
  <c r="U78" i="157"/>
  <c r="U79" i="157"/>
  <c r="U80" i="157"/>
  <c r="U81" i="157"/>
  <c r="U82" i="157"/>
  <c r="U83" i="157"/>
  <c r="U84" i="157"/>
  <c r="U85" i="157"/>
  <c r="U86" i="157"/>
  <c r="U87" i="157"/>
  <c r="U88" i="157"/>
  <c r="U89" i="157"/>
  <c r="U90" i="157"/>
  <c r="U91" i="157"/>
  <c r="U92" i="157"/>
  <c r="U93" i="157"/>
  <c r="U94" i="157"/>
  <c r="U95" i="157"/>
  <c r="U96" i="157"/>
  <c r="U97" i="157"/>
  <c r="U98" i="157"/>
  <c r="U99" i="157"/>
  <c r="U100" i="157"/>
  <c r="U101" i="157"/>
  <c r="U102" i="157"/>
  <c r="U103" i="157"/>
  <c r="U104" i="157"/>
  <c r="U105" i="157"/>
  <c r="U106" i="157"/>
  <c r="U107" i="157"/>
  <c r="U108" i="157"/>
  <c r="U109" i="157"/>
  <c r="U110" i="157"/>
  <c r="U111" i="157"/>
  <c r="U112" i="157"/>
  <c r="U113" i="157"/>
  <c r="U114" i="157"/>
  <c r="U115" i="157"/>
  <c r="U116" i="157"/>
  <c r="U117" i="157"/>
  <c r="U118" i="157"/>
  <c r="U119" i="157"/>
  <c r="U120" i="157"/>
  <c r="U121" i="157"/>
  <c r="U122" i="157"/>
  <c r="U123" i="157"/>
  <c r="U124" i="157"/>
  <c r="U125" i="157"/>
  <c r="H9" i="157"/>
  <c r="H10" i="157"/>
  <c r="H11" i="157"/>
  <c r="O9" i="157"/>
  <c r="H12" i="157"/>
  <c r="O10" i="157"/>
  <c r="O11" i="157"/>
  <c r="O12" i="157"/>
  <c r="H13" i="157"/>
  <c r="H14" i="157"/>
  <c r="H15" i="157"/>
  <c r="O13" i="157"/>
  <c r="H16" i="157"/>
  <c r="O14" i="157"/>
  <c r="O15" i="157"/>
  <c r="O16" i="157"/>
  <c r="H17" i="157"/>
  <c r="H18" i="157"/>
  <c r="H19" i="157"/>
  <c r="O17" i="157"/>
  <c r="H20" i="157"/>
  <c r="O18" i="157"/>
  <c r="O19" i="157"/>
  <c r="O20" i="157"/>
  <c r="H21" i="157"/>
  <c r="H22" i="157"/>
  <c r="H23" i="157"/>
  <c r="O21" i="157"/>
  <c r="H24" i="157"/>
  <c r="O22" i="157"/>
  <c r="O23" i="157"/>
  <c r="O24" i="157"/>
  <c r="H25" i="157"/>
  <c r="H26" i="157"/>
  <c r="H27" i="157"/>
  <c r="O25" i="157"/>
  <c r="H28" i="157"/>
  <c r="O26" i="157"/>
  <c r="O27" i="157"/>
  <c r="O28" i="157"/>
  <c r="H29" i="157"/>
  <c r="H30" i="157"/>
  <c r="H31" i="157"/>
  <c r="O29" i="157"/>
  <c r="H32" i="157"/>
  <c r="O30" i="157"/>
  <c r="O31" i="157"/>
  <c r="O32" i="157"/>
  <c r="H33" i="157"/>
  <c r="H34" i="157"/>
  <c r="H35" i="157"/>
  <c r="O33" i="157"/>
  <c r="H36" i="157"/>
  <c r="O34" i="157"/>
  <c r="O35" i="157"/>
  <c r="O36" i="157"/>
  <c r="H37" i="157"/>
  <c r="H38" i="157"/>
  <c r="H39" i="157"/>
  <c r="O37" i="157"/>
  <c r="H40" i="157"/>
  <c r="O38" i="157"/>
  <c r="O39" i="157"/>
  <c r="O40" i="157"/>
  <c r="H41" i="157"/>
  <c r="H42" i="157"/>
  <c r="H43" i="157"/>
  <c r="O41" i="157"/>
  <c r="H44" i="157"/>
  <c r="O42" i="157"/>
  <c r="O43" i="157"/>
  <c r="O44" i="157"/>
  <c r="H45" i="157"/>
  <c r="H46" i="157"/>
  <c r="H47" i="157"/>
  <c r="O45" i="157"/>
  <c r="H48" i="157"/>
  <c r="O46" i="157"/>
  <c r="O47" i="157"/>
  <c r="O48" i="157"/>
  <c r="H49" i="157"/>
  <c r="H50" i="157"/>
  <c r="H51" i="157"/>
  <c r="O49" i="157"/>
  <c r="H52" i="157"/>
  <c r="O50" i="157"/>
  <c r="O51" i="157"/>
  <c r="O52" i="157"/>
  <c r="H53" i="157"/>
  <c r="H54" i="157"/>
  <c r="H55" i="157"/>
  <c r="O53" i="157"/>
  <c r="H56" i="157"/>
  <c r="O54" i="157"/>
  <c r="O55" i="157"/>
  <c r="O56" i="157"/>
  <c r="H57" i="157"/>
  <c r="H58" i="157"/>
  <c r="H59" i="157"/>
  <c r="O57" i="157"/>
  <c r="H60" i="157"/>
  <c r="O58" i="157"/>
  <c r="O59" i="157"/>
  <c r="O60" i="157"/>
  <c r="H61" i="157"/>
  <c r="H62" i="157"/>
  <c r="H63" i="157"/>
  <c r="O61" i="157"/>
  <c r="H64" i="157"/>
  <c r="O62" i="157"/>
  <c r="O63" i="157"/>
  <c r="O64" i="157"/>
  <c r="H65" i="157"/>
  <c r="H66" i="157"/>
  <c r="H67" i="157"/>
  <c r="O65" i="157"/>
  <c r="H68" i="157"/>
  <c r="O66" i="157"/>
  <c r="O67" i="157"/>
  <c r="O68" i="157"/>
  <c r="H69" i="157"/>
  <c r="H70" i="157"/>
  <c r="H71" i="157"/>
  <c r="O69" i="157"/>
  <c r="H72" i="157"/>
  <c r="O70" i="157"/>
  <c r="O71" i="157"/>
  <c r="O72" i="157"/>
  <c r="H73" i="157"/>
  <c r="H74" i="157"/>
  <c r="H75" i="157"/>
  <c r="O73" i="157"/>
  <c r="H76" i="157"/>
  <c r="O74" i="157"/>
  <c r="O75" i="157"/>
  <c r="O76" i="157"/>
  <c r="H77" i="157"/>
  <c r="H78" i="157"/>
  <c r="H79" i="157"/>
  <c r="O77" i="157"/>
  <c r="H80" i="157"/>
  <c r="O78" i="157"/>
  <c r="O79" i="157"/>
  <c r="O80" i="157"/>
  <c r="H81" i="157"/>
  <c r="H82" i="157"/>
  <c r="H83" i="157"/>
  <c r="O81" i="157"/>
  <c r="H84" i="157"/>
  <c r="O82" i="157"/>
  <c r="O83" i="157"/>
  <c r="O84" i="157"/>
  <c r="H85" i="157"/>
  <c r="H86" i="157"/>
  <c r="H87" i="157"/>
  <c r="O85" i="157"/>
  <c r="H88" i="157"/>
  <c r="O86" i="157"/>
  <c r="O87" i="157"/>
  <c r="O88" i="157"/>
  <c r="H89" i="157"/>
  <c r="H90" i="157"/>
  <c r="H91" i="157"/>
  <c r="O89" i="157"/>
  <c r="H92" i="157"/>
  <c r="O90" i="157"/>
  <c r="O91" i="157"/>
  <c r="O92" i="157"/>
  <c r="H93" i="157"/>
  <c r="H94" i="157"/>
  <c r="H95" i="157"/>
  <c r="O93" i="157"/>
  <c r="H96" i="157"/>
  <c r="O94" i="157"/>
  <c r="O95" i="157"/>
  <c r="O96" i="157"/>
  <c r="H97" i="157"/>
  <c r="H98" i="157"/>
  <c r="H99" i="157"/>
  <c r="O97" i="157"/>
  <c r="H100" i="157"/>
  <c r="O98" i="157"/>
  <c r="O99" i="157"/>
  <c r="O100" i="157"/>
  <c r="H101" i="157"/>
  <c r="H102" i="157"/>
  <c r="H103" i="157"/>
  <c r="O101" i="157"/>
  <c r="H104" i="157"/>
  <c r="O102" i="157"/>
  <c r="O103" i="157"/>
  <c r="O104" i="157"/>
  <c r="H105" i="157"/>
  <c r="H106" i="157"/>
  <c r="H107" i="157"/>
  <c r="O105" i="157"/>
  <c r="H108" i="157"/>
  <c r="O106" i="157"/>
  <c r="O107" i="157"/>
  <c r="O108" i="157"/>
  <c r="H109" i="157"/>
  <c r="H110" i="157"/>
  <c r="H111" i="157"/>
  <c r="O109" i="157"/>
  <c r="H112" i="157"/>
  <c r="O110" i="157"/>
  <c r="O111" i="157"/>
  <c r="O112" i="157"/>
  <c r="H113" i="157"/>
  <c r="H114" i="157"/>
  <c r="H115" i="157"/>
  <c r="O113" i="157"/>
  <c r="H116" i="157"/>
  <c r="O114" i="157"/>
  <c r="O115" i="157"/>
  <c r="O116" i="157"/>
  <c r="H117" i="157"/>
  <c r="H118" i="157"/>
  <c r="H119" i="157"/>
  <c r="O117" i="157"/>
  <c r="H120" i="157"/>
  <c r="O118" i="157"/>
  <c r="O119" i="157"/>
  <c r="O120" i="157"/>
  <c r="H121" i="157"/>
  <c r="H122" i="157"/>
  <c r="H123" i="157"/>
  <c r="O121" i="157"/>
  <c r="H124" i="157"/>
  <c r="O122" i="157"/>
  <c r="O123" i="157"/>
  <c r="O124" i="157"/>
  <c r="U9" i="154"/>
  <c r="U10" i="154"/>
  <c r="U11" i="154"/>
  <c r="U12" i="154"/>
  <c r="U13" i="154"/>
  <c r="U14" i="154"/>
  <c r="U15" i="154"/>
  <c r="U16" i="154"/>
  <c r="U17" i="154"/>
  <c r="U18" i="154"/>
  <c r="U19" i="154"/>
  <c r="U20" i="154"/>
  <c r="U21" i="154"/>
  <c r="U22" i="154"/>
  <c r="U23" i="154"/>
  <c r="U24" i="154"/>
  <c r="U25" i="154"/>
  <c r="U26" i="154"/>
  <c r="U27" i="154"/>
  <c r="U28" i="154"/>
  <c r="U29" i="154"/>
  <c r="U30" i="154"/>
  <c r="U31" i="154"/>
  <c r="U32" i="154"/>
  <c r="U33" i="154"/>
  <c r="U34" i="154"/>
  <c r="U35" i="154"/>
  <c r="U36" i="154"/>
  <c r="U37" i="154"/>
  <c r="U38" i="154"/>
  <c r="U39" i="154"/>
  <c r="U40" i="154"/>
  <c r="U41" i="154"/>
  <c r="U42" i="154"/>
  <c r="U43" i="154"/>
  <c r="U44" i="154"/>
  <c r="U45" i="154"/>
  <c r="U46" i="154"/>
  <c r="U47" i="154"/>
  <c r="U48" i="154"/>
  <c r="U49" i="154"/>
  <c r="U50" i="154"/>
  <c r="U51" i="154"/>
  <c r="U52" i="154"/>
  <c r="U53" i="154"/>
  <c r="U54" i="154"/>
  <c r="U55" i="154"/>
  <c r="U56" i="154"/>
  <c r="U57" i="154"/>
  <c r="U58" i="154"/>
  <c r="U59" i="154"/>
  <c r="U60" i="154"/>
  <c r="U61" i="154"/>
  <c r="U62" i="154"/>
  <c r="U63" i="154"/>
  <c r="U64" i="154"/>
  <c r="U65" i="154"/>
  <c r="U66" i="154"/>
  <c r="U67" i="154"/>
  <c r="U68" i="154"/>
  <c r="U69" i="154"/>
  <c r="U70" i="154"/>
  <c r="U71" i="154"/>
  <c r="U72" i="154"/>
  <c r="U73" i="154"/>
  <c r="U74" i="154"/>
  <c r="U75" i="154"/>
  <c r="U76" i="154"/>
  <c r="U77" i="154"/>
  <c r="U78" i="154"/>
  <c r="U79" i="154"/>
  <c r="U80" i="154"/>
  <c r="U81" i="154"/>
  <c r="U82" i="154"/>
  <c r="U83" i="154"/>
  <c r="U84" i="154"/>
  <c r="U85" i="154"/>
  <c r="U86" i="154"/>
  <c r="U87" i="154"/>
  <c r="U88" i="154"/>
  <c r="U89" i="154"/>
  <c r="U90" i="154"/>
  <c r="U91" i="154"/>
  <c r="U92" i="154"/>
  <c r="U93" i="154"/>
  <c r="U94" i="154"/>
  <c r="U95" i="154"/>
  <c r="U96" i="154"/>
  <c r="U97" i="154"/>
  <c r="U98" i="154"/>
  <c r="U99" i="154"/>
  <c r="U100" i="154"/>
  <c r="U101" i="154"/>
  <c r="U102" i="154"/>
  <c r="U103" i="154"/>
  <c r="U104" i="154"/>
  <c r="U105" i="154"/>
  <c r="U106" i="154"/>
  <c r="U107" i="154"/>
  <c r="U108" i="154"/>
  <c r="U109" i="154"/>
  <c r="U110" i="154"/>
  <c r="U111" i="154"/>
  <c r="U112" i="154"/>
  <c r="U113" i="154"/>
  <c r="U114" i="154"/>
  <c r="U115" i="154"/>
  <c r="U116" i="154"/>
  <c r="U117" i="154"/>
  <c r="U118" i="154"/>
  <c r="U119" i="154"/>
  <c r="U120" i="154"/>
  <c r="U121" i="154"/>
  <c r="U122" i="154"/>
  <c r="U123" i="154"/>
  <c r="U124" i="154"/>
  <c r="U125" i="154"/>
  <c r="Y57" i="135"/>
  <c r="Y56" i="135"/>
  <c r="Y55" i="135"/>
  <c r="Y54" i="135"/>
  <c r="Y53" i="135"/>
  <c r="Y52" i="135"/>
  <c r="Y51" i="135"/>
  <c r="U131" i="155"/>
  <c r="U132" i="155"/>
  <c r="U133" i="155"/>
  <c r="U134" i="155"/>
  <c r="U135" i="155"/>
  <c r="U136" i="155"/>
  <c r="U137" i="155"/>
  <c r="U138" i="155"/>
  <c r="U139" i="155"/>
  <c r="U140" i="155"/>
  <c r="U141" i="155"/>
  <c r="U142" i="155"/>
  <c r="U143" i="155"/>
  <c r="U144" i="155"/>
  <c r="U145" i="155"/>
  <c r="U146" i="155"/>
  <c r="U147" i="155"/>
  <c r="U148" i="155"/>
  <c r="U149" i="155"/>
  <c r="U150" i="155"/>
  <c r="U151" i="155"/>
  <c r="U152" i="155"/>
  <c r="U153" i="155"/>
  <c r="U154" i="155"/>
  <c r="U155" i="155"/>
  <c r="U156" i="155"/>
  <c r="U157" i="155"/>
  <c r="U158" i="155"/>
  <c r="U159" i="155"/>
  <c r="U160" i="155"/>
  <c r="U161" i="155"/>
  <c r="U162" i="155"/>
  <c r="U163" i="155"/>
  <c r="U164" i="155"/>
  <c r="U165" i="155"/>
  <c r="U166" i="155"/>
  <c r="U167" i="155"/>
  <c r="U168" i="155"/>
  <c r="U169" i="155"/>
  <c r="U170" i="155"/>
  <c r="U171" i="155"/>
  <c r="U172" i="155"/>
  <c r="U173" i="155"/>
  <c r="U174" i="155"/>
  <c r="U175" i="155"/>
  <c r="U176" i="155"/>
  <c r="U177" i="155"/>
  <c r="U178" i="155"/>
  <c r="U179" i="155"/>
  <c r="U180" i="155"/>
  <c r="U181" i="155"/>
  <c r="U182" i="155"/>
  <c r="U183" i="155"/>
  <c r="U184" i="155"/>
  <c r="U185" i="155"/>
  <c r="U186" i="155"/>
  <c r="U187" i="155"/>
  <c r="U188" i="155"/>
  <c r="U189" i="155"/>
  <c r="U190" i="155"/>
  <c r="U191" i="155"/>
  <c r="U192" i="155"/>
  <c r="U193" i="155"/>
  <c r="U194" i="155"/>
  <c r="U195" i="155"/>
  <c r="U196" i="155"/>
  <c r="U197" i="155"/>
  <c r="U198" i="155"/>
  <c r="U199" i="155"/>
  <c r="U200" i="155"/>
  <c r="U201" i="155"/>
  <c r="U202" i="155"/>
  <c r="U203" i="155"/>
  <c r="U204" i="155"/>
  <c r="U205" i="155"/>
  <c r="U206" i="155"/>
  <c r="U207" i="155"/>
  <c r="U208" i="155"/>
  <c r="U209" i="155"/>
  <c r="U210" i="155"/>
  <c r="U211" i="155"/>
  <c r="U212" i="155"/>
  <c r="U213" i="155"/>
  <c r="U214" i="155"/>
  <c r="U215" i="155"/>
  <c r="U216" i="155"/>
  <c r="U217" i="155"/>
  <c r="U218" i="155"/>
  <c r="U219" i="155"/>
  <c r="U220" i="155"/>
  <c r="U221" i="155"/>
  <c r="U222" i="155"/>
  <c r="U223" i="155"/>
  <c r="U224" i="155"/>
  <c r="U225" i="155"/>
  <c r="U226" i="155"/>
  <c r="U227" i="155"/>
  <c r="U228" i="155"/>
  <c r="U229" i="155"/>
  <c r="U230" i="155"/>
  <c r="U231" i="155"/>
  <c r="U232" i="155"/>
  <c r="U233" i="155"/>
  <c r="U234" i="155"/>
  <c r="U235" i="155"/>
  <c r="U236" i="155"/>
  <c r="U237" i="155"/>
  <c r="U238" i="155"/>
  <c r="U239" i="155"/>
  <c r="U240" i="155"/>
  <c r="U241" i="155"/>
  <c r="U242" i="155"/>
  <c r="U243" i="155"/>
  <c r="U244" i="155"/>
  <c r="U245" i="155"/>
  <c r="U246" i="155"/>
  <c r="U247" i="155"/>
  <c r="Y48" i="135"/>
  <c r="Y47" i="135"/>
  <c r="Y46" i="135"/>
  <c r="Y45" i="135"/>
  <c r="Y44" i="135"/>
  <c r="Y43" i="135"/>
  <c r="Y42" i="135"/>
  <c r="U9" i="155"/>
  <c r="U10" i="155"/>
  <c r="U11" i="155"/>
  <c r="U12" i="155"/>
  <c r="U13" i="155"/>
  <c r="U14" i="155"/>
  <c r="U15" i="155"/>
  <c r="U16" i="155"/>
  <c r="U17" i="155"/>
  <c r="U18" i="155"/>
  <c r="U19" i="155"/>
  <c r="U20" i="155"/>
  <c r="U21" i="155"/>
  <c r="U22" i="155"/>
  <c r="U23" i="155"/>
  <c r="U24" i="155"/>
  <c r="U25" i="155"/>
  <c r="U26" i="155"/>
  <c r="U27" i="155"/>
  <c r="U28" i="155"/>
  <c r="U29" i="155"/>
  <c r="U30" i="155"/>
  <c r="U31" i="155"/>
  <c r="U32" i="155"/>
  <c r="U33" i="155"/>
  <c r="U34" i="155"/>
  <c r="U35" i="155"/>
  <c r="U36" i="155"/>
  <c r="U37" i="155"/>
  <c r="U38" i="155"/>
  <c r="U39" i="155"/>
  <c r="U40" i="155"/>
  <c r="U41" i="155"/>
  <c r="U42" i="155"/>
  <c r="U43" i="155"/>
  <c r="U44" i="155"/>
  <c r="U45" i="155"/>
  <c r="U46" i="155"/>
  <c r="U47" i="155"/>
  <c r="U48" i="155"/>
  <c r="U49" i="155"/>
  <c r="U50" i="155"/>
  <c r="U51" i="155"/>
  <c r="U52" i="155"/>
  <c r="U53" i="155"/>
  <c r="U54" i="155"/>
  <c r="U55" i="155"/>
  <c r="U56" i="155"/>
  <c r="U57" i="155"/>
  <c r="U58" i="155"/>
  <c r="U59" i="155"/>
  <c r="U60" i="155"/>
  <c r="U61" i="155"/>
  <c r="U62" i="155"/>
  <c r="U63" i="155"/>
  <c r="U64" i="155"/>
  <c r="U65" i="155"/>
  <c r="U66" i="155"/>
  <c r="U67" i="155"/>
  <c r="U68" i="155"/>
  <c r="U69" i="155"/>
  <c r="U70" i="155"/>
  <c r="U71" i="155"/>
  <c r="U72" i="155"/>
  <c r="U73" i="155"/>
  <c r="U74" i="155"/>
  <c r="U75" i="155"/>
  <c r="U76" i="155"/>
  <c r="U77" i="155"/>
  <c r="U78" i="155"/>
  <c r="U79" i="155"/>
  <c r="U80" i="155"/>
  <c r="U81" i="155"/>
  <c r="U82" i="155"/>
  <c r="U83" i="155"/>
  <c r="U84" i="155"/>
  <c r="U85" i="155"/>
  <c r="U86" i="155"/>
  <c r="U87" i="155"/>
  <c r="U88" i="155"/>
  <c r="U89" i="155"/>
  <c r="U90" i="155"/>
  <c r="U91" i="155"/>
  <c r="U92" i="155"/>
  <c r="U93" i="155"/>
  <c r="U94" i="155"/>
  <c r="U95" i="155"/>
  <c r="U96" i="155"/>
  <c r="U97" i="155"/>
  <c r="U98" i="155"/>
  <c r="U99" i="155"/>
  <c r="U100" i="155"/>
  <c r="U101" i="155"/>
  <c r="U102" i="155"/>
  <c r="U103" i="155"/>
  <c r="U104" i="155"/>
  <c r="U105" i="155"/>
  <c r="U106" i="155"/>
  <c r="U107" i="155"/>
  <c r="U108" i="155"/>
  <c r="U109" i="155"/>
  <c r="U110" i="155"/>
  <c r="U111" i="155"/>
  <c r="U112" i="155"/>
  <c r="U113" i="155"/>
  <c r="U114" i="155"/>
  <c r="U115" i="155"/>
  <c r="U116" i="155"/>
  <c r="U117" i="155"/>
  <c r="U118" i="155"/>
  <c r="U119" i="155"/>
  <c r="U120" i="155"/>
  <c r="U121" i="155"/>
  <c r="U122" i="155"/>
  <c r="U123" i="155"/>
  <c r="U124" i="155"/>
  <c r="U125" i="155"/>
  <c r="Y41" i="135"/>
  <c r="Y40" i="135"/>
  <c r="Y39" i="135"/>
  <c r="Y38" i="135"/>
  <c r="Y37" i="135"/>
  <c r="Y36" i="135"/>
  <c r="Y35" i="135"/>
  <c r="U131" i="156"/>
  <c r="U132" i="156"/>
  <c r="U133" i="156"/>
  <c r="U134" i="156"/>
  <c r="U135" i="156"/>
  <c r="U136" i="156"/>
  <c r="U137" i="156"/>
  <c r="U138" i="156"/>
  <c r="U139" i="156"/>
  <c r="U140" i="156"/>
  <c r="U141" i="156"/>
  <c r="U142" i="156"/>
  <c r="U143" i="156"/>
  <c r="U144" i="156"/>
  <c r="U145" i="156"/>
  <c r="U146" i="156"/>
  <c r="U147" i="156"/>
  <c r="U148" i="156"/>
  <c r="U149" i="156"/>
  <c r="U150" i="156"/>
  <c r="U151" i="156"/>
  <c r="U152" i="156"/>
  <c r="U153" i="156"/>
  <c r="U154" i="156"/>
  <c r="U155" i="156"/>
  <c r="U156" i="156"/>
  <c r="U157" i="156"/>
  <c r="U158" i="156"/>
  <c r="U159" i="156"/>
  <c r="U160" i="156"/>
  <c r="U161" i="156"/>
  <c r="U162" i="156"/>
  <c r="U163" i="156"/>
  <c r="U164" i="156"/>
  <c r="U165" i="156"/>
  <c r="U166" i="156"/>
  <c r="U167" i="156"/>
  <c r="U168" i="156"/>
  <c r="U169" i="156"/>
  <c r="U170" i="156"/>
  <c r="U171" i="156"/>
  <c r="U172" i="156"/>
  <c r="U173" i="156"/>
  <c r="U174" i="156"/>
  <c r="U175" i="156"/>
  <c r="U176" i="156"/>
  <c r="U177" i="156"/>
  <c r="U178" i="156"/>
  <c r="U179" i="156"/>
  <c r="U180" i="156"/>
  <c r="U181" i="156"/>
  <c r="U182" i="156"/>
  <c r="U183" i="156"/>
  <c r="U184" i="156"/>
  <c r="U185" i="156"/>
  <c r="U186" i="156"/>
  <c r="U187" i="156"/>
  <c r="U188" i="156"/>
  <c r="U189" i="156"/>
  <c r="U190" i="156"/>
  <c r="U191" i="156"/>
  <c r="U192" i="156"/>
  <c r="U193" i="156"/>
  <c r="U194" i="156"/>
  <c r="U195" i="156"/>
  <c r="U196" i="156"/>
  <c r="U197" i="156"/>
  <c r="U198" i="156"/>
  <c r="U199" i="156"/>
  <c r="U200" i="156"/>
  <c r="U201" i="156"/>
  <c r="U202" i="156"/>
  <c r="U203" i="156"/>
  <c r="U204" i="156"/>
  <c r="U205" i="156"/>
  <c r="U206" i="156"/>
  <c r="U207" i="156"/>
  <c r="U208" i="156"/>
  <c r="U209" i="156"/>
  <c r="U210" i="156"/>
  <c r="U211" i="156"/>
  <c r="U212" i="156"/>
  <c r="U213" i="156"/>
  <c r="U214" i="156"/>
  <c r="U215" i="156"/>
  <c r="U216" i="156"/>
  <c r="U217" i="156"/>
  <c r="U218" i="156"/>
  <c r="U219" i="156"/>
  <c r="U220" i="156"/>
  <c r="U221" i="156"/>
  <c r="U222" i="156"/>
  <c r="U223" i="156"/>
  <c r="U224" i="156"/>
  <c r="U225" i="156"/>
  <c r="U226" i="156"/>
  <c r="U227" i="156"/>
  <c r="U228" i="156"/>
  <c r="U229" i="156"/>
  <c r="U230" i="156"/>
  <c r="U231" i="156"/>
  <c r="U232" i="156"/>
  <c r="U233" i="156"/>
  <c r="U234" i="156"/>
  <c r="U235" i="156"/>
  <c r="U236" i="156"/>
  <c r="U237" i="156"/>
  <c r="U238" i="156"/>
  <c r="U239" i="156"/>
  <c r="U240" i="156"/>
  <c r="U241" i="156"/>
  <c r="U242" i="156"/>
  <c r="U243" i="156"/>
  <c r="U244" i="156"/>
  <c r="U245" i="156"/>
  <c r="U246" i="156"/>
  <c r="U247" i="156"/>
  <c r="Y32" i="135"/>
  <c r="Y31" i="135"/>
  <c r="Y30" i="135"/>
  <c r="Y29" i="135"/>
  <c r="Y28" i="135"/>
  <c r="Y27" i="135"/>
  <c r="Y26" i="135"/>
  <c r="U9" i="156"/>
  <c r="U10" i="156"/>
  <c r="U11" i="156"/>
  <c r="U12" i="156"/>
  <c r="U13" i="156"/>
  <c r="U14" i="156"/>
  <c r="U15" i="156"/>
  <c r="U16" i="156"/>
  <c r="U17" i="156"/>
  <c r="U18" i="156"/>
  <c r="U19" i="156"/>
  <c r="U20" i="156"/>
  <c r="U21" i="156"/>
  <c r="U22" i="156"/>
  <c r="U23" i="156"/>
  <c r="U24" i="156"/>
  <c r="U25" i="156"/>
  <c r="U26" i="156"/>
  <c r="U27" i="156"/>
  <c r="U28" i="156"/>
  <c r="U29" i="156"/>
  <c r="U30" i="156"/>
  <c r="U31" i="156"/>
  <c r="U32" i="156"/>
  <c r="U33" i="156"/>
  <c r="U34" i="156"/>
  <c r="U35" i="156"/>
  <c r="U36" i="156"/>
  <c r="U37" i="156"/>
  <c r="U38" i="156"/>
  <c r="U39" i="156"/>
  <c r="U40" i="156"/>
  <c r="U41" i="156"/>
  <c r="U42" i="156"/>
  <c r="U43" i="156"/>
  <c r="U44" i="156"/>
  <c r="U45" i="156"/>
  <c r="U46" i="156"/>
  <c r="U47" i="156"/>
  <c r="U48" i="156"/>
  <c r="U49" i="156"/>
  <c r="U50" i="156"/>
  <c r="U51" i="156"/>
  <c r="U52" i="156"/>
  <c r="U53" i="156"/>
  <c r="U54" i="156"/>
  <c r="U55" i="156"/>
  <c r="U56" i="156"/>
  <c r="U57" i="156"/>
  <c r="U58" i="156"/>
  <c r="U59" i="156"/>
  <c r="U60" i="156"/>
  <c r="U61" i="156"/>
  <c r="U62" i="156"/>
  <c r="U63" i="156"/>
  <c r="U64" i="156"/>
  <c r="U65" i="156"/>
  <c r="U66" i="156"/>
  <c r="U67" i="156"/>
  <c r="U68" i="156"/>
  <c r="U69" i="156"/>
  <c r="U70" i="156"/>
  <c r="U71" i="156"/>
  <c r="U72" i="156"/>
  <c r="U73" i="156"/>
  <c r="U74" i="156"/>
  <c r="U75" i="156"/>
  <c r="U76" i="156"/>
  <c r="U77" i="156"/>
  <c r="U78" i="156"/>
  <c r="U79" i="156"/>
  <c r="U80" i="156"/>
  <c r="U81" i="156"/>
  <c r="U82" i="156"/>
  <c r="U83" i="156"/>
  <c r="U84" i="156"/>
  <c r="U85" i="156"/>
  <c r="U86" i="156"/>
  <c r="U87" i="156"/>
  <c r="U88" i="156"/>
  <c r="U89" i="156"/>
  <c r="U90" i="156"/>
  <c r="U91" i="156"/>
  <c r="U92" i="156"/>
  <c r="U93" i="156"/>
  <c r="U94" i="156"/>
  <c r="U95" i="156"/>
  <c r="U96" i="156"/>
  <c r="U97" i="156"/>
  <c r="U98" i="156"/>
  <c r="U99" i="156"/>
  <c r="U100" i="156"/>
  <c r="U101" i="156"/>
  <c r="U102" i="156"/>
  <c r="U103" i="156"/>
  <c r="U104" i="156"/>
  <c r="U105" i="156"/>
  <c r="U106" i="156"/>
  <c r="U107" i="156"/>
  <c r="U108" i="156"/>
  <c r="U109" i="156"/>
  <c r="U110" i="156"/>
  <c r="U111" i="156"/>
  <c r="U112" i="156"/>
  <c r="U113" i="156"/>
  <c r="U114" i="156"/>
  <c r="U115" i="156"/>
  <c r="U116" i="156"/>
  <c r="U117" i="156"/>
  <c r="U118" i="156"/>
  <c r="U119" i="156"/>
  <c r="U120" i="156"/>
  <c r="U121" i="156"/>
  <c r="U122" i="156"/>
  <c r="U123" i="156"/>
  <c r="U124" i="156"/>
  <c r="U125" i="156"/>
  <c r="Y25" i="135"/>
  <c r="Y24" i="135"/>
  <c r="Y23" i="135"/>
  <c r="Y22" i="135"/>
  <c r="Y21" i="135"/>
  <c r="Y20" i="135"/>
  <c r="Y19" i="135"/>
  <c r="H9" i="154"/>
  <c r="H10" i="154"/>
  <c r="H11" i="154"/>
  <c r="H12" i="154"/>
  <c r="O9" i="154"/>
  <c r="O10" i="154"/>
  <c r="O11" i="154"/>
  <c r="O12" i="154"/>
  <c r="H13" i="154"/>
  <c r="H14" i="154"/>
  <c r="H15" i="154"/>
  <c r="H16" i="154"/>
  <c r="O13" i="154"/>
  <c r="O14" i="154"/>
  <c r="O15" i="154"/>
  <c r="O16" i="154"/>
  <c r="H17" i="154"/>
  <c r="H18" i="154"/>
  <c r="H19" i="154"/>
  <c r="H20" i="154"/>
  <c r="O17" i="154"/>
  <c r="O18" i="154"/>
  <c r="O19" i="154"/>
  <c r="O20" i="154"/>
  <c r="H21" i="154"/>
  <c r="H22" i="154"/>
  <c r="H23" i="154"/>
  <c r="H24" i="154"/>
  <c r="O21" i="154"/>
  <c r="O22" i="154"/>
  <c r="O23" i="154"/>
  <c r="O24" i="154"/>
  <c r="H25" i="154"/>
  <c r="H26" i="154"/>
  <c r="H27" i="154"/>
  <c r="H28" i="154"/>
  <c r="O25" i="154"/>
  <c r="O26" i="154"/>
  <c r="O27" i="154"/>
  <c r="O28" i="154"/>
  <c r="H29" i="154"/>
  <c r="H30" i="154"/>
  <c r="H31" i="154"/>
  <c r="H32" i="154"/>
  <c r="O29" i="154"/>
  <c r="O30" i="154"/>
  <c r="O31" i="154"/>
  <c r="O32" i="154"/>
  <c r="H33" i="154"/>
  <c r="H34" i="154"/>
  <c r="H35" i="154"/>
  <c r="H36" i="154"/>
  <c r="O33" i="154"/>
  <c r="O34" i="154"/>
  <c r="O35" i="154"/>
  <c r="O36" i="154"/>
  <c r="H37" i="154"/>
  <c r="H38" i="154"/>
  <c r="H39" i="154"/>
  <c r="H40" i="154"/>
  <c r="O37" i="154"/>
  <c r="O38" i="154"/>
  <c r="O39" i="154"/>
  <c r="O40" i="154"/>
  <c r="H41" i="154"/>
  <c r="H42" i="154"/>
  <c r="H43" i="154"/>
  <c r="H44" i="154"/>
  <c r="O41" i="154"/>
  <c r="O42" i="154"/>
  <c r="O43" i="154"/>
  <c r="O44" i="154"/>
  <c r="H45" i="154"/>
  <c r="H46" i="154"/>
  <c r="H47" i="154"/>
  <c r="H48" i="154"/>
  <c r="O45" i="154"/>
  <c r="O46" i="154"/>
  <c r="O47" i="154"/>
  <c r="O48" i="154"/>
  <c r="H49" i="154"/>
  <c r="H50" i="154"/>
  <c r="H51" i="154"/>
  <c r="H52" i="154"/>
  <c r="O49" i="154"/>
  <c r="O50" i="154"/>
  <c r="O51" i="154"/>
  <c r="O52" i="154"/>
  <c r="H53" i="154"/>
  <c r="H54" i="154"/>
  <c r="H55" i="154"/>
  <c r="H56" i="154"/>
  <c r="O53" i="154"/>
  <c r="O54" i="154"/>
  <c r="O55" i="154"/>
  <c r="O56" i="154"/>
  <c r="H57" i="154"/>
  <c r="H58" i="154"/>
  <c r="H59" i="154"/>
  <c r="H60" i="154"/>
  <c r="O57" i="154"/>
  <c r="O58" i="154"/>
  <c r="O59" i="154"/>
  <c r="O60" i="154"/>
  <c r="H61" i="154"/>
  <c r="H62" i="154"/>
  <c r="H63" i="154"/>
  <c r="H64" i="154"/>
  <c r="O61" i="154"/>
  <c r="O62" i="154"/>
  <c r="O63" i="154"/>
  <c r="O64" i="154"/>
  <c r="H65" i="154"/>
  <c r="H66" i="154"/>
  <c r="H67" i="154"/>
  <c r="H68" i="154"/>
  <c r="O65" i="154"/>
  <c r="O66" i="154"/>
  <c r="O67" i="154"/>
  <c r="O68" i="154"/>
  <c r="H69" i="154"/>
  <c r="H70" i="154"/>
  <c r="H71" i="154"/>
  <c r="H72" i="154"/>
  <c r="O69" i="154"/>
  <c r="O70" i="154"/>
  <c r="O71" i="154"/>
  <c r="O72" i="154"/>
  <c r="H73" i="154"/>
  <c r="H74" i="154"/>
  <c r="H75" i="154"/>
  <c r="H76" i="154"/>
  <c r="O73" i="154"/>
  <c r="O74" i="154"/>
  <c r="O75" i="154"/>
  <c r="O76" i="154"/>
  <c r="H77" i="154"/>
  <c r="H78" i="154"/>
  <c r="H79" i="154"/>
  <c r="H80" i="154"/>
  <c r="O77" i="154"/>
  <c r="O78" i="154"/>
  <c r="O79" i="154"/>
  <c r="O80" i="154"/>
  <c r="H81" i="154"/>
  <c r="H82" i="154"/>
  <c r="H83" i="154"/>
  <c r="H84" i="154"/>
  <c r="O81" i="154"/>
  <c r="O82" i="154"/>
  <c r="O83" i="154"/>
  <c r="O84" i="154"/>
  <c r="H85" i="154"/>
  <c r="H86" i="154"/>
  <c r="H87" i="154"/>
  <c r="H88" i="154"/>
  <c r="O85" i="154"/>
  <c r="O86" i="154"/>
  <c r="O87" i="154"/>
  <c r="O88" i="154"/>
  <c r="H89" i="154"/>
  <c r="H90" i="154"/>
  <c r="H91" i="154"/>
  <c r="H92" i="154"/>
  <c r="O89" i="154"/>
  <c r="O90" i="154"/>
  <c r="O91" i="154"/>
  <c r="O92" i="154"/>
  <c r="H93" i="154"/>
  <c r="H94" i="154"/>
  <c r="H95" i="154"/>
  <c r="H96" i="154"/>
  <c r="O93" i="154"/>
  <c r="O94" i="154"/>
  <c r="O95" i="154"/>
  <c r="O96" i="154"/>
  <c r="H97" i="154"/>
  <c r="H98" i="154"/>
  <c r="H99" i="154"/>
  <c r="H100" i="154"/>
  <c r="O97" i="154"/>
  <c r="O98" i="154"/>
  <c r="O99" i="154"/>
  <c r="O100" i="154"/>
  <c r="H101" i="154"/>
  <c r="H102" i="154"/>
  <c r="H103" i="154"/>
  <c r="H104" i="154"/>
  <c r="O101" i="154"/>
  <c r="O102" i="154"/>
  <c r="O103" i="154"/>
  <c r="O104" i="154"/>
  <c r="H105" i="154"/>
  <c r="H106" i="154"/>
  <c r="H107" i="154"/>
  <c r="H108" i="154"/>
  <c r="O105" i="154"/>
  <c r="O106" i="154"/>
  <c r="O107" i="154"/>
  <c r="O108" i="154"/>
  <c r="H109" i="154"/>
  <c r="H110" i="154"/>
  <c r="H111" i="154"/>
  <c r="H112" i="154"/>
  <c r="O109" i="154"/>
  <c r="O110" i="154"/>
  <c r="O111" i="154"/>
  <c r="O112" i="154"/>
  <c r="H113" i="154"/>
  <c r="H114" i="154"/>
  <c r="H115" i="154"/>
  <c r="H116" i="154"/>
  <c r="O113" i="154"/>
  <c r="O114" i="154"/>
  <c r="O115" i="154"/>
  <c r="O116" i="154"/>
  <c r="H117" i="154"/>
  <c r="H118" i="154"/>
  <c r="H119" i="154"/>
  <c r="H120" i="154"/>
  <c r="O117" i="154"/>
  <c r="O118" i="154"/>
  <c r="O119" i="154"/>
  <c r="O120" i="154"/>
  <c r="H121" i="154"/>
  <c r="H122" i="154"/>
  <c r="H123" i="154"/>
  <c r="H124" i="154"/>
  <c r="O121" i="154"/>
  <c r="O122" i="154"/>
  <c r="O123" i="154"/>
  <c r="O124" i="154"/>
  <c r="X56" i="135"/>
  <c r="X55" i="135"/>
  <c r="X54" i="135"/>
  <c r="X53" i="135"/>
  <c r="X52" i="135"/>
  <c r="X51" i="135"/>
  <c r="H131" i="155"/>
  <c r="H132" i="155"/>
  <c r="H133" i="155"/>
  <c r="H134" i="155"/>
  <c r="O131" i="155"/>
  <c r="O132" i="155"/>
  <c r="O133" i="155"/>
  <c r="O134" i="155"/>
  <c r="H135" i="155"/>
  <c r="H136" i="155"/>
  <c r="H137" i="155"/>
  <c r="H138" i="155"/>
  <c r="O135" i="155"/>
  <c r="O136" i="155"/>
  <c r="O137" i="155"/>
  <c r="O138" i="155"/>
  <c r="H139" i="155"/>
  <c r="H140" i="155"/>
  <c r="H141" i="155"/>
  <c r="H142" i="155"/>
  <c r="O139" i="155"/>
  <c r="O140" i="155"/>
  <c r="O141" i="155"/>
  <c r="O142" i="155"/>
  <c r="H143" i="155"/>
  <c r="H144" i="155"/>
  <c r="H145" i="155"/>
  <c r="H146" i="155"/>
  <c r="O143" i="155"/>
  <c r="O144" i="155"/>
  <c r="O145" i="155"/>
  <c r="O146" i="155"/>
  <c r="H147" i="155"/>
  <c r="H148" i="155"/>
  <c r="H149" i="155"/>
  <c r="H150" i="155"/>
  <c r="O147" i="155"/>
  <c r="O148" i="155"/>
  <c r="O149" i="155"/>
  <c r="O150" i="155"/>
  <c r="H151" i="155"/>
  <c r="H152" i="155"/>
  <c r="H153" i="155"/>
  <c r="H154" i="155"/>
  <c r="O151" i="155"/>
  <c r="O152" i="155"/>
  <c r="O153" i="155"/>
  <c r="O154" i="155"/>
  <c r="H155" i="155"/>
  <c r="H156" i="155"/>
  <c r="H157" i="155"/>
  <c r="H158" i="155"/>
  <c r="O155" i="155"/>
  <c r="O156" i="155"/>
  <c r="O157" i="155"/>
  <c r="O158" i="155"/>
  <c r="H159" i="155"/>
  <c r="H160" i="155"/>
  <c r="H161" i="155"/>
  <c r="H162" i="155"/>
  <c r="O159" i="155"/>
  <c r="O160" i="155"/>
  <c r="O161" i="155"/>
  <c r="O162" i="155"/>
  <c r="H163" i="155"/>
  <c r="H164" i="155"/>
  <c r="H165" i="155"/>
  <c r="H166" i="155"/>
  <c r="O163" i="155"/>
  <c r="O164" i="155"/>
  <c r="O165" i="155"/>
  <c r="O166" i="155"/>
  <c r="H167" i="155"/>
  <c r="H168" i="155"/>
  <c r="H169" i="155"/>
  <c r="H170" i="155"/>
  <c r="O167" i="155"/>
  <c r="O168" i="155"/>
  <c r="O169" i="155"/>
  <c r="O170" i="155"/>
  <c r="H171" i="155"/>
  <c r="H172" i="155"/>
  <c r="H173" i="155"/>
  <c r="H174" i="155"/>
  <c r="O171" i="155"/>
  <c r="O172" i="155"/>
  <c r="O173" i="155"/>
  <c r="O174" i="155"/>
  <c r="H175" i="155"/>
  <c r="H176" i="155"/>
  <c r="H177" i="155"/>
  <c r="H178" i="155"/>
  <c r="O175" i="155"/>
  <c r="O176" i="155"/>
  <c r="O177" i="155"/>
  <c r="O178" i="155"/>
  <c r="H179" i="155"/>
  <c r="H180" i="155"/>
  <c r="H181" i="155"/>
  <c r="H182" i="155"/>
  <c r="O179" i="155"/>
  <c r="O180" i="155"/>
  <c r="O181" i="155"/>
  <c r="O182" i="155"/>
  <c r="H183" i="155"/>
  <c r="H184" i="155"/>
  <c r="H185" i="155"/>
  <c r="H186" i="155"/>
  <c r="O183" i="155"/>
  <c r="O184" i="155"/>
  <c r="O185" i="155"/>
  <c r="O186" i="155"/>
  <c r="H187" i="155"/>
  <c r="H188" i="155"/>
  <c r="H189" i="155"/>
  <c r="H190" i="155"/>
  <c r="O187" i="155"/>
  <c r="O188" i="155"/>
  <c r="O189" i="155"/>
  <c r="O190" i="155"/>
  <c r="H191" i="155"/>
  <c r="H192" i="155"/>
  <c r="H193" i="155"/>
  <c r="H194" i="155"/>
  <c r="O191" i="155"/>
  <c r="O192" i="155"/>
  <c r="O193" i="155"/>
  <c r="O194" i="155"/>
  <c r="H195" i="155"/>
  <c r="H196" i="155"/>
  <c r="H197" i="155"/>
  <c r="H198" i="155"/>
  <c r="O195" i="155"/>
  <c r="O196" i="155"/>
  <c r="O197" i="155"/>
  <c r="O198" i="155"/>
  <c r="H199" i="155"/>
  <c r="H200" i="155"/>
  <c r="H201" i="155"/>
  <c r="H202" i="155"/>
  <c r="O199" i="155"/>
  <c r="O200" i="155"/>
  <c r="O201" i="155"/>
  <c r="O202" i="155"/>
  <c r="H203" i="155"/>
  <c r="H204" i="155"/>
  <c r="H205" i="155"/>
  <c r="H206" i="155"/>
  <c r="O203" i="155"/>
  <c r="O204" i="155"/>
  <c r="O205" i="155"/>
  <c r="O206" i="155"/>
  <c r="H207" i="155"/>
  <c r="H208" i="155"/>
  <c r="H209" i="155"/>
  <c r="H210" i="155"/>
  <c r="O207" i="155"/>
  <c r="O208" i="155"/>
  <c r="O209" i="155"/>
  <c r="O210" i="155"/>
  <c r="H211" i="155"/>
  <c r="H212" i="155"/>
  <c r="H213" i="155"/>
  <c r="H214" i="155"/>
  <c r="O211" i="155"/>
  <c r="O212" i="155"/>
  <c r="O213" i="155"/>
  <c r="O214" i="155"/>
  <c r="H215" i="155"/>
  <c r="H216" i="155"/>
  <c r="H217" i="155"/>
  <c r="H218" i="155"/>
  <c r="O215" i="155"/>
  <c r="O216" i="155"/>
  <c r="O217" i="155"/>
  <c r="O218" i="155"/>
  <c r="H219" i="155"/>
  <c r="H220" i="155"/>
  <c r="H221" i="155"/>
  <c r="H222" i="155"/>
  <c r="O219" i="155"/>
  <c r="O220" i="155"/>
  <c r="O221" i="155"/>
  <c r="O222" i="155"/>
  <c r="H223" i="155"/>
  <c r="H224" i="155"/>
  <c r="H225" i="155"/>
  <c r="H226" i="155"/>
  <c r="O223" i="155"/>
  <c r="O224" i="155"/>
  <c r="O225" i="155"/>
  <c r="O226" i="155"/>
  <c r="H227" i="155"/>
  <c r="H228" i="155"/>
  <c r="H229" i="155"/>
  <c r="H230" i="155"/>
  <c r="O227" i="155"/>
  <c r="O228" i="155"/>
  <c r="O229" i="155"/>
  <c r="O230" i="155"/>
  <c r="H231" i="155"/>
  <c r="H232" i="155"/>
  <c r="H233" i="155"/>
  <c r="H234" i="155"/>
  <c r="O231" i="155"/>
  <c r="O232" i="155"/>
  <c r="O233" i="155"/>
  <c r="O234" i="155"/>
  <c r="H235" i="155"/>
  <c r="H236" i="155"/>
  <c r="H237" i="155"/>
  <c r="H238" i="155"/>
  <c r="O235" i="155"/>
  <c r="O236" i="155"/>
  <c r="O237" i="155"/>
  <c r="O238" i="155"/>
  <c r="H239" i="155"/>
  <c r="H240" i="155"/>
  <c r="H241" i="155"/>
  <c r="H242" i="155"/>
  <c r="O239" i="155"/>
  <c r="O240" i="155"/>
  <c r="O241" i="155"/>
  <c r="O242" i="155"/>
  <c r="H243" i="155"/>
  <c r="H244" i="155"/>
  <c r="H245" i="155"/>
  <c r="H246" i="155"/>
  <c r="O243" i="155"/>
  <c r="O244" i="155"/>
  <c r="O245" i="155"/>
  <c r="O246" i="155"/>
  <c r="X47" i="135"/>
  <c r="X46" i="135"/>
  <c r="X45" i="135"/>
  <c r="X44" i="135"/>
  <c r="X43" i="135"/>
  <c r="X42" i="135"/>
  <c r="H9" i="155"/>
  <c r="H10" i="155"/>
  <c r="H11" i="155"/>
  <c r="H12" i="155"/>
  <c r="O9" i="155"/>
  <c r="O10" i="155"/>
  <c r="O11" i="155"/>
  <c r="O12" i="155"/>
  <c r="T9" i="155"/>
  <c r="H13" i="155"/>
  <c r="H14" i="155"/>
  <c r="H15" i="155"/>
  <c r="H16" i="155"/>
  <c r="O13" i="155"/>
  <c r="O14" i="155"/>
  <c r="O15" i="155"/>
  <c r="O16" i="155"/>
  <c r="T13" i="155"/>
  <c r="H17" i="155"/>
  <c r="H18" i="155"/>
  <c r="H19" i="155"/>
  <c r="H20" i="155"/>
  <c r="O17" i="155"/>
  <c r="O18" i="155"/>
  <c r="O19" i="155"/>
  <c r="O20" i="155"/>
  <c r="T17" i="155"/>
  <c r="H21" i="155"/>
  <c r="H22" i="155"/>
  <c r="H23" i="155"/>
  <c r="H24" i="155"/>
  <c r="O21" i="155"/>
  <c r="O22" i="155"/>
  <c r="O23" i="155"/>
  <c r="O24" i="155"/>
  <c r="T21" i="155"/>
  <c r="H25" i="155"/>
  <c r="H26" i="155"/>
  <c r="H27" i="155"/>
  <c r="H28" i="155"/>
  <c r="O25" i="155"/>
  <c r="O26" i="155"/>
  <c r="O27" i="155"/>
  <c r="O28" i="155"/>
  <c r="T25" i="155"/>
  <c r="H29" i="155"/>
  <c r="H30" i="155"/>
  <c r="H31" i="155"/>
  <c r="H32" i="155"/>
  <c r="O29" i="155"/>
  <c r="O30" i="155"/>
  <c r="O31" i="155"/>
  <c r="O32" i="155"/>
  <c r="T29" i="155"/>
  <c r="H33" i="155"/>
  <c r="H34" i="155"/>
  <c r="H35" i="155"/>
  <c r="H36" i="155"/>
  <c r="O33" i="155"/>
  <c r="O34" i="155"/>
  <c r="O35" i="155"/>
  <c r="O36" i="155"/>
  <c r="T33" i="155"/>
  <c r="H37" i="155"/>
  <c r="H38" i="155"/>
  <c r="H39" i="155"/>
  <c r="H40" i="155"/>
  <c r="O37" i="155"/>
  <c r="O38" i="155"/>
  <c r="O39" i="155"/>
  <c r="O40" i="155"/>
  <c r="T37" i="155"/>
  <c r="H41" i="155"/>
  <c r="H42" i="155"/>
  <c r="H43" i="155"/>
  <c r="H44" i="155"/>
  <c r="O41" i="155"/>
  <c r="O42" i="155"/>
  <c r="O43" i="155"/>
  <c r="O44" i="155"/>
  <c r="T41" i="155"/>
  <c r="H45" i="155"/>
  <c r="H46" i="155"/>
  <c r="H47" i="155"/>
  <c r="H48" i="155"/>
  <c r="O45" i="155"/>
  <c r="O46" i="155"/>
  <c r="O47" i="155"/>
  <c r="O48" i="155"/>
  <c r="T45" i="155"/>
  <c r="H49" i="155"/>
  <c r="H50" i="155"/>
  <c r="H51" i="155"/>
  <c r="H52" i="155"/>
  <c r="O49" i="155"/>
  <c r="O50" i="155"/>
  <c r="O51" i="155"/>
  <c r="O52" i="155"/>
  <c r="T49" i="155"/>
  <c r="H53" i="155"/>
  <c r="H54" i="155"/>
  <c r="H55" i="155"/>
  <c r="H56" i="155"/>
  <c r="O53" i="155"/>
  <c r="O54" i="155"/>
  <c r="O55" i="155"/>
  <c r="O56" i="155"/>
  <c r="T53" i="155"/>
  <c r="H57" i="155"/>
  <c r="H58" i="155"/>
  <c r="H59" i="155"/>
  <c r="H60" i="155"/>
  <c r="O57" i="155"/>
  <c r="O58" i="155"/>
  <c r="O59" i="155"/>
  <c r="O60" i="155"/>
  <c r="T57" i="155"/>
  <c r="H61" i="155"/>
  <c r="H62" i="155"/>
  <c r="H63" i="155"/>
  <c r="H64" i="155"/>
  <c r="O61" i="155"/>
  <c r="O62" i="155"/>
  <c r="O63" i="155"/>
  <c r="O64" i="155"/>
  <c r="T61" i="155"/>
  <c r="H65" i="155"/>
  <c r="H66" i="155"/>
  <c r="H67" i="155"/>
  <c r="H68" i="155"/>
  <c r="O65" i="155"/>
  <c r="O66" i="155"/>
  <c r="O67" i="155"/>
  <c r="O68" i="155"/>
  <c r="T65" i="155"/>
  <c r="H69" i="155"/>
  <c r="H70" i="155"/>
  <c r="H71" i="155"/>
  <c r="H72" i="155"/>
  <c r="O69" i="155"/>
  <c r="O70" i="155"/>
  <c r="O71" i="155"/>
  <c r="O72" i="155"/>
  <c r="T69" i="155"/>
  <c r="H73" i="155"/>
  <c r="H74" i="155"/>
  <c r="H75" i="155"/>
  <c r="H76" i="155"/>
  <c r="O73" i="155"/>
  <c r="O74" i="155"/>
  <c r="O75" i="155"/>
  <c r="O76" i="155"/>
  <c r="T73" i="155"/>
  <c r="H77" i="155"/>
  <c r="H78" i="155"/>
  <c r="H79" i="155"/>
  <c r="H80" i="155"/>
  <c r="O77" i="155"/>
  <c r="O78" i="155"/>
  <c r="O79" i="155"/>
  <c r="O80" i="155"/>
  <c r="T77" i="155"/>
  <c r="H81" i="155"/>
  <c r="H82" i="155"/>
  <c r="H83" i="155"/>
  <c r="H84" i="155"/>
  <c r="O81" i="155"/>
  <c r="O82" i="155"/>
  <c r="O83" i="155"/>
  <c r="O84" i="155"/>
  <c r="T81" i="155"/>
  <c r="H85" i="155"/>
  <c r="H86" i="155"/>
  <c r="H87" i="155"/>
  <c r="H88" i="155"/>
  <c r="O85" i="155"/>
  <c r="O86" i="155"/>
  <c r="O87" i="155"/>
  <c r="O88" i="155"/>
  <c r="T85" i="155"/>
  <c r="H89" i="155"/>
  <c r="H90" i="155"/>
  <c r="H91" i="155"/>
  <c r="H92" i="155"/>
  <c r="O89" i="155"/>
  <c r="O90" i="155"/>
  <c r="O91" i="155"/>
  <c r="O92" i="155"/>
  <c r="T89" i="155"/>
  <c r="H93" i="155"/>
  <c r="H94" i="155"/>
  <c r="H95" i="155"/>
  <c r="H96" i="155"/>
  <c r="O93" i="155"/>
  <c r="O94" i="155"/>
  <c r="O95" i="155"/>
  <c r="O96" i="155"/>
  <c r="T93" i="155"/>
  <c r="H97" i="155"/>
  <c r="H98" i="155"/>
  <c r="H99" i="155"/>
  <c r="H100" i="155"/>
  <c r="O97" i="155"/>
  <c r="O98" i="155"/>
  <c r="O99" i="155"/>
  <c r="O100" i="155"/>
  <c r="T97" i="155"/>
  <c r="H101" i="155"/>
  <c r="H102" i="155"/>
  <c r="H103" i="155"/>
  <c r="H104" i="155"/>
  <c r="O101" i="155"/>
  <c r="O102" i="155"/>
  <c r="O103" i="155"/>
  <c r="O104" i="155"/>
  <c r="T101" i="155"/>
  <c r="H105" i="155"/>
  <c r="H106" i="155"/>
  <c r="H107" i="155"/>
  <c r="H108" i="155"/>
  <c r="O105" i="155"/>
  <c r="O106" i="155"/>
  <c r="O107" i="155"/>
  <c r="O108" i="155"/>
  <c r="T105" i="155"/>
  <c r="H109" i="155"/>
  <c r="H110" i="155"/>
  <c r="H111" i="155"/>
  <c r="H112" i="155"/>
  <c r="O109" i="155"/>
  <c r="O110" i="155"/>
  <c r="O111" i="155"/>
  <c r="O112" i="155"/>
  <c r="T109" i="155"/>
  <c r="H113" i="155"/>
  <c r="H114" i="155"/>
  <c r="H115" i="155"/>
  <c r="H116" i="155"/>
  <c r="O113" i="155"/>
  <c r="O114" i="155"/>
  <c r="O115" i="155"/>
  <c r="O116" i="155"/>
  <c r="T113" i="155"/>
  <c r="H117" i="155"/>
  <c r="H118" i="155"/>
  <c r="H119" i="155"/>
  <c r="H120" i="155"/>
  <c r="O117" i="155"/>
  <c r="O118" i="155"/>
  <c r="O119" i="155"/>
  <c r="O120" i="155"/>
  <c r="T117" i="155"/>
  <c r="H121" i="155"/>
  <c r="H122" i="155"/>
  <c r="H123" i="155"/>
  <c r="H124" i="155"/>
  <c r="O121" i="155"/>
  <c r="O122" i="155"/>
  <c r="O123" i="155"/>
  <c r="O124" i="155"/>
  <c r="T121" i="155"/>
  <c r="T125" i="155"/>
  <c r="X41" i="135"/>
  <c r="X40" i="135"/>
  <c r="X39" i="135"/>
  <c r="X38" i="135"/>
  <c r="X37" i="135"/>
  <c r="X36" i="135"/>
  <c r="X35" i="135"/>
  <c r="H131" i="156"/>
  <c r="H132" i="156"/>
  <c r="H133" i="156"/>
  <c r="H134" i="156"/>
  <c r="O131" i="156"/>
  <c r="O132" i="156"/>
  <c r="O133" i="156"/>
  <c r="O134" i="156"/>
  <c r="H135" i="156"/>
  <c r="H136" i="156"/>
  <c r="H137" i="156"/>
  <c r="H138" i="156"/>
  <c r="O135" i="156"/>
  <c r="O136" i="156"/>
  <c r="O137" i="156"/>
  <c r="O138" i="156"/>
  <c r="H139" i="156"/>
  <c r="H140" i="156"/>
  <c r="H141" i="156"/>
  <c r="H142" i="156"/>
  <c r="O139" i="156"/>
  <c r="O140" i="156"/>
  <c r="O141" i="156"/>
  <c r="O142" i="156"/>
  <c r="H143" i="156"/>
  <c r="H144" i="156"/>
  <c r="H145" i="156"/>
  <c r="H146" i="156"/>
  <c r="O143" i="156"/>
  <c r="O144" i="156"/>
  <c r="O145" i="156"/>
  <c r="O146" i="156"/>
  <c r="H147" i="156"/>
  <c r="H148" i="156"/>
  <c r="H149" i="156"/>
  <c r="H150" i="156"/>
  <c r="O147" i="156"/>
  <c r="O148" i="156"/>
  <c r="O149" i="156"/>
  <c r="O150" i="156"/>
  <c r="H151" i="156"/>
  <c r="H152" i="156"/>
  <c r="H153" i="156"/>
  <c r="H154" i="156"/>
  <c r="O151" i="156"/>
  <c r="O152" i="156"/>
  <c r="O153" i="156"/>
  <c r="O154" i="156"/>
  <c r="H155" i="156"/>
  <c r="H156" i="156"/>
  <c r="H157" i="156"/>
  <c r="H158" i="156"/>
  <c r="O155" i="156"/>
  <c r="O156" i="156"/>
  <c r="O157" i="156"/>
  <c r="O158" i="156"/>
  <c r="H159" i="156"/>
  <c r="H160" i="156"/>
  <c r="H161" i="156"/>
  <c r="H162" i="156"/>
  <c r="O159" i="156"/>
  <c r="O160" i="156"/>
  <c r="O161" i="156"/>
  <c r="O162" i="156"/>
  <c r="H163" i="156"/>
  <c r="H164" i="156"/>
  <c r="H165" i="156"/>
  <c r="H166" i="156"/>
  <c r="O163" i="156"/>
  <c r="O164" i="156"/>
  <c r="O165" i="156"/>
  <c r="O166" i="156"/>
  <c r="H167" i="156"/>
  <c r="H168" i="156"/>
  <c r="H169" i="156"/>
  <c r="H170" i="156"/>
  <c r="O167" i="156"/>
  <c r="O168" i="156"/>
  <c r="O169" i="156"/>
  <c r="O170" i="156"/>
  <c r="H171" i="156"/>
  <c r="H172" i="156"/>
  <c r="H173" i="156"/>
  <c r="H174" i="156"/>
  <c r="O171" i="156"/>
  <c r="O172" i="156"/>
  <c r="O173" i="156"/>
  <c r="O174" i="156"/>
  <c r="H175" i="156"/>
  <c r="H176" i="156"/>
  <c r="H177" i="156"/>
  <c r="H178" i="156"/>
  <c r="O175" i="156"/>
  <c r="O176" i="156"/>
  <c r="O177" i="156"/>
  <c r="O178" i="156"/>
  <c r="H179" i="156"/>
  <c r="H180" i="156"/>
  <c r="H181" i="156"/>
  <c r="H182" i="156"/>
  <c r="O179" i="156"/>
  <c r="O180" i="156"/>
  <c r="O181" i="156"/>
  <c r="O182" i="156"/>
  <c r="H183" i="156"/>
  <c r="H184" i="156"/>
  <c r="H185" i="156"/>
  <c r="H186" i="156"/>
  <c r="O183" i="156"/>
  <c r="O184" i="156"/>
  <c r="O185" i="156"/>
  <c r="O186" i="156"/>
  <c r="H187" i="156"/>
  <c r="H188" i="156"/>
  <c r="H189" i="156"/>
  <c r="H190" i="156"/>
  <c r="O187" i="156"/>
  <c r="O188" i="156"/>
  <c r="O189" i="156"/>
  <c r="O190" i="156"/>
  <c r="H191" i="156"/>
  <c r="H192" i="156"/>
  <c r="H193" i="156"/>
  <c r="H194" i="156"/>
  <c r="O191" i="156"/>
  <c r="O192" i="156"/>
  <c r="O193" i="156"/>
  <c r="O194" i="156"/>
  <c r="H195" i="156"/>
  <c r="H196" i="156"/>
  <c r="H197" i="156"/>
  <c r="H198" i="156"/>
  <c r="O195" i="156"/>
  <c r="O196" i="156"/>
  <c r="O197" i="156"/>
  <c r="O198" i="156"/>
  <c r="H199" i="156"/>
  <c r="H200" i="156"/>
  <c r="H201" i="156"/>
  <c r="H202" i="156"/>
  <c r="O199" i="156"/>
  <c r="O200" i="156"/>
  <c r="O201" i="156"/>
  <c r="O202" i="156"/>
  <c r="H203" i="156"/>
  <c r="H204" i="156"/>
  <c r="H205" i="156"/>
  <c r="H206" i="156"/>
  <c r="O203" i="156"/>
  <c r="O204" i="156"/>
  <c r="O205" i="156"/>
  <c r="O206" i="156"/>
  <c r="H207" i="156"/>
  <c r="H208" i="156"/>
  <c r="H209" i="156"/>
  <c r="H210" i="156"/>
  <c r="O207" i="156"/>
  <c r="O208" i="156"/>
  <c r="O209" i="156"/>
  <c r="O210" i="156"/>
  <c r="H211" i="156"/>
  <c r="H212" i="156"/>
  <c r="H213" i="156"/>
  <c r="H214" i="156"/>
  <c r="O211" i="156"/>
  <c r="O212" i="156"/>
  <c r="O213" i="156"/>
  <c r="O214" i="156"/>
  <c r="H215" i="156"/>
  <c r="H216" i="156"/>
  <c r="H217" i="156"/>
  <c r="H218" i="156"/>
  <c r="O215" i="156"/>
  <c r="O216" i="156"/>
  <c r="O217" i="156"/>
  <c r="O218" i="156"/>
  <c r="H219" i="156"/>
  <c r="H220" i="156"/>
  <c r="H221" i="156"/>
  <c r="H222" i="156"/>
  <c r="O219" i="156"/>
  <c r="O220" i="156"/>
  <c r="O221" i="156"/>
  <c r="O222" i="156"/>
  <c r="H223" i="156"/>
  <c r="H224" i="156"/>
  <c r="H225" i="156"/>
  <c r="H226" i="156"/>
  <c r="O223" i="156"/>
  <c r="O224" i="156"/>
  <c r="O225" i="156"/>
  <c r="O226" i="156"/>
  <c r="H227" i="156"/>
  <c r="H228" i="156"/>
  <c r="H229" i="156"/>
  <c r="H230" i="156"/>
  <c r="O227" i="156"/>
  <c r="O228" i="156"/>
  <c r="O229" i="156"/>
  <c r="O230" i="156"/>
  <c r="H231" i="156"/>
  <c r="H232" i="156"/>
  <c r="H233" i="156"/>
  <c r="H234" i="156"/>
  <c r="O231" i="156"/>
  <c r="O232" i="156"/>
  <c r="O233" i="156"/>
  <c r="O234" i="156"/>
  <c r="H235" i="156"/>
  <c r="H236" i="156"/>
  <c r="H237" i="156"/>
  <c r="H238" i="156"/>
  <c r="O235" i="156"/>
  <c r="O236" i="156"/>
  <c r="O237" i="156"/>
  <c r="O238" i="156"/>
  <c r="H239" i="156"/>
  <c r="H240" i="156"/>
  <c r="H241" i="156"/>
  <c r="H242" i="156"/>
  <c r="O239" i="156"/>
  <c r="O240" i="156"/>
  <c r="O241" i="156"/>
  <c r="O242" i="156"/>
  <c r="H243" i="156"/>
  <c r="H244" i="156"/>
  <c r="H245" i="156"/>
  <c r="H246" i="156"/>
  <c r="O243" i="156"/>
  <c r="O244" i="156"/>
  <c r="O245" i="156"/>
  <c r="O246" i="156"/>
  <c r="X31" i="135"/>
  <c r="X30" i="135"/>
  <c r="X29" i="135"/>
  <c r="X28" i="135"/>
  <c r="X27" i="135"/>
  <c r="X26" i="135"/>
  <c r="H9" i="156"/>
  <c r="H10" i="156"/>
  <c r="H11" i="156"/>
  <c r="H12" i="156"/>
  <c r="O9" i="156"/>
  <c r="O10" i="156"/>
  <c r="O11" i="156"/>
  <c r="O12" i="156"/>
  <c r="T9" i="156"/>
  <c r="H13" i="156"/>
  <c r="H14" i="156"/>
  <c r="H15" i="156"/>
  <c r="H16" i="156"/>
  <c r="O13" i="156"/>
  <c r="O14" i="156"/>
  <c r="O15" i="156"/>
  <c r="O16" i="156"/>
  <c r="T13" i="156"/>
  <c r="H17" i="156"/>
  <c r="H18" i="156"/>
  <c r="H19" i="156"/>
  <c r="H20" i="156"/>
  <c r="O17" i="156"/>
  <c r="O18" i="156"/>
  <c r="O19" i="156"/>
  <c r="O20" i="156"/>
  <c r="T17" i="156"/>
  <c r="H21" i="156"/>
  <c r="H22" i="156"/>
  <c r="H23" i="156"/>
  <c r="H24" i="156"/>
  <c r="O21" i="156"/>
  <c r="O22" i="156"/>
  <c r="O23" i="156"/>
  <c r="O24" i="156"/>
  <c r="T21" i="156"/>
  <c r="H25" i="156"/>
  <c r="H26" i="156"/>
  <c r="H27" i="156"/>
  <c r="H28" i="156"/>
  <c r="O25" i="156"/>
  <c r="O26" i="156"/>
  <c r="O27" i="156"/>
  <c r="O28" i="156"/>
  <c r="T25" i="156"/>
  <c r="H29" i="156"/>
  <c r="H30" i="156"/>
  <c r="H31" i="156"/>
  <c r="H32" i="156"/>
  <c r="O29" i="156"/>
  <c r="O30" i="156"/>
  <c r="O31" i="156"/>
  <c r="O32" i="156"/>
  <c r="T29" i="156"/>
  <c r="H33" i="156"/>
  <c r="H34" i="156"/>
  <c r="H35" i="156"/>
  <c r="H36" i="156"/>
  <c r="O33" i="156"/>
  <c r="O34" i="156"/>
  <c r="O35" i="156"/>
  <c r="O36" i="156"/>
  <c r="T33" i="156"/>
  <c r="H37" i="156"/>
  <c r="H38" i="156"/>
  <c r="H39" i="156"/>
  <c r="H40" i="156"/>
  <c r="O37" i="156"/>
  <c r="O38" i="156"/>
  <c r="O39" i="156"/>
  <c r="O40" i="156"/>
  <c r="T37" i="156"/>
  <c r="H41" i="156"/>
  <c r="H42" i="156"/>
  <c r="H43" i="156"/>
  <c r="H44" i="156"/>
  <c r="O41" i="156"/>
  <c r="O42" i="156"/>
  <c r="O43" i="156"/>
  <c r="O44" i="156"/>
  <c r="T41" i="156"/>
  <c r="H45" i="156"/>
  <c r="H46" i="156"/>
  <c r="H47" i="156"/>
  <c r="H48" i="156"/>
  <c r="O45" i="156"/>
  <c r="O46" i="156"/>
  <c r="O47" i="156"/>
  <c r="O48" i="156"/>
  <c r="T45" i="156"/>
  <c r="H49" i="156"/>
  <c r="H50" i="156"/>
  <c r="H51" i="156"/>
  <c r="H52" i="156"/>
  <c r="O49" i="156"/>
  <c r="O50" i="156"/>
  <c r="O51" i="156"/>
  <c r="O52" i="156"/>
  <c r="T49" i="156"/>
  <c r="H53" i="156"/>
  <c r="H54" i="156"/>
  <c r="H55" i="156"/>
  <c r="H56" i="156"/>
  <c r="O53" i="156"/>
  <c r="O54" i="156"/>
  <c r="O55" i="156"/>
  <c r="O56" i="156"/>
  <c r="T53" i="156"/>
  <c r="H57" i="156"/>
  <c r="H58" i="156"/>
  <c r="H59" i="156"/>
  <c r="H60" i="156"/>
  <c r="O57" i="156"/>
  <c r="O58" i="156"/>
  <c r="O59" i="156"/>
  <c r="O60" i="156"/>
  <c r="T57" i="156"/>
  <c r="H61" i="156"/>
  <c r="H62" i="156"/>
  <c r="H63" i="156"/>
  <c r="H64" i="156"/>
  <c r="O61" i="156"/>
  <c r="O62" i="156"/>
  <c r="O63" i="156"/>
  <c r="O64" i="156"/>
  <c r="T61" i="156"/>
  <c r="H65" i="156"/>
  <c r="H66" i="156"/>
  <c r="H67" i="156"/>
  <c r="H68" i="156"/>
  <c r="O65" i="156"/>
  <c r="O66" i="156"/>
  <c r="O67" i="156"/>
  <c r="O68" i="156"/>
  <c r="T65" i="156"/>
  <c r="H69" i="156"/>
  <c r="H70" i="156"/>
  <c r="H71" i="156"/>
  <c r="H72" i="156"/>
  <c r="O69" i="156"/>
  <c r="O70" i="156"/>
  <c r="O71" i="156"/>
  <c r="O72" i="156"/>
  <c r="T69" i="156"/>
  <c r="H73" i="156"/>
  <c r="H74" i="156"/>
  <c r="H75" i="156"/>
  <c r="H76" i="156"/>
  <c r="O73" i="156"/>
  <c r="O74" i="156"/>
  <c r="O75" i="156"/>
  <c r="O76" i="156"/>
  <c r="T73" i="156"/>
  <c r="H77" i="156"/>
  <c r="H78" i="156"/>
  <c r="H79" i="156"/>
  <c r="H80" i="156"/>
  <c r="O77" i="156"/>
  <c r="O78" i="156"/>
  <c r="O79" i="156"/>
  <c r="O80" i="156"/>
  <c r="T77" i="156"/>
  <c r="H81" i="156"/>
  <c r="H82" i="156"/>
  <c r="H83" i="156"/>
  <c r="H84" i="156"/>
  <c r="O81" i="156"/>
  <c r="O82" i="156"/>
  <c r="O83" i="156"/>
  <c r="O84" i="156"/>
  <c r="T81" i="156"/>
  <c r="H85" i="156"/>
  <c r="H86" i="156"/>
  <c r="H87" i="156"/>
  <c r="H88" i="156"/>
  <c r="O85" i="156"/>
  <c r="O86" i="156"/>
  <c r="O87" i="156"/>
  <c r="O88" i="156"/>
  <c r="T85" i="156"/>
  <c r="H89" i="156"/>
  <c r="H90" i="156"/>
  <c r="H91" i="156"/>
  <c r="H92" i="156"/>
  <c r="O89" i="156"/>
  <c r="O90" i="156"/>
  <c r="O91" i="156"/>
  <c r="O92" i="156"/>
  <c r="T89" i="156"/>
  <c r="H93" i="156"/>
  <c r="H94" i="156"/>
  <c r="H95" i="156"/>
  <c r="H96" i="156"/>
  <c r="O93" i="156"/>
  <c r="O94" i="156"/>
  <c r="O95" i="156"/>
  <c r="O96" i="156"/>
  <c r="T93" i="156"/>
  <c r="H97" i="156"/>
  <c r="H98" i="156"/>
  <c r="H99" i="156"/>
  <c r="H100" i="156"/>
  <c r="O97" i="156"/>
  <c r="O98" i="156"/>
  <c r="O99" i="156"/>
  <c r="O100" i="156"/>
  <c r="T97" i="156"/>
  <c r="H101" i="156"/>
  <c r="H102" i="156"/>
  <c r="H103" i="156"/>
  <c r="H104" i="156"/>
  <c r="O101" i="156"/>
  <c r="O102" i="156"/>
  <c r="O103" i="156"/>
  <c r="O104" i="156"/>
  <c r="T101" i="156"/>
  <c r="H105" i="156"/>
  <c r="H106" i="156"/>
  <c r="H107" i="156"/>
  <c r="H108" i="156"/>
  <c r="O105" i="156"/>
  <c r="O106" i="156"/>
  <c r="O107" i="156"/>
  <c r="O108" i="156"/>
  <c r="T105" i="156"/>
  <c r="H109" i="156"/>
  <c r="H110" i="156"/>
  <c r="H111" i="156"/>
  <c r="H112" i="156"/>
  <c r="O109" i="156"/>
  <c r="O110" i="156"/>
  <c r="O111" i="156"/>
  <c r="O112" i="156"/>
  <c r="T109" i="156"/>
  <c r="H113" i="156"/>
  <c r="H114" i="156"/>
  <c r="H115" i="156"/>
  <c r="H116" i="156"/>
  <c r="O113" i="156"/>
  <c r="O114" i="156"/>
  <c r="O115" i="156"/>
  <c r="O116" i="156"/>
  <c r="T113" i="156"/>
  <c r="H117" i="156"/>
  <c r="H118" i="156"/>
  <c r="H119" i="156"/>
  <c r="H120" i="156"/>
  <c r="O117" i="156"/>
  <c r="O118" i="156"/>
  <c r="O119" i="156"/>
  <c r="O120" i="156"/>
  <c r="T117" i="156"/>
  <c r="H121" i="156"/>
  <c r="H122" i="156"/>
  <c r="H123" i="156"/>
  <c r="H124" i="156"/>
  <c r="O121" i="156"/>
  <c r="O122" i="156"/>
  <c r="O123" i="156"/>
  <c r="O124" i="156"/>
  <c r="T121" i="156"/>
  <c r="T125" i="156"/>
  <c r="X25" i="135"/>
  <c r="X24" i="135"/>
  <c r="X23" i="135"/>
  <c r="X22" i="135"/>
  <c r="X21" i="135"/>
  <c r="X20" i="135"/>
  <c r="X19" i="135"/>
  <c r="S9" i="154"/>
  <c r="S13" i="154"/>
  <c r="S17" i="154"/>
  <c r="S21" i="154"/>
  <c r="S25" i="154"/>
  <c r="S29" i="154"/>
  <c r="S33" i="154"/>
  <c r="S37" i="154"/>
  <c r="S41" i="154"/>
  <c r="S45" i="154"/>
  <c r="S49" i="154"/>
  <c r="S53" i="154"/>
  <c r="S57" i="154"/>
  <c r="S61" i="154"/>
  <c r="S65" i="154"/>
  <c r="S69" i="154"/>
  <c r="S73" i="154"/>
  <c r="S77" i="154"/>
  <c r="S81" i="154"/>
  <c r="S85" i="154"/>
  <c r="S89" i="154"/>
  <c r="S93" i="154"/>
  <c r="S97" i="154"/>
  <c r="S101" i="154"/>
  <c r="S105" i="154"/>
  <c r="S109" i="154"/>
  <c r="S113" i="154"/>
  <c r="S117" i="154"/>
  <c r="S121" i="154"/>
  <c r="S125" i="154"/>
  <c r="W57" i="135"/>
  <c r="W56" i="135"/>
  <c r="W55" i="135"/>
  <c r="W54" i="135"/>
  <c r="W53" i="135"/>
  <c r="W52" i="135"/>
  <c r="W51" i="135"/>
  <c r="S131" i="155"/>
  <c r="S135" i="155"/>
  <c r="S139" i="155"/>
  <c r="S143" i="155"/>
  <c r="S147" i="155"/>
  <c r="S151" i="155"/>
  <c r="S155" i="155"/>
  <c r="S159" i="155"/>
  <c r="S163" i="155"/>
  <c r="S167" i="155"/>
  <c r="S171" i="155"/>
  <c r="S175" i="155"/>
  <c r="S179" i="155"/>
  <c r="S183" i="155"/>
  <c r="S187" i="155"/>
  <c r="S191" i="155"/>
  <c r="S195" i="155"/>
  <c r="S199" i="155"/>
  <c r="S203" i="155"/>
  <c r="S207" i="155"/>
  <c r="S211" i="155"/>
  <c r="S215" i="155"/>
  <c r="S219" i="155"/>
  <c r="S223" i="155"/>
  <c r="S227" i="155"/>
  <c r="S231" i="155"/>
  <c r="S235" i="155"/>
  <c r="S239" i="155"/>
  <c r="S243" i="155"/>
  <c r="S247" i="155"/>
  <c r="W48" i="135"/>
  <c r="W47" i="135"/>
  <c r="W46" i="135"/>
  <c r="W45" i="135"/>
  <c r="W44" i="135"/>
  <c r="W43" i="135"/>
  <c r="W42" i="135"/>
  <c r="S9" i="155"/>
  <c r="S13" i="155"/>
  <c r="S17" i="155"/>
  <c r="S21" i="155"/>
  <c r="S25" i="155"/>
  <c r="S29" i="155"/>
  <c r="S33" i="155"/>
  <c r="S37" i="155"/>
  <c r="S41" i="155"/>
  <c r="S45" i="155"/>
  <c r="S49" i="155"/>
  <c r="S53" i="155"/>
  <c r="S57" i="155"/>
  <c r="S61" i="155"/>
  <c r="S65" i="155"/>
  <c r="S69" i="155"/>
  <c r="S73" i="155"/>
  <c r="S77" i="155"/>
  <c r="S81" i="155"/>
  <c r="S85" i="155"/>
  <c r="S89" i="155"/>
  <c r="S93" i="155"/>
  <c r="S97" i="155"/>
  <c r="S101" i="155"/>
  <c r="S105" i="155"/>
  <c r="S109" i="155"/>
  <c r="S113" i="155"/>
  <c r="S117" i="155"/>
  <c r="S121" i="155"/>
  <c r="S125" i="155"/>
  <c r="W41" i="135"/>
  <c r="W40" i="135"/>
  <c r="W39" i="135"/>
  <c r="W38" i="135"/>
  <c r="W37" i="135"/>
  <c r="W36" i="135"/>
  <c r="W35" i="135"/>
  <c r="S131" i="156"/>
  <c r="S135" i="156"/>
  <c r="S139" i="156"/>
  <c r="S143" i="156"/>
  <c r="S147" i="156"/>
  <c r="S151" i="156"/>
  <c r="S155" i="156"/>
  <c r="S159" i="156"/>
  <c r="S163" i="156"/>
  <c r="S167" i="156"/>
  <c r="S171" i="156"/>
  <c r="S175" i="156"/>
  <c r="S179" i="156"/>
  <c r="S183" i="156"/>
  <c r="S187" i="156"/>
  <c r="S191" i="156"/>
  <c r="S195" i="156"/>
  <c r="S199" i="156"/>
  <c r="S203" i="156"/>
  <c r="S207" i="156"/>
  <c r="S211" i="156"/>
  <c r="S215" i="156"/>
  <c r="S219" i="156"/>
  <c r="S223" i="156"/>
  <c r="S227" i="156"/>
  <c r="S231" i="156"/>
  <c r="S235" i="156"/>
  <c r="S239" i="156"/>
  <c r="S243" i="156"/>
  <c r="S247" i="156"/>
  <c r="W32" i="135"/>
  <c r="W31" i="135"/>
  <c r="W30" i="135"/>
  <c r="W29" i="135"/>
  <c r="W28" i="135"/>
  <c r="W27" i="135"/>
  <c r="W26" i="135"/>
  <c r="S9" i="156"/>
  <c r="S13" i="156"/>
  <c r="S17" i="156"/>
  <c r="S21" i="156"/>
  <c r="S25" i="156"/>
  <c r="S29" i="156"/>
  <c r="S33" i="156"/>
  <c r="S37" i="156"/>
  <c r="S41" i="156"/>
  <c r="S45" i="156"/>
  <c r="S49" i="156"/>
  <c r="S53" i="156"/>
  <c r="S57" i="156"/>
  <c r="S61" i="156"/>
  <c r="S65" i="156"/>
  <c r="S69" i="156"/>
  <c r="S73" i="156"/>
  <c r="S77" i="156"/>
  <c r="S81" i="156"/>
  <c r="S85" i="156"/>
  <c r="S89" i="156"/>
  <c r="S93" i="156"/>
  <c r="S97" i="156"/>
  <c r="S101" i="156"/>
  <c r="S105" i="156"/>
  <c r="S109" i="156"/>
  <c r="S113" i="156"/>
  <c r="S117" i="156"/>
  <c r="S121" i="156"/>
  <c r="S125" i="156"/>
  <c r="W25" i="135"/>
  <c r="W24" i="135"/>
  <c r="W23" i="135"/>
  <c r="W22" i="135"/>
  <c r="W21" i="135"/>
  <c r="W20" i="135"/>
  <c r="W19" i="135"/>
  <c r="R9" i="154"/>
  <c r="R13" i="154"/>
  <c r="R17" i="154"/>
  <c r="R21" i="154"/>
  <c r="R25" i="154"/>
  <c r="R29" i="154"/>
  <c r="R33" i="154"/>
  <c r="R37" i="154"/>
  <c r="R41" i="154"/>
  <c r="R45" i="154"/>
  <c r="R49" i="154"/>
  <c r="R53" i="154"/>
  <c r="R57" i="154"/>
  <c r="R61" i="154"/>
  <c r="R65" i="154"/>
  <c r="R69" i="154"/>
  <c r="R73" i="154"/>
  <c r="R77" i="154"/>
  <c r="R81" i="154"/>
  <c r="R85" i="154"/>
  <c r="R89" i="154"/>
  <c r="R93" i="154"/>
  <c r="R97" i="154"/>
  <c r="R101" i="154"/>
  <c r="R105" i="154"/>
  <c r="R109" i="154"/>
  <c r="R113" i="154"/>
  <c r="R117" i="154"/>
  <c r="R121" i="154"/>
  <c r="R125" i="154"/>
  <c r="V57" i="135"/>
  <c r="V56" i="135"/>
  <c r="V55" i="135"/>
  <c r="V54" i="135"/>
  <c r="V53" i="135"/>
  <c r="V52" i="135"/>
  <c r="V51" i="135"/>
  <c r="R131" i="155"/>
  <c r="R135" i="155"/>
  <c r="R139" i="155"/>
  <c r="R143" i="155"/>
  <c r="R147" i="155"/>
  <c r="R151" i="155"/>
  <c r="R155" i="155"/>
  <c r="R159" i="155"/>
  <c r="R163" i="155"/>
  <c r="R167" i="155"/>
  <c r="R171" i="155"/>
  <c r="R175" i="155"/>
  <c r="R179" i="155"/>
  <c r="R183" i="155"/>
  <c r="R187" i="155"/>
  <c r="R191" i="155"/>
  <c r="R195" i="155"/>
  <c r="R199" i="155"/>
  <c r="R203" i="155"/>
  <c r="R207" i="155"/>
  <c r="R211" i="155"/>
  <c r="R215" i="155"/>
  <c r="R219" i="155"/>
  <c r="R223" i="155"/>
  <c r="R227" i="155"/>
  <c r="R231" i="155"/>
  <c r="R235" i="155"/>
  <c r="R239" i="155"/>
  <c r="R243" i="155"/>
  <c r="R247" i="155"/>
  <c r="V48" i="135"/>
  <c r="V47" i="135"/>
  <c r="V46" i="135"/>
  <c r="V45" i="135"/>
  <c r="V44" i="135"/>
  <c r="V43" i="135"/>
  <c r="V42" i="135"/>
  <c r="R9" i="155"/>
  <c r="R13" i="155"/>
  <c r="R17" i="155"/>
  <c r="R21" i="155"/>
  <c r="R25" i="155"/>
  <c r="R29" i="155"/>
  <c r="R33" i="155"/>
  <c r="R37" i="155"/>
  <c r="R41" i="155"/>
  <c r="R45" i="155"/>
  <c r="R49" i="155"/>
  <c r="R53" i="155"/>
  <c r="R57" i="155"/>
  <c r="R61" i="155"/>
  <c r="R65" i="155"/>
  <c r="R69" i="155"/>
  <c r="R73" i="155"/>
  <c r="R77" i="155"/>
  <c r="R81" i="155"/>
  <c r="R85" i="155"/>
  <c r="R89" i="155"/>
  <c r="R93" i="155"/>
  <c r="R97" i="155"/>
  <c r="R101" i="155"/>
  <c r="R105" i="155"/>
  <c r="R109" i="155"/>
  <c r="R113" i="155"/>
  <c r="R117" i="155"/>
  <c r="R121" i="155"/>
  <c r="R125" i="155"/>
  <c r="V41" i="135"/>
  <c r="V40" i="135"/>
  <c r="V39" i="135"/>
  <c r="V38" i="135"/>
  <c r="V37" i="135"/>
  <c r="V36" i="135"/>
  <c r="V35" i="135"/>
  <c r="R131" i="156"/>
  <c r="R135" i="156"/>
  <c r="R139" i="156"/>
  <c r="R143" i="156"/>
  <c r="R147" i="156"/>
  <c r="R151" i="156"/>
  <c r="R155" i="156"/>
  <c r="R159" i="156"/>
  <c r="R163" i="156"/>
  <c r="R167" i="156"/>
  <c r="R171" i="156"/>
  <c r="R175" i="156"/>
  <c r="R179" i="156"/>
  <c r="R183" i="156"/>
  <c r="R187" i="156"/>
  <c r="R191" i="156"/>
  <c r="R195" i="156"/>
  <c r="R199" i="156"/>
  <c r="R203" i="156"/>
  <c r="R207" i="156"/>
  <c r="R211" i="156"/>
  <c r="R215" i="156"/>
  <c r="R219" i="156"/>
  <c r="R223" i="156"/>
  <c r="R227" i="156"/>
  <c r="R231" i="156"/>
  <c r="R235" i="156"/>
  <c r="R239" i="156"/>
  <c r="R243" i="156"/>
  <c r="R247" i="156"/>
  <c r="V32" i="135"/>
  <c r="V31" i="135"/>
  <c r="V30" i="135"/>
  <c r="V29" i="135"/>
  <c r="V28" i="135"/>
  <c r="V27" i="135"/>
  <c r="V26" i="135"/>
  <c r="R9" i="156"/>
  <c r="R13" i="156"/>
  <c r="R17" i="156"/>
  <c r="R21" i="156"/>
  <c r="R25" i="156"/>
  <c r="R29" i="156"/>
  <c r="R33" i="156"/>
  <c r="R37" i="156"/>
  <c r="R41" i="156"/>
  <c r="R45" i="156"/>
  <c r="R49" i="156"/>
  <c r="R53" i="156"/>
  <c r="R57" i="156"/>
  <c r="R61" i="156"/>
  <c r="R65" i="156"/>
  <c r="R69" i="156"/>
  <c r="R73" i="156"/>
  <c r="R77" i="156"/>
  <c r="R81" i="156"/>
  <c r="R85" i="156"/>
  <c r="R89" i="156"/>
  <c r="R93" i="156"/>
  <c r="R97" i="156"/>
  <c r="R101" i="156"/>
  <c r="R105" i="156"/>
  <c r="R109" i="156"/>
  <c r="R113" i="156"/>
  <c r="R117" i="156"/>
  <c r="R121" i="156"/>
  <c r="R125" i="156"/>
  <c r="V25" i="135"/>
  <c r="V24" i="135"/>
  <c r="V23" i="135"/>
  <c r="V22" i="135"/>
  <c r="V21" i="135"/>
  <c r="V20" i="135"/>
  <c r="V19" i="135"/>
  <c r="Q9" i="154"/>
  <c r="Q13" i="154"/>
  <c r="Q17" i="154"/>
  <c r="Q21" i="154"/>
  <c r="Q25" i="154"/>
  <c r="Q29" i="154"/>
  <c r="Q33" i="154"/>
  <c r="Q37" i="154"/>
  <c r="Q41" i="154"/>
  <c r="Q45" i="154"/>
  <c r="Q49" i="154"/>
  <c r="Q53" i="154"/>
  <c r="Q57" i="154"/>
  <c r="Q61" i="154"/>
  <c r="Q65" i="154"/>
  <c r="Q69" i="154"/>
  <c r="Q73" i="154"/>
  <c r="Q77" i="154"/>
  <c r="Q81" i="154"/>
  <c r="Q85" i="154"/>
  <c r="Q89" i="154"/>
  <c r="Q93" i="154"/>
  <c r="Q97" i="154"/>
  <c r="Q101" i="154"/>
  <c r="Q105" i="154"/>
  <c r="Q109" i="154"/>
  <c r="Q113" i="154"/>
  <c r="Q117" i="154"/>
  <c r="Q121" i="154"/>
  <c r="Q125" i="154"/>
  <c r="U57" i="135"/>
  <c r="U56" i="135"/>
  <c r="U55" i="135"/>
  <c r="U54" i="135"/>
  <c r="U53" i="135"/>
  <c r="U52" i="135"/>
  <c r="U51" i="135"/>
  <c r="Q131" i="155"/>
  <c r="Q135" i="155"/>
  <c r="Q139" i="155"/>
  <c r="Q143" i="155"/>
  <c r="Q147" i="155"/>
  <c r="Q151" i="155"/>
  <c r="Q155" i="155"/>
  <c r="Q159" i="155"/>
  <c r="Q163" i="155"/>
  <c r="Q167" i="155"/>
  <c r="Q171" i="155"/>
  <c r="Q175" i="155"/>
  <c r="Q179" i="155"/>
  <c r="Q183" i="155"/>
  <c r="Q187" i="155"/>
  <c r="Q191" i="155"/>
  <c r="Q195" i="155"/>
  <c r="Q199" i="155"/>
  <c r="Q203" i="155"/>
  <c r="Q207" i="155"/>
  <c r="Q211" i="155"/>
  <c r="Q215" i="155"/>
  <c r="Q219" i="155"/>
  <c r="Q223" i="155"/>
  <c r="Q227" i="155"/>
  <c r="Q231" i="155"/>
  <c r="Q235" i="155"/>
  <c r="Q239" i="155"/>
  <c r="Q243" i="155"/>
  <c r="Q247" i="155"/>
  <c r="U48" i="135"/>
  <c r="U47" i="135"/>
  <c r="U46" i="135"/>
  <c r="U45" i="135"/>
  <c r="U44" i="135"/>
  <c r="U43" i="135"/>
  <c r="U42" i="135"/>
  <c r="Q9" i="155"/>
  <c r="Q13" i="155"/>
  <c r="Q17" i="155"/>
  <c r="Q21" i="155"/>
  <c r="Q25" i="155"/>
  <c r="Q29" i="155"/>
  <c r="Q33" i="155"/>
  <c r="Q37" i="155"/>
  <c r="Q41" i="155"/>
  <c r="Q45" i="155"/>
  <c r="Q49" i="155"/>
  <c r="Q53" i="155"/>
  <c r="Q57" i="155"/>
  <c r="Q61" i="155"/>
  <c r="Q65" i="155"/>
  <c r="Q69" i="155"/>
  <c r="Q73" i="155"/>
  <c r="Q77" i="155"/>
  <c r="Q81" i="155"/>
  <c r="Q85" i="155"/>
  <c r="Q89" i="155"/>
  <c r="Q93" i="155"/>
  <c r="Q97" i="155"/>
  <c r="Q101" i="155"/>
  <c r="Q105" i="155"/>
  <c r="Q109" i="155"/>
  <c r="Q113" i="155"/>
  <c r="Q117" i="155"/>
  <c r="Q121" i="155"/>
  <c r="Q125" i="155"/>
  <c r="U41" i="135"/>
  <c r="U40" i="135"/>
  <c r="U39" i="135"/>
  <c r="U38" i="135"/>
  <c r="U37" i="135"/>
  <c r="U36" i="135"/>
  <c r="U35" i="135"/>
  <c r="Q131" i="156"/>
  <c r="Q135" i="156"/>
  <c r="Q139" i="156"/>
  <c r="Q143" i="156"/>
  <c r="Q147" i="156"/>
  <c r="Q151" i="156"/>
  <c r="Q155" i="156"/>
  <c r="Q159" i="156"/>
  <c r="Q163" i="156"/>
  <c r="Q167" i="156"/>
  <c r="Q171" i="156"/>
  <c r="Q175" i="156"/>
  <c r="Q179" i="156"/>
  <c r="Q183" i="156"/>
  <c r="Q187" i="156"/>
  <c r="Q191" i="156"/>
  <c r="Q195" i="156"/>
  <c r="Q199" i="156"/>
  <c r="Q203" i="156"/>
  <c r="Q207" i="156"/>
  <c r="Q211" i="156"/>
  <c r="Q215" i="156"/>
  <c r="Q219" i="156"/>
  <c r="Q223" i="156"/>
  <c r="Q227" i="156"/>
  <c r="Q231" i="156"/>
  <c r="Q235" i="156"/>
  <c r="Q239" i="156"/>
  <c r="Q243" i="156"/>
  <c r="Q247" i="156"/>
  <c r="U32" i="135"/>
  <c r="U31" i="135"/>
  <c r="U30" i="135"/>
  <c r="U29" i="135"/>
  <c r="U28" i="135"/>
  <c r="U27" i="135"/>
  <c r="U26" i="135"/>
  <c r="Q9" i="156"/>
  <c r="Q13" i="156"/>
  <c r="Q17" i="156"/>
  <c r="Q21" i="156"/>
  <c r="Q25" i="156"/>
  <c r="Q29" i="156"/>
  <c r="Q33" i="156"/>
  <c r="Q37" i="156"/>
  <c r="Q41" i="156"/>
  <c r="Q45" i="156"/>
  <c r="Q49" i="156"/>
  <c r="Q53" i="156"/>
  <c r="Q57" i="156"/>
  <c r="Q61" i="156"/>
  <c r="Q65" i="156"/>
  <c r="Q69" i="156"/>
  <c r="Q73" i="156"/>
  <c r="Q77" i="156"/>
  <c r="Q81" i="156"/>
  <c r="Q85" i="156"/>
  <c r="Q89" i="156"/>
  <c r="Q93" i="156"/>
  <c r="Q97" i="156"/>
  <c r="Q101" i="156"/>
  <c r="Q105" i="156"/>
  <c r="Q109" i="156"/>
  <c r="Q113" i="156"/>
  <c r="Q117" i="156"/>
  <c r="Q121" i="156"/>
  <c r="Q125" i="156"/>
  <c r="U25" i="135"/>
  <c r="U24" i="135"/>
  <c r="U23" i="135"/>
  <c r="U22" i="135"/>
  <c r="U21" i="135"/>
  <c r="U20" i="135"/>
  <c r="U19" i="135"/>
  <c r="H246" i="150"/>
  <c r="H245" i="150"/>
  <c r="H244" i="150"/>
  <c r="H243" i="150"/>
  <c r="H242" i="150"/>
  <c r="H241" i="150"/>
  <c r="H240" i="150"/>
  <c r="H239" i="150"/>
  <c r="H238" i="150"/>
  <c r="H237" i="150"/>
  <c r="H236" i="150"/>
  <c r="H235" i="150"/>
  <c r="H234" i="150"/>
  <c r="H233" i="150"/>
  <c r="H232" i="150"/>
  <c r="H231" i="150"/>
  <c r="H230" i="150"/>
  <c r="H229" i="150"/>
  <c r="H228" i="150"/>
  <c r="H227" i="150"/>
  <c r="H226" i="150"/>
  <c r="H225" i="150"/>
  <c r="H224" i="150"/>
  <c r="H223" i="150"/>
  <c r="H222" i="150"/>
  <c r="H221" i="150"/>
  <c r="H220" i="150"/>
  <c r="H219" i="150"/>
  <c r="H218" i="150"/>
  <c r="H217" i="150"/>
  <c r="H216" i="150"/>
  <c r="H215" i="150"/>
  <c r="H214" i="150"/>
  <c r="H213" i="150"/>
  <c r="H212" i="150"/>
  <c r="H211" i="150"/>
  <c r="H210" i="150"/>
  <c r="H209" i="150"/>
  <c r="H208" i="150"/>
  <c r="H207" i="150"/>
  <c r="H206" i="150"/>
  <c r="H205" i="150"/>
  <c r="H204" i="150"/>
  <c r="H203" i="150"/>
  <c r="H202" i="150"/>
  <c r="H201" i="150"/>
  <c r="H200" i="150"/>
  <c r="H199" i="150"/>
  <c r="H198" i="150"/>
  <c r="H197" i="150"/>
  <c r="H196" i="150"/>
  <c r="H195" i="150"/>
  <c r="H194" i="150"/>
  <c r="H193" i="150"/>
  <c r="H192" i="150"/>
  <c r="H191" i="150"/>
  <c r="H190" i="150"/>
  <c r="H189" i="150"/>
  <c r="H188" i="150"/>
  <c r="H187" i="150"/>
  <c r="H186" i="150"/>
  <c r="H185" i="150"/>
  <c r="H184" i="150"/>
  <c r="H183" i="150"/>
  <c r="H182" i="150"/>
  <c r="H181" i="150"/>
  <c r="H180" i="150"/>
  <c r="H179" i="150"/>
  <c r="H178" i="150"/>
  <c r="H177" i="150"/>
  <c r="H176" i="150"/>
  <c r="H175" i="150"/>
  <c r="H174" i="150"/>
  <c r="H173" i="150"/>
  <c r="H172" i="150"/>
  <c r="H171" i="150"/>
  <c r="H170" i="150"/>
  <c r="H169" i="150"/>
  <c r="H168" i="150"/>
  <c r="H167" i="150"/>
  <c r="H166" i="150"/>
  <c r="H165" i="150"/>
  <c r="H164" i="150"/>
  <c r="H163" i="150"/>
  <c r="H162" i="150"/>
  <c r="H161" i="150"/>
  <c r="H160" i="150"/>
  <c r="H159" i="150"/>
  <c r="H158" i="150"/>
  <c r="H157" i="150"/>
  <c r="H156" i="150"/>
  <c r="H155" i="150"/>
  <c r="H154" i="150"/>
  <c r="H153" i="150"/>
  <c r="H152" i="150"/>
  <c r="H151" i="150"/>
  <c r="H150" i="150"/>
  <c r="H149" i="150"/>
  <c r="H148" i="150"/>
  <c r="H147" i="150"/>
  <c r="H146" i="150"/>
  <c r="H145" i="150"/>
  <c r="H144" i="150"/>
  <c r="H143" i="150"/>
  <c r="H142" i="150"/>
  <c r="H141" i="150"/>
  <c r="H140" i="150"/>
  <c r="H139" i="150"/>
  <c r="H138" i="150"/>
  <c r="H137" i="150"/>
  <c r="H136" i="150"/>
  <c r="H135" i="150"/>
  <c r="H134" i="150"/>
  <c r="H133" i="150"/>
  <c r="H132" i="150"/>
  <c r="H131" i="150"/>
  <c r="H124" i="150"/>
  <c r="H123" i="150"/>
  <c r="H122" i="150"/>
  <c r="H121" i="150"/>
  <c r="H120" i="150"/>
  <c r="H119" i="150"/>
  <c r="H118" i="150"/>
  <c r="H117" i="150"/>
  <c r="H116" i="150"/>
  <c r="H115" i="150"/>
  <c r="H114" i="150"/>
  <c r="H113" i="150"/>
  <c r="H112" i="150"/>
  <c r="H111" i="150"/>
  <c r="H110" i="150"/>
  <c r="H109" i="150"/>
  <c r="H108" i="150"/>
  <c r="H107" i="150"/>
  <c r="H106" i="150"/>
  <c r="H105" i="150"/>
  <c r="H104" i="150"/>
  <c r="H103" i="150"/>
  <c r="H102" i="150"/>
  <c r="H101" i="150"/>
  <c r="H100" i="150"/>
  <c r="H99" i="150"/>
  <c r="H98" i="150"/>
  <c r="H97" i="150"/>
  <c r="H96" i="150"/>
  <c r="H95" i="150"/>
  <c r="H94" i="150"/>
  <c r="H93" i="150"/>
  <c r="H92" i="150"/>
  <c r="H91" i="150"/>
  <c r="H90" i="150"/>
  <c r="H89" i="150"/>
  <c r="H88" i="150"/>
  <c r="H87" i="150"/>
  <c r="H86" i="150"/>
  <c r="H85" i="150"/>
  <c r="H84" i="150"/>
  <c r="H83" i="150"/>
  <c r="H82" i="150"/>
  <c r="H81" i="150"/>
  <c r="H80" i="150"/>
  <c r="H79" i="150"/>
  <c r="H78" i="150"/>
  <c r="H77" i="150"/>
  <c r="H76" i="150"/>
  <c r="H75" i="150"/>
  <c r="H74" i="150"/>
  <c r="H73" i="150"/>
  <c r="H72" i="150"/>
  <c r="H71" i="150"/>
  <c r="H70" i="150"/>
  <c r="H69" i="150"/>
  <c r="H68" i="150"/>
  <c r="H67" i="150"/>
  <c r="H66" i="150"/>
  <c r="H65" i="150"/>
  <c r="H64" i="150"/>
  <c r="H63" i="150"/>
  <c r="H62" i="150"/>
  <c r="H61" i="150"/>
  <c r="H60" i="150"/>
  <c r="H59" i="150"/>
  <c r="H58" i="150"/>
  <c r="H57" i="150"/>
  <c r="H56" i="150"/>
  <c r="H55" i="150"/>
  <c r="H54" i="150"/>
  <c r="H53" i="150"/>
  <c r="H52" i="150"/>
  <c r="H51" i="150"/>
  <c r="H50" i="150"/>
  <c r="H49" i="150"/>
  <c r="H48" i="150"/>
  <c r="H47" i="150"/>
  <c r="H46" i="150"/>
  <c r="H45" i="150"/>
  <c r="H44" i="150"/>
  <c r="H43" i="150"/>
  <c r="H42" i="150"/>
  <c r="H41" i="150"/>
  <c r="H40" i="150"/>
  <c r="H39" i="150"/>
  <c r="H38" i="150"/>
  <c r="H37" i="150"/>
  <c r="H36" i="150"/>
  <c r="H35" i="150"/>
  <c r="H34" i="150"/>
  <c r="H33" i="150"/>
  <c r="H32" i="150"/>
  <c r="H31" i="150"/>
  <c r="H30" i="150"/>
  <c r="H29" i="150"/>
  <c r="H28" i="150"/>
  <c r="H27" i="150"/>
  <c r="H26" i="150"/>
  <c r="H25" i="150"/>
  <c r="H24" i="150"/>
  <c r="H23" i="150"/>
  <c r="H22" i="150"/>
  <c r="H21" i="150"/>
  <c r="H20" i="150"/>
  <c r="H19" i="150"/>
  <c r="H18" i="150"/>
  <c r="H17" i="150"/>
  <c r="H16" i="150"/>
  <c r="H15" i="150"/>
  <c r="H14" i="150"/>
  <c r="H13" i="150"/>
  <c r="H12" i="150"/>
  <c r="H11" i="150"/>
  <c r="H10" i="150"/>
  <c r="H9" i="150"/>
  <c r="U203" i="126"/>
  <c r="U204" i="126"/>
  <c r="U205" i="126"/>
  <c r="U206" i="126"/>
  <c r="U207" i="126"/>
  <c r="U208" i="126"/>
  <c r="U209" i="126"/>
  <c r="U210" i="126"/>
  <c r="U211" i="126"/>
  <c r="U212" i="126"/>
  <c r="U213" i="126"/>
  <c r="U214" i="126"/>
  <c r="U215" i="126"/>
  <c r="U216" i="126"/>
  <c r="U217" i="126"/>
  <c r="U218" i="126"/>
  <c r="U219" i="126"/>
  <c r="U220" i="126"/>
  <c r="U221" i="126"/>
  <c r="U222" i="126"/>
  <c r="U223" i="126"/>
  <c r="U224" i="126"/>
  <c r="U225" i="126"/>
  <c r="U226" i="126"/>
  <c r="U227" i="126"/>
  <c r="U228" i="126"/>
  <c r="U229" i="126"/>
  <c r="U230" i="126"/>
  <c r="U231" i="126"/>
  <c r="U232" i="126"/>
  <c r="U233" i="126"/>
  <c r="U234" i="126"/>
  <c r="U235" i="126"/>
  <c r="U236" i="126"/>
  <c r="U237" i="126"/>
  <c r="U238" i="126"/>
  <c r="U239" i="126"/>
  <c r="U240" i="126"/>
  <c r="U241" i="126"/>
  <c r="U242" i="126"/>
  <c r="U243" i="126"/>
  <c r="U244" i="126"/>
  <c r="U245" i="126"/>
  <c r="U246" i="126"/>
  <c r="P47" i="135"/>
  <c r="O203" i="126"/>
  <c r="O204" i="126"/>
  <c r="O205" i="126"/>
  <c r="O206" i="126"/>
  <c r="H203" i="126"/>
  <c r="H204" i="126"/>
  <c r="H205" i="126"/>
  <c r="H206" i="126"/>
  <c r="O207" i="126"/>
  <c r="O208" i="126"/>
  <c r="O209" i="126"/>
  <c r="O210" i="126"/>
  <c r="H207" i="126"/>
  <c r="H208" i="126"/>
  <c r="H209" i="126"/>
  <c r="H210" i="126"/>
  <c r="O211" i="126"/>
  <c r="O212" i="126"/>
  <c r="O213" i="126"/>
  <c r="O214" i="126"/>
  <c r="H211" i="126"/>
  <c r="H212" i="126"/>
  <c r="H213" i="126"/>
  <c r="H214" i="126"/>
  <c r="O215" i="126"/>
  <c r="O216" i="126"/>
  <c r="O217" i="126"/>
  <c r="O218" i="126"/>
  <c r="H215" i="126"/>
  <c r="H216" i="126"/>
  <c r="H217" i="126"/>
  <c r="H218" i="126"/>
  <c r="O219" i="126"/>
  <c r="O220" i="126"/>
  <c r="O221" i="126"/>
  <c r="O222" i="126"/>
  <c r="H219" i="126"/>
  <c r="H220" i="126"/>
  <c r="H221" i="126"/>
  <c r="H222" i="126"/>
  <c r="O223" i="126"/>
  <c r="O224" i="126"/>
  <c r="O225" i="126"/>
  <c r="O226" i="126"/>
  <c r="H223" i="126"/>
  <c r="H224" i="126"/>
  <c r="H225" i="126"/>
  <c r="H226" i="126"/>
  <c r="O227" i="126"/>
  <c r="O228" i="126"/>
  <c r="O229" i="126"/>
  <c r="O230" i="126"/>
  <c r="H227" i="126"/>
  <c r="H228" i="126"/>
  <c r="H229" i="126"/>
  <c r="H230" i="126"/>
  <c r="O231" i="126"/>
  <c r="O232" i="126"/>
  <c r="O233" i="126"/>
  <c r="O234" i="126"/>
  <c r="H231" i="126"/>
  <c r="H232" i="126"/>
  <c r="H233" i="126"/>
  <c r="H234" i="126"/>
  <c r="O235" i="126"/>
  <c r="O236" i="126"/>
  <c r="O237" i="126"/>
  <c r="O238" i="126"/>
  <c r="H235" i="126"/>
  <c r="H236" i="126"/>
  <c r="H237" i="126"/>
  <c r="H238" i="126"/>
  <c r="O239" i="126"/>
  <c r="O240" i="126"/>
  <c r="O241" i="126"/>
  <c r="O242" i="126"/>
  <c r="H239" i="126"/>
  <c r="H240" i="126"/>
  <c r="H241" i="126"/>
  <c r="H242" i="126"/>
  <c r="O243" i="126"/>
  <c r="O244" i="126"/>
  <c r="O245" i="126"/>
  <c r="O246" i="126"/>
  <c r="H243" i="126"/>
  <c r="H244" i="126"/>
  <c r="H245" i="126"/>
  <c r="H246" i="126"/>
  <c r="O47" i="135"/>
  <c r="S203" i="126"/>
  <c r="S207" i="126"/>
  <c r="S211" i="126"/>
  <c r="S215" i="126"/>
  <c r="S219" i="126"/>
  <c r="S223" i="126"/>
  <c r="S227" i="126"/>
  <c r="S231" i="126"/>
  <c r="S235" i="126"/>
  <c r="S239" i="126"/>
  <c r="S243" i="126"/>
  <c r="N47" i="135"/>
  <c r="R203" i="126"/>
  <c r="R207" i="126"/>
  <c r="R211" i="126"/>
  <c r="R215" i="126"/>
  <c r="R219" i="126"/>
  <c r="R223" i="126"/>
  <c r="R227" i="126"/>
  <c r="R231" i="126"/>
  <c r="R235" i="126"/>
  <c r="R239" i="126"/>
  <c r="R243" i="126"/>
  <c r="M47" i="135"/>
  <c r="Q203" i="126"/>
  <c r="Q207" i="126"/>
  <c r="Q211" i="126"/>
  <c r="Q215" i="126"/>
  <c r="Q219" i="126"/>
  <c r="Q223" i="126"/>
  <c r="Q227" i="126"/>
  <c r="Q231" i="126"/>
  <c r="Q235" i="126"/>
  <c r="Q239" i="126"/>
  <c r="Q243" i="126"/>
  <c r="L47" i="135"/>
  <c r="U203" i="118"/>
  <c r="U204" i="118"/>
  <c r="U205" i="118"/>
  <c r="U206" i="118"/>
  <c r="U207" i="118"/>
  <c r="U208" i="118"/>
  <c r="U209" i="118"/>
  <c r="U210" i="118"/>
  <c r="U211" i="118"/>
  <c r="U212" i="118"/>
  <c r="U213" i="118"/>
  <c r="U214" i="118"/>
  <c r="U215" i="118"/>
  <c r="U216" i="118"/>
  <c r="U217" i="118"/>
  <c r="U218" i="118"/>
  <c r="U219" i="118"/>
  <c r="U220" i="118"/>
  <c r="U221" i="118"/>
  <c r="U222" i="118"/>
  <c r="U223" i="118"/>
  <c r="U224" i="118"/>
  <c r="U225" i="118"/>
  <c r="U226" i="118"/>
  <c r="U227" i="118"/>
  <c r="U228" i="118"/>
  <c r="U229" i="118"/>
  <c r="U230" i="118"/>
  <c r="U231" i="118"/>
  <c r="U232" i="118"/>
  <c r="U233" i="118"/>
  <c r="U234" i="118"/>
  <c r="U235" i="118"/>
  <c r="U236" i="118"/>
  <c r="U237" i="118"/>
  <c r="U238" i="118"/>
  <c r="U239" i="118"/>
  <c r="U240" i="118"/>
  <c r="U241" i="118"/>
  <c r="U242" i="118"/>
  <c r="U243" i="118"/>
  <c r="U244" i="118"/>
  <c r="U245" i="118"/>
  <c r="U246" i="118"/>
  <c r="G47" i="135"/>
  <c r="O203" i="118"/>
  <c r="O204" i="118"/>
  <c r="O205" i="118"/>
  <c r="O206" i="118"/>
  <c r="H203" i="118"/>
  <c r="H204" i="118"/>
  <c r="H205" i="118"/>
  <c r="H206" i="118"/>
  <c r="O207" i="118"/>
  <c r="O208" i="118"/>
  <c r="O209" i="118"/>
  <c r="O210" i="118"/>
  <c r="H207" i="118"/>
  <c r="H208" i="118"/>
  <c r="H209" i="118"/>
  <c r="H210" i="118"/>
  <c r="O211" i="118"/>
  <c r="O212" i="118"/>
  <c r="O213" i="118"/>
  <c r="O214" i="118"/>
  <c r="H211" i="118"/>
  <c r="H212" i="118"/>
  <c r="H213" i="118"/>
  <c r="H214" i="118"/>
  <c r="O215" i="118"/>
  <c r="O216" i="118"/>
  <c r="O217" i="118"/>
  <c r="O218" i="118"/>
  <c r="H215" i="118"/>
  <c r="H216" i="118"/>
  <c r="H217" i="118"/>
  <c r="H218" i="118"/>
  <c r="O219" i="118"/>
  <c r="O220" i="118"/>
  <c r="O221" i="118"/>
  <c r="O222" i="118"/>
  <c r="H219" i="118"/>
  <c r="H220" i="118"/>
  <c r="H221" i="118"/>
  <c r="H222" i="118"/>
  <c r="O223" i="118"/>
  <c r="O224" i="118"/>
  <c r="O225" i="118"/>
  <c r="O226" i="118"/>
  <c r="H223" i="118"/>
  <c r="H224" i="118"/>
  <c r="H225" i="118"/>
  <c r="H226" i="118"/>
  <c r="O227" i="118"/>
  <c r="O228" i="118"/>
  <c r="O229" i="118"/>
  <c r="O230" i="118"/>
  <c r="H227" i="118"/>
  <c r="H228" i="118"/>
  <c r="H229" i="118"/>
  <c r="H230" i="118"/>
  <c r="O231" i="118"/>
  <c r="O232" i="118"/>
  <c r="O233" i="118"/>
  <c r="O234" i="118"/>
  <c r="H231" i="118"/>
  <c r="H232" i="118"/>
  <c r="H233" i="118"/>
  <c r="H234" i="118"/>
  <c r="O235" i="118"/>
  <c r="O236" i="118"/>
  <c r="O237" i="118"/>
  <c r="O238" i="118"/>
  <c r="H235" i="118"/>
  <c r="H236" i="118"/>
  <c r="H237" i="118"/>
  <c r="H238" i="118"/>
  <c r="O239" i="118"/>
  <c r="O240" i="118"/>
  <c r="O241" i="118"/>
  <c r="O242" i="118"/>
  <c r="H239" i="118"/>
  <c r="H240" i="118"/>
  <c r="H241" i="118"/>
  <c r="H242" i="118"/>
  <c r="O243" i="118"/>
  <c r="O244" i="118"/>
  <c r="O245" i="118"/>
  <c r="O246" i="118"/>
  <c r="H243" i="118"/>
  <c r="H244" i="118"/>
  <c r="H245" i="118"/>
  <c r="H246" i="118"/>
  <c r="F47" i="135"/>
  <c r="S203" i="118"/>
  <c r="S207" i="118"/>
  <c r="S211" i="118"/>
  <c r="S215" i="118"/>
  <c r="S219" i="118"/>
  <c r="S223" i="118"/>
  <c r="S227" i="118"/>
  <c r="S231" i="118"/>
  <c r="S235" i="118"/>
  <c r="S239" i="118"/>
  <c r="S243" i="118"/>
  <c r="E47" i="135"/>
  <c r="R203" i="118"/>
  <c r="R207" i="118"/>
  <c r="R211" i="118"/>
  <c r="R215" i="118"/>
  <c r="R219" i="118"/>
  <c r="R223" i="118"/>
  <c r="R227" i="118"/>
  <c r="R231" i="118"/>
  <c r="R235" i="118"/>
  <c r="R239" i="118"/>
  <c r="R243" i="118"/>
  <c r="D47" i="135"/>
  <c r="Q203" i="118"/>
  <c r="Q207" i="118"/>
  <c r="Q211" i="118"/>
  <c r="Q215" i="118"/>
  <c r="Q219" i="118"/>
  <c r="Q223" i="118"/>
  <c r="Q227" i="118"/>
  <c r="Q231" i="118"/>
  <c r="Q235" i="118"/>
  <c r="Q239" i="118"/>
  <c r="Q243" i="118"/>
  <c r="C47" i="135"/>
  <c r="U81" i="126"/>
  <c r="U82" i="126"/>
  <c r="U83" i="126"/>
  <c r="U84" i="126"/>
  <c r="U85" i="126"/>
  <c r="U86" i="126"/>
  <c r="U87" i="126"/>
  <c r="U88" i="126"/>
  <c r="U89" i="126"/>
  <c r="U90" i="126"/>
  <c r="U91" i="126"/>
  <c r="U92" i="126"/>
  <c r="U93" i="126"/>
  <c r="U94" i="126"/>
  <c r="U95" i="126"/>
  <c r="U96" i="126"/>
  <c r="U97" i="126"/>
  <c r="U98" i="126"/>
  <c r="U99" i="126"/>
  <c r="U100" i="126"/>
  <c r="U101" i="126"/>
  <c r="U102" i="126"/>
  <c r="U103" i="126"/>
  <c r="U104" i="126"/>
  <c r="U105" i="126"/>
  <c r="U106" i="126"/>
  <c r="U107" i="126"/>
  <c r="U108" i="126"/>
  <c r="U109" i="126"/>
  <c r="U110" i="126"/>
  <c r="U111" i="126"/>
  <c r="U112" i="126"/>
  <c r="U113" i="126"/>
  <c r="U114" i="126"/>
  <c r="U115" i="126"/>
  <c r="U116" i="126"/>
  <c r="U117" i="126"/>
  <c r="U118" i="126"/>
  <c r="U119" i="126"/>
  <c r="U120" i="126"/>
  <c r="U121" i="126"/>
  <c r="U122" i="126"/>
  <c r="U123" i="126"/>
  <c r="U124" i="126"/>
  <c r="P40" i="135"/>
  <c r="O81" i="126"/>
  <c r="O82" i="126"/>
  <c r="O83" i="126"/>
  <c r="O84" i="126"/>
  <c r="H81" i="126"/>
  <c r="H82" i="126"/>
  <c r="H83" i="126"/>
  <c r="H84" i="126"/>
  <c r="T81" i="126"/>
  <c r="O85" i="126"/>
  <c r="O86" i="126"/>
  <c r="O87" i="126"/>
  <c r="O88" i="126"/>
  <c r="H85" i="126"/>
  <c r="H86" i="126"/>
  <c r="H87" i="126"/>
  <c r="H88" i="126"/>
  <c r="T85" i="126"/>
  <c r="O89" i="126"/>
  <c r="O90" i="126"/>
  <c r="O91" i="126"/>
  <c r="O92" i="126"/>
  <c r="H89" i="126"/>
  <c r="H90" i="126"/>
  <c r="H91" i="126"/>
  <c r="H92" i="126"/>
  <c r="T89" i="126"/>
  <c r="O93" i="126"/>
  <c r="O94" i="126"/>
  <c r="O95" i="126"/>
  <c r="O96" i="126"/>
  <c r="H93" i="126"/>
  <c r="H94" i="126"/>
  <c r="H95" i="126"/>
  <c r="H96" i="126"/>
  <c r="T93" i="126"/>
  <c r="O97" i="126"/>
  <c r="O98" i="126"/>
  <c r="O99" i="126"/>
  <c r="O100" i="126"/>
  <c r="H97" i="126"/>
  <c r="H98" i="126"/>
  <c r="H99" i="126"/>
  <c r="H100" i="126"/>
  <c r="T97" i="126"/>
  <c r="O101" i="126"/>
  <c r="O102" i="126"/>
  <c r="O103" i="126"/>
  <c r="O104" i="126"/>
  <c r="H101" i="126"/>
  <c r="H102" i="126"/>
  <c r="H103" i="126"/>
  <c r="H104" i="126"/>
  <c r="T101" i="126"/>
  <c r="O105" i="126"/>
  <c r="O106" i="126"/>
  <c r="O107" i="126"/>
  <c r="O108" i="126"/>
  <c r="H105" i="126"/>
  <c r="H106" i="126"/>
  <c r="H107" i="126"/>
  <c r="H108" i="126"/>
  <c r="T105" i="126"/>
  <c r="O109" i="126"/>
  <c r="O110" i="126"/>
  <c r="O111" i="126"/>
  <c r="O112" i="126"/>
  <c r="H109" i="126"/>
  <c r="H110" i="126"/>
  <c r="H111" i="126"/>
  <c r="H112" i="126"/>
  <c r="T109" i="126"/>
  <c r="O113" i="126"/>
  <c r="O114" i="126"/>
  <c r="O115" i="126"/>
  <c r="O116" i="126"/>
  <c r="H113" i="126"/>
  <c r="H114" i="126"/>
  <c r="H115" i="126"/>
  <c r="H116" i="126"/>
  <c r="T113" i="126"/>
  <c r="O117" i="126"/>
  <c r="O118" i="126"/>
  <c r="O119" i="126"/>
  <c r="O120" i="126"/>
  <c r="H117" i="126"/>
  <c r="H118" i="126"/>
  <c r="H119" i="126"/>
  <c r="H120" i="126"/>
  <c r="T117" i="126"/>
  <c r="O121" i="126"/>
  <c r="O122" i="126"/>
  <c r="O123" i="126"/>
  <c r="O124" i="126"/>
  <c r="H121" i="126"/>
  <c r="H122" i="126"/>
  <c r="H123" i="126"/>
  <c r="H124" i="126"/>
  <c r="T121" i="126"/>
  <c r="O40" i="135"/>
  <c r="S81" i="126"/>
  <c r="S85" i="126"/>
  <c r="S89" i="126"/>
  <c r="S93" i="126"/>
  <c r="S97" i="126"/>
  <c r="S101" i="126"/>
  <c r="S105" i="126"/>
  <c r="S109" i="126"/>
  <c r="S113" i="126"/>
  <c r="S117" i="126"/>
  <c r="S121" i="126"/>
  <c r="N40" i="135"/>
  <c r="R81" i="126"/>
  <c r="R85" i="126"/>
  <c r="R89" i="126"/>
  <c r="R93" i="126"/>
  <c r="R97" i="126"/>
  <c r="R101" i="126"/>
  <c r="R105" i="126"/>
  <c r="R109" i="126"/>
  <c r="R113" i="126"/>
  <c r="R117" i="126"/>
  <c r="R121" i="126"/>
  <c r="M40" i="135"/>
  <c r="Q81" i="126"/>
  <c r="Q85" i="126"/>
  <c r="Q89" i="126"/>
  <c r="Q93" i="126"/>
  <c r="Q97" i="126"/>
  <c r="Q101" i="126"/>
  <c r="Q105" i="126"/>
  <c r="Q109" i="126"/>
  <c r="Q113" i="126"/>
  <c r="Q117" i="126"/>
  <c r="Q121" i="126"/>
  <c r="L40" i="135"/>
  <c r="U81" i="118"/>
  <c r="U82" i="118"/>
  <c r="U83" i="118"/>
  <c r="U84" i="118"/>
  <c r="U85" i="118"/>
  <c r="U86" i="118"/>
  <c r="U87" i="118"/>
  <c r="U88" i="118"/>
  <c r="U89" i="118"/>
  <c r="U90" i="118"/>
  <c r="U91" i="118"/>
  <c r="U92" i="118"/>
  <c r="U93" i="118"/>
  <c r="U94" i="118"/>
  <c r="U95" i="118"/>
  <c r="U96" i="118"/>
  <c r="U97" i="118"/>
  <c r="U98" i="118"/>
  <c r="U99" i="118"/>
  <c r="U100" i="118"/>
  <c r="U101" i="118"/>
  <c r="U102" i="118"/>
  <c r="U103" i="118"/>
  <c r="U104" i="118"/>
  <c r="U105" i="118"/>
  <c r="U106" i="118"/>
  <c r="U107" i="118"/>
  <c r="U108" i="118"/>
  <c r="U109" i="118"/>
  <c r="U110" i="118"/>
  <c r="U111" i="118"/>
  <c r="U112" i="118"/>
  <c r="U113" i="118"/>
  <c r="U114" i="118"/>
  <c r="U115" i="118"/>
  <c r="U116" i="118"/>
  <c r="U117" i="118"/>
  <c r="U118" i="118"/>
  <c r="U119" i="118"/>
  <c r="U120" i="118"/>
  <c r="U121" i="118"/>
  <c r="U122" i="118"/>
  <c r="U123" i="118"/>
  <c r="U124" i="118"/>
  <c r="G40" i="135"/>
  <c r="O81" i="118"/>
  <c r="O82" i="118"/>
  <c r="O83" i="118"/>
  <c r="O84" i="118"/>
  <c r="H81" i="118"/>
  <c r="H82" i="118"/>
  <c r="H83" i="118"/>
  <c r="H84" i="118"/>
  <c r="T81" i="118"/>
  <c r="O85" i="118"/>
  <c r="O86" i="118"/>
  <c r="O87" i="118"/>
  <c r="O88" i="118"/>
  <c r="H85" i="118"/>
  <c r="H86" i="118"/>
  <c r="H87" i="118"/>
  <c r="H88" i="118"/>
  <c r="T85" i="118"/>
  <c r="O89" i="118"/>
  <c r="O90" i="118"/>
  <c r="O91" i="118"/>
  <c r="O92" i="118"/>
  <c r="H89" i="118"/>
  <c r="H90" i="118"/>
  <c r="H91" i="118"/>
  <c r="H92" i="118"/>
  <c r="T89" i="118"/>
  <c r="O93" i="118"/>
  <c r="O94" i="118"/>
  <c r="O95" i="118"/>
  <c r="O96" i="118"/>
  <c r="H93" i="118"/>
  <c r="H94" i="118"/>
  <c r="H95" i="118"/>
  <c r="H96" i="118"/>
  <c r="T93" i="118"/>
  <c r="O97" i="118"/>
  <c r="O98" i="118"/>
  <c r="O99" i="118"/>
  <c r="O100" i="118"/>
  <c r="H97" i="118"/>
  <c r="H98" i="118"/>
  <c r="H99" i="118"/>
  <c r="H100" i="118"/>
  <c r="T97" i="118"/>
  <c r="O101" i="118"/>
  <c r="O102" i="118"/>
  <c r="O103" i="118"/>
  <c r="O104" i="118"/>
  <c r="H101" i="118"/>
  <c r="H102" i="118"/>
  <c r="H103" i="118"/>
  <c r="H104" i="118"/>
  <c r="T101" i="118"/>
  <c r="O105" i="118"/>
  <c r="O106" i="118"/>
  <c r="O107" i="118"/>
  <c r="O108" i="118"/>
  <c r="H105" i="118"/>
  <c r="H106" i="118"/>
  <c r="H107" i="118"/>
  <c r="H108" i="118"/>
  <c r="T105" i="118"/>
  <c r="O109" i="118"/>
  <c r="O110" i="118"/>
  <c r="O111" i="118"/>
  <c r="O112" i="118"/>
  <c r="H109" i="118"/>
  <c r="H110" i="118"/>
  <c r="H111" i="118"/>
  <c r="H112" i="118"/>
  <c r="T109" i="118"/>
  <c r="O113" i="118"/>
  <c r="O114" i="118"/>
  <c r="O115" i="118"/>
  <c r="O116" i="118"/>
  <c r="H113" i="118"/>
  <c r="H114" i="118"/>
  <c r="H115" i="118"/>
  <c r="H116" i="118"/>
  <c r="T113" i="118"/>
  <c r="O117" i="118"/>
  <c r="O118" i="118"/>
  <c r="O119" i="118"/>
  <c r="O120" i="118"/>
  <c r="H117" i="118"/>
  <c r="H118" i="118"/>
  <c r="H119" i="118"/>
  <c r="H120" i="118"/>
  <c r="T117" i="118"/>
  <c r="O121" i="118"/>
  <c r="O122" i="118"/>
  <c r="O123" i="118"/>
  <c r="O124" i="118"/>
  <c r="H121" i="118"/>
  <c r="H122" i="118"/>
  <c r="H123" i="118"/>
  <c r="H124" i="118"/>
  <c r="T121" i="118"/>
  <c r="F40" i="135"/>
  <c r="S81" i="118"/>
  <c r="S85" i="118"/>
  <c r="S89" i="118"/>
  <c r="S93" i="118"/>
  <c r="S97" i="118"/>
  <c r="S101" i="118"/>
  <c r="S105" i="118"/>
  <c r="S109" i="118"/>
  <c r="S113" i="118"/>
  <c r="S117" i="118"/>
  <c r="S121" i="118"/>
  <c r="E40" i="135"/>
  <c r="R81" i="118"/>
  <c r="R85" i="118"/>
  <c r="R89" i="118"/>
  <c r="R93" i="118"/>
  <c r="R97" i="118"/>
  <c r="R101" i="118"/>
  <c r="R105" i="118"/>
  <c r="R109" i="118"/>
  <c r="R113" i="118"/>
  <c r="R117" i="118"/>
  <c r="R121" i="118"/>
  <c r="D40" i="135"/>
  <c r="Q81" i="118"/>
  <c r="Q85" i="118"/>
  <c r="Q89" i="118"/>
  <c r="Q93" i="118"/>
  <c r="Q97" i="118"/>
  <c r="Q101" i="118"/>
  <c r="Q105" i="118"/>
  <c r="Q109" i="118"/>
  <c r="Q113" i="118"/>
  <c r="Q117" i="118"/>
  <c r="Q121" i="118"/>
  <c r="C40" i="135"/>
  <c r="U81" i="153"/>
  <c r="U82" i="153"/>
  <c r="U83" i="153"/>
  <c r="U84" i="153"/>
  <c r="U85" i="153"/>
  <c r="U86" i="153"/>
  <c r="U87" i="153"/>
  <c r="U88" i="153"/>
  <c r="U89" i="153"/>
  <c r="U90" i="153"/>
  <c r="U91" i="153"/>
  <c r="U92" i="153"/>
  <c r="U93" i="153"/>
  <c r="U94" i="153"/>
  <c r="U95" i="153"/>
  <c r="U96" i="153"/>
  <c r="U97" i="153"/>
  <c r="U98" i="153"/>
  <c r="U99" i="153"/>
  <c r="U100" i="153"/>
  <c r="U101" i="153"/>
  <c r="U102" i="153"/>
  <c r="U103" i="153"/>
  <c r="U104" i="153"/>
  <c r="U105" i="153"/>
  <c r="U106" i="153"/>
  <c r="U107" i="153"/>
  <c r="U108" i="153"/>
  <c r="U109" i="153"/>
  <c r="U110" i="153"/>
  <c r="U111" i="153"/>
  <c r="U112" i="153"/>
  <c r="U113" i="153"/>
  <c r="U114" i="153"/>
  <c r="U115" i="153"/>
  <c r="U116" i="153"/>
  <c r="U117" i="153"/>
  <c r="U118" i="153"/>
  <c r="U119" i="153"/>
  <c r="U120" i="153"/>
  <c r="U121" i="153"/>
  <c r="U122" i="153"/>
  <c r="U123" i="153"/>
  <c r="U124" i="153"/>
  <c r="P56" i="135"/>
  <c r="O81" i="153"/>
  <c r="O82" i="153"/>
  <c r="O83" i="153"/>
  <c r="O84" i="153"/>
  <c r="H81" i="153"/>
  <c r="H82" i="153"/>
  <c r="H83" i="153"/>
  <c r="H84" i="153"/>
  <c r="O85" i="153"/>
  <c r="O86" i="153"/>
  <c r="O87" i="153"/>
  <c r="O88" i="153"/>
  <c r="H85" i="153"/>
  <c r="H86" i="153"/>
  <c r="H87" i="153"/>
  <c r="H88" i="153"/>
  <c r="O89" i="153"/>
  <c r="O90" i="153"/>
  <c r="O91" i="153"/>
  <c r="O92" i="153"/>
  <c r="H89" i="153"/>
  <c r="H90" i="153"/>
  <c r="H91" i="153"/>
  <c r="H92" i="153"/>
  <c r="O93" i="153"/>
  <c r="O94" i="153"/>
  <c r="O95" i="153"/>
  <c r="O96" i="153"/>
  <c r="H93" i="153"/>
  <c r="H94" i="153"/>
  <c r="H95" i="153"/>
  <c r="H96" i="153"/>
  <c r="O97" i="153"/>
  <c r="O98" i="153"/>
  <c r="O99" i="153"/>
  <c r="O100" i="153"/>
  <c r="H97" i="153"/>
  <c r="H98" i="153"/>
  <c r="H99" i="153"/>
  <c r="H100" i="153"/>
  <c r="O101" i="153"/>
  <c r="O102" i="153"/>
  <c r="O103" i="153"/>
  <c r="O104" i="153"/>
  <c r="H101" i="153"/>
  <c r="H102" i="153"/>
  <c r="H103" i="153"/>
  <c r="H104" i="153"/>
  <c r="O105" i="153"/>
  <c r="O106" i="153"/>
  <c r="O107" i="153"/>
  <c r="O108" i="153"/>
  <c r="H105" i="153"/>
  <c r="H106" i="153"/>
  <c r="H107" i="153"/>
  <c r="H108" i="153"/>
  <c r="O109" i="153"/>
  <c r="O110" i="153"/>
  <c r="O111" i="153"/>
  <c r="O112" i="153"/>
  <c r="H109" i="153"/>
  <c r="H110" i="153"/>
  <c r="H111" i="153"/>
  <c r="H112" i="153"/>
  <c r="O113" i="153"/>
  <c r="O114" i="153"/>
  <c r="O115" i="153"/>
  <c r="O116" i="153"/>
  <c r="H113" i="153"/>
  <c r="H114" i="153"/>
  <c r="H115" i="153"/>
  <c r="H116" i="153"/>
  <c r="O117" i="153"/>
  <c r="O118" i="153"/>
  <c r="O119" i="153"/>
  <c r="O120" i="153"/>
  <c r="H117" i="153"/>
  <c r="H118" i="153"/>
  <c r="H119" i="153"/>
  <c r="H120" i="153"/>
  <c r="O121" i="153"/>
  <c r="O122" i="153"/>
  <c r="O123" i="153"/>
  <c r="O124" i="153"/>
  <c r="H121" i="153"/>
  <c r="H122" i="153"/>
  <c r="H123" i="153"/>
  <c r="H124" i="153"/>
  <c r="O56" i="135"/>
  <c r="S81" i="153"/>
  <c r="S85" i="153"/>
  <c r="S89" i="153"/>
  <c r="S93" i="153"/>
  <c r="S97" i="153"/>
  <c r="S101" i="153"/>
  <c r="S105" i="153"/>
  <c r="S109" i="153"/>
  <c r="S113" i="153"/>
  <c r="S117" i="153"/>
  <c r="S121" i="153"/>
  <c r="N56" i="135"/>
  <c r="R81" i="153"/>
  <c r="R85" i="153"/>
  <c r="R89" i="153"/>
  <c r="R93" i="153"/>
  <c r="R97" i="153"/>
  <c r="R101" i="153"/>
  <c r="R105" i="153"/>
  <c r="R109" i="153"/>
  <c r="R113" i="153"/>
  <c r="R117" i="153"/>
  <c r="R121" i="153"/>
  <c r="M56" i="135"/>
  <c r="Q81" i="153"/>
  <c r="Q85" i="153"/>
  <c r="Q89" i="153"/>
  <c r="Q93" i="153"/>
  <c r="Q97" i="153"/>
  <c r="Q101" i="153"/>
  <c r="Q105" i="153"/>
  <c r="Q109" i="153"/>
  <c r="Q113" i="153"/>
  <c r="Q117" i="153"/>
  <c r="Q121" i="153"/>
  <c r="L56" i="135"/>
  <c r="U81" i="144"/>
  <c r="U82" i="144"/>
  <c r="U83" i="144"/>
  <c r="U84" i="144"/>
  <c r="U85" i="144"/>
  <c r="U86" i="144"/>
  <c r="U87" i="144"/>
  <c r="U88" i="144"/>
  <c r="U89" i="144"/>
  <c r="U90" i="144"/>
  <c r="U91" i="144"/>
  <c r="U92" i="144"/>
  <c r="U93" i="144"/>
  <c r="U94" i="144"/>
  <c r="U95" i="144"/>
  <c r="U96" i="144"/>
  <c r="U97" i="144"/>
  <c r="U98" i="144"/>
  <c r="U99" i="144"/>
  <c r="U100" i="144"/>
  <c r="U101" i="144"/>
  <c r="U102" i="144"/>
  <c r="U103" i="144"/>
  <c r="U104" i="144"/>
  <c r="U105" i="144"/>
  <c r="U106" i="144"/>
  <c r="U107" i="144"/>
  <c r="U108" i="144"/>
  <c r="U109" i="144"/>
  <c r="U110" i="144"/>
  <c r="U111" i="144"/>
  <c r="U112" i="144"/>
  <c r="U113" i="144"/>
  <c r="U114" i="144"/>
  <c r="U115" i="144"/>
  <c r="U116" i="144"/>
  <c r="U117" i="144"/>
  <c r="U118" i="144"/>
  <c r="U119" i="144"/>
  <c r="U120" i="144"/>
  <c r="U121" i="144"/>
  <c r="U122" i="144"/>
  <c r="U123" i="144"/>
  <c r="U124" i="144"/>
  <c r="G56" i="135"/>
  <c r="O81" i="144"/>
  <c r="O82" i="144"/>
  <c r="O83" i="144"/>
  <c r="O84" i="144"/>
  <c r="H81" i="144"/>
  <c r="H82" i="144"/>
  <c r="H83" i="144"/>
  <c r="H84" i="144"/>
  <c r="O85" i="144"/>
  <c r="O86" i="144"/>
  <c r="O87" i="144"/>
  <c r="O88" i="144"/>
  <c r="H85" i="144"/>
  <c r="H86" i="144"/>
  <c r="H87" i="144"/>
  <c r="H88" i="144"/>
  <c r="O89" i="144"/>
  <c r="O90" i="144"/>
  <c r="O91" i="144"/>
  <c r="O92" i="144"/>
  <c r="H89" i="144"/>
  <c r="H90" i="144"/>
  <c r="H91" i="144"/>
  <c r="H92" i="144"/>
  <c r="O93" i="144"/>
  <c r="O94" i="144"/>
  <c r="O95" i="144"/>
  <c r="O96" i="144"/>
  <c r="H93" i="144"/>
  <c r="H94" i="144"/>
  <c r="H95" i="144"/>
  <c r="H96" i="144"/>
  <c r="O97" i="144"/>
  <c r="O98" i="144"/>
  <c r="O99" i="144"/>
  <c r="O100" i="144"/>
  <c r="H97" i="144"/>
  <c r="H98" i="144"/>
  <c r="H99" i="144"/>
  <c r="H100" i="144"/>
  <c r="O101" i="144"/>
  <c r="O102" i="144"/>
  <c r="O103" i="144"/>
  <c r="O104" i="144"/>
  <c r="H101" i="144"/>
  <c r="H102" i="144"/>
  <c r="H103" i="144"/>
  <c r="H104" i="144"/>
  <c r="O105" i="144"/>
  <c r="O106" i="144"/>
  <c r="O107" i="144"/>
  <c r="O108" i="144"/>
  <c r="H105" i="144"/>
  <c r="H106" i="144"/>
  <c r="H107" i="144"/>
  <c r="H108" i="144"/>
  <c r="O109" i="144"/>
  <c r="O110" i="144"/>
  <c r="O111" i="144"/>
  <c r="O112" i="144"/>
  <c r="H109" i="144"/>
  <c r="H110" i="144"/>
  <c r="H111" i="144"/>
  <c r="H112" i="144"/>
  <c r="O113" i="144"/>
  <c r="O114" i="144"/>
  <c r="O115" i="144"/>
  <c r="O116" i="144"/>
  <c r="H113" i="144"/>
  <c r="H114" i="144"/>
  <c r="H115" i="144"/>
  <c r="H116" i="144"/>
  <c r="O117" i="144"/>
  <c r="O118" i="144"/>
  <c r="O119" i="144"/>
  <c r="O120" i="144"/>
  <c r="H117" i="144"/>
  <c r="H118" i="144"/>
  <c r="H119" i="144"/>
  <c r="H120" i="144"/>
  <c r="O121" i="144"/>
  <c r="O122" i="144"/>
  <c r="O123" i="144"/>
  <c r="O124" i="144"/>
  <c r="H121" i="144"/>
  <c r="H122" i="144"/>
  <c r="H123" i="144"/>
  <c r="H124" i="144"/>
  <c r="F56" i="135"/>
  <c r="S81" i="144"/>
  <c r="S85" i="144"/>
  <c r="S89" i="144"/>
  <c r="S93" i="144"/>
  <c r="S97" i="144"/>
  <c r="S101" i="144"/>
  <c r="S105" i="144"/>
  <c r="S109" i="144"/>
  <c r="S113" i="144"/>
  <c r="S117" i="144"/>
  <c r="S121" i="144"/>
  <c r="E56" i="135"/>
  <c r="R81" i="144"/>
  <c r="R85" i="144"/>
  <c r="R89" i="144"/>
  <c r="R93" i="144"/>
  <c r="R97" i="144"/>
  <c r="R101" i="144"/>
  <c r="R105" i="144"/>
  <c r="R109" i="144"/>
  <c r="R113" i="144"/>
  <c r="R117" i="144"/>
  <c r="R121" i="144"/>
  <c r="D56" i="135"/>
  <c r="Q81" i="144"/>
  <c r="Q85" i="144"/>
  <c r="Q89" i="144"/>
  <c r="Q93" i="144"/>
  <c r="Q97" i="144"/>
  <c r="Q101" i="144"/>
  <c r="Q105" i="144"/>
  <c r="Q109" i="144"/>
  <c r="Q113" i="144"/>
  <c r="Q117" i="144"/>
  <c r="Q121" i="144"/>
  <c r="C56" i="135"/>
  <c r="U203" i="150"/>
  <c r="U204" i="150"/>
  <c r="U205" i="150"/>
  <c r="U206" i="150"/>
  <c r="U207" i="150"/>
  <c r="U208" i="150"/>
  <c r="U209" i="150"/>
  <c r="U210" i="150"/>
  <c r="U211" i="150"/>
  <c r="U212" i="150"/>
  <c r="U213" i="150"/>
  <c r="U214" i="150"/>
  <c r="U215" i="150"/>
  <c r="U216" i="150"/>
  <c r="U217" i="150"/>
  <c r="U218" i="150"/>
  <c r="U219" i="150"/>
  <c r="U220" i="150"/>
  <c r="U221" i="150"/>
  <c r="U222" i="150"/>
  <c r="U223" i="150"/>
  <c r="U224" i="150"/>
  <c r="U225" i="150"/>
  <c r="U226" i="150"/>
  <c r="U227" i="150"/>
  <c r="U228" i="150"/>
  <c r="U229" i="150"/>
  <c r="U230" i="150"/>
  <c r="U231" i="150"/>
  <c r="U232" i="150"/>
  <c r="U233" i="150"/>
  <c r="U234" i="150"/>
  <c r="U235" i="150"/>
  <c r="U236" i="150"/>
  <c r="U237" i="150"/>
  <c r="U238" i="150"/>
  <c r="U239" i="150"/>
  <c r="U240" i="150"/>
  <c r="U241" i="150"/>
  <c r="U242" i="150"/>
  <c r="U243" i="150"/>
  <c r="U244" i="150"/>
  <c r="U245" i="150"/>
  <c r="U246" i="150"/>
  <c r="P31" i="135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O215" i="150"/>
  <c r="O216" i="150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31" i="135"/>
  <c r="S203" i="150"/>
  <c r="S207" i="150"/>
  <c r="S211" i="150"/>
  <c r="S215" i="150"/>
  <c r="S219" i="150"/>
  <c r="S223" i="150"/>
  <c r="S227" i="150"/>
  <c r="S231" i="150"/>
  <c r="S235" i="150"/>
  <c r="S239" i="150"/>
  <c r="S243" i="150"/>
  <c r="N31" i="135"/>
  <c r="R203" i="150"/>
  <c r="R207" i="150"/>
  <c r="R211" i="150"/>
  <c r="R215" i="150"/>
  <c r="R219" i="150"/>
  <c r="R223" i="150"/>
  <c r="R227" i="150"/>
  <c r="R231" i="150"/>
  <c r="R235" i="150"/>
  <c r="R239" i="150"/>
  <c r="R243" i="150"/>
  <c r="M31" i="135"/>
  <c r="Q203" i="150"/>
  <c r="Q207" i="150"/>
  <c r="Q211" i="150"/>
  <c r="Q215" i="150"/>
  <c r="Q219" i="150"/>
  <c r="Q223" i="150"/>
  <c r="Q227" i="150"/>
  <c r="Q231" i="150"/>
  <c r="Q235" i="150"/>
  <c r="Q239" i="150"/>
  <c r="Q243" i="150"/>
  <c r="L31" i="135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U231" i="112"/>
  <c r="U232" i="112"/>
  <c r="U233" i="112"/>
  <c r="U234" i="112"/>
  <c r="U235" i="112"/>
  <c r="U236" i="112"/>
  <c r="U237" i="112"/>
  <c r="U238" i="112"/>
  <c r="U239" i="112"/>
  <c r="U240" i="112"/>
  <c r="U241" i="112"/>
  <c r="U242" i="112"/>
  <c r="U243" i="112"/>
  <c r="U244" i="112"/>
  <c r="U245" i="112"/>
  <c r="U246" i="112"/>
  <c r="G31" i="135"/>
  <c r="O203" i="112"/>
  <c r="O204" i="112"/>
  <c r="O205" i="112"/>
  <c r="O206" i="112"/>
  <c r="H203" i="112"/>
  <c r="H204" i="112"/>
  <c r="H205" i="112"/>
  <c r="H206" i="112"/>
  <c r="O207" i="112"/>
  <c r="O208" i="112"/>
  <c r="O209" i="112"/>
  <c r="O210" i="112"/>
  <c r="H207" i="112"/>
  <c r="H208" i="112"/>
  <c r="H209" i="112"/>
  <c r="H210" i="112"/>
  <c r="O211" i="112"/>
  <c r="O212" i="112"/>
  <c r="O213" i="112"/>
  <c r="O214" i="112"/>
  <c r="H211" i="112"/>
  <c r="H212" i="112"/>
  <c r="H213" i="112"/>
  <c r="H214" i="112"/>
  <c r="O215" i="112"/>
  <c r="O216" i="112"/>
  <c r="O217" i="112"/>
  <c r="O218" i="112"/>
  <c r="H215" i="112"/>
  <c r="H216" i="112"/>
  <c r="H217" i="112"/>
  <c r="H218" i="112"/>
  <c r="O219" i="112"/>
  <c r="O220" i="112"/>
  <c r="O221" i="112"/>
  <c r="O222" i="112"/>
  <c r="H219" i="112"/>
  <c r="H220" i="112"/>
  <c r="H221" i="112"/>
  <c r="H222" i="112"/>
  <c r="O223" i="112"/>
  <c r="O224" i="112"/>
  <c r="O225" i="112"/>
  <c r="O226" i="112"/>
  <c r="H223" i="112"/>
  <c r="H224" i="112"/>
  <c r="H225" i="112"/>
  <c r="H226" i="112"/>
  <c r="O227" i="112"/>
  <c r="O228" i="112"/>
  <c r="O229" i="112"/>
  <c r="O230" i="112"/>
  <c r="H227" i="112"/>
  <c r="H228" i="112"/>
  <c r="H229" i="112"/>
  <c r="H230" i="112"/>
  <c r="O231" i="112"/>
  <c r="O232" i="112"/>
  <c r="O233" i="112"/>
  <c r="O234" i="112"/>
  <c r="H231" i="112"/>
  <c r="H232" i="112"/>
  <c r="H233" i="112"/>
  <c r="H234" i="112"/>
  <c r="O235" i="112"/>
  <c r="O236" i="112"/>
  <c r="O237" i="112"/>
  <c r="O238" i="112"/>
  <c r="H235" i="112"/>
  <c r="H236" i="112"/>
  <c r="H237" i="112"/>
  <c r="H238" i="112"/>
  <c r="O239" i="112"/>
  <c r="O240" i="112"/>
  <c r="O241" i="112"/>
  <c r="O242" i="112"/>
  <c r="H239" i="112"/>
  <c r="H240" i="112"/>
  <c r="H241" i="112"/>
  <c r="H242" i="112"/>
  <c r="O243" i="112"/>
  <c r="O244" i="112"/>
  <c r="O245" i="112"/>
  <c r="O246" i="112"/>
  <c r="H243" i="112"/>
  <c r="H244" i="112"/>
  <c r="H245" i="112"/>
  <c r="H246" i="112"/>
  <c r="F31" i="135"/>
  <c r="S203" i="112"/>
  <c r="S207" i="112"/>
  <c r="S211" i="112"/>
  <c r="S215" i="112"/>
  <c r="S219" i="112"/>
  <c r="S223" i="112"/>
  <c r="S227" i="112"/>
  <c r="S231" i="112"/>
  <c r="S235" i="112"/>
  <c r="S239" i="112"/>
  <c r="S243" i="112"/>
  <c r="E31" i="135"/>
  <c r="R203" i="112"/>
  <c r="R207" i="112"/>
  <c r="R211" i="112"/>
  <c r="R215" i="112"/>
  <c r="R219" i="112"/>
  <c r="R223" i="112"/>
  <c r="R227" i="112"/>
  <c r="R231" i="112"/>
  <c r="R235" i="112"/>
  <c r="R239" i="112"/>
  <c r="R243" i="112"/>
  <c r="D31" i="135"/>
  <c r="Q203" i="112"/>
  <c r="Q207" i="112"/>
  <c r="Q211" i="112"/>
  <c r="Q215" i="112"/>
  <c r="Q219" i="112"/>
  <c r="Q223" i="112"/>
  <c r="Q227" i="112"/>
  <c r="Q231" i="112"/>
  <c r="Q235" i="112"/>
  <c r="Q239" i="112"/>
  <c r="Q243" i="112"/>
  <c r="C31" i="135"/>
  <c r="U81" i="150"/>
  <c r="U82" i="150"/>
  <c r="U83" i="150"/>
  <c r="U84" i="150"/>
  <c r="U85" i="150"/>
  <c r="U86" i="150"/>
  <c r="U87" i="150"/>
  <c r="U88" i="150"/>
  <c r="U89" i="150"/>
  <c r="U90" i="150"/>
  <c r="U91" i="150"/>
  <c r="U92" i="150"/>
  <c r="U93" i="150"/>
  <c r="U94" i="150"/>
  <c r="U95" i="150"/>
  <c r="U96" i="150"/>
  <c r="U97" i="150"/>
  <c r="U98" i="150"/>
  <c r="U99" i="150"/>
  <c r="U100" i="150"/>
  <c r="U101" i="150"/>
  <c r="U102" i="150"/>
  <c r="U103" i="150"/>
  <c r="U104" i="150"/>
  <c r="U105" i="150"/>
  <c r="U106" i="150"/>
  <c r="U107" i="150"/>
  <c r="U108" i="150"/>
  <c r="U109" i="150"/>
  <c r="U110" i="150"/>
  <c r="U111" i="150"/>
  <c r="U112" i="150"/>
  <c r="U113" i="150"/>
  <c r="U114" i="150"/>
  <c r="U115" i="150"/>
  <c r="U116" i="150"/>
  <c r="U117" i="150"/>
  <c r="U118" i="150"/>
  <c r="U119" i="150"/>
  <c r="U120" i="150"/>
  <c r="U121" i="150"/>
  <c r="U122" i="150"/>
  <c r="U123" i="150"/>
  <c r="U124" i="150"/>
  <c r="P24" i="135"/>
  <c r="O81" i="150"/>
  <c r="O82" i="150"/>
  <c r="O83" i="150"/>
  <c r="O84" i="150"/>
  <c r="T81" i="150"/>
  <c r="O85" i="150"/>
  <c r="O86" i="150"/>
  <c r="O87" i="150"/>
  <c r="O88" i="150"/>
  <c r="T85" i="150"/>
  <c r="O89" i="150"/>
  <c r="O90" i="150"/>
  <c r="O91" i="150"/>
  <c r="O92" i="150"/>
  <c r="T89" i="150"/>
  <c r="O93" i="150"/>
  <c r="O94" i="150"/>
  <c r="O95" i="150"/>
  <c r="O96" i="150"/>
  <c r="T93" i="150"/>
  <c r="O97" i="150"/>
  <c r="O98" i="150"/>
  <c r="O99" i="150"/>
  <c r="O100" i="150"/>
  <c r="T97" i="150"/>
  <c r="O101" i="150"/>
  <c r="O102" i="150"/>
  <c r="O103" i="150"/>
  <c r="O104" i="150"/>
  <c r="T101" i="150"/>
  <c r="O105" i="150"/>
  <c r="O106" i="150"/>
  <c r="O107" i="150"/>
  <c r="O108" i="150"/>
  <c r="T105" i="150"/>
  <c r="O109" i="150"/>
  <c r="O110" i="150"/>
  <c r="O111" i="150"/>
  <c r="O112" i="150"/>
  <c r="T109" i="150"/>
  <c r="O113" i="150"/>
  <c r="O114" i="150"/>
  <c r="O115" i="150"/>
  <c r="O116" i="150"/>
  <c r="T113" i="150"/>
  <c r="O117" i="150"/>
  <c r="O118" i="150"/>
  <c r="O119" i="150"/>
  <c r="O120" i="150"/>
  <c r="T117" i="150"/>
  <c r="O121" i="150"/>
  <c r="O122" i="150"/>
  <c r="O123" i="150"/>
  <c r="O124" i="150"/>
  <c r="T121" i="150"/>
  <c r="O24" i="135"/>
  <c r="S81" i="150"/>
  <c r="S85" i="150"/>
  <c r="S89" i="150"/>
  <c r="S93" i="150"/>
  <c r="S97" i="150"/>
  <c r="S101" i="150"/>
  <c r="S105" i="150"/>
  <c r="S109" i="150"/>
  <c r="S113" i="150"/>
  <c r="S117" i="150"/>
  <c r="S121" i="150"/>
  <c r="N24" i="135"/>
  <c r="R81" i="150"/>
  <c r="R85" i="150"/>
  <c r="R89" i="150"/>
  <c r="R93" i="150"/>
  <c r="R97" i="150"/>
  <c r="R101" i="150"/>
  <c r="R105" i="150"/>
  <c r="R109" i="150"/>
  <c r="R113" i="150"/>
  <c r="R117" i="150"/>
  <c r="R121" i="150"/>
  <c r="M24" i="135"/>
  <c r="Q81" i="150"/>
  <c r="Q85" i="150"/>
  <c r="Q89" i="150"/>
  <c r="Q93" i="150"/>
  <c r="Q97" i="150"/>
  <c r="Q101" i="150"/>
  <c r="Q105" i="150"/>
  <c r="Q109" i="150"/>
  <c r="Q113" i="150"/>
  <c r="Q117" i="150"/>
  <c r="Q121" i="150"/>
  <c r="L24" i="135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U117" i="112"/>
  <c r="U118" i="112"/>
  <c r="U119" i="112"/>
  <c r="U120" i="112"/>
  <c r="U121" i="112"/>
  <c r="U122" i="112"/>
  <c r="U123" i="112"/>
  <c r="U124" i="112"/>
  <c r="G24" i="135"/>
  <c r="O81" i="112"/>
  <c r="O82" i="112"/>
  <c r="O83" i="112"/>
  <c r="O84" i="112"/>
  <c r="H81" i="112"/>
  <c r="H82" i="112"/>
  <c r="H83" i="112"/>
  <c r="H84" i="112"/>
  <c r="T81" i="112"/>
  <c r="O85" i="112"/>
  <c r="O86" i="112"/>
  <c r="O87" i="112"/>
  <c r="O88" i="112"/>
  <c r="H85" i="112"/>
  <c r="H86" i="112"/>
  <c r="H87" i="112"/>
  <c r="H88" i="112"/>
  <c r="T85" i="112"/>
  <c r="O89" i="112"/>
  <c r="O90" i="112"/>
  <c r="O91" i="112"/>
  <c r="O92" i="112"/>
  <c r="H89" i="112"/>
  <c r="H90" i="112"/>
  <c r="H91" i="112"/>
  <c r="H92" i="112"/>
  <c r="T89" i="112"/>
  <c r="O93" i="112"/>
  <c r="O94" i="112"/>
  <c r="O95" i="112"/>
  <c r="O96" i="112"/>
  <c r="H93" i="112"/>
  <c r="H94" i="112"/>
  <c r="H95" i="112"/>
  <c r="H96" i="112"/>
  <c r="T93" i="112"/>
  <c r="O97" i="112"/>
  <c r="O98" i="112"/>
  <c r="O99" i="112"/>
  <c r="O100" i="112"/>
  <c r="H97" i="112"/>
  <c r="H98" i="112"/>
  <c r="H99" i="112"/>
  <c r="H100" i="112"/>
  <c r="T97" i="112"/>
  <c r="O101" i="112"/>
  <c r="O102" i="112"/>
  <c r="O103" i="112"/>
  <c r="O104" i="112"/>
  <c r="H101" i="112"/>
  <c r="H102" i="112"/>
  <c r="H103" i="112"/>
  <c r="H104" i="112"/>
  <c r="T101" i="112"/>
  <c r="O105" i="112"/>
  <c r="O106" i="112"/>
  <c r="O107" i="112"/>
  <c r="O108" i="112"/>
  <c r="H105" i="112"/>
  <c r="H106" i="112"/>
  <c r="H107" i="112"/>
  <c r="H108" i="112"/>
  <c r="T105" i="112"/>
  <c r="O109" i="112"/>
  <c r="O110" i="112"/>
  <c r="O111" i="112"/>
  <c r="O112" i="112"/>
  <c r="H109" i="112"/>
  <c r="H110" i="112"/>
  <c r="H111" i="112"/>
  <c r="H112" i="112"/>
  <c r="T109" i="112"/>
  <c r="O113" i="112"/>
  <c r="O114" i="112"/>
  <c r="O115" i="112"/>
  <c r="O116" i="112"/>
  <c r="H113" i="112"/>
  <c r="H114" i="112"/>
  <c r="H115" i="112"/>
  <c r="H116" i="112"/>
  <c r="T113" i="112"/>
  <c r="O117" i="112"/>
  <c r="O118" i="112"/>
  <c r="O119" i="112"/>
  <c r="O120" i="112"/>
  <c r="H117" i="112"/>
  <c r="H118" i="112"/>
  <c r="H119" i="112"/>
  <c r="H120" i="112"/>
  <c r="T117" i="112"/>
  <c r="O121" i="112"/>
  <c r="O122" i="112"/>
  <c r="O123" i="112"/>
  <c r="O124" i="112"/>
  <c r="H121" i="112"/>
  <c r="H122" i="112"/>
  <c r="H123" i="112"/>
  <c r="H124" i="112"/>
  <c r="T121" i="112"/>
  <c r="F24" i="135"/>
  <c r="S81" i="112"/>
  <c r="S85" i="112"/>
  <c r="S89" i="112"/>
  <c r="S93" i="112"/>
  <c r="S97" i="112"/>
  <c r="S101" i="112"/>
  <c r="S105" i="112"/>
  <c r="S109" i="112"/>
  <c r="S113" i="112"/>
  <c r="S117" i="112"/>
  <c r="S121" i="112"/>
  <c r="E24" i="135"/>
  <c r="R81" i="112"/>
  <c r="R85" i="112"/>
  <c r="R89" i="112"/>
  <c r="R93" i="112"/>
  <c r="R97" i="112"/>
  <c r="R101" i="112"/>
  <c r="R105" i="112"/>
  <c r="R109" i="112"/>
  <c r="R113" i="112"/>
  <c r="R117" i="112"/>
  <c r="R121" i="112"/>
  <c r="D24" i="135"/>
  <c r="Q81" i="112"/>
  <c r="Q85" i="112"/>
  <c r="Q89" i="112"/>
  <c r="Q93" i="112"/>
  <c r="Q97" i="112"/>
  <c r="Q101" i="112"/>
  <c r="Q105" i="112"/>
  <c r="Q109" i="112"/>
  <c r="Q113" i="112"/>
  <c r="Q117" i="112"/>
  <c r="Q121" i="112"/>
  <c r="C24" i="135"/>
  <c r="U9" i="153"/>
  <c r="U10" i="153"/>
  <c r="U11" i="153"/>
  <c r="U12" i="153"/>
  <c r="U13" i="153"/>
  <c r="U14" i="153"/>
  <c r="U15" i="153"/>
  <c r="U16" i="153"/>
  <c r="U17" i="153"/>
  <c r="U18" i="153"/>
  <c r="U19" i="153"/>
  <c r="U20" i="153"/>
  <c r="U21" i="153"/>
  <c r="U22" i="153"/>
  <c r="U23" i="153"/>
  <c r="U24" i="153"/>
  <c r="U25" i="153"/>
  <c r="U26" i="153"/>
  <c r="U27" i="153"/>
  <c r="U28" i="153"/>
  <c r="U29" i="153"/>
  <c r="U30" i="153"/>
  <c r="U31" i="153"/>
  <c r="U32" i="153"/>
  <c r="U33" i="153"/>
  <c r="U34" i="153"/>
  <c r="U35" i="153"/>
  <c r="U36" i="153"/>
  <c r="U37" i="153"/>
  <c r="U38" i="153"/>
  <c r="U39" i="153"/>
  <c r="U40" i="153"/>
  <c r="U41" i="153"/>
  <c r="U42" i="153"/>
  <c r="U43" i="153"/>
  <c r="U44" i="153"/>
  <c r="U45" i="153"/>
  <c r="U46" i="153"/>
  <c r="U47" i="153"/>
  <c r="U48" i="153"/>
  <c r="U49" i="153"/>
  <c r="U50" i="153"/>
  <c r="U51" i="153"/>
  <c r="U52" i="153"/>
  <c r="U53" i="153"/>
  <c r="U54" i="153"/>
  <c r="U55" i="153"/>
  <c r="U56" i="153"/>
  <c r="U57" i="153"/>
  <c r="U58" i="153"/>
  <c r="U59" i="153"/>
  <c r="U60" i="153"/>
  <c r="U61" i="153"/>
  <c r="U62" i="153"/>
  <c r="U63" i="153"/>
  <c r="U64" i="153"/>
  <c r="U65" i="153"/>
  <c r="U66" i="153"/>
  <c r="U67" i="153"/>
  <c r="U68" i="153"/>
  <c r="U69" i="153"/>
  <c r="U70" i="153"/>
  <c r="U71" i="153"/>
  <c r="U72" i="153"/>
  <c r="U73" i="153"/>
  <c r="U74" i="153"/>
  <c r="U75" i="153"/>
  <c r="U76" i="153"/>
  <c r="U77" i="153"/>
  <c r="U78" i="153"/>
  <c r="U79" i="153"/>
  <c r="U80" i="153"/>
  <c r="U125" i="153"/>
  <c r="P57" i="135"/>
  <c r="P55" i="135"/>
  <c r="P54" i="135"/>
  <c r="P53" i="135"/>
  <c r="P52" i="135"/>
  <c r="P51" i="135"/>
  <c r="O9" i="153"/>
  <c r="O10" i="153"/>
  <c r="O11" i="153"/>
  <c r="O12" i="153"/>
  <c r="H9" i="153"/>
  <c r="H10" i="153"/>
  <c r="H11" i="153"/>
  <c r="H12" i="153"/>
  <c r="O13" i="153"/>
  <c r="O14" i="153"/>
  <c r="O15" i="153"/>
  <c r="O16" i="153"/>
  <c r="H13" i="153"/>
  <c r="H14" i="153"/>
  <c r="H15" i="153"/>
  <c r="H16" i="153"/>
  <c r="O17" i="153"/>
  <c r="O18" i="153"/>
  <c r="O19" i="153"/>
  <c r="O20" i="153"/>
  <c r="H17" i="153"/>
  <c r="H18" i="153"/>
  <c r="H19" i="153"/>
  <c r="H20" i="153"/>
  <c r="O21" i="153"/>
  <c r="O22" i="153"/>
  <c r="O23" i="153"/>
  <c r="O24" i="153"/>
  <c r="H21" i="153"/>
  <c r="H22" i="153"/>
  <c r="H23" i="153"/>
  <c r="H24" i="153"/>
  <c r="O25" i="153"/>
  <c r="O26" i="153"/>
  <c r="O27" i="153"/>
  <c r="O28" i="153"/>
  <c r="H25" i="153"/>
  <c r="H26" i="153"/>
  <c r="H27" i="153"/>
  <c r="H28" i="153"/>
  <c r="O29" i="153"/>
  <c r="O30" i="153"/>
  <c r="O31" i="153"/>
  <c r="O32" i="153"/>
  <c r="H29" i="153"/>
  <c r="H30" i="153"/>
  <c r="H31" i="153"/>
  <c r="H32" i="153"/>
  <c r="O33" i="153"/>
  <c r="O34" i="153"/>
  <c r="O35" i="153"/>
  <c r="O36" i="153"/>
  <c r="H33" i="153"/>
  <c r="H34" i="153"/>
  <c r="H35" i="153"/>
  <c r="H36" i="153"/>
  <c r="O37" i="153"/>
  <c r="O38" i="153"/>
  <c r="O39" i="153"/>
  <c r="O40" i="153"/>
  <c r="H37" i="153"/>
  <c r="H38" i="153"/>
  <c r="H39" i="153"/>
  <c r="H40" i="153"/>
  <c r="O41" i="153"/>
  <c r="O42" i="153"/>
  <c r="O43" i="153"/>
  <c r="O44" i="153"/>
  <c r="H41" i="153"/>
  <c r="H42" i="153"/>
  <c r="H43" i="153"/>
  <c r="H44" i="153"/>
  <c r="O45" i="153"/>
  <c r="O46" i="153"/>
  <c r="O47" i="153"/>
  <c r="O48" i="153"/>
  <c r="H45" i="153"/>
  <c r="H46" i="153"/>
  <c r="H47" i="153"/>
  <c r="H48" i="153"/>
  <c r="O49" i="153"/>
  <c r="O50" i="153"/>
  <c r="O51" i="153"/>
  <c r="O52" i="153"/>
  <c r="H49" i="153"/>
  <c r="H50" i="153"/>
  <c r="H51" i="153"/>
  <c r="H52" i="153"/>
  <c r="O53" i="153"/>
  <c r="O54" i="153"/>
  <c r="O55" i="153"/>
  <c r="O56" i="153"/>
  <c r="H53" i="153"/>
  <c r="H54" i="153"/>
  <c r="H55" i="153"/>
  <c r="H56" i="153"/>
  <c r="O57" i="153"/>
  <c r="O58" i="153"/>
  <c r="O59" i="153"/>
  <c r="O60" i="153"/>
  <c r="H57" i="153"/>
  <c r="H58" i="153"/>
  <c r="H59" i="153"/>
  <c r="H60" i="153"/>
  <c r="O61" i="153"/>
  <c r="O62" i="153"/>
  <c r="O63" i="153"/>
  <c r="O64" i="153"/>
  <c r="H61" i="153"/>
  <c r="H62" i="153"/>
  <c r="H63" i="153"/>
  <c r="H64" i="153"/>
  <c r="O65" i="153"/>
  <c r="O66" i="153"/>
  <c r="O67" i="153"/>
  <c r="O68" i="153"/>
  <c r="H65" i="153"/>
  <c r="H66" i="153"/>
  <c r="H67" i="153"/>
  <c r="H68" i="153"/>
  <c r="O69" i="153"/>
  <c r="O70" i="153"/>
  <c r="O71" i="153"/>
  <c r="O72" i="153"/>
  <c r="H69" i="153"/>
  <c r="H70" i="153"/>
  <c r="H71" i="153"/>
  <c r="H72" i="153"/>
  <c r="O73" i="153"/>
  <c r="O74" i="153"/>
  <c r="O75" i="153"/>
  <c r="O76" i="153"/>
  <c r="H73" i="153"/>
  <c r="H74" i="153"/>
  <c r="H75" i="153"/>
  <c r="H76" i="153"/>
  <c r="O77" i="153"/>
  <c r="O78" i="153"/>
  <c r="O79" i="153"/>
  <c r="O80" i="153"/>
  <c r="H77" i="153"/>
  <c r="H78" i="153"/>
  <c r="H79" i="153"/>
  <c r="H80" i="153"/>
  <c r="O55" i="135"/>
  <c r="O54" i="135"/>
  <c r="O53" i="135"/>
  <c r="O52" i="135"/>
  <c r="O51" i="135"/>
  <c r="S9" i="153"/>
  <c r="S13" i="153"/>
  <c r="S17" i="153"/>
  <c r="S21" i="153"/>
  <c r="S25" i="153"/>
  <c r="S29" i="153"/>
  <c r="S33" i="153"/>
  <c r="S37" i="153"/>
  <c r="S41" i="153"/>
  <c r="S45" i="153"/>
  <c r="S49" i="153"/>
  <c r="S53" i="153"/>
  <c r="S57" i="153"/>
  <c r="S61" i="153"/>
  <c r="S65" i="153"/>
  <c r="S69" i="153"/>
  <c r="S73" i="153"/>
  <c r="S77" i="153"/>
  <c r="S125" i="153"/>
  <c r="N57" i="135"/>
  <c r="N55" i="135"/>
  <c r="N54" i="135"/>
  <c r="N53" i="135"/>
  <c r="N52" i="135"/>
  <c r="N51" i="135"/>
  <c r="R9" i="153"/>
  <c r="R13" i="153"/>
  <c r="R17" i="153"/>
  <c r="R21" i="153"/>
  <c r="R25" i="153"/>
  <c r="R29" i="153"/>
  <c r="R33" i="153"/>
  <c r="R37" i="153"/>
  <c r="R41" i="153"/>
  <c r="R45" i="153"/>
  <c r="R49" i="153"/>
  <c r="R53" i="153"/>
  <c r="R57" i="153"/>
  <c r="R61" i="153"/>
  <c r="R65" i="153"/>
  <c r="R69" i="153"/>
  <c r="R73" i="153"/>
  <c r="R77" i="153"/>
  <c r="R125" i="153"/>
  <c r="M57" i="135"/>
  <c r="M55" i="135"/>
  <c r="M54" i="135"/>
  <c r="M53" i="135"/>
  <c r="M52" i="135"/>
  <c r="M51" i="135"/>
  <c r="Q9" i="153"/>
  <c r="Q13" i="153"/>
  <c r="Q17" i="153"/>
  <c r="Q21" i="153"/>
  <c r="Q25" i="153"/>
  <c r="Q29" i="153"/>
  <c r="Q33" i="153"/>
  <c r="Q37" i="153"/>
  <c r="Q41" i="153"/>
  <c r="Q45" i="153"/>
  <c r="Q49" i="153"/>
  <c r="Q53" i="153"/>
  <c r="Q57" i="153"/>
  <c r="Q61" i="153"/>
  <c r="Q65" i="153"/>
  <c r="Q69" i="153"/>
  <c r="Q73" i="153"/>
  <c r="Q77" i="153"/>
  <c r="Q125" i="153"/>
  <c r="L57" i="135"/>
  <c r="L55" i="135"/>
  <c r="L54" i="135"/>
  <c r="L53" i="135"/>
  <c r="L52" i="135"/>
  <c r="L51" i="135"/>
  <c r="U131" i="126"/>
  <c r="U132" i="126"/>
  <c r="U133" i="126"/>
  <c r="U134" i="126"/>
  <c r="U135" i="126"/>
  <c r="U136" i="126"/>
  <c r="U137" i="126"/>
  <c r="U138" i="126"/>
  <c r="U139" i="126"/>
  <c r="U140" i="126"/>
  <c r="U141" i="126"/>
  <c r="U142" i="126"/>
  <c r="U143" i="126"/>
  <c r="U144" i="126"/>
  <c r="U145" i="126"/>
  <c r="U146" i="126"/>
  <c r="U147" i="126"/>
  <c r="U148" i="126"/>
  <c r="U149" i="126"/>
  <c r="U150" i="126"/>
  <c r="U151" i="126"/>
  <c r="U152" i="126"/>
  <c r="U153" i="126"/>
  <c r="U154" i="126"/>
  <c r="U155" i="126"/>
  <c r="U156" i="126"/>
  <c r="U157" i="126"/>
  <c r="U158" i="126"/>
  <c r="U159" i="126"/>
  <c r="U160" i="126"/>
  <c r="U161" i="126"/>
  <c r="U162" i="126"/>
  <c r="U163" i="126"/>
  <c r="U164" i="126"/>
  <c r="U165" i="126"/>
  <c r="U166" i="126"/>
  <c r="U167" i="126"/>
  <c r="U168" i="126"/>
  <c r="U169" i="126"/>
  <c r="U170" i="126"/>
  <c r="U171" i="126"/>
  <c r="U172" i="126"/>
  <c r="U173" i="126"/>
  <c r="U174" i="126"/>
  <c r="U175" i="126"/>
  <c r="U176" i="126"/>
  <c r="U177" i="126"/>
  <c r="U178" i="126"/>
  <c r="U179" i="126"/>
  <c r="U180" i="126"/>
  <c r="U181" i="126"/>
  <c r="U182" i="126"/>
  <c r="U183" i="126"/>
  <c r="U184" i="126"/>
  <c r="U185" i="126"/>
  <c r="U186" i="126"/>
  <c r="U187" i="126"/>
  <c r="U188" i="126"/>
  <c r="U189" i="126"/>
  <c r="U190" i="126"/>
  <c r="U191" i="126"/>
  <c r="U192" i="126"/>
  <c r="U193" i="126"/>
  <c r="U194" i="126"/>
  <c r="U195" i="126"/>
  <c r="U196" i="126"/>
  <c r="U197" i="126"/>
  <c r="U198" i="126"/>
  <c r="U199" i="126"/>
  <c r="U200" i="126"/>
  <c r="U201" i="126"/>
  <c r="U202" i="126"/>
  <c r="U247" i="126"/>
  <c r="P48" i="135"/>
  <c r="P46" i="135"/>
  <c r="P45" i="135"/>
  <c r="P44" i="135"/>
  <c r="P43" i="135"/>
  <c r="P42" i="135"/>
  <c r="U9" i="126"/>
  <c r="U10" i="126"/>
  <c r="U11" i="126"/>
  <c r="U12" i="126"/>
  <c r="U13" i="126"/>
  <c r="U14" i="126"/>
  <c r="U15" i="126"/>
  <c r="U16" i="126"/>
  <c r="U17" i="126"/>
  <c r="U18" i="126"/>
  <c r="U19" i="126"/>
  <c r="U20" i="126"/>
  <c r="U21" i="126"/>
  <c r="U22" i="126"/>
  <c r="U23" i="126"/>
  <c r="U24" i="126"/>
  <c r="U25" i="126"/>
  <c r="U26" i="126"/>
  <c r="U27" i="126"/>
  <c r="U28" i="126"/>
  <c r="U29" i="126"/>
  <c r="U30" i="126"/>
  <c r="U31" i="126"/>
  <c r="U32" i="126"/>
  <c r="U33" i="126"/>
  <c r="U34" i="126"/>
  <c r="U35" i="126"/>
  <c r="U36" i="126"/>
  <c r="U37" i="126"/>
  <c r="U38" i="126"/>
  <c r="U39" i="126"/>
  <c r="U40" i="126"/>
  <c r="U41" i="126"/>
  <c r="U42" i="126"/>
  <c r="U43" i="126"/>
  <c r="U44" i="126"/>
  <c r="U45" i="126"/>
  <c r="U46" i="126"/>
  <c r="U47" i="126"/>
  <c r="U48" i="126"/>
  <c r="U49" i="126"/>
  <c r="U50" i="126"/>
  <c r="U51" i="126"/>
  <c r="U52" i="126"/>
  <c r="U53" i="126"/>
  <c r="U54" i="126"/>
  <c r="U55" i="126"/>
  <c r="U56" i="126"/>
  <c r="U57" i="126"/>
  <c r="U58" i="126"/>
  <c r="U59" i="126"/>
  <c r="U60" i="126"/>
  <c r="U61" i="126"/>
  <c r="U62" i="126"/>
  <c r="U63" i="126"/>
  <c r="U64" i="126"/>
  <c r="U65" i="126"/>
  <c r="U66" i="126"/>
  <c r="U67" i="126"/>
  <c r="U68" i="126"/>
  <c r="U69" i="126"/>
  <c r="U70" i="126"/>
  <c r="U71" i="126"/>
  <c r="U72" i="126"/>
  <c r="U73" i="126"/>
  <c r="U74" i="126"/>
  <c r="U75" i="126"/>
  <c r="U76" i="126"/>
  <c r="U77" i="126"/>
  <c r="U78" i="126"/>
  <c r="U79" i="126"/>
  <c r="U80" i="126"/>
  <c r="U125" i="126"/>
  <c r="P41" i="135"/>
  <c r="P39" i="135"/>
  <c r="P38" i="135"/>
  <c r="P37" i="135"/>
  <c r="P36" i="135"/>
  <c r="P35" i="135"/>
  <c r="U131" i="150"/>
  <c r="U132" i="150"/>
  <c r="U133" i="150"/>
  <c r="U134" i="150"/>
  <c r="U135" i="150"/>
  <c r="U136" i="150"/>
  <c r="U137" i="150"/>
  <c r="U138" i="150"/>
  <c r="U139" i="150"/>
  <c r="U140" i="150"/>
  <c r="U141" i="150"/>
  <c r="U142" i="150"/>
  <c r="U143" i="150"/>
  <c r="U144" i="150"/>
  <c r="U145" i="150"/>
  <c r="U146" i="150"/>
  <c r="U147" i="150"/>
  <c r="U148" i="150"/>
  <c r="U149" i="150"/>
  <c r="U150" i="150"/>
  <c r="U151" i="150"/>
  <c r="U152" i="150"/>
  <c r="U153" i="150"/>
  <c r="U154" i="150"/>
  <c r="U155" i="150"/>
  <c r="U156" i="150"/>
  <c r="U157" i="150"/>
  <c r="U158" i="150"/>
  <c r="U159" i="150"/>
  <c r="U160" i="150"/>
  <c r="U161" i="150"/>
  <c r="U162" i="150"/>
  <c r="U163" i="150"/>
  <c r="U164" i="150"/>
  <c r="U165" i="150"/>
  <c r="U166" i="150"/>
  <c r="U167" i="150"/>
  <c r="U168" i="150"/>
  <c r="U169" i="150"/>
  <c r="U170" i="150"/>
  <c r="U171" i="150"/>
  <c r="U172" i="150"/>
  <c r="U173" i="150"/>
  <c r="U174" i="150"/>
  <c r="U175" i="150"/>
  <c r="U176" i="150"/>
  <c r="U177" i="150"/>
  <c r="U178" i="150"/>
  <c r="U179" i="150"/>
  <c r="U180" i="150"/>
  <c r="U181" i="150"/>
  <c r="U182" i="150"/>
  <c r="U183" i="150"/>
  <c r="U184" i="150"/>
  <c r="U185" i="150"/>
  <c r="U186" i="150"/>
  <c r="U187" i="150"/>
  <c r="U188" i="150"/>
  <c r="U189" i="150"/>
  <c r="U190" i="150"/>
  <c r="U191" i="150"/>
  <c r="U192" i="150"/>
  <c r="U193" i="150"/>
  <c r="U194" i="150"/>
  <c r="U195" i="150"/>
  <c r="U196" i="150"/>
  <c r="U197" i="150"/>
  <c r="U198" i="150"/>
  <c r="U199" i="150"/>
  <c r="U200" i="150"/>
  <c r="U201" i="150"/>
  <c r="U202" i="150"/>
  <c r="U247" i="150"/>
  <c r="P32" i="135"/>
  <c r="P30" i="135"/>
  <c r="P29" i="135"/>
  <c r="P28" i="135"/>
  <c r="P27" i="135"/>
  <c r="P26" i="135"/>
  <c r="U9" i="150"/>
  <c r="U10" i="150"/>
  <c r="U11" i="150"/>
  <c r="U12" i="150"/>
  <c r="U13" i="150"/>
  <c r="U14" i="150"/>
  <c r="U15" i="150"/>
  <c r="U16" i="150"/>
  <c r="U17" i="150"/>
  <c r="U18" i="150"/>
  <c r="U19" i="150"/>
  <c r="U20" i="150"/>
  <c r="U21" i="150"/>
  <c r="U22" i="150"/>
  <c r="U23" i="150"/>
  <c r="U24" i="150"/>
  <c r="U25" i="150"/>
  <c r="U26" i="150"/>
  <c r="U27" i="150"/>
  <c r="U28" i="150"/>
  <c r="U29" i="150"/>
  <c r="U30" i="150"/>
  <c r="U31" i="150"/>
  <c r="U32" i="150"/>
  <c r="U33" i="150"/>
  <c r="U34" i="150"/>
  <c r="U35" i="150"/>
  <c r="U36" i="150"/>
  <c r="U37" i="150"/>
  <c r="U38" i="150"/>
  <c r="U39" i="150"/>
  <c r="U40" i="150"/>
  <c r="U41" i="150"/>
  <c r="U42" i="150"/>
  <c r="U43" i="150"/>
  <c r="U44" i="150"/>
  <c r="U45" i="150"/>
  <c r="U46" i="150"/>
  <c r="U47" i="150"/>
  <c r="U48" i="150"/>
  <c r="U49" i="150"/>
  <c r="U50" i="150"/>
  <c r="U51" i="150"/>
  <c r="U52" i="150"/>
  <c r="U53" i="150"/>
  <c r="U54" i="150"/>
  <c r="U55" i="150"/>
  <c r="U56" i="150"/>
  <c r="U57" i="150"/>
  <c r="U58" i="150"/>
  <c r="U59" i="150"/>
  <c r="U60" i="150"/>
  <c r="U61" i="150"/>
  <c r="U62" i="150"/>
  <c r="U63" i="150"/>
  <c r="U64" i="150"/>
  <c r="U65" i="150"/>
  <c r="U66" i="150"/>
  <c r="U67" i="150"/>
  <c r="U68" i="150"/>
  <c r="U69" i="150"/>
  <c r="U70" i="150"/>
  <c r="U71" i="150"/>
  <c r="U72" i="150"/>
  <c r="U73" i="150"/>
  <c r="U74" i="150"/>
  <c r="U75" i="150"/>
  <c r="U76" i="150"/>
  <c r="U77" i="150"/>
  <c r="U78" i="150"/>
  <c r="U79" i="150"/>
  <c r="U80" i="150"/>
  <c r="U125" i="150"/>
  <c r="P25" i="135"/>
  <c r="P23" i="135"/>
  <c r="P22" i="135"/>
  <c r="P21" i="135"/>
  <c r="P20" i="135"/>
  <c r="P19" i="135"/>
  <c r="O131" i="126"/>
  <c r="O132" i="126"/>
  <c r="O133" i="126"/>
  <c r="O134" i="126"/>
  <c r="H131" i="126"/>
  <c r="H132" i="126"/>
  <c r="H133" i="126"/>
  <c r="H134" i="126"/>
  <c r="O135" i="126"/>
  <c r="O136" i="126"/>
  <c r="O137" i="126"/>
  <c r="O138" i="126"/>
  <c r="H135" i="126"/>
  <c r="H136" i="126"/>
  <c r="H137" i="126"/>
  <c r="H138" i="126"/>
  <c r="O139" i="126"/>
  <c r="O140" i="126"/>
  <c r="O141" i="126"/>
  <c r="O142" i="126"/>
  <c r="H139" i="126"/>
  <c r="H140" i="126"/>
  <c r="H141" i="126"/>
  <c r="H142" i="126"/>
  <c r="O143" i="126"/>
  <c r="O144" i="126"/>
  <c r="O145" i="126"/>
  <c r="O146" i="126"/>
  <c r="H143" i="126"/>
  <c r="H144" i="126"/>
  <c r="H145" i="126"/>
  <c r="H146" i="126"/>
  <c r="O147" i="126"/>
  <c r="O148" i="126"/>
  <c r="O149" i="126"/>
  <c r="O150" i="126"/>
  <c r="H147" i="126"/>
  <c r="H148" i="126"/>
  <c r="H149" i="126"/>
  <c r="H150" i="126"/>
  <c r="O151" i="126"/>
  <c r="O152" i="126"/>
  <c r="O153" i="126"/>
  <c r="O154" i="126"/>
  <c r="H151" i="126"/>
  <c r="H152" i="126"/>
  <c r="H153" i="126"/>
  <c r="H154" i="126"/>
  <c r="O155" i="126"/>
  <c r="O156" i="126"/>
  <c r="O157" i="126"/>
  <c r="O158" i="126"/>
  <c r="H155" i="126"/>
  <c r="H156" i="126"/>
  <c r="H157" i="126"/>
  <c r="H158" i="126"/>
  <c r="O159" i="126"/>
  <c r="O160" i="126"/>
  <c r="O161" i="126"/>
  <c r="O162" i="126"/>
  <c r="H159" i="126"/>
  <c r="H160" i="126"/>
  <c r="H161" i="126"/>
  <c r="H162" i="126"/>
  <c r="O163" i="126"/>
  <c r="O164" i="126"/>
  <c r="O165" i="126"/>
  <c r="O166" i="126"/>
  <c r="H163" i="126"/>
  <c r="H164" i="126"/>
  <c r="H165" i="126"/>
  <c r="H166" i="126"/>
  <c r="O167" i="126"/>
  <c r="O168" i="126"/>
  <c r="O169" i="126"/>
  <c r="O170" i="126"/>
  <c r="H167" i="126"/>
  <c r="H168" i="126"/>
  <c r="H169" i="126"/>
  <c r="H170" i="126"/>
  <c r="O171" i="126"/>
  <c r="O172" i="126"/>
  <c r="O173" i="126"/>
  <c r="O174" i="126"/>
  <c r="H171" i="126"/>
  <c r="H172" i="126"/>
  <c r="H173" i="126"/>
  <c r="H174" i="126"/>
  <c r="O175" i="126"/>
  <c r="O176" i="126"/>
  <c r="O177" i="126"/>
  <c r="O178" i="126"/>
  <c r="H175" i="126"/>
  <c r="H176" i="126"/>
  <c r="H177" i="126"/>
  <c r="H178" i="126"/>
  <c r="O179" i="126"/>
  <c r="O180" i="126"/>
  <c r="O181" i="126"/>
  <c r="O182" i="126"/>
  <c r="H179" i="126"/>
  <c r="H180" i="126"/>
  <c r="H181" i="126"/>
  <c r="H182" i="126"/>
  <c r="O183" i="126"/>
  <c r="O184" i="126"/>
  <c r="O185" i="126"/>
  <c r="O186" i="126"/>
  <c r="H183" i="126"/>
  <c r="H184" i="126"/>
  <c r="H185" i="126"/>
  <c r="H186" i="126"/>
  <c r="O187" i="126"/>
  <c r="O188" i="126"/>
  <c r="O189" i="126"/>
  <c r="O190" i="126"/>
  <c r="H187" i="126"/>
  <c r="H188" i="126"/>
  <c r="H189" i="126"/>
  <c r="H190" i="126"/>
  <c r="O191" i="126"/>
  <c r="O192" i="126"/>
  <c r="O193" i="126"/>
  <c r="O194" i="126"/>
  <c r="H191" i="126"/>
  <c r="H192" i="126"/>
  <c r="H193" i="126"/>
  <c r="H194" i="126"/>
  <c r="O195" i="126"/>
  <c r="O196" i="126"/>
  <c r="O197" i="126"/>
  <c r="O198" i="126"/>
  <c r="H195" i="126"/>
  <c r="H196" i="126"/>
  <c r="H197" i="126"/>
  <c r="H198" i="126"/>
  <c r="O199" i="126"/>
  <c r="O200" i="126"/>
  <c r="O201" i="126"/>
  <c r="O202" i="126"/>
  <c r="H199" i="126"/>
  <c r="H200" i="126"/>
  <c r="H201" i="126"/>
  <c r="H202" i="126"/>
  <c r="O46" i="135"/>
  <c r="O45" i="135"/>
  <c r="O44" i="135"/>
  <c r="O43" i="135"/>
  <c r="O42" i="135"/>
  <c r="O9" i="126"/>
  <c r="O10" i="126"/>
  <c r="O11" i="126"/>
  <c r="O12" i="126"/>
  <c r="H9" i="126"/>
  <c r="H10" i="126"/>
  <c r="H11" i="126"/>
  <c r="H12" i="126"/>
  <c r="T9" i="126"/>
  <c r="O13" i="126"/>
  <c r="O14" i="126"/>
  <c r="O15" i="126"/>
  <c r="O16" i="126"/>
  <c r="H13" i="126"/>
  <c r="H14" i="126"/>
  <c r="H15" i="126"/>
  <c r="H16" i="126"/>
  <c r="T13" i="126"/>
  <c r="O17" i="126"/>
  <c r="O18" i="126"/>
  <c r="O19" i="126"/>
  <c r="O20" i="126"/>
  <c r="H17" i="126"/>
  <c r="H18" i="126"/>
  <c r="H19" i="126"/>
  <c r="H20" i="126"/>
  <c r="T17" i="126"/>
  <c r="O21" i="126"/>
  <c r="O22" i="126"/>
  <c r="O23" i="126"/>
  <c r="O24" i="126"/>
  <c r="H21" i="126"/>
  <c r="H22" i="126"/>
  <c r="H23" i="126"/>
  <c r="H24" i="126"/>
  <c r="T21" i="126"/>
  <c r="O25" i="126"/>
  <c r="O26" i="126"/>
  <c r="O27" i="126"/>
  <c r="O28" i="126"/>
  <c r="H25" i="126"/>
  <c r="H26" i="126"/>
  <c r="H27" i="126"/>
  <c r="H28" i="126"/>
  <c r="T25" i="126"/>
  <c r="O29" i="126"/>
  <c r="O30" i="126"/>
  <c r="O31" i="126"/>
  <c r="O32" i="126"/>
  <c r="H29" i="126"/>
  <c r="H30" i="126"/>
  <c r="H31" i="126"/>
  <c r="H32" i="126"/>
  <c r="T29" i="126"/>
  <c r="O33" i="126"/>
  <c r="O34" i="126"/>
  <c r="O35" i="126"/>
  <c r="O36" i="126"/>
  <c r="H33" i="126"/>
  <c r="H34" i="126"/>
  <c r="H35" i="126"/>
  <c r="H36" i="126"/>
  <c r="T33" i="126"/>
  <c r="O37" i="126"/>
  <c r="O38" i="126"/>
  <c r="O39" i="126"/>
  <c r="O40" i="126"/>
  <c r="H37" i="126"/>
  <c r="H38" i="126"/>
  <c r="H39" i="126"/>
  <c r="H40" i="126"/>
  <c r="T37" i="126"/>
  <c r="O41" i="126"/>
  <c r="O42" i="126"/>
  <c r="O43" i="126"/>
  <c r="O44" i="126"/>
  <c r="H41" i="126"/>
  <c r="H42" i="126"/>
  <c r="H43" i="126"/>
  <c r="H44" i="126"/>
  <c r="T41" i="126"/>
  <c r="O45" i="126"/>
  <c r="O46" i="126"/>
  <c r="O47" i="126"/>
  <c r="O48" i="126"/>
  <c r="H45" i="126"/>
  <c r="H46" i="126"/>
  <c r="H47" i="126"/>
  <c r="H48" i="126"/>
  <c r="T45" i="126"/>
  <c r="O49" i="126"/>
  <c r="O50" i="126"/>
  <c r="O51" i="126"/>
  <c r="O52" i="126"/>
  <c r="H49" i="126"/>
  <c r="H50" i="126"/>
  <c r="H51" i="126"/>
  <c r="H52" i="126"/>
  <c r="T49" i="126"/>
  <c r="O53" i="126"/>
  <c r="O54" i="126"/>
  <c r="O55" i="126"/>
  <c r="O56" i="126"/>
  <c r="H53" i="126"/>
  <c r="H54" i="126"/>
  <c r="H55" i="126"/>
  <c r="H56" i="126"/>
  <c r="T53" i="126"/>
  <c r="O57" i="126"/>
  <c r="O58" i="126"/>
  <c r="O59" i="126"/>
  <c r="O60" i="126"/>
  <c r="H57" i="126"/>
  <c r="H58" i="126"/>
  <c r="H59" i="126"/>
  <c r="H60" i="126"/>
  <c r="T57" i="126"/>
  <c r="O61" i="126"/>
  <c r="O62" i="126"/>
  <c r="O63" i="126"/>
  <c r="O64" i="126"/>
  <c r="H61" i="126"/>
  <c r="H62" i="126"/>
  <c r="H63" i="126"/>
  <c r="H64" i="126"/>
  <c r="T61" i="126"/>
  <c r="O65" i="126"/>
  <c r="O66" i="126"/>
  <c r="O67" i="126"/>
  <c r="O68" i="126"/>
  <c r="H65" i="126"/>
  <c r="H66" i="126"/>
  <c r="H67" i="126"/>
  <c r="H68" i="126"/>
  <c r="T65" i="126"/>
  <c r="O69" i="126"/>
  <c r="O70" i="126"/>
  <c r="O71" i="126"/>
  <c r="O72" i="126"/>
  <c r="H69" i="126"/>
  <c r="H70" i="126"/>
  <c r="H71" i="126"/>
  <c r="H72" i="126"/>
  <c r="T69" i="126"/>
  <c r="O73" i="126"/>
  <c r="O74" i="126"/>
  <c r="O75" i="126"/>
  <c r="O76" i="126"/>
  <c r="H73" i="126"/>
  <c r="H74" i="126"/>
  <c r="H75" i="126"/>
  <c r="H76" i="126"/>
  <c r="T73" i="126"/>
  <c r="O77" i="126"/>
  <c r="O78" i="126"/>
  <c r="O79" i="126"/>
  <c r="O80" i="126"/>
  <c r="H77" i="126"/>
  <c r="H78" i="126"/>
  <c r="H79" i="126"/>
  <c r="H80" i="126"/>
  <c r="T77" i="126"/>
  <c r="T125" i="126"/>
  <c r="O41" i="135"/>
  <c r="O39" i="135"/>
  <c r="O38" i="135"/>
  <c r="O37" i="135"/>
  <c r="O36" i="135"/>
  <c r="O35" i="135"/>
  <c r="O131" i="150"/>
  <c r="O132" i="150"/>
  <c r="O133" i="150"/>
  <c r="O134" i="150"/>
  <c r="O135" i="150"/>
  <c r="O136" i="150"/>
  <c r="O137" i="150"/>
  <c r="O138" i="150"/>
  <c r="O139" i="150"/>
  <c r="O140" i="150"/>
  <c r="O141" i="150"/>
  <c r="O142" i="150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30" i="135"/>
  <c r="O29" i="135"/>
  <c r="O28" i="135"/>
  <c r="O27" i="135"/>
  <c r="O26" i="135"/>
  <c r="O9" i="150"/>
  <c r="O10" i="150"/>
  <c r="O11" i="150"/>
  <c r="O12" i="150"/>
  <c r="T9" i="150"/>
  <c r="O13" i="150"/>
  <c r="O14" i="150"/>
  <c r="O15" i="150"/>
  <c r="O16" i="150"/>
  <c r="T13" i="150"/>
  <c r="O17" i="150"/>
  <c r="O18" i="150"/>
  <c r="O19" i="150"/>
  <c r="O20" i="150"/>
  <c r="T17" i="150"/>
  <c r="O21" i="150"/>
  <c r="O22" i="150"/>
  <c r="O23" i="150"/>
  <c r="O24" i="150"/>
  <c r="T21" i="150"/>
  <c r="O25" i="150"/>
  <c r="O26" i="150"/>
  <c r="O27" i="150"/>
  <c r="O28" i="150"/>
  <c r="T25" i="150"/>
  <c r="O29" i="150"/>
  <c r="O30" i="150"/>
  <c r="O31" i="150"/>
  <c r="O32" i="150"/>
  <c r="T29" i="150"/>
  <c r="O33" i="150"/>
  <c r="O34" i="150"/>
  <c r="O35" i="150"/>
  <c r="O36" i="150"/>
  <c r="T33" i="150"/>
  <c r="O37" i="150"/>
  <c r="O38" i="150"/>
  <c r="O39" i="150"/>
  <c r="O40" i="150"/>
  <c r="T37" i="150"/>
  <c r="O41" i="150"/>
  <c r="O42" i="150"/>
  <c r="O43" i="150"/>
  <c r="O44" i="150"/>
  <c r="T41" i="150"/>
  <c r="O45" i="150"/>
  <c r="O46" i="150"/>
  <c r="O47" i="150"/>
  <c r="O48" i="150"/>
  <c r="T45" i="150"/>
  <c r="O49" i="150"/>
  <c r="O50" i="150"/>
  <c r="O51" i="150"/>
  <c r="O52" i="150"/>
  <c r="T49" i="150"/>
  <c r="O53" i="150"/>
  <c r="O54" i="150"/>
  <c r="O55" i="150"/>
  <c r="O56" i="150"/>
  <c r="T53" i="150"/>
  <c r="O57" i="150"/>
  <c r="O58" i="150"/>
  <c r="O59" i="150"/>
  <c r="O60" i="150"/>
  <c r="T57" i="150"/>
  <c r="O61" i="150"/>
  <c r="O62" i="150"/>
  <c r="O63" i="150"/>
  <c r="O64" i="150"/>
  <c r="T61" i="150"/>
  <c r="O65" i="150"/>
  <c r="O66" i="150"/>
  <c r="O67" i="150"/>
  <c r="O68" i="150"/>
  <c r="T65" i="150"/>
  <c r="O69" i="150"/>
  <c r="O70" i="150"/>
  <c r="O71" i="150"/>
  <c r="O72" i="150"/>
  <c r="T69" i="150"/>
  <c r="O73" i="150"/>
  <c r="O74" i="150"/>
  <c r="O75" i="150"/>
  <c r="O76" i="150"/>
  <c r="T73" i="150"/>
  <c r="O77" i="150"/>
  <c r="O78" i="150"/>
  <c r="O79" i="150"/>
  <c r="O80" i="150"/>
  <c r="T77" i="150"/>
  <c r="T125" i="150"/>
  <c r="O25" i="135"/>
  <c r="O23" i="135"/>
  <c r="O22" i="135"/>
  <c r="O21" i="135"/>
  <c r="O20" i="135"/>
  <c r="O19" i="135"/>
  <c r="S131" i="126"/>
  <c r="S135" i="126"/>
  <c r="S139" i="126"/>
  <c r="S143" i="126"/>
  <c r="S147" i="126"/>
  <c r="S151" i="126"/>
  <c r="S155" i="126"/>
  <c r="S159" i="126"/>
  <c r="S163" i="126"/>
  <c r="S167" i="126"/>
  <c r="S171" i="126"/>
  <c r="S175" i="126"/>
  <c r="S179" i="126"/>
  <c r="S183" i="126"/>
  <c r="S187" i="126"/>
  <c r="S191" i="126"/>
  <c r="S195" i="126"/>
  <c r="S199" i="126"/>
  <c r="S247" i="126"/>
  <c r="N48" i="135"/>
  <c r="N46" i="135"/>
  <c r="N45" i="135"/>
  <c r="N44" i="135"/>
  <c r="N43" i="135"/>
  <c r="N42" i="135"/>
  <c r="S9" i="126"/>
  <c r="S13" i="126"/>
  <c r="S17" i="126"/>
  <c r="S21" i="126"/>
  <c r="S25" i="126"/>
  <c r="S29" i="126"/>
  <c r="S33" i="126"/>
  <c r="S37" i="126"/>
  <c r="S41" i="126"/>
  <c r="S45" i="126"/>
  <c r="S49" i="126"/>
  <c r="S53" i="126"/>
  <c r="S57" i="126"/>
  <c r="S61" i="126"/>
  <c r="S65" i="126"/>
  <c r="S69" i="126"/>
  <c r="S73" i="126"/>
  <c r="S77" i="126"/>
  <c r="S125" i="126"/>
  <c r="N41" i="135"/>
  <c r="N39" i="135"/>
  <c r="N38" i="135"/>
  <c r="N37" i="135"/>
  <c r="N36" i="135"/>
  <c r="N35" i="135"/>
  <c r="S131" i="150"/>
  <c r="S135" i="150"/>
  <c r="S139" i="150"/>
  <c r="S143" i="150"/>
  <c r="S147" i="150"/>
  <c r="S151" i="150"/>
  <c r="S155" i="150"/>
  <c r="S159" i="150"/>
  <c r="S163" i="150"/>
  <c r="S167" i="150"/>
  <c r="S171" i="150"/>
  <c r="S175" i="150"/>
  <c r="S179" i="150"/>
  <c r="S183" i="150"/>
  <c r="S187" i="150"/>
  <c r="S191" i="150"/>
  <c r="S195" i="150"/>
  <c r="S199" i="150"/>
  <c r="S247" i="150"/>
  <c r="N32" i="135"/>
  <c r="N30" i="135"/>
  <c r="N29" i="135"/>
  <c r="N28" i="135"/>
  <c r="N27" i="135"/>
  <c r="N26" i="135"/>
  <c r="S9" i="150"/>
  <c r="S13" i="150"/>
  <c r="S17" i="150"/>
  <c r="S21" i="150"/>
  <c r="S25" i="150"/>
  <c r="S29" i="150"/>
  <c r="S33" i="150"/>
  <c r="S37" i="150"/>
  <c r="S41" i="150"/>
  <c r="S45" i="150"/>
  <c r="S49" i="150"/>
  <c r="S53" i="150"/>
  <c r="S57" i="150"/>
  <c r="S61" i="150"/>
  <c r="S65" i="150"/>
  <c r="S69" i="150"/>
  <c r="S73" i="150"/>
  <c r="S77" i="150"/>
  <c r="S125" i="150"/>
  <c r="N25" i="135"/>
  <c r="N23" i="135"/>
  <c r="N22" i="135"/>
  <c r="N21" i="135"/>
  <c r="N20" i="135"/>
  <c r="N19" i="135"/>
  <c r="R131" i="126"/>
  <c r="R135" i="126"/>
  <c r="R139" i="126"/>
  <c r="R143" i="126"/>
  <c r="R147" i="126"/>
  <c r="R151" i="126"/>
  <c r="R155" i="126"/>
  <c r="R159" i="126"/>
  <c r="R163" i="126"/>
  <c r="R167" i="126"/>
  <c r="R171" i="126"/>
  <c r="R175" i="126"/>
  <c r="R179" i="126"/>
  <c r="R183" i="126"/>
  <c r="R187" i="126"/>
  <c r="R191" i="126"/>
  <c r="R195" i="126"/>
  <c r="R199" i="126"/>
  <c r="R247" i="126"/>
  <c r="M48" i="135"/>
  <c r="M46" i="135"/>
  <c r="M45" i="135"/>
  <c r="M44" i="135"/>
  <c r="M43" i="135"/>
  <c r="M42" i="135"/>
  <c r="R9" i="126"/>
  <c r="R13" i="126"/>
  <c r="R17" i="126"/>
  <c r="R21" i="126"/>
  <c r="R25" i="126"/>
  <c r="R29" i="126"/>
  <c r="R33" i="126"/>
  <c r="R37" i="126"/>
  <c r="R41" i="126"/>
  <c r="R45" i="126"/>
  <c r="R49" i="126"/>
  <c r="R53" i="126"/>
  <c r="R57" i="126"/>
  <c r="R61" i="126"/>
  <c r="R65" i="126"/>
  <c r="R69" i="126"/>
  <c r="R73" i="126"/>
  <c r="R77" i="126"/>
  <c r="R125" i="126"/>
  <c r="M41" i="135"/>
  <c r="M39" i="135"/>
  <c r="M38" i="135"/>
  <c r="M37" i="135"/>
  <c r="M36" i="135"/>
  <c r="M35" i="135"/>
  <c r="R131" i="150"/>
  <c r="R135" i="150"/>
  <c r="R139" i="150"/>
  <c r="R143" i="150"/>
  <c r="R147" i="150"/>
  <c r="R151" i="150"/>
  <c r="R155" i="150"/>
  <c r="R159" i="150"/>
  <c r="R163" i="150"/>
  <c r="R167" i="150"/>
  <c r="R171" i="150"/>
  <c r="R175" i="150"/>
  <c r="R179" i="150"/>
  <c r="R183" i="150"/>
  <c r="R187" i="150"/>
  <c r="R191" i="150"/>
  <c r="R195" i="150"/>
  <c r="R199" i="150"/>
  <c r="R247" i="150"/>
  <c r="M32" i="135"/>
  <c r="M30" i="135"/>
  <c r="M29" i="135"/>
  <c r="M28" i="135"/>
  <c r="M27" i="135"/>
  <c r="M26" i="135"/>
  <c r="R9" i="150"/>
  <c r="R13" i="150"/>
  <c r="R17" i="150"/>
  <c r="R21" i="150"/>
  <c r="R25" i="150"/>
  <c r="R29" i="150"/>
  <c r="R33" i="150"/>
  <c r="R37" i="150"/>
  <c r="R41" i="150"/>
  <c r="R45" i="150"/>
  <c r="R49" i="150"/>
  <c r="R53" i="150"/>
  <c r="R57" i="150"/>
  <c r="R61" i="150"/>
  <c r="R65" i="150"/>
  <c r="R69" i="150"/>
  <c r="R73" i="150"/>
  <c r="R77" i="150"/>
  <c r="R125" i="150"/>
  <c r="M25" i="135"/>
  <c r="M23" i="135"/>
  <c r="M22" i="135"/>
  <c r="M21" i="135"/>
  <c r="M20" i="135"/>
  <c r="M19" i="135"/>
  <c r="Q131" i="126"/>
  <c r="Q135" i="126"/>
  <c r="Q139" i="126"/>
  <c r="Q143" i="126"/>
  <c r="Q147" i="126"/>
  <c r="Q151" i="126"/>
  <c r="Q155" i="126"/>
  <c r="Q159" i="126"/>
  <c r="Q163" i="126"/>
  <c r="Q167" i="126"/>
  <c r="Q171" i="126"/>
  <c r="Q175" i="126"/>
  <c r="Q179" i="126"/>
  <c r="Q183" i="126"/>
  <c r="Q187" i="126"/>
  <c r="Q191" i="126"/>
  <c r="Q195" i="126"/>
  <c r="Q199" i="126"/>
  <c r="Q247" i="126"/>
  <c r="L48" i="135"/>
  <c r="L46" i="135"/>
  <c r="L45" i="135"/>
  <c r="L44" i="135"/>
  <c r="L43" i="135"/>
  <c r="L42" i="135"/>
  <c r="Q9" i="126"/>
  <c r="Q13" i="126"/>
  <c r="Q17" i="126"/>
  <c r="Q21" i="126"/>
  <c r="Q25" i="126"/>
  <c r="Q29" i="126"/>
  <c r="Q33" i="126"/>
  <c r="Q37" i="126"/>
  <c r="Q41" i="126"/>
  <c r="Q45" i="126"/>
  <c r="Q49" i="126"/>
  <c r="Q53" i="126"/>
  <c r="Q57" i="126"/>
  <c r="Q61" i="126"/>
  <c r="Q65" i="126"/>
  <c r="Q69" i="126"/>
  <c r="Q73" i="126"/>
  <c r="Q77" i="126"/>
  <c r="Q125" i="126"/>
  <c r="L41" i="135"/>
  <c r="L39" i="135"/>
  <c r="L38" i="135"/>
  <c r="L37" i="135"/>
  <c r="L36" i="135"/>
  <c r="L35" i="135"/>
  <c r="Q131" i="150"/>
  <c r="Q135" i="150"/>
  <c r="Q139" i="150"/>
  <c r="Q143" i="150"/>
  <c r="Q147" i="150"/>
  <c r="Q151" i="150"/>
  <c r="Q155" i="150"/>
  <c r="Q159" i="150"/>
  <c r="Q163" i="150"/>
  <c r="Q167" i="150"/>
  <c r="Q171" i="150"/>
  <c r="Q175" i="150"/>
  <c r="Q179" i="150"/>
  <c r="Q183" i="150"/>
  <c r="Q187" i="150"/>
  <c r="Q191" i="150"/>
  <c r="Q195" i="150"/>
  <c r="Q199" i="150"/>
  <c r="Q247" i="150"/>
  <c r="L32" i="135"/>
  <c r="L30" i="135"/>
  <c r="L29" i="135"/>
  <c r="L28" i="135"/>
  <c r="L27" i="135"/>
  <c r="L26" i="135"/>
  <c r="Q9" i="150"/>
  <c r="Q13" i="150"/>
  <c r="Q17" i="150"/>
  <c r="Q21" i="150"/>
  <c r="Q25" i="150"/>
  <c r="Q29" i="150"/>
  <c r="Q33" i="150"/>
  <c r="Q37" i="150"/>
  <c r="Q41" i="150"/>
  <c r="Q45" i="150"/>
  <c r="Q49" i="150"/>
  <c r="Q53" i="150"/>
  <c r="Q57" i="150"/>
  <c r="Q61" i="150"/>
  <c r="Q65" i="150"/>
  <c r="Q69" i="150"/>
  <c r="Q73" i="150"/>
  <c r="Q77" i="150"/>
  <c r="Q125" i="150"/>
  <c r="L25" i="135"/>
  <c r="L23" i="135"/>
  <c r="L22" i="135"/>
  <c r="L21" i="135"/>
  <c r="L20" i="135"/>
  <c r="L19" i="135"/>
  <c r="U9" i="144"/>
  <c r="U10" i="144"/>
  <c r="U11" i="144"/>
  <c r="U12" i="144"/>
  <c r="U13" i="144"/>
  <c r="U14" i="144"/>
  <c r="U15" i="144"/>
  <c r="U16" i="144"/>
  <c r="U17" i="144"/>
  <c r="U18" i="144"/>
  <c r="U19" i="144"/>
  <c r="U20" i="144"/>
  <c r="U21" i="144"/>
  <c r="U22" i="144"/>
  <c r="U23" i="144"/>
  <c r="U24" i="144"/>
  <c r="U25" i="144"/>
  <c r="U26" i="144"/>
  <c r="U27" i="144"/>
  <c r="U28" i="144"/>
  <c r="U29" i="144"/>
  <c r="U30" i="144"/>
  <c r="U31" i="144"/>
  <c r="U32" i="144"/>
  <c r="U33" i="144"/>
  <c r="U34" i="144"/>
  <c r="U35" i="144"/>
  <c r="U36" i="144"/>
  <c r="U37" i="144"/>
  <c r="U38" i="144"/>
  <c r="U39" i="144"/>
  <c r="U40" i="144"/>
  <c r="U41" i="144"/>
  <c r="U42" i="144"/>
  <c r="U43" i="144"/>
  <c r="U44" i="144"/>
  <c r="U45" i="144"/>
  <c r="U46" i="144"/>
  <c r="U47" i="144"/>
  <c r="U48" i="144"/>
  <c r="U49" i="144"/>
  <c r="U50" i="144"/>
  <c r="U51" i="144"/>
  <c r="U52" i="144"/>
  <c r="U53" i="144"/>
  <c r="U54" i="144"/>
  <c r="U55" i="144"/>
  <c r="U56" i="144"/>
  <c r="U57" i="144"/>
  <c r="U58" i="144"/>
  <c r="U59" i="144"/>
  <c r="U60" i="144"/>
  <c r="U61" i="144"/>
  <c r="U62" i="144"/>
  <c r="U63" i="144"/>
  <c r="U64" i="144"/>
  <c r="U65" i="144"/>
  <c r="U66" i="144"/>
  <c r="U67" i="144"/>
  <c r="U68" i="144"/>
  <c r="U69" i="144"/>
  <c r="U70" i="144"/>
  <c r="U71" i="144"/>
  <c r="U72" i="144"/>
  <c r="U73" i="144"/>
  <c r="U74" i="144"/>
  <c r="U75" i="144"/>
  <c r="U76" i="144"/>
  <c r="U77" i="144"/>
  <c r="U78" i="144"/>
  <c r="U79" i="144"/>
  <c r="U80" i="144"/>
  <c r="U125" i="144"/>
  <c r="G57" i="135"/>
  <c r="H9" i="144"/>
  <c r="H10" i="144"/>
  <c r="H11" i="144"/>
  <c r="O9" i="144"/>
  <c r="H12" i="144"/>
  <c r="O10" i="144"/>
  <c r="O11" i="144"/>
  <c r="O12" i="144"/>
  <c r="H13" i="144"/>
  <c r="H14" i="144"/>
  <c r="H15" i="144"/>
  <c r="O13" i="144"/>
  <c r="H16" i="144"/>
  <c r="O14" i="144"/>
  <c r="O15" i="144"/>
  <c r="O16" i="144"/>
  <c r="H17" i="144"/>
  <c r="H18" i="144"/>
  <c r="H19" i="144"/>
  <c r="O17" i="144"/>
  <c r="H20" i="144"/>
  <c r="O18" i="144"/>
  <c r="O19" i="144"/>
  <c r="O20" i="144"/>
  <c r="H21" i="144"/>
  <c r="H22" i="144"/>
  <c r="H23" i="144"/>
  <c r="O21" i="144"/>
  <c r="H24" i="144"/>
  <c r="O22" i="144"/>
  <c r="O23" i="144"/>
  <c r="O24" i="144"/>
  <c r="H25" i="144"/>
  <c r="H26" i="144"/>
  <c r="H27" i="144"/>
  <c r="O25" i="144"/>
  <c r="H28" i="144"/>
  <c r="O26" i="144"/>
  <c r="O27" i="144"/>
  <c r="O28" i="144"/>
  <c r="H29" i="144"/>
  <c r="H30" i="144"/>
  <c r="H31" i="144"/>
  <c r="O29" i="144"/>
  <c r="H32" i="144"/>
  <c r="O30" i="144"/>
  <c r="O31" i="144"/>
  <c r="O32" i="144"/>
  <c r="H33" i="144"/>
  <c r="H34" i="144"/>
  <c r="H35" i="144"/>
  <c r="O33" i="144"/>
  <c r="H36" i="144"/>
  <c r="O34" i="144"/>
  <c r="O35" i="144"/>
  <c r="O36" i="144"/>
  <c r="H37" i="144"/>
  <c r="H38" i="144"/>
  <c r="H39" i="144"/>
  <c r="O37" i="144"/>
  <c r="H40" i="144"/>
  <c r="O38" i="144"/>
  <c r="O39" i="144"/>
  <c r="O40" i="144"/>
  <c r="H41" i="144"/>
  <c r="H42" i="144"/>
  <c r="H43" i="144"/>
  <c r="O41" i="144"/>
  <c r="H44" i="144"/>
  <c r="O42" i="144"/>
  <c r="O43" i="144"/>
  <c r="O44" i="144"/>
  <c r="H45" i="144"/>
  <c r="H46" i="144"/>
  <c r="H47" i="144"/>
  <c r="O45" i="144"/>
  <c r="H48" i="144"/>
  <c r="O46" i="144"/>
  <c r="O47" i="144"/>
  <c r="O48" i="144"/>
  <c r="H49" i="144"/>
  <c r="H50" i="144"/>
  <c r="H51" i="144"/>
  <c r="O49" i="144"/>
  <c r="H52" i="144"/>
  <c r="O50" i="144"/>
  <c r="O51" i="144"/>
  <c r="O52" i="144"/>
  <c r="H53" i="144"/>
  <c r="H54" i="144"/>
  <c r="H55" i="144"/>
  <c r="O53" i="144"/>
  <c r="H56" i="144"/>
  <c r="O54" i="144"/>
  <c r="O55" i="144"/>
  <c r="O56" i="144"/>
  <c r="H57" i="144"/>
  <c r="H58" i="144"/>
  <c r="H59" i="144"/>
  <c r="O57" i="144"/>
  <c r="H60" i="144"/>
  <c r="O58" i="144"/>
  <c r="O59" i="144"/>
  <c r="O60" i="144"/>
  <c r="H61" i="144"/>
  <c r="H62" i="144"/>
  <c r="H63" i="144"/>
  <c r="O61" i="144"/>
  <c r="H64" i="144"/>
  <c r="O62" i="144"/>
  <c r="O63" i="144"/>
  <c r="O64" i="144"/>
  <c r="H65" i="144"/>
  <c r="H66" i="144"/>
  <c r="H67" i="144"/>
  <c r="O65" i="144"/>
  <c r="H68" i="144"/>
  <c r="O66" i="144"/>
  <c r="O67" i="144"/>
  <c r="O68" i="144"/>
  <c r="H69" i="144"/>
  <c r="H70" i="144"/>
  <c r="H71" i="144"/>
  <c r="O69" i="144"/>
  <c r="H72" i="144"/>
  <c r="O70" i="144"/>
  <c r="O71" i="144"/>
  <c r="O72" i="144"/>
  <c r="H73" i="144"/>
  <c r="H74" i="144"/>
  <c r="H75" i="144"/>
  <c r="O73" i="144"/>
  <c r="H76" i="144"/>
  <c r="O74" i="144"/>
  <c r="O75" i="144"/>
  <c r="O76" i="144"/>
  <c r="H77" i="144"/>
  <c r="H78" i="144"/>
  <c r="H79" i="144"/>
  <c r="O77" i="144"/>
  <c r="H80" i="144"/>
  <c r="O78" i="144"/>
  <c r="O79" i="144"/>
  <c r="O80" i="144"/>
  <c r="S9" i="144"/>
  <c r="S13" i="144"/>
  <c r="S17" i="144"/>
  <c r="S21" i="144"/>
  <c r="S25" i="144"/>
  <c r="S29" i="144"/>
  <c r="S33" i="144"/>
  <c r="S37" i="144"/>
  <c r="S41" i="144"/>
  <c r="S45" i="144"/>
  <c r="S49" i="144"/>
  <c r="S53" i="144"/>
  <c r="S57" i="144"/>
  <c r="S61" i="144"/>
  <c r="S65" i="144"/>
  <c r="S69" i="144"/>
  <c r="S73" i="144"/>
  <c r="S77" i="144"/>
  <c r="S125" i="144"/>
  <c r="E57" i="135"/>
  <c r="R9" i="144"/>
  <c r="R13" i="144"/>
  <c r="R17" i="144"/>
  <c r="R21" i="144"/>
  <c r="R25" i="144"/>
  <c r="R29" i="144"/>
  <c r="R33" i="144"/>
  <c r="R37" i="144"/>
  <c r="R41" i="144"/>
  <c r="R45" i="144"/>
  <c r="R49" i="144"/>
  <c r="R53" i="144"/>
  <c r="R57" i="144"/>
  <c r="R61" i="144"/>
  <c r="R65" i="144"/>
  <c r="R69" i="144"/>
  <c r="R73" i="144"/>
  <c r="R77" i="144"/>
  <c r="R125" i="144"/>
  <c r="D57" i="135"/>
  <c r="Q9" i="144"/>
  <c r="Q13" i="144"/>
  <c r="Q17" i="144"/>
  <c r="Q21" i="144"/>
  <c r="Q25" i="144"/>
  <c r="Q29" i="144"/>
  <c r="Q33" i="144"/>
  <c r="Q37" i="144"/>
  <c r="Q41" i="144"/>
  <c r="Q45" i="144"/>
  <c r="Q49" i="144"/>
  <c r="Q53" i="144"/>
  <c r="Q57" i="144"/>
  <c r="Q61" i="144"/>
  <c r="Q65" i="144"/>
  <c r="Q69" i="144"/>
  <c r="Q73" i="144"/>
  <c r="Q77" i="144"/>
  <c r="Q125" i="144"/>
  <c r="C57" i="135"/>
  <c r="G55" i="135"/>
  <c r="F55" i="135"/>
  <c r="E55" i="135"/>
  <c r="D55" i="135"/>
  <c r="C55" i="135"/>
  <c r="G54" i="135"/>
  <c r="F54" i="135"/>
  <c r="E54" i="135"/>
  <c r="D54" i="135"/>
  <c r="C54" i="135"/>
  <c r="G53" i="135"/>
  <c r="F53" i="135"/>
  <c r="E53" i="135"/>
  <c r="D53" i="135"/>
  <c r="C53" i="135"/>
  <c r="G52" i="135"/>
  <c r="F52" i="135"/>
  <c r="E52" i="135"/>
  <c r="D52" i="135"/>
  <c r="C52" i="135"/>
  <c r="G51" i="135"/>
  <c r="F51" i="135"/>
  <c r="E51" i="135"/>
  <c r="D51" i="135"/>
  <c r="C51" i="135"/>
  <c r="R9" i="118"/>
  <c r="R13" i="118"/>
  <c r="D35" i="135"/>
  <c r="S9" i="118"/>
  <c r="S13" i="118"/>
  <c r="E35" i="135"/>
  <c r="O9" i="118"/>
  <c r="O10" i="118"/>
  <c r="O11" i="118"/>
  <c r="O12" i="118"/>
  <c r="H9" i="118"/>
  <c r="H10" i="118"/>
  <c r="H11" i="118"/>
  <c r="H12" i="118"/>
  <c r="T9" i="118"/>
  <c r="O13" i="118"/>
  <c r="O14" i="118"/>
  <c r="O15" i="118"/>
  <c r="O16" i="118"/>
  <c r="H13" i="118"/>
  <c r="H14" i="118"/>
  <c r="H15" i="118"/>
  <c r="H16" i="118"/>
  <c r="T13" i="118"/>
  <c r="F35" i="135"/>
  <c r="U9" i="118"/>
  <c r="U10" i="118"/>
  <c r="U11" i="118"/>
  <c r="U12" i="118"/>
  <c r="U13" i="118"/>
  <c r="U14" i="118"/>
  <c r="U15" i="118"/>
  <c r="U16" i="118"/>
  <c r="G35" i="135"/>
  <c r="R17" i="118"/>
  <c r="R21" i="118"/>
  <c r="R25" i="118"/>
  <c r="R29" i="118"/>
  <c r="R33" i="118"/>
  <c r="D36" i="135"/>
  <c r="S17" i="118"/>
  <c r="S21" i="118"/>
  <c r="S25" i="118"/>
  <c r="S29" i="118"/>
  <c r="S33" i="118"/>
  <c r="E36" i="135"/>
  <c r="O17" i="118"/>
  <c r="O18" i="118"/>
  <c r="O19" i="118"/>
  <c r="O20" i="118"/>
  <c r="H17" i="118"/>
  <c r="H18" i="118"/>
  <c r="H19" i="118"/>
  <c r="H20" i="118"/>
  <c r="T17" i="118"/>
  <c r="O21" i="118"/>
  <c r="O22" i="118"/>
  <c r="O23" i="118"/>
  <c r="O24" i="118"/>
  <c r="H21" i="118"/>
  <c r="H22" i="118"/>
  <c r="H23" i="118"/>
  <c r="H24" i="118"/>
  <c r="T21" i="118"/>
  <c r="O25" i="118"/>
  <c r="O26" i="118"/>
  <c r="O27" i="118"/>
  <c r="O28" i="118"/>
  <c r="H25" i="118"/>
  <c r="H26" i="118"/>
  <c r="H27" i="118"/>
  <c r="H28" i="118"/>
  <c r="T25" i="118"/>
  <c r="O29" i="118"/>
  <c r="O30" i="118"/>
  <c r="O31" i="118"/>
  <c r="O32" i="118"/>
  <c r="H29" i="118"/>
  <c r="H30" i="118"/>
  <c r="H31" i="118"/>
  <c r="H32" i="118"/>
  <c r="T29" i="118"/>
  <c r="O33" i="118"/>
  <c r="O34" i="118"/>
  <c r="O35" i="118"/>
  <c r="O36" i="118"/>
  <c r="H33" i="118"/>
  <c r="H34" i="118"/>
  <c r="H35" i="118"/>
  <c r="H36" i="118"/>
  <c r="T33" i="118"/>
  <c r="F36" i="135"/>
  <c r="U17" i="118"/>
  <c r="U18" i="118"/>
  <c r="U19" i="118"/>
  <c r="U20" i="118"/>
  <c r="U21" i="118"/>
  <c r="U22" i="118"/>
  <c r="U23" i="118"/>
  <c r="U24" i="118"/>
  <c r="U25" i="118"/>
  <c r="U26" i="118"/>
  <c r="U27" i="118"/>
  <c r="U28" i="118"/>
  <c r="U29" i="118"/>
  <c r="U30" i="118"/>
  <c r="U31" i="118"/>
  <c r="U32" i="118"/>
  <c r="U33" i="118"/>
  <c r="U34" i="118"/>
  <c r="U35" i="118"/>
  <c r="U36" i="118"/>
  <c r="G36" i="135"/>
  <c r="R37" i="118"/>
  <c r="R41" i="118"/>
  <c r="R45" i="118"/>
  <c r="R49" i="118"/>
  <c r="D37" i="135"/>
  <c r="S37" i="118"/>
  <c r="S41" i="118"/>
  <c r="S45" i="118"/>
  <c r="S49" i="118"/>
  <c r="E37" i="135"/>
  <c r="O37" i="118"/>
  <c r="O38" i="118"/>
  <c r="O39" i="118"/>
  <c r="O40" i="118"/>
  <c r="H37" i="118"/>
  <c r="H38" i="118"/>
  <c r="H39" i="118"/>
  <c r="H40" i="118"/>
  <c r="T37" i="118"/>
  <c r="O41" i="118"/>
  <c r="O42" i="118"/>
  <c r="O43" i="118"/>
  <c r="O44" i="118"/>
  <c r="H41" i="118"/>
  <c r="H42" i="118"/>
  <c r="H43" i="118"/>
  <c r="H44" i="118"/>
  <c r="T41" i="118"/>
  <c r="O45" i="118"/>
  <c r="O46" i="118"/>
  <c r="O47" i="118"/>
  <c r="O48" i="118"/>
  <c r="H45" i="118"/>
  <c r="H46" i="118"/>
  <c r="H47" i="118"/>
  <c r="H48" i="118"/>
  <c r="T45" i="118"/>
  <c r="O49" i="118"/>
  <c r="O50" i="118"/>
  <c r="O51" i="118"/>
  <c r="O52" i="118"/>
  <c r="H49" i="118"/>
  <c r="H50" i="118"/>
  <c r="H51" i="118"/>
  <c r="H52" i="118"/>
  <c r="T49" i="118"/>
  <c r="F37" i="135"/>
  <c r="U37" i="118"/>
  <c r="U38" i="118"/>
  <c r="U39" i="118"/>
  <c r="U40" i="118"/>
  <c r="U41" i="118"/>
  <c r="U42" i="118"/>
  <c r="U43" i="118"/>
  <c r="U44" i="118"/>
  <c r="U45" i="118"/>
  <c r="U46" i="118"/>
  <c r="U47" i="118"/>
  <c r="U48" i="118"/>
  <c r="U49" i="118"/>
  <c r="U50" i="118"/>
  <c r="U51" i="118"/>
  <c r="U52" i="118"/>
  <c r="G37" i="135"/>
  <c r="R53" i="118"/>
  <c r="R57" i="118"/>
  <c r="R61" i="118"/>
  <c r="R65" i="118"/>
  <c r="D38" i="135"/>
  <c r="S53" i="118"/>
  <c r="S57" i="118"/>
  <c r="S61" i="118"/>
  <c r="S65" i="118"/>
  <c r="E38" i="135"/>
  <c r="O53" i="118"/>
  <c r="O54" i="118"/>
  <c r="O55" i="118"/>
  <c r="O56" i="118"/>
  <c r="H53" i="118"/>
  <c r="H54" i="118"/>
  <c r="H55" i="118"/>
  <c r="H56" i="118"/>
  <c r="T53" i="118"/>
  <c r="O57" i="118"/>
  <c r="O58" i="118"/>
  <c r="O59" i="118"/>
  <c r="O60" i="118"/>
  <c r="H57" i="118"/>
  <c r="H58" i="118"/>
  <c r="H59" i="118"/>
  <c r="H60" i="118"/>
  <c r="T57" i="118"/>
  <c r="O61" i="118"/>
  <c r="O62" i="118"/>
  <c r="O63" i="118"/>
  <c r="O64" i="118"/>
  <c r="H61" i="118"/>
  <c r="H62" i="118"/>
  <c r="H63" i="118"/>
  <c r="H64" i="118"/>
  <c r="T61" i="118"/>
  <c r="O65" i="118"/>
  <c r="O66" i="118"/>
  <c r="O67" i="118"/>
  <c r="O68" i="118"/>
  <c r="H65" i="118"/>
  <c r="H66" i="118"/>
  <c r="H67" i="118"/>
  <c r="H68" i="118"/>
  <c r="T65" i="118"/>
  <c r="F38" i="135"/>
  <c r="U53" i="118"/>
  <c r="U54" i="118"/>
  <c r="U55" i="118"/>
  <c r="U56" i="118"/>
  <c r="U57" i="118"/>
  <c r="U58" i="118"/>
  <c r="U59" i="118"/>
  <c r="U60" i="118"/>
  <c r="U61" i="118"/>
  <c r="U62" i="118"/>
  <c r="U63" i="118"/>
  <c r="U64" i="118"/>
  <c r="U65" i="118"/>
  <c r="U66" i="118"/>
  <c r="U67" i="118"/>
  <c r="U68" i="118"/>
  <c r="G38" i="135"/>
  <c r="R69" i="118"/>
  <c r="R73" i="118"/>
  <c r="R77" i="118"/>
  <c r="D39" i="135"/>
  <c r="S69" i="118"/>
  <c r="S73" i="118"/>
  <c r="S77" i="118"/>
  <c r="E39" i="135"/>
  <c r="O69" i="118"/>
  <c r="O70" i="118"/>
  <c r="O71" i="118"/>
  <c r="O72" i="118"/>
  <c r="H69" i="118"/>
  <c r="H70" i="118"/>
  <c r="H71" i="118"/>
  <c r="H72" i="118"/>
  <c r="T69" i="118"/>
  <c r="O73" i="118"/>
  <c r="O74" i="118"/>
  <c r="O75" i="118"/>
  <c r="O76" i="118"/>
  <c r="H73" i="118"/>
  <c r="H74" i="118"/>
  <c r="H75" i="118"/>
  <c r="H76" i="118"/>
  <c r="T73" i="118"/>
  <c r="O77" i="118"/>
  <c r="O78" i="118"/>
  <c r="O79" i="118"/>
  <c r="O80" i="118"/>
  <c r="H77" i="118"/>
  <c r="H78" i="118"/>
  <c r="H79" i="118"/>
  <c r="H80" i="118"/>
  <c r="T77" i="118"/>
  <c r="F39" i="135"/>
  <c r="U69" i="118"/>
  <c r="U70" i="118"/>
  <c r="U71" i="118"/>
  <c r="U72" i="118"/>
  <c r="U73" i="118"/>
  <c r="U74" i="118"/>
  <c r="U75" i="118"/>
  <c r="U76" i="118"/>
  <c r="U77" i="118"/>
  <c r="U78" i="118"/>
  <c r="U79" i="118"/>
  <c r="U80" i="118"/>
  <c r="G39" i="135"/>
  <c r="R125" i="118"/>
  <c r="D41" i="135"/>
  <c r="S125" i="118"/>
  <c r="E41" i="135"/>
  <c r="T125" i="118"/>
  <c r="F41" i="135"/>
  <c r="U125" i="118"/>
  <c r="G41" i="135"/>
  <c r="R131" i="118"/>
  <c r="R135" i="118"/>
  <c r="D42" i="135"/>
  <c r="S131" i="118"/>
  <c r="S135" i="118"/>
  <c r="E42" i="135"/>
  <c r="O131" i="118"/>
  <c r="O132" i="118"/>
  <c r="O133" i="118"/>
  <c r="O134" i="118"/>
  <c r="H131" i="118"/>
  <c r="H132" i="118"/>
  <c r="H133" i="118"/>
  <c r="H134" i="118"/>
  <c r="O135" i="118"/>
  <c r="O136" i="118"/>
  <c r="O137" i="118"/>
  <c r="O138" i="118"/>
  <c r="H135" i="118"/>
  <c r="H136" i="118"/>
  <c r="H137" i="118"/>
  <c r="H138" i="118"/>
  <c r="F42" i="135"/>
  <c r="U131" i="118"/>
  <c r="U132" i="118"/>
  <c r="U133" i="118"/>
  <c r="U134" i="118"/>
  <c r="U135" i="118"/>
  <c r="U136" i="118"/>
  <c r="U137" i="118"/>
  <c r="U138" i="118"/>
  <c r="G42" i="135"/>
  <c r="R139" i="118"/>
  <c r="R143" i="118"/>
  <c r="R147" i="118"/>
  <c r="R151" i="118"/>
  <c r="R155" i="118"/>
  <c r="D43" i="135"/>
  <c r="S139" i="118"/>
  <c r="S143" i="118"/>
  <c r="S147" i="118"/>
  <c r="S151" i="118"/>
  <c r="S155" i="118"/>
  <c r="E43" i="135"/>
  <c r="O139" i="118"/>
  <c r="O140" i="118"/>
  <c r="O141" i="118"/>
  <c r="O142" i="118"/>
  <c r="H139" i="118"/>
  <c r="H140" i="118"/>
  <c r="H141" i="118"/>
  <c r="H142" i="118"/>
  <c r="O143" i="118"/>
  <c r="O144" i="118"/>
  <c r="O145" i="118"/>
  <c r="O146" i="118"/>
  <c r="H143" i="118"/>
  <c r="H144" i="118"/>
  <c r="H145" i="118"/>
  <c r="H146" i="118"/>
  <c r="O147" i="118"/>
  <c r="O148" i="118"/>
  <c r="O149" i="118"/>
  <c r="O150" i="118"/>
  <c r="H147" i="118"/>
  <c r="H148" i="118"/>
  <c r="H149" i="118"/>
  <c r="H150" i="118"/>
  <c r="O151" i="118"/>
  <c r="O152" i="118"/>
  <c r="O153" i="118"/>
  <c r="O154" i="118"/>
  <c r="H151" i="118"/>
  <c r="H152" i="118"/>
  <c r="H153" i="118"/>
  <c r="H154" i="118"/>
  <c r="O155" i="118"/>
  <c r="O156" i="118"/>
  <c r="O157" i="118"/>
  <c r="O158" i="118"/>
  <c r="H155" i="118"/>
  <c r="H156" i="118"/>
  <c r="H157" i="118"/>
  <c r="H158" i="118"/>
  <c r="F43" i="135"/>
  <c r="U139" i="118"/>
  <c r="U140" i="118"/>
  <c r="U141" i="118"/>
  <c r="U142" i="118"/>
  <c r="U143" i="118"/>
  <c r="U144" i="118"/>
  <c r="U145" i="118"/>
  <c r="U146" i="118"/>
  <c r="U147" i="118"/>
  <c r="U148" i="118"/>
  <c r="U149" i="118"/>
  <c r="U150" i="118"/>
  <c r="U151" i="118"/>
  <c r="U152" i="118"/>
  <c r="U153" i="118"/>
  <c r="U154" i="118"/>
  <c r="U155" i="118"/>
  <c r="U156" i="118"/>
  <c r="U157" i="118"/>
  <c r="U158" i="118"/>
  <c r="G43" i="135"/>
  <c r="R159" i="118"/>
  <c r="R163" i="118"/>
  <c r="R167" i="118"/>
  <c r="R171" i="118"/>
  <c r="D44" i="135"/>
  <c r="S159" i="118"/>
  <c r="S163" i="118"/>
  <c r="S167" i="118"/>
  <c r="S171" i="118"/>
  <c r="E44" i="135"/>
  <c r="O159" i="118"/>
  <c r="O160" i="118"/>
  <c r="O161" i="118"/>
  <c r="O162" i="118"/>
  <c r="H159" i="118"/>
  <c r="H160" i="118"/>
  <c r="H161" i="118"/>
  <c r="H162" i="118"/>
  <c r="O163" i="118"/>
  <c r="O164" i="118"/>
  <c r="O165" i="118"/>
  <c r="O166" i="118"/>
  <c r="H163" i="118"/>
  <c r="H164" i="118"/>
  <c r="H165" i="118"/>
  <c r="H166" i="118"/>
  <c r="O167" i="118"/>
  <c r="O168" i="118"/>
  <c r="O169" i="118"/>
  <c r="O170" i="118"/>
  <c r="H167" i="118"/>
  <c r="H168" i="118"/>
  <c r="H169" i="118"/>
  <c r="H170" i="118"/>
  <c r="O171" i="118"/>
  <c r="O172" i="118"/>
  <c r="O173" i="118"/>
  <c r="O174" i="118"/>
  <c r="H171" i="118"/>
  <c r="H172" i="118"/>
  <c r="H173" i="118"/>
  <c r="H174" i="118"/>
  <c r="F44" i="135"/>
  <c r="U159" i="118"/>
  <c r="U160" i="118"/>
  <c r="U161" i="118"/>
  <c r="U162" i="118"/>
  <c r="U163" i="118"/>
  <c r="U164" i="118"/>
  <c r="U165" i="118"/>
  <c r="U166" i="118"/>
  <c r="U167" i="118"/>
  <c r="U168" i="118"/>
  <c r="U169" i="118"/>
  <c r="U170" i="118"/>
  <c r="U171" i="118"/>
  <c r="U172" i="118"/>
  <c r="U173" i="118"/>
  <c r="U174" i="118"/>
  <c r="G44" i="135"/>
  <c r="R175" i="118"/>
  <c r="R179" i="118"/>
  <c r="R183" i="118"/>
  <c r="R187" i="118"/>
  <c r="D45" i="135"/>
  <c r="S175" i="118"/>
  <c r="S179" i="118"/>
  <c r="S183" i="118"/>
  <c r="S187" i="118"/>
  <c r="E45" i="135"/>
  <c r="O175" i="118"/>
  <c r="O176" i="118"/>
  <c r="O177" i="118"/>
  <c r="O178" i="118"/>
  <c r="H175" i="118"/>
  <c r="H176" i="118"/>
  <c r="H177" i="118"/>
  <c r="H178" i="118"/>
  <c r="O179" i="118"/>
  <c r="O180" i="118"/>
  <c r="O181" i="118"/>
  <c r="O182" i="118"/>
  <c r="H179" i="118"/>
  <c r="H180" i="118"/>
  <c r="H181" i="118"/>
  <c r="H182" i="118"/>
  <c r="O183" i="118"/>
  <c r="O184" i="118"/>
  <c r="O185" i="118"/>
  <c r="O186" i="118"/>
  <c r="H183" i="118"/>
  <c r="H184" i="118"/>
  <c r="H185" i="118"/>
  <c r="H186" i="118"/>
  <c r="O187" i="118"/>
  <c r="O188" i="118"/>
  <c r="O189" i="118"/>
  <c r="O190" i="118"/>
  <c r="H187" i="118"/>
  <c r="H188" i="118"/>
  <c r="H189" i="118"/>
  <c r="H190" i="118"/>
  <c r="F45" i="135"/>
  <c r="U175" i="118"/>
  <c r="U176" i="118"/>
  <c r="U177" i="118"/>
  <c r="U178" i="118"/>
  <c r="U179" i="118"/>
  <c r="U180" i="118"/>
  <c r="U181" i="118"/>
  <c r="U182" i="118"/>
  <c r="U183" i="118"/>
  <c r="U184" i="118"/>
  <c r="U185" i="118"/>
  <c r="U186" i="118"/>
  <c r="U187" i="118"/>
  <c r="U188" i="118"/>
  <c r="U189" i="118"/>
  <c r="U190" i="118"/>
  <c r="G45" i="135"/>
  <c r="R191" i="118"/>
  <c r="R195" i="118"/>
  <c r="R199" i="118"/>
  <c r="D46" i="135"/>
  <c r="S191" i="118"/>
  <c r="S195" i="118"/>
  <c r="S199" i="118"/>
  <c r="E46" i="135"/>
  <c r="O191" i="118"/>
  <c r="O192" i="118"/>
  <c r="O193" i="118"/>
  <c r="O194" i="118"/>
  <c r="H191" i="118"/>
  <c r="H192" i="118"/>
  <c r="H193" i="118"/>
  <c r="H194" i="118"/>
  <c r="O195" i="118"/>
  <c r="O196" i="118"/>
  <c r="O197" i="118"/>
  <c r="O198" i="118"/>
  <c r="H195" i="118"/>
  <c r="H196" i="118"/>
  <c r="H197" i="118"/>
  <c r="H198" i="118"/>
  <c r="O199" i="118"/>
  <c r="O200" i="118"/>
  <c r="O201" i="118"/>
  <c r="O202" i="118"/>
  <c r="H199" i="118"/>
  <c r="H200" i="118"/>
  <c r="H201" i="118"/>
  <c r="H202" i="118"/>
  <c r="F46" i="135"/>
  <c r="U191" i="118"/>
  <c r="U192" i="118"/>
  <c r="U193" i="118"/>
  <c r="U194" i="118"/>
  <c r="U195" i="118"/>
  <c r="U196" i="118"/>
  <c r="U197" i="118"/>
  <c r="U198" i="118"/>
  <c r="U199" i="118"/>
  <c r="U200" i="118"/>
  <c r="U201" i="118"/>
  <c r="U202" i="118"/>
  <c r="G46" i="135"/>
  <c r="R247" i="118"/>
  <c r="D48" i="135"/>
  <c r="S247" i="118"/>
  <c r="E48" i="135"/>
  <c r="U247" i="118"/>
  <c r="G48" i="135"/>
  <c r="R9" i="112"/>
  <c r="R13" i="112"/>
  <c r="D19" i="135"/>
  <c r="S9" i="112"/>
  <c r="S13" i="112"/>
  <c r="E19" i="135"/>
  <c r="O9" i="112"/>
  <c r="O10" i="112"/>
  <c r="O11" i="112"/>
  <c r="O12" i="112"/>
  <c r="H9" i="112"/>
  <c r="H10" i="112"/>
  <c r="H11" i="112"/>
  <c r="H12" i="112"/>
  <c r="T9" i="112"/>
  <c r="O13" i="112"/>
  <c r="O14" i="112"/>
  <c r="O15" i="112"/>
  <c r="O16" i="112"/>
  <c r="H13" i="112"/>
  <c r="H14" i="112"/>
  <c r="H15" i="112"/>
  <c r="H16" i="112"/>
  <c r="T13" i="112"/>
  <c r="F19" i="135"/>
  <c r="U9" i="112"/>
  <c r="U10" i="112"/>
  <c r="U11" i="112"/>
  <c r="U12" i="112"/>
  <c r="U13" i="112"/>
  <c r="U14" i="112"/>
  <c r="U15" i="112"/>
  <c r="U16" i="112"/>
  <c r="G19" i="135"/>
  <c r="R17" i="112"/>
  <c r="R21" i="112"/>
  <c r="R25" i="112"/>
  <c r="R29" i="112"/>
  <c r="R33" i="112"/>
  <c r="D20" i="135"/>
  <c r="S17" i="112"/>
  <c r="S21" i="112"/>
  <c r="S25" i="112"/>
  <c r="S29" i="112"/>
  <c r="S33" i="112"/>
  <c r="E20" i="135"/>
  <c r="O17" i="112"/>
  <c r="O18" i="112"/>
  <c r="O19" i="112"/>
  <c r="O20" i="112"/>
  <c r="H17" i="112"/>
  <c r="H18" i="112"/>
  <c r="H19" i="112"/>
  <c r="H20" i="112"/>
  <c r="T17" i="112"/>
  <c r="O21" i="112"/>
  <c r="O22" i="112"/>
  <c r="O23" i="112"/>
  <c r="O24" i="112"/>
  <c r="H21" i="112"/>
  <c r="H22" i="112"/>
  <c r="H23" i="112"/>
  <c r="H24" i="112"/>
  <c r="T21" i="112"/>
  <c r="O25" i="112"/>
  <c r="O26" i="112"/>
  <c r="O27" i="112"/>
  <c r="O28" i="112"/>
  <c r="H25" i="112"/>
  <c r="H26" i="112"/>
  <c r="H27" i="112"/>
  <c r="H28" i="112"/>
  <c r="T25" i="112"/>
  <c r="O29" i="112"/>
  <c r="O30" i="112"/>
  <c r="O31" i="112"/>
  <c r="O32" i="112"/>
  <c r="H29" i="112"/>
  <c r="H30" i="112"/>
  <c r="H31" i="112"/>
  <c r="H32" i="112"/>
  <c r="T29" i="112"/>
  <c r="O33" i="112"/>
  <c r="O34" i="112"/>
  <c r="O35" i="112"/>
  <c r="O36" i="112"/>
  <c r="H33" i="112"/>
  <c r="H34" i="112"/>
  <c r="H35" i="112"/>
  <c r="H36" i="112"/>
  <c r="T33" i="112"/>
  <c r="F20" i="135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G20" i="135"/>
  <c r="R37" i="112"/>
  <c r="R41" i="112"/>
  <c r="R45" i="112"/>
  <c r="R49" i="112"/>
  <c r="D21" i="135"/>
  <c r="S37" i="112"/>
  <c r="S41" i="112"/>
  <c r="S45" i="112"/>
  <c r="S49" i="112"/>
  <c r="E21" i="135"/>
  <c r="O37" i="112"/>
  <c r="O38" i="112"/>
  <c r="O39" i="112"/>
  <c r="O40" i="112"/>
  <c r="H37" i="112"/>
  <c r="H38" i="112"/>
  <c r="H39" i="112"/>
  <c r="H40" i="112"/>
  <c r="T37" i="112"/>
  <c r="O41" i="112"/>
  <c r="O42" i="112"/>
  <c r="O43" i="112"/>
  <c r="O44" i="112"/>
  <c r="H41" i="112"/>
  <c r="H42" i="112"/>
  <c r="H43" i="112"/>
  <c r="H44" i="112"/>
  <c r="T41" i="112"/>
  <c r="O45" i="112"/>
  <c r="O46" i="112"/>
  <c r="O47" i="112"/>
  <c r="O48" i="112"/>
  <c r="H45" i="112"/>
  <c r="H46" i="112"/>
  <c r="H47" i="112"/>
  <c r="H48" i="112"/>
  <c r="T45" i="112"/>
  <c r="O49" i="112"/>
  <c r="O50" i="112"/>
  <c r="O51" i="112"/>
  <c r="O52" i="112"/>
  <c r="H49" i="112"/>
  <c r="H50" i="112"/>
  <c r="H51" i="112"/>
  <c r="H52" i="112"/>
  <c r="T49" i="112"/>
  <c r="F21" i="135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G21" i="135"/>
  <c r="R53" i="112"/>
  <c r="R57" i="112"/>
  <c r="R61" i="112"/>
  <c r="R65" i="112"/>
  <c r="D22" i="135"/>
  <c r="S53" i="112"/>
  <c r="S57" i="112"/>
  <c r="S61" i="112"/>
  <c r="S65" i="112"/>
  <c r="E22" i="135"/>
  <c r="O53" i="112"/>
  <c r="O54" i="112"/>
  <c r="O55" i="112"/>
  <c r="O56" i="112"/>
  <c r="H53" i="112"/>
  <c r="H54" i="112"/>
  <c r="H55" i="112"/>
  <c r="H56" i="112"/>
  <c r="T53" i="112"/>
  <c r="O57" i="112"/>
  <c r="O58" i="112"/>
  <c r="O59" i="112"/>
  <c r="O60" i="112"/>
  <c r="H57" i="112"/>
  <c r="H58" i="112"/>
  <c r="H59" i="112"/>
  <c r="H60" i="112"/>
  <c r="T57" i="112"/>
  <c r="O61" i="112"/>
  <c r="O62" i="112"/>
  <c r="O63" i="112"/>
  <c r="O64" i="112"/>
  <c r="H61" i="112"/>
  <c r="H62" i="112"/>
  <c r="H63" i="112"/>
  <c r="H64" i="112"/>
  <c r="T61" i="112"/>
  <c r="O65" i="112"/>
  <c r="O66" i="112"/>
  <c r="O67" i="112"/>
  <c r="O68" i="112"/>
  <c r="H65" i="112"/>
  <c r="H66" i="112"/>
  <c r="H67" i="112"/>
  <c r="H68" i="112"/>
  <c r="T65" i="112"/>
  <c r="F22" i="135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G22" i="135"/>
  <c r="R69" i="112"/>
  <c r="R73" i="112"/>
  <c r="R77" i="112"/>
  <c r="D23" i="135"/>
  <c r="S69" i="112"/>
  <c r="S73" i="112"/>
  <c r="S77" i="112"/>
  <c r="E23" i="135"/>
  <c r="O69" i="112"/>
  <c r="O70" i="112"/>
  <c r="O71" i="112"/>
  <c r="O72" i="112"/>
  <c r="H69" i="112"/>
  <c r="H70" i="112"/>
  <c r="H71" i="112"/>
  <c r="H72" i="112"/>
  <c r="T69" i="112"/>
  <c r="O73" i="112"/>
  <c r="O74" i="112"/>
  <c r="O75" i="112"/>
  <c r="O76" i="112"/>
  <c r="H73" i="112"/>
  <c r="H74" i="112"/>
  <c r="H75" i="112"/>
  <c r="H76" i="112"/>
  <c r="T73" i="112"/>
  <c r="O77" i="112"/>
  <c r="O78" i="112"/>
  <c r="O79" i="112"/>
  <c r="O80" i="112"/>
  <c r="H77" i="112"/>
  <c r="H78" i="112"/>
  <c r="H79" i="112"/>
  <c r="H80" i="112"/>
  <c r="T77" i="112"/>
  <c r="F23" i="135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G23" i="135"/>
  <c r="R125" i="112"/>
  <c r="D25" i="135"/>
  <c r="S125" i="112"/>
  <c r="E25" i="135"/>
  <c r="T125" i="112"/>
  <c r="F25" i="135"/>
  <c r="U125" i="112"/>
  <c r="G25" i="135"/>
  <c r="R131" i="112"/>
  <c r="R135" i="112"/>
  <c r="D26" i="135"/>
  <c r="S131" i="112"/>
  <c r="S135" i="112"/>
  <c r="E26" i="135"/>
  <c r="O131" i="112"/>
  <c r="O132" i="112"/>
  <c r="O133" i="112"/>
  <c r="O134" i="112"/>
  <c r="H131" i="112"/>
  <c r="H132" i="112"/>
  <c r="H133" i="112"/>
  <c r="H134" i="112"/>
  <c r="O135" i="112"/>
  <c r="O136" i="112"/>
  <c r="O137" i="112"/>
  <c r="O138" i="112"/>
  <c r="H135" i="112"/>
  <c r="H136" i="112"/>
  <c r="H137" i="112"/>
  <c r="H138" i="112"/>
  <c r="F26" i="135"/>
  <c r="U131" i="112"/>
  <c r="U132" i="112"/>
  <c r="U133" i="112"/>
  <c r="U134" i="112"/>
  <c r="U135" i="112"/>
  <c r="U136" i="112"/>
  <c r="U137" i="112"/>
  <c r="U138" i="112"/>
  <c r="G26" i="135"/>
  <c r="R139" i="112"/>
  <c r="R143" i="112"/>
  <c r="R147" i="112"/>
  <c r="R151" i="112"/>
  <c r="R155" i="112"/>
  <c r="D27" i="135"/>
  <c r="S139" i="112"/>
  <c r="S143" i="112"/>
  <c r="S147" i="112"/>
  <c r="S151" i="112"/>
  <c r="S155" i="112"/>
  <c r="E27" i="135"/>
  <c r="O139" i="112"/>
  <c r="O140" i="112"/>
  <c r="O141" i="112"/>
  <c r="O142" i="112"/>
  <c r="H139" i="112"/>
  <c r="H140" i="112"/>
  <c r="H141" i="112"/>
  <c r="H142" i="112"/>
  <c r="O143" i="112"/>
  <c r="O144" i="112"/>
  <c r="O145" i="112"/>
  <c r="O146" i="112"/>
  <c r="H143" i="112"/>
  <c r="H144" i="112"/>
  <c r="H145" i="112"/>
  <c r="H146" i="112"/>
  <c r="O147" i="112"/>
  <c r="O148" i="112"/>
  <c r="O149" i="112"/>
  <c r="O150" i="112"/>
  <c r="H147" i="112"/>
  <c r="H148" i="112"/>
  <c r="H149" i="112"/>
  <c r="H150" i="112"/>
  <c r="O151" i="112"/>
  <c r="O152" i="112"/>
  <c r="O153" i="112"/>
  <c r="O154" i="112"/>
  <c r="H151" i="112"/>
  <c r="H152" i="112"/>
  <c r="H153" i="112"/>
  <c r="H154" i="112"/>
  <c r="O155" i="112"/>
  <c r="O156" i="112"/>
  <c r="O157" i="112"/>
  <c r="O158" i="112"/>
  <c r="H155" i="112"/>
  <c r="H156" i="112"/>
  <c r="H157" i="112"/>
  <c r="H158" i="112"/>
  <c r="F27" i="135"/>
  <c r="U139" i="112"/>
  <c r="U140" i="112"/>
  <c r="U141" i="112"/>
  <c r="U142" i="112"/>
  <c r="U143" i="112"/>
  <c r="U144" i="112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G27" i="135"/>
  <c r="R159" i="112"/>
  <c r="R163" i="112"/>
  <c r="R167" i="112"/>
  <c r="R171" i="112"/>
  <c r="D28" i="135"/>
  <c r="S159" i="112"/>
  <c r="S163" i="112"/>
  <c r="S167" i="112"/>
  <c r="S171" i="112"/>
  <c r="E28" i="135"/>
  <c r="O159" i="112"/>
  <c r="O160" i="112"/>
  <c r="O161" i="112"/>
  <c r="O162" i="112"/>
  <c r="H159" i="112"/>
  <c r="H160" i="112"/>
  <c r="H161" i="112"/>
  <c r="H162" i="112"/>
  <c r="O163" i="112"/>
  <c r="O164" i="112"/>
  <c r="O165" i="112"/>
  <c r="O166" i="112"/>
  <c r="H163" i="112"/>
  <c r="H164" i="112"/>
  <c r="H165" i="112"/>
  <c r="H166" i="112"/>
  <c r="O167" i="112"/>
  <c r="O168" i="112"/>
  <c r="O169" i="112"/>
  <c r="O170" i="112"/>
  <c r="H167" i="112"/>
  <c r="H168" i="112"/>
  <c r="H169" i="112"/>
  <c r="H170" i="112"/>
  <c r="O171" i="112"/>
  <c r="O172" i="112"/>
  <c r="O173" i="112"/>
  <c r="O174" i="112"/>
  <c r="H171" i="112"/>
  <c r="H172" i="112"/>
  <c r="H173" i="112"/>
  <c r="H174" i="112"/>
  <c r="F28" i="135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G28" i="135"/>
  <c r="R175" i="112"/>
  <c r="R179" i="112"/>
  <c r="R183" i="112"/>
  <c r="R187" i="112"/>
  <c r="D29" i="135"/>
  <c r="S175" i="112"/>
  <c r="S179" i="112"/>
  <c r="S183" i="112"/>
  <c r="S187" i="112"/>
  <c r="E29" i="135"/>
  <c r="O175" i="112"/>
  <c r="O176" i="112"/>
  <c r="O177" i="112"/>
  <c r="O178" i="112"/>
  <c r="H175" i="112"/>
  <c r="H176" i="112"/>
  <c r="H177" i="112"/>
  <c r="H178" i="112"/>
  <c r="O179" i="112"/>
  <c r="O180" i="112"/>
  <c r="O181" i="112"/>
  <c r="O182" i="112"/>
  <c r="H179" i="112"/>
  <c r="H180" i="112"/>
  <c r="H181" i="112"/>
  <c r="H182" i="112"/>
  <c r="O183" i="112"/>
  <c r="O184" i="112"/>
  <c r="O185" i="112"/>
  <c r="O186" i="112"/>
  <c r="H183" i="112"/>
  <c r="H184" i="112"/>
  <c r="H185" i="112"/>
  <c r="H186" i="112"/>
  <c r="O187" i="112"/>
  <c r="O188" i="112"/>
  <c r="O189" i="112"/>
  <c r="O190" i="112"/>
  <c r="H187" i="112"/>
  <c r="H188" i="112"/>
  <c r="H189" i="112"/>
  <c r="H190" i="112"/>
  <c r="F29" i="135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187" i="112"/>
  <c r="U188" i="112"/>
  <c r="U189" i="112"/>
  <c r="U190" i="112"/>
  <c r="G29" i="135"/>
  <c r="R191" i="112"/>
  <c r="R195" i="112"/>
  <c r="R199" i="112"/>
  <c r="D30" i="135"/>
  <c r="S191" i="112"/>
  <c r="S195" i="112"/>
  <c r="S199" i="112"/>
  <c r="E30" i="135"/>
  <c r="O191" i="112"/>
  <c r="O192" i="112"/>
  <c r="O193" i="112"/>
  <c r="O194" i="112"/>
  <c r="H191" i="112"/>
  <c r="H192" i="112"/>
  <c r="H193" i="112"/>
  <c r="H194" i="112"/>
  <c r="O195" i="112"/>
  <c r="O196" i="112"/>
  <c r="O197" i="112"/>
  <c r="O198" i="112"/>
  <c r="H195" i="112"/>
  <c r="H196" i="112"/>
  <c r="H197" i="112"/>
  <c r="H198" i="112"/>
  <c r="O199" i="112"/>
  <c r="O200" i="112"/>
  <c r="O201" i="112"/>
  <c r="O202" i="112"/>
  <c r="H199" i="112"/>
  <c r="H200" i="112"/>
  <c r="H201" i="112"/>
  <c r="H202" i="112"/>
  <c r="F30" i="135"/>
  <c r="U191" i="112"/>
  <c r="U192" i="112"/>
  <c r="U193" i="112"/>
  <c r="U194" i="112"/>
  <c r="U195" i="112"/>
  <c r="U196" i="112"/>
  <c r="U197" i="112"/>
  <c r="U198" i="112"/>
  <c r="U199" i="112"/>
  <c r="U200" i="112"/>
  <c r="U201" i="112"/>
  <c r="U202" i="112"/>
  <c r="G30" i="135"/>
  <c r="R247" i="112"/>
  <c r="D32" i="135"/>
  <c r="S247" i="112"/>
  <c r="E32" i="135"/>
  <c r="U247" i="112"/>
  <c r="G32" i="135"/>
  <c r="Q131" i="118"/>
  <c r="Q135" i="118"/>
  <c r="Q139" i="118"/>
  <c r="Q143" i="118"/>
  <c r="Q147" i="118"/>
  <c r="Q151" i="118"/>
  <c r="Q155" i="118"/>
  <c r="Q159" i="118"/>
  <c r="Q163" i="118"/>
  <c r="Q167" i="118"/>
  <c r="Q171" i="118"/>
  <c r="Q175" i="118"/>
  <c r="Q179" i="118"/>
  <c r="Q183" i="118"/>
  <c r="Q187" i="118"/>
  <c r="Q191" i="118"/>
  <c r="Q195" i="118"/>
  <c r="Q199" i="118"/>
  <c r="Q247" i="118"/>
  <c r="C48" i="135"/>
  <c r="C46" i="135"/>
  <c r="C45" i="135"/>
  <c r="C44" i="135"/>
  <c r="C43" i="135"/>
  <c r="C42" i="135"/>
  <c r="Q9" i="118"/>
  <c r="Q13" i="118"/>
  <c r="Q17" i="118"/>
  <c r="Q21" i="118"/>
  <c r="Q25" i="118"/>
  <c r="Q29" i="118"/>
  <c r="Q33" i="118"/>
  <c r="Q37" i="118"/>
  <c r="Q41" i="118"/>
  <c r="Q45" i="118"/>
  <c r="Q49" i="118"/>
  <c r="Q53" i="118"/>
  <c r="Q57" i="118"/>
  <c r="Q61" i="118"/>
  <c r="Q65" i="118"/>
  <c r="Q69" i="118"/>
  <c r="Q73" i="118"/>
  <c r="Q77" i="118"/>
  <c r="Q125" i="118"/>
  <c r="C41" i="135"/>
  <c r="C39" i="135"/>
  <c r="C38" i="135"/>
  <c r="C37" i="135"/>
  <c r="C36" i="135"/>
  <c r="C35" i="135"/>
  <c r="Q131" i="112"/>
  <c r="Q135" i="112"/>
  <c r="Q139" i="112"/>
  <c r="Q143" i="112"/>
  <c r="Q147" i="112"/>
  <c r="Q151" i="112"/>
  <c r="Q155" i="112"/>
  <c r="Q159" i="112"/>
  <c r="Q163" i="112"/>
  <c r="Q167" i="112"/>
  <c r="Q171" i="112"/>
  <c r="Q175" i="112"/>
  <c r="Q179" i="112"/>
  <c r="Q183" i="112"/>
  <c r="Q187" i="112"/>
  <c r="Q191" i="112"/>
  <c r="Q195" i="112"/>
  <c r="Q199" i="112"/>
  <c r="Q247" i="112"/>
  <c r="C32" i="135"/>
  <c r="C30" i="135"/>
  <c r="C29" i="135"/>
  <c r="C28" i="135"/>
  <c r="C27" i="135"/>
  <c r="C26" i="135"/>
  <c r="Q9" i="112"/>
  <c r="Q13" i="112"/>
  <c r="Q17" i="112"/>
  <c r="Q21" i="112"/>
  <c r="Q25" i="112"/>
  <c r="Q29" i="112"/>
  <c r="Q33" i="112"/>
  <c r="Q37" i="112"/>
  <c r="Q41" i="112"/>
  <c r="Q45" i="112"/>
  <c r="Q49" i="112"/>
  <c r="Q53" i="112"/>
  <c r="Q57" i="112"/>
  <c r="Q61" i="112"/>
  <c r="Q65" i="112"/>
  <c r="Q69" i="112"/>
  <c r="Q73" i="112"/>
  <c r="Q77" i="112"/>
  <c r="Q125" i="112"/>
  <c r="C25" i="135"/>
  <c r="C23" i="135"/>
  <c r="C22" i="135"/>
  <c r="C21" i="135"/>
  <c r="C20" i="135"/>
  <c r="C19" i="135"/>
  <c r="T177" i="69"/>
  <c r="N177" i="69"/>
  <c r="G177" i="69"/>
  <c r="T176" i="69"/>
  <c r="N176" i="69"/>
  <c r="G176" i="69"/>
  <c r="T175" i="69"/>
  <c r="N175" i="69"/>
  <c r="G175" i="69"/>
  <c r="T174" i="69"/>
  <c r="R174" i="69"/>
  <c r="P174" i="69"/>
  <c r="Q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Q138" i="69"/>
  <c r="Q162" i="69"/>
  <c r="Q154" i="69"/>
  <c r="P146" i="69"/>
  <c r="S146" i="69"/>
  <c r="P154" i="69"/>
  <c r="Q146" i="69"/>
  <c r="Q142" i="69"/>
  <c r="P142" i="69"/>
  <c r="Q150" i="69"/>
  <c r="S166" i="69"/>
  <c r="R150" i="69"/>
  <c r="R142" i="69"/>
  <c r="S158" i="69"/>
  <c r="P170" i="69"/>
  <c r="R146" i="69"/>
  <c r="S154" i="69"/>
  <c r="Q170" i="69"/>
  <c r="P150" i="69"/>
  <c r="R138" i="69"/>
  <c r="R166" i="69"/>
  <c r="Q166" i="69"/>
  <c r="S162" i="69"/>
  <c r="P158" i="69"/>
  <c r="R170" i="69"/>
  <c r="S174" i="69"/>
  <c r="S170" i="69"/>
  <c r="P138" i="69"/>
  <c r="S150" i="69"/>
  <c r="R154" i="69"/>
  <c r="P166" i="69"/>
  <c r="Q158" i="69"/>
  <c r="R158" i="69"/>
  <c r="R162" i="69"/>
  <c r="P162" i="69"/>
  <c r="S142" i="69"/>
  <c r="P178" i="69"/>
  <c r="Q178" i="69"/>
  <c r="R17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S138" i="69"/>
  <c r="R130" i="69"/>
  <c r="Q130" i="69"/>
  <c r="P130" i="69"/>
  <c r="S178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R126" i="69"/>
  <c r="S114" i="69"/>
  <c r="Q102" i="69"/>
  <c r="Q110" i="69"/>
  <c r="S102" i="69"/>
  <c r="S118" i="69"/>
  <c r="R102" i="69"/>
  <c r="R118" i="69"/>
  <c r="S110" i="69"/>
  <c r="Q106" i="69"/>
  <c r="P98" i="69"/>
  <c r="Q126" i="69"/>
  <c r="Q114" i="69"/>
  <c r="S122" i="69"/>
  <c r="R98" i="69"/>
  <c r="R94" i="69"/>
  <c r="R110" i="69"/>
  <c r="S130" i="69"/>
  <c r="P114" i="69"/>
  <c r="P110" i="69"/>
  <c r="S126" i="69"/>
  <c r="S106" i="69"/>
  <c r="P118" i="69"/>
  <c r="Q98" i="69"/>
  <c r="R106" i="69"/>
  <c r="R114" i="69"/>
  <c r="P126" i="69"/>
  <c r="P102" i="69"/>
  <c r="R122" i="69"/>
  <c r="S98" i="69"/>
  <c r="P106" i="69"/>
  <c r="Q122" i="69"/>
  <c r="Q118" i="69"/>
  <c r="P94" i="69"/>
  <c r="P122" i="69"/>
  <c r="Q94" i="69"/>
  <c r="P134" i="69"/>
  <c r="Q134" i="69"/>
  <c r="R13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S94" i="69"/>
  <c r="R86" i="69"/>
  <c r="Q86" i="69"/>
  <c r="P86" i="69"/>
  <c r="S134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R78" i="69"/>
  <c r="S70" i="69"/>
  <c r="S78" i="69"/>
  <c r="S58" i="69"/>
  <c r="Q82" i="69"/>
  <c r="Q74" i="69"/>
  <c r="Q50" i="69"/>
  <c r="P74" i="69"/>
  <c r="R66" i="69"/>
  <c r="Q70" i="69"/>
  <c r="P66" i="69"/>
  <c r="R82" i="69"/>
  <c r="P62" i="69"/>
  <c r="S62" i="69"/>
  <c r="Q58" i="69"/>
  <c r="R74" i="69"/>
  <c r="S66" i="69"/>
  <c r="Q54" i="69"/>
  <c r="P50" i="69"/>
  <c r="R62" i="69"/>
  <c r="R70" i="69"/>
  <c r="R58" i="69"/>
  <c r="P70" i="69"/>
  <c r="R54" i="69"/>
  <c r="S74" i="69"/>
  <c r="Q66" i="69"/>
  <c r="P54" i="69"/>
  <c r="S82" i="69"/>
  <c r="S86" i="69"/>
  <c r="S54" i="69"/>
  <c r="Q78" i="69"/>
  <c r="P58" i="69"/>
  <c r="P78" i="69"/>
  <c r="P82" i="69"/>
  <c r="Q62" i="69"/>
  <c r="R50" i="69"/>
  <c r="P90" i="69"/>
  <c r="Q90" i="69"/>
  <c r="R90" i="69"/>
  <c r="T90" i="69"/>
  <c r="N50" i="69"/>
  <c r="S50" i="69"/>
  <c r="S9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S20" i="69"/>
  <c r="Q32" i="69"/>
  <c r="S40" i="69"/>
  <c r="Q12" i="69"/>
  <c r="Q36" i="69"/>
  <c r="P4" i="69"/>
  <c r="S32" i="69"/>
  <c r="P16" i="69"/>
  <c r="P24" i="69"/>
  <c r="S8" i="69"/>
  <c r="Q4" i="69"/>
  <c r="Q20" i="69"/>
  <c r="R8" i="69"/>
  <c r="S16" i="69"/>
  <c r="R24" i="69"/>
  <c r="P20" i="69"/>
  <c r="P36" i="69"/>
  <c r="S4" i="69"/>
  <c r="P40" i="69"/>
  <c r="S28" i="69"/>
  <c r="R32" i="69"/>
  <c r="Q40" i="69"/>
  <c r="R12" i="69"/>
  <c r="P28" i="69"/>
  <c r="Q24" i="69"/>
  <c r="R28" i="69"/>
  <c r="Q16" i="69"/>
  <c r="R16" i="69"/>
  <c r="P8" i="69"/>
  <c r="S24" i="69"/>
  <c r="P12" i="69"/>
  <c r="Q8" i="69"/>
  <c r="R36" i="69"/>
  <c r="P32" i="69"/>
  <c r="R4" i="69"/>
  <c r="Q28" i="69"/>
  <c r="S12" i="69"/>
  <c r="R20" i="69"/>
  <c r="S36" i="69"/>
  <c r="R40" i="69"/>
  <c r="T44" i="69"/>
  <c r="R44" i="69"/>
  <c r="Q44" i="69"/>
  <c r="P44" i="69"/>
  <c r="S44" i="69"/>
</calcChain>
</file>

<file path=xl/sharedStrings.xml><?xml version="1.0" encoding="utf-8"?>
<sst xmlns="http://schemas.openxmlformats.org/spreadsheetml/2006/main" count="2125" uniqueCount="216">
  <si>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</si>
  <si>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</si>
  <si>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</si>
  <si>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</si>
  <si>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</si>
  <si>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</si>
  <si>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</si>
  <si>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</si>
  <si>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</si>
  <si>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</si>
  <si>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</si>
  <si>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</si>
  <si>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</si>
  <si>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</si>
  <si>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</si>
  <si>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</si>
  <si>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</si>
  <si>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</si>
  <si>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</si>
  <si>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</si>
  <si>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</si>
  <si>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</si>
  <si>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</si>
  <si>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</si>
  <si>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</si>
  <si>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</si>
  <si>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</si>
  <si>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</si>
  <si>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</si>
  <si>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</si>
  <si>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</si>
  <si>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</si>
  <si>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</si>
  <si>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</si>
  <si>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</si>
  <si>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</si>
  <si>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</si>
  <si>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</si>
  <si>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</si>
  <si>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</si>
  <si>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</si>
  <si>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</si>
  <si>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</si>
  <si>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</si>
  <si>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</si>
  <si>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</si>
  <si>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</si>
  <si>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</si>
  <si>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</si>
  <si>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</si>
  <si>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</si>
  <si>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</si>
  <si>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</si>
  <si>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</si>
  <si>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</si>
  <si>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</si>
  <si>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</si>
  <si>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</si>
  <si>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</si>
  <si>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</si>
  <si>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</si>
  <si>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</si>
  <si>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</si>
  <si>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</si>
  <si>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</si>
  <si>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</si>
  <si>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x265 ultrafast threads 1 </t>
  </si>
  <si>
    <t xml:space="preserve">x264 slow threads 1 </t>
  </si>
  <si>
    <t xml:space="preserve">x265 slow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</si>
  <si>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</si>
  <si>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</si>
  <si>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</si>
  <si>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BDRATE-YUV</t>
    <phoneticPr fontId="5" type="noConversion"/>
  </si>
  <si>
    <t>Class</t>
    <phoneticPr fontId="5" type="noConversion"/>
  </si>
  <si>
    <t>Thread No.</t>
    <phoneticPr fontId="5" type="noConversion"/>
  </si>
  <si>
    <t>Speed-Up</t>
    <phoneticPr fontId="5" type="noConversion"/>
  </si>
  <si>
    <t>auto</t>
    <phoneticPr fontId="5" type="noConversion"/>
  </si>
  <si>
    <t>Average</t>
  </si>
  <si>
    <t>30 fps</t>
  </si>
  <si>
    <t>x265 slow threads 0</t>
  </si>
  <si>
    <t>x265 ultrafast threads 0</t>
  </si>
  <si>
    <t>x264 placebo threads 0</t>
  </si>
  <si>
    <t>x264 slow threads 0</t>
  </si>
  <si>
    <t>x264 veryfast threads 0</t>
  </si>
  <si>
    <t>x265 veryslow threads 0</t>
  </si>
  <si>
    <t>[iPer] = framerate * 10</t>
    <phoneticPr fontId="5" type="noConversion"/>
  </si>
  <si>
    <t>[keyint] = framerate * 10</t>
    <phoneticPr fontId="5" type="noConversion"/>
  </si>
  <si>
    <t>[iPer] = framerate * 10</t>
    <phoneticPr fontId="5" type="noConversion"/>
  </si>
  <si>
    <t>[iPer] = framerate * 10</t>
    <phoneticPr fontId="5" type="noConversion"/>
  </si>
  <si>
    <t>AppEncoder_x64.exe -b out.265 -i BQSquare_416x240_60.yuv -preset veryfast -tune default -latency  offline -threads 1 -wpp 0 -psnr 2 -rc 1 -br [btrNumber] -frms 1000000 -iper [iPer]</t>
  </si>
  <si>
    <t>AppEncoder_x64.exe -b out.265 -i BQSquare_416x240_60.yuv -preset slow -tune default -latency  offline -threads 1 -wpp 0 -psnr 2 -rc 1 -br [btrNumber] -frms 1000000 -iper [iPer]</t>
    <phoneticPr fontId="5" type="noConversion"/>
  </si>
  <si>
    <t>AppEncoder_x64.exe -b out.265 -i BQSquare_416x240_60.yuv -preset veryslow -tune default -latency  offline -threads 0 -psnr 2 -rc 1 -br [btrNumber] -frms 1000000 -iper [iPer]</t>
  </si>
  <si>
    <t>AppEncoder_x64.exe -b out.265 -i BQSquare_416x240_60.yuv -preset slow -tune default -latency  offline -threads 1 -wpp 0 -psnr 2 -rc 1 -br [btrNumber] -frms 1000000 -iper [iPer]</t>
  </si>
  <si>
    <t>[keyint] = framerate * 10</t>
    <phoneticPr fontId="5" type="noConversion"/>
  </si>
  <si>
    <t>[iPer] = framerate * 10</t>
    <phoneticPr fontId="5" type="noConversion"/>
  </si>
  <si>
    <t>[keyint] = framerate * 10</t>
    <phoneticPr fontId="5" type="noConversion"/>
  </si>
  <si>
    <t>x265.exe -o out.265 --input SlideShow_1280x720_20.yuv --input-res 1280x720 --preset veryslow --fps [framerate] --aq-mode 0 --no-psy-rd --no-psy-rdoq --psnr  --bitrate [btrNumber] --frame-threads 1 --no-wpp --keyint [keyint] --frames 1000000</t>
  </si>
  <si>
    <t>x265.exe -o out.265 --input SlideShow_1280x720_20.yuv --input-res 1280x720 --preset slow --fps [framerate] --aq-mode 0 --no-psy-rd --no-psy-rdoq --psnr  --bitrate [btrNumber] --frame-threads 1 --no-wpp --keyint [keyint] --frames 1000000</t>
  </si>
  <si>
    <t>x265.exe -o out.265 --input SlideShow_1280x720_20.yuv --input-res 1280x720 --preset veryfast --fps [framerate] --aq-mode 0 --no-psy-rd --no-psy-rdoq --psnr  --bitrate [btrNumber] --frame-threads 1 --no-wpp --keyint [keyint] --frames 1000000</t>
  </si>
  <si>
    <t>x264.exe -o out.264 BQSquare_416x240_60.yuv --input-res 416x240 --preset placebo --fps [framerate] --profile high --aq-mode 0 --no-psy  --psnr  --bitrate [btrNumber]  --keyint [keyint] --frames 1000000</t>
  </si>
  <si>
    <t>x264.exe -o out.264 BQSquare_416x240_60.yuv --input-res 416x240 --preset slow --fps [framerate] --profile high --aq-mode 0 --no-psy  --psnr  --bitrate [btrNumber]  --keyint [keyint] --frames 1000000</t>
  </si>
  <si>
    <t>x264.exe -o out.264 BQSquare_416x240_60.yuv --input-res 416x240 --preset veryfast --fps [framerate] --profile high --aq-mode 0 --no-psy  --psnr  --bitrate [btrNumber]  --keyint [keyint] --frames 1000000</t>
  </si>
  <si>
    <t xml:space="preserve">Game </t>
    <phoneticPr fontId="5" type="noConversion"/>
  </si>
  <si>
    <t>chuanyuehuoxian_1280x720_30</t>
  </si>
  <si>
    <t>huangshizhanzheng_1280x720_30</t>
  </si>
  <si>
    <t>huoyingrenzhe_1280x720_30</t>
  </si>
  <si>
    <t>jianxianqingyuan_1280x720_30</t>
  </si>
  <si>
    <t>jietoulanqiu_1280x720_30</t>
  </si>
  <si>
    <t>myworld_1280x720_30</t>
  </si>
  <si>
    <t>qiuqiudazuozhan_1280x720_30</t>
  </si>
  <si>
    <t>tiantianfeiche_1280x720_30</t>
  </si>
  <si>
    <t>tiantiankupao_1280x720_30</t>
  </si>
  <si>
    <t>wangzherongyao_1280x720_30</t>
  </si>
  <si>
    <t>yinyangshi_1280x720_30</t>
  </si>
  <si>
    <t>Game 30 fps</t>
    <phoneticPr fontId="5" type="noConversion"/>
  </si>
  <si>
    <t>ksc265vsx264_offline_veryfast</t>
    <phoneticPr fontId="5" type="noConversion"/>
  </si>
  <si>
    <t>ksc265 veryslow vs x264_offline_placebo</t>
    <phoneticPr fontId="5" type="noConversion"/>
  </si>
  <si>
    <t>ksc265 veryslow vsx265_offline_veryslow</t>
    <phoneticPr fontId="5" type="noConversion"/>
  </si>
  <si>
    <t>ksc265 slow vsx264_offline_slow</t>
    <phoneticPr fontId="5" type="noConversion"/>
  </si>
  <si>
    <t>BQSquare_416x240_60</t>
    <phoneticPr fontId="5" type="noConversion"/>
  </si>
  <si>
    <t>ksc265vsx265_offline_veryfast</t>
    <phoneticPr fontId="5" type="noConversion"/>
  </si>
  <si>
    <t>ksc265vsx265_offline_slow</t>
    <phoneticPr fontId="5" type="noConversion"/>
  </si>
  <si>
    <t>ksc265vsvp9_offline_slow</t>
    <phoneticPr fontId="5" type="noConversion"/>
  </si>
  <si>
    <t>ksc265 veryslow vsvp9_offline_veryslow</t>
    <phoneticPr fontId="5" type="noConversion"/>
  </si>
  <si>
    <t>ksc265vsvp9_offline_veryfast</t>
    <phoneticPr fontId="5" type="noConversion"/>
  </si>
  <si>
    <t>vp9 best threads 0</t>
  </si>
  <si>
    <t xml:space="preserve">vp9 rt threads 1 </t>
  </si>
  <si>
    <t>vp9 rt threads 0</t>
  </si>
  <si>
    <t>[iPer] = framerate * 10</t>
    <phoneticPr fontId="5" type="noConversion"/>
  </si>
  <si>
    <t>ThreU No.</t>
  </si>
  <si>
    <t>vpxenc.exe --codec=vp9 --passes=1 --rt --fps=[fps]/1 --i420 --end-usage=vbr --target-bitrate=[btr] --kf-max-dist=[iPer] --cpu-used=8 --threads=1 --psnr -w [wd] -h [ht] -o out.vp9 [input] --frame-parallel=0</t>
    <phoneticPr fontId="5" type="noConversion"/>
  </si>
  <si>
    <t xml:space="preserve">vp9 good threads 1 </t>
  </si>
  <si>
    <t>vp9 good threads 0</t>
  </si>
  <si>
    <t>vpxenc.exe --codec=vp9 --passes=1 --good --fps=[fps]/1 --i420 --end-usage=vbr --target-bitrate=[btr] --kf-max-dist=[iPer] --cpu-used=8 --threads=1 --psnr -w [wd] -h [ht] -o out.vp9 [input] --frame-parallel=0</t>
  </si>
  <si>
    <t>vpxenc.exe --codec=vp9 --passes=1 --best --fps=[fps]/1 --i420 --end-usage=vbr --target-bitrate=[btr] --kf-max-dist=[iPer] --cpu-used=8 --threads=4 --psnr -w [wd] -h [ht] -o out.vp9 [input] --frame-parallel=0</t>
    <phoneticPr fontId="5" type="noConversion"/>
  </si>
  <si>
    <t>本测试为vp9与QY265v2.5.3.4版本离线编码对比测试，测试设备为台式机（Win7操作系统，i5-4670四核CPU，8G内存），采取cbr模式编码、veryslow档次、满线程模式编码</t>
  </si>
  <si>
    <t>q265 veryslow v2.5.3.4 threads 0</t>
  </si>
  <si>
    <t>本测试为vp9与QY265v2.5.3.4版本离线编码对比测试，测试设备为台式机（Win7操作系统，i5-4670四核CPU，8G内存），采取cbr模式编码、slow档次、单线程模式编码</t>
  </si>
  <si>
    <t xml:space="preserve">q265 slow v2.5.3.4 threads 1 </t>
  </si>
  <si>
    <t>本测试为vp9与QY265v2.5.3.4版本离线编码对比测试，测试设备为台式机（Win7操作系统，i5-4670四核CPU，8G内存），采取cbr模式编码、slow档次、满线程模式编码</t>
  </si>
  <si>
    <t>q265 slow v2.5.3.4 threads 0</t>
  </si>
  <si>
    <t>本测试为vp9与QY265v2.5.3.4版本离线编码对比测试，测试设备为台式机（Win7操作系统，i5-4670四核CPU，8G内存），采取cbr模式编码、veryfast档次、单线程模式编码</t>
  </si>
  <si>
    <t xml:space="preserve">q265 veryfast v2.5.3.4 threads 1 </t>
  </si>
  <si>
    <t>本测试为vp9与QY265v2.5.3.4版本离线编码对比测试，测试设备为台式机（Win7操作系统，i5-4670四核CPU，8G内存），采取cbr模式编码、veryfast档次、满线程模式编码</t>
  </si>
  <si>
    <t>q265 veryfast v2.5.3.4 threads 0</t>
  </si>
  <si>
    <t>本测试为X264与QY265v2.5.3.4版本离线编码对比测试，测试设备为台式机（Win7操作系统，i5-4670四核CPU，8G内存），采取cbr模式编码、placebo档次、满线程模式编码</t>
  </si>
  <si>
    <t>本测试为X264与QY265v2.5.3.4版本离线编码对比测试，测试设备为台式机（Win7操作系统，i5-4670四核CPU，8G内存），采取cbr模式编码、slow档次、单线程模式编码</t>
  </si>
  <si>
    <t>本测试为X264与QY265v2.5.3.4版本离线编码对比测试，测试设备为台式机（Win7操作系统，i5-4670四核CPU，8G内存），采取cbr模式编码、slow档次、满线程模式编码</t>
  </si>
  <si>
    <t>本测试为X264与QY265v2.5.3.4版本离线编码对比测试，测试设备为台式机（Win7操作系统，i5-4670四核CPU，8G内存），采取cbr模式编码、veryfast档次、单线程模式编码</t>
  </si>
  <si>
    <t>本测试为X264与QY265v2.5.3.4版本离线编码对比测试，测试设备为台式机（Win7操作系统，i5-4670四核CPU，8G内存），采取cbr模式编码、veryfast档次、满线程模式编码</t>
  </si>
  <si>
    <t>x264.exe -o out.264 BQSquare_416x240_60.yuv --input-res 416x240 --preset superfast --fps [framerate] --profile high --aq-mode 0 --no-psy  --psnr  --bitrate [btrNumber]  --keyint [keyint] --frames 1000000</t>
  </si>
  <si>
    <t>AppEncoder_x64.exe -b out.265 -i BQSquare_416x240_60.yuv -preset superfast -tune default -latency  offline -threads 1 -wpp 0 -psnr 2 -rc 1 -br [btrNumber] -frms 1000000 -iper [iPer]</t>
  </si>
  <si>
    <t>本测试为X264与QY265v2.5.3.4版本离线编码对比测试，测试设备为台式机（Win7操作系统，i5-4670四核CPU，8G内存），采取cbr模式编码、superfast档次、单线程模式编码</t>
  </si>
  <si>
    <t xml:space="preserve">x264 superfast threads 1 </t>
  </si>
  <si>
    <t xml:space="preserve">q265 superfast v2.5.3.4 threads 1 </t>
  </si>
  <si>
    <t>本测试为X264与QY265v2.5.3.4版本离线编码对比测试，测试设备为台式机（Win7操作系统，i5-4670四核CPU，8G内存），采取cbr模式编码、superfast档次、满线程模式编码</t>
  </si>
  <si>
    <t>x264 superfast threads 0</t>
  </si>
  <si>
    <t>q265 superfast v2.5.3.4 threads 0</t>
  </si>
  <si>
    <t>x265.exe -o out.265 --input SlideShow_1280x720_20.yuv --input-res 1280x720 --preset superfast --fps [framerate] --aq-mode 0 --no-psy-rd --no-psy-rdoq --psnr  --bitrate [btrNumber] --frame-threads 1 --no-wpp --keyint [keyint] --frames 1000000</t>
  </si>
  <si>
    <t>本测试为vp9与QY265v2.5.3.4版本离线编码对比测试，测试设备为台式机（Win7操作系统，i5-4670四核CPU，8G内存），采取cbr模式编码、superfast档次、单线程模式编码</t>
  </si>
  <si>
    <t>本测试为vp9与QY265v2.5.3.4版本离线编码对比测试，测试设备为台式机（Win7操作系统，i5-4670四核CPU，8G内存），采取cbr模式编码、superfast档次、满线程模式编码</t>
  </si>
  <si>
    <t>ksc265vsx264_offline_superfast</t>
  </si>
  <si>
    <t>ksc265vsx265_offline_superfast</t>
  </si>
  <si>
    <t>ksc265vsvp9_offline_superfast</t>
  </si>
  <si>
    <t>time ./sample_encode h265 -i BQSquare_416x240_60.yuv -o test.265 -hw -w [wd] -h [ht] -f [fps] -g [10*fps] -b [btr] -u speed -n 900 -async 3 -p e5400a06c74d41f5b12d430bbaa23d0b</t>
  </si>
  <si>
    <t>(libmfx_hevce_gacc64.so)</t>
    <phoneticPr fontId="5" type="noConversion"/>
  </si>
  <si>
    <t>./appencoder -b out.265 -i BQSquare_416x240_60.yuv -preset superfast -tune default -latency  offline -psnr 2 -rc 1 -br [btrNumber] -frms 900 -iper [iPer]</t>
  </si>
  <si>
    <t>./appencoder -b out.265 -i BQSquare_416x240_60.yuv -preset veryfast -tune default -latency  offline -psnr 2 -rc 1 -br [btrNumber] -frms 900 -iper [iPer]</t>
  </si>
  <si>
    <t>time ./sample_encode h265 -i BQSquare_416x240_60.yuv -o test.265 -w [wd] -h [ht] -f [fps] -g [10*fps] -b [btr] -u balanced -n 900 -async 3 -p 2fca99749fdb49aeb121a5b63ef568f7</t>
  </si>
  <si>
    <t>(libmfx_hevce_sw64.so)</t>
    <phoneticPr fontId="5" type="noConversion"/>
  </si>
  <si>
    <t>./appencoder -b out.265 -i BQSquare_416x240_60.yuv -preset slow -tune default -latency  offline -psnr 2 -rc 1 -br [btrNumber] -frms 900 -iper [iPer]</t>
  </si>
  <si>
    <t>time ./sample_encode h265 -i BQSquare_416x240_60.yuv -o test.265 -w [wd] -h [ht] -f [fps] -g [10*fps] -b [btr] -u quality -n 900 -async 3 -p 2fca99749fdb49aeb121a5b63ef568f7</t>
  </si>
  <si>
    <t>(libmfx_hevce_sw64.so)</t>
    <phoneticPr fontId="5" type="noConversion"/>
  </si>
  <si>
    <t>./appencoder -b out.265 -i BQSquare_416x240_60.yuv -preset veryslow -tune default -latency  offline -psnr 2 -rc 1 -br [btrNumber] -frms 900 -iper [iPer]</t>
  </si>
  <si>
    <t>[iPer] = framerate * 10</t>
    <phoneticPr fontId="5" type="noConversion"/>
  </si>
  <si>
    <t>本测试为intel265与q265离线编码对比测试，测试设备为台式机（Centos操作系统，8核Intel(R) Xeon(R) CPU E3-1585 v5 @ 3.50GHz），q265采取cbr模式编码、superfast档次</t>
    <phoneticPr fontId="5" type="noConversion"/>
  </si>
  <si>
    <t>本测试为intel265与q265离线编码对比测试，测试设备为台式机（Centos操作系统，8核Intel(R) Xeon(R) CPU E3-1585 v5 @ 3.50GHz），q265采取cbr模式编码、veryfast档次</t>
  </si>
  <si>
    <t>本测试为intel265与q265离线编码对比测试，测试设备为台式机（Centos操作系统，8核Intel(R) Xeon(R) CPU E3-1585 v5 @ 3.50GHz），q265采取cbr模式编码、slow档次</t>
  </si>
  <si>
    <t>本测试为intel265与q265离线编码对比测试，测试设备为台式机（Centos操作系统，8核Intel(R) Xeon(R) CPU E3-1585 v5 @ 3.50GHz），q265采取cbr模式编码、veryslow档次</t>
  </si>
  <si>
    <t>intel265 speed</t>
  </si>
  <si>
    <t xml:space="preserve">q265 superfast </t>
  </si>
  <si>
    <t xml:space="preserve">q265 veryfast </t>
  </si>
  <si>
    <t>intel265 balanced</t>
  </si>
  <si>
    <t xml:space="preserve">q265 slow  </t>
  </si>
  <si>
    <t>intel265 quality</t>
  </si>
  <si>
    <t xml:space="preserve">q265 veryslow </t>
  </si>
  <si>
    <t>ksc265vsIntel_offline_veryfast</t>
  </si>
  <si>
    <t>ksc265vsIntel_offline_slow</t>
  </si>
  <si>
    <t>ksc265 veryslow vsIntel_offline_veryslow</t>
  </si>
  <si>
    <t>ksc265vsIntel_offline_superfast</t>
  </si>
  <si>
    <t>本测试为x265v2.4版本与QY265v2.5.3.4版本离线编码对比测试，测试设备为台式机（Win7操作系统，i5-4670四核CPU，8G内存），采取cbr模式编码、superfast档次、单线程模式编码</t>
  </si>
  <si>
    <t>本测试为x265v2.4版本与QY265v2.5.3.4版本离线编码对比测试，测试设备为台式机（Win7操作系统，i5-4670四核CPU，8G内存），采取cbr模式编码、superfast档次、满线程模式编码</t>
  </si>
  <si>
    <t>本测试为x265v2.4版本与QY265v2.5.3.4版本离线编码对比测试，测试设备为台式机（Win7操作系统，i5-4670四核CPU，8G内存），采取cbr模式编码、veryfast档次、单线程模式编码</t>
  </si>
  <si>
    <t>本测试为x265v2.4版本与QY265v2.5.3.4版本离线编码对比测试，测试设备为台式机（Win7操作系统，i5-4670四核CPU，8G内存），采取cbr模式编码、veryfast档次、满线程模式编码</t>
  </si>
  <si>
    <t>本测试为x265v2.4版本与QY265v2.5.3.4版本离线编码对比测试，测试设备为台式机（Win7操作系统，i5-4670四核CPU，8G内存），采取cbr模式编码、slow档次、单线程模式编码</t>
  </si>
  <si>
    <t>本测试为x265v2.4版本与QY265v2.5.3.4版本离线编码对比测试，测试设备为台式机（Win7操作系统，i5-4670四核CPU，8G内存），采取cbr模式编码、slow档次、满线程模式编码</t>
  </si>
  <si>
    <t>本测试为x265v2.4版本与QY265v2.5.3.4版本离线编码对比测试，测试设备为台式机（Win7操作系统，i5-4670四核CPU，8G内存），采取cbr模式编码、veryslow档次、满线程模式编码</t>
  </si>
  <si>
    <t xml:space="preserve">x265 veryfast threads 1 </t>
  </si>
  <si>
    <t>x265 veryfast threads 0</t>
  </si>
  <si>
    <t>vs. X264(RC=ABR)</t>
  </si>
  <si>
    <t>vs. X265 (RC=ABR)</t>
  </si>
  <si>
    <t>Superfast</t>
  </si>
  <si>
    <t xml:space="preserve">Veryfast </t>
  </si>
  <si>
    <t xml:space="preserve">Slow </t>
  </si>
  <si>
    <t xml:space="preserve">Veryslow </t>
  </si>
  <si>
    <t>速度档次</t>
    <phoneticPr fontId="5" type="noConversion"/>
  </si>
  <si>
    <t>带宽节省</t>
    <phoneticPr fontId="5" type="noConversion"/>
  </si>
  <si>
    <t>加速</t>
    <phoneticPr fontId="5" type="noConversion"/>
  </si>
  <si>
    <t>带宽节省2</t>
  </si>
  <si>
    <t>加速3</t>
  </si>
  <si>
    <t>带宽节省4</t>
  </si>
  <si>
    <t>加速5</t>
  </si>
  <si>
    <t>带宽节省6</t>
  </si>
  <si>
    <t>加速7</t>
  </si>
  <si>
    <t>vs. VP9 (RC=VBR)</t>
    <phoneticPr fontId="5" type="noConversion"/>
  </si>
  <si>
    <t>vs. Intel (RC=ABR)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</si>
</sst>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%"/>
  </numFmts>
  <fonts count="15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  <font>
      <sz val="10"/>
      <color theme="1"/>
      <name val="Times New Roman"/>
      <family val="1"/>
    </font>
    <font>
      <sz val="10"/>
      <color rgb="FF333333"/>
      <name val="Times New Roman"/>
      <family val="1"/>
    </font>
    <font>
      <sz val="10"/>
      <name val="宋体"/>
      <family val="3"/>
      <charset val="134"/>
    </font>
    <font>
      <sz val="10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73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177" fontId="0" fillId="0" borderId="0" xfId="0" applyNumberFormat="1" applyBorder="1"/>
    <xf numFmtId="0" fontId="0" fillId="3" borderId="25" xfId="0" applyFill="1" applyBorder="1"/>
    <xf numFmtId="177" fontId="11" fillId="0" borderId="21" xfId="0" applyNumberFormat="1" applyFont="1" applyBorder="1" applyAlignment="1">
      <alignment horizontal="center" wrapText="1"/>
    </xf>
    <xf numFmtId="177" fontId="12" fillId="0" borderId="21" xfId="0" applyNumberFormat="1" applyFont="1" applyBorder="1" applyAlignment="1">
      <alignment horizontal="center" vertical="center" wrapText="1"/>
    </xf>
    <xf numFmtId="177" fontId="11" fillId="0" borderId="21" xfId="0" applyNumberFormat="1" applyFont="1" applyBorder="1" applyAlignment="1">
      <alignment horizontal="center" vertical="center" wrapText="1"/>
    </xf>
    <xf numFmtId="0" fontId="11" fillId="4" borderId="6" xfId="0" applyFont="1" applyFill="1" applyBorder="1" applyAlignment="1">
      <alignment vertical="top" wrapText="1"/>
    </xf>
    <xf numFmtId="176" fontId="0" fillId="0" borderId="0" xfId="0" applyNumberForma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1" fillId="4" borderId="4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20" xfId="0" applyFont="1" applyBorder="1" applyAlignment="1">
      <alignment horizontal="center" wrapText="1"/>
    </xf>
    <xf numFmtId="176" fontId="14" fillId="4" borderId="21" xfId="0" applyNumberFormat="1" applyFont="1" applyFill="1" applyBorder="1" applyAlignment="1">
      <alignment horizontal="center" wrapText="1"/>
    </xf>
    <xf numFmtId="176" fontId="13" fillId="4" borderId="9" xfId="0" applyNumberFormat="1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137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176" formatCode="0.00_ "/>
      <fill>
        <patternFill patternType="solid">
          <fgColor indexed="64"/>
          <bgColor rgb="FF00FF0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/>
        <top/>
        <bottom/>
        <vertical style="medium">
          <color auto="1"/>
        </vertical>
        <horizontal/>
      </border>
    </dxf>
    <dxf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Times New Roman"/>
        <scheme val="none"/>
      </font>
      <numFmt numFmtId="177" formatCode="0.0%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rgb="FF00FF0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auto="1"/>
        </right>
        <top/>
        <bottom/>
        <vertical style="medium">
          <color auto="1"/>
        </vertical>
        <horizontal/>
      </border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表1" displayName="表1" ref="A2:I6" totalsRowShown="0" headerRowDxfId="0" headerRowBorderDxfId="1375" tableBorderDxfId="1374">
  <autoFilter ref="A2:I6"/>
  <tableColumns count="9">
    <tableColumn id="1" name="速度档次" dataDxfId="9"/>
    <tableColumn id="2" name="带宽节省" dataDxfId="8"/>
    <tableColumn id="3" name="加速" dataDxfId="7"/>
    <tableColumn id="4" name="带宽节省2" dataDxfId="6"/>
    <tableColumn id="5" name="加速3" dataDxfId="5"/>
    <tableColumn id="6" name="带宽节省4" dataDxfId="4"/>
    <tableColumn id="7" name="加速5" dataDxfId="3"/>
    <tableColumn id="8" name="带宽节省6" dataDxfId="2"/>
    <tableColumn id="9" name="加速7" dataDxfId="1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47" t="s">
        <v>23</v>
      </c>
      <c r="C2" s="48"/>
      <c r="D2" s="48"/>
      <c r="E2" s="48"/>
      <c r="F2" s="48"/>
      <c r="G2" s="48"/>
      <c r="H2" s="5"/>
      <c r="I2" s="47" t="s">
        <v>24</v>
      </c>
      <c r="J2" s="48"/>
      <c r="K2" s="48"/>
      <c r="L2" s="48"/>
      <c r="M2" s="48"/>
      <c r="N2" s="48"/>
      <c r="P2" s="47" t="s">
        <v>7</v>
      </c>
      <c r="Q2" s="48"/>
      <c r="R2" s="49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47" t="s">
        <v>24</v>
      </c>
      <c r="C48" s="48"/>
      <c r="D48" s="48"/>
      <c r="E48" s="48"/>
      <c r="F48" s="48"/>
      <c r="G48" s="48"/>
      <c r="H48" s="5"/>
      <c r="I48" s="47" t="s">
        <v>26</v>
      </c>
      <c r="J48" s="48"/>
      <c r="K48" s="48"/>
      <c r="L48" s="48"/>
      <c r="M48" s="48"/>
      <c r="N48" s="48"/>
      <c r="P48" s="47" t="s">
        <v>7</v>
      </c>
      <c r="Q48" s="48"/>
      <c r="R48" s="49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47" t="s">
        <v>24</v>
      </c>
      <c r="C92" s="48"/>
      <c r="D92" s="48"/>
      <c r="E92" s="48"/>
      <c r="F92" s="48"/>
      <c r="G92" s="48"/>
      <c r="H92" s="5"/>
      <c r="I92" s="47" t="s">
        <v>27</v>
      </c>
      <c r="J92" s="48"/>
      <c r="K92" s="48"/>
      <c r="L92" s="48"/>
      <c r="M92" s="48"/>
      <c r="N92" s="48"/>
      <c r="P92" s="47" t="s">
        <v>7</v>
      </c>
      <c r="Q92" s="48"/>
      <c r="R92" s="49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47" t="s">
        <v>24</v>
      </c>
      <c r="C136" s="48"/>
      <c r="D136" s="48"/>
      <c r="E136" s="48"/>
      <c r="F136" s="48"/>
      <c r="G136" s="48"/>
      <c r="H136" s="5"/>
      <c r="I136" s="47" t="s">
        <v>28</v>
      </c>
      <c r="J136" s="48"/>
      <c r="K136" s="48"/>
      <c r="L136" s="48"/>
      <c r="M136" s="48"/>
      <c r="N136" s="48"/>
      <c r="P136" s="47" t="s">
        <v>7</v>
      </c>
      <c r="Q136" s="48"/>
      <c r="R136" s="49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1373" priority="21" operator="greaterThan">
      <formula>0.03</formula>
    </cfRule>
    <cfRule type="cellIs" dxfId="1372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tabSelected="1" workbookViewId="0">
      <selection sqref="A1:I6"/>
    </sheetView>
  </sheetViews>
  <sheetFormatPr defaultRowHeight="15.75" x14ac:dyDescent="0.25"/>
  <cols>
    <col min="1" max="1" width="11.25" customWidth="1"/>
    <col min="2" max="2" width="10.25" customWidth="1"/>
    <col min="3" max="3" width="6.875" customWidth="1"/>
    <col min="4" max="4" width="9.375" customWidth="1"/>
    <col min="5" max="5" width="7" customWidth="1"/>
    <col min="6" max="6" width="8.875" customWidth="1"/>
    <col min="7" max="7" width="6.625" customWidth="1"/>
    <col min="8" max="8" width="9.375" customWidth="1"/>
    <col min="9" max="9" width="6.875" customWidth="1"/>
  </cols>
  <sheetData>
    <row r="1" spans="1:9" ht="15.75" customHeight="1" x14ac:dyDescent="0.25">
      <c r="A1" s="45"/>
      <c r="B1" s="50" t="s">
        <v>199</v>
      </c>
      <c r="C1" s="51"/>
      <c r="D1" s="50" t="s">
        <v>200</v>
      </c>
      <c r="E1" s="51"/>
      <c r="F1" s="50" t="s">
        <v>214</v>
      </c>
      <c r="G1" s="51"/>
      <c r="H1" s="50" t="s">
        <v>215</v>
      </c>
      <c r="I1" s="51"/>
    </row>
    <row r="2" spans="1:9" s="46" customFormat="1" ht="14.25" customHeight="1" thickBot="1" x14ac:dyDescent="0.3">
      <c r="A2" s="71" t="s">
        <v>205</v>
      </c>
      <c r="B2" s="70" t="s">
        <v>206</v>
      </c>
      <c r="C2" s="70" t="s">
        <v>207</v>
      </c>
      <c r="D2" s="70" t="s">
        <v>208</v>
      </c>
      <c r="E2" s="70" t="s">
        <v>209</v>
      </c>
      <c r="F2" s="70" t="s">
        <v>210</v>
      </c>
      <c r="G2" s="70" t="s">
        <v>211</v>
      </c>
      <c r="H2" s="70" t="s">
        <v>212</v>
      </c>
      <c r="I2" s="70" t="s">
        <v>213</v>
      </c>
    </row>
    <row r="3" spans="1:9" ht="16.5" thickBot="1" x14ac:dyDescent="0.3">
      <c r="A3" s="72" t="s">
        <v>201</v>
      </c>
      <c r="B3" s="42">
        <f>-'Summary-detail'!F16</f>
        <v>0.47160524873664578</v>
      </c>
      <c r="C3" s="42">
        <f>'Summary-detail'!G16</f>
        <v>-0.10649853696362031</v>
      </c>
      <c r="D3" s="42">
        <f>-'Summary-detail'!O16</f>
        <v>0.28700460661111465</v>
      </c>
      <c r="E3" s="42">
        <f>'Summary-detail'!P16</f>
        <v>1.2129417534233153</v>
      </c>
      <c r="F3" s="42">
        <f>-'Summary-detail'!X16</f>
        <v>0.36523773847878993</v>
      </c>
      <c r="G3" s="42">
        <f>'Summary-detail'!Y16</f>
        <v>1.0828636303892158</v>
      </c>
      <c r="H3" s="42">
        <f>-'Summary-detail'!AG9</f>
        <v>-6.3926949185039036E-2</v>
      </c>
      <c r="I3" s="42">
        <f>'Summary-detail'!AH9</f>
        <v>0.89202321941020124</v>
      </c>
    </row>
    <row r="4" spans="1:9" ht="16.5" thickBot="1" x14ac:dyDescent="0.3">
      <c r="A4" s="72" t="s">
        <v>202</v>
      </c>
      <c r="B4" s="43">
        <f>-'Summary-detail'!F32</f>
        <v>0.4496517748861078</v>
      </c>
      <c r="C4" s="43">
        <f>'Summary-detail'!G32</f>
        <v>7.1084864511556396E-3</v>
      </c>
      <c r="D4" s="43">
        <f>-'Summary-detail'!O32</f>
        <v>4.6355895001521576E-2</v>
      </c>
      <c r="E4" s="43">
        <f>'Summary-detail'!P32</f>
        <v>2.3534549049652673</v>
      </c>
      <c r="F4" s="44">
        <f>-'Summary-detail'!X32</f>
        <v>0.41070712055461389</v>
      </c>
      <c r="G4" s="43">
        <f>'Summary-detail'!Y32</f>
        <v>0.70555048026688183</v>
      </c>
      <c r="H4" s="44">
        <f>-'Summary-detail'!AG18</f>
        <v>1.7132801323257205E-2</v>
      </c>
      <c r="I4" s="43">
        <f>'Summary-detail'!AH18</f>
        <v>0.32707696329003838</v>
      </c>
    </row>
    <row r="5" spans="1:9" ht="16.5" thickBot="1" x14ac:dyDescent="0.3">
      <c r="A5" s="72" t="s">
        <v>203</v>
      </c>
      <c r="B5" s="43">
        <f>-'Summary-detail'!F48</f>
        <v>0.37730303207068983</v>
      </c>
      <c r="C5" s="43">
        <f>'Summary-detail'!G48</f>
        <v>-5.1096199956780358E-2</v>
      </c>
      <c r="D5" s="43">
        <f>-'Summary-detail'!O48</f>
        <v>0.11531585905042854</v>
      </c>
      <c r="E5" s="43">
        <f>'Summary-detail'!P48</f>
        <v>1.9837755102509951</v>
      </c>
      <c r="F5" s="43">
        <f>-'Summary-detail'!X48</f>
        <v>0.19667920097614225</v>
      </c>
      <c r="G5" s="43">
        <f>'Summary-detail'!Y48</f>
        <v>2.977919960101286</v>
      </c>
      <c r="H5" s="43">
        <f>-'Summary-detail'!AG27</f>
        <v>0.15398558164075413</v>
      </c>
      <c r="I5" s="43">
        <f>'Summary-detail'!AH27</f>
        <v>-0.29703069197480836</v>
      </c>
    </row>
    <row r="6" spans="1:9" ht="16.5" thickBot="1" x14ac:dyDescent="0.3">
      <c r="A6" s="72" t="s">
        <v>204</v>
      </c>
      <c r="B6" s="43">
        <f>-'Summary-detail'!F57</f>
        <v>0.35637912646179809</v>
      </c>
      <c r="C6" s="43">
        <f>'Summary-detail'!G57</f>
        <v>0.84688321908879172</v>
      </c>
      <c r="D6" s="43">
        <f>-'Summary-detail'!O57</f>
        <v>0.10049358764905346</v>
      </c>
      <c r="E6" s="43">
        <f>'Summary-detail'!P57</f>
        <v>0.87152152208359179</v>
      </c>
      <c r="F6" s="43">
        <f>-'Summary-detail'!X57</f>
        <v>6.8020481702169192E-2</v>
      </c>
      <c r="G6" s="43">
        <f>'Summary-detail'!Y57</f>
        <v>10.216168046963888</v>
      </c>
      <c r="H6" s="43">
        <f>-'Summary-detail'!AG36</f>
        <v>5.9818427149861457E-2</v>
      </c>
      <c r="I6" s="43">
        <f>'Summary-detail'!AH36</f>
        <v>-0.35289597080177204</v>
      </c>
    </row>
  </sheetData>
  <mergeCells count="4">
    <mergeCell ref="B1:C1"/>
    <mergeCell ref="D1:E1"/>
    <mergeCell ref="F1:G1"/>
    <mergeCell ref="H1:I1"/>
  </mergeCells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57"/>
  <sheetViews>
    <sheetView topLeftCell="J1" zoomScale="85" zoomScaleNormal="85" workbookViewId="0">
      <selection activeCell="Q14" sqref="K11:Q14"/>
    </sheetView>
  </sheetViews>
  <sheetFormatPr defaultRowHeight="15.75" x14ac:dyDescent="0.25"/>
  <cols>
    <col min="1" max="1" width="11.25" bestFit="1" customWidth="1"/>
    <col min="2" max="2" width="12.625" bestFit="1" customWidth="1"/>
    <col min="3" max="3" width="9.75" bestFit="1" customWidth="1"/>
    <col min="4" max="4" width="10.125" bestFit="1" customWidth="1"/>
    <col min="5" max="5" width="10" bestFit="1" customWidth="1"/>
    <col min="6" max="6" width="12.375" bestFit="1" customWidth="1"/>
    <col min="7" max="7" width="10.125" bestFit="1" customWidth="1"/>
    <col min="8" max="8" width="9.625" customWidth="1"/>
    <col min="10" max="10" width="11.25" bestFit="1" customWidth="1"/>
    <col min="11" max="11" width="12.625" bestFit="1" customWidth="1"/>
    <col min="12" max="12" width="9.75" bestFit="1" customWidth="1"/>
    <col min="13" max="13" width="10.125" bestFit="1" customWidth="1"/>
    <col min="14" max="14" width="10" bestFit="1" customWidth="1"/>
    <col min="15" max="15" width="12.375" bestFit="1" customWidth="1"/>
    <col min="16" max="16" width="10.125" bestFit="1" customWidth="1"/>
    <col min="19" max="19" width="10.25" bestFit="1" customWidth="1"/>
    <col min="20" max="20" width="12.625" bestFit="1" customWidth="1"/>
    <col min="21" max="21" width="9.75" bestFit="1" customWidth="1"/>
    <col min="22" max="22" width="10.125" bestFit="1" customWidth="1"/>
    <col min="23" max="23" width="10" bestFit="1" customWidth="1"/>
    <col min="24" max="24" width="12.375" bestFit="1" customWidth="1"/>
    <col min="25" max="25" width="10.125" bestFit="1" customWidth="1"/>
    <col min="28" max="28" width="10.25" bestFit="1" customWidth="1"/>
    <col min="29" max="29" width="12.625" bestFit="1" customWidth="1"/>
    <col min="30" max="30" width="9.75" bestFit="1" customWidth="1"/>
    <col min="31" max="31" width="10.125" bestFit="1" customWidth="1"/>
    <col min="32" max="32" width="10" bestFit="1" customWidth="1"/>
    <col min="33" max="33" width="12.375" bestFit="1" customWidth="1"/>
    <col min="34" max="34" width="10.125" bestFit="1" customWidth="1"/>
  </cols>
  <sheetData>
    <row r="1" spans="1:34" ht="16.5" thickBot="1" x14ac:dyDescent="0.3">
      <c r="A1" s="52" t="s">
        <v>161</v>
      </c>
      <c r="B1" s="53"/>
      <c r="C1" s="53"/>
      <c r="D1" s="53"/>
      <c r="E1" s="53"/>
      <c r="F1" s="53"/>
      <c r="G1" s="54"/>
      <c r="H1" s="40"/>
      <c r="J1" s="52" t="s">
        <v>162</v>
      </c>
      <c r="K1" s="53"/>
      <c r="L1" s="53"/>
      <c r="M1" s="53"/>
      <c r="N1" s="53"/>
      <c r="O1" s="53"/>
      <c r="P1" s="54"/>
      <c r="S1" s="52" t="s">
        <v>163</v>
      </c>
      <c r="T1" s="53"/>
      <c r="U1" s="53"/>
      <c r="V1" s="53"/>
      <c r="W1" s="53"/>
      <c r="X1" s="53"/>
      <c r="Y1" s="54"/>
      <c r="AB1" s="52" t="s">
        <v>189</v>
      </c>
      <c r="AC1" s="53"/>
      <c r="AD1" s="53"/>
      <c r="AE1" s="53"/>
      <c r="AF1" s="53"/>
      <c r="AG1" s="53"/>
      <c r="AH1" s="54"/>
    </row>
    <row r="2" spans="1:34" ht="16.5" thickBot="1" x14ac:dyDescent="0.3">
      <c r="A2" s="37" t="s">
        <v>74</v>
      </c>
      <c r="B2" s="37" t="s">
        <v>73</v>
      </c>
      <c r="C2" s="37" t="s">
        <v>69</v>
      </c>
      <c r="D2" s="37" t="s">
        <v>70</v>
      </c>
      <c r="E2" s="37" t="s">
        <v>71</v>
      </c>
      <c r="F2" s="37" t="s">
        <v>72</v>
      </c>
      <c r="G2" s="37" t="s">
        <v>75</v>
      </c>
      <c r="H2" s="40"/>
      <c r="J2" s="37" t="s">
        <v>74</v>
      </c>
      <c r="K2" s="37" t="s">
        <v>73</v>
      </c>
      <c r="L2" s="37" t="s">
        <v>69</v>
      </c>
      <c r="M2" s="37" t="s">
        <v>70</v>
      </c>
      <c r="N2" s="37" t="s">
        <v>71</v>
      </c>
      <c r="O2" s="37" t="s">
        <v>72</v>
      </c>
      <c r="P2" s="37" t="s">
        <v>75</v>
      </c>
      <c r="S2" s="37" t="s">
        <v>129</v>
      </c>
      <c r="T2" s="37" t="s">
        <v>73</v>
      </c>
      <c r="U2" s="37" t="s">
        <v>69</v>
      </c>
      <c r="V2" s="37" t="s">
        <v>70</v>
      </c>
      <c r="W2" s="37" t="s">
        <v>71</v>
      </c>
      <c r="X2" s="37" t="s">
        <v>72</v>
      </c>
      <c r="Y2" s="37" t="s">
        <v>75</v>
      </c>
      <c r="AB2" s="37" t="s">
        <v>129</v>
      </c>
      <c r="AC2" s="37" t="s">
        <v>73</v>
      </c>
      <c r="AD2" s="37" t="s">
        <v>69</v>
      </c>
      <c r="AE2" s="37" t="s">
        <v>70</v>
      </c>
      <c r="AF2" s="37" t="s">
        <v>71</v>
      </c>
      <c r="AG2" s="37" t="s">
        <v>72</v>
      </c>
      <c r="AH2" s="37" t="s">
        <v>75</v>
      </c>
    </row>
    <row r="3" spans="1:34" ht="16.5" thickBot="1" x14ac:dyDescent="0.3">
      <c r="A3" s="55">
        <v>1</v>
      </c>
      <c r="B3" s="37" t="s">
        <v>35</v>
      </c>
      <c r="C3" s="38">
        <f>AVERAGE(X264vsQY265_offline_superfast!Q9:Q16)</f>
        <v>-0.46099447847024438</v>
      </c>
      <c r="D3" s="38">
        <f>AVERAGE(X264vsQY265_offline_superfast!R9:R16)</f>
        <v>-0.56108259352003365</v>
      </c>
      <c r="E3" s="38">
        <f>AVERAGE(X264vsQY265_offline_superfast!S9:S16)</f>
        <v>-0.62441788078681892</v>
      </c>
      <c r="F3" s="38">
        <f>AVERAGE(X264vsQY265_offline_superfast!T9:T16)</f>
        <v>-0.4804151526737388</v>
      </c>
      <c r="G3" s="39">
        <f>AVERAGE(X264vsQY265_offline_superfast!U9:U16)</f>
        <v>-0.13797053241583243</v>
      </c>
      <c r="H3" s="40"/>
      <c r="J3" s="55">
        <v>1</v>
      </c>
      <c r="K3" s="37" t="s">
        <v>35</v>
      </c>
      <c r="L3" s="38">
        <f>AVERAGE(X265vsQY265_offline_superfast!Q9:Q16)</f>
        <v>-0.11068420339974411</v>
      </c>
      <c r="M3" s="38">
        <f>AVERAGE(X265vsQY265_offline_superfast!R9:R16)</f>
        <v>-0.44220841715677089</v>
      </c>
      <c r="N3" s="38">
        <f>AVERAGE(X265vsQY265_offline_superfast!S9:S16)</f>
        <v>-0.44531582192232272</v>
      </c>
      <c r="O3" s="38">
        <f>AVERAGE(X265vsQY265_offline_superfast!T9:T16)</f>
        <v>-0.16462334501681031</v>
      </c>
      <c r="P3" s="39">
        <f>AVERAGE(X265vsQY265_offline_superfast!U9:U16)</f>
        <v>1.3943251168889124</v>
      </c>
      <c r="S3" s="55">
        <v>1</v>
      </c>
      <c r="T3" s="37" t="s">
        <v>35</v>
      </c>
      <c r="U3" s="38">
        <f>AVERAGE(VP9vsQY265_offline_superfast!Q9:Q16)</f>
        <v>-0.29019933971921763</v>
      </c>
      <c r="V3" s="38">
        <f>AVERAGE(VP9vsQY265_offline_superfast!R9:R16)</f>
        <v>-0.47508841649198219</v>
      </c>
      <c r="W3" s="38">
        <f>AVERAGE(VP9vsQY265_offline_superfast!S9:S16)</f>
        <v>-0.4974768689944275</v>
      </c>
      <c r="X3" s="38">
        <f>AVERAGE(VP9vsQY265_offline_superfast!T9:T16)</f>
        <v>-0.32360109759601891</v>
      </c>
      <c r="Y3" s="39">
        <f>AVERAGE(VP9vsQY265_offline_superfast!U9:U16)</f>
        <v>0.86526410589373981</v>
      </c>
      <c r="AB3" s="55" t="s">
        <v>76</v>
      </c>
      <c r="AC3" s="37" t="s">
        <v>35</v>
      </c>
      <c r="AD3" s="38">
        <f>AVERAGE(IntelvsQY265_offline_superfast!Q9:Q16)</f>
        <v>4.1293750904911608E-2</v>
      </c>
      <c r="AE3" s="38">
        <f>AVERAGE(IntelvsQY265_offline_superfast!R9:R16)</f>
        <v>-2.9767667118824948E-2</v>
      </c>
      <c r="AF3" s="38">
        <f>AVERAGE(IntelvsQY265_offline_superfast!S9:S16)</f>
        <v>-4.201570978745256E-2</v>
      </c>
      <c r="AG3" s="38">
        <f>AVERAGE(IntelvsQY265_offline_superfast!T9:T16)</f>
        <v>3.0745064737468741E-2</v>
      </c>
      <c r="AH3" s="39">
        <f>AVERAGE(IntelvsQY265_offline_superfast!U9:U16)</f>
        <v>0.77217881016666656</v>
      </c>
    </row>
    <row r="4" spans="1:34" ht="16.5" thickBot="1" x14ac:dyDescent="0.3">
      <c r="A4" s="56"/>
      <c r="B4" s="37" t="s">
        <v>37</v>
      </c>
      <c r="C4" s="38">
        <f>AVERAGE(X264vsQY265_offline_superfast!Q17:Q36)</f>
        <v>-0.55547977075575938</v>
      </c>
      <c r="D4" s="38">
        <f>AVERAGE(X264vsQY265_offline_superfast!R17:R36)</f>
        <v>-0.5992713331496955</v>
      </c>
      <c r="E4" s="38">
        <f>AVERAGE(X264vsQY265_offline_superfast!S17:S36)</f>
        <v>-0.61219239469756914</v>
      </c>
      <c r="F4" s="38">
        <f>AVERAGE(X264vsQY265_offline_superfast!T17:T36)</f>
        <v>-0.56410391132892712</v>
      </c>
      <c r="G4" s="39">
        <f>AVERAGE(X264vsQY265_offline_superfast!U17:U36)</f>
        <v>4.4156673741222306E-2</v>
      </c>
      <c r="H4" s="40"/>
      <c r="J4" s="56"/>
      <c r="K4" s="37" t="s">
        <v>37</v>
      </c>
      <c r="L4" s="38">
        <f>AVERAGE(X265vsQY265_offline_superfast!Q17:Q36)</f>
        <v>-0.17465201919611689</v>
      </c>
      <c r="M4" s="38">
        <f>AVERAGE(X265vsQY265_offline_superfast!R17:R36)</f>
        <v>-0.42452704899551907</v>
      </c>
      <c r="N4" s="38">
        <f>AVERAGE(X265vsQY265_offline_superfast!S17:S36)</f>
        <v>-0.41550288296564697</v>
      </c>
      <c r="O4" s="38">
        <f>AVERAGE(X265vsQY265_offline_superfast!T17:T36)</f>
        <v>-0.21839283025973993</v>
      </c>
      <c r="P4" s="39">
        <f>AVERAGE(X265vsQY265_offline_superfast!U17:U36)</f>
        <v>1.6635127287921805</v>
      </c>
      <c r="S4" s="56"/>
      <c r="T4" s="37" t="s">
        <v>37</v>
      </c>
      <c r="U4" s="38">
        <f>AVERAGE(VP9vsQY265_offline_superfast!Q17:Q36)</f>
        <v>-0.42346878394168053</v>
      </c>
      <c r="V4" s="38">
        <f>AVERAGE(VP9vsQY265_offline_superfast!R17:R36)</f>
        <v>-0.50632202777125523</v>
      </c>
      <c r="W4" s="38">
        <f>AVERAGE(VP9vsQY265_offline_superfast!S17:S36)</f>
        <v>-0.52094229854348151</v>
      </c>
      <c r="X4" s="38">
        <f>AVERAGE(VP9vsQY265_offline_superfast!T17:T36)</f>
        <v>-0.44266599571715359</v>
      </c>
      <c r="Y4" s="39">
        <f>AVERAGE(VP9vsQY265_offline_superfast!U17:U36)</f>
        <v>1.0409712375448075</v>
      </c>
      <c r="AB4" s="56"/>
      <c r="AC4" s="37" t="s">
        <v>37</v>
      </c>
      <c r="AD4" s="38">
        <f>AVERAGE(IntelvsQY265_offline_superfast!Q17:Q36)</f>
        <v>6.4956964349490873E-2</v>
      </c>
      <c r="AE4" s="38">
        <f>AVERAGE(IntelvsQY265_offline_superfast!R17:R36)</f>
        <v>1.3537699810075798E-3</v>
      </c>
      <c r="AF4" s="38">
        <f>AVERAGE(IntelvsQY265_offline_superfast!S17:S36)</f>
        <v>-2.192198965489589E-2</v>
      </c>
      <c r="AG4" s="38">
        <f>AVERAGE(IntelvsQY265_offline_superfast!T17:T36)</f>
        <v>5.353447447984587E-2</v>
      </c>
      <c r="AH4" s="39">
        <f>AVERAGE(IntelvsQY265_offline_superfast!U17:U36)</f>
        <v>0.89253721338083314</v>
      </c>
    </row>
    <row r="5" spans="1:34" ht="16.5" thickBot="1" x14ac:dyDescent="0.3">
      <c r="A5" s="56"/>
      <c r="B5" s="37" t="s">
        <v>39</v>
      </c>
      <c r="C5" s="38">
        <f>AVERAGE(X264vsQY265_offline_superfast!Q37:Q52)</f>
        <v>-0.47258405936168268</v>
      </c>
      <c r="D5" s="38">
        <f>AVERAGE(X264vsQY265_offline_superfast!R37:R52)</f>
        <v>-0.56718006289200817</v>
      </c>
      <c r="E5" s="38">
        <f>AVERAGE(X264vsQY265_offline_superfast!S37:S52)</f>
        <v>-0.5432468804949192</v>
      </c>
      <c r="F5" s="38">
        <f>AVERAGE(X264vsQY265_offline_superfast!T37:T52)</f>
        <v>-0.48702564031642226</v>
      </c>
      <c r="G5" s="39">
        <f>AVERAGE(X264vsQY265_offline_superfast!U37:U52)</f>
        <v>-0.29166293306142299</v>
      </c>
      <c r="H5" s="40"/>
      <c r="J5" s="56"/>
      <c r="K5" s="37" t="s">
        <v>39</v>
      </c>
      <c r="L5" s="38">
        <f>AVERAGE(X265vsQY265_offline_superfast!Q37:Q52)</f>
        <v>-0.21028029359166214</v>
      </c>
      <c r="M5" s="38">
        <f>AVERAGE(X265vsQY265_offline_superfast!R37:R52)</f>
        <v>-0.41420012336387013</v>
      </c>
      <c r="N5" s="38">
        <f>AVERAGE(X265vsQY265_offline_superfast!S37:S52)</f>
        <v>-0.38505677583823095</v>
      </c>
      <c r="O5" s="38">
        <f>AVERAGE(X265vsQY265_offline_superfast!T37:T52)</f>
        <v>-0.24592428372570838</v>
      </c>
      <c r="P5" s="39">
        <f>AVERAGE(X265vsQY265_offline_superfast!U37:U52)</f>
        <v>1.6806096483659281</v>
      </c>
      <c r="S5" s="56"/>
      <c r="T5" s="37" t="s">
        <v>39</v>
      </c>
      <c r="U5" s="38">
        <f>AVERAGE(VP9vsQY265_offline_superfast!Q37:Q52)</f>
        <v>-0.33713450387415245</v>
      </c>
      <c r="V5" s="38">
        <f>AVERAGE(VP9vsQY265_offline_superfast!R37:R52)</f>
        <v>-0.48371625355174308</v>
      </c>
      <c r="W5" s="38">
        <f>AVERAGE(VP9vsQY265_offline_superfast!S37:S52)</f>
        <v>-0.48533516434612828</v>
      </c>
      <c r="X5" s="38">
        <f>AVERAGE(VP9vsQY265_offline_superfast!T37:T52)</f>
        <v>-0.36986618922693726</v>
      </c>
      <c r="Y5" s="39">
        <f>AVERAGE(VP9vsQY265_offline_superfast!U37:U52)</f>
        <v>0.56346381559421899</v>
      </c>
      <c r="AB5" s="56"/>
      <c r="AC5" s="37" t="s">
        <v>39</v>
      </c>
      <c r="AD5" s="38">
        <f>AVERAGE(IntelvsQY265_offline_superfast!Q37:Q52)</f>
        <v>6.3090956936401404E-2</v>
      </c>
      <c r="AE5" s="38">
        <f>AVERAGE(IntelvsQY265_offline_superfast!R37:R52)</f>
        <v>-2.5369478696211367E-3</v>
      </c>
      <c r="AF5" s="38">
        <f>AVERAGE(IntelvsQY265_offline_superfast!S37:S52)</f>
        <v>1.0698977331474152E-2</v>
      </c>
      <c r="AG5" s="38">
        <f>AVERAGE(IntelvsQY265_offline_superfast!T37:T52)</f>
        <v>5.3838032894837823E-2</v>
      </c>
      <c r="AH5" s="39">
        <f>AVERAGE(IntelvsQY265_offline_superfast!U37:U52)</f>
        <v>0.84819293277916652</v>
      </c>
    </row>
    <row r="6" spans="1:34" ht="16.5" thickBot="1" x14ac:dyDescent="0.3">
      <c r="A6" s="56"/>
      <c r="B6" s="37" t="s">
        <v>41</v>
      </c>
      <c r="C6" s="38">
        <f>AVERAGE(X264vsQY265_offline_superfast!Q53:Q68)</f>
        <v>-0.41617537928260157</v>
      </c>
      <c r="D6" s="38">
        <f>AVERAGE(X264vsQY265_offline_superfast!R53:R68)</f>
        <v>-0.59346906530132026</v>
      </c>
      <c r="E6" s="38">
        <f>AVERAGE(X264vsQY265_offline_superfast!S53:S68)</f>
        <v>-0.57560962004176863</v>
      </c>
      <c r="F6" s="38">
        <f>AVERAGE(X264vsQY265_offline_superfast!T53:T68)</f>
        <v>-0.44658100343071638</v>
      </c>
      <c r="G6" s="39">
        <f>AVERAGE(X264vsQY265_offline_superfast!U53:U68)</f>
        <v>-0.44470996047680583</v>
      </c>
      <c r="H6" s="40"/>
      <c r="J6" s="56"/>
      <c r="K6" s="37" t="s">
        <v>41</v>
      </c>
      <c r="L6" s="38">
        <f>AVERAGE(X265vsQY265_offline_superfast!Q53:Q68)</f>
        <v>-0.26275243404453219</v>
      </c>
      <c r="M6" s="38">
        <f>AVERAGE(X265vsQY265_offline_superfast!R53:R68)</f>
        <v>-0.44637298693388849</v>
      </c>
      <c r="N6" s="38">
        <f>AVERAGE(X265vsQY265_offline_superfast!S53:S68)</f>
        <v>-0.42664515610967968</v>
      </c>
      <c r="O6" s="38">
        <f>AVERAGE(X265vsQY265_offline_superfast!T53:T68)</f>
        <v>-0.29649592987461548</v>
      </c>
      <c r="P6" s="39">
        <f>AVERAGE(X265vsQY265_offline_superfast!U53:U68)</f>
        <v>1.3552258804609152</v>
      </c>
      <c r="S6" s="56"/>
      <c r="T6" s="37" t="s">
        <v>41</v>
      </c>
      <c r="U6" s="38">
        <f>AVERAGE(VP9vsQY265_offline_superfast!Q53:Q68)</f>
        <v>-0.37662940941417422</v>
      </c>
      <c r="V6" s="38">
        <f>AVERAGE(VP9vsQY265_offline_superfast!R53:R68)</f>
        <v>-0.44669153312673321</v>
      </c>
      <c r="W6" s="38">
        <f>AVERAGE(VP9vsQY265_offline_superfast!S53:S68)</f>
        <v>-0.47428895804613402</v>
      </c>
      <c r="X6" s="38">
        <f>AVERAGE(VP9vsQY265_offline_superfast!T53:T68)</f>
        <v>-0.40078318194639517</v>
      </c>
      <c r="Y6" s="39">
        <f>AVERAGE(VP9vsQY265_offline_superfast!U53:U68)</f>
        <v>0.48620005796743482</v>
      </c>
      <c r="AB6" s="56"/>
      <c r="AC6" s="37" t="s">
        <v>41</v>
      </c>
      <c r="AD6" s="38">
        <f>AVERAGE(IntelvsQY265_offline_superfast!Q53:Q68)</f>
        <v>0.10260822860391761</v>
      </c>
      <c r="AE6" s="38">
        <f>AVERAGE(IntelvsQY265_offline_superfast!R53:R68)</f>
        <v>7.7704126196602441E-3</v>
      </c>
      <c r="AF6" s="38">
        <f>AVERAGE(IntelvsQY265_offline_superfast!S53:S68)</f>
        <v>2.4455415879540837E-2</v>
      </c>
      <c r="AG6" s="38">
        <f>AVERAGE(IntelvsQY265_offline_superfast!T53:T68)</f>
        <v>8.8262297269299628E-2</v>
      </c>
      <c r="AH6" s="39">
        <f>AVERAGE(IntelvsQY265_offline_superfast!U53:U68)</f>
        <v>1.6546966346979166</v>
      </c>
    </row>
    <row r="7" spans="1:34" ht="16.5" thickBot="1" x14ac:dyDescent="0.3">
      <c r="A7" s="56"/>
      <c r="B7" s="37" t="s">
        <v>43</v>
      </c>
      <c r="C7" s="38">
        <f>AVERAGE(X264vsQY265_offline_superfast!Q69:Q80)</f>
        <v>-0.52841016688234299</v>
      </c>
      <c r="D7" s="38">
        <f>AVERAGE(X264vsQY265_offline_superfast!R69:R80)</f>
        <v>-0.64495496435904243</v>
      </c>
      <c r="E7" s="38">
        <f>AVERAGE(X264vsQY265_offline_superfast!S69:S80)</f>
        <v>-0.64585741730854818</v>
      </c>
      <c r="F7" s="38">
        <f>AVERAGE(X264vsQY265_offline_superfast!T69:T80)</f>
        <v>-0.55661049511217042</v>
      </c>
      <c r="G7" s="39">
        <f>AVERAGE(X264vsQY265_offline_superfast!U69:U80)</f>
        <v>2.3744215112102392E-2</v>
      </c>
      <c r="H7" s="40"/>
      <c r="J7" s="56"/>
      <c r="K7" s="37" t="s">
        <v>43</v>
      </c>
      <c r="L7" s="38">
        <f>AVERAGE(X265vsQY265_offline_superfast!Q69:Q80)</f>
        <v>-0.33861451675696008</v>
      </c>
      <c r="M7" s="38">
        <f>AVERAGE(X265vsQY265_offline_superfast!R69:R80)</f>
        <v>-0.42062384378931067</v>
      </c>
      <c r="N7" s="38">
        <f>AVERAGE(X265vsQY265_offline_superfast!S69:S80)</f>
        <v>-0.41380780096558906</v>
      </c>
      <c r="O7" s="38">
        <f>AVERAGE(X265vsQY265_offline_superfast!T69:T80)</f>
        <v>-0.35592327364633486</v>
      </c>
      <c r="P7" s="39">
        <f>AVERAGE(X265vsQY265_offline_superfast!U69:U80)</f>
        <v>1.717521271832579</v>
      </c>
      <c r="S7" s="56"/>
      <c r="T7" s="37" t="s">
        <v>43</v>
      </c>
      <c r="U7" s="38">
        <f>AVERAGE(VP9vsQY265_offline_superfast!Q69:Q80)</f>
        <v>-0.43257836655076737</v>
      </c>
      <c r="V7" s="38">
        <f>AVERAGE(VP9vsQY265_offline_superfast!R69:R80)</f>
        <v>-0.31270908488213361</v>
      </c>
      <c r="W7" s="38">
        <f>AVERAGE(VP9vsQY265_offline_superfast!S69:S80)</f>
        <v>-0.31096123090192535</v>
      </c>
      <c r="X7" s="38">
        <f>AVERAGE(VP9vsQY265_offline_superfast!T69:T80)</f>
        <v>-0.4080239827226782</v>
      </c>
      <c r="Y7" s="39">
        <f>AVERAGE(VP9vsQY265_offline_superfast!U69:U80)</f>
        <v>0.9573772667162036</v>
      </c>
      <c r="AB7" s="56"/>
      <c r="AC7" s="37" t="s">
        <v>43</v>
      </c>
      <c r="AD7" s="38">
        <f>AVERAGE(IntelvsQY265_offline_superfast!Q69:Q80)</f>
        <v>-3.7631420321659372E-2</v>
      </c>
      <c r="AE7" s="38">
        <f>AVERAGE(IntelvsQY265_offline_superfast!R69:R80)</f>
        <v>-0.17785711459113288</v>
      </c>
      <c r="AF7" s="38">
        <f>AVERAGE(IntelvsQY265_offline_superfast!S69:S80)</f>
        <v>-0.18740924632476175</v>
      </c>
      <c r="AG7" s="38">
        <f>AVERAGE(IntelvsQY265_offline_superfast!T69:T80)</f>
        <v>-7.2636887743666986E-2</v>
      </c>
      <c r="AH7" s="39">
        <f>AVERAGE(IntelvsQY265_offline_superfast!U69:U80)</f>
        <v>0.80580798100000006</v>
      </c>
    </row>
    <row r="8" spans="1:34" ht="16.5" thickBot="1" x14ac:dyDescent="0.3">
      <c r="A8" s="56"/>
      <c r="B8" s="41" t="s">
        <v>114</v>
      </c>
      <c r="C8" s="38">
        <f>AVERAGE(X264vsQY265_offline_superfast!Q81:Q124)</f>
        <v>-0.42713698298058811</v>
      </c>
      <c r="D8" s="38">
        <f>AVERAGE(X264vsQY265_offline_superfast!R81:R124)</f>
        <v>-0.46741274517780984</v>
      </c>
      <c r="E8" s="38">
        <f>AVERAGE(X264vsQY265_offline_superfast!S81:S124)</f>
        <v>-0.44645891463877302</v>
      </c>
      <c r="F8" s="38">
        <f>AVERAGE(X264vsQY265_offline_superfast!T81:T124)</f>
        <v>-0.43579152436232749</v>
      </c>
      <c r="G8" s="39">
        <f>AVERAGE(X264vsQY265_offline_superfast!U81:U124)</f>
        <v>-0.12640486130844575</v>
      </c>
      <c r="H8" s="40"/>
      <c r="J8" s="56"/>
      <c r="K8" s="41" t="s">
        <v>114</v>
      </c>
      <c r="L8" s="38">
        <f>AVERAGE(X265vsQY265_offline_superfast!Q81:Q124)</f>
        <v>-0.26668064225430332</v>
      </c>
      <c r="M8" s="38">
        <f>AVERAGE(X265vsQY265_offline_superfast!R81:R124)</f>
        <v>-0.37861152433192519</v>
      </c>
      <c r="N8" s="38">
        <f>AVERAGE(X265vsQY265_offline_superfast!S81:S124)</f>
        <v>-0.3707274126279323</v>
      </c>
      <c r="O8" s="38">
        <f>AVERAGE(X265vsQY265_offline_superfast!T81:T124)</f>
        <v>-0.29019262927190365</v>
      </c>
      <c r="P8" s="39">
        <f>AVERAGE(X265vsQY265_offline_superfast!U81:U124)</f>
        <v>1.5836395946949311</v>
      </c>
      <c r="S8" s="56"/>
      <c r="T8" s="41" t="s">
        <v>114</v>
      </c>
      <c r="U8" s="38">
        <f>AVERAGE(VP9vsQY265_offline_superfast!Q81:Q124)</f>
        <v>-0.32514450740116024</v>
      </c>
      <c r="V8" s="38">
        <f>AVERAGE(VP9vsQY265_offline_superfast!R81:R124)</f>
        <v>-0.4461405827975144</v>
      </c>
      <c r="W8" s="38">
        <f>AVERAGE(VP9vsQY265_offline_superfast!S81:S124)</f>
        <v>-0.43667755072589998</v>
      </c>
      <c r="X8" s="38">
        <f>AVERAGE(VP9vsQY265_offline_superfast!T81:T124)</f>
        <v>-0.35264016278588933</v>
      </c>
      <c r="Y8" s="39">
        <f>AVERAGE(VP9vsQY265_offline_superfast!U81:U124)</f>
        <v>0.61135920024479817</v>
      </c>
      <c r="AB8" s="56"/>
      <c r="AC8" s="41" t="s">
        <v>114</v>
      </c>
      <c r="AD8" s="38">
        <f>AVERAGE(IntelvsQY265_offline_superfast!Q81:Q124)</f>
        <v>0.12240500266271258</v>
      </c>
      <c r="AE8" s="38">
        <f>AVERAGE(IntelvsQY265_offline_superfast!R81:R124)</f>
        <v>5.0654770185269156E-2</v>
      </c>
      <c r="AF8" s="38">
        <f>AVERAGE(IntelvsQY265_offline_superfast!S81:S124)</f>
        <v>4.7117026882422364E-2</v>
      </c>
      <c r="AG8" s="38">
        <f>AVERAGE(IntelvsQY265_offline_superfast!T81:T124)</f>
        <v>0.10674803336967419</v>
      </c>
      <c r="AH8" s="39">
        <f>AVERAGE(IntelvsQY265_offline_superfast!U81:U124)</f>
        <v>0.67569522388636372</v>
      </c>
    </row>
    <row r="9" spans="1:34" ht="16.5" thickBot="1" x14ac:dyDescent="0.3">
      <c r="A9" s="57"/>
      <c r="B9" s="37" t="s">
        <v>77</v>
      </c>
      <c r="C9" s="38">
        <f>X264vsQY265_offline_superfast!Q125</f>
        <v>-0.46683320271482492</v>
      </c>
      <c r="D9" s="38">
        <f>X264vsQY265_offline_superfast!R125</f>
        <v>-0.54612149846878932</v>
      </c>
      <c r="E9" s="38">
        <f>X264vsQY265_offline_superfast!S125</f>
        <v>-0.53909807069518567</v>
      </c>
      <c r="F9" s="38">
        <f>X264vsQY265_offline_superfast!T125</f>
        <v>-0.48204533414837181</v>
      </c>
      <c r="G9" s="39">
        <f>X264vsQY265_offline_superfast!U125</f>
        <v>-0.14896103790810578</v>
      </c>
      <c r="H9" s="40"/>
      <c r="J9" s="57"/>
      <c r="K9" s="37" t="s">
        <v>77</v>
      </c>
      <c r="L9" s="38">
        <f>X265vsQY265_offline_superfast!Q125</f>
        <v>-0.23917551822045055</v>
      </c>
      <c r="M9" s="38">
        <f>X265vsQY265_offline_superfast!R125</f>
        <v>-0.40951526963797524</v>
      </c>
      <c r="N9" s="38">
        <f>X265vsQY265_offline_superfast!S125</f>
        <v>-0.3977371975265015</v>
      </c>
      <c r="O9" s="38">
        <f>X265vsQY265_offline_superfast!T125</f>
        <v>-0.27071656685046763</v>
      </c>
      <c r="P9" s="39">
        <f>X265vsQY265_offline_superfast!U125</f>
        <v>1.5800743224202782</v>
      </c>
      <c r="S9" s="57"/>
      <c r="T9" s="37" t="s">
        <v>77</v>
      </c>
      <c r="U9" s="38">
        <f>VP9vsQY265_offline_superfast!Q125</f>
        <v>-0.35955596321949007</v>
      </c>
      <c r="V9" s="38">
        <f>VP9vsQY265_offline_superfast!R125</f>
        <v>-0.44996868220597264</v>
      </c>
      <c r="W9" s="38">
        <f>VP9vsQY265_offline_superfast!S125</f>
        <v>-0.45429305072296505</v>
      </c>
      <c r="X9" s="38">
        <f>VP9vsQY265_offline_superfast!T125</f>
        <v>-0.38090494473392938</v>
      </c>
      <c r="Y9" s="39">
        <f>VP9vsQY265_offline_superfast!U125</f>
        <v>0.71486630677929364</v>
      </c>
      <c r="AB9" s="57"/>
      <c r="AC9" s="37" t="s">
        <v>77</v>
      </c>
      <c r="AD9" s="38">
        <f>IntelvsQY265_offline_superfast!Q125</f>
        <v>7.9438959794600472E-2</v>
      </c>
      <c r="AE9" s="38">
        <f>IntelvsQY265_offline_superfast!R125</f>
        <v>-2.8281024372046643E-4</v>
      </c>
      <c r="AF9" s="38">
        <f>IntelvsQY265_offline_superfast!S125</f>
        <v>-3.3435944232056503E-3</v>
      </c>
      <c r="AG9" s="38">
        <f>IntelvsQY265_offline_superfast!T125</f>
        <v>6.3926949185039036E-2</v>
      </c>
      <c r="AH9" s="39">
        <f>IntelvsQY265_offline_superfast!U125</f>
        <v>0.89202321941020124</v>
      </c>
    </row>
    <row r="10" spans="1:34" ht="16.5" thickBot="1" x14ac:dyDescent="0.3">
      <c r="A10" s="55" t="s">
        <v>76</v>
      </c>
      <c r="B10" s="37" t="s">
        <v>35</v>
      </c>
      <c r="C10" s="38">
        <f>AVERAGE(X264vsQY265_offline_superfast!Q131:Q138)</f>
        <v>-0.44993835382176933</v>
      </c>
      <c r="D10" s="38">
        <f>AVERAGE(X264vsQY265_offline_superfast!R131:R138)</f>
        <v>-0.55040189742828938</v>
      </c>
      <c r="E10" s="38">
        <f>AVERAGE(X264vsQY265_offline_superfast!S131:S138)</f>
        <v>-0.60799602715001499</v>
      </c>
      <c r="F10" s="38">
        <f>AVERAGE(X264vsQY265_offline_superfast!T131:T138)</f>
        <v>-0.46863245084836758</v>
      </c>
      <c r="G10" s="39">
        <f>AVERAGE(X264vsQY265_offline_superfast!U131:U138)</f>
        <v>-6.0711324289765528E-2</v>
      </c>
      <c r="H10" s="40"/>
      <c r="J10" s="55" t="s">
        <v>76</v>
      </c>
      <c r="K10" s="37" t="s">
        <v>35</v>
      </c>
      <c r="L10" s="38">
        <f>AVERAGE(X265vsQY265_offline_superfast!Q131:Q138)</f>
        <v>-0.12800241543538687</v>
      </c>
      <c r="M10" s="38">
        <f>AVERAGE(X265vsQY265_offline_superfast!R131:R138)</f>
        <v>-0.4519957691176727</v>
      </c>
      <c r="N10" s="38">
        <f>AVERAGE(X265vsQY265_offline_superfast!S131:S138)</f>
        <v>-0.4483614768944697</v>
      </c>
      <c r="O10" s="38">
        <f>AVERAGE(X265vsQY265_offline_superfast!T131:T138)</f>
        <v>-0.17988731498409899</v>
      </c>
      <c r="P10" s="39">
        <f>AVERAGE(X265vsQY265_offline_superfast!U131:U138)</f>
        <v>1.2264458331193131</v>
      </c>
      <c r="S10" s="55" t="s">
        <v>76</v>
      </c>
      <c r="T10" s="37" t="s">
        <v>35</v>
      </c>
      <c r="U10" s="38">
        <f>AVERAGE(VP9vsQY265_offline_superfast!Q131:Q138)</f>
        <v>-0.2740950368982269</v>
      </c>
      <c r="V10" s="38">
        <f>AVERAGE(VP9vsQY265_offline_superfast!R131:R138)</f>
        <v>-0.46349200316802214</v>
      </c>
      <c r="W10" s="38">
        <f>AVERAGE(VP9vsQY265_offline_superfast!S131:S138)</f>
        <v>-0.48295138576628832</v>
      </c>
      <c r="X10" s="38">
        <f>AVERAGE(VP9vsQY265_offline_superfast!T131:T138)</f>
        <v>-0.30824442288761095</v>
      </c>
      <c r="Y10" s="39">
        <f>AVERAGE(VP9vsQY265_offline_superfast!U131:U138)</f>
        <v>0.76697640044323878</v>
      </c>
      <c r="AB10" s="52" t="s">
        <v>186</v>
      </c>
      <c r="AC10" s="53"/>
      <c r="AD10" s="53"/>
      <c r="AE10" s="53"/>
      <c r="AF10" s="53"/>
      <c r="AG10" s="53"/>
      <c r="AH10" s="54"/>
    </row>
    <row r="11" spans="1:34" ht="16.5" thickBot="1" x14ac:dyDescent="0.3">
      <c r="A11" s="56"/>
      <c r="B11" s="37" t="s">
        <v>37</v>
      </c>
      <c r="C11" s="38">
        <f>AVERAGE(X264vsQY265_offline_superfast!Q139:Q158)</f>
        <v>-0.5433374524186787</v>
      </c>
      <c r="D11" s="38">
        <f>AVERAGE(X264vsQY265_offline_superfast!R139:R158)</f>
        <v>-0.5913571591803034</v>
      </c>
      <c r="E11" s="38">
        <f>AVERAGE(X264vsQY265_offline_superfast!S139:S158)</f>
        <v>-0.60472179691314332</v>
      </c>
      <c r="F11" s="38">
        <f>AVERAGE(X264vsQY265_offline_superfast!T139:T158)</f>
        <v>-0.55270272532062337</v>
      </c>
      <c r="G11" s="39">
        <f>AVERAGE(X264vsQY265_offline_superfast!U139:U158)</f>
        <v>9.6831330934154761E-2</v>
      </c>
      <c r="H11" s="40"/>
      <c r="J11" s="56"/>
      <c r="K11" s="37" t="s">
        <v>37</v>
      </c>
      <c r="L11" s="38">
        <f>AVERAGE(X265vsQY265_offline_superfast!Q139:Q158)</f>
        <v>-0.1988659408509699</v>
      </c>
      <c r="M11" s="38">
        <f>AVERAGE(X265vsQY265_offline_superfast!R139:R158)</f>
        <v>-0.43582724648798249</v>
      </c>
      <c r="N11" s="38">
        <f>AVERAGE(X265vsQY265_offline_superfast!S139:S158)</f>
        <v>-0.42677860869389778</v>
      </c>
      <c r="O11" s="38">
        <f>AVERAGE(X265vsQY265_offline_superfast!T139:T158)</f>
        <v>-0.23954852302645033</v>
      </c>
      <c r="P11" s="39">
        <f>AVERAGE(X265vsQY265_offline_superfast!U139:U158)</f>
        <v>1.4070027975405877</v>
      </c>
      <c r="S11" s="56"/>
      <c r="T11" s="37" t="s">
        <v>37</v>
      </c>
      <c r="U11" s="38">
        <f>AVERAGE(VP9vsQY265_offline_superfast!Q139:Q158)</f>
        <v>-0.40620858488145473</v>
      </c>
      <c r="V11" s="38">
        <f>AVERAGE(VP9vsQY265_offline_superfast!R139:R158)</f>
        <v>-0.49992394429196885</v>
      </c>
      <c r="W11" s="38">
        <f>AVERAGE(VP9vsQY265_offline_superfast!S139:S158)</f>
        <v>-0.51385176787196385</v>
      </c>
      <c r="X11" s="38">
        <f>AVERAGE(VP9vsQY265_offline_superfast!T139:T158)</f>
        <v>-0.42750824714720165</v>
      </c>
      <c r="Y11" s="39">
        <f>AVERAGE(VP9vsQY265_offline_superfast!U139:U158)</f>
        <v>0.94760717576251463</v>
      </c>
      <c r="AB11" s="37" t="s">
        <v>129</v>
      </c>
      <c r="AC11" s="37" t="s">
        <v>73</v>
      </c>
      <c r="AD11" s="37" t="s">
        <v>69</v>
      </c>
      <c r="AE11" s="37" t="s">
        <v>70</v>
      </c>
      <c r="AF11" s="37" t="s">
        <v>71</v>
      </c>
      <c r="AG11" s="37" t="s">
        <v>72</v>
      </c>
      <c r="AH11" s="37" t="s">
        <v>75</v>
      </c>
    </row>
    <row r="12" spans="1:34" ht="16.5" thickBot="1" x14ac:dyDescent="0.3">
      <c r="A12" s="56"/>
      <c r="B12" s="37" t="s">
        <v>39</v>
      </c>
      <c r="C12" s="38">
        <f>AVERAGE(X264vsQY265_offline_superfast!Q159:Q174)</f>
        <v>-0.45983010331999752</v>
      </c>
      <c r="D12" s="38">
        <f>AVERAGE(X264vsQY265_offline_superfast!R159:R174)</f>
        <v>-0.5564454068101129</v>
      </c>
      <c r="E12" s="38">
        <f>AVERAGE(X264vsQY265_offline_superfast!S159:S174)</f>
        <v>-0.52429101699783964</v>
      </c>
      <c r="F12" s="38">
        <f>AVERAGE(X264vsQY265_offline_superfast!T159:T174)</f>
        <v>-0.47431643986193717</v>
      </c>
      <c r="G12" s="39">
        <f>AVERAGE(X264vsQY265_offline_superfast!U159:U174)</f>
        <v>-0.24657964693527062</v>
      </c>
      <c r="H12" s="40"/>
      <c r="J12" s="56"/>
      <c r="K12" s="37" t="s">
        <v>39</v>
      </c>
      <c r="L12" s="38">
        <f>AVERAGE(X265vsQY265_offline_superfast!Q159:Q174)</f>
        <v>-0.22247246055360936</v>
      </c>
      <c r="M12" s="38">
        <f>AVERAGE(X265vsQY265_offline_superfast!R159:R174)</f>
        <v>-0.42401972647248964</v>
      </c>
      <c r="N12" s="38">
        <f>AVERAGE(X265vsQY265_offline_superfast!S159:S174)</f>
        <v>-0.39000920138354256</v>
      </c>
      <c r="O12" s="38">
        <f>AVERAGE(X265vsQY265_offline_superfast!T159:T174)</f>
        <v>-0.25739542158413142</v>
      </c>
      <c r="P12" s="39">
        <f>AVERAGE(X265vsQY265_offline_superfast!U159:U174)</f>
        <v>1.1327635899853601</v>
      </c>
      <c r="S12" s="56"/>
      <c r="T12" s="37" t="s">
        <v>39</v>
      </c>
      <c r="U12" s="38">
        <f>AVERAGE(VP9vsQY265_offline_superfast!Q159:Q174)</f>
        <v>-0.31494789289865721</v>
      </c>
      <c r="V12" s="38">
        <f>AVERAGE(VP9vsQY265_offline_superfast!R159:R174)</f>
        <v>-0.47526361622838859</v>
      </c>
      <c r="W12" s="38">
        <f>AVERAGE(VP9vsQY265_offline_superfast!S159:S174)</f>
        <v>-0.47393558941284064</v>
      </c>
      <c r="X12" s="38">
        <f>AVERAGE(VP9vsQY265_offline_superfast!T159:T174)</f>
        <v>-0.35048459700958279</v>
      </c>
      <c r="Y12" s="39">
        <f>AVERAGE(VP9vsQY265_offline_superfast!U159:U174)</f>
        <v>1.4478323547385525</v>
      </c>
      <c r="AB12" s="55" t="s">
        <v>76</v>
      </c>
      <c r="AC12" s="37" t="s">
        <v>35</v>
      </c>
      <c r="AD12" s="38">
        <f>AVERAGE(IntelvsQY265_offline_veryfast!Q9:Q16)</f>
        <v>-5.2095272120908587E-2</v>
      </c>
      <c r="AE12" s="38">
        <f>AVERAGE(IntelvsQY265_offline_veryfast!R9:R16)</f>
        <v>-8.5742554540477911E-2</v>
      </c>
      <c r="AF12" s="38">
        <f>AVERAGE(IntelvsQY265_offline_veryfast!S9:S16)</f>
        <v>-8.7909814438972222E-2</v>
      </c>
      <c r="AG12" s="38">
        <f>AVERAGE(IntelvsQY265_offline_veryfast!T9:T16)</f>
        <v>-5.6593903108316523E-2</v>
      </c>
      <c r="AH12" s="39">
        <f>AVERAGE(IntelvsQY265_offline_veryfast!U9:U16)</f>
        <v>0.2484767838333333</v>
      </c>
    </row>
    <row r="13" spans="1:34" ht="16.5" thickBot="1" x14ac:dyDescent="0.3">
      <c r="A13" s="56"/>
      <c r="B13" s="37" t="s">
        <v>41</v>
      </c>
      <c r="C13" s="38">
        <f>AVERAGE(X264vsQY265_offline_superfast!Q175:Q190)</f>
        <v>-0.40760479799259552</v>
      </c>
      <c r="D13" s="38">
        <f>AVERAGE(X264vsQY265_offline_superfast!R175:R190)</f>
        <v>-0.58568881900031156</v>
      </c>
      <c r="E13" s="38">
        <f>AVERAGE(X264vsQY265_offline_superfast!S175:S190)</f>
        <v>-0.56923297070042667</v>
      </c>
      <c r="F13" s="38">
        <f>AVERAGE(X264vsQY265_offline_superfast!T175:T190)</f>
        <v>-0.43799192969567657</v>
      </c>
      <c r="G13" s="39">
        <f>AVERAGE(X264vsQY265_offline_superfast!U175:U190)</f>
        <v>-0.50769072475642518</v>
      </c>
      <c r="H13" s="40"/>
      <c r="J13" s="56"/>
      <c r="K13" s="37" t="s">
        <v>41</v>
      </c>
      <c r="L13" s="38">
        <f>AVERAGE(X265vsQY265_offline_superfast!Q175:Q190)</f>
        <v>-0.27560638681103028</v>
      </c>
      <c r="M13" s="38">
        <f>AVERAGE(X265vsQY265_offline_superfast!R175:R190)</f>
        <v>-0.45854465801948974</v>
      </c>
      <c r="N13" s="38">
        <f>AVERAGE(X265vsQY265_offline_superfast!S175:S190)</f>
        <v>-0.44616454248234966</v>
      </c>
      <c r="O13" s="38">
        <f>AVERAGE(X265vsQY265_offline_superfast!T175:T190)</f>
        <v>-0.3096113533440551</v>
      </c>
      <c r="P13" s="39">
        <f>AVERAGE(X265vsQY265_offline_superfast!U175:U190)</f>
        <v>0.77930103323432776</v>
      </c>
      <c r="S13" s="56"/>
      <c r="T13" s="37" t="s">
        <v>41</v>
      </c>
      <c r="U13" s="38">
        <f>AVERAGE(VP9vsQY265_offline_superfast!Q175:Q190)</f>
        <v>-0.36019848593931197</v>
      </c>
      <c r="V13" s="38">
        <f>AVERAGE(VP9vsQY265_offline_superfast!R175:R190)</f>
        <v>-0.43971112001852003</v>
      </c>
      <c r="W13" s="38">
        <f>AVERAGE(VP9vsQY265_offline_superfast!S175:S190)</f>
        <v>-0.46946321678787417</v>
      </c>
      <c r="X13" s="38">
        <f>AVERAGE(VP9vsQY265_offline_superfast!T175:T190)</f>
        <v>-0.3864544490469447</v>
      </c>
      <c r="Y13" s="39">
        <f>AVERAGE(VP9vsQY265_offline_superfast!U175:U190)</f>
        <v>2.3896469034724346</v>
      </c>
      <c r="AB13" s="56"/>
      <c r="AC13" s="37" t="s">
        <v>37</v>
      </c>
      <c r="AD13" s="38">
        <f>AVERAGE(IntelvsQY265_offline_veryfast!Q17:Q36)</f>
        <v>-1.1809931699175302E-2</v>
      </c>
      <c r="AE13" s="38">
        <f>AVERAGE(IntelvsQY265_offline_veryfast!R17:R36)</f>
        <v>-3.3567312115342474E-2</v>
      </c>
      <c r="AF13" s="38">
        <f>AVERAGE(IntelvsQY265_offline_veryfast!S17:S36)</f>
        <v>-4.933582475274767E-2</v>
      </c>
      <c r="AG13" s="38">
        <f>AVERAGE(IntelvsQY265_offline_veryfast!T17:T36)</f>
        <v>-1.6952267506825013E-2</v>
      </c>
      <c r="AH13" s="39">
        <f>AVERAGE(IntelvsQY265_offline_veryfast!U17:U36)</f>
        <v>0.40543745491666672</v>
      </c>
    </row>
    <row r="14" spans="1:34" ht="16.5" thickBot="1" x14ac:dyDescent="0.3">
      <c r="A14" s="56"/>
      <c r="B14" s="37" t="s">
        <v>43</v>
      </c>
      <c r="C14" s="38">
        <f>AVERAGE(X264vsQY265_offline_superfast!Q191:Q202)</f>
        <v>-0.51862185268629668</v>
      </c>
      <c r="D14" s="38">
        <f>AVERAGE(X264vsQY265_offline_superfast!R191:R202)</f>
        <v>-0.64244078785332903</v>
      </c>
      <c r="E14" s="38">
        <f>AVERAGE(X264vsQY265_offline_superfast!S191:S202)</f>
        <v>-0.6447687992222807</v>
      </c>
      <c r="F14" s="38">
        <f>AVERAGE(X264vsQY265_offline_superfast!T191:T202)</f>
        <v>-0.5484368270528811</v>
      </c>
      <c r="G14" s="39">
        <f>AVERAGE(X264vsQY265_offline_superfast!U191:U202)</f>
        <v>-1.6747038757705376E-2</v>
      </c>
      <c r="H14" s="40"/>
      <c r="J14" s="56"/>
      <c r="K14" s="37" t="s">
        <v>43</v>
      </c>
      <c r="L14" s="38">
        <f>AVERAGE(X265vsQY265_offline_superfast!Q191:Q202)</f>
        <v>-0.36602989032736238</v>
      </c>
      <c r="M14" s="38">
        <f>AVERAGE(X265vsQY265_offline_superfast!R191:R202)</f>
        <v>-0.44427062744045004</v>
      </c>
      <c r="N14" s="38">
        <f>AVERAGE(X265vsQY265_offline_superfast!S191:S202)</f>
        <v>-0.43423126924331368</v>
      </c>
      <c r="O14" s="38">
        <f>AVERAGE(X265vsQY265_offline_superfast!T191:T202)</f>
        <v>-0.3819936809500426</v>
      </c>
      <c r="P14" s="39">
        <f>AVERAGE(X265vsQY265_offline_superfast!U191:U202)</f>
        <v>1.1828440815729921</v>
      </c>
      <c r="S14" s="56"/>
      <c r="T14" s="37" t="s">
        <v>43</v>
      </c>
      <c r="U14" s="38">
        <f>AVERAGE(VP9vsQY265_offline_superfast!Q191:Q202)</f>
        <v>-0.41485919318283421</v>
      </c>
      <c r="V14" s="38">
        <f>AVERAGE(VP9vsQY265_offline_superfast!R191:R202)</f>
        <v>-0.30386253083877784</v>
      </c>
      <c r="W14" s="38">
        <f>AVERAGE(VP9vsQY265_offline_superfast!S191:S202)</f>
        <v>-0.30218597049840229</v>
      </c>
      <c r="X14" s="38">
        <f>AVERAGE(VP9vsQY265_offline_superfast!T191:T202)</f>
        <v>-0.39271263552022023</v>
      </c>
      <c r="Y14" s="39">
        <f>AVERAGE(VP9vsQY265_offline_superfast!U191:U202)</f>
        <v>0.66908472486143544</v>
      </c>
      <c r="AB14" s="56"/>
      <c r="AC14" s="37" t="s">
        <v>39</v>
      </c>
      <c r="AD14" s="38">
        <f>AVERAGE(IntelvsQY265_offline_veryfast!Q37:Q52)</f>
        <v>-2.3777941695014237E-2</v>
      </c>
      <c r="AE14" s="38">
        <f>AVERAGE(IntelvsQY265_offline_veryfast!R37:R52)</f>
        <v>-5.7182819065668411E-2</v>
      </c>
      <c r="AF14" s="38">
        <f>AVERAGE(IntelvsQY265_offline_veryfast!S37:S52)</f>
        <v>-5.2432385620412914E-2</v>
      </c>
      <c r="AG14" s="38">
        <f>AVERAGE(IntelvsQY265_offline_veryfast!T37:T52)</f>
        <v>-2.9009712530137677E-2</v>
      </c>
      <c r="AH14" s="39">
        <f>AVERAGE(IntelvsQY265_offline_veryfast!U37:U52)</f>
        <v>0.38098474622291661</v>
      </c>
    </row>
    <row r="15" spans="1:34" ht="16.5" thickBot="1" x14ac:dyDescent="0.3">
      <c r="A15" s="56"/>
      <c r="B15" s="41" t="s">
        <v>114</v>
      </c>
      <c r="C15" s="38">
        <f>AVERAGE(X264vsQY265_offline_superfast!Q203:Q246)</f>
        <v>-0.41774961527919297</v>
      </c>
      <c r="D15" s="38">
        <f>AVERAGE(X264vsQY265_offline_superfast!R203:R246)</f>
        <v>-0.45258539961192451</v>
      </c>
      <c r="E15" s="38">
        <f>AVERAGE(X264vsQY265_offline_superfast!S203:S246)</f>
        <v>-0.43532744197611772</v>
      </c>
      <c r="F15" s="38">
        <f>AVERAGE(X264vsQY265_offline_superfast!T203:T246)</f>
        <v>-0.42556633869761629</v>
      </c>
      <c r="G15" s="39">
        <f>AVERAGE(X264vsQY265_offline_superfast!U203:U246)</f>
        <v>-3.4897179545121157E-2</v>
      </c>
      <c r="H15" s="40"/>
      <c r="J15" s="56"/>
      <c r="K15" s="41" t="s">
        <v>114</v>
      </c>
      <c r="L15" s="38">
        <f>AVERAGE(X265vsQY265_offline_superfast!Q203:Q246)</f>
        <v>-0.28365101354460132</v>
      </c>
      <c r="M15" s="38">
        <f>AVERAGE(X265vsQY265_offline_superfast!R203:R246)</f>
        <v>-0.38446370746656489</v>
      </c>
      <c r="N15" s="38">
        <f>AVERAGE(X265vsQY265_offline_superfast!S203:S246)</f>
        <v>-0.37963840137776433</v>
      </c>
      <c r="O15" s="38">
        <f>AVERAGE(X265vsQY265_offline_superfast!T203:T246)</f>
        <v>-0.30469165491445466</v>
      </c>
      <c r="P15" s="39">
        <f>AVERAGE(X265vsQY265_offline_superfast!U203:U246)</f>
        <v>1.3173285870669871</v>
      </c>
      <c r="S15" s="56"/>
      <c r="T15" s="41" t="s">
        <v>114</v>
      </c>
      <c r="U15" s="38">
        <f>AVERAGE(VP9vsQY265_offline_superfast!Q203:Q246)</f>
        <v>-0.31013274170409133</v>
      </c>
      <c r="V15" s="38">
        <f>AVERAGE(VP9vsQY265_offline_superfast!R203:R246)</f>
        <v>-0.42681094023627414</v>
      </c>
      <c r="W15" s="38">
        <f>AVERAGE(VP9vsQY265_offline_superfast!S203:S246)</f>
        <v>-0.42514373132793976</v>
      </c>
      <c r="X15" s="38">
        <f>AVERAGE(VP9vsQY265_offline_superfast!T203:T246)</f>
        <v>-0.33745184032608272</v>
      </c>
      <c r="Y15" s="39">
        <f>AVERAGE(VP9vsQY265_offline_superfast!U203:U246)</f>
        <v>0.70671685401454143</v>
      </c>
      <c r="AB15" s="56"/>
      <c r="AC15" s="37" t="s">
        <v>41</v>
      </c>
      <c r="AD15" s="38">
        <f>AVERAGE(IntelvsQY265_offline_veryfast!Q53:Q68)</f>
        <v>5.8238442722574613E-3</v>
      </c>
      <c r="AE15" s="38">
        <f>AVERAGE(IntelvsQY265_offline_veryfast!R53:R68)</f>
        <v>-5.6840792586609762E-2</v>
      </c>
      <c r="AF15" s="38">
        <f>AVERAGE(IntelvsQY265_offline_veryfast!S53:S68)</f>
        <v>-5.0892678666660002E-2</v>
      </c>
      <c r="AG15" s="38">
        <f>AVERAGE(IntelvsQY265_offline_veryfast!T53:T68)</f>
        <v>-4.924199953804137E-3</v>
      </c>
      <c r="AH15" s="39">
        <f>AVERAGE(IntelvsQY265_offline_veryfast!U53:U68)</f>
        <v>0.52701931466458329</v>
      </c>
    </row>
    <row r="16" spans="1:34" ht="15.75" customHeight="1" thickBot="1" x14ac:dyDescent="0.3">
      <c r="A16" s="57"/>
      <c r="B16" s="37" t="s">
        <v>77</v>
      </c>
      <c r="C16" s="38">
        <f>X264vsQY265_offline_superfast!Q247</f>
        <v>-0.45646258279714891</v>
      </c>
      <c r="D16" s="38">
        <f>X264vsQY265_offline_superfast!R247</f>
        <v>-0.53558235356175699</v>
      </c>
      <c r="E16" s="38">
        <f>X264vsQY265_offline_superfast!S247</f>
        <v>-0.52884845686423965</v>
      </c>
      <c r="F16" s="38">
        <f>X264vsQY265_offline_superfast!T247</f>
        <v>-0.47160524873664578</v>
      </c>
      <c r="G16" s="39">
        <f>X264vsQY265_offline_superfast!U247</f>
        <v>-0.10649853696362031</v>
      </c>
      <c r="H16" s="40"/>
      <c r="J16" s="57"/>
      <c r="K16" s="37" t="s">
        <v>77</v>
      </c>
      <c r="L16" s="38">
        <f>X265vsQY265_offline_superfast!Q247</f>
        <v>-0.25727243946747869</v>
      </c>
      <c r="M16" s="38">
        <f>X265vsQY265_offline_superfast!R247</f>
        <v>-0.41983786114126703</v>
      </c>
      <c r="N16" s="38">
        <f>X265vsQY265_offline_superfast!S247</f>
        <v>-0.40875955846921874</v>
      </c>
      <c r="O16" s="38">
        <f>X265vsQY265_offline_superfast!T247</f>
        <v>-0.28700460661111465</v>
      </c>
      <c r="P16" s="39">
        <f>X265vsQY265_offline_superfast!U247</f>
        <v>1.2129417534233153</v>
      </c>
      <c r="S16" s="57"/>
      <c r="T16" s="37" t="s">
        <v>77</v>
      </c>
      <c r="U16" s="38">
        <f>VP9vsQY265_offline_superfast!Q247</f>
        <v>-0.34261573282238311</v>
      </c>
      <c r="V16" s="38">
        <f>VP9vsQY265_offline_superfast!R247</f>
        <v>-0.43769002096203008</v>
      </c>
      <c r="W16" s="38">
        <f>VP9vsQY265_offline_superfast!S247</f>
        <v>-0.44454813075164817</v>
      </c>
      <c r="X16" s="38">
        <f>VP9vsQY265_offline_superfast!T247</f>
        <v>-0.36523773847878993</v>
      </c>
      <c r="Y16" s="39">
        <f>VP9vsQY265_offline_superfast!U247</f>
        <v>1.0828636303892158</v>
      </c>
      <c r="AB16" s="56"/>
      <c r="AC16" s="37" t="s">
        <v>43</v>
      </c>
      <c r="AD16" s="38">
        <f>AVERAGE(IntelvsQY265_offline_veryfast!Q69:Q80)</f>
        <v>-9.2865386427156957E-2</v>
      </c>
      <c r="AE16" s="38">
        <f>AVERAGE(IntelvsQY265_offline_veryfast!R69:R80)</f>
        <v>-0.19262264360162681</v>
      </c>
      <c r="AF16" s="38">
        <f>AVERAGE(IntelvsQY265_offline_veryfast!S69:S80)</f>
        <v>-0.19721483595412145</v>
      </c>
      <c r="AG16" s="38">
        <f>AVERAGE(IntelvsQY265_offline_veryfast!T69:T80)</f>
        <v>-0.11799363945474421</v>
      </c>
      <c r="AH16" s="39">
        <f>AVERAGE(IntelvsQY265_offline_veryfast!U69:U80)</f>
        <v>0.30458582791666672</v>
      </c>
    </row>
    <row r="17" spans="1:34" ht="16.5" thickBot="1" x14ac:dyDescent="0.3">
      <c r="A17" s="52" t="s">
        <v>115</v>
      </c>
      <c r="B17" s="53"/>
      <c r="C17" s="53"/>
      <c r="D17" s="53"/>
      <c r="E17" s="53"/>
      <c r="F17" s="53"/>
      <c r="G17" s="54"/>
      <c r="H17" s="40"/>
      <c r="J17" s="52" t="s">
        <v>120</v>
      </c>
      <c r="K17" s="53"/>
      <c r="L17" s="53"/>
      <c r="M17" s="53"/>
      <c r="N17" s="53"/>
      <c r="O17" s="53"/>
      <c r="P17" s="54"/>
      <c r="S17" s="52" t="s">
        <v>124</v>
      </c>
      <c r="T17" s="53"/>
      <c r="U17" s="53"/>
      <c r="V17" s="53"/>
      <c r="W17" s="53"/>
      <c r="X17" s="53"/>
      <c r="Y17" s="54"/>
      <c r="AB17" s="56"/>
      <c r="AC17" s="41" t="s">
        <v>114</v>
      </c>
      <c r="AD17" s="38">
        <f>AVERAGE(IntelvsQY265_offline_veryfast!Q81:Q124)</f>
        <v>3.5099508764504447E-2</v>
      </c>
      <c r="AE17" s="38">
        <f>AVERAGE(IntelvsQY265_offline_veryfast!R81:R124)</f>
        <v>-4.3114150706256342E-2</v>
      </c>
      <c r="AF17" s="38">
        <f>AVERAGE(IntelvsQY265_offline_veryfast!S81:S124)</f>
        <v>-4.6815910072278651E-2</v>
      </c>
      <c r="AG17" s="38">
        <f>AVERAGE(IntelvsQY265_offline_veryfast!T81:T124)</f>
        <v>1.7346770334209002E-2</v>
      </c>
      <c r="AH17" s="39">
        <f>AVERAGE(IntelvsQY265_offline_veryfast!U81:U124)</f>
        <v>0.21957430598737365</v>
      </c>
    </row>
    <row r="18" spans="1:34" ht="16.5" thickBot="1" x14ac:dyDescent="0.3">
      <c r="A18" s="37" t="s">
        <v>74</v>
      </c>
      <c r="B18" s="37" t="s">
        <v>73</v>
      </c>
      <c r="C18" s="37" t="s">
        <v>69</v>
      </c>
      <c r="D18" s="37" t="s">
        <v>70</v>
      </c>
      <c r="E18" s="37" t="s">
        <v>71</v>
      </c>
      <c r="F18" s="37" t="s">
        <v>72</v>
      </c>
      <c r="G18" s="37" t="s">
        <v>75</v>
      </c>
      <c r="H18" s="40"/>
      <c r="J18" s="37" t="s">
        <v>74</v>
      </c>
      <c r="K18" s="37" t="s">
        <v>73</v>
      </c>
      <c r="L18" s="37" t="s">
        <v>69</v>
      </c>
      <c r="M18" s="37" t="s">
        <v>70</v>
      </c>
      <c r="N18" s="37" t="s">
        <v>71</v>
      </c>
      <c r="O18" s="37" t="s">
        <v>72</v>
      </c>
      <c r="P18" s="37" t="s">
        <v>75</v>
      </c>
      <c r="S18" s="37" t="s">
        <v>129</v>
      </c>
      <c r="T18" s="37" t="s">
        <v>73</v>
      </c>
      <c r="U18" s="37" t="s">
        <v>69</v>
      </c>
      <c r="V18" s="37" t="s">
        <v>70</v>
      </c>
      <c r="W18" s="37" t="s">
        <v>71</v>
      </c>
      <c r="X18" s="37" t="s">
        <v>72</v>
      </c>
      <c r="Y18" s="37" t="s">
        <v>75</v>
      </c>
      <c r="AB18" s="57"/>
      <c r="AC18" s="37" t="s">
        <v>77</v>
      </c>
      <c r="AD18" s="38">
        <f>IntelvsQY265_offline_veryfast!Q125</f>
        <v>-4.3985570793325084E-3</v>
      </c>
      <c r="AE18" s="38">
        <f>IntelvsQY265_offline_veryfast!R125</f>
        <v>-6.3708265684154525E-2</v>
      </c>
      <c r="AF18" s="38">
        <f>IntelvsQY265_offline_veryfast!S125</f>
        <v>-6.6979949256807017E-2</v>
      </c>
      <c r="AG18" s="38">
        <f>IntelvsQY265_offline_veryfast!T125</f>
        <v>-1.7132801323257205E-2</v>
      </c>
      <c r="AH18" s="39">
        <f>IntelvsQY265_offline_veryfast!U125</f>
        <v>0.32707696329003838</v>
      </c>
    </row>
    <row r="19" spans="1:34" ht="16.5" thickBot="1" x14ac:dyDescent="0.3">
      <c r="A19" s="55">
        <v>1</v>
      </c>
      <c r="B19" s="37" t="s">
        <v>35</v>
      </c>
      <c r="C19" s="38">
        <f>AVERAGE(X264vsQY265_offline_veryfast!Q9:Q16)</f>
        <v>-0.44765789381684434</v>
      </c>
      <c r="D19" s="38">
        <f>AVERAGE(X264vsQY265_offline_veryfast!R9:R16)</f>
        <v>-0.44929645397292411</v>
      </c>
      <c r="E19" s="38">
        <f>AVERAGE(X264vsQY265_offline_veryfast!S9:S16)</f>
        <v>-0.48528649085122288</v>
      </c>
      <c r="F19" s="38">
        <f>AVERAGE(X264vsQY265_offline_veryfast!T9:T16)</f>
        <v>-0.45093046464670938</v>
      </c>
      <c r="G19" s="39">
        <f>AVERAGE(X264vsQY265_offline_veryfast!U9:U16)</f>
        <v>6.6961547725237006E-2</v>
      </c>
      <c r="H19" s="40"/>
      <c r="J19" s="55">
        <v>1</v>
      </c>
      <c r="K19" s="37" t="s">
        <v>35</v>
      </c>
      <c r="L19" s="38">
        <f>AVERAGE(X265vsQY265_offline_veryfast!Q9:Q16)</f>
        <v>-5.0770478875901415E-2</v>
      </c>
      <c r="M19" s="38">
        <f>AVERAGE(X265vsQY265_offline_veryfast!R9:R16)</f>
        <v>-0.25411651146852943</v>
      </c>
      <c r="N19" s="38">
        <f>AVERAGE(X265vsQY265_offline_veryfast!S9:S16)</f>
        <v>-0.25154909979016915</v>
      </c>
      <c r="O19" s="38">
        <f>AVERAGE(X265vsQY265_offline_veryfast!T9:T16)</f>
        <v>-7.9786857501295716E-2</v>
      </c>
      <c r="P19" s="39">
        <f>AVERAGE(X265vsQY265_offline_veryfast!U9:U16)</f>
        <v>1.8921960440895229</v>
      </c>
      <c r="S19" s="55">
        <v>1</v>
      </c>
      <c r="T19" s="37" t="s">
        <v>35</v>
      </c>
      <c r="U19" s="38">
        <f>AVERAGE(VP9vsQY265_offline_veryfast!Q9:Q16)</f>
        <v>-0.35112894656423516</v>
      </c>
      <c r="V19" s="38">
        <f>AVERAGE(VP9vsQY265_offline_veryfast!R9:R16)</f>
        <v>-0.49687682430333285</v>
      </c>
      <c r="W19" s="38">
        <f>AVERAGE(VP9vsQY265_offline_veryfast!S9:S16)</f>
        <v>-0.51543958813553636</v>
      </c>
      <c r="X19" s="38">
        <f>AVERAGE(VP9vsQY265_offline_veryfast!T9:T16)</f>
        <v>-0.37878862719827255</v>
      </c>
      <c r="Y19" s="39">
        <f>AVERAGE(VP9vsQY265_offline_veryfast!U9:U16)</f>
        <v>0.33815346493609394</v>
      </c>
      <c r="AB19" s="52" t="s">
        <v>187</v>
      </c>
      <c r="AC19" s="53"/>
      <c r="AD19" s="53"/>
      <c r="AE19" s="53"/>
      <c r="AF19" s="53"/>
      <c r="AG19" s="53"/>
      <c r="AH19" s="54"/>
    </row>
    <row r="20" spans="1:34" ht="16.5" thickBot="1" x14ac:dyDescent="0.3">
      <c r="A20" s="56"/>
      <c r="B20" s="37" t="s">
        <v>37</v>
      </c>
      <c r="C20" s="38">
        <f>AVERAGE(X264vsQY265_offline_veryfast!Q17:Q36)</f>
        <v>-0.5580002942966904</v>
      </c>
      <c r="D20" s="38">
        <f>AVERAGE(X264vsQY265_offline_veryfast!R17:R36)</f>
        <v>-0.58063354240628418</v>
      </c>
      <c r="E20" s="38">
        <f>AVERAGE(X264vsQY265_offline_veryfast!S17:S36)</f>
        <v>-0.59847347843972043</v>
      </c>
      <c r="F20" s="38">
        <f>AVERAGE(X264vsQY265_offline_veryfast!T17:T36)</f>
        <v>-0.56397539868440716</v>
      </c>
      <c r="G20" s="39">
        <f>AVERAGE(X264vsQY265_offline_veryfast!U17:U36)</f>
        <v>0.2447241037478721</v>
      </c>
      <c r="H20" s="40"/>
      <c r="J20" s="56"/>
      <c r="K20" s="37" t="s">
        <v>37</v>
      </c>
      <c r="L20" s="38">
        <f>AVERAGE(X265vsQY265_offline_veryfast!Q17:Q36)</f>
        <v>-2.3115771053038747E-2</v>
      </c>
      <c r="M20" s="38">
        <f>AVERAGE(X265vsQY265_offline_veryfast!R17:R36)</f>
        <v>-0.19160215831666677</v>
      </c>
      <c r="N20" s="38">
        <f>AVERAGE(X265vsQY265_offline_veryfast!S17:S36)</f>
        <v>-0.17947055529580719</v>
      </c>
      <c r="O20" s="38">
        <f>AVERAGE(X265vsQY265_offline_veryfast!T17:T36)</f>
        <v>-5.2078191172165965E-2</v>
      </c>
      <c r="P20" s="39">
        <f>AVERAGE(X265vsQY265_offline_veryfast!U17:U36)</f>
        <v>2.1370616573632724</v>
      </c>
      <c r="S20" s="56"/>
      <c r="T20" s="37" t="s">
        <v>37</v>
      </c>
      <c r="U20" s="38">
        <f>AVERAGE(VP9vsQY265_offline_veryfast!Q17:Q36)</f>
        <v>-0.46831032992944044</v>
      </c>
      <c r="V20" s="38">
        <f>AVERAGE(VP9vsQY265_offline_veryfast!R17:R36)</f>
        <v>-0.52260541452105036</v>
      </c>
      <c r="W20" s="38">
        <f>AVERAGE(VP9vsQY265_offline_veryfast!S17:S36)</f>
        <v>-0.53693153419140816</v>
      </c>
      <c r="X20" s="38">
        <f>AVERAGE(VP9vsQY265_offline_veryfast!T17:T36)</f>
        <v>-0.48223844372174202</v>
      </c>
      <c r="Y20" s="39">
        <f>AVERAGE(VP9vsQY265_offline_veryfast!U17:U36)</f>
        <v>0.49759783557813908</v>
      </c>
      <c r="AB20" s="37" t="s">
        <v>129</v>
      </c>
      <c r="AC20" s="37" t="s">
        <v>73</v>
      </c>
      <c r="AD20" s="37" t="s">
        <v>69</v>
      </c>
      <c r="AE20" s="37" t="s">
        <v>70</v>
      </c>
      <c r="AF20" s="37" t="s">
        <v>71</v>
      </c>
      <c r="AG20" s="37" t="s">
        <v>72</v>
      </c>
      <c r="AH20" s="37" t="s">
        <v>75</v>
      </c>
    </row>
    <row r="21" spans="1:34" ht="16.5" thickBot="1" x14ac:dyDescent="0.3">
      <c r="A21" s="56"/>
      <c r="B21" s="37" t="s">
        <v>39</v>
      </c>
      <c r="C21" s="38">
        <f>AVERAGE(X264vsQY265_offline_veryfast!Q37:Q52)</f>
        <v>-0.41882986392208099</v>
      </c>
      <c r="D21" s="38">
        <f>AVERAGE(X264vsQY265_offline_veryfast!R37:R52)</f>
        <v>-0.52211971931245338</v>
      </c>
      <c r="E21" s="38">
        <f>AVERAGE(X264vsQY265_offline_veryfast!S37:S52)</f>
        <v>-0.50581586207379792</v>
      </c>
      <c r="F21" s="38">
        <f>AVERAGE(X264vsQY265_offline_veryfast!T37:T52)</f>
        <v>-0.43539695743466711</v>
      </c>
      <c r="G21" s="39">
        <f>AVERAGE(X264vsQY265_offline_veryfast!U37:U52)</f>
        <v>-7.3426599653120234E-2</v>
      </c>
      <c r="H21" s="40"/>
      <c r="J21" s="56"/>
      <c r="K21" s="37" t="s">
        <v>39</v>
      </c>
      <c r="L21" s="38">
        <f>AVERAGE(X265vsQY265_offline_veryfast!Q37:Q52)</f>
        <v>-2.0671406466871711E-2</v>
      </c>
      <c r="M21" s="38">
        <f>AVERAGE(X265vsQY265_offline_veryfast!R37:R52)</f>
        <v>-0.20045983208800297</v>
      </c>
      <c r="N21" s="38">
        <f>AVERAGE(X265vsQY265_offline_veryfast!S37:S52)</f>
        <v>-0.17904221385568789</v>
      </c>
      <c r="O21" s="38">
        <f>AVERAGE(X265vsQY265_offline_veryfast!T37:T52)</f>
        <v>-5.2220587655067457E-2</v>
      </c>
      <c r="P21" s="39">
        <f>AVERAGE(X265vsQY265_offline_veryfast!U37:U52)</f>
        <v>1.9402763888130841</v>
      </c>
      <c r="S21" s="56"/>
      <c r="T21" s="37" t="s">
        <v>39</v>
      </c>
      <c r="U21" s="38">
        <f>AVERAGE(VP9vsQY265_offline_veryfast!Q37:Q52)</f>
        <v>-0.39251360277608427</v>
      </c>
      <c r="V21" s="38">
        <f>AVERAGE(VP9vsQY265_offline_veryfast!R37:R52)</f>
        <v>-0.51256940202958334</v>
      </c>
      <c r="W21" s="38">
        <f>AVERAGE(VP9vsQY265_offline_veryfast!S37:S52)</f>
        <v>-0.51451057497408448</v>
      </c>
      <c r="X21" s="38">
        <f>AVERAGE(VP9vsQY265_offline_veryfast!T37:T52)</f>
        <v>-0.41904143773754088</v>
      </c>
      <c r="Y21" s="39">
        <f>AVERAGE(VP9vsQY265_offline_veryfast!U37:U52)</f>
        <v>0.14335326463171713</v>
      </c>
      <c r="AB21" s="55" t="s">
        <v>76</v>
      </c>
      <c r="AC21" s="37" t="s">
        <v>35</v>
      </c>
      <c r="AD21" s="38">
        <f>AVERAGE(IntelvsQY265_offline_slow!Q9:Q16)</f>
        <v>-0.11569185834061468</v>
      </c>
      <c r="AE21" s="38">
        <f>AVERAGE(IntelvsQY265_offline_slow!R9:R16)</f>
        <v>-0.40615126810038826</v>
      </c>
      <c r="AF21" s="38">
        <f>AVERAGE(IntelvsQY265_offline_slow!S9:S16)</f>
        <v>-0.416139153501138</v>
      </c>
      <c r="AG21" s="38">
        <f>AVERAGE(IntelvsQY265_offline_slow!T9:T16)</f>
        <v>-0.16789973728737589</v>
      </c>
      <c r="AH21" s="39">
        <f>AVERAGE(IntelvsQY265_offline_slow!U9:U16)</f>
        <v>-0.57202572391666662</v>
      </c>
    </row>
    <row r="22" spans="1:34" ht="16.5" thickBot="1" x14ac:dyDescent="0.3">
      <c r="A22" s="56"/>
      <c r="B22" s="37" t="s">
        <v>41</v>
      </c>
      <c r="C22" s="38">
        <f>AVERAGE(X264vsQY265_offline_veryfast!Q53:Q68)</f>
        <v>-0.37704824641942192</v>
      </c>
      <c r="D22" s="38">
        <f>AVERAGE(X264vsQY265_offline_veryfast!R53:R68)</f>
        <v>-0.55878289387408864</v>
      </c>
      <c r="E22" s="38">
        <f>AVERAGE(X264vsQY265_offline_veryfast!S53:S68)</f>
        <v>-0.5515452065755001</v>
      </c>
      <c r="F22" s="38">
        <f>AVERAGE(X264vsQY265_offline_veryfast!T53:T68)</f>
        <v>-0.40886206051366736</v>
      </c>
      <c r="G22" s="39">
        <f>AVERAGE(X264vsQY265_offline_veryfast!U53:U68)</f>
        <v>-0.24099445386722382</v>
      </c>
      <c r="H22" s="40"/>
      <c r="J22" s="56"/>
      <c r="K22" s="37" t="s">
        <v>41</v>
      </c>
      <c r="L22" s="38">
        <f>AVERAGE(X265vsQY265_offline_veryfast!Q53:Q68)</f>
        <v>-8.2893155244156413E-2</v>
      </c>
      <c r="M22" s="38">
        <f>AVERAGE(X265vsQY265_offline_veryfast!R53:R68)</f>
        <v>-0.17966301849486488</v>
      </c>
      <c r="N22" s="38">
        <f>AVERAGE(X265vsQY265_offline_veryfast!S53:S68)</f>
        <v>-0.18302564644814431</v>
      </c>
      <c r="O22" s="38">
        <f>AVERAGE(X265vsQY265_offline_veryfast!T53:T68)</f>
        <v>-0.10299598823416611</v>
      </c>
      <c r="P22" s="39">
        <f>AVERAGE(X265vsQY265_offline_veryfast!U53:U68)</f>
        <v>1.6917686520160924</v>
      </c>
      <c r="S22" s="56"/>
      <c r="T22" s="37" t="s">
        <v>41</v>
      </c>
      <c r="U22" s="38">
        <f>AVERAGE(VP9vsQY265_offline_veryfast!Q53:Q68)</f>
        <v>-0.43451896223520903</v>
      </c>
      <c r="V22" s="38">
        <f>AVERAGE(VP9vsQY265_offline_veryfast!R53:R68)</f>
        <v>-0.48280848095531592</v>
      </c>
      <c r="W22" s="38">
        <f>AVERAGE(VP9vsQY265_offline_veryfast!S53:S68)</f>
        <v>-0.51006100698401691</v>
      </c>
      <c r="X22" s="38">
        <f>AVERAGE(VP9vsQY265_offline_veryfast!T53:T68)</f>
        <v>-0.45414424117618268</v>
      </c>
      <c r="Y22" s="39">
        <f>AVERAGE(VP9vsQY265_offline_veryfast!U53:U68)</f>
        <v>9.3555125478563317E-2</v>
      </c>
      <c r="AB22" s="56"/>
      <c r="AC22" s="37" t="s">
        <v>37</v>
      </c>
      <c r="AD22" s="38">
        <f>AVERAGE(IntelvsQY265_offline_slow!Q17:Q36)</f>
        <v>-9.9367993301430424E-2</v>
      </c>
      <c r="AE22" s="38">
        <f>AVERAGE(IntelvsQY265_offline_slow!R17:R36)</f>
        <v>-0.32798206629269577</v>
      </c>
      <c r="AF22" s="38">
        <f>AVERAGE(IntelvsQY265_offline_slow!S17:S36)</f>
        <v>-0.33755566873286363</v>
      </c>
      <c r="AG22" s="38">
        <f>AVERAGE(IntelvsQY265_offline_slow!T17:T36)</f>
        <v>-0.13955649281999546</v>
      </c>
      <c r="AH22" s="39">
        <f>AVERAGE(IntelvsQY265_offline_slow!U17:U36)</f>
        <v>-0.48755119661666663</v>
      </c>
    </row>
    <row r="23" spans="1:34" ht="16.5" thickBot="1" x14ac:dyDescent="0.3">
      <c r="A23" s="56"/>
      <c r="B23" s="37" t="s">
        <v>43</v>
      </c>
      <c r="C23" s="38">
        <f>AVERAGE(X264vsQY265_offline_veryfast!Q69:Q80)</f>
        <v>-0.51871181443556136</v>
      </c>
      <c r="D23" s="38">
        <f>AVERAGE(X264vsQY265_offline_veryfast!R69:R80)</f>
        <v>-0.62648786318194682</v>
      </c>
      <c r="E23" s="38">
        <f>AVERAGE(X264vsQY265_offline_veryfast!S69:S80)</f>
        <v>-0.64295661039947161</v>
      </c>
      <c r="F23" s="38">
        <f>AVERAGE(X264vsQY265_offline_veryfast!T69:T80)</f>
        <v>-0.54662927108251358</v>
      </c>
      <c r="G23" s="39">
        <f>AVERAGE(X264vsQY265_offline_veryfast!U69:U80)</f>
        <v>0.43383102754049885</v>
      </c>
      <c r="H23" s="40"/>
      <c r="J23" s="56"/>
      <c r="K23" s="37" t="s">
        <v>43</v>
      </c>
      <c r="L23" s="38">
        <f>AVERAGE(X265vsQY265_offline_veryfast!Q69:Q80)</f>
        <v>-1.258545034989785E-2</v>
      </c>
      <c r="M23" s="38">
        <f>AVERAGE(X265vsQY265_offline_veryfast!R69:R80)</f>
        <v>-6.1097256391871656E-2</v>
      </c>
      <c r="N23" s="38">
        <f>AVERAGE(X265vsQY265_offline_veryfast!S69:S80)</f>
        <v>1.0471672782489764E-5</v>
      </c>
      <c r="O23" s="38">
        <f>AVERAGE(X265vsQY265_offline_veryfast!T69:T80)</f>
        <v>-1.6408103307342325E-2</v>
      </c>
      <c r="P23" s="39">
        <f>AVERAGE(X265vsQY265_offline_veryfast!U69:U80)</f>
        <v>2.0958095827381653</v>
      </c>
      <c r="S23" s="56"/>
      <c r="T23" s="37" t="s">
        <v>43</v>
      </c>
      <c r="U23" s="38">
        <f>AVERAGE(VP9vsQY265_offline_veryfast!Q69:Q80)</f>
        <v>-0.46875059190169005</v>
      </c>
      <c r="V23" s="38">
        <f>AVERAGE(VP9vsQY265_offline_veryfast!R69:R80)</f>
        <v>-0.33017004652853926</v>
      </c>
      <c r="W23" s="38">
        <f>AVERAGE(VP9vsQY265_offline_veryfast!S69:S80)</f>
        <v>-0.32678463581363043</v>
      </c>
      <c r="X23" s="38">
        <f>AVERAGE(VP9vsQY265_offline_veryfast!T69:T80)</f>
        <v>-0.44039454071680906</v>
      </c>
      <c r="Y23" s="39">
        <f>AVERAGE(VP9vsQY265_offline_veryfast!U69:U80)</f>
        <v>0.48693947533820814</v>
      </c>
      <c r="AB23" s="56"/>
      <c r="AC23" s="37" t="s">
        <v>39</v>
      </c>
      <c r="AD23" s="38">
        <f>AVERAGE(IntelvsQY265_offline_slow!Q37:Q52)</f>
        <v>-0.14257486310909495</v>
      </c>
      <c r="AE23" s="38">
        <f>AVERAGE(IntelvsQY265_offline_slow!R37:R52)</f>
        <v>-0.32599111699081496</v>
      </c>
      <c r="AF23" s="38">
        <f>AVERAGE(IntelvsQY265_offline_slow!S37:S52)</f>
        <v>-0.31189433929457311</v>
      </c>
      <c r="AG23" s="38">
        <f>AVERAGE(IntelvsQY265_offline_slow!T37:T52)</f>
        <v>-0.17527596177965624</v>
      </c>
      <c r="AH23" s="39">
        <f>AVERAGE(IntelvsQY265_offline_slow!U37:U52)</f>
        <v>-0.34383935774374996</v>
      </c>
    </row>
    <row r="24" spans="1:34" ht="16.5" thickBot="1" x14ac:dyDescent="0.3">
      <c r="A24" s="56"/>
      <c r="B24" s="41" t="s">
        <v>114</v>
      </c>
      <c r="C24" s="38">
        <f>AVERAGE(X264vsQY265_offline_veryfast!Q81:Q124)</f>
        <v>-0.39217270956306843</v>
      </c>
      <c r="D24" s="38">
        <f>AVERAGE(X264vsQY265_offline_veryfast!R81:R124)</f>
        <v>-0.44614553214900321</v>
      </c>
      <c r="E24" s="38">
        <f>AVERAGE(X264vsQY265_offline_veryfast!S81:S124)</f>
        <v>-0.43395149817981354</v>
      </c>
      <c r="F24" s="38">
        <f>AVERAGE(X264vsQY265_offline_veryfast!T81:T124)</f>
        <v>-0.40415675535142215</v>
      </c>
      <c r="G24" s="39">
        <f>AVERAGE(X264vsQY265_offline_veryfast!U81:U124)</f>
        <v>3.9599265978708963E-2</v>
      </c>
      <c r="H24" s="40"/>
      <c r="J24" s="56"/>
      <c r="K24" s="41" t="s">
        <v>114</v>
      </c>
      <c r="L24" s="38">
        <f>AVERAGE(X265vsQY265_offline_veryfast!Q81:Q124)</f>
        <v>3.7551519847533114E-3</v>
      </c>
      <c r="M24" s="38">
        <f>AVERAGE(X265vsQY265_offline_veryfast!R81:R124)</f>
        <v>-7.3036591783412055E-2</v>
      </c>
      <c r="N24" s="38">
        <f>AVERAGE(X265vsQY265_offline_veryfast!S81:S124)</f>
        <v>-6.3497716932655171E-2</v>
      </c>
      <c r="O24" s="38">
        <f>AVERAGE(X265vsQY265_offline_veryfast!T81:T124)</f>
        <v>-1.1096820990300698E-2</v>
      </c>
      <c r="P24" s="39">
        <f>AVERAGE(X265vsQY265_offline_veryfast!U81:U124)</f>
        <v>2.3482456722936265</v>
      </c>
      <c r="S24" s="56"/>
      <c r="T24" s="41" t="s">
        <v>114</v>
      </c>
      <c r="U24" s="38">
        <f>AVERAGE(VP9vsQY265_offline_veryfast!Q81:Q124)</f>
        <v>-0.37920545737046557</v>
      </c>
      <c r="V24" s="38">
        <f>AVERAGE(VP9vsQY265_offline_veryfast!R81:R124)</f>
        <v>-0.48473215358009247</v>
      </c>
      <c r="W24" s="38">
        <f>AVERAGE(VP9vsQY265_offline_veryfast!S81:S124)</f>
        <v>-0.48276216040361053</v>
      </c>
      <c r="X24" s="38">
        <f>AVERAGE(VP9vsQY265_offline_veryfast!T81:T124)</f>
        <v>-0.40397920434430046</v>
      </c>
      <c r="Y24" s="39">
        <f>AVERAGE(VP9vsQY265_offline_veryfast!U81:U124)</f>
        <v>0.19216608446712077</v>
      </c>
      <c r="AB24" s="56"/>
      <c r="AC24" s="37" t="s">
        <v>41</v>
      </c>
      <c r="AD24" s="38">
        <f>AVERAGE(IntelvsQY265_offline_slow!Q53:Q68)</f>
        <v>-4.376292805589807E-2</v>
      </c>
      <c r="AE24" s="38">
        <f>AVERAGE(IntelvsQY265_offline_slow!R53:R68)</f>
        <v>-0.24360720762673388</v>
      </c>
      <c r="AF24" s="38">
        <f>AVERAGE(IntelvsQY265_offline_slow!S53:S68)</f>
        <v>-0.23811898293798739</v>
      </c>
      <c r="AG24" s="38">
        <f>AVERAGE(IntelvsQY265_offline_slow!T53:T68)</f>
        <v>-8.0522795510639872E-2</v>
      </c>
      <c r="AH24" s="39">
        <f>AVERAGE(IntelvsQY265_offline_slow!U53:U68)</f>
        <v>0.43616025590208335</v>
      </c>
    </row>
    <row r="25" spans="1:34" ht="16.5" thickBot="1" x14ac:dyDescent="0.3">
      <c r="A25" s="57"/>
      <c r="B25" s="37" t="s">
        <v>77</v>
      </c>
      <c r="C25" s="38">
        <f>X264vsQY265_offline_veryfast!Q125</f>
        <v>-0.43927120513736523</v>
      </c>
      <c r="D25" s="38">
        <f>X264vsQY265_offline_veryfast!R125</f>
        <v>-0.51422191434166598</v>
      </c>
      <c r="E25" s="38">
        <f>X264vsQY265_offline_veryfast!S125</f>
        <v>-0.51361106757498642</v>
      </c>
      <c r="F25" s="38">
        <f>X264vsQY265_offline_veryfast!T125</f>
        <v>-0.45463400402144727</v>
      </c>
      <c r="G25" s="39">
        <f>X264vsQY265_offline_veryfast!U125</f>
        <v>6.3342910637784647E-2</v>
      </c>
      <c r="H25" s="40"/>
      <c r="J25" s="57"/>
      <c r="K25" s="37" t="s">
        <v>77</v>
      </c>
      <c r="L25" s="38">
        <f>X265vsQY265_offline_veryfast!Q125</f>
        <v>-2.16492323820178E-2</v>
      </c>
      <c r="M25" s="38">
        <f>X265vsQY265_offline_veryfast!R125</f>
        <v>-0.13701481019465561</v>
      </c>
      <c r="N25" s="38">
        <f>X265vsQY265_offline_veryfast!S125</f>
        <v>-0.12231606512122629</v>
      </c>
      <c r="O25" s="38">
        <f>X265vsQY265_offline_veryfast!T125</f>
        <v>-4.1797252249506554E-2</v>
      </c>
      <c r="P25" s="39">
        <f>X265vsQY265_offline_veryfast!U125</f>
        <v>2.107448678681259</v>
      </c>
      <c r="S25" s="57"/>
      <c r="T25" s="37" t="s">
        <v>77</v>
      </c>
      <c r="U25" s="38">
        <f>VP9vsQY265_offline_veryfast!Q125</f>
        <v>-0.41136040033107019</v>
      </c>
      <c r="V25" s="38">
        <f>VP9vsQY265_offline_veryfast!R125</f>
        <v>-0.47968469248683254</v>
      </c>
      <c r="W25" s="38">
        <f>VP9vsQY265_offline_veryfast!S125</f>
        <v>-0.48636416713590086</v>
      </c>
      <c r="X25" s="38">
        <f>VP9vsQY265_offline_veryfast!T125</f>
        <v>-0.42849886408958221</v>
      </c>
      <c r="Y25" s="39">
        <f>VP9vsQY265_offline_veryfast!U125</f>
        <v>0.26505431115023992</v>
      </c>
      <c r="AB25" s="56"/>
      <c r="AC25" s="37" t="s">
        <v>43</v>
      </c>
      <c r="AD25" s="38">
        <f>AVERAGE(IntelvsQY265_offline_slow!Q69:Q80)</f>
        <v>-0.18856639464670166</v>
      </c>
      <c r="AE25" s="38">
        <f>AVERAGE(IntelvsQY265_offline_slow!R69:R80)</f>
        <v>-0.31249987648471705</v>
      </c>
      <c r="AF25" s="38">
        <f>AVERAGE(IntelvsQY265_offline_slow!S69:S80)</f>
        <v>-0.30408692427026413</v>
      </c>
      <c r="AG25" s="38">
        <f>AVERAGE(IntelvsQY265_offline_slow!T69:T80)</f>
        <v>-0.21681726923339462</v>
      </c>
      <c r="AH25" s="39">
        <f>AVERAGE(IntelvsQY265_offline_slow!U69:U80)</f>
        <v>-0.40984121345833335</v>
      </c>
    </row>
    <row r="26" spans="1:34" ht="16.5" thickBot="1" x14ac:dyDescent="0.3">
      <c r="A26" s="55" t="s">
        <v>76</v>
      </c>
      <c r="B26" s="37" t="s">
        <v>35</v>
      </c>
      <c r="C26" s="38">
        <f>AVERAGE(X264vsQY265_offline_veryfast!Q131:Q138)</f>
        <v>-0.5089958410918396</v>
      </c>
      <c r="D26" s="38">
        <f>AVERAGE(X264vsQY265_offline_veryfast!R131:R138)</f>
        <v>-0.48983397296597825</v>
      </c>
      <c r="E26" s="38">
        <f>AVERAGE(X264vsQY265_offline_veryfast!S131:S138)</f>
        <v>-0.51624017198770367</v>
      </c>
      <c r="F26" s="38">
        <f>AVERAGE(X264vsQY265_offline_veryfast!T131:T138)</f>
        <v>-0.50883010872370105</v>
      </c>
      <c r="G26" s="39">
        <f>AVERAGE(X264vsQY265_offline_veryfast!U131:U138)</f>
        <v>2.6683558150202957E-2</v>
      </c>
      <c r="H26" s="40"/>
      <c r="J26" s="55" t="s">
        <v>76</v>
      </c>
      <c r="K26" s="37" t="s">
        <v>35</v>
      </c>
      <c r="L26" s="38">
        <f>AVERAGE(X265vsQY265_offline_veryfast!Q131:Q138)</f>
        <v>-5.3418805790426405E-2</v>
      </c>
      <c r="M26" s="38">
        <f>AVERAGE(X265vsQY265_offline_veryfast!R131:R138)</f>
        <v>-0.24940146321146939</v>
      </c>
      <c r="N26" s="38">
        <f>AVERAGE(X265vsQY265_offline_veryfast!S131:S138)</f>
        <v>-0.23650373643031108</v>
      </c>
      <c r="O26" s="38">
        <f>AVERAGE(X265vsQY265_offline_veryfast!T131:T138)</f>
        <v>-8.1424850095064782E-2</v>
      </c>
      <c r="P26" s="39">
        <f>AVERAGE(X265vsQY265_offline_veryfast!U131:U138)</f>
        <v>1.9727606968525211</v>
      </c>
      <c r="S26" s="55" t="s">
        <v>76</v>
      </c>
      <c r="T26" s="37" t="s">
        <v>35</v>
      </c>
      <c r="U26" s="38">
        <f>AVERAGE(VP9vsQY265_offline_veryfast!Q131:Q138)</f>
        <v>-0.33716639381447761</v>
      </c>
      <c r="V26" s="38">
        <f>AVERAGE(VP9vsQY265_offline_veryfast!R131:R138)</f>
        <v>-0.48914425118807175</v>
      </c>
      <c r="W26" s="38">
        <f>AVERAGE(VP9vsQY265_offline_veryfast!S131:S138)</f>
        <v>-0.50734225448426873</v>
      </c>
      <c r="X26" s="38">
        <f>AVERAGE(VP9vsQY265_offline_veryfast!T131:T138)</f>
        <v>-0.36587887237403993</v>
      </c>
      <c r="Y26" s="39">
        <f>AVERAGE(VP9vsQY265_offline_veryfast!U131:U138)</f>
        <v>0.408286449317733</v>
      </c>
      <c r="AB26" s="56"/>
      <c r="AC26" s="41" t="s">
        <v>114</v>
      </c>
      <c r="AD26" s="38">
        <f>AVERAGE(IntelvsQY265_offline_slow!Q81:Q124)</f>
        <v>-0.13657455285089987</v>
      </c>
      <c r="AE26" s="38">
        <f>AVERAGE(IntelvsQY265_offline_slow!R81:R124)</f>
        <v>-0.25249804759153738</v>
      </c>
      <c r="AF26" s="38">
        <f>AVERAGE(IntelvsQY265_offline_slow!S81:S124)</f>
        <v>-0.24765900230774651</v>
      </c>
      <c r="AG26" s="38">
        <f>AVERAGE(IntelvsQY265_offline_slow!T81:T124)</f>
        <v>-0.15985028109507018</v>
      </c>
      <c r="AH26" s="39">
        <f>AVERAGE(IntelvsQY265_offline_slow!U81:U124)</f>
        <v>-0.37925841714646469</v>
      </c>
    </row>
    <row r="27" spans="1:34" ht="16.5" thickBot="1" x14ac:dyDescent="0.3">
      <c r="A27" s="56"/>
      <c r="B27" s="37" t="s">
        <v>37</v>
      </c>
      <c r="C27" s="38">
        <f>AVERAGE(X264vsQY265_offline_veryfast!Q139:Q158)</f>
        <v>-0.55362017236326166</v>
      </c>
      <c r="D27" s="38">
        <f>AVERAGE(X264vsQY265_offline_veryfast!R139:R158)</f>
        <v>-0.57465288142025805</v>
      </c>
      <c r="E27" s="38">
        <f>AVERAGE(X264vsQY265_offline_veryfast!S139:S158)</f>
        <v>-0.5880218463037401</v>
      </c>
      <c r="F27" s="38">
        <f>AVERAGE(X264vsQY265_offline_veryfast!T139:T158)</f>
        <v>-0.55897320385091231</v>
      </c>
      <c r="G27" s="39">
        <f>AVERAGE(X264vsQY265_offline_veryfast!U139:U158)</f>
        <v>0.18114632234411859</v>
      </c>
      <c r="H27" s="40"/>
      <c r="J27" s="56"/>
      <c r="K27" s="37" t="s">
        <v>37</v>
      </c>
      <c r="L27" s="38">
        <f>AVERAGE(X265vsQY265_offline_veryfast!Q139:Q158)</f>
        <v>-2.803510493280572E-2</v>
      </c>
      <c r="M27" s="38">
        <f>AVERAGE(X265vsQY265_offline_veryfast!R139:R158)</f>
        <v>-0.19264335644143521</v>
      </c>
      <c r="N27" s="38">
        <f>AVERAGE(X265vsQY265_offline_veryfast!S139:S158)</f>
        <v>-0.17661282363117062</v>
      </c>
      <c r="O27" s="38">
        <f>AVERAGE(X265vsQY265_offline_veryfast!T139:T158)</f>
        <v>-5.6002591872186078E-2</v>
      </c>
      <c r="P27" s="39">
        <f>AVERAGE(X265vsQY265_offline_veryfast!U139:U158)</f>
        <v>2.2936559137476378</v>
      </c>
      <c r="S27" s="56"/>
      <c r="T27" s="37" t="s">
        <v>37</v>
      </c>
      <c r="U27" s="38">
        <f>AVERAGE(VP9vsQY265_offline_veryfast!Q139:Q158)</f>
        <v>-0.44852873717526887</v>
      </c>
      <c r="V27" s="38">
        <f>AVERAGE(VP9vsQY265_offline_veryfast!R139:R158)</f>
        <v>-0.51257000215395077</v>
      </c>
      <c r="W27" s="38">
        <f>AVERAGE(VP9vsQY265_offline_veryfast!S139:S158)</f>
        <v>-0.5245881217949947</v>
      </c>
      <c r="X27" s="38">
        <f>AVERAGE(VP9vsQY265_offline_veryfast!T139:T158)</f>
        <v>-0.46401720232366389</v>
      </c>
      <c r="Y27" s="39">
        <f>AVERAGE(VP9vsQY265_offline_veryfast!U139:U158)</f>
        <v>0.62874677711183835</v>
      </c>
      <c r="AB27" s="57"/>
      <c r="AC27" s="37" t="s">
        <v>77</v>
      </c>
      <c r="AD27" s="38">
        <f>IntelvsQY265_offline_slow!Q125</f>
        <v>-0.12212393493615024</v>
      </c>
      <c r="AE27" s="38">
        <f>IntelvsQY265_offline_slow!R125</f>
        <v>-0.29122704548605216</v>
      </c>
      <c r="AF27" s="38">
        <f>IntelvsQY265_offline_slow!S125</f>
        <v>-0.28815930130320133</v>
      </c>
      <c r="AG27" s="38">
        <f>IntelvsQY265_offline_slow!T125</f>
        <v>-0.15398558164075413</v>
      </c>
      <c r="AH27" s="39">
        <f>IntelvsQY265_offline_slow!U125</f>
        <v>-0.29703069197480836</v>
      </c>
    </row>
    <row r="28" spans="1:34" ht="16.5" thickBot="1" x14ac:dyDescent="0.3">
      <c r="A28" s="56"/>
      <c r="B28" s="37" t="s">
        <v>39</v>
      </c>
      <c r="C28" s="38">
        <f>AVERAGE(X264vsQY265_offline_veryfast!Q159:Q174)</f>
        <v>-0.41109470803098097</v>
      </c>
      <c r="D28" s="38">
        <f>AVERAGE(X264vsQY265_offline_veryfast!R159:R174)</f>
        <v>-0.50728218824142335</v>
      </c>
      <c r="E28" s="38">
        <f>AVERAGE(X264vsQY265_offline_veryfast!S159:S174)</f>
        <v>-0.49486846838910936</v>
      </c>
      <c r="F28" s="38">
        <f>AVERAGE(X264vsQY265_offline_veryfast!T159:T174)</f>
        <v>-0.42702208677302356</v>
      </c>
      <c r="G28" s="39">
        <f>AVERAGE(X264vsQY265_offline_veryfast!U159:U174)</f>
        <v>-0.13678894741594427</v>
      </c>
      <c r="H28" s="40"/>
      <c r="J28" s="56"/>
      <c r="K28" s="37" t="s">
        <v>39</v>
      </c>
      <c r="L28" s="38">
        <f>AVERAGE(X265vsQY265_offline_veryfast!Q159:Q174)</f>
        <v>-2.4697310738718004E-2</v>
      </c>
      <c r="M28" s="38">
        <f>AVERAGE(X265vsQY265_offline_veryfast!R159:R174)</f>
        <v>-0.19975641127369734</v>
      </c>
      <c r="N28" s="38">
        <f>AVERAGE(X265vsQY265_offline_veryfast!S159:S174)</f>
        <v>-0.1819238153632117</v>
      </c>
      <c r="O28" s="38">
        <f>AVERAGE(X265vsQY265_offline_veryfast!T159:T174)</f>
        <v>-5.5926173021812908E-2</v>
      </c>
      <c r="P28" s="39">
        <f>AVERAGE(X265vsQY265_offline_veryfast!U159:U174)</f>
        <v>2.3297251182101673</v>
      </c>
      <c r="S28" s="56"/>
      <c r="T28" s="37" t="s">
        <v>39</v>
      </c>
      <c r="U28" s="38">
        <f>AVERAGE(VP9vsQY265_offline_veryfast!Q159:Q174)</f>
        <v>-0.37168781031254294</v>
      </c>
      <c r="V28" s="38">
        <f>AVERAGE(VP9vsQY265_offline_veryfast!R159:R174)</f>
        <v>-0.49795373294602352</v>
      </c>
      <c r="W28" s="38">
        <f>AVERAGE(VP9vsQY265_offline_veryfast!S159:S174)</f>
        <v>-0.49993187343939138</v>
      </c>
      <c r="X28" s="38">
        <f>AVERAGE(VP9vsQY265_offline_veryfast!T159:T174)</f>
        <v>-0.3999628663525141</v>
      </c>
      <c r="Y28" s="39">
        <f>AVERAGE(VP9vsQY265_offline_veryfast!U159:U174)</f>
        <v>0.97054549844060189</v>
      </c>
      <c r="AB28" s="52" t="s">
        <v>188</v>
      </c>
      <c r="AC28" s="53"/>
      <c r="AD28" s="53"/>
      <c r="AE28" s="53"/>
      <c r="AF28" s="53"/>
      <c r="AG28" s="53"/>
      <c r="AH28" s="54"/>
    </row>
    <row r="29" spans="1:34" ht="16.5" thickBot="1" x14ac:dyDescent="0.3">
      <c r="A29" s="56"/>
      <c r="B29" s="37" t="s">
        <v>41</v>
      </c>
      <c r="C29" s="38">
        <f>AVERAGE(X264vsQY265_offline_veryfast!Q175:Q190)</f>
        <v>-0.36690502457366903</v>
      </c>
      <c r="D29" s="38">
        <f>AVERAGE(X264vsQY265_offline_veryfast!R175:R190)</f>
        <v>-0.54977380550775845</v>
      </c>
      <c r="E29" s="38">
        <f>AVERAGE(X264vsQY265_offline_veryfast!S175:S190)</f>
        <v>-0.54461995356168735</v>
      </c>
      <c r="F29" s="38">
        <f>AVERAGE(X264vsQY265_offline_veryfast!T175:T190)</f>
        <v>-0.39870440571268961</v>
      </c>
      <c r="G29" s="39">
        <f>AVERAGE(X264vsQY265_offline_veryfast!U175:U190)</f>
        <v>-0.26426215534245817</v>
      </c>
      <c r="H29" s="40"/>
      <c r="J29" s="56"/>
      <c r="K29" s="37" t="s">
        <v>41</v>
      </c>
      <c r="L29" s="38">
        <f>AVERAGE(X265vsQY265_offline_veryfast!Q175:Q190)</f>
        <v>-8.3576457144237559E-2</v>
      </c>
      <c r="M29" s="38">
        <f>AVERAGE(X265vsQY265_offline_veryfast!R175:R190)</f>
        <v>-0.18272673585380683</v>
      </c>
      <c r="N29" s="38">
        <f>AVERAGE(X265vsQY265_offline_veryfast!S175:S190)</f>
        <v>-0.18555291787166664</v>
      </c>
      <c r="O29" s="38">
        <f>AVERAGE(X265vsQY265_offline_veryfast!T175:T190)</f>
        <v>-0.10385209543467094</v>
      </c>
      <c r="P29" s="39">
        <f>AVERAGE(X265vsQY265_offline_veryfast!U175:U190)</f>
        <v>2.8954562245587123</v>
      </c>
      <c r="S29" s="56"/>
      <c r="T29" s="37" t="s">
        <v>41</v>
      </c>
      <c r="U29" s="38">
        <f>AVERAGE(VP9vsQY265_offline_veryfast!Q175:Q190)</f>
        <v>-0.41798733255092335</v>
      </c>
      <c r="V29" s="38">
        <f>AVERAGE(VP9vsQY265_offline_veryfast!R175:R190)</f>
        <v>-0.47509267037411074</v>
      </c>
      <c r="W29" s="38">
        <f>AVERAGE(VP9vsQY265_offline_veryfast!S175:S190)</f>
        <v>-0.5001714081926435</v>
      </c>
      <c r="X29" s="38">
        <f>AVERAGE(VP9vsQY265_offline_veryfast!T175:T190)</f>
        <v>-0.43913896426188309</v>
      </c>
      <c r="Y29" s="39">
        <f>AVERAGE(VP9vsQY265_offline_veryfast!U175:U190)</f>
        <v>1.719181294741051</v>
      </c>
      <c r="AB29" s="37" t="s">
        <v>129</v>
      </c>
      <c r="AC29" s="37" t="s">
        <v>73</v>
      </c>
      <c r="AD29" s="37" t="s">
        <v>69</v>
      </c>
      <c r="AE29" s="37" t="s">
        <v>70</v>
      </c>
      <c r="AF29" s="37" t="s">
        <v>71</v>
      </c>
      <c r="AG29" s="37" t="s">
        <v>72</v>
      </c>
      <c r="AH29" s="37" t="s">
        <v>75</v>
      </c>
    </row>
    <row r="30" spans="1:34" ht="16.5" thickBot="1" x14ac:dyDescent="0.3">
      <c r="A30" s="56"/>
      <c r="B30" s="37" t="s">
        <v>43</v>
      </c>
      <c r="C30" s="38">
        <f>AVERAGE(X264vsQY265_offline_veryfast!Q191:Q202)</f>
        <v>-0.50240938118708633</v>
      </c>
      <c r="D30" s="38">
        <f>AVERAGE(X264vsQY265_offline_veryfast!R191:R202)</f>
        <v>-0.6125831303863668</v>
      </c>
      <c r="E30" s="38">
        <f>AVERAGE(X264vsQY265_offline_veryfast!S191:S202)</f>
        <v>-0.62679981411148811</v>
      </c>
      <c r="F30" s="38">
        <f>AVERAGE(X264vsQY265_offline_veryfast!T191:T202)</f>
        <v>-0.53014721875347692</v>
      </c>
      <c r="G30" s="39">
        <f>AVERAGE(X264vsQY265_offline_veryfast!U191:U202)</f>
        <v>0.2481653824131462</v>
      </c>
      <c r="H30" s="40"/>
      <c r="J30" s="56"/>
      <c r="K30" s="37" t="s">
        <v>43</v>
      </c>
      <c r="L30" s="38">
        <f>AVERAGE(X265vsQY265_offline_veryfast!Q191:Q202)</f>
        <v>-2.3952803080713903E-2</v>
      </c>
      <c r="M30" s="38">
        <f>AVERAGE(X265vsQY265_offline_veryfast!R191:R202)</f>
        <v>-8.1628257382883554E-2</v>
      </c>
      <c r="N30" s="38">
        <f>AVERAGE(X265vsQY265_offline_veryfast!S191:S202)</f>
        <v>-3.3663750387992707E-2</v>
      </c>
      <c r="O30" s="38">
        <f>AVERAGE(X265vsQY265_offline_veryfast!T191:T202)</f>
        <v>-3.1392125907829915E-2</v>
      </c>
      <c r="P30" s="39">
        <f>AVERAGE(X265vsQY265_offline_veryfast!U191:U202)</f>
        <v>1.9964090627448865</v>
      </c>
      <c r="S30" s="56"/>
      <c r="T30" s="37" t="s">
        <v>43</v>
      </c>
      <c r="U30" s="38">
        <f>AVERAGE(VP9vsQY265_offline_veryfast!Q191:Q202)</f>
        <v>-0.44179087332163797</v>
      </c>
      <c r="V30" s="38">
        <f>AVERAGE(VP9vsQY265_offline_veryfast!R191:R202)</f>
        <v>-0.30581109646530086</v>
      </c>
      <c r="W30" s="38">
        <f>AVERAGE(VP9vsQY265_offline_veryfast!S191:S202)</f>
        <v>-0.29978803097711332</v>
      </c>
      <c r="X30" s="38">
        <f>AVERAGE(VP9vsQY265_offline_veryfast!T191:T202)</f>
        <v>-0.4139654410211619</v>
      </c>
      <c r="Y30" s="39">
        <f>AVERAGE(VP9vsQY265_offline_veryfast!U191:U202)</f>
        <v>0.5110817909413502</v>
      </c>
      <c r="AB30" s="55" t="s">
        <v>76</v>
      </c>
      <c r="AC30" s="37" t="s">
        <v>35</v>
      </c>
      <c r="AD30" s="38">
        <f>AVERAGE(IntelvsQY265_offline_veryslow!Q9:Q16)</f>
        <v>5.3115569066169488E-2</v>
      </c>
      <c r="AE30" s="38">
        <f>AVERAGE(IntelvsQY265_offline_veryslow!R9:R16)</f>
        <v>-0.28750827350040953</v>
      </c>
      <c r="AF30" s="38">
        <f>AVERAGE(IntelvsQY265_offline_veryslow!S9:S16)</f>
        <v>-0.30538715311063158</v>
      </c>
      <c r="AG30" s="38">
        <f>AVERAGE(IntelvsQY265_offline_veryslow!T9:T16)</f>
        <v>-5.7881949188246518E-3</v>
      </c>
      <c r="AH30" s="39">
        <f>AVERAGE(IntelvsQY265_offline_veryslow!U9:U16)</f>
        <v>-0.32261368899999998</v>
      </c>
    </row>
    <row r="31" spans="1:34" ht="16.5" thickBot="1" x14ac:dyDescent="0.3">
      <c r="A31" s="56"/>
      <c r="B31" s="41" t="s">
        <v>114</v>
      </c>
      <c r="C31" s="38">
        <f>AVERAGE(X264vsQY265_offline_veryfast!Q203:Q246)</f>
        <v>-0.38254003955406846</v>
      </c>
      <c r="D31" s="38">
        <f>AVERAGE(X264vsQY265_offline_veryfast!R203:R246)</f>
        <v>-0.43425655386486656</v>
      </c>
      <c r="E31" s="38">
        <f>AVERAGE(X264vsQY265_offline_veryfast!S203:S246)</f>
        <v>-0.41926947599421527</v>
      </c>
      <c r="F31" s="38">
        <f>AVERAGE(X264vsQY265_offline_veryfast!T203:T246)</f>
        <v>-0.39400250989017088</v>
      </c>
      <c r="G31" s="39">
        <f>AVERAGE(X264vsQY265_offline_veryfast!U203:U246)</f>
        <v>9.7050584415169262E-3</v>
      </c>
      <c r="H31" s="40"/>
      <c r="J31" s="56"/>
      <c r="K31" s="41" t="s">
        <v>114</v>
      </c>
      <c r="L31" s="38">
        <f>AVERAGE(X265vsQY265_offline_veryfast!Q203:Q246)</f>
        <v>-9.5846273450494004E-4</v>
      </c>
      <c r="M31" s="38">
        <f>AVERAGE(X265vsQY265_offline_veryfast!R203:R246)</f>
        <v>-7.7273288777481991E-2</v>
      </c>
      <c r="N31" s="38">
        <f>AVERAGE(X265vsQY265_offline_veryfast!S203:S246)</f>
        <v>-6.3918291731831237E-2</v>
      </c>
      <c r="O31" s="38">
        <f>AVERAGE(X265vsQY265_offline_veryfast!T203:T246)</f>
        <v>-1.5288076722149178E-2</v>
      </c>
      <c r="P31" s="39">
        <f>AVERAGE(X265vsQY265_offline_veryfast!U203:U246)</f>
        <v>2.3587671565672088</v>
      </c>
      <c r="S31" s="56"/>
      <c r="T31" s="41" t="s">
        <v>114</v>
      </c>
      <c r="U31" s="38">
        <f>AVERAGE(VP9vsQY265_offline_veryfast!Q203:Q246)</f>
        <v>-0.36254522191157629</v>
      </c>
      <c r="V31" s="38">
        <f>AVERAGE(VP9vsQY265_offline_veryfast!R203:R246)</f>
        <v>-0.46898622970703913</v>
      </c>
      <c r="W31" s="38">
        <f>AVERAGE(VP9vsQY265_offline_veryfast!S203:S246)</f>
        <v>-0.46576256475643824</v>
      </c>
      <c r="X31" s="38">
        <f>AVERAGE(VP9vsQY265_offline_veryfast!T203:T246)</f>
        <v>-0.38730537219966654</v>
      </c>
      <c r="Y31" s="39">
        <f>AVERAGE(VP9vsQY265_offline_veryfast!U203:U246)</f>
        <v>0.38259132709038701</v>
      </c>
      <c r="AB31" s="56"/>
      <c r="AC31" s="37" t="s">
        <v>37</v>
      </c>
      <c r="AD31" s="38">
        <f>AVERAGE(IntelvsQY265_offline_veryslow!Q17:Q36)</f>
        <v>-4.9766802712829074E-3</v>
      </c>
      <c r="AE31" s="38">
        <f>AVERAGE(IntelvsQY265_offline_veryslow!R17:R36)</f>
        <v>-0.26987847459101388</v>
      </c>
      <c r="AF31" s="38">
        <f>AVERAGE(IntelvsQY265_offline_veryslow!S17:S36)</f>
        <v>-0.27005249755669058</v>
      </c>
      <c r="AG31" s="38">
        <f>AVERAGE(IntelvsQY265_offline_veryslow!T17:T36)</f>
        <v>-5.0823133461740319E-2</v>
      </c>
      <c r="AH31" s="39">
        <f>AVERAGE(IntelvsQY265_offline_veryslow!U17:U36)</f>
        <v>-0.33711990093916672</v>
      </c>
    </row>
    <row r="32" spans="1:34" ht="15.75" customHeight="1" thickBot="1" x14ac:dyDescent="0.3">
      <c r="A32" s="57"/>
      <c r="B32" s="37" t="s">
        <v>77</v>
      </c>
      <c r="C32" s="38">
        <f>X264vsQY265_offline_veryfast!Q247</f>
        <v>-0.43494000183015874</v>
      </c>
      <c r="D32" s="38">
        <f>X264vsQY265_offline_veryfast!R247</f>
        <v>-0.50674923488629675</v>
      </c>
      <c r="E32" s="38">
        <f>X264vsQY265_offline_veryfast!S247</f>
        <v>-0.50423817039890106</v>
      </c>
      <c r="F32" s="38">
        <f>X264vsQY265_offline_veryfast!T247</f>
        <v>-0.4496517748861078</v>
      </c>
      <c r="G32" s="39">
        <f>X264vsQY265_offline_veryfast!U247</f>
        <v>7.1084864511556396E-3</v>
      </c>
      <c r="H32" s="40"/>
      <c r="J32" s="57"/>
      <c r="K32" s="37" t="s">
        <v>77</v>
      </c>
      <c r="L32" s="38">
        <f>X265vsQY265_offline_veryfast!Q247</f>
        <v>-2.6293438175806885E-2</v>
      </c>
      <c r="M32" s="38">
        <f>X265vsQY265_offline_veryfast!R247</f>
        <v>-0.14092562916693391</v>
      </c>
      <c r="N32" s="38">
        <f>X265vsQY265_offline_veryfast!S247</f>
        <v>-0.12517486152310725</v>
      </c>
      <c r="O32" s="38">
        <f>X265vsQY265_offline_veryfast!T247</f>
        <v>-4.6355895001521576E-2</v>
      </c>
      <c r="P32" s="39">
        <f>X265vsQY265_offline_veryfast!U247</f>
        <v>2.3534549049652673</v>
      </c>
      <c r="S32" s="57"/>
      <c r="T32" s="37" t="s">
        <v>77</v>
      </c>
      <c r="U32" s="38">
        <f>VP9vsQY265_offline_veryfast!Q247</f>
        <v>-0.39272576227418665</v>
      </c>
      <c r="V32" s="38">
        <f>VP9vsQY265_offline_veryfast!R247</f>
        <v>-0.4658484807793023</v>
      </c>
      <c r="W32" s="38">
        <f>VP9vsQY265_offline_veryfast!S247</f>
        <v>-0.47106174309392446</v>
      </c>
      <c r="X32" s="38">
        <f>VP9vsQY265_offline_veryfast!T247</f>
        <v>-0.41070712055461389</v>
      </c>
      <c r="Y32" s="39">
        <f>VP9vsQY265_offline_veryfast!U247</f>
        <v>0.70555048026688183</v>
      </c>
      <c r="AB32" s="56"/>
      <c r="AC32" s="37" t="s">
        <v>39</v>
      </c>
      <c r="AD32" s="38">
        <f>AVERAGE(IntelvsQY265_offline_veryslow!Q37:Q52)</f>
        <v>-3.9971354924651925E-2</v>
      </c>
      <c r="AE32" s="38">
        <f>AVERAGE(IntelvsQY265_offline_veryslow!R37:R52)</f>
        <v>-0.24452814301542367</v>
      </c>
      <c r="AF32" s="38">
        <f>AVERAGE(IntelvsQY265_offline_veryslow!S37:S52)</f>
        <v>-0.22405277454770373</v>
      </c>
      <c r="AG32" s="38">
        <f>AVERAGE(IntelvsQY265_offline_veryslow!T37:T52)</f>
        <v>-7.5858074066512599E-2</v>
      </c>
      <c r="AH32" s="39">
        <f>AVERAGE(IntelvsQY265_offline_veryslow!U37:U52)</f>
        <v>-0.3403784872854167</v>
      </c>
    </row>
    <row r="33" spans="1:34" ht="16.5" thickBot="1" x14ac:dyDescent="0.3">
      <c r="A33" s="52" t="s">
        <v>118</v>
      </c>
      <c r="B33" s="53"/>
      <c r="C33" s="53"/>
      <c r="D33" s="53"/>
      <c r="E33" s="53"/>
      <c r="F33" s="53"/>
      <c r="G33" s="54"/>
      <c r="J33" s="52" t="s">
        <v>121</v>
      </c>
      <c r="K33" s="53"/>
      <c r="L33" s="53"/>
      <c r="M33" s="53"/>
      <c r="N33" s="53"/>
      <c r="O33" s="53"/>
      <c r="P33" s="54"/>
      <c r="S33" s="52" t="s">
        <v>122</v>
      </c>
      <c r="T33" s="53"/>
      <c r="U33" s="53"/>
      <c r="V33" s="53"/>
      <c r="W33" s="53"/>
      <c r="X33" s="53"/>
      <c r="Y33" s="54"/>
      <c r="AB33" s="56"/>
      <c r="AC33" s="37" t="s">
        <v>41</v>
      </c>
      <c r="AD33" s="38">
        <f>AVERAGE(IntelvsQY265_offline_veryslow!Q53:Q68)</f>
        <v>1.7690284640202308E-2</v>
      </c>
      <c r="AE33" s="38">
        <f>AVERAGE(IntelvsQY265_offline_veryslow!R53:R68)</f>
        <v>-0.14533510726677903</v>
      </c>
      <c r="AF33" s="38">
        <f>AVERAGE(IntelvsQY265_offline_veryslow!S53:S68)</f>
        <v>-0.14169801876736693</v>
      </c>
      <c r="AG33" s="38">
        <f>AVERAGE(IntelvsQY265_offline_veryslow!T53:T68)</f>
        <v>-1.1212370282640965E-2</v>
      </c>
      <c r="AH33" s="39">
        <f>AVERAGE(IntelvsQY265_offline_veryslow!U53:U68)</f>
        <v>-0.39321151400624998</v>
      </c>
    </row>
    <row r="34" spans="1:34" ht="16.5" thickBot="1" x14ac:dyDescent="0.3">
      <c r="A34" s="37" t="s">
        <v>74</v>
      </c>
      <c r="B34" s="37" t="s">
        <v>73</v>
      </c>
      <c r="C34" s="37" t="s">
        <v>69</v>
      </c>
      <c r="D34" s="37" t="s">
        <v>70</v>
      </c>
      <c r="E34" s="37" t="s">
        <v>71</v>
      </c>
      <c r="F34" s="37" t="s">
        <v>72</v>
      </c>
      <c r="G34" s="37" t="s">
        <v>75</v>
      </c>
      <c r="J34" s="37" t="s">
        <v>74</v>
      </c>
      <c r="K34" s="37" t="s">
        <v>73</v>
      </c>
      <c r="L34" s="37" t="s">
        <v>69</v>
      </c>
      <c r="M34" s="37" t="s">
        <v>70</v>
      </c>
      <c r="N34" s="37" t="s">
        <v>71</v>
      </c>
      <c r="O34" s="37" t="s">
        <v>72</v>
      </c>
      <c r="P34" s="37" t="s">
        <v>75</v>
      </c>
      <c r="S34" s="37" t="s">
        <v>129</v>
      </c>
      <c r="T34" s="37" t="s">
        <v>73</v>
      </c>
      <c r="U34" s="37" t="s">
        <v>69</v>
      </c>
      <c r="V34" s="37" t="s">
        <v>70</v>
      </c>
      <c r="W34" s="37" t="s">
        <v>71</v>
      </c>
      <c r="X34" s="37" t="s">
        <v>72</v>
      </c>
      <c r="Y34" s="37" t="s">
        <v>75</v>
      </c>
      <c r="AB34" s="56"/>
      <c r="AC34" s="37" t="s">
        <v>43</v>
      </c>
      <c r="AD34" s="38">
        <f>AVERAGE(IntelvsQY265_offline_veryslow!Q69:Q80)</f>
        <v>-3.3778730103066014E-2</v>
      </c>
      <c r="AE34" s="38">
        <f>AVERAGE(IntelvsQY265_offline_veryslow!R69:R80)</f>
        <v>-0.17940454049838309</v>
      </c>
      <c r="AF34" s="38">
        <f>AVERAGE(IntelvsQY265_offline_veryslow!S69:S80)</f>
        <v>-0.14283515132438662</v>
      </c>
      <c r="AG34" s="38">
        <f>AVERAGE(IntelvsQY265_offline_veryslow!T69:T80)</f>
        <v>-6.3912888320970709E-2</v>
      </c>
      <c r="AH34" s="39">
        <f>AVERAGE(IntelvsQY265_offline_veryslow!U69:U80)</f>
        <v>-0.39228076288888886</v>
      </c>
    </row>
    <row r="35" spans="1:34" ht="16.5" thickBot="1" x14ac:dyDescent="0.3">
      <c r="A35" s="55">
        <v>1</v>
      </c>
      <c r="B35" s="37" t="s">
        <v>35</v>
      </c>
      <c r="C35" s="38">
        <f>AVERAGE(X264vsQY265_offline_slow!Q9:Q16)</f>
        <v>-0.34380923703470995</v>
      </c>
      <c r="D35" s="38">
        <f>AVERAGE(X264vsQY265_offline_slow!R9:R16)</f>
        <v>-0.57023502790054215</v>
      </c>
      <c r="E35" s="38">
        <f>AVERAGE(X264vsQY265_offline_slow!S9:S16)</f>
        <v>-0.59974327381378334</v>
      </c>
      <c r="F35" s="38">
        <f>AVERAGE(X264vsQY265_offline_slow!T9:T16)</f>
        <v>-0.38044234477438821</v>
      </c>
      <c r="G35" s="39">
        <f>AVERAGE(X264vsQY265_offline_slow!U9:U16)</f>
        <v>-0.13234845376229787</v>
      </c>
      <c r="J35" s="55">
        <v>1</v>
      </c>
      <c r="K35" s="37" t="s">
        <v>35</v>
      </c>
      <c r="L35" s="38">
        <f>AVERAGE(X265vsQY265_offline_slow!Q9:Q16)</f>
        <v>-1.0680398781205247E-2</v>
      </c>
      <c r="M35" s="38">
        <f>AVERAGE(X265vsQY265_offline_slow!R9:R16)</f>
        <v>-0.54884144942629254</v>
      </c>
      <c r="N35" s="38">
        <f>AVERAGE(X265vsQY265_offline_slow!S9:S16)</f>
        <v>-0.53450824845944167</v>
      </c>
      <c r="O35" s="38">
        <f>AVERAGE(X265vsQY265_offline_slow!T9:T16)</f>
        <v>-0.10986671675617476</v>
      </c>
      <c r="P35" s="39">
        <f>AVERAGE(X265vsQY265_offline_slow!U9:U16)</f>
        <v>1.3321320040942755</v>
      </c>
      <c r="S35" s="55">
        <v>1</v>
      </c>
      <c r="T35" s="37" t="s">
        <v>35</v>
      </c>
      <c r="U35" s="38">
        <f>AVERAGE(VP9vsQY265_offline_slow!Q9:Q16)</f>
        <v>-0.21016956843747203</v>
      </c>
      <c r="V35" s="38">
        <f>AVERAGE(VP9vsQY265_offline_slow!R9:R16)</f>
        <v>-0.49020907442258549</v>
      </c>
      <c r="W35" s="38">
        <f>AVERAGE(VP9vsQY265_offline_slow!S9:S16)</f>
        <v>-0.49531280629584651</v>
      </c>
      <c r="X35" s="38">
        <f>AVERAGE(VP9vsQY265_offline_slow!T9:T16)</f>
        <v>-0.26061416710910945</v>
      </c>
      <c r="Y35" s="39">
        <f>AVERAGE(VP9vsQY265_offline_slow!U9:U16)</f>
        <v>0.95252405019317687</v>
      </c>
      <c r="AB35" s="56"/>
      <c r="AC35" s="41" t="s">
        <v>114</v>
      </c>
      <c r="AD35" s="38">
        <f>AVERAGE(IntelvsQY265_offline_veryslow!Q81:Q124)</f>
        <v>-5.691122109998669E-2</v>
      </c>
      <c r="AE35" s="38">
        <f>AVERAGE(IntelvsQY265_offline_veryslow!R81:R124)</f>
        <v>-0.19773662787637108</v>
      </c>
      <c r="AF35" s="38">
        <f>AVERAGE(IntelvsQY265_offline_veryslow!S81:S124)</f>
        <v>-0.18972506447249471</v>
      </c>
      <c r="AG35" s="38">
        <f>AVERAGE(IntelvsQY265_offline_veryslow!T81:T124)</f>
        <v>-8.4456535258191343E-2</v>
      </c>
      <c r="AH35" s="39">
        <f>AVERAGE(IntelvsQY265_offline_veryslow!U81:U124)</f>
        <v>-0.34472308879292923</v>
      </c>
    </row>
    <row r="36" spans="1:34" ht="16.5" thickBot="1" x14ac:dyDescent="0.3">
      <c r="A36" s="56"/>
      <c r="B36" s="37" t="s">
        <v>37</v>
      </c>
      <c r="C36" s="38">
        <f>AVERAGE(X264vsQY265_offline_slow!Q17:Q36)</f>
        <v>-0.43909747460383103</v>
      </c>
      <c r="D36" s="38">
        <f>AVERAGE(X264vsQY265_offline_slow!R17:R36)</f>
        <v>-0.64930453256424525</v>
      </c>
      <c r="E36" s="38">
        <f>AVERAGE(X264vsQY265_offline_slow!S17:S36)</f>
        <v>-0.65200878215738278</v>
      </c>
      <c r="F36" s="38">
        <f>AVERAGE(X264vsQY265_offline_slow!T17:T36)</f>
        <v>-0.47667450792260696</v>
      </c>
      <c r="G36" s="39">
        <f>AVERAGE(X264vsQY265_offline_slow!U17:U36)</f>
        <v>1.8355998334167289E-2</v>
      </c>
      <c r="J36" s="56"/>
      <c r="K36" s="37" t="s">
        <v>37</v>
      </c>
      <c r="L36" s="38">
        <f>AVERAGE(X265vsQY265_offline_slow!Q17:Q36)</f>
        <v>-2.1170348796296801E-2</v>
      </c>
      <c r="M36" s="38">
        <f>AVERAGE(X265vsQY265_offline_slow!R17:R36)</f>
        <v>-0.49264173309243287</v>
      </c>
      <c r="N36" s="38">
        <f>AVERAGE(X265vsQY265_offline_slow!S17:S36)</f>
        <v>-0.47471215645205966</v>
      </c>
      <c r="O36" s="38">
        <f>AVERAGE(X265vsQY265_offline_slow!T17:T36)</f>
        <v>-0.11633473960283511</v>
      </c>
      <c r="P36" s="39">
        <f>AVERAGE(X265vsQY265_offline_slow!U17:U36)</f>
        <v>1.9243366241799578</v>
      </c>
      <c r="S36" s="56"/>
      <c r="T36" s="37" t="s">
        <v>37</v>
      </c>
      <c r="U36" s="38">
        <f>AVERAGE(VP9vsQY265_offline_slow!Q17:Q36)</f>
        <v>-0.22588714031606627</v>
      </c>
      <c r="V36" s="38">
        <f>AVERAGE(VP9vsQY265_offline_slow!R17:R36)</f>
        <v>-0.47707055621583994</v>
      </c>
      <c r="W36" s="38">
        <f>AVERAGE(VP9vsQY265_offline_slow!S17:S36)</f>
        <v>-0.49303469144415146</v>
      </c>
      <c r="X36" s="38">
        <f>AVERAGE(VP9vsQY265_offline_slow!T17:T36)</f>
        <v>-0.28012940249723889</v>
      </c>
      <c r="Y36" s="39">
        <f>AVERAGE(VP9vsQY265_offline_slow!U17:U36)</f>
        <v>1.1860437943875302</v>
      </c>
      <c r="AB36" s="57"/>
      <c r="AC36" s="37" t="s">
        <v>77</v>
      </c>
      <c r="AD36" s="38">
        <f>IntelvsQY265_offline_veryslow!Q125</f>
        <v>-2.5349522992100883E-2</v>
      </c>
      <c r="AE36" s="38">
        <f>IntelvsQY265_offline_veryslow!R125</f>
        <v>-0.21369580859379075</v>
      </c>
      <c r="AF36" s="38">
        <f>IntelvsQY265_offline_veryslow!S125</f>
        <v>-0.20481107346329655</v>
      </c>
      <c r="AG36" s="38">
        <f>IntelvsQY265_offline_veryslow!T125</f>
        <v>-5.9818427149861457E-2</v>
      </c>
      <c r="AH36" s="39">
        <f>IntelvsQY265_offline_veryslow!U125</f>
        <v>-0.35289597080177204</v>
      </c>
    </row>
    <row r="37" spans="1:34" ht="16.5" thickBot="1" x14ac:dyDescent="0.3">
      <c r="A37" s="56"/>
      <c r="B37" s="37" t="s">
        <v>39</v>
      </c>
      <c r="C37" s="38">
        <f>AVERAGE(X264vsQY265_offline_slow!Q37:Q52)</f>
        <v>-0.32463309191193779</v>
      </c>
      <c r="D37" s="38">
        <f>AVERAGE(X264vsQY265_offline_slow!R37:R52)</f>
        <v>-0.59335712878597058</v>
      </c>
      <c r="E37" s="38">
        <f>AVERAGE(X264vsQY265_offline_slow!S37:S52)</f>
        <v>-0.58077114125182949</v>
      </c>
      <c r="F37" s="38">
        <f>AVERAGE(X264vsQY265_offline_slow!T37:T52)</f>
        <v>-0.37422845676365046</v>
      </c>
      <c r="G37" s="39">
        <f>AVERAGE(X264vsQY265_offline_slow!U37:U52)</f>
        <v>-0.23825953072129141</v>
      </c>
      <c r="J37" s="56"/>
      <c r="K37" s="37" t="s">
        <v>39</v>
      </c>
      <c r="L37" s="38">
        <f>AVERAGE(X265vsQY265_offline_slow!Q37:Q52)</f>
        <v>-4.6687245163357594E-2</v>
      </c>
      <c r="M37" s="38">
        <f>AVERAGE(X265vsQY265_offline_slow!R37:R52)</f>
        <v>-0.45237356000198881</v>
      </c>
      <c r="N37" s="38">
        <f>AVERAGE(X265vsQY265_offline_slow!S37:S52)</f>
        <v>-0.41807188412917295</v>
      </c>
      <c r="O37" s="38">
        <f>AVERAGE(X265vsQY265_offline_slow!T37:T52)</f>
        <v>-0.13054128897904418</v>
      </c>
      <c r="P37" s="39">
        <f>AVERAGE(X265vsQY265_offline_slow!U37:U52)</f>
        <v>1.2145329636186277</v>
      </c>
      <c r="S37" s="56"/>
      <c r="T37" s="37" t="s">
        <v>39</v>
      </c>
      <c r="U37" s="38">
        <f>AVERAGE(VP9vsQY265_offline_slow!Q37:Q52)</f>
        <v>-0.21341109398497976</v>
      </c>
      <c r="V37" s="38">
        <f>AVERAGE(VP9vsQY265_offline_slow!R37:R52)</f>
        <v>-0.40624196019460745</v>
      </c>
      <c r="W37" s="38">
        <f>AVERAGE(VP9vsQY265_offline_slow!S37:S52)</f>
        <v>-0.40685306629878404</v>
      </c>
      <c r="X37" s="38">
        <f>AVERAGE(VP9vsQY265_offline_slow!T37:T52)</f>
        <v>-0.25737231974424085</v>
      </c>
      <c r="Y37" s="39">
        <f>AVERAGE(VP9vsQY265_offline_slow!U37:U52)</f>
        <v>0.73629793530367837</v>
      </c>
    </row>
    <row r="38" spans="1:34" ht="16.5" thickBot="1" x14ac:dyDescent="0.3">
      <c r="A38" s="56"/>
      <c r="B38" s="37" t="s">
        <v>41</v>
      </c>
      <c r="C38" s="38">
        <f>AVERAGE(X264vsQY265_offline_slow!Q53:Q68)</f>
        <v>-0.23953568550508789</v>
      </c>
      <c r="D38" s="38">
        <f>AVERAGE(X264vsQY265_offline_slow!R53:R68)</f>
        <v>-0.57381782174949414</v>
      </c>
      <c r="E38" s="38">
        <f>AVERAGE(X264vsQY265_offline_slow!S53:S68)</f>
        <v>-0.57652903624709317</v>
      </c>
      <c r="F38" s="38">
        <f>AVERAGE(X264vsQY265_offline_slow!T53:T68)</f>
        <v>-0.30547150976104959</v>
      </c>
      <c r="G38" s="39">
        <f>AVERAGE(X264vsQY265_offline_slow!U53:U68)</f>
        <v>-0.23117851075505325</v>
      </c>
      <c r="J38" s="56"/>
      <c r="K38" s="37" t="s">
        <v>41</v>
      </c>
      <c r="L38" s="38">
        <f>AVERAGE(X265vsQY265_offline_slow!Q53:Q68)</f>
        <v>-3.158423767125107E-3</v>
      </c>
      <c r="M38" s="38">
        <f>AVERAGE(X265vsQY265_offline_slow!R53:R68)</f>
        <v>-0.3930575492974876</v>
      </c>
      <c r="N38" s="38">
        <f>AVERAGE(X265vsQY265_offline_slow!S53:S68)</f>
        <v>-0.38133094523967115</v>
      </c>
      <c r="O38" s="38">
        <f>AVERAGE(X265vsQY265_offline_slow!T53:T68)</f>
        <v>-8.6324656981487558E-2</v>
      </c>
      <c r="P38" s="39">
        <f>AVERAGE(X265vsQY265_offline_slow!U53:U68)</f>
        <v>1.2153261607860892</v>
      </c>
      <c r="S38" s="56"/>
      <c r="T38" s="37" t="s">
        <v>41</v>
      </c>
      <c r="U38" s="38">
        <f>AVERAGE(VP9vsQY265_offline_slow!Q53:Q68)</f>
        <v>-0.16807344121622012</v>
      </c>
      <c r="V38" s="38">
        <f>AVERAGE(VP9vsQY265_offline_slow!R53:R68)</f>
        <v>-0.30193566577395398</v>
      </c>
      <c r="W38" s="38">
        <f>AVERAGE(VP9vsQY265_offline_slow!S53:S68)</f>
        <v>-0.3165344161552035</v>
      </c>
      <c r="X38" s="38">
        <f>AVERAGE(VP9vsQY265_offline_slow!T53:T68)</f>
        <v>-0.20080953507273988</v>
      </c>
      <c r="Y38" s="39">
        <f>AVERAGE(VP9vsQY265_offline_slow!U53:U68)</f>
        <v>1.0396971212143202</v>
      </c>
    </row>
    <row r="39" spans="1:34" ht="16.5" thickBot="1" x14ac:dyDescent="0.3">
      <c r="A39" s="56"/>
      <c r="B39" s="37" t="s">
        <v>43</v>
      </c>
      <c r="C39" s="38">
        <f>AVERAGE(X264vsQY265_offline_slow!Q69:Q80)</f>
        <v>-0.45219733269731521</v>
      </c>
      <c r="D39" s="38">
        <f>AVERAGE(X264vsQY265_offline_slow!R69:R80)</f>
        <v>-0.68350039147879205</v>
      </c>
      <c r="E39" s="38">
        <f>AVERAGE(X264vsQY265_offline_slow!S69:S80)</f>
        <v>-0.69592925483183021</v>
      </c>
      <c r="F39" s="38">
        <f>AVERAGE(X264vsQY265_offline_slow!T69:T80)</f>
        <v>-0.52110925553177101</v>
      </c>
      <c r="G39" s="39">
        <f>AVERAGE(X264vsQY265_offline_slow!U69:U80)</f>
        <v>-3.8690898535515272E-3</v>
      </c>
      <c r="J39" s="56"/>
      <c r="K39" s="37" t="s">
        <v>43</v>
      </c>
      <c r="L39" s="38">
        <f>AVERAGE(X265vsQY265_offline_slow!Q69:Q80)</f>
        <v>-0.10746371518282645</v>
      </c>
      <c r="M39" s="38">
        <f>AVERAGE(X265vsQY265_offline_slow!R69:R80)</f>
        <v>-0.39188739110153659</v>
      </c>
      <c r="N39" s="38">
        <f>AVERAGE(X265vsQY265_offline_slow!S69:S80)</f>
        <v>-0.34875576781159118</v>
      </c>
      <c r="O39" s="38">
        <f>AVERAGE(X265vsQY265_offline_slow!T69:T80)</f>
        <v>-0.17482513615026415</v>
      </c>
      <c r="P39" s="39">
        <f>AVERAGE(X265vsQY265_offline_slow!U69:U80)</f>
        <v>1.6279907631375725</v>
      </c>
      <c r="S39" s="56"/>
      <c r="T39" s="37" t="s">
        <v>43</v>
      </c>
      <c r="U39" s="38">
        <f>AVERAGE(VP9vsQY265_offline_slow!Q69:Q80)</f>
        <v>-0.1857125928882053</v>
      </c>
      <c r="V39" s="38">
        <f>AVERAGE(VP9vsQY265_offline_slow!R69:R80)</f>
        <v>-0.25419072841773377</v>
      </c>
      <c r="W39" s="38">
        <f>AVERAGE(VP9vsQY265_offline_slow!S69:S80)</f>
        <v>-0.23747482133775255</v>
      </c>
      <c r="X39" s="38">
        <f>AVERAGE(VP9vsQY265_offline_slow!T69:T80)</f>
        <v>-0.19927198020303835</v>
      </c>
      <c r="Y39" s="39">
        <f>AVERAGE(VP9vsQY265_offline_slow!U69:U80)</f>
        <v>2.033427504317157</v>
      </c>
    </row>
    <row r="40" spans="1:34" ht="16.5" thickBot="1" x14ac:dyDescent="0.3">
      <c r="A40" s="56"/>
      <c r="B40" s="41" t="s">
        <v>114</v>
      </c>
      <c r="C40" s="38">
        <f>AVERAGE(X264vsQY265_offline_slow!Q81:Q124)</f>
        <v>-0.29828430816970819</v>
      </c>
      <c r="D40" s="38">
        <f>AVERAGE(X264vsQY265_offline_slow!R81:R124)</f>
        <v>-0.47472836277146974</v>
      </c>
      <c r="E40" s="38">
        <f>AVERAGE(X264vsQY265_offline_slow!S81:S124)</f>
        <v>-0.46565382845077347</v>
      </c>
      <c r="F40" s="38">
        <f>AVERAGE(X264vsQY265_offline_slow!T81:T124)</f>
        <v>-0.33537897180221238</v>
      </c>
      <c r="G40" s="39">
        <f>AVERAGE(X264vsQY265_offline_slow!U81:U124)</f>
        <v>-0.16922990911660957</v>
      </c>
      <c r="J40" s="56"/>
      <c r="K40" s="41" t="s">
        <v>114</v>
      </c>
      <c r="L40" s="38">
        <f>AVERAGE(X265vsQY265_offline_slow!Q81:Q124)</f>
        <v>-5.9211932085121328E-2</v>
      </c>
      <c r="M40" s="38">
        <f>AVERAGE(X265vsQY265_offline_slow!R81:R124)</f>
        <v>-0.30515209686044925</v>
      </c>
      <c r="N40" s="38">
        <f>AVERAGE(X265vsQY265_offline_slow!S81:S124)</f>
        <v>-0.2951548014233496</v>
      </c>
      <c r="O40" s="38">
        <f>AVERAGE(X265vsQY265_offline_slow!T81:T124)</f>
        <v>-0.11529116129300773</v>
      </c>
      <c r="P40" s="39">
        <f>AVERAGE(X265vsQY265_offline_slow!U81:U124)</f>
        <v>1.5414841825848122</v>
      </c>
      <c r="S40" s="56"/>
      <c r="T40" s="41" t="s">
        <v>114</v>
      </c>
      <c r="U40" s="38">
        <f>AVERAGE(VP9vsQY265_offline_slow!Q81:Q124)</f>
        <v>-0.16045661469478364</v>
      </c>
      <c r="V40" s="38">
        <f>AVERAGE(VP9vsQY265_offline_slow!R81:R124)</f>
        <v>-0.28003149972488656</v>
      </c>
      <c r="W40" s="38">
        <f>AVERAGE(VP9vsQY265_offline_slow!S81:S124)</f>
        <v>-0.28050407209532807</v>
      </c>
      <c r="X40" s="38">
        <f>AVERAGE(VP9vsQY265_offline_slow!T81:T124)</f>
        <v>-0.18859533355383132</v>
      </c>
      <c r="Y40" s="39">
        <f>AVERAGE(VP9vsQY265_offline_slow!U81:U124)</f>
        <v>0.7894360722558601</v>
      </c>
    </row>
    <row r="41" spans="1:34" ht="16.5" thickBot="1" x14ac:dyDescent="0.3">
      <c r="A41" s="57"/>
      <c r="B41" s="37" t="s">
        <v>77</v>
      </c>
      <c r="C41" s="38">
        <f>X264vsQY265_offline_slow!Q125</f>
        <v>-0.33715518430053154</v>
      </c>
      <c r="D41" s="38">
        <f>X264vsQY265_offline_slow!R125</f>
        <v>-0.56304157536850741</v>
      </c>
      <c r="E41" s="38">
        <f>X264vsQY265_offline_slow!S125</f>
        <v>-0.56202451882290227</v>
      </c>
      <c r="F41" s="38">
        <f>X264vsQY265_offline_slow!T125</f>
        <v>-0.38329495005794001</v>
      </c>
      <c r="G41" s="39">
        <f>X264vsQY265_offline_slow!U125</f>
        <v>-0.1353036328138793</v>
      </c>
      <c r="J41" s="57"/>
      <c r="K41" s="37" t="s">
        <v>77</v>
      </c>
      <c r="L41" s="38">
        <f>X265vsQY265_offline_slow!Q125</f>
        <v>-4.4838538474159979E-2</v>
      </c>
      <c r="M41" s="38">
        <f>X265vsQY265_offline_slow!R125</f>
        <v>-0.39568797380283482</v>
      </c>
      <c r="N41" s="38">
        <f>X265vsQY265_offline_slow!S125</f>
        <v>-0.37700547295676462</v>
      </c>
      <c r="O41" s="38">
        <f>X265vsQY265_offline_slow!T125</f>
        <v>-0.11936376200146653</v>
      </c>
      <c r="P41" s="39">
        <f>X265vsQY265_offline_slow!U125</f>
        <v>1.5119200663638919</v>
      </c>
      <c r="S41" s="57"/>
      <c r="T41" s="37" t="s">
        <v>77</v>
      </c>
      <c r="U41" s="38">
        <f>VP9vsQY265_offline_slow!Q125</f>
        <v>-0.18613356964025216</v>
      </c>
      <c r="V41" s="38">
        <f>VP9vsQY265_offline_slow!R125</f>
        <v>-0.34625517641467485</v>
      </c>
      <c r="W41" s="38">
        <f>VP9vsQY265_offline_slow!S125</f>
        <v>-0.34990752609276776</v>
      </c>
      <c r="X41" s="38">
        <f>VP9vsQY265_offline_slow!T125</f>
        <v>-0.22161956467839986</v>
      </c>
      <c r="Y41" s="39">
        <f>VP9vsQY265_offline_slow!U125</f>
        <v>1.0249422967642048</v>
      </c>
    </row>
    <row r="42" spans="1:34" ht="16.5" thickBot="1" x14ac:dyDescent="0.3">
      <c r="A42" s="55" t="s">
        <v>76</v>
      </c>
      <c r="B42" s="37" t="s">
        <v>35</v>
      </c>
      <c r="C42" s="38">
        <f>AVERAGE(X264vsQY265_offline_slow!Q131:Q138)</f>
        <v>-0.42009017889191802</v>
      </c>
      <c r="D42" s="38">
        <f>AVERAGE(X264vsQY265_offline_slow!R131:R138)</f>
        <v>-0.60297143143403154</v>
      </c>
      <c r="E42" s="38">
        <f>AVERAGE(X264vsQY265_offline_slow!S131:S138)</f>
        <v>-0.63412634397924339</v>
      </c>
      <c r="F42" s="38">
        <f>AVERAGE(X264vsQY265_offline_slow!T131:T138)</f>
        <v>-0.4514587721922495</v>
      </c>
      <c r="G42" s="39">
        <f>AVERAGE(X264vsQY265_offline_slow!U131:U138)</f>
        <v>7.6571317339696743E-2</v>
      </c>
      <c r="J42" s="55" t="s">
        <v>76</v>
      </c>
      <c r="K42" s="37" t="s">
        <v>35</v>
      </c>
      <c r="L42" s="38">
        <f>AVERAGE(X265vsQY265_offline_slow!Q131:Q138)</f>
        <v>-2.9908782421931845E-3</v>
      </c>
      <c r="M42" s="38">
        <f>AVERAGE(X265vsQY265_offline_slow!R131:R138)</f>
        <v>-0.5594723170624547</v>
      </c>
      <c r="N42" s="38">
        <f>AVERAGE(X265vsQY265_offline_slow!S131:S138)</f>
        <v>-0.54108670507326218</v>
      </c>
      <c r="O42" s="38">
        <f>AVERAGE(X265vsQY265_offline_slow!T131:T138)</f>
        <v>-0.10641904627236293</v>
      </c>
      <c r="P42" s="39">
        <f>AVERAGE(X265vsQY265_offline_slow!U131:U138)</f>
        <v>1.5629181133151444</v>
      </c>
      <c r="S42" s="55" t="s">
        <v>76</v>
      </c>
      <c r="T42" s="37" t="s">
        <v>35</v>
      </c>
      <c r="U42" s="38">
        <f>AVERAGE(VP9vsQY265_offline_slow!Q131:Q138)</f>
        <v>-0.18895635599859995</v>
      </c>
      <c r="V42" s="38">
        <f>AVERAGE(VP9vsQY265_offline_slow!R131:R138)</f>
        <v>-0.48891261646260153</v>
      </c>
      <c r="W42" s="38">
        <f>AVERAGE(VP9vsQY265_offline_slow!S131:S138)</f>
        <v>-0.49688123834885178</v>
      </c>
      <c r="X42" s="38">
        <f>AVERAGE(VP9vsQY265_offline_slow!T131:T138)</f>
        <v>-0.24380119082111773</v>
      </c>
      <c r="Y42" s="39">
        <f>AVERAGE(VP9vsQY265_offline_slow!U131:U138)</f>
        <v>2.0754429776634802</v>
      </c>
    </row>
    <row r="43" spans="1:34" ht="16.5" thickBot="1" x14ac:dyDescent="0.3">
      <c r="A43" s="56"/>
      <c r="B43" s="37" t="s">
        <v>37</v>
      </c>
      <c r="C43" s="38">
        <f>AVERAGE(X264vsQY265_offline_slow!Q139:Q158)</f>
        <v>-0.43415417787180283</v>
      </c>
      <c r="D43" s="38">
        <f>AVERAGE(X264vsQY265_offline_slow!R139:R158)</f>
        <v>-0.6527769862186632</v>
      </c>
      <c r="E43" s="38">
        <f>AVERAGE(X264vsQY265_offline_slow!S139:S158)</f>
        <v>-0.65304030576487293</v>
      </c>
      <c r="F43" s="38">
        <f>AVERAGE(X264vsQY265_offline_slow!T139:T158)</f>
        <v>-0.47300332015959157</v>
      </c>
      <c r="G43" s="39">
        <f>AVERAGE(X264vsQY265_offline_slow!U139:U158)</f>
        <v>0.19108337044378704</v>
      </c>
      <c r="J43" s="56"/>
      <c r="K43" s="37" t="s">
        <v>37</v>
      </c>
      <c r="L43" s="38">
        <f>AVERAGE(X265vsQY265_offline_slow!Q139:Q158)</f>
        <v>-1.5928593576135918E-2</v>
      </c>
      <c r="M43" s="38">
        <f>AVERAGE(X265vsQY265_offline_slow!R139:R158)</f>
        <v>-0.49421948005603999</v>
      </c>
      <c r="N43" s="38">
        <f>AVERAGE(X265vsQY265_offline_slow!S139:S158)</f>
        <v>-0.47743469254766702</v>
      </c>
      <c r="O43" s="38">
        <f>AVERAGE(X265vsQY265_offline_slow!T139:T158)</f>
        <v>-0.1122671670538028</v>
      </c>
      <c r="P43" s="39">
        <f>AVERAGE(X265vsQY265_offline_slow!U139:U158)</f>
        <v>2.3880408280292249</v>
      </c>
      <c r="S43" s="56"/>
      <c r="T43" s="37" t="s">
        <v>37</v>
      </c>
      <c r="U43" s="38">
        <f>AVERAGE(VP9vsQY265_offline_slow!Q139:Q158)</f>
        <v>-0.19711829062704325</v>
      </c>
      <c r="V43" s="38">
        <f>AVERAGE(VP9vsQY265_offline_slow!R139:R158)</f>
        <v>-0.47210201906672616</v>
      </c>
      <c r="W43" s="38">
        <f>AVERAGE(VP9vsQY265_offline_slow!S139:S158)</f>
        <v>-0.48784125339579826</v>
      </c>
      <c r="X43" s="38">
        <f>AVERAGE(VP9vsQY265_offline_slow!T139:T158)</f>
        <v>-0.25581546402242222</v>
      </c>
      <c r="Y43" s="39">
        <f>AVERAGE(VP9vsQY265_offline_slow!U139:U158)</f>
        <v>3.0627742505281814</v>
      </c>
    </row>
    <row r="44" spans="1:34" ht="16.5" thickBot="1" x14ac:dyDescent="0.3">
      <c r="A44" s="56"/>
      <c r="B44" s="37" t="s">
        <v>39</v>
      </c>
      <c r="C44" s="38">
        <f>AVERAGE(X264vsQY265_offline_slow!Q159:Q174)</f>
        <v>-0.32143899967341671</v>
      </c>
      <c r="D44" s="38">
        <f>AVERAGE(X264vsQY265_offline_slow!R159:R174)</f>
        <v>-0.58809302658650819</v>
      </c>
      <c r="E44" s="38">
        <f>AVERAGE(X264vsQY265_offline_slow!S159:S174)</f>
        <v>-0.57666177981035949</v>
      </c>
      <c r="F44" s="38">
        <f>AVERAGE(X264vsQY265_offline_slow!T159:T174)</f>
        <v>-0.37123576273153314</v>
      </c>
      <c r="G44" s="39">
        <f>AVERAGE(X264vsQY265_offline_slow!U159:U174)</f>
        <v>-0.21237496512718557</v>
      </c>
      <c r="J44" s="56"/>
      <c r="K44" s="37" t="s">
        <v>39</v>
      </c>
      <c r="L44" s="38">
        <f>AVERAGE(X265vsQY265_offline_slow!Q159:Q174)</f>
        <v>-4.7751213796368513E-2</v>
      </c>
      <c r="M44" s="38">
        <f>AVERAGE(X265vsQY265_offline_slow!R159:R174)</f>
        <v>-0.45512172624942027</v>
      </c>
      <c r="N44" s="38">
        <f>AVERAGE(X265vsQY265_offline_slow!S159:S174)</f>
        <v>-0.41837290851393649</v>
      </c>
      <c r="O44" s="38">
        <f>AVERAGE(X265vsQY265_offline_slow!T159:T174)</f>
        <v>-0.13195171009513021</v>
      </c>
      <c r="P44" s="39">
        <f>AVERAGE(X265vsQY265_offline_slow!U159:U174)</f>
        <v>1.6446416511714621</v>
      </c>
      <c r="S44" s="56"/>
      <c r="T44" s="37" t="s">
        <v>39</v>
      </c>
      <c r="U44" s="38">
        <f>AVERAGE(VP9vsQY265_offline_slow!Q159:Q174)</f>
        <v>-0.1959642777221963</v>
      </c>
      <c r="V44" s="38">
        <f>AVERAGE(VP9vsQY265_offline_slow!R159:R174)</f>
        <v>-0.40215325265410906</v>
      </c>
      <c r="W44" s="38">
        <f>AVERAGE(VP9vsQY265_offline_slow!S159:S174)</f>
        <v>-0.40111161493334418</v>
      </c>
      <c r="X44" s="38">
        <f>AVERAGE(VP9vsQY265_offline_slow!T159:T174)</f>
        <v>-0.24283449017857101</v>
      </c>
      <c r="Y44" s="39">
        <f>AVERAGE(VP9vsQY265_offline_slow!U159:U174)</f>
        <v>2.918086160150406</v>
      </c>
    </row>
    <row r="45" spans="1:34" ht="16.5" thickBot="1" x14ac:dyDescent="0.3">
      <c r="A45" s="56"/>
      <c r="B45" s="37" t="s">
        <v>41</v>
      </c>
      <c r="C45" s="38">
        <f>AVERAGE(X264vsQY265_offline_slow!Q175:Q190)</f>
        <v>-0.22527500969067582</v>
      </c>
      <c r="D45" s="38">
        <f>AVERAGE(X264vsQY265_offline_slow!R175:R190)</f>
        <v>-0.56583585708898354</v>
      </c>
      <c r="E45" s="38">
        <f>AVERAGE(X264vsQY265_offline_slow!S175:S190)</f>
        <v>-0.56700831727891154</v>
      </c>
      <c r="F45" s="38">
        <f>AVERAGE(X264vsQY265_offline_slow!T175:T190)</f>
        <v>-0.29256505088557844</v>
      </c>
      <c r="G45" s="39">
        <f>AVERAGE(X264vsQY265_offline_slow!U175:U190)</f>
        <v>-0.31783032773326642</v>
      </c>
      <c r="J45" s="56"/>
      <c r="K45" s="37" t="s">
        <v>41</v>
      </c>
      <c r="L45" s="38">
        <f>AVERAGE(X265vsQY265_offline_slow!Q175:Q190)</f>
        <v>1.2399172335152975E-3</v>
      </c>
      <c r="M45" s="38">
        <f>AVERAGE(X265vsQY265_offline_slow!R175:R190)</f>
        <v>-0.39781061159424591</v>
      </c>
      <c r="N45" s="38">
        <f>AVERAGE(X265vsQY265_offline_slow!S175:S190)</f>
        <v>-0.37997161514336897</v>
      </c>
      <c r="O45" s="38">
        <f>AVERAGE(X265vsQY265_offline_slow!T175:T190)</f>
        <v>-8.3067169912122957E-2</v>
      </c>
      <c r="P45" s="39">
        <f>AVERAGE(X265vsQY265_offline_slow!U175:U190)</f>
        <v>2.6414982054217822</v>
      </c>
      <c r="S45" s="56"/>
      <c r="T45" s="37" t="s">
        <v>41</v>
      </c>
      <c r="U45" s="38">
        <f>AVERAGE(VP9vsQY265_offline_slow!Q175:Q190)</f>
        <v>-0.14717315818173685</v>
      </c>
      <c r="V45" s="38">
        <f>AVERAGE(VP9vsQY265_offline_slow!R175:R190)</f>
        <v>-0.29587028282758665</v>
      </c>
      <c r="W45" s="38">
        <f>AVERAGE(VP9vsQY265_offline_slow!S175:S190)</f>
        <v>-0.30797129563490444</v>
      </c>
      <c r="X45" s="38">
        <f>AVERAGE(VP9vsQY265_offline_slow!T175:T190)</f>
        <v>-0.18257748215474412</v>
      </c>
      <c r="Y45" s="39">
        <f>AVERAGE(VP9vsQY265_offline_slow!U175:U190)</f>
        <v>5.0737830908098029</v>
      </c>
    </row>
    <row r="46" spans="1:34" ht="16.5" thickBot="1" x14ac:dyDescent="0.3">
      <c r="A46" s="56"/>
      <c r="B46" s="37" t="s">
        <v>43</v>
      </c>
      <c r="C46" s="38">
        <f>AVERAGE(X264vsQY265_offline_slow!Q191:Q202)</f>
        <v>-0.42545810815399077</v>
      </c>
      <c r="D46" s="38">
        <f>AVERAGE(X264vsQY265_offline_slow!R191:R202)</f>
        <v>-0.6594347974836352</v>
      </c>
      <c r="E46" s="38">
        <f>AVERAGE(X264vsQY265_offline_slow!S191:S202)</f>
        <v>-0.67744726778378295</v>
      </c>
      <c r="F46" s="38">
        <f>AVERAGE(X264vsQY265_offline_slow!T191:T202)</f>
        <v>-0.49473567446934802</v>
      </c>
      <c r="G46" s="39">
        <f>AVERAGE(X264vsQY265_offline_slow!U191:U202)</f>
        <v>0.21292812616181578</v>
      </c>
      <c r="J46" s="56"/>
      <c r="K46" s="37" t="s">
        <v>43</v>
      </c>
      <c r="L46" s="38">
        <f>AVERAGE(X265vsQY265_offline_slow!Q191:Q202)</f>
        <v>-8.9608462580634152E-2</v>
      </c>
      <c r="M46" s="38">
        <f>AVERAGE(X265vsQY265_offline_slow!R191:R202)</f>
        <v>-0.37638152190395902</v>
      </c>
      <c r="N46" s="38">
        <f>AVERAGE(X265vsQY265_offline_slow!S191:S202)</f>
        <v>-0.35026976224485717</v>
      </c>
      <c r="O46" s="38">
        <f>AVERAGE(X265vsQY265_offline_slow!T191:T202)</f>
        <v>-0.16012785791486364</v>
      </c>
      <c r="P46" s="39">
        <f>AVERAGE(X265vsQY265_offline_slow!U191:U202)</f>
        <v>1.9463313010527139</v>
      </c>
      <c r="S46" s="56"/>
      <c r="T46" s="37" t="s">
        <v>43</v>
      </c>
      <c r="U46" s="38">
        <f>AVERAGE(VP9vsQY265_offline_slow!Q191:Q202)</f>
        <v>-0.14315489092245817</v>
      </c>
      <c r="V46" s="38">
        <f>AVERAGE(VP9vsQY265_offline_slow!R191:R202)</f>
        <v>-0.20815881076483744</v>
      </c>
      <c r="W46" s="38">
        <f>AVERAGE(VP9vsQY265_offline_slow!S191:S202)</f>
        <v>-0.20508512415047586</v>
      </c>
      <c r="X46" s="38">
        <f>AVERAGE(VP9vsQY265_offline_slow!T191:T202)</f>
        <v>-0.15757471413353843</v>
      </c>
      <c r="Y46" s="39">
        <f>AVERAGE(VP9vsQY265_offline_slow!U191:U202)</f>
        <v>3.7515559661217335</v>
      </c>
    </row>
    <row r="47" spans="1:34" ht="16.5" thickBot="1" x14ac:dyDescent="0.3">
      <c r="A47" s="56"/>
      <c r="B47" s="41" t="s">
        <v>114</v>
      </c>
      <c r="C47" s="38">
        <f>AVERAGE(X264vsQY265_offline_slow!Q203:Q246)</f>
        <v>-0.28377892206656519</v>
      </c>
      <c r="D47" s="38">
        <f>AVERAGE(X264vsQY265_offline_slow!R203:R246)</f>
        <v>-0.46405852794615848</v>
      </c>
      <c r="E47" s="38">
        <f>AVERAGE(X264vsQY265_offline_slow!S203:S246)</f>
        <v>-0.45165021430266256</v>
      </c>
      <c r="F47" s="38">
        <f>AVERAGE(X264vsQY265_offline_slow!T203:T246)</f>
        <v>-0.32131304609009614</v>
      </c>
      <c r="G47" s="39">
        <f>AVERAGE(X264vsQY265_offline_slow!U203:U246)</f>
        <v>-0.10075568115350896</v>
      </c>
      <c r="J47" s="56"/>
      <c r="K47" s="41" t="s">
        <v>114</v>
      </c>
      <c r="L47" s="38">
        <f>AVERAGE(X265vsQY265_offline_slow!Q203:Q246)</f>
        <v>-5.5235459764859003E-2</v>
      </c>
      <c r="M47" s="38">
        <f>AVERAGE(X265vsQY265_offline_slow!R203:R246)</f>
        <v>-0.30527747289611229</v>
      </c>
      <c r="N47" s="38">
        <f>AVERAGE(X265vsQY265_offline_slow!S203:S246)</f>
        <v>-0.29266648005970808</v>
      </c>
      <c r="O47" s="38">
        <f>AVERAGE(X265vsQY265_offline_slow!T203:T246)</f>
        <v>-0.11177517189773495</v>
      </c>
      <c r="P47" s="39">
        <f>AVERAGE(X265vsQY265_offline_slow!U203:U246)</f>
        <v>1.7708996455428503</v>
      </c>
      <c r="S47" s="56"/>
      <c r="T47" s="41" t="s">
        <v>114</v>
      </c>
      <c r="U47" s="38">
        <f>AVERAGE(VP9vsQY265_offline_slow!Q203:Q246)</f>
        <v>-0.13168591137100044</v>
      </c>
      <c r="V47" s="38">
        <f>AVERAGE(VP9vsQY265_offline_slow!R203:R246)</f>
        <v>-0.25647700818695651</v>
      </c>
      <c r="W47" s="38">
        <f>AVERAGE(VP9vsQY265_offline_slow!S203:S246)</f>
        <v>-0.25663746723138914</v>
      </c>
      <c r="X47" s="38">
        <f>AVERAGE(VP9vsQY265_offline_slow!T203:T246)</f>
        <v>-0.16024046316544568</v>
      </c>
      <c r="Y47" s="39">
        <f>AVERAGE(VP9vsQY265_offline_slow!U203:U246)</f>
        <v>2.1520706120694033</v>
      </c>
    </row>
    <row r="48" spans="1:34" ht="16.5" thickBot="1" x14ac:dyDescent="0.3">
      <c r="A48" s="57"/>
      <c r="B48" s="37" t="s">
        <v>77</v>
      </c>
      <c r="C48" s="38">
        <f>X264vsQY265_offline_slow!Q247</f>
        <v>-0.33088792247563475</v>
      </c>
      <c r="D48" s="38">
        <f>X264vsQY265_offline_slow!R247</f>
        <v>-0.55753419063868959</v>
      </c>
      <c r="E48" s="38">
        <f>X264vsQY265_offline_slow!S247</f>
        <v>-0.5554699574420886</v>
      </c>
      <c r="F48" s="38">
        <f>X264vsQY265_offline_slow!T247</f>
        <v>-0.37730303207068983</v>
      </c>
      <c r="G48" s="39">
        <f>X264vsQY265_offline_slow!U247</f>
        <v>-5.1096199956780358E-2</v>
      </c>
      <c r="J48" s="57"/>
      <c r="K48" s="37" t="s">
        <v>77</v>
      </c>
      <c r="L48" s="38">
        <f>X265vsQY265_offline_slow!Q247</f>
        <v>-3.9589150199028637E-2</v>
      </c>
      <c r="M48" s="38">
        <f>X265vsQY265_offline_slow!R247</f>
        <v>-0.39617131563272023</v>
      </c>
      <c r="N48" s="38">
        <f>X265vsQY265_offline_slow!S247</f>
        <v>-0.37699536327260152</v>
      </c>
      <c r="O48" s="38">
        <f>X265vsQY265_offline_slow!T247</f>
        <v>-0.11531585905042854</v>
      </c>
      <c r="P48" s="39">
        <f>X265vsQY265_offline_slow!U247</f>
        <v>1.9837755102509951</v>
      </c>
      <c r="S48" s="57"/>
      <c r="T48" s="37" t="s">
        <v>77</v>
      </c>
      <c r="U48" s="38">
        <f>VP9vsQY265_offline_slow!Q247</f>
        <v>-0.15910564160677684</v>
      </c>
      <c r="V48" s="38">
        <f>VP9vsQY265_offline_slow!R247</f>
        <v>-0.33021217215643622</v>
      </c>
      <c r="W48" s="38">
        <f>VP9vsQY265_offline_slow!S247</f>
        <v>-0.33474372061884128</v>
      </c>
      <c r="X48" s="38">
        <f>VP9vsQY265_offline_slow!T247</f>
        <v>-0.19667920097614225</v>
      </c>
      <c r="Y48" s="39">
        <f>VP9vsQY265_offline_slow!U247</f>
        <v>2.977919960101286</v>
      </c>
    </row>
    <row r="49" spans="1:25" ht="16.5" thickBot="1" x14ac:dyDescent="0.3">
      <c r="A49" s="52" t="s">
        <v>116</v>
      </c>
      <c r="B49" s="53"/>
      <c r="C49" s="53"/>
      <c r="D49" s="53"/>
      <c r="E49" s="53"/>
      <c r="F49" s="53"/>
      <c r="G49" s="54"/>
      <c r="J49" s="52" t="s">
        <v>117</v>
      </c>
      <c r="K49" s="53"/>
      <c r="L49" s="53"/>
      <c r="M49" s="53"/>
      <c r="N49" s="53"/>
      <c r="O49" s="53"/>
      <c r="P49" s="54"/>
      <c r="S49" s="52" t="s">
        <v>123</v>
      </c>
      <c r="T49" s="53"/>
      <c r="U49" s="53"/>
      <c r="V49" s="53"/>
      <c r="W49" s="53"/>
      <c r="X49" s="53"/>
      <c r="Y49" s="54"/>
    </row>
    <row r="50" spans="1:25" ht="16.5" thickBot="1" x14ac:dyDescent="0.3">
      <c r="A50" s="37" t="s">
        <v>74</v>
      </c>
      <c r="B50" s="37" t="s">
        <v>73</v>
      </c>
      <c r="C50" s="37" t="s">
        <v>69</v>
      </c>
      <c r="D50" s="37" t="s">
        <v>70</v>
      </c>
      <c r="E50" s="37" t="s">
        <v>71</v>
      </c>
      <c r="F50" s="37" t="s">
        <v>72</v>
      </c>
      <c r="G50" s="37" t="s">
        <v>75</v>
      </c>
      <c r="J50" s="37" t="s">
        <v>74</v>
      </c>
      <c r="K50" s="37" t="s">
        <v>73</v>
      </c>
      <c r="L50" s="37" t="s">
        <v>69</v>
      </c>
      <c r="M50" s="37" t="s">
        <v>70</v>
      </c>
      <c r="N50" s="37" t="s">
        <v>71</v>
      </c>
      <c r="O50" s="37" t="s">
        <v>72</v>
      </c>
      <c r="P50" s="37" t="s">
        <v>75</v>
      </c>
      <c r="S50" s="37" t="s">
        <v>129</v>
      </c>
      <c r="T50" s="37" t="s">
        <v>73</v>
      </c>
      <c r="U50" s="37" t="s">
        <v>69</v>
      </c>
      <c r="V50" s="37" t="s">
        <v>70</v>
      </c>
      <c r="W50" s="37" t="s">
        <v>71</v>
      </c>
      <c r="X50" s="37" t="s">
        <v>72</v>
      </c>
      <c r="Y50" s="37" t="s">
        <v>75</v>
      </c>
    </row>
    <row r="51" spans="1:25" ht="16.5" thickBot="1" x14ac:dyDescent="0.3">
      <c r="A51" s="55" t="s">
        <v>76</v>
      </c>
      <c r="B51" s="37" t="s">
        <v>35</v>
      </c>
      <c r="C51" s="38">
        <f>AVERAGE(X264vsQY265_offline_placebo!Q9:Q16)</f>
        <v>-0.37180211476965386</v>
      </c>
      <c r="D51" s="38">
        <f>AVERAGE(X264vsQY265_offline_placebo!R9:R16)</f>
        <v>-0.53198188085076614</v>
      </c>
      <c r="E51" s="38">
        <f>AVERAGE(X264vsQY265_offline_placebo!S9:S16)</f>
        <v>-0.57422537231072768</v>
      </c>
      <c r="F51" s="38">
        <f>AVERAGE(X264vsQY265_offline_placebo!T9:T16)</f>
        <v>-0.39973296487382737</v>
      </c>
      <c r="G51" s="39">
        <f>AVERAGE(X264vsQY265_offline_placebo!U9:U16)</f>
        <v>0.93977673528021666</v>
      </c>
      <c r="J51" s="55" t="s">
        <v>76</v>
      </c>
      <c r="K51" s="37" t="s">
        <v>35</v>
      </c>
      <c r="L51" s="38">
        <f>AVERAGE(X265vsQY265_offline_veryslow!Q9:Q16)</f>
        <v>5.1739769780638767E-2</v>
      </c>
      <c r="M51" s="38">
        <f>AVERAGE(X265vsQY265_offline_veryslow!R9:R16)</f>
        <v>-0.52253532934413838</v>
      </c>
      <c r="N51" s="38">
        <f>AVERAGE(X265vsQY265_offline_veryslow!S9:S16)</f>
        <v>-0.52578298502069953</v>
      </c>
      <c r="O51" s="38">
        <f>AVERAGE(X265vsQY265_offline_veryslow!T9:T16)</f>
        <v>-5.5343166725339565E-2</v>
      </c>
      <c r="P51" s="39">
        <f>AVERAGE(X265vsQY265_offline_veryslow!U9:U16)</f>
        <v>0.78439886889407151</v>
      </c>
      <c r="S51" s="55" t="s">
        <v>76</v>
      </c>
      <c r="T51" s="37" t="s">
        <v>35</v>
      </c>
      <c r="U51" s="38">
        <f>AVERAGE(VP9vsQY265_offline_veryslow!Q9:Q16)</f>
        <v>-2.0279893307399099E-2</v>
      </c>
      <c r="V51" s="38">
        <f>AVERAGE(VP9vsQY265_offline_veryslow!R9:R16)</f>
        <v>-0.41608767742698405</v>
      </c>
      <c r="W51" s="38">
        <f>AVERAGE(VP9vsQY265_offline_veryslow!S9:S16)</f>
        <v>-0.43479544463545033</v>
      </c>
      <c r="X51" s="38">
        <f>AVERAGE(VP9vsQY265_offline_veryslow!T9:T16)</f>
        <v>-9.4998183447801865E-2</v>
      </c>
      <c r="Y51" s="39">
        <f>AVERAGE(VP9vsQY265_offline_veryslow!U9:U16)</f>
        <v>10.094670341614906</v>
      </c>
    </row>
    <row r="52" spans="1:25" ht="16.5" thickBot="1" x14ac:dyDescent="0.3">
      <c r="A52" s="56"/>
      <c r="B52" s="37" t="s">
        <v>37</v>
      </c>
      <c r="C52" s="38">
        <f>AVERAGE(X264vsQY265_offline_placebo!Q17:Q36)</f>
        <v>-0.39804773422731438</v>
      </c>
      <c r="D52" s="38">
        <f>AVERAGE(X264vsQY265_offline_placebo!R17:R36)</f>
        <v>-0.62351479493899276</v>
      </c>
      <c r="E52" s="38">
        <f>AVERAGE(X264vsQY265_offline_placebo!S17:S36)</f>
        <v>-0.62864627129542683</v>
      </c>
      <c r="F52" s="38">
        <f>AVERAGE(X264vsQY265_offline_placebo!T17:T36)</f>
        <v>-0.43944102846631472</v>
      </c>
      <c r="G52" s="39">
        <f>AVERAGE(X264vsQY265_offline_placebo!U17:U36)</f>
        <v>1.6590764284671184</v>
      </c>
      <c r="J52" s="56"/>
      <c r="K52" s="37" t="s">
        <v>37</v>
      </c>
      <c r="L52" s="38">
        <f>AVERAGE(X265vsQY265_offline_veryslow!Q17:Q36)</f>
        <v>3.6365367702114958E-3</v>
      </c>
      <c r="M52" s="38">
        <f>AVERAGE(X265vsQY265_offline_veryslow!R17:R36)</f>
        <v>-0.45291338289432626</v>
      </c>
      <c r="N52" s="38">
        <f>AVERAGE(X265vsQY265_offline_veryslow!S17:S36)</f>
        <v>-0.43202604140984108</v>
      </c>
      <c r="O52" s="38">
        <f>AVERAGE(X265vsQY265_offline_veryslow!T17:T36)</f>
        <v>-8.6325698592691347E-2</v>
      </c>
      <c r="P52" s="39">
        <f>AVERAGE(X265vsQY265_offline_veryslow!U17:U36)</f>
        <v>0.98936089561545992</v>
      </c>
      <c r="S52" s="56"/>
      <c r="T52" s="37" t="s">
        <v>37</v>
      </c>
      <c r="U52" s="38">
        <f>AVERAGE(VP9vsQY265_offline_veryslow!Q17:Q36)</f>
        <v>-8.3055111780720933E-2</v>
      </c>
      <c r="V52" s="38">
        <f>AVERAGE(VP9vsQY265_offline_veryslow!R17:R36)</f>
        <v>-0.41015122515734392</v>
      </c>
      <c r="W52" s="38">
        <f>AVERAGE(VP9vsQY265_offline_veryslow!S17:S36)</f>
        <v>-0.4290610863499541</v>
      </c>
      <c r="X52" s="38">
        <f>AVERAGE(VP9vsQY265_offline_veryslow!T17:T36)</f>
        <v>-0.15404121664244316</v>
      </c>
      <c r="Y52" s="39">
        <f>AVERAGE(VP9vsQY265_offline_veryslow!U17:U36)</f>
        <v>12.152905038414747</v>
      </c>
    </row>
    <row r="53" spans="1:25" ht="16.5" thickBot="1" x14ac:dyDescent="0.3">
      <c r="A53" s="56"/>
      <c r="B53" s="37" t="s">
        <v>39</v>
      </c>
      <c r="C53" s="38">
        <f>AVERAGE(X264vsQY265_offline_placebo!Q37:Q52)</f>
        <v>-0.30210919761435723</v>
      </c>
      <c r="D53" s="38">
        <f>AVERAGE(X264vsQY265_offline_placebo!R37:R52)</f>
        <v>-0.57883341534136601</v>
      </c>
      <c r="E53" s="38">
        <f>AVERAGE(X264vsQY265_offline_placebo!S37:S52)</f>
        <v>-0.56972809268911506</v>
      </c>
      <c r="F53" s="38">
        <f>AVERAGE(X264vsQY265_offline_placebo!T37:T52)</f>
        <v>-0.35462913912240435</v>
      </c>
      <c r="G53" s="39">
        <f>AVERAGE(X264vsQY265_offline_placebo!U37:U52)</f>
        <v>0.77039343433640084</v>
      </c>
      <c r="J53" s="56"/>
      <c r="K53" s="37" t="s">
        <v>39</v>
      </c>
      <c r="L53" s="38">
        <f>AVERAGE(X265vsQY265_offline_veryslow!Q37:Q52)</f>
        <v>-4.2457044363912289E-2</v>
      </c>
      <c r="M53" s="38">
        <f>AVERAGE(X265vsQY265_offline_veryslow!R37:R52)</f>
        <v>-0.43752383265635991</v>
      </c>
      <c r="N53" s="38">
        <f>AVERAGE(X265vsQY265_offline_veryslow!S37:S52)</f>
        <v>-0.40800489486779629</v>
      </c>
      <c r="O53" s="38">
        <f>AVERAGE(X265vsQY265_offline_veryslow!T37:T52)</f>
        <v>-0.12232729318533453</v>
      </c>
      <c r="P53" s="39">
        <f>AVERAGE(X265vsQY265_offline_veryslow!U37:U52)</f>
        <v>0.75699366492575415</v>
      </c>
      <c r="S53" s="56"/>
      <c r="T53" s="37" t="s">
        <v>39</v>
      </c>
      <c r="U53" s="38">
        <f>AVERAGE(VP9vsQY265_offline_veryslow!Q37:Q52)</f>
        <v>-5.8463134086707058E-2</v>
      </c>
      <c r="V53" s="38">
        <f>AVERAGE(VP9vsQY265_offline_veryslow!R37:R52)</f>
        <v>-0.30316437861562751</v>
      </c>
      <c r="W53" s="38">
        <f>AVERAGE(VP9vsQY265_offline_veryslow!S37:S52)</f>
        <v>-0.30022944104192273</v>
      </c>
      <c r="X53" s="38">
        <f>AVERAGE(VP9vsQY265_offline_veryslow!T37:T52)</f>
        <v>-0.11017677267622655</v>
      </c>
      <c r="Y53" s="39">
        <f>AVERAGE(VP9vsQY265_offline_veryslow!U37:U52)</f>
        <v>13.76714982659542</v>
      </c>
    </row>
    <row r="54" spans="1:25" ht="16.5" thickBot="1" x14ac:dyDescent="0.3">
      <c r="A54" s="56"/>
      <c r="B54" s="37" t="s">
        <v>41</v>
      </c>
      <c r="C54" s="38">
        <f>AVERAGE(X264vsQY265_offline_placebo!Q53:Q68)</f>
        <v>-0.23809104799093722</v>
      </c>
      <c r="D54" s="38">
        <f>AVERAGE(X264vsQY265_offline_placebo!R53:R68)</f>
        <v>-0.56739028453217522</v>
      </c>
      <c r="E54" s="38">
        <f>AVERAGE(X264vsQY265_offline_placebo!S53:S68)</f>
        <v>-0.56431644442394935</v>
      </c>
      <c r="F54" s="38">
        <f>AVERAGE(X264vsQY265_offline_placebo!T53:T68)</f>
        <v>-0.30352724796020425</v>
      </c>
      <c r="G54" s="39">
        <f>AVERAGE(X264vsQY265_offline_placebo!U53:U68)</f>
        <v>0.33333512364649787</v>
      </c>
      <c r="J54" s="56"/>
      <c r="K54" s="37" t="s">
        <v>41</v>
      </c>
      <c r="L54" s="38">
        <f>AVERAGE(X265vsQY265_offline_veryslow!Q53:Q68)</f>
        <v>-1.7748503289003986E-2</v>
      </c>
      <c r="M54" s="38">
        <f>AVERAGE(X265vsQY265_offline_veryslow!R53:R68)</f>
        <v>-0.38647038609002049</v>
      </c>
      <c r="N54" s="38">
        <f>AVERAGE(X265vsQY265_offline_veryslow!S53:S68)</f>
        <v>-0.37492450658516185</v>
      </c>
      <c r="O54" s="38">
        <f>AVERAGE(X265vsQY265_offline_veryslow!T53:T68)</f>
        <v>-9.4041477753395691E-2</v>
      </c>
      <c r="P54" s="39">
        <f>AVERAGE(X265vsQY265_offline_veryslow!U53:U68)</f>
        <v>1.5578019293450931</v>
      </c>
      <c r="S54" s="56"/>
      <c r="T54" s="37" t="s">
        <v>41</v>
      </c>
      <c r="U54" s="38">
        <f>AVERAGE(VP9vsQY265_offline_veryslow!Q53:Q68)</f>
        <v>-4.4486455055741836E-2</v>
      </c>
      <c r="V54" s="38">
        <f>AVERAGE(VP9vsQY265_offline_veryslow!R53:R68)</f>
        <v>-0.22193374906819299</v>
      </c>
      <c r="W54" s="38">
        <f>AVERAGE(VP9vsQY265_offline_veryslow!S53:S68)</f>
        <v>-0.2340369678491854</v>
      </c>
      <c r="X54" s="38">
        <f>AVERAGE(VP9vsQY265_offline_veryslow!T53:T68)</f>
        <v>-8.333340162658337E-2</v>
      </c>
      <c r="Y54" s="39">
        <f>AVERAGE(VP9vsQY265_offline_veryslow!U53:U68)</f>
        <v>20.199018824220669</v>
      </c>
    </row>
    <row r="55" spans="1:25" ht="16.5" thickBot="1" x14ac:dyDescent="0.3">
      <c r="A55" s="56"/>
      <c r="B55" s="37" t="s">
        <v>43</v>
      </c>
      <c r="C55" s="38">
        <f>AVERAGE(X264vsQY265_offline_placebo!Q69:Q80)</f>
        <v>-0.38674521874470935</v>
      </c>
      <c r="D55" s="38">
        <f>AVERAGE(X264vsQY265_offline_placebo!R69:R80)</f>
        <v>-0.58557054040850731</v>
      </c>
      <c r="E55" s="38">
        <f>AVERAGE(X264vsQY265_offline_placebo!S69:S80)</f>
        <v>-0.60951839899971538</v>
      </c>
      <c r="F55" s="38">
        <f>AVERAGE(X264vsQY265_offline_placebo!T69:T80)</f>
        <v>-0.44476269074309577</v>
      </c>
      <c r="G55" s="39">
        <f>AVERAGE(X264vsQY265_offline_placebo!U69:U80)</f>
        <v>1.4849868432599764</v>
      </c>
      <c r="J55" s="56"/>
      <c r="K55" s="37" t="s">
        <v>43</v>
      </c>
      <c r="L55" s="38">
        <f>AVERAGE(X265vsQY265_offline_veryslow!Q69:Q80)</f>
        <v>-7.6310785694450087E-2</v>
      </c>
      <c r="M55" s="38">
        <f>AVERAGE(X265vsQY265_offline_veryslow!R69:R80)</f>
        <v>-0.3316614764968831</v>
      </c>
      <c r="N55" s="38">
        <f>AVERAGE(X265vsQY265_offline_veryslow!S69:S80)</f>
        <v>-0.31608919544820219</v>
      </c>
      <c r="O55" s="38">
        <f>AVERAGE(X265vsQY265_offline_veryslow!T69:T80)</f>
        <v>-0.13791493173630978</v>
      </c>
      <c r="P55" s="39">
        <f>AVERAGE(X265vsQY265_offline_veryslow!U69:U80)</f>
        <v>0.85421775505662279</v>
      </c>
      <c r="S55" s="56"/>
      <c r="T55" s="37" t="s">
        <v>43</v>
      </c>
      <c r="U55" s="38">
        <f>AVERAGE(VP9vsQY265_offline_veryslow!Q69:Q80)</f>
        <v>-4.2502643347712143E-2</v>
      </c>
      <c r="V55" s="38">
        <f>AVERAGE(VP9vsQY265_offline_veryslow!R69:R80)</f>
        <v>-0.17208327477952565</v>
      </c>
      <c r="W55" s="38">
        <f>AVERAGE(VP9vsQY265_offline_veryslow!S69:S80)</f>
        <v>-0.16585267632281439</v>
      </c>
      <c r="X55" s="38">
        <f>AVERAGE(VP9vsQY265_offline_veryslow!T69:T80)</f>
        <v>-7.2521764859501639E-2</v>
      </c>
      <c r="Y55" s="39">
        <f>AVERAGE(VP9vsQY265_offline_veryslow!U69:U80)</f>
        <v>8.1716554501409444</v>
      </c>
    </row>
    <row r="56" spans="1:25" ht="16.5" thickBot="1" x14ac:dyDescent="0.3">
      <c r="A56" s="56"/>
      <c r="B56" s="41" t="s">
        <v>114</v>
      </c>
      <c r="C56" s="38">
        <f>AVERAGE(X264vsQY265_offline_placebo!Q81:Q124)</f>
        <v>-0.27113333458421951</v>
      </c>
      <c r="D56" s="38">
        <f>AVERAGE(X264vsQY265_offline_placebo!R81:R124)</f>
        <v>-0.43968480727237169</v>
      </c>
      <c r="E56" s="38">
        <f>AVERAGE(X264vsQY265_offline_placebo!S81:S124)</f>
        <v>-0.43096701835030066</v>
      </c>
      <c r="F56" s="38">
        <f>AVERAGE(X264vsQY265_offline_placebo!T81:T124)</f>
        <v>-0.30649181588665408</v>
      </c>
      <c r="G56" s="39">
        <f>AVERAGE(X264vsQY265_offline_placebo!U81:U124)</f>
        <v>0.50134572536067334</v>
      </c>
      <c r="J56" s="56"/>
      <c r="K56" s="41" t="s">
        <v>114</v>
      </c>
      <c r="L56" s="38">
        <f>AVERAGE(X265vsQY265_offline_veryslow!Q81:Q124)</f>
        <v>-4.7668277280456667E-2</v>
      </c>
      <c r="M56" s="38">
        <f>AVERAGE(X265vsQY265_offline_veryslow!R81:R124)</f>
        <v>-0.28211659409316686</v>
      </c>
      <c r="N56" s="38">
        <f>AVERAGE(X265vsQY265_offline_veryslow!S81:S124)</f>
        <v>-0.2718282434674813</v>
      </c>
      <c r="O56" s="38">
        <f>AVERAGE(X265vsQY265_offline_veryslow!T81:T124)</f>
        <v>-9.9343576040414897E-2</v>
      </c>
      <c r="P56" s="39">
        <f>AVERAGE(X265vsQY265_offline_veryslow!U81:U124)</f>
        <v>0.6306078438459527</v>
      </c>
      <c r="S56" s="56"/>
      <c r="T56" s="41" t="s">
        <v>114</v>
      </c>
      <c r="U56" s="38">
        <f>AVERAGE(VP9vsQY265_offline_veryslow!Q81:Q124)</f>
        <v>3.3617031302770377E-2</v>
      </c>
      <c r="V56" s="38">
        <f>AVERAGE(VP9vsQY265_offline_veryslow!R81:R124)</f>
        <v>-0.12902418111142511</v>
      </c>
      <c r="W56" s="38">
        <f>AVERAGE(VP9vsQY265_offline_veryslow!S81:S124)</f>
        <v>-0.12860474825569679</v>
      </c>
      <c r="X56" s="38">
        <f>AVERAGE(VP9vsQY265_offline_veryslow!T81:T124)</f>
        <v>-1.8895934059402738E-3</v>
      </c>
      <c r="Y56" s="39">
        <f>AVERAGE(VP9vsQY265_offline_veryslow!U81:U124)</f>
        <v>4.9941242302692821</v>
      </c>
    </row>
    <row r="57" spans="1:25" ht="16.5" thickBot="1" x14ac:dyDescent="0.3">
      <c r="A57" s="57"/>
      <c r="B57" s="37" t="s">
        <v>77</v>
      </c>
      <c r="C57" s="38">
        <f>X264vsQY265_offline_placebo!Q125</f>
        <v>-0.31163262826750349</v>
      </c>
      <c r="D57" s="38">
        <f>X264vsQY265_offline_placebo!R125</f>
        <v>-0.52964403576249219</v>
      </c>
      <c r="E57" s="38">
        <f>X264vsQY265_offline_placebo!S125</f>
        <v>-0.53093284994494128</v>
      </c>
      <c r="F57" s="38">
        <f>X264vsQY265_offline_placebo!T125</f>
        <v>-0.35637912646179809</v>
      </c>
      <c r="G57" s="39">
        <f>X264vsQY265_offline_placebo!U125</f>
        <v>0.84688321908879172</v>
      </c>
      <c r="J57" s="57"/>
      <c r="K57" s="37" t="s">
        <v>77</v>
      </c>
      <c r="L57" s="38">
        <f>X265vsQY265_offline_veryslow!Q125</f>
        <v>-3.0084254288541508E-2</v>
      </c>
      <c r="M57" s="38">
        <f>X265vsQY265_offline_veryslow!R125</f>
        <v>-0.36909935905727292</v>
      </c>
      <c r="N57" s="38">
        <f>X265vsQY265_offline_veryslow!S125</f>
        <v>-0.35454455335825302</v>
      </c>
      <c r="O57" s="38">
        <f>X265vsQY265_offline_veryslow!T125</f>
        <v>-0.10049358764905346</v>
      </c>
      <c r="P57" s="39">
        <f>X265vsQY265_offline_veryslow!U125</f>
        <v>0.87152152208359179</v>
      </c>
      <c r="S57" s="57"/>
      <c r="T57" s="37" t="s">
        <v>77</v>
      </c>
      <c r="U57" s="38">
        <f>VP9vsQY265_offline_veryslow!Q125</f>
        <v>-2.1563940958650375E-2</v>
      </c>
      <c r="V57" s="38">
        <f>VP9vsQY265_offline_veryslow!R125</f>
        <v>-0.2385806830324215</v>
      </c>
      <c r="W57" s="38">
        <f>VP9vsQY265_offline_veryslow!S125</f>
        <v>-0.24359214539193833</v>
      </c>
      <c r="X57" s="38">
        <f>VP9vsQY265_offline_veryslow!T125</f>
        <v>-6.8020481702169192E-2</v>
      </c>
      <c r="Y57" s="39">
        <f>VP9vsQY265_offline_veryslow!U125</f>
        <v>10.216168046963888</v>
      </c>
    </row>
  </sheetData>
  <mergeCells count="41">
    <mergeCell ref="A10:A16"/>
    <mergeCell ref="J10:J16"/>
    <mergeCell ref="S10:S16"/>
    <mergeCell ref="A1:G1"/>
    <mergeCell ref="J1:P1"/>
    <mergeCell ref="S1:Y1"/>
    <mergeCell ref="A3:A9"/>
    <mergeCell ref="J3:J9"/>
    <mergeCell ref="S3:S9"/>
    <mergeCell ref="S17:Y17"/>
    <mergeCell ref="S19:S25"/>
    <mergeCell ref="S26:S32"/>
    <mergeCell ref="S33:Y33"/>
    <mergeCell ref="S35:S41"/>
    <mergeCell ref="J19:J25"/>
    <mergeCell ref="A26:A32"/>
    <mergeCell ref="S42:S48"/>
    <mergeCell ref="S49:Y49"/>
    <mergeCell ref="S51:S57"/>
    <mergeCell ref="AB1:AH1"/>
    <mergeCell ref="AB3:AB9"/>
    <mergeCell ref="J51:J57"/>
    <mergeCell ref="A17:G17"/>
    <mergeCell ref="J17:P17"/>
    <mergeCell ref="J26:J32"/>
    <mergeCell ref="J33:P33"/>
    <mergeCell ref="J35:J41"/>
    <mergeCell ref="A51:A57"/>
    <mergeCell ref="A19:A25"/>
    <mergeCell ref="A42:A48"/>
    <mergeCell ref="J42:J48"/>
    <mergeCell ref="J49:P49"/>
    <mergeCell ref="A33:G33"/>
    <mergeCell ref="A35:A41"/>
    <mergeCell ref="A49:G49"/>
    <mergeCell ref="AB28:AH28"/>
    <mergeCell ref="AB30:AB36"/>
    <mergeCell ref="AB10:AH10"/>
    <mergeCell ref="AB19:AH19"/>
    <mergeCell ref="AB21:AB27"/>
    <mergeCell ref="AB12:AB18"/>
  </mergeCells>
  <phoneticPr fontId="5" type="noConversion"/>
  <conditionalFormatting sqref="C19:F19">
    <cfRule type="cellIs" dxfId="1371" priority="5155" operator="greaterThan">
      <formula>0.03</formula>
    </cfRule>
    <cfRule type="cellIs" dxfId="1370" priority="5156" stopIfTrue="1" operator="lessThan">
      <formula>-0.03</formula>
    </cfRule>
  </conditionalFormatting>
  <conditionalFormatting sqref="C25:F25">
    <cfRule type="cellIs" dxfId="1369" priority="5153" operator="greaterThan">
      <formula>0.03</formula>
    </cfRule>
    <cfRule type="cellIs" dxfId="1368" priority="5154" stopIfTrue="1" operator="lessThan">
      <formula>-0.03</formula>
    </cfRule>
  </conditionalFormatting>
  <conditionalFormatting sqref="C20:F23">
    <cfRule type="cellIs" dxfId="1367" priority="5151" operator="greaterThan">
      <formula>0.03</formula>
    </cfRule>
    <cfRule type="cellIs" dxfId="1366" priority="5152" stopIfTrue="1" operator="lessThan">
      <formula>-0.03</formula>
    </cfRule>
  </conditionalFormatting>
  <conditionalFormatting sqref="C26:F26">
    <cfRule type="cellIs" dxfId="1365" priority="5143" operator="greaterThan">
      <formula>0.03</formula>
    </cfRule>
    <cfRule type="cellIs" dxfId="1364" priority="5144" stopIfTrue="1" operator="lessThan">
      <formula>-0.03</formula>
    </cfRule>
  </conditionalFormatting>
  <conditionalFormatting sqref="C32:F32">
    <cfRule type="cellIs" dxfId="1363" priority="5141" operator="greaterThan">
      <formula>0.03</formula>
    </cfRule>
    <cfRule type="cellIs" dxfId="1362" priority="5142" stopIfTrue="1" operator="lessThan">
      <formula>-0.03</formula>
    </cfRule>
  </conditionalFormatting>
  <conditionalFormatting sqref="C27:F30">
    <cfRule type="cellIs" dxfId="1361" priority="5139" operator="greaterThan">
      <formula>0.03</formula>
    </cfRule>
    <cfRule type="cellIs" dxfId="1360" priority="5140" stopIfTrue="1" operator="lessThan">
      <formula>-0.03</formula>
    </cfRule>
  </conditionalFormatting>
  <conditionalFormatting sqref="C35:F35">
    <cfRule type="cellIs" dxfId="1359" priority="5119" operator="greaterThan">
      <formula>0.03</formula>
    </cfRule>
    <cfRule type="cellIs" dxfId="1358" priority="5120" stopIfTrue="1" operator="lessThan">
      <formula>-0.03</formula>
    </cfRule>
  </conditionalFormatting>
  <conditionalFormatting sqref="C41:F41">
    <cfRule type="cellIs" dxfId="1357" priority="5117" operator="greaterThan">
      <formula>0.03</formula>
    </cfRule>
    <cfRule type="cellIs" dxfId="1356" priority="5118" stopIfTrue="1" operator="lessThan">
      <formula>-0.03</formula>
    </cfRule>
  </conditionalFormatting>
  <conditionalFormatting sqref="C36:F39">
    <cfRule type="cellIs" dxfId="1355" priority="5115" operator="greaterThan">
      <formula>0.03</formula>
    </cfRule>
    <cfRule type="cellIs" dxfId="1354" priority="5116" stopIfTrue="1" operator="lessThan">
      <formula>-0.03</formula>
    </cfRule>
  </conditionalFormatting>
  <conditionalFormatting sqref="C42:F42">
    <cfRule type="cellIs" dxfId="1353" priority="5107" operator="greaterThan">
      <formula>0.03</formula>
    </cfRule>
    <cfRule type="cellIs" dxfId="1352" priority="5108" stopIfTrue="1" operator="lessThan">
      <formula>-0.03</formula>
    </cfRule>
  </conditionalFormatting>
  <conditionalFormatting sqref="C48:F48">
    <cfRule type="cellIs" dxfId="1351" priority="5105" operator="greaterThan">
      <formula>0.03</formula>
    </cfRule>
    <cfRule type="cellIs" dxfId="1350" priority="5106" stopIfTrue="1" operator="lessThan">
      <formula>-0.03</formula>
    </cfRule>
  </conditionalFormatting>
  <conditionalFormatting sqref="C43:F46">
    <cfRule type="cellIs" dxfId="1349" priority="5103" operator="greaterThan">
      <formula>0.03</formula>
    </cfRule>
    <cfRule type="cellIs" dxfId="1348" priority="5104" stopIfTrue="1" operator="lessThan">
      <formula>-0.03</formula>
    </cfRule>
  </conditionalFormatting>
  <conditionalFormatting sqref="C51:F51">
    <cfRule type="cellIs" dxfId="1347" priority="3323" operator="greaterThan">
      <formula>0.03</formula>
    </cfRule>
    <cfRule type="cellIs" dxfId="1346" priority="3324" stopIfTrue="1" operator="lessThan">
      <formula>-0.03</formula>
    </cfRule>
  </conditionalFormatting>
  <conditionalFormatting sqref="C57:F57">
    <cfRule type="cellIs" dxfId="1345" priority="3321" operator="greaterThan">
      <formula>0.03</formula>
    </cfRule>
    <cfRule type="cellIs" dxfId="1344" priority="3322" stopIfTrue="1" operator="lessThan">
      <formula>-0.03</formula>
    </cfRule>
  </conditionalFormatting>
  <conditionalFormatting sqref="C52:F55">
    <cfRule type="cellIs" dxfId="1343" priority="3319" operator="greaterThan">
      <formula>0.03</formula>
    </cfRule>
    <cfRule type="cellIs" dxfId="1342" priority="3320" stopIfTrue="1" operator="lessThan">
      <formula>-0.03</formula>
    </cfRule>
  </conditionalFormatting>
  <conditionalFormatting sqref="L19:O19">
    <cfRule type="cellIs" dxfId="1341" priority="1935" operator="greaterThan">
      <formula>0.03</formula>
    </cfRule>
    <cfRule type="cellIs" dxfId="1340" priority="1936" stopIfTrue="1" operator="lessThan">
      <formula>-0.03</formula>
    </cfRule>
  </conditionalFormatting>
  <conditionalFormatting sqref="L25:O25">
    <cfRule type="cellIs" dxfId="1339" priority="1933" operator="greaterThan">
      <formula>0.03</formula>
    </cfRule>
    <cfRule type="cellIs" dxfId="1338" priority="1934" stopIfTrue="1" operator="lessThan">
      <formula>-0.03</formula>
    </cfRule>
  </conditionalFormatting>
  <conditionalFormatting sqref="L20:O23">
    <cfRule type="cellIs" dxfId="1337" priority="1931" operator="greaterThan">
      <formula>0.03</formula>
    </cfRule>
    <cfRule type="cellIs" dxfId="1336" priority="1932" stopIfTrue="1" operator="lessThan">
      <formula>-0.03</formula>
    </cfRule>
  </conditionalFormatting>
  <conditionalFormatting sqref="L26:O26">
    <cfRule type="cellIs" dxfId="1335" priority="1923" operator="greaterThan">
      <formula>0.03</formula>
    </cfRule>
    <cfRule type="cellIs" dxfId="1334" priority="1924" stopIfTrue="1" operator="lessThan">
      <formula>-0.03</formula>
    </cfRule>
  </conditionalFormatting>
  <conditionalFormatting sqref="L32:O32">
    <cfRule type="cellIs" dxfId="1333" priority="1921" operator="greaterThan">
      <formula>0.03</formula>
    </cfRule>
    <cfRule type="cellIs" dxfId="1332" priority="1922" stopIfTrue="1" operator="lessThan">
      <formula>-0.03</formula>
    </cfRule>
  </conditionalFormatting>
  <conditionalFormatting sqref="L27:O30">
    <cfRule type="cellIs" dxfId="1331" priority="1919" operator="greaterThan">
      <formula>0.03</formula>
    </cfRule>
    <cfRule type="cellIs" dxfId="1330" priority="1920" stopIfTrue="1" operator="lessThan">
      <formula>-0.03</formula>
    </cfRule>
  </conditionalFormatting>
  <conditionalFormatting sqref="L35:O35">
    <cfRule type="cellIs" dxfId="1329" priority="1899" operator="greaterThan">
      <formula>0.03</formula>
    </cfRule>
    <cfRule type="cellIs" dxfId="1328" priority="1900" stopIfTrue="1" operator="lessThan">
      <formula>-0.03</formula>
    </cfRule>
  </conditionalFormatting>
  <conditionalFormatting sqref="L41:O41">
    <cfRule type="cellIs" dxfId="1327" priority="1897" operator="greaterThan">
      <formula>0.03</formula>
    </cfRule>
    <cfRule type="cellIs" dxfId="1326" priority="1898" stopIfTrue="1" operator="lessThan">
      <formula>-0.03</formula>
    </cfRule>
  </conditionalFormatting>
  <conditionalFormatting sqref="L36:O39">
    <cfRule type="cellIs" dxfId="1325" priority="1895" operator="greaterThan">
      <formula>0.03</formula>
    </cfRule>
    <cfRule type="cellIs" dxfId="1324" priority="1896" stopIfTrue="1" operator="lessThan">
      <formula>-0.03</formula>
    </cfRule>
  </conditionalFormatting>
  <conditionalFormatting sqref="L42:O42">
    <cfRule type="cellIs" dxfId="1323" priority="1887" operator="greaterThan">
      <formula>0.03</formula>
    </cfRule>
    <cfRule type="cellIs" dxfId="1322" priority="1888" stopIfTrue="1" operator="lessThan">
      <formula>-0.03</formula>
    </cfRule>
  </conditionalFormatting>
  <conditionalFormatting sqref="L48:O48">
    <cfRule type="cellIs" dxfId="1321" priority="1885" operator="greaterThan">
      <formula>0.03</formula>
    </cfRule>
    <cfRule type="cellIs" dxfId="1320" priority="1886" stopIfTrue="1" operator="lessThan">
      <formula>-0.03</formula>
    </cfRule>
  </conditionalFormatting>
  <conditionalFormatting sqref="L43:O46">
    <cfRule type="cellIs" dxfId="1319" priority="1883" operator="greaterThan">
      <formula>0.03</formula>
    </cfRule>
    <cfRule type="cellIs" dxfId="1318" priority="1884" stopIfTrue="1" operator="lessThan">
      <formula>-0.03</formula>
    </cfRule>
  </conditionalFormatting>
  <conditionalFormatting sqref="L51:O51">
    <cfRule type="cellIs" dxfId="1317" priority="1475" operator="greaterThan">
      <formula>0.03</formula>
    </cfRule>
    <cfRule type="cellIs" dxfId="1316" priority="1476" stopIfTrue="1" operator="lessThan">
      <formula>-0.03</formula>
    </cfRule>
  </conditionalFormatting>
  <conditionalFormatting sqref="L57:O57">
    <cfRule type="cellIs" dxfId="1315" priority="1473" operator="greaterThan">
      <formula>0.03</formula>
    </cfRule>
    <cfRule type="cellIs" dxfId="1314" priority="1474" stopIfTrue="1" operator="lessThan">
      <formula>-0.03</formula>
    </cfRule>
  </conditionalFormatting>
  <conditionalFormatting sqref="L52:O55">
    <cfRule type="cellIs" dxfId="1313" priority="1471" operator="greaterThan">
      <formula>0.03</formula>
    </cfRule>
    <cfRule type="cellIs" dxfId="1312" priority="1472" stopIfTrue="1" operator="lessThan">
      <formula>-0.03</formula>
    </cfRule>
  </conditionalFormatting>
  <conditionalFormatting sqref="C24">
    <cfRule type="cellIs" dxfId="1311" priority="749" operator="greaterThan">
      <formula>0.03</formula>
    </cfRule>
    <cfRule type="cellIs" dxfId="1310" priority="750" stopIfTrue="1" operator="lessThan">
      <formula>-0.03</formula>
    </cfRule>
  </conditionalFormatting>
  <conditionalFormatting sqref="D24">
    <cfRule type="cellIs" dxfId="1309" priority="747" operator="greaterThan">
      <formula>0.03</formula>
    </cfRule>
    <cfRule type="cellIs" dxfId="1308" priority="748" stopIfTrue="1" operator="lessThan">
      <formula>-0.03</formula>
    </cfRule>
  </conditionalFormatting>
  <conditionalFormatting sqref="E24">
    <cfRule type="cellIs" dxfId="1307" priority="745" operator="greaterThan">
      <formula>0.03</formula>
    </cfRule>
    <cfRule type="cellIs" dxfId="1306" priority="746" stopIfTrue="1" operator="lessThan">
      <formula>-0.03</formula>
    </cfRule>
  </conditionalFormatting>
  <conditionalFormatting sqref="F24">
    <cfRule type="cellIs" dxfId="1305" priority="743" operator="greaterThan">
      <formula>0.03</formula>
    </cfRule>
    <cfRule type="cellIs" dxfId="1304" priority="744" stopIfTrue="1" operator="lessThan">
      <formula>-0.03</formula>
    </cfRule>
  </conditionalFormatting>
  <conditionalFormatting sqref="L24">
    <cfRule type="cellIs" dxfId="1303" priority="741" operator="greaterThan">
      <formula>0.03</formula>
    </cfRule>
    <cfRule type="cellIs" dxfId="1302" priority="742" stopIfTrue="1" operator="lessThan">
      <formula>-0.03</formula>
    </cfRule>
  </conditionalFormatting>
  <conditionalFormatting sqref="M24">
    <cfRule type="cellIs" dxfId="1301" priority="739" operator="greaterThan">
      <formula>0.03</formula>
    </cfRule>
    <cfRule type="cellIs" dxfId="1300" priority="740" stopIfTrue="1" operator="lessThan">
      <formula>-0.03</formula>
    </cfRule>
  </conditionalFormatting>
  <conditionalFormatting sqref="N24">
    <cfRule type="cellIs" dxfId="1299" priority="737" operator="greaterThan">
      <formula>0.03</formula>
    </cfRule>
    <cfRule type="cellIs" dxfId="1298" priority="738" stopIfTrue="1" operator="lessThan">
      <formula>-0.03</formula>
    </cfRule>
  </conditionalFormatting>
  <conditionalFormatting sqref="O24">
    <cfRule type="cellIs" dxfId="1297" priority="735" operator="greaterThan">
      <formula>0.03</formula>
    </cfRule>
    <cfRule type="cellIs" dxfId="1296" priority="736" stopIfTrue="1" operator="lessThan">
      <formula>-0.03</formula>
    </cfRule>
  </conditionalFormatting>
  <conditionalFormatting sqref="C31">
    <cfRule type="cellIs" dxfId="1295" priority="701" operator="greaterThan">
      <formula>0.03</formula>
    </cfRule>
    <cfRule type="cellIs" dxfId="1294" priority="702" stopIfTrue="1" operator="lessThan">
      <formula>-0.03</formula>
    </cfRule>
  </conditionalFormatting>
  <conditionalFormatting sqref="D31">
    <cfRule type="cellIs" dxfId="1293" priority="699" operator="greaterThan">
      <formula>0.03</formula>
    </cfRule>
    <cfRule type="cellIs" dxfId="1292" priority="700" stopIfTrue="1" operator="lessThan">
      <formula>-0.03</formula>
    </cfRule>
  </conditionalFormatting>
  <conditionalFormatting sqref="E31">
    <cfRule type="cellIs" dxfId="1291" priority="697" operator="greaterThan">
      <formula>0.03</formula>
    </cfRule>
    <cfRule type="cellIs" dxfId="1290" priority="698" stopIfTrue="1" operator="lessThan">
      <formula>-0.03</formula>
    </cfRule>
  </conditionalFormatting>
  <conditionalFormatting sqref="F31">
    <cfRule type="cellIs" dxfId="1289" priority="695" operator="greaterThan">
      <formula>0.03</formula>
    </cfRule>
    <cfRule type="cellIs" dxfId="1288" priority="696" stopIfTrue="1" operator="lessThan">
      <formula>-0.03</formula>
    </cfRule>
  </conditionalFormatting>
  <conditionalFormatting sqref="L31">
    <cfRule type="cellIs" dxfId="1287" priority="693" operator="greaterThan">
      <formula>0.03</formula>
    </cfRule>
    <cfRule type="cellIs" dxfId="1286" priority="694" stopIfTrue="1" operator="lessThan">
      <formula>-0.03</formula>
    </cfRule>
  </conditionalFormatting>
  <conditionalFormatting sqref="M31">
    <cfRule type="cellIs" dxfId="1285" priority="691" operator="greaterThan">
      <formula>0.03</formula>
    </cfRule>
    <cfRule type="cellIs" dxfId="1284" priority="692" stopIfTrue="1" operator="lessThan">
      <formula>-0.03</formula>
    </cfRule>
  </conditionalFormatting>
  <conditionalFormatting sqref="N31">
    <cfRule type="cellIs" dxfId="1283" priority="689" operator="greaterThan">
      <formula>0.03</formula>
    </cfRule>
    <cfRule type="cellIs" dxfId="1282" priority="690" stopIfTrue="1" operator="lessThan">
      <formula>-0.03</formula>
    </cfRule>
  </conditionalFormatting>
  <conditionalFormatting sqref="O31">
    <cfRule type="cellIs" dxfId="1281" priority="687" operator="greaterThan">
      <formula>0.03</formula>
    </cfRule>
    <cfRule type="cellIs" dxfId="1280" priority="688" stopIfTrue="1" operator="lessThan">
      <formula>-0.03</formula>
    </cfRule>
  </conditionalFormatting>
  <conditionalFormatting sqref="L40">
    <cfRule type="cellIs" dxfId="1279" priority="461" operator="greaterThan">
      <formula>0.03</formula>
    </cfRule>
    <cfRule type="cellIs" dxfId="1278" priority="462" stopIfTrue="1" operator="lessThan">
      <formula>-0.03</formula>
    </cfRule>
  </conditionalFormatting>
  <conditionalFormatting sqref="M40">
    <cfRule type="cellIs" dxfId="1277" priority="459" operator="greaterThan">
      <formula>0.03</formula>
    </cfRule>
    <cfRule type="cellIs" dxfId="1276" priority="460" stopIfTrue="1" operator="lessThan">
      <formula>-0.03</formula>
    </cfRule>
  </conditionalFormatting>
  <conditionalFormatting sqref="N40">
    <cfRule type="cellIs" dxfId="1275" priority="457" operator="greaterThan">
      <formula>0.03</formula>
    </cfRule>
    <cfRule type="cellIs" dxfId="1274" priority="458" stopIfTrue="1" operator="lessThan">
      <formula>-0.03</formula>
    </cfRule>
  </conditionalFormatting>
  <conditionalFormatting sqref="O40">
    <cfRule type="cellIs" dxfId="1273" priority="455" operator="greaterThan">
      <formula>0.03</formula>
    </cfRule>
    <cfRule type="cellIs" dxfId="1272" priority="456" stopIfTrue="1" operator="lessThan">
      <formula>-0.03</formula>
    </cfRule>
  </conditionalFormatting>
  <conditionalFormatting sqref="C40">
    <cfRule type="cellIs" dxfId="1271" priority="453" operator="greaterThan">
      <formula>0.03</formula>
    </cfRule>
    <cfRule type="cellIs" dxfId="1270" priority="454" stopIfTrue="1" operator="lessThan">
      <formula>-0.03</formula>
    </cfRule>
  </conditionalFormatting>
  <conditionalFormatting sqref="D40">
    <cfRule type="cellIs" dxfId="1269" priority="451" operator="greaterThan">
      <formula>0.03</formula>
    </cfRule>
    <cfRule type="cellIs" dxfId="1268" priority="452" stopIfTrue="1" operator="lessThan">
      <formula>-0.03</formula>
    </cfRule>
  </conditionalFormatting>
  <conditionalFormatting sqref="E40">
    <cfRule type="cellIs" dxfId="1267" priority="449" operator="greaterThan">
      <formula>0.03</formula>
    </cfRule>
    <cfRule type="cellIs" dxfId="1266" priority="450" stopIfTrue="1" operator="lessThan">
      <formula>-0.03</formula>
    </cfRule>
  </conditionalFormatting>
  <conditionalFormatting sqref="F40">
    <cfRule type="cellIs" dxfId="1265" priority="447" operator="greaterThan">
      <formula>0.03</formula>
    </cfRule>
    <cfRule type="cellIs" dxfId="1264" priority="448" stopIfTrue="1" operator="lessThan">
      <formula>-0.03</formula>
    </cfRule>
  </conditionalFormatting>
  <conditionalFormatting sqref="L47">
    <cfRule type="cellIs" dxfId="1263" priority="413" operator="greaterThan">
      <formula>0.03</formula>
    </cfRule>
    <cfRule type="cellIs" dxfId="1262" priority="414" stopIfTrue="1" operator="lessThan">
      <formula>-0.03</formula>
    </cfRule>
  </conditionalFormatting>
  <conditionalFormatting sqref="M47">
    <cfRule type="cellIs" dxfId="1261" priority="411" operator="greaterThan">
      <formula>0.03</formula>
    </cfRule>
    <cfRule type="cellIs" dxfId="1260" priority="412" stopIfTrue="1" operator="lessThan">
      <formula>-0.03</formula>
    </cfRule>
  </conditionalFormatting>
  <conditionalFormatting sqref="N47">
    <cfRule type="cellIs" dxfId="1259" priority="409" operator="greaterThan">
      <formula>0.03</formula>
    </cfRule>
    <cfRule type="cellIs" dxfId="1258" priority="410" stopIfTrue="1" operator="lessThan">
      <formula>-0.03</formula>
    </cfRule>
  </conditionalFormatting>
  <conditionalFormatting sqref="O47">
    <cfRule type="cellIs" dxfId="1257" priority="407" operator="greaterThan">
      <formula>0.03</formula>
    </cfRule>
    <cfRule type="cellIs" dxfId="1256" priority="408" stopIfTrue="1" operator="lessThan">
      <formula>-0.03</formula>
    </cfRule>
  </conditionalFormatting>
  <conditionalFormatting sqref="C47">
    <cfRule type="cellIs" dxfId="1255" priority="405" operator="greaterThan">
      <formula>0.03</formula>
    </cfRule>
    <cfRule type="cellIs" dxfId="1254" priority="406" stopIfTrue="1" operator="lessThan">
      <formula>-0.03</formula>
    </cfRule>
  </conditionalFormatting>
  <conditionalFormatting sqref="D47">
    <cfRule type="cellIs" dxfId="1253" priority="403" operator="greaterThan">
      <formula>0.03</formula>
    </cfRule>
    <cfRule type="cellIs" dxfId="1252" priority="404" stopIfTrue="1" operator="lessThan">
      <formula>-0.03</formula>
    </cfRule>
  </conditionalFormatting>
  <conditionalFormatting sqref="E47">
    <cfRule type="cellIs" dxfId="1251" priority="401" operator="greaterThan">
      <formula>0.03</formula>
    </cfRule>
    <cfRule type="cellIs" dxfId="1250" priority="402" stopIfTrue="1" operator="lessThan">
      <formula>-0.03</formula>
    </cfRule>
  </conditionalFormatting>
  <conditionalFormatting sqref="F47">
    <cfRule type="cellIs" dxfId="1249" priority="399" operator="greaterThan">
      <formula>0.03</formula>
    </cfRule>
    <cfRule type="cellIs" dxfId="1248" priority="400" stopIfTrue="1" operator="lessThan">
      <formula>-0.03</formula>
    </cfRule>
  </conditionalFormatting>
  <conditionalFormatting sqref="L56">
    <cfRule type="cellIs" dxfId="1247" priority="365" operator="greaterThan">
      <formula>0.03</formula>
    </cfRule>
    <cfRule type="cellIs" dxfId="1246" priority="366" stopIfTrue="1" operator="lessThan">
      <formula>-0.03</formula>
    </cfRule>
  </conditionalFormatting>
  <conditionalFormatting sqref="M56">
    <cfRule type="cellIs" dxfId="1245" priority="363" operator="greaterThan">
      <formula>0.03</formula>
    </cfRule>
    <cfRule type="cellIs" dxfId="1244" priority="364" stopIfTrue="1" operator="lessThan">
      <formula>-0.03</formula>
    </cfRule>
  </conditionalFormatting>
  <conditionalFormatting sqref="N56">
    <cfRule type="cellIs" dxfId="1243" priority="361" operator="greaterThan">
      <formula>0.03</formula>
    </cfRule>
    <cfRule type="cellIs" dxfId="1242" priority="362" stopIfTrue="1" operator="lessThan">
      <formula>-0.03</formula>
    </cfRule>
  </conditionalFormatting>
  <conditionalFormatting sqref="O56">
    <cfRule type="cellIs" dxfId="1241" priority="359" operator="greaterThan">
      <formula>0.03</formula>
    </cfRule>
    <cfRule type="cellIs" dxfId="1240" priority="360" stopIfTrue="1" operator="lessThan">
      <formula>-0.03</formula>
    </cfRule>
  </conditionalFormatting>
  <conditionalFormatting sqref="C56">
    <cfRule type="cellIs" dxfId="1239" priority="357" operator="greaterThan">
      <formula>0.03</formula>
    </cfRule>
    <cfRule type="cellIs" dxfId="1238" priority="358" stopIfTrue="1" operator="lessThan">
      <formula>-0.03</formula>
    </cfRule>
  </conditionalFormatting>
  <conditionalFormatting sqref="D56">
    <cfRule type="cellIs" dxfId="1237" priority="355" operator="greaterThan">
      <formula>0.03</formula>
    </cfRule>
    <cfRule type="cellIs" dxfId="1236" priority="356" stopIfTrue="1" operator="lessThan">
      <formula>-0.03</formula>
    </cfRule>
  </conditionalFormatting>
  <conditionalFormatting sqref="E56">
    <cfRule type="cellIs" dxfId="1235" priority="353" operator="greaterThan">
      <formula>0.03</formula>
    </cfRule>
    <cfRule type="cellIs" dxfId="1234" priority="354" stopIfTrue="1" operator="lessThan">
      <formula>-0.03</formula>
    </cfRule>
  </conditionalFormatting>
  <conditionalFormatting sqref="F56">
    <cfRule type="cellIs" dxfId="1233" priority="351" operator="greaterThan">
      <formula>0.03</formula>
    </cfRule>
    <cfRule type="cellIs" dxfId="1232" priority="352" stopIfTrue="1" operator="lessThan">
      <formula>-0.03</formula>
    </cfRule>
  </conditionalFormatting>
  <conditionalFormatting sqref="U19:X19">
    <cfRule type="cellIs" dxfId="1231" priority="349" operator="greaterThan">
      <formula>0.03</formula>
    </cfRule>
    <cfRule type="cellIs" dxfId="1230" priority="350" stopIfTrue="1" operator="lessThan">
      <formula>-0.03</formula>
    </cfRule>
  </conditionalFormatting>
  <conditionalFormatting sqref="U25:X25">
    <cfRule type="cellIs" dxfId="1229" priority="347" operator="greaterThan">
      <formula>0.03</formula>
    </cfRule>
    <cfRule type="cellIs" dxfId="1228" priority="348" stopIfTrue="1" operator="lessThan">
      <formula>-0.03</formula>
    </cfRule>
  </conditionalFormatting>
  <conditionalFormatting sqref="U20:X23">
    <cfRule type="cellIs" dxfId="1227" priority="345" operator="greaterThan">
      <formula>0.03</formula>
    </cfRule>
    <cfRule type="cellIs" dxfId="1226" priority="346" stopIfTrue="1" operator="lessThan">
      <formula>-0.03</formula>
    </cfRule>
  </conditionalFormatting>
  <conditionalFormatting sqref="U26:X26">
    <cfRule type="cellIs" dxfId="1225" priority="343" operator="greaterThan">
      <formula>0.03</formula>
    </cfRule>
    <cfRule type="cellIs" dxfId="1224" priority="344" stopIfTrue="1" operator="lessThan">
      <formula>-0.03</formula>
    </cfRule>
  </conditionalFormatting>
  <conditionalFormatting sqref="U32:X32">
    <cfRule type="cellIs" dxfId="1223" priority="341" operator="greaterThan">
      <formula>0.03</formula>
    </cfRule>
    <cfRule type="cellIs" dxfId="1222" priority="342" stopIfTrue="1" operator="lessThan">
      <formula>-0.03</formula>
    </cfRule>
  </conditionalFormatting>
  <conditionalFormatting sqref="U27:X30">
    <cfRule type="cellIs" dxfId="1221" priority="339" operator="greaterThan">
      <formula>0.03</formula>
    </cfRule>
    <cfRule type="cellIs" dxfId="1220" priority="340" stopIfTrue="1" operator="lessThan">
      <formula>-0.03</formula>
    </cfRule>
  </conditionalFormatting>
  <conditionalFormatting sqref="U35:X35">
    <cfRule type="cellIs" dxfId="1219" priority="337" operator="greaterThan">
      <formula>0.03</formula>
    </cfRule>
    <cfRule type="cellIs" dxfId="1218" priority="338" stopIfTrue="1" operator="lessThan">
      <formula>-0.03</formula>
    </cfRule>
  </conditionalFormatting>
  <conditionalFormatting sqref="U41:X41">
    <cfRule type="cellIs" dxfId="1217" priority="335" operator="greaterThan">
      <formula>0.03</formula>
    </cfRule>
    <cfRule type="cellIs" dxfId="1216" priority="336" stopIfTrue="1" operator="lessThan">
      <formula>-0.03</formula>
    </cfRule>
  </conditionalFormatting>
  <conditionalFormatting sqref="U36:X39">
    <cfRule type="cellIs" dxfId="1215" priority="333" operator="greaterThan">
      <formula>0.03</formula>
    </cfRule>
    <cfRule type="cellIs" dxfId="1214" priority="334" stopIfTrue="1" operator="lessThan">
      <formula>-0.03</formula>
    </cfRule>
  </conditionalFormatting>
  <conditionalFormatting sqref="U42:X42">
    <cfRule type="cellIs" dxfId="1213" priority="331" operator="greaterThan">
      <formula>0.03</formula>
    </cfRule>
    <cfRule type="cellIs" dxfId="1212" priority="332" stopIfTrue="1" operator="lessThan">
      <formula>-0.03</formula>
    </cfRule>
  </conditionalFormatting>
  <conditionalFormatting sqref="U48:X48">
    <cfRule type="cellIs" dxfId="1211" priority="329" operator="greaterThan">
      <formula>0.03</formula>
    </cfRule>
    <cfRule type="cellIs" dxfId="1210" priority="330" stopIfTrue="1" operator="lessThan">
      <formula>-0.03</formula>
    </cfRule>
  </conditionalFormatting>
  <conditionalFormatting sqref="U43:X46">
    <cfRule type="cellIs" dxfId="1209" priority="327" operator="greaterThan">
      <formula>0.03</formula>
    </cfRule>
    <cfRule type="cellIs" dxfId="1208" priority="328" stopIfTrue="1" operator="lessThan">
      <formula>-0.03</formula>
    </cfRule>
  </conditionalFormatting>
  <conditionalFormatting sqref="U51:X51">
    <cfRule type="cellIs" dxfId="1207" priority="325" operator="greaterThan">
      <formula>0.03</formula>
    </cfRule>
    <cfRule type="cellIs" dxfId="1206" priority="326" stopIfTrue="1" operator="lessThan">
      <formula>-0.03</formula>
    </cfRule>
  </conditionalFormatting>
  <conditionalFormatting sqref="U57:X57">
    <cfRule type="cellIs" dxfId="1205" priority="323" operator="greaterThan">
      <formula>0.03</formula>
    </cfRule>
    <cfRule type="cellIs" dxfId="1204" priority="324" stopIfTrue="1" operator="lessThan">
      <formula>-0.03</formula>
    </cfRule>
  </conditionalFormatting>
  <conditionalFormatting sqref="U52:X55">
    <cfRule type="cellIs" dxfId="1203" priority="321" operator="greaterThan">
      <formula>0.03</formula>
    </cfRule>
    <cfRule type="cellIs" dxfId="1202" priority="322" stopIfTrue="1" operator="lessThan">
      <formula>-0.03</formula>
    </cfRule>
  </conditionalFormatting>
  <conditionalFormatting sqref="U24">
    <cfRule type="cellIs" dxfId="1201" priority="319" operator="greaterThan">
      <formula>0.03</formula>
    </cfRule>
    <cfRule type="cellIs" dxfId="1200" priority="320" stopIfTrue="1" operator="lessThan">
      <formula>-0.03</formula>
    </cfRule>
  </conditionalFormatting>
  <conditionalFormatting sqref="V24">
    <cfRule type="cellIs" dxfId="1199" priority="317" operator="greaterThan">
      <formula>0.03</formula>
    </cfRule>
    <cfRule type="cellIs" dxfId="1198" priority="318" stopIfTrue="1" operator="lessThan">
      <formula>-0.03</formula>
    </cfRule>
  </conditionalFormatting>
  <conditionalFormatting sqref="W24">
    <cfRule type="cellIs" dxfId="1197" priority="315" operator="greaterThan">
      <formula>0.03</formula>
    </cfRule>
    <cfRule type="cellIs" dxfId="1196" priority="316" stopIfTrue="1" operator="lessThan">
      <formula>-0.03</formula>
    </cfRule>
  </conditionalFormatting>
  <conditionalFormatting sqref="X24">
    <cfRule type="cellIs" dxfId="1195" priority="313" operator="greaterThan">
      <formula>0.03</formula>
    </cfRule>
    <cfRule type="cellIs" dxfId="1194" priority="314" stopIfTrue="1" operator="lessThan">
      <formula>-0.03</formula>
    </cfRule>
  </conditionalFormatting>
  <conditionalFormatting sqref="U31">
    <cfRule type="cellIs" dxfId="1193" priority="311" operator="greaterThan">
      <formula>0.03</formula>
    </cfRule>
    <cfRule type="cellIs" dxfId="1192" priority="312" stopIfTrue="1" operator="lessThan">
      <formula>-0.03</formula>
    </cfRule>
  </conditionalFormatting>
  <conditionalFormatting sqref="V31">
    <cfRule type="cellIs" dxfId="1191" priority="309" operator="greaterThan">
      <formula>0.03</formula>
    </cfRule>
    <cfRule type="cellIs" dxfId="1190" priority="310" stopIfTrue="1" operator="lessThan">
      <formula>-0.03</formula>
    </cfRule>
  </conditionalFormatting>
  <conditionalFormatting sqref="W31">
    <cfRule type="cellIs" dxfId="1189" priority="307" operator="greaterThan">
      <formula>0.03</formula>
    </cfRule>
    <cfRule type="cellIs" dxfId="1188" priority="308" stopIfTrue="1" operator="lessThan">
      <formula>-0.03</formula>
    </cfRule>
  </conditionalFormatting>
  <conditionalFormatting sqref="X31">
    <cfRule type="cellIs" dxfId="1187" priority="305" operator="greaterThan">
      <formula>0.03</formula>
    </cfRule>
    <cfRule type="cellIs" dxfId="1186" priority="306" stopIfTrue="1" operator="lessThan">
      <formula>-0.03</formula>
    </cfRule>
  </conditionalFormatting>
  <conditionalFormatting sqref="U40">
    <cfRule type="cellIs" dxfId="1185" priority="303" operator="greaterThan">
      <formula>0.03</formula>
    </cfRule>
    <cfRule type="cellIs" dxfId="1184" priority="304" stopIfTrue="1" operator="lessThan">
      <formula>-0.03</formula>
    </cfRule>
  </conditionalFormatting>
  <conditionalFormatting sqref="V40">
    <cfRule type="cellIs" dxfId="1183" priority="301" operator="greaterThan">
      <formula>0.03</formula>
    </cfRule>
    <cfRule type="cellIs" dxfId="1182" priority="302" stopIfTrue="1" operator="lessThan">
      <formula>-0.03</formula>
    </cfRule>
  </conditionalFormatting>
  <conditionalFormatting sqref="W40">
    <cfRule type="cellIs" dxfId="1181" priority="299" operator="greaterThan">
      <formula>0.03</formula>
    </cfRule>
    <cfRule type="cellIs" dxfId="1180" priority="300" stopIfTrue="1" operator="lessThan">
      <formula>-0.03</formula>
    </cfRule>
  </conditionalFormatting>
  <conditionalFormatting sqref="X40">
    <cfRule type="cellIs" dxfId="1179" priority="297" operator="greaterThan">
      <formula>0.03</formula>
    </cfRule>
    <cfRule type="cellIs" dxfId="1178" priority="298" stopIfTrue="1" operator="lessThan">
      <formula>-0.03</formula>
    </cfRule>
  </conditionalFormatting>
  <conditionalFormatting sqref="U47">
    <cfRule type="cellIs" dxfId="1177" priority="295" operator="greaterThan">
      <formula>0.03</formula>
    </cfRule>
    <cfRule type="cellIs" dxfId="1176" priority="296" stopIfTrue="1" operator="lessThan">
      <formula>-0.03</formula>
    </cfRule>
  </conditionalFormatting>
  <conditionalFormatting sqref="V47">
    <cfRule type="cellIs" dxfId="1175" priority="293" operator="greaterThan">
      <formula>0.03</formula>
    </cfRule>
    <cfRule type="cellIs" dxfId="1174" priority="294" stopIfTrue="1" operator="lessThan">
      <formula>-0.03</formula>
    </cfRule>
  </conditionalFormatting>
  <conditionalFormatting sqref="W47">
    <cfRule type="cellIs" dxfId="1173" priority="291" operator="greaterThan">
      <formula>0.03</formula>
    </cfRule>
    <cfRule type="cellIs" dxfId="1172" priority="292" stopIfTrue="1" operator="lessThan">
      <formula>-0.03</formula>
    </cfRule>
  </conditionalFormatting>
  <conditionalFormatting sqref="X47">
    <cfRule type="cellIs" dxfId="1171" priority="289" operator="greaterThan">
      <formula>0.03</formula>
    </cfRule>
    <cfRule type="cellIs" dxfId="1170" priority="290" stopIfTrue="1" operator="lessThan">
      <formula>-0.03</formula>
    </cfRule>
  </conditionalFormatting>
  <conditionalFormatting sqref="U56">
    <cfRule type="cellIs" dxfId="1169" priority="287" operator="greaterThan">
      <formula>0.03</formula>
    </cfRule>
    <cfRule type="cellIs" dxfId="1168" priority="288" stopIfTrue="1" operator="lessThan">
      <formula>-0.03</formula>
    </cfRule>
  </conditionalFormatting>
  <conditionalFormatting sqref="V56">
    <cfRule type="cellIs" dxfId="1167" priority="285" operator="greaterThan">
      <formula>0.03</formula>
    </cfRule>
    <cfRule type="cellIs" dxfId="1166" priority="286" stopIfTrue="1" operator="lessThan">
      <formula>-0.03</formula>
    </cfRule>
  </conditionalFormatting>
  <conditionalFormatting sqref="W56">
    <cfRule type="cellIs" dxfId="1165" priority="283" operator="greaterThan">
      <formula>0.03</formula>
    </cfRule>
    <cfRule type="cellIs" dxfId="1164" priority="284" stopIfTrue="1" operator="lessThan">
      <formula>-0.03</formula>
    </cfRule>
  </conditionalFormatting>
  <conditionalFormatting sqref="X56">
    <cfRule type="cellIs" dxfId="1163" priority="281" operator="greaterThan">
      <formula>0.03</formula>
    </cfRule>
    <cfRule type="cellIs" dxfId="1162" priority="282" stopIfTrue="1" operator="lessThan">
      <formula>-0.03</formula>
    </cfRule>
  </conditionalFormatting>
  <conditionalFormatting sqref="C3:F3">
    <cfRule type="cellIs" dxfId="1161" priority="279" operator="greaterThan">
      <formula>0.03</formula>
    </cfRule>
    <cfRule type="cellIs" dxfId="1160" priority="280" stopIfTrue="1" operator="lessThan">
      <formula>-0.03</formula>
    </cfRule>
  </conditionalFormatting>
  <conditionalFormatting sqref="C9:F9">
    <cfRule type="cellIs" dxfId="1159" priority="277" operator="greaterThan">
      <formula>0.03</formula>
    </cfRule>
    <cfRule type="cellIs" dxfId="1158" priority="278" stopIfTrue="1" operator="lessThan">
      <formula>-0.03</formula>
    </cfRule>
  </conditionalFormatting>
  <conditionalFormatting sqref="C4:F7">
    <cfRule type="cellIs" dxfId="1157" priority="275" operator="greaterThan">
      <formula>0.03</formula>
    </cfRule>
    <cfRule type="cellIs" dxfId="1156" priority="276" stopIfTrue="1" operator="lessThan">
      <formula>-0.03</formula>
    </cfRule>
  </conditionalFormatting>
  <conditionalFormatting sqref="C10:F10">
    <cfRule type="cellIs" dxfId="1155" priority="273" operator="greaterThan">
      <formula>0.03</formula>
    </cfRule>
    <cfRule type="cellIs" dxfId="1154" priority="274" stopIfTrue="1" operator="lessThan">
      <formula>-0.03</formula>
    </cfRule>
  </conditionalFormatting>
  <conditionalFormatting sqref="C16:F16">
    <cfRule type="cellIs" dxfId="1153" priority="271" operator="greaterThan">
      <formula>0.03</formula>
    </cfRule>
    <cfRule type="cellIs" dxfId="1152" priority="272" stopIfTrue="1" operator="lessThan">
      <formula>-0.03</formula>
    </cfRule>
  </conditionalFormatting>
  <conditionalFormatting sqref="C11:F14">
    <cfRule type="cellIs" dxfId="1151" priority="269" operator="greaterThan">
      <formula>0.03</formula>
    </cfRule>
    <cfRule type="cellIs" dxfId="1150" priority="270" stopIfTrue="1" operator="lessThan">
      <formula>-0.03</formula>
    </cfRule>
  </conditionalFormatting>
  <conditionalFormatting sqref="L3:O3">
    <cfRule type="cellIs" dxfId="1149" priority="267" operator="greaterThan">
      <formula>0.03</formula>
    </cfRule>
    <cfRule type="cellIs" dxfId="1148" priority="268" stopIfTrue="1" operator="lessThan">
      <formula>-0.03</formula>
    </cfRule>
  </conditionalFormatting>
  <conditionalFormatting sqref="L9:O9">
    <cfRule type="cellIs" dxfId="1147" priority="265" operator="greaterThan">
      <formula>0.03</formula>
    </cfRule>
    <cfRule type="cellIs" dxfId="1146" priority="266" stopIfTrue="1" operator="lessThan">
      <formula>-0.03</formula>
    </cfRule>
  </conditionalFormatting>
  <conditionalFormatting sqref="L4:O7">
    <cfRule type="cellIs" dxfId="1145" priority="263" operator="greaterThan">
      <formula>0.03</formula>
    </cfRule>
    <cfRule type="cellIs" dxfId="1144" priority="264" stopIfTrue="1" operator="lessThan">
      <formula>-0.03</formula>
    </cfRule>
  </conditionalFormatting>
  <conditionalFormatting sqref="L10:O10">
    <cfRule type="cellIs" dxfId="1143" priority="261" operator="greaterThan">
      <formula>0.03</formula>
    </cfRule>
    <cfRule type="cellIs" dxfId="1142" priority="262" stopIfTrue="1" operator="lessThan">
      <formula>-0.03</formula>
    </cfRule>
  </conditionalFormatting>
  <conditionalFormatting sqref="L16:O16">
    <cfRule type="cellIs" dxfId="1141" priority="259" operator="greaterThan">
      <formula>0.03</formula>
    </cfRule>
    <cfRule type="cellIs" dxfId="1140" priority="260" stopIfTrue="1" operator="lessThan">
      <formula>-0.03</formula>
    </cfRule>
  </conditionalFormatting>
  <conditionalFormatting sqref="L11:O14">
    <cfRule type="cellIs" dxfId="1139" priority="257" operator="greaterThan">
      <formula>0.03</formula>
    </cfRule>
    <cfRule type="cellIs" dxfId="1138" priority="258" stopIfTrue="1" operator="lessThan">
      <formula>-0.03</formula>
    </cfRule>
  </conditionalFormatting>
  <conditionalFormatting sqref="C8">
    <cfRule type="cellIs" dxfId="1137" priority="255" operator="greaterThan">
      <formula>0.03</formula>
    </cfRule>
    <cfRule type="cellIs" dxfId="1136" priority="256" stopIfTrue="1" operator="lessThan">
      <formula>-0.03</formula>
    </cfRule>
  </conditionalFormatting>
  <conditionalFormatting sqref="D8">
    <cfRule type="cellIs" dxfId="1135" priority="253" operator="greaterThan">
      <formula>0.03</formula>
    </cfRule>
    <cfRule type="cellIs" dxfId="1134" priority="254" stopIfTrue="1" operator="lessThan">
      <formula>-0.03</formula>
    </cfRule>
  </conditionalFormatting>
  <conditionalFormatting sqref="E8">
    <cfRule type="cellIs" dxfId="1133" priority="251" operator="greaterThan">
      <formula>0.03</formula>
    </cfRule>
    <cfRule type="cellIs" dxfId="1132" priority="252" stopIfTrue="1" operator="lessThan">
      <formula>-0.03</formula>
    </cfRule>
  </conditionalFormatting>
  <conditionalFormatting sqref="F8">
    <cfRule type="cellIs" dxfId="1131" priority="249" operator="greaterThan">
      <formula>0.03</formula>
    </cfRule>
    <cfRule type="cellIs" dxfId="1130" priority="250" stopIfTrue="1" operator="lessThan">
      <formula>-0.03</formula>
    </cfRule>
  </conditionalFormatting>
  <conditionalFormatting sqref="L8">
    <cfRule type="cellIs" dxfId="1129" priority="247" operator="greaterThan">
      <formula>0.03</formula>
    </cfRule>
    <cfRule type="cellIs" dxfId="1128" priority="248" stopIfTrue="1" operator="lessThan">
      <formula>-0.03</formula>
    </cfRule>
  </conditionalFormatting>
  <conditionalFormatting sqref="M8">
    <cfRule type="cellIs" dxfId="1127" priority="245" operator="greaterThan">
      <formula>0.03</formula>
    </cfRule>
    <cfRule type="cellIs" dxfId="1126" priority="246" stopIfTrue="1" operator="lessThan">
      <formula>-0.03</formula>
    </cfRule>
  </conditionalFormatting>
  <conditionalFormatting sqref="N8">
    <cfRule type="cellIs" dxfId="1125" priority="243" operator="greaterThan">
      <formula>0.03</formula>
    </cfRule>
    <cfRule type="cellIs" dxfId="1124" priority="244" stopIfTrue="1" operator="lessThan">
      <formula>-0.03</formula>
    </cfRule>
  </conditionalFormatting>
  <conditionalFormatting sqref="O8">
    <cfRule type="cellIs" dxfId="1123" priority="241" operator="greaterThan">
      <formula>0.03</formula>
    </cfRule>
    <cfRule type="cellIs" dxfId="1122" priority="242" stopIfTrue="1" operator="lessThan">
      <formula>-0.03</formula>
    </cfRule>
  </conditionalFormatting>
  <conditionalFormatting sqref="C15">
    <cfRule type="cellIs" dxfId="1121" priority="239" operator="greaterThan">
      <formula>0.03</formula>
    </cfRule>
    <cfRule type="cellIs" dxfId="1120" priority="240" stopIfTrue="1" operator="lessThan">
      <formula>-0.03</formula>
    </cfRule>
  </conditionalFormatting>
  <conditionalFormatting sqref="D15">
    <cfRule type="cellIs" dxfId="1119" priority="237" operator="greaterThan">
      <formula>0.03</formula>
    </cfRule>
    <cfRule type="cellIs" dxfId="1118" priority="238" stopIfTrue="1" operator="lessThan">
      <formula>-0.03</formula>
    </cfRule>
  </conditionalFormatting>
  <conditionalFormatting sqref="E15">
    <cfRule type="cellIs" dxfId="1117" priority="235" operator="greaterThan">
      <formula>0.03</formula>
    </cfRule>
    <cfRule type="cellIs" dxfId="1116" priority="236" stopIfTrue="1" operator="lessThan">
      <formula>-0.03</formula>
    </cfRule>
  </conditionalFormatting>
  <conditionalFormatting sqref="F15">
    <cfRule type="cellIs" dxfId="1115" priority="233" operator="greaterThan">
      <formula>0.03</formula>
    </cfRule>
    <cfRule type="cellIs" dxfId="1114" priority="234" stopIfTrue="1" operator="lessThan">
      <formula>-0.03</formula>
    </cfRule>
  </conditionalFormatting>
  <conditionalFormatting sqref="L15">
    <cfRule type="cellIs" dxfId="1113" priority="231" operator="greaterThan">
      <formula>0.03</formula>
    </cfRule>
    <cfRule type="cellIs" dxfId="1112" priority="232" stopIfTrue="1" operator="lessThan">
      <formula>-0.03</formula>
    </cfRule>
  </conditionalFormatting>
  <conditionalFormatting sqref="M15">
    <cfRule type="cellIs" dxfId="1111" priority="229" operator="greaterThan">
      <formula>0.03</formula>
    </cfRule>
    <cfRule type="cellIs" dxfId="1110" priority="230" stopIfTrue="1" operator="lessThan">
      <formula>-0.03</formula>
    </cfRule>
  </conditionalFormatting>
  <conditionalFormatting sqref="N15">
    <cfRule type="cellIs" dxfId="1109" priority="227" operator="greaterThan">
      <formula>0.03</formula>
    </cfRule>
    <cfRule type="cellIs" dxfId="1108" priority="228" stopIfTrue="1" operator="lessThan">
      <formula>-0.03</formula>
    </cfRule>
  </conditionalFormatting>
  <conditionalFormatting sqref="O15">
    <cfRule type="cellIs" dxfId="1107" priority="225" operator="greaterThan">
      <formula>0.03</formula>
    </cfRule>
    <cfRule type="cellIs" dxfId="1106" priority="226" stopIfTrue="1" operator="lessThan">
      <formula>-0.03</formula>
    </cfRule>
  </conditionalFormatting>
  <conditionalFormatting sqref="U3:X3">
    <cfRule type="cellIs" dxfId="1105" priority="223" operator="greaterThan">
      <formula>0.03</formula>
    </cfRule>
    <cfRule type="cellIs" dxfId="1104" priority="224" stopIfTrue="1" operator="lessThan">
      <formula>-0.03</formula>
    </cfRule>
  </conditionalFormatting>
  <conditionalFormatting sqref="U9:X9">
    <cfRule type="cellIs" dxfId="1103" priority="221" operator="greaterThan">
      <formula>0.03</formula>
    </cfRule>
    <cfRule type="cellIs" dxfId="1102" priority="222" stopIfTrue="1" operator="lessThan">
      <formula>-0.03</formula>
    </cfRule>
  </conditionalFormatting>
  <conditionalFormatting sqref="U4:X7">
    <cfRule type="cellIs" dxfId="1101" priority="219" operator="greaterThan">
      <formula>0.03</formula>
    </cfRule>
    <cfRule type="cellIs" dxfId="1100" priority="220" stopIfTrue="1" operator="lessThan">
      <formula>-0.03</formula>
    </cfRule>
  </conditionalFormatting>
  <conditionalFormatting sqref="U10:X10">
    <cfRule type="cellIs" dxfId="1099" priority="217" operator="greaterThan">
      <formula>0.03</formula>
    </cfRule>
    <cfRule type="cellIs" dxfId="1098" priority="218" stopIfTrue="1" operator="lessThan">
      <formula>-0.03</formula>
    </cfRule>
  </conditionalFormatting>
  <conditionalFormatting sqref="U16:X16">
    <cfRule type="cellIs" dxfId="1097" priority="215" operator="greaterThan">
      <formula>0.03</formula>
    </cfRule>
    <cfRule type="cellIs" dxfId="1096" priority="216" stopIfTrue="1" operator="lessThan">
      <formula>-0.03</formula>
    </cfRule>
  </conditionalFormatting>
  <conditionalFormatting sqref="U11:X14">
    <cfRule type="cellIs" dxfId="1095" priority="213" operator="greaterThan">
      <formula>0.03</formula>
    </cfRule>
    <cfRule type="cellIs" dxfId="1094" priority="214" stopIfTrue="1" operator="lessThan">
      <formula>-0.03</formula>
    </cfRule>
  </conditionalFormatting>
  <conditionalFormatting sqref="U8">
    <cfRule type="cellIs" dxfId="1093" priority="211" operator="greaterThan">
      <formula>0.03</formula>
    </cfRule>
    <cfRule type="cellIs" dxfId="1092" priority="212" stopIfTrue="1" operator="lessThan">
      <formula>-0.03</formula>
    </cfRule>
  </conditionalFormatting>
  <conditionalFormatting sqref="V8">
    <cfRule type="cellIs" dxfId="1091" priority="209" operator="greaterThan">
      <formula>0.03</formula>
    </cfRule>
    <cfRule type="cellIs" dxfId="1090" priority="210" stopIfTrue="1" operator="lessThan">
      <formula>-0.03</formula>
    </cfRule>
  </conditionalFormatting>
  <conditionalFormatting sqref="W8">
    <cfRule type="cellIs" dxfId="1089" priority="207" operator="greaterThan">
      <formula>0.03</formula>
    </cfRule>
    <cfRule type="cellIs" dxfId="1088" priority="208" stopIfTrue="1" operator="lessThan">
      <formula>-0.03</formula>
    </cfRule>
  </conditionalFormatting>
  <conditionalFormatting sqref="X8">
    <cfRule type="cellIs" dxfId="1087" priority="205" operator="greaterThan">
      <formula>0.03</formula>
    </cfRule>
    <cfRule type="cellIs" dxfId="1086" priority="206" stopIfTrue="1" operator="lessThan">
      <formula>-0.03</formula>
    </cfRule>
  </conditionalFormatting>
  <conditionalFormatting sqref="U15">
    <cfRule type="cellIs" dxfId="1085" priority="203" operator="greaterThan">
      <formula>0.03</formula>
    </cfRule>
    <cfRule type="cellIs" dxfId="1084" priority="204" stopIfTrue="1" operator="lessThan">
      <formula>-0.03</formula>
    </cfRule>
  </conditionalFormatting>
  <conditionalFormatting sqref="V15">
    <cfRule type="cellIs" dxfId="1083" priority="201" operator="greaterThan">
      <formula>0.03</formula>
    </cfRule>
    <cfRule type="cellIs" dxfId="1082" priority="202" stopIfTrue="1" operator="lessThan">
      <formula>-0.03</formula>
    </cfRule>
  </conditionalFormatting>
  <conditionalFormatting sqref="W15">
    <cfRule type="cellIs" dxfId="1081" priority="199" operator="greaterThan">
      <formula>0.03</formula>
    </cfRule>
    <cfRule type="cellIs" dxfId="1080" priority="200" stopIfTrue="1" operator="lessThan">
      <formula>-0.03</formula>
    </cfRule>
  </conditionalFormatting>
  <conditionalFormatting sqref="X15">
    <cfRule type="cellIs" dxfId="1079" priority="197" operator="greaterThan">
      <formula>0.03</formula>
    </cfRule>
    <cfRule type="cellIs" dxfId="1078" priority="198" stopIfTrue="1" operator="lessThan">
      <formula>-0.03</formula>
    </cfRule>
  </conditionalFormatting>
  <conditionalFormatting sqref="AD12:AG12">
    <cfRule type="cellIs" dxfId="1077" priority="97" operator="greaterThan">
      <formula>0.03</formula>
    </cfRule>
    <cfRule type="cellIs" dxfId="1076" priority="98" stopIfTrue="1" operator="lessThan">
      <formula>-0.03</formula>
    </cfRule>
  </conditionalFormatting>
  <conditionalFormatting sqref="AD18:AG18">
    <cfRule type="cellIs" dxfId="1075" priority="95" operator="greaterThan">
      <formula>0.03</formula>
    </cfRule>
    <cfRule type="cellIs" dxfId="1074" priority="96" stopIfTrue="1" operator="lessThan">
      <formula>-0.03</formula>
    </cfRule>
  </conditionalFormatting>
  <conditionalFormatting sqref="AD13:AG16">
    <cfRule type="cellIs" dxfId="1073" priority="93" operator="greaterThan">
      <formula>0.03</formula>
    </cfRule>
    <cfRule type="cellIs" dxfId="1072" priority="94" stopIfTrue="1" operator="lessThan">
      <formula>-0.03</formula>
    </cfRule>
  </conditionalFormatting>
  <conditionalFormatting sqref="AD21:AG21">
    <cfRule type="cellIs" dxfId="1071" priority="85" operator="greaterThan">
      <formula>0.03</formula>
    </cfRule>
    <cfRule type="cellIs" dxfId="1070" priority="86" stopIfTrue="1" operator="lessThan">
      <formula>-0.03</formula>
    </cfRule>
  </conditionalFormatting>
  <conditionalFormatting sqref="AD27:AG27">
    <cfRule type="cellIs" dxfId="1069" priority="83" operator="greaterThan">
      <formula>0.03</formula>
    </cfRule>
    <cfRule type="cellIs" dxfId="1068" priority="84" stopIfTrue="1" operator="lessThan">
      <formula>-0.03</formula>
    </cfRule>
  </conditionalFormatting>
  <conditionalFormatting sqref="AD22:AG25">
    <cfRule type="cellIs" dxfId="1067" priority="81" operator="greaterThan">
      <formula>0.03</formula>
    </cfRule>
    <cfRule type="cellIs" dxfId="1066" priority="82" stopIfTrue="1" operator="lessThan">
      <formula>-0.03</formula>
    </cfRule>
  </conditionalFormatting>
  <conditionalFormatting sqref="AD30:AG30">
    <cfRule type="cellIs" dxfId="1065" priority="73" operator="greaterThan">
      <formula>0.03</formula>
    </cfRule>
    <cfRule type="cellIs" dxfId="1064" priority="74" stopIfTrue="1" operator="lessThan">
      <formula>-0.03</formula>
    </cfRule>
  </conditionalFormatting>
  <conditionalFormatting sqref="AD36:AG36">
    <cfRule type="cellIs" dxfId="1063" priority="71" operator="greaterThan">
      <formula>0.03</formula>
    </cfRule>
    <cfRule type="cellIs" dxfId="1062" priority="72" stopIfTrue="1" operator="lessThan">
      <formula>-0.03</formula>
    </cfRule>
  </conditionalFormatting>
  <conditionalFormatting sqref="AD31:AG34">
    <cfRule type="cellIs" dxfId="1061" priority="69" operator="greaterThan">
      <formula>0.03</formula>
    </cfRule>
    <cfRule type="cellIs" dxfId="1060" priority="70" stopIfTrue="1" operator="lessThan">
      <formula>-0.03</formula>
    </cfRule>
  </conditionalFormatting>
  <conditionalFormatting sqref="AD17">
    <cfRule type="cellIs" dxfId="1059" priority="67" operator="greaterThan">
      <formula>0.03</formula>
    </cfRule>
    <cfRule type="cellIs" dxfId="1058" priority="68" stopIfTrue="1" operator="lessThan">
      <formula>-0.03</formula>
    </cfRule>
  </conditionalFormatting>
  <conditionalFormatting sqref="AE17">
    <cfRule type="cellIs" dxfId="1057" priority="65" operator="greaterThan">
      <formula>0.03</formula>
    </cfRule>
    <cfRule type="cellIs" dxfId="1056" priority="66" stopIfTrue="1" operator="lessThan">
      <formula>-0.03</formula>
    </cfRule>
  </conditionalFormatting>
  <conditionalFormatting sqref="AF17">
    <cfRule type="cellIs" dxfId="1055" priority="63" operator="greaterThan">
      <formula>0.03</formula>
    </cfRule>
    <cfRule type="cellIs" dxfId="1054" priority="64" stopIfTrue="1" operator="lessThan">
      <formula>-0.03</formula>
    </cfRule>
  </conditionalFormatting>
  <conditionalFormatting sqref="AG17">
    <cfRule type="cellIs" dxfId="1053" priority="61" operator="greaterThan">
      <formula>0.03</formula>
    </cfRule>
    <cfRule type="cellIs" dxfId="1052" priority="62" stopIfTrue="1" operator="lessThan">
      <formula>-0.03</formula>
    </cfRule>
  </conditionalFormatting>
  <conditionalFormatting sqref="AD26">
    <cfRule type="cellIs" dxfId="1051" priority="51" operator="greaterThan">
      <formula>0.03</formula>
    </cfRule>
    <cfRule type="cellIs" dxfId="1050" priority="52" stopIfTrue="1" operator="lessThan">
      <formula>-0.03</formula>
    </cfRule>
  </conditionalFormatting>
  <conditionalFormatting sqref="AE26">
    <cfRule type="cellIs" dxfId="1049" priority="49" operator="greaterThan">
      <formula>0.03</formula>
    </cfRule>
    <cfRule type="cellIs" dxfId="1048" priority="50" stopIfTrue="1" operator="lessThan">
      <formula>-0.03</formula>
    </cfRule>
  </conditionalFormatting>
  <conditionalFormatting sqref="AF26">
    <cfRule type="cellIs" dxfId="1047" priority="47" operator="greaterThan">
      <formula>0.03</formula>
    </cfRule>
    <cfRule type="cellIs" dxfId="1046" priority="48" stopIfTrue="1" operator="lessThan">
      <formula>-0.03</formula>
    </cfRule>
  </conditionalFormatting>
  <conditionalFormatting sqref="AG26">
    <cfRule type="cellIs" dxfId="1045" priority="45" operator="greaterThan">
      <formula>0.03</formula>
    </cfRule>
    <cfRule type="cellIs" dxfId="1044" priority="46" stopIfTrue="1" operator="lessThan">
      <formula>-0.03</formula>
    </cfRule>
  </conditionalFormatting>
  <conditionalFormatting sqref="AD35">
    <cfRule type="cellIs" dxfId="1043" priority="35" operator="greaterThan">
      <formula>0.03</formula>
    </cfRule>
    <cfRule type="cellIs" dxfId="1042" priority="36" stopIfTrue="1" operator="lessThan">
      <formula>-0.03</formula>
    </cfRule>
  </conditionalFormatting>
  <conditionalFormatting sqref="AE35">
    <cfRule type="cellIs" dxfId="1041" priority="33" operator="greaterThan">
      <formula>0.03</formula>
    </cfRule>
    <cfRule type="cellIs" dxfId="1040" priority="34" stopIfTrue="1" operator="lessThan">
      <formula>-0.03</formula>
    </cfRule>
  </conditionalFormatting>
  <conditionalFormatting sqref="AF35">
    <cfRule type="cellIs" dxfId="1039" priority="31" operator="greaterThan">
      <formula>0.03</formula>
    </cfRule>
    <cfRule type="cellIs" dxfId="1038" priority="32" stopIfTrue="1" operator="lessThan">
      <formula>-0.03</formula>
    </cfRule>
  </conditionalFormatting>
  <conditionalFormatting sqref="AG35">
    <cfRule type="cellIs" dxfId="1037" priority="29" operator="greaterThan">
      <formula>0.03</formula>
    </cfRule>
    <cfRule type="cellIs" dxfId="1036" priority="30" stopIfTrue="1" operator="lessThan">
      <formula>-0.03</formula>
    </cfRule>
  </conditionalFormatting>
  <conditionalFormatting sqref="AD3:AG3">
    <cfRule type="cellIs" dxfId="1035" priority="27" operator="greaterThan">
      <formula>0.03</formula>
    </cfRule>
    <cfRule type="cellIs" dxfId="1034" priority="28" stopIfTrue="1" operator="lessThan">
      <formula>-0.03</formula>
    </cfRule>
  </conditionalFormatting>
  <conditionalFormatting sqref="AD9:AG9">
    <cfRule type="cellIs" dxfId="1033" priority="25" operator="greaterThan">
      <formula>0.03</formula>
    </cfRule>
    <cfRule type="cellIs" dxfId="1032" priority="26" stopIfTrue="1" operator="lessThan">
      <formula>-0.03</formula>
    </cfRule>
  </conditionalFormatting>
  <conditionalFormatting sqref="AD4:AG7">
    <cfRule type="cellIs" dxfId="1031" priority="23" operator="greaterThan">
      <formula>0.03</formula>
    </cfRule>
    <cfRule type="cellIs" dxfId="1030" priority="24" stopIfTrue="1" operator="lessThan">
      <formula>-0.03</formula>
    </cfRule>
  </conditionalFormatting>
  <conditionalFormatting sqref="AD8">
    <cfRule type="cellIs" dxfId="1029" priority="15" operator="greaterThan">
      <formula>0.03</formula>
    </cfRule>
    <cfRule type="cellIs" dxfId="1028" priority="16" stopIfTrue="1" operator="lessThan">
      <formula>-0.03</formula>
    </cfRule>
  </conditionalFormatting>
  <conditionalFormatting sqref="AE8">
    <cfRule type="cellIs" dxfId="1027" priority="13" operator="greaterThan">
      <formula>0.03</formula>
    </cfRule>
    <cfRule type="cellIs" dxfId="1026" priority="14" stopIfTrue="1" operator="lessThan">
      <formula>-0.03</formula>
    </cfRule>
  </conditionalFormatting>
  <conditionalFormatting sqref="AF8">
    <cfRule type="cellIs" dxfId="1025" priority="11" operator="greaterThan">
      <formula>0.03</formula>
    </cfRule>
    <cfRule type="cellIs" dxfId="1024" priority="12" stopIfTrue="1" operator="lessThan">
      <formula>-0.03</formula>
    </cfRule>
  </conditionalFormatting>
  <conditionalFormatting sqref="AG8">
    <cfRule type="cellIs" dxfId="1023" priority="9" operator="greaterThan">
      <formula>0.03</formula>
    </cfRule>
    <cfRule type="cellIs" dxfId="1022" priority="10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150</v>
      </c>
    </row>
    <row r="2" spans="1:21" x14ac:dyDescent="0.25">
      <c r="A2" t="s">
        <v>86</v>
      </c>
    </row>
    <row r="3" spans="1:21" x14ac:dyDescent="0.25">
      <c r="A3" t="s">
        <v>151</v>
      </c>
    </row>
    <row r="4" spans="1:21" x14ac:dyDescent="0.25">
      <c r="A4" t="s">
        <v>85</v>
      </c>
    </row>
    <row r="5" spans="1:21" s="35" customFormat="1" ht="15.75" customHeight="1" x14ac:dyDescent="0.25">
      <c r="B5" s="58" t="s">
        <v>29</v>
      </c>
      <c r="C5" s="60" t="s">
        <v>152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2"/>
    </row>
    <row r="6" spans="1:21" s="35" customFormat="1" x14ac:dyDescent="0.25">
      <c r="B6" s="59"/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5"/>
    </row>
    <row r="7" spans="1:21" ht="16.5" customHeight="1" thickBot="1" x14ac:dyDescent="0.3">
      <c r="C7" s="66" t="s">
        <v>153</v>
      </c>
      <c r="D7" s="67"/>
      <c r="E7" s="67"/>
      <c r="F7" s="67"/>
      <c r="G7" s="67"/>
      <c r="H7" s="67"/>
      <c r="I7" s="5"/>
      <c r="J7" s="66" t="s">
        <v>154</v>
      </c>
      <c r="K7" s="67"/>
      <c r="L7" s="67"/>
      <c r="M7" s="67"/>
      <c r="N7" s="67"/>
      <c r="O7" s="67"/>
      <c r="Q7" s="66" t="s">
        <v>7</v>
      </c>
      <c r="R7" s="67"/>
      <c r="S7" s="68"/>
      <c r="T7" s="36"/>
      <c r="U7" s="6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9"/>
    </row>
    <row r="9" spans="1:21" x14ac:dyDescent="0.25">
      <c r="A9" s="6" t="s">
        <v>35</v>
      </c>
      <c r="B9" s="6" t="s">
        <v>46</v>
      </c>
      <c r="C9" s="15">
        <v>5954.77</v>
      </c>
      <c r="D9" s="16">
        <v>36.287999999999997</v>
      </c>
      <c r="E9" s="16">
        <v>37.979999999999997</v>
      </c>
      <c r="F9" s="16">
        <v>40.145000000000003</v>
      </c>
      <c r="G9" s="16">
        <v>27.32</v>
      </c>
      <c r="H9" s="16">
        <f t="shared" ref="H9:H80" si="0">(6*D9+E9+F9)/8</f>
        <v>36.981624999999994</v>
      </c>
      <c r="I9" s="5"/>
      <c r="J9" s="15">
        <v>4029.4960000000001</v>
      </c>
      <c r="K9" s="16">
        <v>37.590299999999999</v>
      </c>
      <c r="L9" s="16">
        <v>39.3748</v>
      </c>
      <c r="M9" s="16">
        <v>41.844299999999997</v>
      </c>
      <c r="N9" s="16">
        <v>22.57</v>
      </c>
      <c r="O9" s="16">
        <f t="shared" ref="O9:O80" si="1">(6*K9+L9+M9)/8</f>
        <v>38.345112499999999</v>
      </c>
      <c r="P9" s="7"/>
      <c r="Q9" s="8">
        <f>bdrate(C9:C12,D9:D12,J9:J12,K9:K12)</f>
        <v>-0.54886082644578094</v>
      </c>
      <c r="R9" s="8">
        <f>bdrate(C9:C12,E9:E12,J9:J12,L9:L12)</f>
        <v>-0.67875723015745404</v>
      </c>
      <c r="S9" s="8">
        <f>bdrate(C9:C12,F9:F12,J9:J12,M9:M12)</f>
        <v>-0.69088452440967529</v>
      </c>
      <c r="T9" s="25">
        <f>bdrate(C9:C12,H9:H12,J9:J12,O9:O12)</f>
        <v>-0.56935621000301539</v>
      </c>
      <c r="U9" s="28">
        <f t="shared" ref="U9:U72" si="2">(N9-G9)/G9</f>
        <v>-0.17386530014641288</v>
      </c>
    </row>
    <row r="10" spans="1:21" x14ac:dyDescent="0.25">
      <c r="A10" s="9" t="s">
        <v>36</v>
      </c>
      <c r="B10" s="9"/>
      <c r="C10" s="17">
        <v>4414.71</v>
      </c>
      <c r="D10" s="18">
        <v>35.287999999999997</v>
      </c>
      <c r="E10" s="18">
        <v>37.682000000000002</v>
      </c>
      <c r="F10" s="18">
        <v>39.856000000000002</v>
      </c>
      <c r="G10" s="18">
        <v>31.83</v>
      </c>
      <c r="H10" s="18">
        <f t="shared" si="0"/>
        <v>36.158249999999995</v>
      </c>
      <c r="I10" s="5"/>
      <c r="J10" s="17">
        <v>2920.2991999999999</v>
      </c>
      <c r="K10" s="18">
        <v>36.589599999999997</v>
      </c>
      <c r="L10" s="18">
        <v>38.804299999999998</v>
      </c>
      <c r="M10" s="18">
        <v>41.152200000000001</v>
      </c>
      <c r="N10" s="18">
        <v>25.848700000000001</v>
      </c>
      <c r="O10" s="18">
        <f t="shared" si="1"/>
        <v>37.4367625</v>
      </c>
      <c r="P10" s="7"/>
      <c r="Q10" s="10"/>
      <c r="R10" s="11"/>
      <c r="S10" s="11"/>
      <c r="T10" s="26"/>
      <c r="U10" s="28">
        <f t="shared" si="2"/>
        <v>-0.18791391768771593</v>
      </c>
    </row>
    <row r="11" spans="1:21" x14ac:dyDescent="0.25">
      <c r="B11" s="9"/>
      <c r="C11" s="17">
        <v>2888.65</v>
      </c>
      <c r="D11" s="18">
        <v>33.494</v>
      </c>
      <c r="E11" s="18">
        <v>36.851999999999997</v>
      </c>
      <c r="F11" s="18">
        <v>39.000999999999998</v>
      </c>
      <c r="G11" s="18">
        <v>33.74</v>
      </c>
      <c r="H11" s="18">
        <f t="shared" si="0"/>
        <v>34.602125000000001</v>
      </c>
      <c r="I11" s="5"/>
      <c r="J11" s="17">
        <v>1933.7103999999999</v>
      </c>
      <c r="K11" s="18">
        <v>35.058599999999998</v>
      </c>
      <c r="L11" s="18">
        <v>38.155999999999999</v>
      </c>
      <c r="M11" s="18">
        <v>40.447400000000002</v>
      </c>
      <c r="N11" s="18">
        <v>30.048100000000002</v>
      </c>
      <c r="O11" s="18">
        <f t="shared" si="1"/>
        <v>36.119374999999998</v>
      </c>
      <c r="P11" s="7"/>
      <c r="Q11" s="10"/>
      <c r="R11" s="11"/>
      <c r="S11" s="11"/>
      <c r="T11" s="26"/>
      <c r="U11" s="28">
        <f t="shared" si="2"/>
        <v>-0.10942205097806758</v>
      </c>
    </row>
    <row r="12" spans="1:21" ht="16.5" thickBot="1" x14ac:dyDescent="0.3">
      <c r="B12" s="12"/>
      <c r="C12" s="19">
        <v>1393.08</v>
      </c>
      <c r="D12" s="20">
        <v>30</v>
      </c>
      <c r="E12" s="20">
        <v>35.808</v>
      </c>
      <c r="F12" s="20">
        <v>37.808</v>
      </c>
      <c r="G12" s="20">
        <v>36.28</v>
      </c>
      <c r="H12" s="20">
        <f t="shared" si="0"/>
        <v>31.701999999999998</v>
      </c>
      <c r="I12" s="5"/>
      <c r="J12" s="19">
        <v>919.44320000000005</v>
      </c>
      <c r="K12" s="20">
        <v>32.147399999999998</v>
      </c>
      <c r="L12" s="20">
        <v>36.871200000000002</v>
      </c>
      <c r="M12" s="20">
        <v>39.082299999999996</v>
      </c>
      <c r="N12" s="20">
        <v>39.082900000000002</v>
      </c>
      <c r="O12" s="20">
        <f t="shared" si="1"/>
        <v>33.604737499999992</v>
      </c>
      <c r="P12" s="7"/>
      <c r="Q12" s="13"/>
      <c r="R12" s="14"/>
      <c r="S12" s="14"/>
      <c r="T12" s="27"/>
      <c r="U12" s="28">
        <f t="shared" si="2"/>
        <v>7.725744211686883E-2</v>
      </c>
    </row>
    <row r="13" spans="1:21" x14ac:dyDescent="0.25">
      <c r="B13" s="6" t="s">
        <v>47</v>
      </c>
      <c r="C13" s="15">
        <v>6069.14</v>
      </c>
      <c r="D13" s="16">
        <v>29.140999999999998</v>
      </c>
      <c r="E13" s="16">
        <v>38.893000000000001</v>
      </c>
      <c r="F13" s="16">
        <v>39.61</v>
      </c>
      <c r="G13" s="16">
        <v>25.51</v>
      </c>
      <c r="H13" s="16">
        <f t="shared" si="0"/>
        <v>31.668624999999999</v>
      </c>
      <c r="I13" s="5"/>
      <c r="J13" s="15">
        <v>4059.6352000000002</v>
      </c>
      <c r="K13" s="16">
        <v>29.1127</v>
      </c>
      <c r="L13" s="16">
        <v>39.244700000000002</v>
      </c>
      <c r="M13" s="16">
        <v>40.198399999999999</v>
      </c>
      <c r="N13" s="16">
        <v>16.607600000000001</v>
      </c>
      <c r="O13" s="16">
        <f t="shared" si="1"/>
        <v>31.764912499999998</v>
      </c>
      <c r="P13" s="7"/>
      <c r="Q13" s="8">
        <f>bdrate(C13:C16,D13:D16,J13:J16,K13:K16)</f>
        <v>-0.37312813049470783</v>
      </c>
      <c r="R13" s="8">
        <f>bdrate(C13:C16,E13:E16,J13:J16,L13:L16)</f>
        <v>-0.44340795688261336</v>
      </c>
      <c r="S13" s="8">
        <f>bdrate(C13:C16,F13:F16,J13:J16,M13:M16)</f>
        <v>-0.55795123716396255</v>
      </c>
      <c r="T13" s="25">
        <f>bdrate(C13:C16,H13:H16,J13:J16,O13:O16)</f>
        <v>-0.3914740953444622</v>
      </c>
      <c r="U13" s="28">
        <f t="shared" si="2"/>
        <v>-0.3489768718149745</v>
      </c>
    </row>
    <row r="14" spans="1:21" x14ac:dyDescent="0.25">
      <c r="B14" s="9"/>
      <c r="C14" s="17">
        <v>4523.66</v>
      </c>
      <c r="D14" s="18">
        <v>27.66</v>
      </c>
      <c r="E14" s="18">
        <v>38.387999999999998</v>
      </c>
      <c r="F14" s="18">
        <v>39.122999999999998</v>
      </c>
      <c r="G14" s="18">
        <v>27.24</v>
      </c>
      <c r="H14" s="18">
        <f t="shared" si="0"/>
        <v>30.433875</v>
      </c>
      <c r="I14" s="5"/>
      <c r="J14" s="17">
        <v>3034.3152</v>
      </c>
      <c r="K14" s="18">
        <v>27.769600000000001</v>
      </c>
      <c r="L14" s="18">
        <v>38.767699999999998</v>
      </c>
      <c r="M14" s="18">
        <v>39.786900000000003</v>
      </c>
      <c r="N14" s="18">
        <v>19.7837</v>
      </c>
      <c r="O14" s="18">
        <f t="shared" si="1"/>
        <v>30.646525</v>
      </c>
      <c r="P14" s="7"/>
      <c r="Q14" s="10"/>
      <c r="R14" s="11"/>
      <c r="S14" s="11"/>
      <c r="T14" s="26"/>
      <c r="U14" s="28">
        <f t="shared" si="2"/>
        <v>-0.27372613803230539</v>
      </c>
    </row>
    <row r="15" spans="1:21" x14ac:dyDescent="0.25">
      <c r="B15" s="9"/>
      <c r="C15" s="17">
        <v>3009.54</v>
      </c>
      <c r="D15" s="18">
        <v>25.693999999999999</v>
      </c>
      <c r="E15" s="18">
        <v>37.603000000000002</v>
      </c>
      <c r="F15" s="18">
        <v>38.298000000000002</v>
      </c>
      <c r="G15" s="18">
        <v>29.22</v>
      </c>
      <c r="H15" s="18">
        <f t="shared" si="0"/>
        <v>28.758125</v>
      </c>
      <c r="I15" s="5"/>
      <c r="J15" s="17">
        <v>2017.9903999999999</v>
      </c>
      <c r="K15" s="18">
        <v>25.97</v>
      </c>
      <c r="L15" s="18">
        <v>38.030799999999999</v>
      </c>
      <c r="M15" s="18">
        <v>39.1828</v>
      </c>
      <c r="N15" s="18">
        <v>25.303599999999999</v>
      </c>
      <c r="O15" s="18">
        <f t="shared" si="1"/>
        <v>29.129199999999997</v>
      </c>
      <c r="P15" s="7"/>
      <c r="Q15" s="10"/>
      <c r="R15" s="11"/>
      <c r="S15" s="11"/>
      <c r="T15" s="26"/>
      <c r="U15" s="28">
        <f t="shared" si="2"/>
        <v>-0.13403148528405201</v>
      </c>
    </row>
    <row r="16" spans="1:21" ht="16.5" thickBot="1" x14ac:dyDescent="0.3">
      <c r="B16" s="12"/>
      <c r="C16" s="19">
        <v>1578.56</v>
      </c>
      <c r="D16" s="20">
        <v>22.321999999999999</v>
      </c>
      <c r="E16" s="20">
        <v>36.082000000000001</v>
      </c>
      <c r="F16" s="20">
        <v>36.923999999999999</v>
      </c>
      <c r="G16" s="20">
        <v>30.72</v>
      </c>
      <c r="H16" s="20">
        <f t="shared" si="0"/>
        <v>25.867249999999999</v>
      </c>
      <c r="I16" s="5"/>
      <c r="J16" s="19">
        <v>1125.5488</v>
      </c>
      <c r="K16" s="20">
        <v>23.934999999999999</v>
      </c>
      <c r="L16" s="20">
        <v>36.505000000000003</v>
      </c>
      <c r="M16" s="20">
        <v>37.7532</v>
      </c>
      <c r="N16" s="20">
        <v>32.161200000000001</v>
      </c>
      <c r="O16" s="20">
        <f t="shared" si="1"/>
        <v>27.233524999999997</v>
      </c>
      <c r="P16" s="7"/>
      <c r="Q16" s="13"/>
      <c r="R16" s="14"/>
      <c r="S16" s="14"/>
      <c r="T16" s="27"/>
      <c r="U16" s="28">
        <f t="shared" si="2"/>
        <v>4.6914062500000069E-2</v>
      </c>
    </row>
    <row r="17" spans="1:21" x14ac:dyDescent="0.25">
      <c r="A17" s="6" t="s">
        <v>37</v>
      </c>
      <c r="B17" s="6" t="s">
        <v>48</v>
      </c>
      <c r="C17" s="15">
        <v>3237</v>
      </c>
      <c r="D17" s="16">
        <v>38.228999999999999</v>
      </c>
      <c r="E17" s="16">
        <v>41.423999999999999</v>
      </c>
      <c r="F17" s="16">
        <v>42.38</v>
      </c>
      <c r="G17" s="16">
        <v>47.49</v>
      </c>
      <c r="H17" s="16">
        <f t="shared" si="0"/>
        <v>39.14725</v>
      </c>
      <c r="I17" s="5"/>
      <c r="J17" s="15">
        <v>2377.8719999999998</v>
      </c>
      <c r="K17" s="16">
        <v>38.938099999999999</v>
      </c>
      <c r="L17" s="16">
        <v>41.838700000000003</v>
      </c>
      <c r="M17" s="16">
        <v>43.180399999999999</v>
      </c>
      <c r="N17" s="16">
        <v>44.851399999999998</v>
      </c>
      <c r="O17" s="16">
        <f t="shared" si="1"/>
        <v>39.830962500000005</v>
      </c>
      <c r="P17" s="7"/>
      <c r="Q17" s="8">
        <f>bdrate(C17:C20,D17:D20,J17:J20,K17:K20)</f>
        <v>-0.46472530287086011</v>
      </c>
      <c r="R17" s="8">
        <f>bdrate(C17:C20,E17:E20,J17:J20,L17:L20)</f>
        <v>-0.41915490942497413</v>
      </c>
      <c r="S17" s="8">
        <f>bdrate(C17:C20,F17:F20,J17:J20,M17:M20)</f>
        <v>-0.51520998570956322</v>
      </c>
      <c r="T17" s="25">
        <f>bdrate(C17:C20,H17:H20,J17:J20,O17:O20)</f>
        <v>-0.46575778911792187</v>
      </c>
      <c r="U17" s="28">
        <f t="shared" si="2"/>
        <v>-5.5561170772794349E-2</v>
      </c>
    </row>
    <row r="18" spans="1:21" x14ac:dyDescent="0.25">
      <c r="A18" s="9" t="s">
        <v>38</v>
      </c>
      <c r="B18" s="9"/>
      <c r="C18" s="17">
        <v>2114.9299999999998</v>
      </c>
      <c r="D18" s="18">
        <v>36.704999999999998</v>
      </c>
      <c r="E18" s="18">
        <v>40.801000000000002</v>
      </c>
      <c r="F18" s="18">
        <v>41.722000000000001</v>
      </c>
      <c r="G18" s="18">
        <v>52.15</v>
      </c>
      <c r="H18" s="18">
        <f t="shared" si="0"/>
        <v>37.844124999999998</v>
      </c>
      <c r="I18" s="5"/>
      <c r="J18" s="17">
        <v>1571.3248000000001</v>
      </c>
      <c r="K18" s="18">
        <v>37.702300000000001</v>
      </c>
      <c r="L18" s="18">
        <v>41.188200000000002</v>
      </c>
      <c r="M18" s="18">
        <v>42.417099999999998</v>
      </c>
      <c r="N18" s="18">
        <v>50.114800000000002</v>
      </c>
      <c r="O18" s="18">
        <f t="shared" si="1"/>
        <v>38.727387499999999</v>
      </c>
      <c r="P18" s="7"/>
      <c r="Q18" s="10"/>
      <c r="R18" s="11"/>
      <c r="S18" s="11"/>
      <c r="T18" s="26"/>
      <c r="U18" s="28">
        <f t="shared" si="2"/>
        <v>-3.9025886864812967E-2</v>
      </c>
    </row>
    <row r="19" spans="1:21" x14ac:dyDescent="0.25">
      <c r="B19" s="9"/>
      <c r="C19" s="17">
        <v>1307.3599999999999</v>
      </c>
      <c r="D19" s="18">
        <v>34.832000000000001</v>
      </c>
      <c r="E19" s="18">
        <v>40.027000000000001</v>
      </c>
      <c r="F19" s="18">
        <v>40.851999999999997</v>
      </c>
      <c r="G19" s="18">
        <v>56.56</v>
      </c>
      <c r="H19" s="18">
        <f t="shared" si="0"/>
        <v>36.233874999999998</v>
      </c>
      <c r="I19" s="5"/>
      <c r="J19" s="17">
        <v>960.69439999999997</v>
      </c>
      <c r="K19" s="18">
        <v>36.087600000000002</v>
      </c>
      <c r="L19" s="18">
        <v>40.366999999999997</v>
      </c>
      <c r="M19" s="18">
        <v>41.5379</v>
      </c>
      <c r="N19" s="18">
        <v>58.953600000000002</v>
      </c>
      <c r="O19" s="18">
        <f t="shared" si="1"/>
        <v>37.303812499999999</v>
      </c>
      <c r="P19" s="7"/>
      <c r="Q19" s="10"/>
      <c r="R19" s="11"/>
      <c r="S19" s="11"/>
      <c r="T19" s="26"/>
      <c r="U19" s="28">
        <f t="shared" si="2"/>
        <v>4.2319660537482304E-2</v>
      </c>
    </row>
    <row r="20" spans="1:21" ht="16.5" thickBot="1" x14ac:dyDescent="0.3">
      <c r="B20" s="12"/>
      <c r="C20" s="19">
        <v>770.87</v>
      </c>
      <c r="D20" s="20">
        <v>32.57</v>
      </c>
      <c r="E20" s="20">
        <v>39.177</v>
      </c>
      <c r="F20" s="20">
        <v>40.168999999999997</v>
      </c>
      <c r="G20" s="20">
        <v>61.29</v>
      </c>
      <c r="H20" s="20">
        <f t="shared" si="0"/>
        <v>34.345750000000002</v>
      </c>
      <c r="I20" s="5"/>
      <c r="J20" s="19">
        <v>555.34079999999994</v>
      </c>
      <c r="K20" s="20">
        <v>34.224499999999999</v>
      </c>
      <c r="L20" s="20">
        <v>39.620899999999999</v>
      </c>
      <c r="M20" s="20">
        <v>40.822400000000002</v>
      </c>
      <c r="N20" s="20">
        <v>69.605599999999995</v>
      </c>
      <c r="O20" s="20">
        <f t="shared" si="1"/>
        <v>35.7237875</v>
      </c>
      <c r="P20" s="7"/>
      <c r="Q20" s="13"/>
      <c r="R20" s="14"/>
      <c r="S20" s="14"/>
      <c r="T20" s="27"/>
      <c r="U20" s="28">
        <f t="shared" si="2"/>
        <v>0.13567629303312118</v>
      </c>
    </row>
    <row r="21" spans="1:21" x14ac:dyDescent="0.25">
      <c r="B21" s="6" t="s">
        <v>49</v>
      </c>
      <c r="C21" s="15">
        <v>3528.51</v>
      </c>
      <c r="D21" s="16">
        <v>35.18</v>
      </c>
      <c r="E21" s="16">
        <v>38.506</v>
      </c>
      <c r="F21" s="16">
        <v>39.712000000000003</v>
      </c>
      <c r="G21" s="16">
        <v>51.11</v>
      </c>
      <c r="H21" s="16">
        <f t="shared" si="0"/>
        <v>36.16225</v>
      </c>
      <c r="I21" s="5"/>
      <c r="J21" s="15">
        <v>2448.8975999999998</v>
      </c>
      <c r="K21" s="16">
        <v>35.759599999999999</v>
      </c>
      <c r="L21" s="16">
        <v>39.803199999999997</v>
      </c>
      <c r="M21" s="16">
        <v>41.0413</v>
      </c>
      <c r="N21" s="16">
        <v>39.447699999999998</v>
      </c>
      <c r="O21" s="16">
        <f t="shared" si="1"/>
        <v>36.925262499999995</v>
      </c>
      <c r="P21" s="7"/>
      <c r="Q21" s="8">
        <f>bdrate(C21:C24,D21:D24,J21:J24,K21:K24)</f>
        <v>-0.46639501940456896</v>
      </c>
      <c r="R21" s="8">
        <f>bdrate(C21:C24,E21:E24,J21:J24,L21:L24)</f>
        <v>-0.61817914460129764</v>
      </c>
      <c r="S21" s="8">
        <f>bdrate(C21:C24,F21:F24,J21:J24,M21:M24)</f>
        <v>-0.62897150618729092</v>
      </c>
      <c r="T21" s="25">
        <f>bdrate(C21:C24,H21:H24,J21:J24,O21:O24)</f>
        <v>-0.49221687184744523</v>
      </c>
      <c r="U21" s="28">
        <f t="shared" si="2"/>
        <v>-0.22818039522598321</v>
      </c>
    </row>
    <row r="22" spans="1:21" x14ac:dyDescent="0.25">
      <c r="B22" s="9"/>
      <c r="C22" s="17">
        <v>2337.9</v>
      </c>
      <c r="D22" s="18">
        <v>33.771000000000001</v>
      </c>
      <c r="E22" s="18">
        <v>37.942999999999998</v>
      </c>
      <c r="F22" s="18">
        <v>39.286999999999999</v>
      </c>
      <c r="G22" s="18">
        <v>56.35</v>
      </c>
      <c r="H22" s="18">
        <f t="shared" si="0"/>
        <v>34.981999999999999</v>
      </c>
      <c r="I22" s="5"/>
      <c r="J22" s="17">
        <v>1660.8055999999999</v>
      </c>
      <c r="K22" s="18">
        <v>34.524999999999999</v>
      </c>
      <c r="L22" s="18">
        <v>39.068300000000001</v>
      </c>
      <c r="M22" s="18">
        <v>40.295499999999997</v>
      </c>
      <c r="N22" s="18">
        <v>46.341000000000001</v>
      </c>
      <c r="O22" s="18">
        <f t="shared" si="1"/>
        <v>35.814224999999993</v>
      </c>
      <c r="P22" s="7"/>
      <c r="Q22" s="10"/>
      <c r="R22" s="11"/>
      <c r="S22" s="11"/>
      <c r="T22" s="26"/>
      <c r="U22" s="28">
        <f t="shared" si="2"/>
        <v>-0.17762200532386868</v>
      </c>
    </row>
    <row r="23" spans="1:21" x14ac:dyDescent="0.25">
      <c r="B23" s="9"/>
      <c r="C23" s="17">
        <v>1456.06</v>
      </c>
      <c r="D23" s="18">
        <v>32.048000000000002</v>
      </c>
      <c r="E23" s="18">
        <v>37.299999999999997</v>
      </c>
      <c r="F23" s="18">
        <v>38.734999999999999</v>
      </c>
      <c r="G23" s="18">
        <v>60.33</v>
      </c>
      <c r="H23" s="18">
        <f t="shared" si="0"/>
        <v>33.540375000000004</v>
      </c>
      <c r="I23" s="5"/>
      <c r="J23" s="17">
        <v>1008.4968</v>
      </c>
      <c r="K23" s="18">
        <v>33.053600000000003</v>
      </c>
      <c r="L23" s="18">
        <v>38.178699999999999</v>
      </c>
      <c r="M23" s="18">
        <v>39.489100000000001</v>
      </c>
      <c r="N23" s="18">
        <v>55.749099999999999</v>
      </c>
      <c r="O23" s="18">
        <f t="shared" si="1"/>
        <v>34.498674999999999</v>
      </c>
      <c r="P23" s="7"/>
      <c r="Q23" s="10"/>
      <c r="R23" s="11"/>
      <c r="S23" s="11"/>
      <c r="T23" s="26"/>
      <c r="U23" s="28">
        <f t="shared" si="2"/>
        <v>-7.5930714404110727E-2</v>
      </c>
    </row>
    <row r="24" spans="1:21" ht="16.5" thickBot="1" x14ac:dyDescent="0.3">
      <c r="B24" s="12"/>
      <c r="C24" s="19">
        <v>869.01</v>
      </c>
      <c r="D24" s="20">
        <v>30.241</v>
      </c>
      <c r="E24" s="20">
        <v>36.662999999999997</v>
      </c>
      <c r="F24" s="20">
        <v>38.207000000000001</v>
      </c>
      <c r="G24" s="20">
        <v>64.66</v>
      </c>
      <c r="H24" s="20">
        <f t="shared" si="0"/>
        <v>32.039499999999997</v>
      </c>
      <c r="I24" s="5"/>
      <c r="J24" s="19">
        <v>594.7568</v>
      </c>
      <c r="K24" s="20">
        <v>31.453700000000001</v>
      </c>
      <c r="L24" s="20">
        <v>37.2453</v>
      </c>
      <c r="M24" s="20">
        <v>38.777900000000002</v>
      </c>
      <c r="N24" s="20">
        <v>66.889600000000002</v>
      </c>
      <c r="O24" s="20">
        <f t="shared" si="1"/>
        <v>33.093175000000002</v>
      </c>
      <c r="P24" s="7"/>
      <c r="Q24" s="13"/>
      <c r="R24" s="14"/>
      <c r="S24" s="14"/>
      <c r="T24" s="27"/>
      <c r="U24" s="28">
        <f t="shared" si="2"/>
        <v>3.4481905351067196E-2</v>
      </c>
    </row>
    <row r="25" spans="1:21" x14ac:dyDescent="0.25">
      <c r="B25" s="6" t="s">
        <v>50</v>
      </c>
      <c r="C25" s="15">
        <v>3613.72</v>
      </c>
      <c r="D25" s="16">
        <v>32.713000000000001</v>
      </c>
      <c r="E25" s="16">
        <v>37.241999999999997</v>
      </c>
      <c r="F25" s="16">
        <v>38.421999999999997</v>
      </c>
      <c r="G25" s="16">
        <v>57.64</v>
      </c>
      <c r="H25" s="16">
        <f t="shared" si="0"/>
        <v>33.992750000000001</v>
      </c>
      <c r="I25" s="5"/>
      <c r="J25" s="15">
        <v>2413.4504000000002</v>
      </c>
      <c r="K25" s="16">
        <v>33.847000000000001</v>
      </c>
      <c r="L25" s="16">
        <v>38.037599999999998</v>
      </c>
      <c r="M25" s="16">
        <v>40.003300000000003</v>
      </c>
      <c r="N25" s="16">
        <v>54.048200000000001</v>
      </c>
      <c r="O25" s="16">
        <f t="shared" si="1"/>
        <v>35.140362500000002</v>
      </c>
      <c r="P25" s="7"/>
      <c r="Q25" s="8">
        <f>bdrate(C25:C28,D25:D28,J25:J28,K25:K28)</f>
        <v>-0.57279363868441524</v>
      </c>
      <c r="R25" s="8">
        <f>bdrate(C25:C28,E25:E28,J25:J28,L25:L28)</f>
        <v>-0.66000740710502215</v>
      </c>
      <c r="S25" s="8">
        <f>bdrate(C25:C28,F25:F28,J25:J28,M25:M28)</f>
        <v>-0.67879288780557512</v>
      </c>
      <c r="T25" s="25">
        <f>bdrate(C25:C28,H25:H28,J25:J28,O25:O28)</f>
        <v>-0.58813444501634438</v>
      </c>
      <c r="U25" s="28">
        <f t="shared" si="2"/>
        <v>-6.2314365024288672E-2</v>
      </c>
    </row>
    <row r="26" spans="1:21" x14ac:dyDescent="0.25">
      <c r="B26" s="9"/>
      <c r="C26" s="17">
        <v>2415.48</v>
      </c>
      <c r="D26" s="18">
        <v>31.199000000000002</v>
      </c>
      <c r="E26" s="18">
        <v>36.804000000000002</v>
      </c>
      <c r="F26" s="18">
        <v>37.664000000000001</v>
      </c>
      <c r="G26" s="18">
        <v>60.7</v>
      </c>
      <c r="H26" s="18">
        <f t="shared" si="0"/>
        <v>32.707750000000004</v>
      </c>
      <c r="I26" s="5"/>
      <c r="J26" s="17">
        <v>1606.8920000000001</v>
      </c>
      <c r="K26" s="18">
        <v>32.633299999999998</v>
      </c>
      <c r="L26" s="18">
        <v>37.612699999999997</v>
      </c>
      <c r="M26" s="18">
        <v>39.197499999999998</v>
      </c>
      <c r="N26" s="18">
        <v>64.491200000000006</v>
      </c>
      <c r="O26" s="18">
        <f t="shared" si="1"/>
        <v>34.076250000000002</v>
      </c>
      <c r="P26" s="7"/>
      <c r="Q26" s="10"/>
      <c r="R26" s="11"/>
      <c r="S26" s="11"/>
      <c r="T26" s="26"/>
      <c r="U26" s="28">
        <f t="shared" si="2"/>
        <v>6.2457990115321306E-2</v>
      </c>
    </row>
    <row r="27" spans="1:21" x14ac:dyDescent="0.25">
      <c r="B27" s="9"/>
      <c r="C27" s="17">
        <v>1503.06</v>
      </c>
      <c r="D27" s="18">
        <v>29.263999999999999</v>
      </c>
      <c r="E27" s="18">
        <v>36.146999999999998</v>
      </c>
      <c r="F27" s="18">
        <v>36.597999999999999</v>
      </c>
      <c r="G27" s="18">
        <v>64.36</v>
      </c>
      <c r="H27" s="18">
        <f t="shared" si="0"/>
        <v>31.041125000000001</v>
      </c>
      <c r="I27" s="5"/>
      <c r="J27" s="17">
        <v>996.41520000000003</v>
      </c>
      <c r="K27" s="18">
        <v>31.043399999999998</v>
      </c>
      <c r="L27" s="18">
        <v>37.027200000000001</v>
      </c>
      <c r="M27" s="18">
        <v>38.160400000000003</v>
      </c>
      <c r="N27" s="18">
        <v>76.499399999999994</v>
      </c>
      <c r="O27" s="18">
        <f t="shared" si="1"/>
        <v>32.680999999999997</v>
      </c>
      <c r="P27" s="7"/>
      <c r="Q27" s="10"/>
      <c r="R27" s="11"/>
      <c r="S27" s="11"/>
      <c r="T27" s="26"/>
      <c r="U27" s="28">
        <f t="shared" si="2"/>
        <v>0.18861715351149774</v>
      </c>
    </row>
    <row r="28" spans="1:21" ht="16.5" thickBot="1" x14ac:dyDescent="0.3">
      <c r="B28" s="12"/>
      <c r="C28" s="19">
        <v>895.61</v>
      </c>
      <c r="D28" s="20">
        <v>27.062000000000001</v>
      </c>
      <c r="E28" s="20">
        <v>35.722999999999999</v>
      </c>
      <c r="F28" s="20">
        <v>35.866</v>
      </c>
      <c r="G28" s="20">
        <v>67.91</v>
      </c>
      <c r="H28" s="20">
        <f t="shared" si="0"/>
        <v>29.245125000000002</v>
      </c>
      <c r="I28" s="5"/>
      <c r="J28" s="19">
        <v>598.73680000000002</v>
      </c>
      <c r="K28" s="20">
        <v>29.253399999999999</v>
      </c>
      <c r="L28" s="20">
        <v>36.366799999999998</v>
      </c>
      <c r="M28" s="20">
        <v>37.097900000000003</v>
      </c>
      <c r="N28" s="20">
        <v>91.058099999999996</v>
      </c>
      <c r="O28" s="20">
        <f t="shared" si="1"/>
        <v>31.123137500000002</v>
      </c>
      <c r="P28" s="7"/>
      <c r="Q28" s="13"/>
      <c r="R28" s="14"/>
      <c r="S28" s="14"/>
      <c r="T28" s="27"/>
      <c r="U28" s="28">
        <f t="shared" si="2"/>
        <v>0.340864379325578</v>
      </c>
    </row>
    <row r="29" spans="1:21" x14ac:dyDescent="0.25">
      <c r="B29" s="6" t="s">
        <v>51</v>
      </c>
      <c r="C29" s="29">
        <v>3579.19</v>
      </c>
      <c r="D29" s="30">
        <v>32.610999999999997</v>
      </c>
      <c r="E29" s="30">
        <v>39.295999999999999</v>
      </c>
      <c r="F29" s="30">
        <v>38.893999999999998</v>
      </c>
      <c r="G29" s="16">
        <v>53.24</v>
      </c>
      <c r="H29" s="16">
        <f t="shared" si="0"/>
        <v>34.231999999999999</v>
      </c>
      <c r="I29" s="5"/>
      <c r="J29" s="29">
        <v>2418.5551999999998</v>
      </c>
      <c r="K29" s="30">
        <v>33.8232</v>
      </c>
      <c r="L29" s="30">
        <v>40.194200000000002</v>
      </c>
      <c r="M29" s="30">
        <v>39.772199999999998</v>
      </c>
      <c r="N29" s="16">
        <v>46.996899999999997</v>
      </c>
      <c r="O29" s="16">
        <f t="shared" si="1"/>
        <v>35.363199999999999</v>
      </c>
      <c r="P29" s="7"/>
      <c r="Q29" s="8">
        <f>bdrate(C29:C32,D29:D32,J29:J32,K29:K32)</f>
        <v>-0.58564684965091107</v>
      </c>
      <c r="R29" s="8">
        <f>bdrate(C29:C32,E29:E32,J29:J32,L29:L32)</f>
        <v>-0.54843987230912772</v>
      </c>
      <c r="S29" s="8">
        <f>bdrate(C29:C32,F29:F32,J29:J32,M29:M32)</f>
        <v>-0.47966141324067801</v>
      </c>
      <c r="T29" s="25">
        <f>bdrate(C29:C32,H29:H32,J29:J32,O29:O32)</f>
        <v>-0.57899530652922426</v>
      </c>
      <c r="U29" s="28">
        <f t="shared" si="2"/>
        <v>-0.1172633358377161</v>
      </c>
    </row>
    <row r="30" spans="1:21" x14ac:dyDescent="0.25">
      <c r="B30" s="9"/>
      <c r="C30" s="31">
        <v>2372.3200000000002</v>
      </c>
      <c r="D30" s="32">
        <v>30.64</v>
      </c>
      <c r="E30" s="32">
        <v>38.466999999999999</v>
      </c>
      <c r="F30" s="32">
        <v>37.996000000000002</v>
      </c>
      <c r="G30" s="18">
        <v>57.03</v>
      </c>
      <c r="H30" s="18">
        <f t="shared" si="0"/>
        <v>32.537875</v>
      </c>
      <c r="I30" s="5"/>
      <c r="J30" s="31">
        <v>1609.5024000000001</v>
      </c>
      <c r="K30" s="32">
        <v>32.430300000000003</v>
      </c>
      <c r="L30" s="32">
        <v>39.422699999999999</v>
      </c>
      <c r="M30" s="32">
        <v>38.804200000000002</v>
      </c>
      <c r="N30" s="18">
        <v>55.352600000000002</v>
      </c>
      <c r="O30" s="18">
        <f t="shared" si="1"/>
        <v>34.101087499999998</v>
      </c>
      <c r="P30" s="7"/>
      <c r="Q30" s="10"/>
      <c r="R30" s="11"/>
      <c r="S30" s="11"/>
      <c r="T30" s="26"/>
      <c r="U30" s="28">
        <f t="shared" si="2"/>
        <v>-2.9412589864983317E-2</v>
      </c>
    </row>
    <row r="31" spans="1:21" x14ac:dyDescent="0.25">
      <c r="B31" s="9"/>
      <c r="C31" s="31">
        <v>1469.3</v>
      </c>
      <c r="D31" s="32">
        <v>27.911000000000001</v>
      </c>
      <c r="E31" s="32">
        <v>37.426000000000002</v>
      </c>
      <c r="F31" s="32">
        <v>36.945999999999998</v>
      </c>
      <c r="G31" s="18">
        <v>60.82</v>
      </c>
      <c r="H31" s="18">
        <f t="shared" si="0"/>
        <v>30.229749999999999</v>
      </c>
      <c r="I31" s="5"/>
      <c r="J31" s="31">
        <v>1002.9544</v>
      </c>
      <c r="K31" s="32">
        <v>30.689</v>
      </c>
      <c r="L31" s="32">
        <v>38.393099999999997</v>
      </c>
      <c r="M31" s="32">
        <v>37.579599999999999</v>
      </c>
      <c r="N31" s="18">
        <v>66.225200000000001</v>
      </c>
      <c r="O31" s="18">
        <f t="shared" si="1"/>
        <v>32.513337500000006</v>
      </c>
      <c r="P31" s="7"/>
      <c r="Q31" s="10"/>
      <c r="R31" s="11"/>
      <c r="S31" s="11"/>
      <c r="T31" s="26"/>
      <c r="U31" s="28">
        <f t="shared" si="2"/>
        <v>8.8872081552121021E-2</v>
      </c>
    </row>
    <row r="32" spans="1:21" ht="16.5" thickBot="1" x14ac:dyDescent="0.3">
      <c r="B32" s="12"/>
      <c r="C32" s="33">
        <v>854.64</v>
      </c>
      <c r="D32" s="34">
        <v>24.021999999999998</v>
      </c>
      <c r="E32" s="34">
        <v>35.478999999999999</v>
      </c>
      <c r="F32" s="34">
        <v>34.840000000000003</v>
      </c>
      <c r="G32" s="20">
        <v>64.099999999999994</v>
      </c>
      <c r="H32" s="20">
        <f t="shared" si="0"/>
        <v>26.806374999999999</v>
      </c>
      <c r="I32" s="5"/>
      <c r="J32" s="33">
        <v>591.7704</v>
      </c>
      <c r="K32" s="34">
        <v>28.765999999999998</v>
      </c>
      <c r="L32" s="34">
        <v>36.895899999999997</v>
      </c>
      <c r="M32" s="34">
        <v>35.898899999999998</v>
      </c>
      <c r="N32" s="20">
        <v>79.3399</v>
      </c>
      <c r="O32" s="20">
        <f t="shared" si="1"/>
        <v>30.673849999999998</v>
      </c>
      <c r="P32" s="7"/>
      <c r="Q32" s="13"/>
      <c r="R32" s="14"/>
      <c r="S32" s="14"/>
      <c r="T32" s="27"/>
      <c r="U32" s="28">
        <f t="shared" si="2"/>
        <v>0.23775195007800323</v>
      </c>
    </row>
    <row r="33" spans="1:21" x14ac:dyDescent="0.25">
      <c r="B33" s="6" t="s">
        <v>52</v>
      </c>
      <c r="C33" s="15">
        <v>3596.08</v>
      </c>
      <c r="D33" s="16">
        <v>31.920999999999999</v>
      </c>
      <c r="E33" s="16">
        <v>38.412999999999997</v>
      </c>
      <c r="F33" s="16">
        <v>40.92</v>
      </c>
      <c r="G33" s="16">
        <v>59.72</v>
      </c>
      <c r="H33" s="16">
        <f t="shared" si="0"/>
        <v>33.857375000000005</v>
      </c>
      <c r="I33" s="5"/>
      <c r="J33" s="15">
        <v>2436.4088000000002</v>
      </c>
      <c r="K33" s="16">
        <v>33.3889</v>
      </c>
      <c r="L33" s="16">
        <v>39.698599999999999</v>
      </c>
      <c r="M33" s="16">
        <v>42.202399999999997</v>
      </c>
      <c r="N33" s="16">
        <v>59.814599999999999</v>
      </c>
      <c r="O33" s="16">
        <f t="shared" si="1"/>
        <v>35.279299999999999</v>
      </c>
      <c r="P33" s="7"/>
      <c r="Q33" s="8">
        <f>bdrate(C33:C36,D33:D36,J33:J36,K33:K36)</f>
        <v>-0.68783804316804131</v>
      </c>
      <c r="R33" s="8">
        <f>bdrate(C33:C36,E33:E36,J33:J36,L33:L36)</f>
        <v>-0.75057533230805551</v>
      </c>
      <c r="S33" s="8">
        <f>bdrate(C33:C36,F33:F36,J33:J36,M33:M36)</f>
        <v>-0.75832618054473844</v>
      </c>
      <c r="T33" s="25">
        <f>bdrate(C33:C36,H33:H36,J33:J36,O33:O36)</f>
        <v>-0.6954151441337002</v>
      </c>
      <c r="U33" s="28">
        <f t="shared" si="2"/>
        <v>1.5840589417280609E-3</v>
      </c>
    </row>
    <row r="34" spans="1:21" x14ac:dyDescent="0.25">
      <c r="B34" s="9"/>
      <c r="C34" s="17">
        <v>2358.64</v>
      </c>
      <c r="D34" s="18">
        <v>30.643000000000001</v>
      </c>
      <c r="E34" s="18">
        <v>38.033999999999999</v>
      </c>
      <c r="F34" s="18">
        <v>40.527999999999999</v>
      </c>
      <c r="G34" s="18">
        <v>63.26</v>
      </c>
      <c r="H34" s="18">
        <f t="shared" si="0"/>
        <v>32.802500000000002</v>
      </c>
      <c r="I34" s="5"/>
      <c r="J34" s="17">
        <v>1631.26</v>
      </c>
      <c r="K34" s="18">
        <v>32.683</v>
      </c>
      <c r="L34" s="18">
        <v>39.252699999999997</v>
      </c>
      <c r="M34" s="18">
        <v>41.816400000000002</v>
      </c>
      <c r="N34" s="18">
        <v>68.563599999999994</v>
      </c>
      <c r="O34" s="18">
        <f t="shared" si="1"/>
        <v>34.645887500000001</v>
      </c>
      <c r="P34" s="7"/>
      <c r="Q34" s="10"/>
      <c r="R34" s="11"/>
      <c r="S34" s="11"/>
      <c r="T34" s="26"/>
      <c r="U34" s="28">
        <f t="shared" si="2"/>
        <v>8.3838128359152636E-2</v>
      </c>
    </row>
    <row r="35" spans="1:21" x14ac:dyDescent="0.25">
      <c r="B35" s="9"/>
      <c r="C35" s="17">
        <v>1445.3</v>
      </c>
      <c r="D35" s="18">
        <v>28.934999999999999</v>
      </c>
      <c r="E35" s="18">
        <v>37.465000000000003</v>
      </c>
      <c r="F35" s="18">
        <v>39.811</v>
      </c>
      <c r="G35" s="18">
        <v>66.66</v>
      </c>
      <c r="H35" s="18">
        <f t="shared" si="0"/>
        <v>31.360749999999999</v>
      </c>
      <c r="I35" s="5"/>
      <c r="J35" s="17">
        <v>1032.8072</v>
      </c>
      <c r="K35" s="18">
        <v>31.594999999999999</v>
      </c>
      <c r="L35" s="18">
        <v>38.5916</v>
      </c>
      <c r="M35" s="18">
        <v>41.145800000000001</v>
      </c>
      <c r="N35" s="18">
        <v>78.328999999999994</v>
      </c>
      <c r="O35" s="18">
        <f t="shared" si="1"/>
        <v>33.663424999999997</v>
      </c>
      <c r="P35" s="7"/>
      <c r="Q35" s="10"/>
      <c r="R35" s="11"/>
      <c r="S35" s="11"/>
      <c r="T35" s="26"/>
      <c r="U35" s="28">
        <f t="shared" si="2"/>
        <v>0.17505250525052501</v>
      </c>
    </row>
    <row r="36" spans="1:21" ht="16.5" thickBot="1" x14ac:dyDescent="0.3">
      <c r="B36" s="12"/>
      <c r="C36" s="19">
        <v>833.86</v>
      </c>
      <c r="D36" s="20">
        <v>26.603000000000002</v>
      </c>
      <c r="E36" s="20">
        <v>36.851999999999997</v>
      </c>
      <c r="F36" s="20">
        <v>38.960999999999999</v>
      </c>
      <c r="G36" s="20">
        <v>69.56</v>
      </c>
      <c r="H36" s="20">
        <f t="shared" si="0"/>
        <v>29.428874999999998</v>
      </c>
      <c r="I36" s="5"/>
      <c r="J36" s="19">
        <v>600.8152</v>
      </c>
      <c r="K36" s="20">
        <v>30.109100000000002</v>
      </c>
      <c r="L36" s="20">
        <v>38.059199999999997</v>
      </c>
      <c r="M36" s="20">
        <v>40.585000000000001</v>
      </c>
      <c r="N36" s="20">
        <v>88.823099999999997</v>
      </c>
      <c r="O36" s="20">
        <f t="shared" si="1"/>
        <v>32.412350000000004</v>
      </c>
      <c r="P36" s="7"/>
      <c r="Q36" s="13"/>
      <c r="R36" s="14"/>
      <c r="S36" s="14"/>
      <c r="T36" s="27"/>
      <c r="U36" s="28">
        <f t="shared" si="2"/>
        <v>0.27692783208740646</v>
      </c>
    </row>
    <row r="37" spans="1:21" x14ac:dyDescent="0.25">
      <c r="A37" s="6" t="s">
        <v>39</v>
      </c>
      <c r="B37" s="6" t="s">
        <v>53</v>
      </c>
      <c r="C37" s="15">
        <v>1576.88</v>
      </c>
      <c r="D37" s="16">
        <v>33.093000000000004</v>
      </c>
      <c r="E37" s="16">
        <v>36.606999999999999</v>
      </c>
      <c r="F37" s="16">
        <v>36.454999999999998</v>
      </c>
      <c r="G37" s="16">
        <v>283.77</v>
      </c>
      <c r="H37" s="16">
        <f t="shared" si="0"/>
        <v>33.952500000000001</v>
      </c>
      <c r="I37" s="5"/>
      <c r="J37" s="15">
        <v>1215.8016</v>
      </c>
      <c r="K37" s="16">
        <v>34.738599999999998</v>
      </c>
      <c r="L37" s="16">
        <v>38.869599999999998</v>
      </c>
      <c r="M37" s="16">
        <v>38.650700000000001</v>
      </c>
      <c r="N37" s="16">
        <v>176.11840000000001</v>
      </c>
      <c r="O37" s="16">
        <f t="shared" si="1"/>
        <v>35.743987500000003</v>
      </c>
      <c r="P37" s="7"/>
      <c r="Q37" s="8">
        <f>bdrate(C37:C40,D37:D40,J37:J40,K37:K40)</f>
        <v>-0.51058683793940585</v>
      </c>
      <c r="R37" s="8">
        <f>bdrate(C37:C40,E37:E40,J37:J40,L37:L40)</f>
        <v>-0.63509433796498915</v>
      </c>
      <c r="S37" s="8">
        <f>bdrate(C37:C40,F37:F40,J37:J40,M37:M40)</f>
        <v>-0.59038793246528787</v>
      </c>
      <c r="T37" s="25">
        <f>bdrate(C37:C40,H37:H40,J37:J40,O37:O40)</f>
        <v>-0.52993976531464337</v>
      </c>
      <c r="U37" s="28">
        <f t="shared" si="2"/>
        <v>-0.37936215949536589</v>
      </c>
    </row>
    <row r="38" spans="1:21" x14ac:dyDescent="0.25">
      <c r="A38" s="9" t="s">
        <v>40</v>
      </c>
      <c r="B38" s="9"/>
      <c r="C38" s="17">
        <v>1062.24</v>
      </c>
      <c r="D38" s="18">
        <v>31.568999999999999</v>
      </c>
      <c r="E38" s="18">
        <v>35.838999999999999</v>
      </c>
      <c r="F38" s="18">
        <v>35.521000000000001</v>
      </c>
      <c r="G38" s="18">
        <v>308.26</v>
      </c>
      <c r="H38" s="18">
        <f t="shared" si="0"/>
        <v>32.59675</v>
      </c>
      <c r="I38" s="5"/>
      <c r="J38" s="17">
        <v>810.94240000000002</v>
      </c>
      <c r="K38" s="18">
        <v>33.227600000000002</v>
      </c>
      <c r="L38" s="18">
        <v>37.7104</v>
      </c>
      <c r="M38" s="18">
        <v>37.335799999999999</v>
      </c>
      <c r="N38" s="18">
        <v>209.46799999999999</v>
      </c>
      <c r="O38" s="18">
        <f t="shared" si="1"/>
        <v>34.301475000000003</v>
      </c>
      <c r="P38" s="7"/>
      <c r="Q38" s="10"/>
      <c r="R38" s="11"/>
      <c r="S38" s="11"/>
      <c r="T38" s="26"/>
      <c r="U38" s="28">
        <f t="shared" si="2"/>
        <v>-0.32048270940115486</v>
      </c>
    </row>
    <row r="39" spans="1:21" x14ac:dyDescent="0.25">
      <c r="B39" s="9"/>
      <c r="C39" s="17">
        <v>658.71</v>
      </c>
      <c r="D39" s="18">
        <v>29.664999999999999</v>
      </c>
      <c r="E39" s="18">
        <v>34.991</v>
      </c>
      <c r="F39" s="18">
        <v>34.56</v>
      </c>
      <c r="G39" s="18">
        <v>341.06</v>
      </c>
      <c r="H39" s="18">
        <f t="shared" si="0"/>
        <v>30.942625</v>
      </c>
      <c r="I39" s="5"/>
      <c r="J39" s="17">
        <v>506.82080000000002</v>
      </c>
      <c r="K39" s="18">
        <v>31.4499</v>
      </c>
      <c r="L39" s="18">
        <v>36.472099999999998</v>
      </c>
      <c r="M39" s="18">
        <v>35.965600000000002</v>
      </c>
      <c r="N39" s="18">
        <v>256.41030000000001</v>
      </c>
      <c r="O39" s="18">
        <f t="shared" si="1"/>
        <v>32.642137499999997</v>
      </c>
      <c r="P39" s="7"/>
      <c r="Q39" s="10"/>
      <c r="R39" s="11"/>
      <c r="S39" s="11"/>
      <c r="T39" s="26"/>
      <c r="U39" s="28">
        <f t="shared" si="2"/>
        <v>-0.24819591860669676</v>
      </c>
    </row>
    <row r="40" spans="1:21" ht="16.5" thickBot="1" x14ac:dyDescent="0.3">
      <c r="B40" s="12"/>
      <c r="C40" s="19">
        <v>402.22</v>
      </c>
      <c r="D40" s="20">
        <v>27.463000000000001</v>
      </c>
      <c r="E40" s="20">
        <v>34.244</v>
      </c>
      <c r="F40" s="20">
        <v>33.796999999999997</v>
      </c>
      <c r="G40" s="20">
        <v>360.23</v>
      </c>
      <c r="H40" s="20">
        <f t="shared" si="0"/>
        <v>29.102375000000002</v>
      </c>
      <c r="I40" s="5"/>
      <c r="J40" s="19">
        <v>303.77999999999997</v>
      </c>
      <c r="K40" s="20">
        <v>29.547999999999998</v>
      </c>
      <c r="L40" s="20">
        <v>35.250900000000001</v>
      </c>
      <c r="M40" s="20">
        <v>34.581099999999999</v>
      </c>
      <c r="N40" s="20">
        <v>320.51280000000003</v>
      </c>
      <c r="O40" s="20">
        <f t="shared" si="1"/>
        <v>30.889999999999997</v>
      </c>
      <c r="P40" s="7"/>
      <c r="Q40" s="13"/>
      <c r="R40" s="14"/>
      <c r="S40" s="14"/>
      <c r="T40" s="27"/>
      <c r="U40" s="28">
        <f t="shared" si="2"/>
        <v>-0.11025511478777444</v>
      </c>
    </row>
    <row r="41" spans="1:21" x14ac:dyDescent="0.25">
      <c r="B41" s="6" t="s">
        <v>54</v>
      </c>
      <c r="C41" s="15">
        <v>1571</v>
      </c>
      <c r="D41" s="16">
        <v>33.463999999999999</v>
      </c>
      <c r="E41" s="16">
        <v>38.728000000000002</v>
      </c>
      <c r="F41" s="16">
        <v>39.506999999999998</v>
      </c>
      <c r="G41" s="16">
        <v>280.77</v>
      </c>
      <c r="H41" s="16">
        <f t="shared" si="0"/>
        <v>34.877375000000001</v>
      </c>
      <c r="I41" s="5"/>
      <c r="J41" s="15">
        <v>1246.9192</v>
      </c>
      <c r="K41" s="16">
        <v>34.919899999999998</v>
      </c>
      <c r="L41" s="16">
        <v>40.342700000000001</v>
      </c>
      <c r="M41" s="16">
        <v>41.158700000000003</v>
      </c>
      <c r="N41" s="16">
        <v>182.31540000000001</v>
      </c>
      <c r="O41" s="16">
        <f t="shared" si="1"/>
        <v>36.377600000000001</v>
      </c>
      <c r="P41" s="7"/>
      <c r="Q41" s="8">
        <f>bdrate(C41:C44,D41:D44,J41:J44,K41:K44)</f>
        <v>-0.49404230565859963</v>
      </c>
      <c r="R41" s="8">
        <f>bdrate(C41:C44,E41:E44,J41:J44,L41:L44)</f>
        <v>-0.60125282735182672</v>
      </c>
      <c r="S41" s="8">
        <f>bdrate(C41:C44,F41:F44,J41:J44,M41:M44)</f>
        <v>-0.56180489632591546</v>
      </c>
      <c r="T41" s="25">
        <f>bdrate(C41:C44,H41:H44,J41:J44,O41:O44)</f>
        <v>-0.50834859607866079</v>
      </c>
      <c r="U41" s="28">
        <f t="shared" si="2"/>
        <v>-0.35065925846778495</v>
      </c>
    </row>
    <row r="42" spans="1:21" x14ac:dyDescent="0.25">
      <c r="B42" s="9"/>
      <c r="C42" s="17">
        <v>1064.72</v>
      </c>
      <c r="D42" s="18">
        <v>31.715</v>
      </c>
      <c r="E42" s="18">
        <v>37.991999999999997</v>
      </c>
      <c r="F42" s="18">
        <v>38.704999999999998</v>
      </c>
      <c r="G42" s="18">
        <v>302.72000000000003</v>
      </c>
      <c r="H42" s="18">
        <f t="shared" si="0"/>
        <v>33.373374999999996</v>
      </c>
      <c r="I42" s="5"/>
      <c r="J42" s="17">
        <v>830.7</v>
      </c>
      <c r="K42" s="18">
        <v>33.3658</v>
      </c>
      <c r="L42" s="18">
        <v>39.429299999999998</v>
      </c>
      <c r="M42" s="18">
        <v>40.156500000000001</v>
      </c>
      <c r="N42" s="18">
        <v>217.23390000000001</v>
      </c>
      <c r="O42" s="18">
        <f t="shared" si="1"/>
        <v>34.972574999999999</v>
      </c>
      <c r="P42" s="7"/>
      <c r="Q42" s="10"/>
      <c r="R42" s="11"/>
      <c r="S42" s="11"/>
      <c r="T42" s="26"/>
      <c r="U42" s="28">
        <f t="shared" si="2"/>
        <v>-0.28239330073995778</v>
      </c>
    </row>
    <row r="43" spans="1:21" x14ac:dyDescent="0.25">
      <c r="B43" s="9"/>
      <c r="C43" s="17">
        <v>659.86</v>
      </c>
      <c r="D43" s="18">
        <v>29.515999999999998</v>
      </c>
      <c r="E43" s="18">
        <v>37.222000000000001</v>
      </c>
      <c r="F43" s="18">
        <v>37.850999999999999</v>
      </c>
      <c r="G43" s="18">
        <v>331.49</v>
      </c>
      <c r="H43" s="18">
        <f t="shared" si="0"/>
        <v>31.521125000000001</v>
      </c>
      <c r="I43" s="5"/>
      <c r="J43" s="17">
        <v>518.66</v>
      </c>
      <c r="K43" s="18">
        <v>31.542100000000001</v>
      </c>
      <c r="L43" s="18">
        <v>38.4313</v>
      </c>
      <c r="M43" s="18">
        <v>38.979100000000003</v>
      </c>
      <c r="N43" s="18">
        <v>258.17559999999997</v>
      </c>
      <c r="O43" s="18">
        <f t="shared" si="1"/>
        <v>33.332875000000001</v>
      </c>
      <c r="P43" s="7"/>
      <c r="Q43" s="10"/>
      <c r="R43" s="11"/>
      <c r="S43" s="11"/>
      <c r="T43" s="26"/>
      <c r="U43" s="28">
        <f t="shared" si="2"/>
        <v>-0.22116624935895512</v>
      </c>
    </row>
    <row r="44" spans="1:21" ht="16.5" thickBot="1" x14ac:dyDescent="0.3">
      <c r="B44" s="12"/>
      <c r="C44" s="19">
        <v>406.38</v>
      </c>
      <c r="D44" s="20">
        <v>27.097000000000001</v>
      </c>
      <c r="E44" s="20">
        <v>36.478000000000002</v>
      </c>
      <c r="F44" s="20">
        <v>36.985999999999997</v>
      </c>
      <c r="G44" s="20">
        <v>349.65</v>
      </c>
      <c r="H44" s="20">
        <f t="shared" si="0"/>
        <v>29.505749999999999</v>
      </c>
      <c r="I44" s="5"/>
      <c r="J44" s="19">
        <v>311.02480000000003</v>
      </c>
      <c r="K44" s="20">
        <v>29.495799999999999</v>
      </c>
      <c r="L44" s="20">
        <v>37.344000000000001</v>
      </c>
      <c r="M44" s="20">
        <v>37.823700000000002</v>
      </c>
      <c r="N44" s="20">
        <v>328.58710000000002</v>
      </c>
      <c r="O44" s="20">
        <f t="shared" si="1"/>
        <v>31.517812499999998</v>
      </c>
      <c r="P44" s="7"/>
      <c r="Q44" s="13"/>
      <c r="R44" s="14"/>
      <c r="S44" s="14"/>
      <c r="T44" s="27"/>
      <c r="U44" s="28">
        <f t="shared" si="2"/>
        <v>-6.0239954239954117E-2</v>
      </c>
    </row>
    <row r="45" spans="1:21" x14ac:dyDescent="0.25">
      <c r="B45" s="6" t="s">
        <v>55</v>
      </c>
      <c r="C45" s="15">
        <v>1455.06</v>
      </c>
      <c r="D45" s="16">
        <v>27.780999999999999</v>
      </c>
      <c r="E45" s="16">
        <v>34.633000000000003</v>
      </c>
      <c r="F45" s="16">
        <v>35.292999999999999</v>
      </c>
      <c r="G45" s="16">
        <v>291.38</v>
      </c>
      <c r="H45" s="16">
        <f t="shared" si="0"/>
        <v>29.576499999999999</v>
      </c>
      <c r="I45" s="5"/>
      <c r="J45" s="15">
        <v>1227.0512000000001</v>
      </c>
      <c r="K45" s="16">
        <v>30.008299999999998</v>
      </c>
      <c r="L45" s="16">
        <v>36.568100000000001</v>
      </c>
      <c r="M45" s="16">
        <v>37.356900000000003</v>
      </c>
      <c r="N45" s="16">
        <v>163.559</v>
      </c>
      <c r="O45" s="16">
        <f t="shared" si="1"/>
        <v>31.746850000000002</v>
      </c>
      <c r="P45" s="7"/>
      <c r="Q45" s="8">
        <f>bdrate(C45:C48,D45:D48,J45:J48,K45:K48)</f>
        <v>-0.59598405378116537</v>
      </c>
      <c r="R45" s="8">
        <f>bdrate(C45:C48,E45:E48,J45:J48,L45:L48)</f>
        <v>-0.6963277388701109</v>
      </c>
      <c r="S45" s="8">
        <f>bdrate(C45:C48,F45:F48,J45:J48,M45:M48)</f>
        <v>-0.69528957243243283</v>
      </c>
      <c r="T45" s="25">
        <f>bdrate(C45:C48,H45:H48,J45:J48,O45:O48)</f>
        <v>-0.61145826491582245</v>
      </c>
      <c r="U45" s="28">
        <f t="shared" si="2"/>
        <v>-0.43867458301873841</v>
      </c>
    </row>
    <row r="46" spans="1:21" x14ac:dyDescent="0.25">
      <c r="B46" s="9"/>
      <c r="C46" s="17">
        <v>984.69</v>
      </c>
      <c r="D46" s="18">
        <v>26.478999999999999</v>
      </c>
      <c r="E46" s="18">
        <v>34.194000000000003</v>
      </c>
      <c r="F46" s="18">
        <v>34.896999999999998</v>
      </c>
      <c r="G46" s="18">
        <v>317.45999999999998</v>
      </c>
      <c r="H46" s="18">
        <f t="shared" si="0"/>
        <v>28.495624999999997</v>
      </c>
      <c r="I46" s="5"/>
      <c r="J46" s="17">
        <v>816.68240000000003</v>
      </c>
      <c r="K46" s="18">
        <v>28.689699999999998</v>
      </c>
      <c r="L46" s="18">
        <v>35.790100000000002</v>
      </c>
      <c r="M46" s="18">
        <v>36.533499999999997</v>
      </c>
      <c r="N46" s="18">
        <v>201.5316</v>
      </c>
      <c r="O46" s="18">
        <f t="shared" si="1"/>
        <v>30.557724999999998</v>
      </c>
      <c r="P46" s="7"/>
      <c r="Q46" s="10"/>
      <c r="R46" s="11"/>
      <c r="S46" s="11"/>
      <c r="T46" s="26"/>
      <c r="U46" s="28">
        <f t="shared" si="2"/>
        <v>-0.36517482517482514</v>
      </c>
    </row>
    <row r="47" spans="1:21" x14ac:dyDescent="0.25">
      <c r="B47" s="9"/>
      <c r="C47" s="17">
        <v>611.04999999999995</v>
      </c>
      <c r="D47" s="18">
        <v>25.027000000000001</v>
      </c>
      <c r="E47" s="18">
        <v>33.770000000000003</v>
      </c>
      <c r="F47" s="18">
        <v>34.488999999999997</v>
      </c>
      <c r="G47" s="18">
        <v>344.59</v>
      </c>
      <c r="H47" s="18">
        <f t="shared" si="0"/>
        <v>27.302625000000003</v>
      </c>
      <c r="I47" s="5"/>
      <c r="J47" s="17">
        <v>514.57039999999995</v>
      </c>
      <c r="K47" s="18">
        <v>27.2775</v>
      </c>
      <c r="L47" s="18">
        <v>34.973199999999999</v>
      </c>
      <c r="M47" s="18">
        <v>35.7074</v>
      </c>
      <c r="N47" s="18">
        <v>246.54830000000001</v>
      </c>
      <c r="O47" s="18">
        <f t="shared" si="1"/>
        <v>29.293199999999999</v>
      </c>
      <c r="P47" s="7"/>
      <c r="Q47" s="10"/>
      <c r="R47" s="11"/>
      <c r="S47" s="11"/>
      <c r="T47" s="26"/>
      <c r="U47" s="28">
        <f t="shared" si="2"/>
        <v>-0.28451696218694672</v>
      </c>
    </row>
    <row r="48" spans="1:21" ht="16.5" thickBot="1" x14ac:dyDescent="0.3">
      <c r="B48" s="12"/>
      <c r="C48" s="19">
        <v>374.91</v>
      </c>
      <c r="D48" s="20">
        <v>23.613</v>
      </c>
      <c r="E48" s="20">
        <v>33.380000000000003</v>
      </c>
      <c r="F48" s="20">
        <v>34.103999999999999</v>
      </c>
      <c r="G48" s="20">
        <v>372.86</v>
      </c>
      <c r="H48" s="20">
        <f t="shared" si="0"/>
        <v>26.145249999999997</v>
      </c>
      <c r="I48" s="5"/>
      <c r="J48" s="19">
        <v>308.55680000000001</v>
      </c>
      <c r="K48" s="20">
        <v>25.763400000000001</v>
      </c>
      <c r="L48" s="20">
        <v>34.154899999999998</v>
      </c>
      <c r="M48" s="20">
        <v>34.826900000000002</v>
      </c>
      <c r="N48" s="20">
        <v>311.1388</v>
      </c>
      <c r="O48" s="20">
        <f t="shared" si="1"/>
        <v>27.945274999999999</v>
      </c>
      <c r="P48" s="7"/>
      <c r="Q48" s="13"/>
      <c r="R48" s="14"/>
      <c r="S48" s="14"/>
      <c r="T48" s="27"/>
      <c r="U48" s="28">
        <f t="shared" si="2"/>
        <v>-0.16553451697688143</v>
      </c>
    </row>
    <row r="49" spans="1:21" x14ac:dyDescent="0.25">
      <c r="B49" s="6" t="s">
        <v>56</v>
      </c>
      <c r="C49" s="15">
        <v>1471.89</v>
      </c>
      <c r="D49" s="16">
        <v>31.815000000000001</v>
      </c>
      <c r="E49" s="16">
        <v>36.039000000000001</v>
      </c>
      <c r="F49" s="16">
        <v>37.634999999999998</v>
      </c>
      <c r="G49" s="16">
        <v>223.55</v>
      </c>
      <c r="H49" s="16">
        <f t="shared" si="0"/>
        <v>33.070500000000003</v>
      </c>
      <c r="I49" s="5"/>
      <c r="J49" s="15">
        <v>1213.8688</v>
      </c>
      <c r="K49" s="16">
        <v>32.029699999999998</v>
      </c>
      <c r="L49" s="16">
        <v>36.6633</v>
      </c>
      <c r="M49" s="16">
        <v>38.245100000000001</v>
      </c>
      <c r="N49" s="16">
        <v>115.8301</v>
      </c>
      <c r="O49" s="16">
        <f t="shared" si="1"/>
        <v>33.385824999999997</v>
      </c>
      <c r="P49" s="7"/>
      <c r="Q49" s="8">
        <f>bdrate(C49:C52,D49:D52,J49:J52,K49:K52)</f>
        <v>-0.28972304006755989</v>
      </c>
      <c r="R49" s="8">
        <f>bdrate(C49:C52,E49:E52,J49:J52,L49:L52)</f>
        <v>-0.33604534738110603</v>
      </c>
      <c r="S49" s="8">
        <f>bdrate(C49:C52,F49:F52,J49:J52,M49:M52)</f>
        <v>-0.32550512075604077</v>
      </c>
      <c r="T49" s="25">
        <f>bdrate(C49:C52,H49:H52,J49:J52,O49:O52)</f>
        <v>-0.29835593495656243</v>
      </c>
      <c r="U49" s="28">
        <f t="shared" si="2"/>
        <v>-0.4818604339074033</v>
      </c>
    </row>
    <row r="50" spans="1:21" x14ac:dyDescent="0.25">
      <c r="B50" s="9"/>
      <c r="C50" s="17">
        <v>1005.4</v>
      </c>
      <c r="D50" s="18">
        <v>30.257999999999999</v>
      </c>
      <c r="E50" s="18">
        <v>35.387</v>
      </c>
      <c r="F50" s="18">
        <v>36.969000000000001</v>
      </c>
      <c r="G50" s="18">
        <v>243.31</v>
      </c>
      <c r="H50" s="18">
        <f t="shared" si="0"/>
        <v>31.738</v>
      </c>
      <c r="I50" s="5"/>
      <c r="J50" s="17">
        <v>810.23919999999998</v>
      </c>
      <c r="K50" s="18">
        <v>30.5623</v>
      </c>
      <c r="L50" s="18">
        <v>35.83</v>
      </c>
      <c r="M50" s="18">
        <v>37.379300000000001</v>
      </c>
      <c r="N50" s="18">
        <v>141.37610000000001</v>
      </c>
      <c r="O50" s="18">
        <f t="shared" si="1"/>
        <v>32.0728875</v>
      </c>
      <c r="P50" s="7"/>
      <c r="Q50" s="10"/>
      <c r="R50" s="11"/>
      <c r="S50" s="11"/>
      <c r="T50" s="26"/>
      <c r="U50" s="28">
        <f t="shared" si="2"/>
        <v>-0.41894661131889355</v>
      </c>
    </row>
    <row r="51" spans="1:21" x14ac:dyDescent="0.25">
      <c r="B51" s="9"/>
      <c r="C51" s="17">
        <v>635.46</v>
      </c>
      <c r="D51" s="18">
        <v>28.425000000000001</v>
      </c>
      <c r="E51" s="18">
        <v>34.695999999999998</v>
      </c>
      <c r="F51" s="18">
        <v>36.216000000000001</v>
      </c>
      <c r="G51" s="18">
        <v>263.39</v>
      </c>
      <c r="H51" s="18">
        <f t="shared" si="0"/>
        <v>30.182750000000002</v>
      </c>
      <c r="I51" s="5"/>
      <c r="J51" s="17">
        <v>504.98</v>
      </c>
      <c r="K51" s="18">
        <v>28.965399999999999</v>
      </c>
      <c r="L51" s="18">
        <v>34.961599999999997</v>
      </c>
      <c r="M51" s="18">
        <v>36.486199999999997</v>
      </c>
      <c r="N51" s="18">
        <v>174.8252</v>
      </c>
      <c r="O51" s="18">
        <f t="shared" si="1"/>
        <v>30.655024999999998</v>
      </c>
      <c r="P51" s="7"/>
      <c r="Q51" s="10"/>
      <c r="R51" s="11"/>
      <c r="S51" s="11"/>
      <c r="T51" s="26"/>
      <c r="U51" s="28">
        <f t="shared" si="2"/>
        <v>-0.33624966779300658</v>
      </c>
    </row>
    <row r="52" spans="1:21" ht="16.5" thickBot="1" x14ac:dyDescent="0.3">
      <c r="B52" s="12"/>
      <c r="C52" s="19">
        <v>396.86</v>
      </c>
      <c r="D52" s="20">
        <v>26.652000000000001</v>
      </c>
      <c r="E52" s="20">
        <v>33.954999999999998</v>
      </c>
      <c r="F52" s="20">
        <v>35.405999999999999</v>
      </c>
      <c r="G52" s="20">
        <v>287.08</v>
      </c>
      <c r="H52" s="20">
        <f t="shared" si="0"/>
        <v>28.659125000000003</v>
      </c>
      <c r="I52" s="5"/>
      <c r="J52" s="19">
        <v>302.53039999999999</v>
      </c>
      <c r="K52" s="20">
        <v>27.364899999999999</v>
      </c>
      <c r="L52" s="20">
        <v>34.018500000000003</v>
      </c>
      <c r="M52" s="20">
        <v>35.464100000000002</v>
      </c>
      <c r="N52" s="20">
        <v>228.833</v>
      </c>
      <c r="O52" s="20">
        <f t="shared" si="1"/>
        <v>29.209</v>
      </c>
      <c r="P52" s="7"/>
      <c r="Q52" s="13"/>
      <c r="R52" s="14"/>
      <c r="S52" s="14"/>
      <c r="T52" s="27"/>
      <c r="U52" s="28">
        <f t="shared" si="2"/>
        <v>-0.20289466350842966</v>
      </c>
    </row>
    <row r="53" spans="1:21" x14ac:dyDescent="0.25">
      <c r="A53" s="6" t="s">
        <v>41</v>
      </c>
      <c r="B53" s="6" t="s">
        <v>57</v>
      </c>
      <c r="C53" s="15">
        <v>838.08</v>
      </c>
      <c r="D53" s="16">
        <v>33.808999999999997</v>
      </c>
      <c r="E53" s="16">
        <v>38.247999999999998</v>
      </c>
      <c r="F53" s="16">
        <v>37.197000000000003</v>
      </c>
      <c r="G53" s="16">
        <v>970.87</v>
      </c>
      <c r="H53" s="16">
        <f t="shared" si="0"/>
        <v>34.787374999999997</v>
      </c>
      <c r="I53" s="5"/>
      <c r="J53" s="15">
        <v>607.11440000000005</v>
      </c>
      <c r="K53" s="16">
        <v>34.029499999999999</v>
      </c>
      <c r="L53" s="16">
        <v>39.392699999999998</v>
      </c>
      <c r="M53" s="16">
        <v>37.852400000000003</v>
      </c>
      <c r="N53" s="16">
        <v>451.6712</v>
      </c>
      <c r="O53" s="16">
        <f t="shared" si="1"/>
        <v>35.1777625</v>
      </c>
      <c r="P53" s="7"/>
      <c r="Q53" s="8">
        <f>bdrate(C53:C56,D53:D56,J53:J56,K53:K56)</f>
        <v>-0.34362218499123598</v>
      </c>
      <c r="R53" s="8">
        <f>bdrate(C53:C56,E53:E56,J53:J56,L53:L56)</f>
        <v>-0.50316694482370727</v>
      </c>
      <c r="S53" s="8">
        <f>bdrate(C53:C56,F53:F56,J53:J56,M53:M56)</f>
        <v>-0.37463857118725097</v>
      </c>
      <c r="T53" s="25">
        <f>bdrate(C53:C56,H53:H56,J53:J56,O53:O56)</f>
        <v>-0.36021555438144426</v>
      </c>
      <c r="U53" s="28">
        <f t="shared" si="2"/>
        <v>-0.53477684962971361</v>
      </c>
    </row>
    <row r="54" spans="1:21" x14ac:dyDescent="0.25">
      <c r="A54" s="9" t="s">
        <v>42</v>
      </c>
      <c r="B54" s="9"/>
      <c r="C54" s="17">
        <v>525.16999999999996</v>
      </c>
      <c r="D54" s="18">
        <v>31.669</v>
      </c>
      <c r="E54" s="18">
        <v>37.218000000000004</v>
      </c>
      <c r="F54" s="18">
        <v>35.942</v>
      </c>
      <c r="G54" s="18">
        <v>1103.75</v>
      </c>
      <c r="H54" s="18">
        <f t="shared" si="0"/>
        <v>32.896750000000004</v>
      </c>
      <c r="I54" s="5"/>
      <c r="J54" s="17">
        <v>404.60079999999999</v>
      </c>
      <c r="K54" s="18">
        <v>32.252499999999998</v>
      </c>
      <c r="L54" s="18">
        <v>38.273099999999999</v>
      </c>
      <c r="M54" s="18">
        <v>36.603700000000003</v>
      </c>
      <c r="N54" s="18">
        <v>561.79780000000005</v>
      </c>
      <c r="O54" s="18">
        <f t="shared" si="1"/>
        <v>33.548974999999999</v>
      </c>
      <c r="P54" s="7"/>
      <c r="Q54" s="10"/>
      <c r="R54" s="11"/>
      <c r="S54" s="11"/>
      <c r="T54" s="26"/>
      <c r="U54" s="28">
        <f t="shared" si="2"/>
        <v>-0.49100992072480176</v>
      </c>
    </row>
    <row r="55" spans="1:21" x14ac:dyDescent="0.25">
      <c r="B55" s="9"/>
      <c r="C55" s="17">
        <v>316.97000000000003</v>
      </c>
      <c r="D55" s="18">
        <v>29.527000000000001</v>
      </c>
      <c r="E55" s="18">
        <v>36.314999999999998</v>
      </c>
      <c r="F55" s="18">
        <v>34.802</v>
      </c>
      <c r="G55" s="18">
        <v>1184.83</v>
      </c>
      <c r="H55" s="18">
        <f t="shared" si="0"/>
        <v>31.034875</v>
      </c>
      <c r="I55" s="5"/>
      <c r="J55" s="17">
        <v>254.6448</v>
      </c>
      <c r="K55" s="18">
        <v>30.362300000000001</v>
      </c>
      <c r="L55" s="18">
        <v>37.235500000000002</v>
      </c>
      <c r="M55" s="18">
        <v>35.429400000000001</v>
      </c>
      <c r="N55" s="18">
        <v>654.45029999999997</v>
      </c>
      <c r="O55" s="18">
        <f t="shared" si="1"/>
        <v>31.854837500000002</v>
      </c>
      <c r="P55" s="7"/>
      <c r="Q55" s="10"/>
      <c r="R55" s="11"/>
      <c r="S55" s="11"/>
      <c r="T55" s="26"/>
      <c r="U55" s="28">
        <f t="shared" si="2"/>
        <v>-0.44764202459424557</v>
      </c>
    </row>
    <row r="56" spans="1:21" ht="16.5" thickBot="1" x14ac:dyDescent="0.3">
      <c r="B56" s="12"/>
      <c r="C56" s="19">
        <v>162.43</v>
      </c>
      <c r="D56" s="20">
        <v>26.672999999999998</v>
      </c>
      <c r="E56" s="20">
        <v>35.229999999999997</v>
      </c>
      <c r="F56" s="20">
        <v>33.585999999999999</v>
      </c>
      <c r="G56" s="20">
        <v>1392.76</v>
      </c>
      <c r="H56" s="20">
        <f t="shared" si="0"/>
        <v>28.606749999999998</v>
      </c>
      <c r="I56" s="5"/>
      <c r="J56" s="19">
        <v>122.768</v>
      </c>
      <c r="K56" s="20">
        <v>27.646100000000001</v>
      </c>
      <c r="L56" s="20">
        <v>35.734900000000003</v>
      </c>
      <c r="M56" s="20">
        <v>33.594299999999997</v>
      </c>
      <c r="N56" s="20">
        <v>943.39620000000002</v>
      </c>
      <c r="O56" s="20">
        <f t="shared" si="1"/>
        <v>29.400725000000001</v>
      </c>
      <c r="P56" s="7"/>
      <c r="Q56" s="13"/>
      <c r="R56" s="14"/>
      <c r="S56" s="14"/>
      <c r="T56" s="27"/>
      <c r="U56" s="28">
        <f t="shared" si="2"/>
        <v>-0.32264266636032052</v>
      </c>
    </row>
    <row r="57" spans="1:21" x14ac:dyDescent="0.25">
      <c r="B57" s="6" t="s">
        <v>58</v>
      </c>
      <c r="C57" s="15">
        <v>769.44</v>
      </c>
      <c r="D57" s="16">
        <v>30.542999999999999</v>
      </c>
      <c r="E57" s="16">
        <v>38.459000000000003</v>
      </c>
      <c r="F57" s="16">
        <v>38.877000000000002</v>
      </c>
      <c r="G57" s="16">
        <v>1098.9000000000001</v>
      </c>
      <c r="H57" s="16">
        <f t="shared" si="0"/>
        <v>32.574249999999999</v>
      </c>
      <c r="I57" s="5"/>
      <c r="J57" s="15">
        <v>605.17280000000005</v>
      </c>
      <c r="K57" s="16">
        <v>33.258800000000001</v>
      </c>
      <c r="L57" s="16">
        <v>41.142600000000002</v>
      </c>
      <c r="M57" s="16">
        <v>41.867100000000001</v>
      </c>
      <c r="N57" s="16">
        <v>534.28319999999997</v>
      </c>
      <c r="O57" s="16">
        <f t="shared" si="1"/>
        <v>35.3203125</v>
      </c>
      <c r="P57" s="7"/>
      <c r="Q57" s="8">
        <f>bdrate(C57:C60,D57:D60,J57:J60,K57:K60)</f>
        <v>-0.66697215707974578</v>
      </c>
      <c r="R57" s="8">
        <f>bdrate(C57:C60,E57:E60,J57:J60,L57:L60)</f>
        <v>-0.78168845562299705</v>
      </c>
      <c r="S57" s="8">
        <f>bdrate(C57:C60,F57:F60,J57:J60,M57:M60)</f>
        <v>-0.8046250957534461</v>
      </c>
      <c r="T57" s="25">
        <f>bdrate(C57:C60,H57:H60,J57:J60,O57:O60)</f>
        <v>-0.68678490145117199</v>
      </c>
      <c r="U57" s="28">
        <f t="shared" si="2"/>
        <v>-0.51380180180180191</v>
      </c>
    </row>
    <row r="58" spans="1:21" x14ac:dyDescent="0.25">
      <c r="B58" s="9"/>
      <c r="C58" s="17">
        <v>477.87</v>
      </c>
      <c r="D58" s="18">
        <v>28.911999999999999</v>
      </c>
      <c r="E58" s="18">
        <v>38.018999999999998</v>
      </c>
      <c r="F58" s="18">
        <v>38.237000000000002</v>
      </c>
      <c r="G58" s="18">
        <v>1239.67</v>
      </c>
      <c r="H58" s="18">
        <f t="shared" si="0"/>
        <v>31.215999999999998</v>
      </c>
      <c r="I58" s="5"/>
      <c r="J58" s="17">
        <v>402.33199999999999</v>
      </c>
      <c r="K58" s="18">
        <v>31.974</v>
      </c>
      <c r="L58" s="18">
        <v>40.319400000000002</v>
      </c>
      <c r="M58" s="18">
        <v>41.051000000000002</v>
      </c>
      <c r="N58" s="18">
        <v>686.49890000000005</v>
      </c>
      <c r="O58" s="18">
        <f t="shared" si="1"/>
        <v>34.151800000000001</v>
      </c>
      <c r="P58" s="7"/>
      <c r="Q58" s="10"/>
      <c r="R58" s="11"/>
      <c r="S58" s="11"/>
      <c r="T58" s="26"/>
      <c r="U58" s="28">
        <f t="shared" si="2"/>
        <v>-0.4462244790952431</v>
      </c>
    </row>
    <row r="59" spans="1:21" x14ac:dyDescent="0.25">
      <c r="B59" s="9"/>
      <c r="C59" s="17">
        <v>284.39</v>
      </c>
      <c r="D59" s="18">
        <v>27.207999999999998</v>
      </c>
      <c r="E59" s="18">
        <v>37.597000000000001</v>
      </c>
      <c r="F59" s="18">
        <v>37.78</v>
      </c>
      <c r="G59" s="18">
        <v>1421.8</v>
      </c>
      <c r="H59" s="18">
        <f t="shared" si="0"/>
        <v>29.828125</v>
      </c>
      <c r="I59" s="5"/>
      <c r="J59" s="17">
        <v>252.79759999999999</v>
      </c>
      <c r="K59" s="18">
        <v>30.471399999999999</v>
      </c>
      <c r="L59" s="18">
        <v>39.327399999999997</v>
      </c>
      <c r="M59" s="18">
        <v>40.0015</v>
      </c>
      <c r="N59" s="18">
        <v>801.06809999999996</v>
      </c>
      <c r="O59" s="18">
        <f t="shared" si="1"/>
        <v>32.769662500000003</v>
      </c>
      <c r="P59" s="7"/>
      <c r="Q59" s="10"/>
      <c r="R59" s="11"/>
      <c r="S59" s="11"/>
      <c r="T59" s="26"/>
      <c r="U59" s="28">
        <f t="shared" si="2"/>
        <v>-0.43658172738781825</v>
      </c>
    </row>
    <row r="60" spans="1:21" ht="16.5" thickBot="1" x14ac:dyDescent="0.3">
      <c r="B60" s="12"/>
      <c r="C60" s="19">
        <v>140.16</v>
      </c>
      <c r="D60" s="20">
        <v>25.125</v>
      </c>
      <c r="E60" s="20">
        <v>37.061</v>
      </c>
      <c r="F60" s="20">
        <v>37.094000000000001</v>
      </c>
      <c r="G60" s="20">
        <v>1538.46</v>
      </c>
      <c r="H60" s="20">
        <f t="shared" si="0"/>
        <v>28.113125</v>
      </c>
      <c r="I60" s="5"/>
      <c r="J60" s="19">
        <v>121.3056</v>
      </c>
      <c r="K60" s="20">
        <v>27.986699999999999</v>
      </c>
      <c r="L60" s="20">
        <v>38.073900000000002</v>
      </c>
      <c r="M60" s="20">
        <v>38.497399999999999</v>
      </c>
      <c r="N60" s="20">
        <v>1132.0754999999999</v>
      </c>
      <c r="O60" s="20">
        <f t="shared" si="1"/>
        <v>30.5614375</v>
      </c>
      <c r="P60" s="7"/>
      <c r="Q60" s="13"/>
      <c r="R60" s="14"/>
      <c r="S60" s="14"/>
      <c r="T60" s="27"/>
      <c r="U60" s="28">
        <f t="shared" si="2"/>
        <v>-0.26415018915018923</v>
      </c>
    </row>
    <row r="61" spans="1:21" x14ac:dyDescent="0.25">
      <c r="B61" s="6" t="s">
        <v>59</v>
      </c>
      <c r="C61" s="29">
        <v>844.47</v>
      </c>
      <c r="D61" s="30">
        <v>31.951000000000001</v>
      </c>
      <c r="E61" s="30">
        <v>35.843000000000004</v>
      </c>
      <c r="F61" s="30">
        <v>36.253</v>
      </c>
      <c r="G61" s="16">
        <v>1035.2</v>
      </c>
      <c r="H61" s="16">
        <f t="shared" si="0"/>
        <v>32.975250000000003</v>
      </c>
      <c r="I61" s="5"/>
      <c r="J61" s="29">
        <v>642.33040000000005</v>
      </c>
      <c r="K61" s="30">
        <v>32.861600000000003</v>
      </c>
      <c r="L61" s="30">
        <v>37.895800000000001</v>
      </c>
      <c r="M61" s="30">
        <v>38.674900000000001</v>
      </c>
      <c r="N61" s="16">
        <v>493.09660000000002</v>
      </c>
      <c r="O61" s="16">
        <f t="shared" si="1"/>
        <v>34.217537499999999</v>
      </c>
      <c r="P61" s="7"/>
      <c r="Q61" s="8">
        <f>bdrate(C61:C64,D61:D64,J61:J64,K61:K64)</f>
        <v>-0.43608923808119482</v>
      </c>
      <c r="R61" s="8">
        <f>bdrate(C61:C64,E61:E64,J61:J64,L61:L64)</f>
        <v>-0.6762436608353819</v>
      </c>
      <c r="S61" s="8">
        <f>bdrate(C61:C64,F61:F64,J61:J64,M61:M64)</f>
        <v>-0.72066055041152866</v>
      </c>
      <c r="T61" s="25">
        <f>bdrate(C61:C64,H61:H64,J61:J64,O61:O64)</f>
        <v>-0.48842475375454486</v>
      </c>
      <c r="U61" s="28">
        <f t="shared" si="2"/>
        <v>-0.5236702086553322</v>
      </c>
    </row>
    <row r="62" spans="1:21" x14ac:dyDescent="0.25">
      <c r="B62" s="9"/>
      <c r="C62" s="31">
        <v>526.34</v>
      </c>
      <c r="D62" s="32">
        <v>30.085000000000001</v>
      </c>
      <c r="E62" s="32">
        <v>34.869</v>
      </c>
      <c r="F62" s="32">
        <v>35.287999999999997</v>
      </c>
      <c r="G62" s="18">
        <v>1144.1600000000001</v>
      </c>
      <c r="H62" s="18">
        <f t="shared" si="0"/>
        <v>31.333374999999997</v>
      </c>
      <c r="I62" s="5"/>
      <c r="J62" s="31">
        <v>426.70639999999997</v>
      </c>
      <c r="K62" s="32">
        <v>31.338899999999999</v>
      </c>
      <c r="L62" s="32">
        <v>36.9373</v>
      </c>
      <c r="M62" s="32">
        <v>37.652099999999997</v>
      </c>
      <c r="N62" s="18">
        <v>604.59490000000005</v>
      </c>
      <c r="O62" s="18">
        <f t="shared" si="1"/>
        <v>32.827849999999998</v>
      </c>
      <c r="P62" s="7"/>
      <c r="Q62" s="10"/>
      <c r="R62" s="11"/>
      <c r="S62" s="11"/>
      <c r="T62" s="26"/>
      <c r="U62" s="28">
        <f t="shared" si="2"/>
        <v>-0.47158185918053419</v>
      </c>
    </row>
    <row r="63" spans="1:21" x14ac:dyDescent="0.25">
      <c r="B63" s="9"/>
      <c r="C63" s="31">
        <v>314.68</v>
      </c>
      <c r="D63" s="32">
        <v>28.231999999999999</v>
      </c>
      <c r="E63" s="32">
        <v>34.131999999999998</v>
      </c>
      <c r="F63" s="32">
        <v>34.575000000000003</v>
      </c>
      <c r="G63" s="18">
        <v>1282.05</v>
      </c>
      <c r="H63" s="18">
        <f t="shared" si="0"/>
        <v>29.762374999999999</v>
      </c>
      <c r="I63" s="5"/>
      <c r="J63" s="31">
        <v>266.38639999999998</v>
      </c>
      <c r="K63" s="32">
        <v>29.674099999999999</v>
      </c>
      <c r="L63" s="32">
        <v>35.839300000000001</v>
      </c>
      <c r="M63" s="32">
        <v>36.508600000000001</v>
      </c>
      <c r="N63" s="18">
        <v>745.15650000000005</v>
      </c>
      <c r="O63" s="18">
        <f t="shared" si="1"/>
        <v>31.299062500000002</v>
      </c>
      <c r="P63" s="7"/>
      <c r="Q63" s="10"/>
      <c r="R63" s="11"/>
      <c r="S63" s="11"/>
      <c r="T63" s="26"/>
      <c r="U63" s="28">
        <f t="shared" si="2"/>
        <v>-0.41877734877734873</v>
      </c>
    </row>
    <row r="64" spans="1:21" ht="16.5" thickBot="1" x14ac:dyDescent="0.3">
      <c r="B64" s="12"/>
      <c r="C64" s="33">
        <v>154.4</v>
      </c>
      <c r="D64" s="34">
        <v>25.925000000000001</v>
      </c>
      <c r="E64" s="34">
        <v>33.356000000000002</v>
      </c>
      <c r="F64" s="34">
        <v>33.845999999999997</v>
      </c>
      <c r="G64" s="20">
        <v>1453.49</v>
      </c>
      <c r="H64" s="20">
        <f t="shared" si="0"/>
        <v>27.844000000000001</v>
      </c>
      <c r="I64" s="5"/>
      <c r="J64" s="33">
        <v>130.17519999999999</v>
      </c>
      <c r="K64" s="34">
        <v>27.388300000000001</v>
      </c>
      <c r="L64" s="34">
        <v>34.308900000000001</v>
      </c>
      <c r="M64" s="34">
        <v>35.034599999999998</v>
      </c>
      <c r="N64" s="20">
        <v>1068.3761</v>
      </c>
      <c r="O64" s="20">
        <f t="shared" si="1"/>
        <v>29.209162499999998</v>
      </c>
      <c r="P64" s="7"/>
      <c r="Q64" s="13"/>
      <c r="R64" s="14"/>
      <c r="S64" s="14"/>
      <c r="T64" s="27"/>
      <c r="U64" s="28">
        <f t="shared" si="2"/>
        <v>-0.26495806644696562</v>
      </c>
    </row>
    <row r="65" spans="1:21" x14ac:dyDescent="0.25">
      <c r="B65" s="6" t="s">
        <v>60</v>
      </c>
      <c r="C65" s="15">
        <v>786.23</v>
      </c>
      <c r="D65" s="16">
        <v>33.698</v>
      </c>
      <c r="E65" s="16">
        <v>36.561999999999998</v>
      </c>
      <c r="F65" s="16">
        <v>37.621000000000002</v>
      </c>
      <c r="G65" s="16">
        <v>769.23</v>
      </c>
      <c r="H65" s="16">
        <f t="shared" si="0"/>
        <v>34.546374999999998</v>
      </c>
      <c r="I65" s="5"/>
      <c r="J65" s="15">
        <v>609.8048</v>
      </c>
      <c r="K65" s="16">
        <v>33.411999999999999</v>
      </c>
      <c r="L65" s="16">
        <v>37.405000000000001</v>
      </c>
      <c r="M65" s="16">
        <v>38.474600000000002</v>
      </c>
      <c r="N65" s="16">
        <v>337.07870000000003</v>
      </c>
      <c r="O65" s="16">
        <f t="shared" si="1"/>
        <v>34.543949999999995</v>
      </c>
      <c r="P65" s="7"/>
      <c r="Q65" s="8">
        <f>bdrate(C65:C68,D65:D68,J65:J68,K65:K68)</f>
        <v>-0.21801793697822958</v>
      </c>
      <c r="R65" s="8">
        <f>bdrate(C65:C68,E65:E68,J65:J68,L65:L68)</f>
        <v>-0.41277719992319473</v>
      </c>
      <c r="S65" s="8">
        <f>bdrate(C65:C68,F65:F68,J65:J68,M65:M68)</f>
        <v>-0.4025142628148487</v>
      </c>
      <c r="T65" s="25">
        <f>bdrate(C65:C68,H65:H68,J65:J68,O65:O68)</f>
        <v>-0.25089880413570453</v>
      </c>
      <c r="U65" s="28">
        <f t="shared" si="2"/>
        <v>-0.56179725179725182</v>
      </c>
    </row>
    <row r="66" spans="1:21" x14ac:dyDescent="0.25">
      <c r="B66" s="9"/>
      <c r="C66" s="17">
        <v>494.01</v>
      </c>
      <c r="D66" s="18">
        <v>31.588000000000001</v>
      </c>
      <c r="E66" s="18">
        <v>35.43</v>
      </c>
      <c r="F66" s="18">
        <v>36.484999999999999</v>
      </c>
      <c r="G66" s="18">
        <v>917.43</v>
      </c>
      <c r="H66" s="18">
        <f t="shared" si="0"/>
        <v>32.680375000000005</v>
      </c>
      <c r="I66" s="5"/>
      <c r="J66" s="17">
        <v>404.41680000000002</v>
      </c>
      <c r="K66" s="18">
        <v>31.671700000000001</v>
      </c>
      <c r="L66" s="18">
        <v>36.359699999999997</v>
      </c>
      <c r="M66" s="18">
        <v>37.435499999999998</v>
      </c>
      <c r="N66" s="18">
        <v>427.35039999999998</v>
      </c>
      <c r="O66" s="18">
        <f t="shared" si="1"/>
        <v>32.978175</v>
      </c>
      <c r="P66" s="7"/>
      <c r="Q66" s="10"/>
      <c r="R66" s="11"/>
      <c r="S66" s="11"/>
      <c r="T66" s="26"/>
      <c r="U66" s="28">
        <f t="shared" si="2"/>
        <v>-0.53418745844369597</v>
      </c>
    </row>
    <row r="67" spans="1:21" x14ac:dyDescent="0.25">
      <c r="B67" s="9"/>
      <c r="C67" s="17">
        <v>298.44</v>
      </c>
      <c r="D67" s="18">
        <v>29.568000000000001</v>
      </c>
      <c r="E67" s="18">
        <v>34.512</v>
      </c>
      <c r="F67" s="18">
        <v>35.576000000000001</v>
      </c>
      <c r="G67" s="18">
        <v>1013.51</v>
      </c>
      <c r="H67" s="18">
        <f t="shared" si="0"/>
        <v>30.937000000000001</v>
      </c>
      <c r="I67" s="5"/>
      <c r="J67" s="17">
        <v>252.7544</v>
      </c>
      <c r="K67" s="18">
        <v>29.877700000000001</v>
      </c>
      <c r="L67" s="18">
        <v>35.194099999999999</v>
      </c>
      <c r="M67" s="18">
        <v>36.2453</v>
      </c>
      <c r="N67" s="18">
        <v>505.90219999999999</v>
      </c>
      <c r="O67" s="18">
        <f t="shared" si="1"/>
        <v>31.338200000000001</v>
      </c>
      <c r="P67" s="7"/>
      <c r="Q67" s="10"/>
      <c r="R67" s="11"/>
      <c r="S67" s="11"/>
      <c r="T67" s="26"/>
      <c r="U67" s="28">
        <f t="shared" si="2"/>
        <v>-0.50084143225029842</v>
      </c>
    </row>
    <row r="68" spans="1:21" ht="16.5" thickBot="1" x14ac:dyDescent="0.3">
      <c r="B68" s="12"/>
      <c r="C68" s="19">
        <v>150.41</v>
      </c>
      <c r="D68" s="20">
        <v>27.029</v>
      </c>
      <c r="E68" s="20">
        <v>33.412999999999997</v>
      </c>
      <c r="F68" s="20">
        <v>34.432000000000002</v>
      </c>
      <c r="G68" s="20">
        <v>1200</v>
      </c>
      <c r="H68" s="20">
        <f t="shared" si="0"/>
        <v>28.752375000000001</v>
      </c>
      <c r="I68" s="5"/>
      <c r="J68" s="19">
        <v>121.724</v>
      </c>
      <c r="K68" s="20">
        <v>27.463799999999999</v>
      </c>
      <c r="L68" s="20">
        <v>33.731499999999997</v>
      </c>
      <c r="M68" s="20">
        <v>34.6708</v>
      </c>
      <c r="N68" s="20">
        <v>740.74069999999995</v>
      </c>
      <c r="O68" s="20">
        <f t="shared" si="1"/>
        <v>29.148137499999997</v>
      </c>
      <c r="P68" s="7"/>
      <c r="Q68" s="13"/>
      <c r="R68" s="14"/>
      <c r="S68" s="14"/>
      <c r="T68" s="27"/>
      <c r="U68" s="28">
        <f t="shared" si="2"/>
        <v>-0.3827160833333334</v>
      </c>
    </row>
    <row r="69" spans="1:21" x14ac:dyDescent="0.25">
      <c r="A69" s="6" t="s">
        <v>43</v>
      </c>
      <c r="B69" s="6" t="s">
        <v>61</v>
      </c>
      <c r="C69" s="15">
        <v>1966.1</v>
      </c>
      <c r="D69" s="16">
        <v>40.253999999999998</v>
      </c>
      <c r="E69" s="16">
        <v>44.067999999999998</v>
      </c>
      <c r="F69" s="16">
        <v>45.18</v>
      </c>
      <c r="G69" s="16">
        <v>165.06</v>
      </c>
      <c r="H69" s="16">
        <f t="shared" si="0"/>
        <v>41.346499999999999</v>
      </c>
      <c r="I69" s="5"/>
      <c r="J69" s="15">
        <v>1498.5655999999999</v>
      </c>
      <c r="K69" s="16">
        <v>41.147399999999998</v>
      </c>
      <c r="L69" s="16">
        <v>45.509399999999999</v>
      </c>
      <c r="M69" s="16">
        <v>46.708599999999997</v>
      </c>
      <c r="N69" s="16">
        <v>141.37610000000001</v>
      </c>
      <c r="O69" s="16">
        <f t="shared" si="1"/>
        <v>42.387799999999991</v>
      </c>
      <c r="P69" s="7"/>
      <c r="Q69" s="8">
        <f>bdrate(C69:C72,D69:D72,J69:J72,K69:K72)</f>
        <v>-0.49072176749832841</v>
      </c>
      <c r="R69" s="8">
        <f>bdrate(C69:C72,E69:E72,J69:J72,L69:L72)</f>
        <v>-0.59894596481282503</v>
      </c>
      <c r="S69" s="8">
        <f>bdrate(C69:C72,F69:F72,J69:J72,M69:M72)</f>
        <v>-0.58686857149804683</v>
      </c>
      <c r="T69" s="25">
        <f>bdrate(C69:C72,H69:H72,J69:J72,O69:O72)</f>
        <v>-0.50990423519942363</v>
      </c>
      <c r="U69" s="28">
        <f t="shared" si="2"/>
        <v>-0.14348661092935899</v>
      </c>
    </row>
    <row r="70" spans="1:21" x14ac:dyDescent="0.25">
      <c r="A70" s="9" t="s">
        <v>44</v>
      </c>
      <c r="B70" s="9"/>
      <c r="C70" s="17">
        <v>1291.27</v>
      </c>
      <c r="D70" s="18">
        <v>38.716000000000001</v>
      </c>
      <c r="E70" s="18">
        <v>42.93</v>
      </c>
      <c r="F70" s="18">
        <v>44.113</v>
      </c>
      <c r="G70" s="18">
        <v>178.09</v>
      </c>
      <c r="H70" s="18">
        <f t="shared" si="0"/>
        <v>39.917375</v>
      </c>
      <c r="I70" s="5"/>
      <c r="J70" s="17">
        <v>984.48879999999997</v>
      </c>
      <c r="K70" s="18">
        <v>40.036900000000003</v>
      </c>
      <c r="L70" s="18">
        <v>44.619199999999999</v>
      </c>
      <c r="M70" s="18">
        <v>45.7821</v>
      </c>
      <c r="N70" s="18">
        <v>160.25640000000001</v>
      </c>
      <c r="O70" s="18">
        <f t="shared" si="1"/>
        <v>41.327837500000001</v>
      </c>
      <c r="P70" s="7"/>
      <c r="Q70" s="10"/>
      <c r="R70" s="11"/>
      <c r="S70" s="11"/>
      <c r="T70" s="26"/>
      <c r="U70" s="28">
        <f t="shared" si="2"/>
        <v>-0.10013813240496372</v>
      </c>
    </row>
    <row r="71" spans="1:21" x14ac:dyDescent="0.25">
      <c r="B71" s="9"/>
      <c r="C71" s="17">
        <v>769.48</v>
      </c>
      <c r="D71" s="18">
        <v>36.404000000000003</v>
      </c>
      <c r="E71" s="18">
        <v>41.762</v>
      </c>
      <c r="F71" s="18">
        <v>42.78</v>
      </c>
      <c r="G71" s="18">
        <v>185.76</v>
      </c>
      <c r="H71" s="18">
        <f t="shared" si="0"/>
        <v>37.870750000000001</v>
      </c>
      <c r="I71" s="5"/>
      <c r="J71" s="17">
        <v>575.08799999999997</v>
      </c>
      <c r="K71" s="18">
        <v>38.105200000000004</v>
      </c>
      <c r="L71" s="18">
        <v>43.235799999999998</v>
      </c>
      <c r="M71" s="18">
        <v>44.288800000000002</v>
      </c>
      <c r="N71" s="18">
        <v>183.15020000000001</v>
      </c>
      <c r="O71" s="18">
        <f t="shared" si="1"/>
        <v>39.519475</v>
      </c>
      <c r="P71" s="7"/>
      <c r="Q71" s="10"/>
      <c r="R71" s="11"/>
      <c r="S71" s="11"/>
      <c r="T71" s="26"/>
      <c r="U71" s="28">
        <f t="shared" si="2"/>
        <v>-1.4049310938845708E-2</v>
      </c>
    </row>
    <row r="72" spans="1:21" ht="16.5" thickBot="1" x14ac:dyDescent="0.3">
      <c r="B72" s="12"/>
      <c r="C72" s="19">
        <v>352.39</v>
      </c>
      <c r="D72" s="20">
        <v>32.451000000000001</v>
      </c>
      <c r="E72" s="20">
        <v>39.752000000000002</v>
      </c>
      <c r="F72" s="20">
        <v>40.536000000000001</v>
      </c>
      <c r="G72" s="20">
        <v>195.25</v>
      </c>
      <c r="H72" s="20">
        <f t="shared" si="0"/>
        <v>34.374250000000004</v>
      </c>
      <c r="I72" s="5"/>
      <c r="J72" s="19">
        <v>282.00880000000001</v>
      </c>
      <c r="K72" s="20">
        <v>34.999099999999999</v>
      </c>
      <c r="L72" s="20">
        <v>41.478299999999997</v>
      </c>
      <c r="M72" s="20">
        <v>42.502699999999997</v>
      </c>
      <c r="N72" s="20">
        <v>222.30459999999999</v>
      </c>
      <c r="O72" s="20">
        <f t="shared" si="1"/>
        <v>36.746949999999998</v>
      </c>
      <c r="P72" s="7"/>
      <c r="Q72" s="13"/>
      <c r="R72" s="14"/>
      <c r="S72" s="14"/>
      <c r="T72" s="27"/>
      <c r="U72" s="28">
        <f t="shared" si="2"/>
        <v>0.13856389244558256</v>
      </c>
    </row>
    <row r="73" spans="1:21" x14ac:dyDescent="0.25">
      <c r="B73" s="6" t="s">
        <v>62</v>
      </c>
      <c r="C73" s="15">
        <v>2032.14</v>
      </c>
      <c r="D73" s="16">
        <v>41.911000000000001</v>
      </c>
      <c r="E73" s="16">
        <v>46.44</v>
      </c>
      <c r="F73" s="16">
        <v>46.817999999999998</v>
      </c>
      <c r="G73" s="16">
        <v>157.65</v>
      </c>
      <c r="H73" s="16">
        <f t="shared" si="0"/>
        <v>43.090499999999999</v>
      </c>
      <c r="I73" s="5"/>
      <c r="J73" s="15">
        <v>1488.0216</v>
      </c>
      <c r="K73" s="16">
        <v>42.498800000000003</v>
      </c>
      <c r="L73" s="16">
        <v>47.5901</v>
      </c>
      <c r="M73" s="16">
        <v>48.219299999999997</v>
      </c>
      <c r="N73" s="16">
        <v>155.0788</v>
      </c>
      <c r="O73" s="16">
        <f t="shared" si="1"/>
        <v>43.850274999999996</v>
      </c>
      <c r="P73" s="7"/>
      <c r="Q73" s="8">
        <f>bdrate(C73:C76,D73:D76,J73:J76,K73:K76)</f>
        <v>-0.55224859938996251</v>
      </c>
      <c r="R73" s="8">
        <f>bdrate(C73:C76,E73:E76,J73:J76,L73:L76)</f>
        <v>-0.68380503689354843</v>
      </c>
      <c r="S73" s="8">
        <f>bdrate(C73:C76,F73:F76,J73:J76,M73:M76)</f>
        <v>-0.71030163876346775</v>
      </c>
      <c r="T73" s="25">
        <f>bdrate(C73:C76,H73:H76,J73:J76,O73:O76)</f>
        <v>-0.59308960858461268</v>
      </c>
      <c r="U73" s="28">
        <f t="shared" ref="U73:U124" si="3">(N73-G73)/G73</f>
        <v>-1.6309546463685407E-2</v>
      </c>
    </row>
    <row r="74" spans="1:21" x14ac:dyDescent="0.25">
      <c r="B74" s="9"/>
      <c r="C74" s="17">
        <v>1335.82</v>
      </c>
      <c r="D74" s="18">
        <v>41.151000000000003</v>
      </c>
      <c r="E74" s="18">
        <v>45.593000000000004</v>
      </c>
      <c r="F74" s="18">
        <v>46.042000000000002</v>
      </c>
      <c r="G74" s="18">
        <v>169.44</v>
      </c>
      <c r="H74" s="18">
        <f t="shared" si="0"/>
        <v>42.317625000000007</v>
      </c>
      <c r="I74" s="5"/>
      <c r="J74" s="17">
        <v>978.94560000000001</v>
      </c>
      <c r="K74" s="18">
        <v>41.936199999999999</v>
      </c>
      <c r="L74" s="18">
        <v>47.138100000000001</v>
      </c>
      <c r="M74" s="18">
        <v>47.7821</v>
      </c>
      <c r="N74" s="18">
        <v>182.26</v>
      </c>
      <c r="O74" s="18">
        <f t="shared" si="1"/>
        <v>43.317174999999999</v>
      </c>
      <c r="P74" s="7"/>
      <c r="Q74" s="10"/>
      <c r="R74" s="11"/>
      <c r="S74" s="11"/>
      <c r="T74" s="26"/>
      <c r="U74" s="28">
        <f t="shared" si="3"/>
        <v>7.566100094428703E-2</v>
      </c>
    </row>
    <row r="75" spans="1:21" x14ac:dyDescent="0.25">
      <c r="B75" s="9"/>
      <c r="C75" s="17">
        <v>791.09</v>
      </c>
      <c r="D75" s="18">
        <v>39.880000000000003</v>
      </c>
      <c r="E75" s="18">
        <v>44.457999999999998</v>
      </c>
      <c r="F75" s="18">
        <v>44.906999999999996</v>
      </c>
      <c r="G75" s="18">
        <v>178.89</v>
      </c>
      <c r="H75" s="18">
        <f t="shared" si="0"/>
        <v>41.080625000000005</v>
      </c>
      <c r="I75" s="5"/>
      <c r="J75" s="17">
        <v>581.29200000000003</v>
      </c>
      <c r="K75" s="18">
        <v>41.063499999999998</v>
      </c>
      <c r="L75" s="18">
        <v>46.297600000000003</v>
      </c>
      <c r="M75" s="18">
        <v>46.933900000000001</v>
      </c>
      <c r="N75" s="18">
        <v>202.42910000000001</v>
      </c>
      <c r="O75" s="18">
        <f t="shared" si="1"/>
        <v>42.451562499999994</v>
      </c>
      <c r="P75" s="7"/>
      <c r="Q75" s="10"/>
      <c r="R75" s="11"/>
      <c r="S75" s="11"/>
      <c r="T75" s="26"/>
      <c r="U75" s="28">
        <f t="shared" si="3"/>
        <v>0.13158421376264756</v>
      </c>
    </row>
    <row r="76" spans="1:21" ht="16.5" thickBot="1" x14ac:dyDescent="0.3">
      <c r="B76" s="12"/>
      <c r="C76" s="19">
        <v>348.87</v>
      </c>
      <c r="D76" s="20">
        <v>37.043999999999997</v>
      </c>
      <c r="E76" s="20">
        <v>42.351999999999997</v>
      </c>
      <c r="F76" s="20">
        <v>43.207000000000001</v>
      </c>
      <c r="G76" s="20">
        <v>193.3</v>
      </c>
      <c r="H76" s="20">
        <f t="shared" si="0"/>
        <v>38.477874999999997</v>
      </c>
      <c r="I76" s="5"/>
      <c r="J76" s="19">
        <v>282.16239999999999</v>
      </c>
      <c r="K76" s="20">
        <v>39.276600000000002</v>
      </c>
      <c r="L76" s="20">
        <v>44.545099999999998</v>
      </c>
      <c r="M76" s="20">
        <v>45.156799999999997</v>
      </c>
      <c r="N76" s="20">
        <v>234.4666</v>
      </c>
      <c r="O76" s="20">
        <f t="shared" si="1"/>
        <v>40.670187499999997</v>
      </c>
      <c r="P76" s="7"/>
      <c r="Q76" s="13"/>
      <c r="R76" s="14"/>
      <c r="S76" s="14"/>
      <c r="T76" s="27"/>
      <c r="U76" s="28">
        <f t="shared" si="3"/>
        <v>0.21296740817382301</v>
      </c>
    </row>
    <row r="77" spans="1:21" x14ac:dyDescent="0.25">
      <c r="B77" s="6" t="s">
        <v>63</v>
      </c>
      <c r="C77" s="15">
        <v>2120.11</v>
      </c>
      <c r="D77" s="16">
        <v>41.579000000000001</v>
      </c>
      <c r="E77" s="16">
        <v>45.219000000000001</v>
      </c>
      <c r="F77" s="16">
        <v>46.008000000000003</v>
      </c>
      <c r="G77" s="16">
        <v>151.44</v>
      </c>
      <c r="H77" s="16">
        <f t="shared" si="0"/>
        <v>42.587624999999996</v>
      </c>
      <c r="I77" s="5"/>
      <c r="J77" s="15">
        <v>1532.9408000000001</v>
      </c>
      <c r="K77" s="16">
        <v>42.372199999999999</v>
      </c>
      <c r="L77" s="16">
        <v>46.6648</v>
      </c>
      <c r="M77" s="16">
        <v>47.5501</v>
      </c>
      <c r="N77" s="16">
        <v>136.89250000000001</v>
      </c>
      <c r="O77" s="16">
        <f t="shared" si="1"/>
        <v>43.556012500000001</v>
      </c>
      <c r="P77" s="7"/>
      <c r="Q77" s="8">
        <f>bdrate(C77:C80,D77:D80,J77:J80,K77:K80)</f>
        <v>-0.54226013375873794</v>
      </c>
      <c r="R77" s="8">
        <f>bdrate(C77:C80,E77:E80,J77:J80,L77:L80)</f>
        <v>-0.65211389137075382</v>
      </c>
      <c r="S77" s="8">
        <f>bdrate(C77:C80,F77:F80,J77:J80,M77:M80)</f>
        <v>-0.64040204166412984</v>
      </c>
      <c r="T77" s="25">
        <f>bdrate(C77:C80,H77:H80,J77:J80,O77:O80)</f>
        <v>-0.56683764155247496</v>
      </c>
      <c r="U77" s="28">
        <f t="shared" si="3"/>
        <v>-9.6061146328578872E-2</v>
      </c>
    </row>
    <row r="78" spans="1:21" x14ac:dyDescent="0.25">
      <c r="B78" s="9"/>
      <c r="C78" s="17">
        <v>1398.84</v>
      </c>
      <c r="D78" s="18">
        <v>40.427</v>
      </c>
      <c r="E78" s="18">
        <v>44.182000000000002</v>
      </c>
      <c r="F78" s="18">
        <v>45.037999999999997</v>
      </c>
      <c r="G78" s="18">
        <v>168.73</v>
      </c>
      <c r="H78" s="18">
        <f t="shared" si="0"/>
        <v>41.472750000000005</v>
      </c>
      <c r="I78" s="5"/>
      <c r="J78" s="17">
        <v>1016.84</v>
      </c>
      <c r="K78" s="18">
        <v>41.548999999999999</v>
      </c>
      <c r="L78" s="18">
        <v>45.914999999999999</v>
      </c>
      <c r="M78" s="18">
        <v>46.767400000000002</v>
      </c>
      <c r="N78" s="18">
        <v>158.89830000000001</v>
      </c>
      <c r="O78" s="18">
        <f t="shared" si="1"/>
        <v>42.747050000000002</v>
      </c>
      <c r="P78" s="7"/>
      <c r="Q78" s="10"/>
      <c r="R78" s="11"/>
      <c r="S78" s="11"/>
      <c r="T78" s="26"/>
      <c r="U78" s="28">
        <f t="shared" si="3"/>
        <v>-5.826883186155387E-2</v>
      </c>
    </row>
    <row r="79" spans="1:21" x14ac:dyDescent="0.25">
      <c r="B79" s="9"/>
      <c r="C79" s="17">
        <v>835.87</v>
      </c>
      <c r="D79" s="18">
        <v>38.529000000000003</v>
      </c>
      <c r="E79" s="18">
        <v>42.682000000000002</v>
      </c>
      <c r="F79" s="18">
        <v>43.587000000000003</v>
      </c>
      <c r="G79" s="18">
        <v>176.42</v>
      </c>
      <c r="H79" s="18">
        <f t="shared" si="0"/>
        <v>39.680375000000005</v>
      </c>
      <c r="I79" s="5"/>
      <c r="J79" s="17">
        <v>605.97919999999999</v>
      </c>
      <c r="K79" s="18">
        <v>40.194099999999999</v>
      </c>
      <c r="L79" s="18">
        <v>44.752400000000002</v>
      </c>
      <c r="M79" s="18">
        <v>45.529899999999998</v>
      </c>
      <c r="N79" s="18">
        <v>178.89089999999999</v>
      </c>
      <c r="O79" s="18">
        <f t="shared" si="1"/>
        <v>41.430862500000003</v>
      </c>
      <c r="P79" s="7"/>
      <c r="Q79" s="10"/>
      <c r="R79" s="11"/>
      <c r="S79" s="11"/>
      <c r="T79" s="26"/>
      <c r="U79" s="28">
        <f t="shared" si="3"/>
        <v>1.4005781657408459E-2</v>
      </c>
    </row>
    <row r="80" spans="1:21" ht="16.5" thickBot="1" x14ac:dyDescent="0.3">
      <c r="B80" s="12"/>
      <c r="C80" s="19">
        <v>381.17</v>
      </c>
      <c r="D80" s="20">
        <v>35.091000000000001</v>
      </c>
      <c r="E80" s="20">
        <v>40.661000000000001</v>
      </c>
      <c r="F80" s="20">
        <v>41.494999999999997</v>
      </c>
      <c r="G80" s="20">
        <v>189.45</v>
      </c>
      <c r="H80" s="20">
        <f t="shared" si="0"/>
        <v>36.58775</v>
      </c>
      <c r="I80" s="5"/>
      <c r="J80" s="19">
        <v>294.91039999999998</v>
      </c>
      <c r="K80" s="20">
        <v>37.561</v>
      </c>
      <c r="L80" s="20">
        <v>42.656100000000002</v>
      </c>
      <c r="M80" s="20">
        <v>43.444800000000001</v>
      </c>
      <c r="N80" s="20">
        <v>216.06049999999999</v>
      </c>
      <c r="O80" s="20">
        <f t="shared" si="1"/>
        <v>38.933362499999994</v>
      </c>
      <c r="P80" s="7"/>
      <c r="Q80" s="13"/>
      <c r="R80" s="14"/>
      <c r="S80" s="14"/>
      <c r="T80" s="27"/>
      <c r="U80" s="28">
        <f t="shared" si="3"/>
        <v>0.14046186328846663</v>
      </c>
    </row>
    <row r="81" spans="1:21" x14ac:dyDescent="0.25">
      <c r="A81" s="6" t="s">
        <v>102</v>
      </c>
      <c r="B81" s="6" t="s">
        <v>103</v>
      </c>
      <c r="C81" s="15">
        <v>1644.78</v>
      </c>
      <c r="D81" s="16">
        <v>41.554000000000002</v>
      </c>
      <c r="E81" s="16">
        <v>46.472000000000001</v>
      </c>
      <c r="F81" s="16">
        <v>48.368000000000002</v>
      </c>
      <c r="G81" s="16">
        <v>121.72</v>
      </c>
      <c r="H81" s="16">
        <f t="shared" ref="H81:H124" si="4">(6*D81+E81+F81)/8</f>
        <v>43.020499999999998</v>
      </c>
      <c r="I81" s="5"/>
      <c r="J81" s="15">
        <v>1297.0123000000001</v>
      </c>
      <c r="K81" s="16">
        <v>42.966299999999997</v>
      </c>
      <c r="L81" s="16">
        <v>48.245100000000001</v>
      </c>
      <c r="M81" s="16">
        <v>49.566600000000001</v>
      </c>
      <c r="N81" s="16">
        <v>85.340400000000002</v>
      </c>
      <c r="O81" s="16">
        <f t="shared" ref="O81:O124" si="5">(6*K81+L81+M81)/8</f>
        <v>44.451187499999996</v>
      </c>
      <c r="P81" s="7"/>
      <c r="Q81" s="8">
        <f>bdrate(C81:C84,D81:D84,J81:J84,K81:K84)</f>
        <v>-0.51288236739082849</v>
      </c>
      <c r="R81" s="8">
        <f>bdrate(C81:C84,E81:E84,J81:J84,L81:L84)</f>
        <v>-0.5978017469850847</v>
      </c>
      <c r="S81" s="8">
        <f>bdrate(C81:C84,F81:F84,J81:J84,M81:M84)</f>
        <v>-0.48192353197894455</v>
      </c>
      <c r="T81" s="25">
        <f>bdrate(C81:C84,H81:H84,J81:J84,O81:O84)</f>
        <v>-0.52102829065962419</v>
      </c>
      <c r="U81" s="28">
        <f t="shared" si="3"/>
        <v>-0.2988793953335524</v>
      </c>
    </row>
    <row r="82" spans="1:21" x14ac:dyDescent="0.25">
      <c r="A82" s="9" t="s">
        <v>78</v>
      </c>
      <c r="B82" s="9"/>
      <c r="C82" s="17">
        <v>1104.1199999999999</v>
      </c>
      <c r="D82" s="18">
        <v>39.186</v>
      </c>
      <c r="E82" s="18">
        <v>45.085999999999999</v>
      </c>
      <c r="F82" s="18">
        <v>47.097000000000001</v>
      </c>
      <c r="G82" s="18">
        <v>131.27000000000001</v>
      </c>
      <c r="H82" s="18">
        <f t="shared" si="4"/>
        <v>40.912374999999997</v>
      </c>
      <c r="I82" s="5"/>
      <c r="J82" s="17">
        <v>893.04309999999998</v>
      </c>
      <c r="K82" s="18">
        <v>41.528100000000002</v>
      </c>
      <c r="L82" s="18">
        <v>47.725900000000003</v>
      </c>
      <c r="M82" s="18">
        <v>48.490699999999997</v>
      </c>
      <c r="N82" s="18">
        <v>101.1293</v>
      </c>
      <c r="O82" s="18">
        <f t="shared" si="5"/>
        <v>43.173150000000007</v>
      </c>
      <c r="P82" s="7"/>
      <c r="Q82" s="10"/>
      <c r="R82" s="11"/>
      <c r="S82" s="11"/>
      <c r="T82" s="26"/>
      <c r="U82" s="28">
        <f t="shared" si="3"/>
        <v>-0.22960844061857247</v>
      </c>
    </row>
    <row r="83" spans="1:21" x14ac:dyDescent="0.25">
      <c r="B83" s="9"/>
      <c r="C83" s="17">
        <v>673.66</v>
      </c>
      <c r="D83" s="18">
        <v>36.491999999999997</v>
      </c>
      <c r="E83" s="18">
        <v>43.59</v>
      </c>
      <c r="F83" s="18">
        <v>45.514000000000003</v>
      </c>
      <c r="G83" s="18">
        <v>137.21</v>
      </c>
      <c r="H83" s="18">
        <f t="shared" si="4"/>
        <v>38.507000000000005</v>
      </c>
      <c r="I83" s="5"/>
      <c r="J83" s="17">
        <v>554.93050000000005</v>
      </c>
      <c r="K83" s="18">
        <v>39.2639</v>
      </c>
      <c r="L83" s="18">
        <v>45.9895</v>
      </c>
      <c r="M83" s="18">
        <v>46.940600000000003</v>
      </c>
      <c r="N83" s="18">
        <v>122.6242</v>
      </c>
      <c r="O83" s="18">
        <f t="shared" si="5"/>
        <v>41.064187500000003</v>
      </c>
      <c r="P83" s="7"/>
      <c r="Q83" s="10"/>
      <c r="R83" s="11"/>
      <c r="S83" s="11"/>
      <c r="T83" s="26"/>
      <c r="U83" s="28">
        <f t="shared" si="3"/>
        <v>-0.10630274761314777</v>
      </c>
    </row>
    <row r="84" spans="1:21" ht="16.5" thickBot="1" x14ac:dyDescent="0.3">
      <c r="B84" s="12"/>
      <c r="C84" s="19">
        <v>320.23</v>
      </c>
      <c r="D84" s="20">
        <v>32.174999999999997</v>
      </c>
      <c r="E84" s="20">
        <v>41.698</v>
      </c>
      <c r="F84" s="20">
        <v>43.457000000000001</v>
      </c>
      <c r="G84" s="20">
        <v>153.63999999999999</v>
      </c>
      <c r="H84" s="20">
        <f t="shared" si="4"/>
        <v>34.775624999999998</v>
      </c>
      <c r="I84" s="5"/>
      <c r="J84" s="19">
        <v>288.1576</v>
      </c>
      <c r="K84" s="20">
        <v>36.491199999999999</v>
      </c>
      <c r="L84" s="20">
        <v>43.479300000000002</v>
      </c>
      <c r="M84" s="20">
        <v>45.069499999999998</v>
      </c>
      <c r="N84" s="20">
        <v>158.9264</v>
      </c>
      <c r="O84" s="20">
        <f t="shared" si="5"/>
        <v>38.437000000000005</v>
      </c>
      <c r="P84" s="7"/>
      <c r="Q84" s="13"/>
      <c r="R84" s="14"/>
      <c r="S84" s="14"/>
      <c r="T84" s="27"/>
      <c r="U84" s="28">
        <f t="shared" si="3"/>
        <v>3.4407706326477577E-2</v>
      </c>
    </row>
    <row r="85" spans="1:21" x14ac:dyDescent="0.25">
      <c r="B85" s="6" t="s">
        <v>104</v>
      </c>
      <c r="C85" s="15">
        <v>2030.14</v>
      </c>
      <c r="D85" s="16">
        <v>52.110999999999997</v>
      </c>
      <c r="E85" s="16">
        <v>52.435000000000002</v>
      </c>
      <c r="F85" s="16">
        <v>52.850999999999999</v>
      </c>
      <c r="G85" s="16">
        <v>169.43</v>
      </c>
      <c r="H85" s="16">
        <f t="shared" si="4"/>
        <v>52.244</v>
      </c>
      <c r="I85" s="5"/>
      <c r="J85" s="15">
        <v>1445.0987</v>
      </c>
      <c r="K85" s="16">
        <v>51.581299999999999</v>
      </c>
      <c r="L85" s="16">
        <v>52.011499999999998</v>
      </c>
      <c r="M85" s="16">
        <v>52.457000000000001</v>
      </c>
      <c r="N85" s="16">
        <v>141.0548</v>
      </c>
      <c r="O85" s="16">
        <f t="shared" si="5"/>
        <v>51.7445375</v>
      </c>
      <c r="P85" s="7"/>
      <c r="Q85" s="8">
        <f>bdrate(C85:C88,D85:D88,J85:J88,K85:K88)</f>
        <v>-0.32156369601133916</v>
      </c>
      <c r="R85" s="8">
        <f>bdrate(C85:C88,E85:E88,J85:J88,L85:L88)</f>
        <v>-0.35501490106828237</v>
      </c>
      <c r="S85" s="8">
        <f>bdrate(C85:C88,F85:F88,J85:J88,M85:M88)</f>
        <v>-0.35076794887391227</v>
      </c>
      <c r="T85" s="25">
        <f>bdrate(C85:C88,H85:H88,J85:J88,O85:O88)</f>
        <v>-0.32890564666085298</v>
      </c>
      <c r="U85" s="28">
        <f t="shared" si="3"/>
        <v>-0.16747447323378389</v>
      </c>
    </row>
    <row r="86" spans="1:21" x14ac:dyDescent="0.25">
      <c r="B86" s="9"/>
      <c r="C86" s="17">
        <v>1354.73</v>
      </c>
      <c r="D86" s="18">
        <v>49.335000000000001</v>
      </c>
      <c r="E86" s="18">
        <v>49.883000000000003</v>
      </c>
      <c r="F86" s="18">
        <v>50.384</v>
      </c>
      <c r="G86" s="18">
        <v>185.51</v>
      </c>
      <c r="H86" s="18">
        <f t="shared" si="4"/>
        <v>49.534624999999998</v>
      </c>
      <c r="I86" s="5"/>
      <c r="J86" s="17">
        <v>979.55330000000004</v>
      </c>
      <c r="K86" s="18">
        <v>49.526699999999998</v>
      </c>
      <c r="L86" s="18">
        <v>50.252099999999999</v>
      </c>
      <c r="M86" s="18">
        <v>50.743600000000001</v>
      </c>
      <c r="N86" s="18">
        <v>170.42230000000001</v>
      </c>
      <c r="O86" s="18">
        <f t="shared" si="5"/>
        <v>49.769487499999997</v>
      </c>
      <c r="P86" s="7"/>
      <c r="Q86" s="10"/>
      <c r="R86" s="11"/>
      <c r="S86" s="11"/>
      <c r="T86" s="26"/>
      <c r="U86" s="28">
        <f t="shared" si="3"/>
        <v>-8.1330925556573688E-2</v>
      </c>
    </row>
    <row r="87" spans="1:21" x14ac:dyDescent="0.25">
      <c r="B87" s="9"/>
      <c r="C87" s="17">
        <v>823.79</v>
      </c>
      <c r="D87" s="18">
        <v>45.9</v>
      </c>
      <c r="E87" s="18">
        <v>46.746000000000002</v>
      </c>
      <c r="F87" s="18">
        <v>47.348999999999997</v>
      </c>
      <c r="G87" s="18">
        <v>198.94</v>
      </c>
      <c r="H87" s="18">
        <f t="shared" si="4"/>
        <v>46.186874999999993</v>
      </c>
      <c r="I87" s="5"/>
      <c r="J87" s="17">
        <v>593.93110000000001</v>
      </c>
      <c r="K87" s="18">
        <v>46.429400000000001</v>
      </c>
      <c r="L87" s="18">
        <v>47.578699999999998</v>
      </c>
      <c r="M87" s="18">
        <v>48.105499999999999</v>
      </c>
      <c r="N87" s="18">
        <v>200.3339</v>
      </c>
      <c r="O87" s="18">
        <f t="shared" si="5"/>
        <v>46.782575000000008</v>
      </c>
      <c r="P87" s="7"/>
      <c r="Q87" s="10"/>
      <c r="R87" s="11"/>
      <c r="S87" s="11"/>
      <c r="T87" s="26"/>
      <c r="U87" s="28">
        <f t="shared" si="3"/>
        <v>7.0066351663818343E-3</v>
      </c>
    </row>
    <row r="88" spans="1:21" ht="16.5" thickBot="1" x14ac:dyDescent="0.3">
      <c r="B88" s="12"/>
      <c r="C88" s="19">
        <v>389.52</v>
      </c>
      <c r="D88" s="20">
        <v>41.320999999999998</v>
      </c>
      <c r="E88" s="20">
        <v>42.646999999999998</v>
      </c>
      <c r="F88" s="20">
        <v>43.180999999999997</v>
      </c>
      <c r="G88" s="20">
        <v>206.8</v>
      </c>
      <c r="H88" s="20">
        <f t="shared" si="4"/>
        <v>41.719249999999995</v>
      </c>
      <c r="I88" s="5"/>
      <c r="J88" s="19">
        <v>303.09440000000001</v>
      </c>
      <c r="K88" s="20">
        <v>42.491599999999998</v>
      </c>
      <c r="L88" s="20">
        <v>44.092599999999997</v>
      </c>
      <c r="M88" s="20">
        <v>44.575200000000002</v>
      </c>
      <c r="N88" s="20">
        <v>223.63030000000001</v>
      </c>
      <c r="O88" s="20">
        <f t="shared" si="5"/>
        <v>42.952174999999997</v>
      </c>
      <c r="P88" s="7"/>
      <c r="Q88" s="13"/>
      <c r="R88" s="14"/>
      <c r="S88" s="14"/>
      <c r="T88" s="27"/>
      <c r="U88" s="28">
        <f t="shared" si="3"/>
        <v>8.1384429400386815E-2</v>
      </c>
    </row>
    <row r="89" spans="1:21" x14ac:dyDescent="0.25">
      <c r="B89" s="6" t="s">
        <v>105</v>
      </c>
      <c r="C89" s="15">
        <v>2189.48</v>
      </c>
      <c r="D89" s="16">
        <v>41.686999999999998</v>
      </c>
      <c r="E89" s="16">
        <v>43.698999999999998</v>
      </c>
      <c r="F89" s="16">
        <v>44.234000000000002</v>
      </c>
      <c r="G89" s="16">
        <v>132.93</v>
      </c>
      <c r="H89" s="16">
        <f t="shared" si="4"/>
        <v>42.256874999999994</v>
      </c>
      <c r="I89" s="5"/>
      <c r="J89" s="15">
        <v>1498.4142999999999</v>
      </c>
      <c r="K89" s="16">
        <v>42.252200000000002</v>
      </c>
      <c r="L89" s="16">
        <v>44.558500000000002</v>
      </c>
      <c r="M89" s="16">
        <v>44.980200000000004</v>
      </c>
      <c r="N89" s="16">
        <v>105.56570000000001</v>
      </c>
      <c r="O89" s="16">
        <f t="shared" si="5"/>
        <v>42.881487500000006</v>
      </c>
      <c r="P89" s="7"/>
      <c r="Q89" s="8">
        <f>bdrate(C89:C92,D89:D92,J89:J92,K89:K92)</f>
        <v>-0.46769198174837079</v>
      </c>
      <c r="R89" s="8">
        <f>bdrate(C89:C92,E89:E92,J89:J92,L89:L92)</f>
        <v>-0.5009084888505666</v>
      </c>
      <c r="S89" s="8">
        <f>bdrate(C89:C92,F89:F92,J89:J92,M89:M92)</f>
        <v>-0.47304387952232696</v>
      </c>
      <c r="T89" s="25">
        <f>bdrate(C89:C92,H89:H92,J89:J92,O89:O92)</f>
        <v>-0.47160057812120226</v>
      </c>
      <c r="U89" s="28">
        <f t="shared" si="3"/>
        <v>-0.20585496125780484</v>
      </c>
    </row>
    <row r="90" spans="1:21" x14ac:dyDescent="0.25">
      <c r="B90" s="9"/>
      <c r="C90" s="17">
        <v>1461.86</v>
      </c>
      <c r="D90" s="18">
        <v>39.253999999999998</v>
      </c>
      <c r="E90" s="18">
        <v>42.052</v>
      </c>
      <c r="F90" s="18">
        <v>42.618000000000002</v>
      </c>
      <c r="G90" s="18">
        <v>142.62</v>
      </c>
      <c r="H90" s="18">
        <f t="shared" si="4"/>
        <v>40.024250000000002</v>
      </c>
      <c r="I90" s="5"/>
      <c r="J90" s="17">
        <v>997.88810000000001</v>
      </c>
      <c r="K90" s="18">
        <v>40.285200000000003</v>
      </c>
      <c r="L90" s="18">
        <v>43.129100000000001</v>
      </c>
      <c r="M90" s="18">
        <v>43.564700000000002</v>
      </c>
      <c r="N90" s="18">
        <v>123.8049</v>
      </c>
      <c r="O90" s="18">
        <f t="shared" si="5"/>
        <v>41.050625000000004</v>
      </c>
      <c r="P90" s="7"/>
      <c r="Q90" s="10"/>
      <c r="R90" s="11"/>
      <c r="S90" s="11"/>
      <c r="T90" s="26"/>
      <c r="U90" s="28">
        <f t="shared" si="3"/>
        <v>-0.13192469499368953</v>
      </c>
    </row>
    <row r="91" spans="1:21" x14ac:dyDescent="0.25">
      <c r="B91" s="9"/>
      <c r="C91" s="17">
        <v>890.72</v>
      </c>
      <c r="D91" s="18">
        <v>36.156999999999996</v>
      </c>
      <c r="E91" s="18">
        <v>40.142000000000003</v>
      </c>
      <c r="F91" s="18">
        <v>40.872999999999998</v>
      </c>
      <c r="G91" s="18">
        <v>154.04</v>
      </c>
      <c r="H91" s="18">
        <f t="shared" si="4"/>
        <v>37.244624999999999</v>
      </c>
      <c r="I91" s="5"/>
      <c r="J91" s="17">
        <v>599.61289999999997</v>
      </c>
      <c r="K91" s="18">
        <v>37.678699999999999</v>
      </c>
      <c r="L91" s="18">
        <v>41.2821</v>
      </c>
      <c r="M91" s="18">
        <v>41.7331</v>
      </c>
      <c r="N91" s="18">
        <v>146.0565</v>
      </c>
      <c r="O91" s="18">
        <f t="shared" si="5"/>
        <v>38.635925</v>
      </c>
      <c r="P91" s="7"/>
      <c r="Q91" s="10"/>
      <c r="R91" s="11"/>
      <c r="S91" s="11"/>
      <c r="T91" s="26"/>
      <c r="U91" s="28">
        <f t="shared" si="3"/>
        <v>-5.1827447416255473E-2</v>
      </c>
    </row>
    <row r="92" spans="1:21" ht="16.5" thickBot="1" x14ac:dyDescent="0.3">
      <c r="B92" s="12"/>
      <c r="C92" s="19">
        <v>425.89</v>
      </c>
      <c r="D92" s="20">
        <v>31.545999999999999</v>
      </c>
      <c r="E92" s="20">
        <v>37.877000000000002</v>
      </c>
      <c r="F92" s="20">
        <v>38.601999999999997</v>
      </c>
      <c r="G92" s="20">
        <v>162.51</v>
      </c>
      <c r="H92" s="20">
        <f t="shared" si="4"/>
        <v>33.219374999999999</v>
      </c>
      <c r="I92" s="5"/>
      <c r="J92" s="19">
        <v>303.58839999999998</v>
      </c>
      <c r="K92" s="20">
        <v>34.1768</v>
      </c>
      <c r="L92" s="20">
        <v>39.036900000000003</v>
      </c>
      <c r="M92" s="20">
        <v>39.5092</v>
      </c>
      <c r="N92" s="20">
        <v>176.43600000000001</v>
      </c>
      <c r="O92" s="20">
        <f t="shared" si="5"/>
        <v>35.450862499999999</v>
      </c>
      <c r="P92" s="7"/>
      <c r="Q92" s="13"/>
      <c r="R92" s="14"/>
      <c r="S92" s="14"/>
      <c r="T92" s="27"/>
      <c r="U92" s="28">
        <f t="shared" si="3"/>
        <v>8.5693188111500937E-2</v>
      </c>
    </row>
    <row r="93" spans="1:21" x14ac:dyDescent="0.25">
      <c r="B93" s="6" t="s">
        <v>106</v>
      </c>
      <c r="C93" s="29">
        <v>2096.59</v>
      </c>
      <c r="D93" s="30">
        <v>38.100999999999999</v>
      </c>
      <c r="E93" s="30">
        <v>42.673999999999999</v>
      </c>
      <c r="F93" s="30">
        <v>42.564</v>
      </c>
      <c r="G93" s="16">
        <v>121.46</v>
      </c>
      <c r="H93" s="16">
        <f t="shared" si="4"/>
        <v>39.230499999999999</v>
      </c>
      <c r="I93" s="5"/>
      <c r="J93" s="29">
        <v>1504.2053000000001</v>
      </c>
      <c r="K93" s="30">
        <v>38.651200000000003</v>
      </c>
      <c r="L93" s="30">
        <v>43.203400000000002</v>
      </c>
      <c r="M93" s="30">
        <v>43.1599</v>
      </c>
      <c r="N93" s="16">
        <v>90.497699999999995</v>
      </c>
      <c r="O93" s="16">
        <f t="shared" si="5"/>
        <v>39.783812500000003</v>
      </c>
      <c r="P93" s="7"/>
      <c r="Q93" s="8">
        <f>bdrate(C93:C96,D93:D96,J93:J96,K93:K96)</f>
        <v>-0.45064933606568613</v>
      </c>
      <c r="R93" s="8">
        <f>bdrate(C93:C96,E93:E96,J93:J96,L93:L96)</f>
        <v>-0.429863960053531</v>
      </c>
      <c r="S93" s="8">
        <f>bdrate(C93:C96,F93:F96,J93:J96,M93:M96)</f>
        <v>-0.45800415263085126</v>
      </c>
      <c r="T93" s="25">
        <f>bdrate(C93:C96,H93:H96,J93:J96,O93:O96)</f>
        <v>-0.4505690239809429</v>
      </c>
      <c r="U93" s="28">
        <f t="shared" si="3"/>
        <v>-0.25491766836818708</v>
      </c>
    </row>
    <row r="94" spans="1:21" x14ac:dyDescent="0.25">
      <c r="B94" s="9"/>
      <c r="C94" s="31">
        <v>1400.15</v>
      </c>
      <c r="D94" s="32">
        <v>35.899000000000001</v>
      </c>
      <c r="E94" s="32">
        <v>41.325000000000003</v>
      </c>
      <c r="F94" s="32">
        <v>41.179000000000002</v>
      </c>
      <c r="G94" s="18">
        <v>130.38</v>
      </c>
      <c r="H94" s="18">
        <f t="shared" si="4"/>
        <v>37.237250000000003</v>
      </c>
      <c r="I94" s="5"/>
      <c r="J94" s="31">
        <v>1003.2865</v>
      </c>
      <c r="K94" s="32">
        <v>36.845399999999998</v>
      </c>
      <c r="L94" s="32">
        <v>42.031100000000002</v>
      </c>
      <c r="M94" s="32">
        <v>42.008000000000003</v>
      </c>
      <c r="N94" s="18">
        <v>105.36790000000001</v>
      </c>
      <c r="O94" s="18">
        <f t="shared" si="5"/>
        <v>38.138937499999997</v>
      </c>
      <c r="P94" s="7"/>
      <c r="Q94" s="10"/>
      <c r="R94" s="11"/>
      <c r="S94" s="11"/>
      <c r="T94" s="26"/>
      <c r="U94" s="28">
        <f t="shared" si="3"/>
        <v>-0.19184000613591035</v>
      </c>
    </row>
    <row r="95" spans="1:21" x14ac:dyDescent="0.25">
      <c r="B95" s="9"/>
      <c r="C95" s="31">
        <v>853.6</v>
      </c>
      <c r="D95" s="32">
        <v>33.18</v>
      </c>
      <c r="E95" s="32">
        <v>39.927999999999997</v>
      </c>
      <c r="F95" s="32">
        <v>39.670999999999999</v>
      </c>
      <c r="G95" s="18">
        <v>138.51</v>
      </c>
      <c r="H95" s="18">
        <f t="shared" si="4"/>
        <v>34.834874999999997</v>
      </c>
      <c r="I95" s="5"/>
      <c r="J95" s="31">
        <v>601.46529999999996</v>
      </c>
      <c r="K95" s="32">
        <v>34.594000000000001</v>
      </c>
      <c r="L95" s="32">
        <v>40.530099999999997</v>
      </c>
      <c r="M95" s="32">
        <v>40.492100000000001</v>
      </c>
      <c r="N95" s="18">
        <v>125.971</v>
      </c>
      <c r="O95" s="18">
        <f t="shared" si="5"/>
        <v>36.073275000000002</v>
      </c>
      <c r="P95" s="7"/>
      <c r="Q95" s="10"/>
      <c r="R95" s="11"/>
      <c r="S95" s="11"/>
      <c r="T95" s="26"/>
      <c r="U95" s="28">
        <f t="shared" si="3"/>
        <v>-9.0527759728539367E-2</v>
      </c>
    </row>
    <row r="96" spans="1:21" ht="16.5" thickBot="1" x14ac:dyDescent="0.3">
      <c r="B96" s="12"/>
      <c r="C96" s="33">
        <v>406.68</v>
      </c>
      <c r="D96" s="34">
        <v>28.757999999999999</v>
      </c>
      <c r="E96" s="34">
        <v>38.009</v>
      </c>
      <c r="F96" s="34">
        <v>37.795999999999999</v>
      </c>
      <c r="G96" s="20">
        <v>149.08000000000001</v>
      </c>
      <c r="H96" s="20">
        <f t="shared" si="4"/>
        <v>31.044125000000001</v>
      </c>
      <c r="I96" s="5"/>
      <c r="J96" s="33">
        <v>301.3415</v>
      </c>
      <c r="K96" s="34">
        <v>31.586200000000002</v>
      </c>
      <c r="L96" s="34">
        <v>38.663400000000003</v>
      </c>
      <c r="M96" s="34">
        <v>38.535299999999999</v>
      </c>
      <c r="N96" s="20">
        <v>160.48500000000001</v>
      </c>
      <c r="O96" s="20">
        <f t="shared" si="5"/>
        <v>33.339487499999997</v>
      </c>
      <c r="P96" s="7"/>
      <c r="Q96" s="13"/>
      <c r="R96" s="14"/>
      <c r="S96" s="14"/>
      <c r="T96" s="27"/>
      <c r="U96" s="28">
        <f t="shared" si="3"/>
        <v>7.6502548966997583E-2</v>
      </c>
    </row>
    <row r="97" spans="2:21" x14ac:dyDescent="0.25">
      <c r="B97" s="6" t="s">
        <v>107</v>
      </c>
      <c r="C97" s="15">
        <v>2128.86</v>
      </c>
      <c r="D97" s="16">
        <v>36.036999999999999</v>
      </c>
      <c r="E97" s="16">
        <v>39.530999999999999</v>
      </c>
      <c r="F97" s="16">
        <v>40.088999999999999</v>
      </c>
      <c r="G97" s="16">
        <v>113.24</v>
      </c>
      <c r="H97" s="16">
        <f t="shared" si="4"/>
        <v>36.980249999999998</v>
      </c>
      <c r="I97" s="5"/>
      <c r="J97" s="15">
        <v>1499.6541</v>
      </c>
      <c r="K97" s="16">
        <v>36.516599999999997</v>
      </c>
      <c r="L97" s="16">
        <v>41.095700000000001</v>
      </c>
      <c r="M97" s="16">
        <v>41.677</v>
      </c>
      <c r="N97" s="16">
        <v>92.975200000000001</v>
      </c>
      <c r="O97" s="16">
        <f t="shared" si="5"/>
        <v>37.734037499999999</v>
      </c>
      <c r="P97" s="7"/>
      <c r="Q97" s="8">
        <f>bdrate(C97:C100,D97:D100,J97:J100,K97:K100)</f>
        <v>-0.42852641976099204</v>
      </c>
      <c r="R97" s="8">
        <f>bdrate(C97:C100,E97:E100,J97:J100,L97:L100)</f>
        <v>-0.55767292920556599</v>
      </c>
      <c r="S97" s="8">
        <f>bdrate(C97:C100,F97:F100,J97:J100,M97:M100)</f>
        <v>-0.56328553897407396</v>
      </c>
      <c r="T97" s="25">
        <f>bdrate(C97:C100,H97:H100,J97:J100,O97:O100)</f>
        <v>-0.45362598513721664</v>
      </c>
      <c r="U97" s="28">
        <f t="shared" si="3"/>
        <v>-0.17895443306252204</v>
      </c>
    </row>
    <row r="98" spans="2:21" x14ac:dyDescent="0.25">
      <c r="B98" s="9"/>
      <c r="C98" s="17">
        <v>1418.76</v>
      </c>
      <c r="D98" s="18">
        <v>33.780999999999999</v>
      </c>
      <c r="E98" s="18">
        <v>38.134999999999998</v>
      </c>
      <c r="F98" s="18">
        <v>38.774999999999999</v>
      </c>
      <c r="G98" s="18">
        <v>122.36</v>
      </c>
      <c r="H98" s="18">
        <f t="shared" si="4"/>
        <v>34.949499999999993</v>
      </c>
      <c r="I98" s="5"/>
      <c r="J98" s="17">
        <v>1004.3579999999999</v>
      </c>
      <c r="K98" s="18">
        <v>34.579300000000003</v>
      </c>
      <c r="L98" s="18">
        <v>39.7241</v>
      </c>
      <c r="M98" s="18">
        <v>40.366700000000002</v>
      </c>
      <c r="N98" s="18">
        <v>108.3424</v>
      </c>
      <c r="O98" s="18">
        <f t="shared" si="5"/>
        <v>35.945824999999999</v>
      </c>
      <c r="P98" s="7"/>
      <c r="Q98" s="10"/>
      <c r="R98" s="11"/>
      <c r="S98" s="11"/>
      <c r="T98" s="26"/>
      <c r="U98" s="28">
        <f t="shared" si="3"/>
        <v>-0.11456031382804839</v>
      </c>
    </row>
    <row r="99" spans="2:21" x14ac:dyDescent="0.25">
      <c r="B99" s="9"/>
      <c r="C99" s="17">
        <v>863.16</v>
      </c>
      <c r="D99" s="18">
        <v>31.196999999999999</v>
      </c>
      <c r="E99" s="18">
        <v>36.808</v>
      </c>
      <c r="F99" s="18">
        <v>37.512</v>
      </c>
      <c r="G99" s="18">
        <v>148.88</v>
      </c>
      <c r="H99" s="18">
        <f t="shared" si="4"/>
        <v>32.687749999999994</v>
      </c>
      <c r="I99" s="5"/>
      <c r="J99" s="17">
        <v>596.53210000000001</v>
      </c>
      <c r="K99" s="18">
        <v>32.252099999999999</v>
      </c>
      <c r="L99" s="18">
        <v>38.072499999999998</v>
      </c>
      <c r="M99" s="18">
        <v>38.748600000000003</v>
      </c>
      <c r="N99" s="18">
        <v>128.63570000000001</v>
      </c>
      <c r="O99" s="18">
        <f t="shared" si="5"/>
        <v>33.791712499999996</v>
      </c>
      <c r="P99" s="7"/>
      <c r="Q99" s="10"/>
      <c r="R99" s="11"/>
      <c r="S99" s="11"/>
      <c r="T99" s="26"/>
      <c r="U99" s="28">
        <f t="shared" si="3"/>
        <v>-0.13597729715206866</v>
      </c>
    </row>
    <row r="100" spans="2:21" ht="16.5" thickBot="1" x14ac:dyDescent="0.3">
      <c r="B100" s="12"/>
      <c r="C100" s="19">
        <v>405.89</v>
      </c>
      <c r="D100" s="20">
        <v>27.103000000000002</v>
      </c>
      <c r="E100" s="20">
        <v>35.112000000000002</v>
      </c>
      <c r="F100" s="20">
        <v>35.83</v>
      </c>
      <c r="G100" s="20">
        <v>166.25</v>
      </c>
      <c r="H100" s="20">
        <f t="shared" si="4"/>
        <v>29.195</v>
      </c>
      <c r="I100" s="5"/>
      <c r="J100" s="19">
        <v>298.45960000000002</v>
      </c>
      <c r="K100" s="20">
        <v>29.102499999999999</v>
      </c>
      <c r="L100" s="20">
        <v>36.029600000000002</v>
      </c>
      <c r="M100" s="20">
        <v>36.783499999999997</v>
      </c>
      <c r="N100" s="20">
        <v>163.20609999999999</v>
      </c>
      <c r="O100" s="20">
        <f t="shared" si="5"/>
        <v>30.928512500000004</v>
      </c>
      <c r="P100" s="7"/>
      <c r="Q100" s="13"/>
      <c r="R100" s="14"/>
      <c r="S100" s="14"/>
      <c r="T100" s="27"/>
      <c r="U100" s="28">
        <f t="shared" si="3"/>
        <v>-1.8309172932330874E-2</v>
      </c>
    </row>
    <row r="101" spans="2:21" x14ac:dyDescent="0.25">
      <c r="B101" s="6" t="s">
        <v>108</v>
      </c>
      <c r="C101" s="15">
        <v>2138.14</v>
      </c>
      <c r="D101" s="16">
        <v>36.884999999999998</v>
      </c>
      <c r="E101" s="16">
        <v>41.987000000000002</v>
      </c>
      <c r="F101" s="16">
        <v>43.627000000000002</v>
      </c>
      <c r="G101" s="16">
        <v>114.13</v>
      </c>
      <c r="H101" s="16">
        <f t="shared" si="4"/>
        <v>38.365500000000004</v>
      </c>
      <c r="I101" s="5"/>
      <c r="J101" s="15">
        <v>1506.2828</v>
      </c>
      <c r="K101" s="16">
        <v>36.7498</v>
      </c>
      <c r="L101" s="16">
        <v>42.664400000000001</v>
      </c>
      <c r="M101" s="16">
        <v>44.059800000000003</v>
      </c>
      <c r="N101" s="16">
        <v>89.512200000000007</v>
      </c>
      <c r="O101" s="16">
        <f t="shared" si="5"/>
        <v>38.402875000000002</v>
      </c>
      <c r="P101" s="7"/>
      <c r="Q101" s="8">
        <f>bdrate(C101:C104,D101:D104,J101:J104,K101:K104)</f>
        <v>-0.40499021115456646</v>
      </c>
      <c r="R101" s="8">
        <f>bdrate(C101:C104,E101:E104,J101:J104,L101:L104)</f>
        <v>-0.5695432052638647</v>
      </c>
      <c r="S101" s="8">
        <f>bdrate(C101:C104,F101:F104,J101:J104,M101:M104)</f>
        <v>-0.47048463459137546</v>
      </c>
      <c r="T101" s="25">
        <f>bdrate(C101:C104,H101:H104,J101:J104,O101:O104)</f>
        <v>-0.42584935434039095</v>
      </c>
      <c r="U101" s="28">
        <f t="shared" si="3"/>
        <v>-0.21569964076053613</v>
      </c>
    </row>
    <row r="102" spans="2:21" x14ac:dyDescent="0.25">
      <c r="B102" s="9"/>
      <c r="C102" s="17">
        <v>1425.47</v>
      </c>
      <c r="D102" s="18">
        <v>35.058</v>
      </c>
      <c r="E102" s="18">
        <v>40.783999999999999</v>
      </c>
      <c r="F102" s="18">
        <v>42.433999999999997</v>
      </c>
      <c r="G102" s="18">
        <v>124.34</v>
      </c>
      <c r="H102" s="18">
        <f t="shared" si="4"/>
        <v>36.695750000000004</v>
      </c>
      <c r="I102" s="5"/>
      <c r="J102" s="17">
        <v>1003.1169</v>
      </c>
      <c r="K102" s="18">
        <v>35.420699999999997</v>
      </c>
      <c r="L102" s="18">
        <v>41.831699999999998</v>
      </c>
      <c r="M102" s="18">
        <v>43.085299999999997</v>
      </c>
      <c r="N102" s="18">
        <v>104.7974</v>
      </c>
      <c r="O102" s="18">
        <f t="shared" si="5"/>
        <v>37.180149999999998</v>
      </c>
      <c r="P102" s="7"/>
      <c r="Q102" s="10"/>
      <c r="R102" s="11"/>
      <c r="S102" s="11"/>
      <c r="T102" s="26"/>
      <c r="U102" s="28">
        <f t="shared" si="3"/>
        <v>-0.15717066109055819</v>
      </c>
    </row>
    <row r="103" spans="2:21" x14ac:dyDescent="0.25">
      <c r="B103" s="9"/>
      <c r="C103" s="17">
        <v>866.69</v>
      </c>
      <c r="D103" s="18">
        <v>32.997</v>
      </c>
      <c r="E103" s="18">
        <v>39.561999999999998</v>
      </c>
      <c r="F103" s="18">
        <v>41.093000000000004</v>
      </c>
      <c r="G103" s="18">
        <v>135.1</v>
      </c>
      <c r="H103" s="18">
        <f t="shared" si="4"/>
        <v>34.829625</v>
      </c>
      <c r="I103" s="5"/>
      <c r="J103" s="17">
        <v>604.11749999999995</v>
      </c>
      <c r="K103" s="18">
        <v>33.756799999999998</v>
      </c>
      <c r="L103" s="18">
        <v>40.750300000000003</v>
      </c>
      <c r="M103" s="18">
        <v>41.864800000000002</v>
      </c>
      <c r="N103" s="18">
        <v>124.4727</v>
      </c>
      <c r="O103" s="18">
        <f t="shared" si="5"/>
        <v>35.644487499999997</v>
      </c>
      <c r="P103" s="7"/>
      <c r="Q103" s="10"/>
      <c r="R103" s="11"/>
      <c r="S103" s="11"/>
      <c r="T103" s="26"/>
      <c r="U103" s="28">
        <f t="shared" si="3"/>
        <v>-7.8662472242783055E-2</v>
      </c>
    </row>
    <row r="104" spans="2:21" ht="16.5" thickBot="1" x14ac:dyDescent="0.3">
      <c r="B104" s="12"/>
      <c r="C104" s="19">
        <v>410.7</v>
      </c>
      <c r="D104" s="20">
        <v>30.393999999999998</v>
      </c>
      <c r="E104" s="20">
        <v>38.183</v>
      </c>
      <c r="F104" s="20">
        <v>39.289000000000001</v>
      </c>
      <c r="G104" s="20">
        <v>151.43</v>
      </c>
      <c r="H104" s="20">
        <f t="shared" si="4"/>
        <v>32.479499999999994</v>
      </c>
      <c r="I104" s="5"/>
      <c r="J104" s="19">
        <v>301.15469999999999</v>
      </c>
      <c r="K104" s="20">
        <v>31.751200000000001</v>
      </c>
      <c r="L104" s="20">
        <v>39.303899999999999</v>
      </c>
      <c r="M104" s="20">
        <v>40.150500000000001</v>
      </c>
      <c r="N104" s="20">
        <v>157.63200000000001</v>
      </c>
      <c r="O104" s="20">
        <f t="shared" si="5"/>
        <v>33.745200000000004</v>
      </c>
      <c r="P104" s="7"/>
      <c r="Q104" s="13"/>
      <c r="R104" s="14"/>
      <c r="S104" s="14"/>
      <c r="T104" s="27"/>
      <c r="U104" s="28">
        <f t="shared" si="3"/>
        <v>4.0956217394175515E-2</v>
      </c>
    </row>
    <row r="105" spans="2:21" x14ac:dyDescent="0.25">
      <c r="B105" s="6" t="s">
        <v>109</v>
      </c>
      <c r="C105" s="15">
        <v>2192.71</v>
      </c>
      <c r="D105" s="16">
        <v>46.762999999999998</v>
      </c>
      <c r="E105" s="16">
        <v>50.848999999999997</v>
      </c>
      <c r="F105" s="16">
        <v>51.969000000000001</v>
      </c>
      <c r="G105" s="16">
        <v>131.5</v>
      </c>
      <c r="H105" s="16">
        <f t="shared" si="4"/>
        <v>47.924499999999995</v>
      </c>
      <c r="I105" s="5"/>
      <c r="J105" s="15">
        <v>1498.4519</v>
      </c>
      <c r="K105" s="16">
        <v>46.726300000000002</v>
      </c>
      <c r="L105" s="16">
        <v>51.48</v>
      </c>
      <c r="M105" s="16">
        <v>52.9026</v>
      </c>
      <c r="N105" s="16">
        <v>110.9877</v>
      </c>
      <c r="O105" s="16">
        <f t="shared" si="5"/>
        <v>48.092550000000003</v>
      </c>
      <c r="P105" s="7"/>
      <c r="Q105" s="8">
        <f>bdrate(C105:C108,D105:D108,J105:J108,K105:K108)</f>
        <v>-0.43995158249365363</v>
      </c>
      <c r="R105" s="8">
        <f>bdrate(C105:C108,E105:E108,J105:J108,L105:L108)</f>
        <v>-0.57840194550000845</v>
      </c>
      <c r="S105" s="8">
        <f>bdrate(C105:C108,F105:F108,J105:J108,M105:M108)</f>
        <v>-0.5961714670819569</v>
      </c>
      <c r="T105" s="25">
        <f>bdrate(C105:C108,H105:H108,J105:J108,O105:O108)</f>
        <v>-0.47714417187810343</v>
      </c>
      <c r="U105" s="28">
        <f t="shared" si="3"/>
        <v>-0.15598707224334599</v>
      </c>
    </row>
    <row r="106" spans="2:21" x14ac:dyDescent="0.25">
      <c r="B106" s="9"/>
      <c r="C106" s="17">
        <v>1456.58</v>
      </c>
      <c r="D106" s="18">
        <v>44.125</v>
      </c>
      <c r="E106" s="18">
        <v>48.261000000000003</v>
      </c>
      <c r="F106" s="18">
        <v>49.511000000000003</v>
      </c>
      <c r="G106" s="18">
        <v>149.18</v>
      </c>
      <c r="H106" s="18">
        <f t="shared" si="4"/>
        <v>45.315250000000006</v>
      </c>
      <c r="I106" s="5"/>
      <c r="J106" s="17">
        <v>1005.6292</v>
      </c>
      <c r="K106" s="18">
        <v>44.9617</v>
      </c>
      <c r="L106" s="18">
        <v>50.205800000000004</v>
      </c>
      <c r="M106" s="18">
        <v>51.6492</v>
      </c>
      <c r="N106" s="18">
        <v>130.60839999999999</v>
      </c>
      <c r="O106" s="18">
        <f t="shared" si="5"/>
        <v>46.453150000000001</v>
      </c>
      <c r="P106" s="7"/>
      <c r="Q106" s="10"/>
      <c r="R106" s="11"/>
      <c r="S106" s="11"/>
      <c r="T106" s="26"/>
      <c r="U106" s="28">
        <f t="shared" si="3"/>
        <v>-0.12449121866201915</v>
      </c>
    </row>
    <row r="107" spans="2:21" x14ac:dyDescent="0.25">
      <c r="B107" s="9"/>
      <c r="C107" s="17">
        <v>879.35</v>
      </c>
      <c r="D107" s="18">
        <v>41.405000000000001</v>
      </c>
      <c r="E107" s="18">
        <v>45.957999999999998</v>
      </c>
      <c r="F107" s="18">
        <v>47.289000000000001</v>
      </c>
      <c r="G107" s="18">
        <v>166.4</v>
      </c>
      <c r="H107" s="18">
        <f t="shared" si="4"/>
        <v>42.709625000000003</v>
      </c>
      <c r="I107" s="5"/>
      <c r="J107" s="17">
        <v>602.68460000000005</v>
      </c>
      <c r="K107" s="18">
        <v>42.760199999999998</v>
      </c>
      <c r="L107" s="18">
        <v>48.341500000000003</v>
      </c>
      <c r="M107" s="18">
        <v>49.726999999999997</v>
      </c>
      <c r="N107" s="18">
        <v>154.59309999999999</v>
      </c>
      <c r="O107" s="18">
        <f t="shared" si="5"/>
        <v>44.328712499999995</v>
      </c>
      <c r="P107" s="7"/>
      <c r="Q107" s="10"/>
      <c r="R107" s="11"/>
      <c r="S107" s="11"/>
      <c r="T107" s="26"/>
      <c r="U107" s="28">
        <f t="shared" si="3"/>
        <v>-7.0954927884615465E-2</v>
      </c>
    </row>
    <row r="108" spans="2:21" ht="16.5" thickBot="1" x14ac:dyDescent="0.3">
      <c r="B108" s="12"/>
      <c r="C108" s="19">
        <v>422.21</v>
      </c>
      <c r="D108" s="20">
        <v>38.796999999999997</v>
      </c>
      <c r="E108" s="20">
        <v>43.506999999999998</v>
      </c>
      <c r="F108" s="20">
        <v>44.889000000000003</v>
      </c>
      <c r="G108" s="20">
        <v>183.93</v>
      </c>
      <c r="H108" s="20">
        <f t="shared" si="4"/>
        <v>40.14725</v>
      </c>
      <c r="I108" s="5"/>
      <c r="J108" s="19">
        <v>302.33370000000002</v>
      </c>
      <c r="K108" s="20">
        <v>39.569800000000001</v>
      </c>
      <c r="L108" s="20">
        <v>45.5107</v>
      </c>
      <c r="M108" s="20">
        <v>46.945399999999999</v>
      </c>
      <c r="N108" s="20">
        <v>190.28980000000001</v>
      </c>
      <c r="O108" s="20">
        <f t="shared" si="5"/>
        <v>41.234362500000003</v>
      </c>
      <c r="P108" s="7"/>
      <c r="Q108" s="13"/>
      <c r="R108" s="14"/>
      <c r="S108" s="14"/>
      <c r="T108" s="27"/>
      <c r="U108" s="28">
        <f t="shared" si="3"/>
        <v>3.4577284836622667E-2</v>
      </c>
    </row>
    <row r="109" spans="2:21" x14ac:dyDescent="0.25">
      <c r="B109" s="6" t="s">
        <v>110</v>
      </c>
      <c r="C109" s="15">
        <v>2062.46</v>
      </c>
      <c r="D109" s="16">
        <v>30.638999999999999</v>
      </c>
      <c r="E109" s="16">
        <v>39.408999999999999</v>
      </c>
      <c r="F109" s="16">
        <v>38.837000000000003</v>
      </c>
      <c r="G109" s="16">
        <v>108.54</v>
      </c>
      <c r="H109" s="16">
        <f t="shared" si="4"/>
        <v>32.76</v>
      </c>
      <c r="I109" s="5"/>
      <c r="J109" s="15">
        <v>1495.2945</v>
      </c>
      <c r="K109" s="16">
        <v>31.4282</v>
      </c>
      <c r="L109" s="16">
        <v>39.863599999999998</v>
      </c>
      <c r="M109" s="16">
        <v>39.216099999999997</v>
      </c>
      <c r="N109" s="16">
        <v>70.7881</v>
      </c>
      <c r="O109" s="16">
        <f t="shared" si="5"/>
        <v>33.456112499999996</v>
      </c>
      <c r="P109" s="7"/>
      <c r="Q109" s="8">
        <f>bdrate(C109:C112,D109:D112,J109:J112,K109:K112)</f>
        <v>-0.47422426940992912</v>
      </c>
      <c r="R109" s="8">
        <f>bdrate(C109:C112,E109:E112,J109:J112,L109:L112)</f>
        <v>-0.34578035387294026</v>
      </c>
      <c r="S109" s="8">
        <f>bdrate(C109:C112,F109:F112,J109:J112,M109:M112)</f>
        <v>-0.32755410641609362</v>
      </c>
      <c r="T109" s="25">
        <f>bdrate(C109:C112,H109:H112,J109:J112,O109:O112)</f>
        <v>-0.45704189335168299</v>
      </c>
      <c r="U109" s="28">
        <f t="shared" si="3"/>
        <v>-0.34781555187027829</v>
      </c>
    </row>
    <row r="110" spans="2:21" x14ac:dyDescent="0.25">
      <c r="B110" s="9"/>
      <c r="C110" s="17">
        <v>1375.83</v>
      </c>
      <c r="D110" s="18">
        <v>28.582000000000001</v>
      </c>
      <c r="E110" s="18">
        <v>38.520000000000003</v>
      </c>
      <c r="F110" s="18">
        <v>37.911000000000001</v>
      </c>
      <c r="G110" s="18">
        <v>117.86</v>
      </c>
      <c r="H110" s="18">
        <f t="shared" si="4"/>
        <v>30.990375000000004</v>
      </c>
      <c r="I110" s="5"/>
      <c r="J110" s="17">
        <v>995.64679999999998</v>
      </c>
      <c r="K110" s="18">
        <v>29.710699999999999</v>
      </c>
      <c r="L110" s="18">
        <v>38.9298</v>
      </c>
      <c r="M110" s="18">
        <v>38.244</v>
      </c>
      <c r="N110" s="18">
        <v>84.037499999999994</v>
      </c>
      <c r="O110" s="18">
        <f t="shared" si="5"/>
        <v>31.929749999999999</v>
      </c>
      <c r="P110" s="7"/>
      <c r="Q110" s="10"/>
      <c r="R110" s="11"/>
      <c r="S110" s="11"/>
      <c r="T110" s="26"/>
      <c r="U110" s="28">
        <f t="shared" si="3"/>
        <v>-0.28697183098591555</v>
      </c>
    </row>
    <row r="111" spans="2:21" x14ac:dyDescent="0.25">
      <c r="B111" s="9"/>
      <c r="C111" s="17">
        <v>836.38</v>
      </c>
      <c r="D111" s="18">
        <v>26.001999999999999</v>
      </c>
      <c r="E111" s="18">
        <v>37.497</v>
      </c>
      <c r="F111" s="18">
        <v>36.883000000000003</v>
      </c>
      <c r="G111" s="18">
        <v>125.69</v>
      </c>
      <c r="H111" s="18">
        <f t="shared" si="4"/>
        <v>28.799000000000003</v>
      </c>
      <c r="I111" s="5"/>
      <c r="J111" s="17">
        <v>598.04240000000004</v>
      </c>
      <c r="K111" s="18">
        <v>27.588899999999999</v>
      </c>
      <c r="L111" s="18">
        <v>37.6098</v>
      </c>
      <c r="M111" s="18">
        <v>36.892200000000003</v>
      </c>
      <c r="N111" s="18">
        <v>107.9396</v>
      </c>
      <c r="O111" s="18">
        <f t="shared" si="5"/>
        <v>30.004425000000001</v>
      </c>
      <c r="P111" s="7"/>
      <c r="Q111" s="10"/>
      <c r="R111" s="11"/>
      <c r="S111" s="11"/>
      <c r="T111" s="26"/>
      <c r="U111" s="28">
        <f t="shared" si="3"/>
        <v>-0.14122364547696714</v>
      </c>
    </row>
    <row r="112" spans="2:21" ht="16.5" thickBot="1" x14ac:dyDescent="0.3">
      <c r="B112" s="12"/>
      <c r="C112" s="19">
        <v>385.75</v>
      </c>
      <c r="D112" s="20">
        <v>21.873999999999999</v>
      </c>
      <c r="E112" s="20">
        <v>33.979999999999997</v>
      </c>
      <c r="F112" s="20">
        <v>33.390999999999998</v>
      </c>
      <c r="G112" s="20">
        <v>138.19</v>
      </c>
      <c r="H112" s="20">
        <f t="shared" si="4"/>
        <v>24.826874999999998</v>
      </c>
      <c r="I112" s="5"/>
      <c r="J112" s="19">
        <v>299.1431</v>
      </c>
      <c r="K112" s="20">
        <v>24.9163</v>
      </c>
      <c r="L112" s="20">
        <v>35.333599999999997</v>
      </c>
      <c r="M112" s="20">
        <v>34.732599999999998</v>
      </c>
      <c r="N112" s="20">
        <v>140.71289999999999</v>
      </c>
      <c r="O112" s="20">
        <f t="shared" si="5"/>
        <v>27.445499999999996</v>
      </c>
      <c r="P112" s="7"/>
      <c r="Q112" s="13"/>
      <c r="R112" s="14"/>
      <c r="S112" s="14"/>
      <c r="T112" s="27"/>
      <c r="U112" s="28">
        <f t="shared" si="3"/>
        <v>1.8256747955713096E-2</v>
      </c>
    </row>
    <row r="113" spans="2:21" x14ac:dyDescent="0.25">
      <c r="B113" s="6" t="s">
        <v>111</v>
      </c>
      <c r="C113" s="15">
        <v>2323.33</v>
      </c>
      <c r="D113" s="16">
        <v>45.466000000000001</v>
      </c>
      <c r="E113" s="16">
        <v>45.935000000000002</v>
      </c>
      <c r="F113" s="16">
        <v>45.718000000000004</v>
      </c>
      <c r="G113" s="16">
        <v>136.88</v>
      </c>
      <c r="H113" s="16">
        <f t="shared" si="4"/>
        <v>45.556125000000002</v>
      </c>
      <c r="I113" s="5"/>
      <c r="J113" s="15">
        <v>1415.1560999999999</v>
      </c>
      <c r="K113" s="16">
        <v>44.438800000000001</v>
      </c>
      <c r="L113" s="16">
        <v>45.368099999999998</v>
      </c>
      <c r="M113" s="16">
        <v>45.257899999999999</v>
      </c>
      <c r="N113" s="16">
        <v>95.440100000000001</v>
      </c>
      <c r="O113" s="16">
        <f t="shared" si="5"/>
        <v>44.657350000000001</v>
      </c>
      <c r="P113" s="7"/>
      <c r="Q113" s="8">
        <f>bdrate(C113:C116,D113:D116,J113:J116,K113:K116)</f>
        <v>-0.35874951638860797</v>
      </c>
      <c r="R113" s="8">
        <f>bdrate(C113:C116,E113:E116,J113:J116,L113:L116)</f>
        <v>-0.38143627592167439</v>
      </c>
      <c r="S113" s="8">
        <f>bdrate(C113:C116,F113:F116,J113:J116,M113:M116)</f>
        <v>-0.41031495785076832</v>
      </c>
      <c r="T113" s="25">
        <f>bdrate(C113:C116,H113:H116,J113:J116,O113:O116)</f>
        <v>-0.36659470726661436</v>
      </c>
      <c r="U113" s="28">
        <f t="shared" si="3"/>
        <v>-0.30274620105201633</v>
      </c>
    </row>
    <row r="114" spans="2:21" x14ac:dyDescent="0.25">
      <c r="B114" s="9"/>
      <c r="C114" s="17">
        <v>1543.87</v>
      </c>
      <c r="D114" s="18">
        <v>42.88</v>
      </c>
      <c r="E114" s="18">
        <v>43.75</v>
      </c>
      <c r="F114" s="18">
        <v>43.499000000000002</v>
      </c>
      <c r="G114" s="18">
        <v>148.5</v>
      </c>
      <c r="H114" s="18">
        <f t="shared" si="4"/>
        <v>43.066125000000007</v>
      </c>
      <c r="I114" s="5"/>
      <c r="J114" s="17">
        <v>960.59519999999998</v>
      </c>
      <c r="K114" s="18">
        <v>42.456899999999997</v>
      </c>
      <c r="L114" s="18">
        <v>43.760800000000003</v>
      </c>
      <c r="M114" s="18">
        <v>43.633600000000001</v>
      </c>
      <c r="N114" s="18">
        <v>122.2328</v>
      </c>
      <c r="O114" s="18">
        <f t="shared" si="5"/>
        <v>42.766975000000002</v>
      </c>
      <c r="P114" s="7"/>
      <c r="Q114" s="10"/>
      <c r="R114" s="11"/>
      <c r="S114" s="11"/>
      <c r="T114" s="26"/>
      <c r="U114" s="28">
        <f t="shared" si="3"/>
        <v>-0.1768835016835017</v>
      </c>
    </row>
    <row r="115" spans="2:21" x14ac:dyDescent="0.25">
      <c r="B115" s="9"/>
      <c r="C115" s="17">
        <v>938.71</v>
      </c>
      <c r="D115" s="18">
        <v>39.610999999999997</v>
      </c>
      <c r="E115" s="18">
        <v>41.244</v>
      </c>
      <c r="F115" s="18">
        <v>40.83</v>
      </c>
      <c r="G115" s="18">
        <v>159.15</v>
      </c>
      <c r="H115" s="18">
        <f t="shared" si="4"/>
        <v>39.967499999999994</v>
      </c>
      <c r="I115" s="5"/>
      <c r="J115" s="17">
        <v>586.66330000000005</v>
      </c>
      <c r="K115" s="18">
        <v>39.461100000000002</v>
      </c>
      <c r="L115" s="18">
        <v>41.3491</v>
      </c>
      <c r="M115" s="18">
        <v>41.229900000000001</v>
      </c>
      <c r="N115" s="18">
        <v>148.5026</v>
      </c>
      <c r="O115" s="18">
        <f t="shared" si="5"/>
        <v>39.918199999999999</v>
      </c>
      <c r="P115" s="7"/>
      <c r="Q115" s="10"/>
      <c r="R115" s="11"/>
      <c r="S115" s="11"/>
      <c r="T115" s="26"/>
      <c r="U115" s="28">
        <f t="shared" si="3"/>
        <v>-6.6901665095821572E-2</v>
      </c>
    </row>
    <row r="116" spans="2:21" ht="16.5" thickBot="1" x14ac:dyDescent="0.3">
      <c r="B116" s="12"/>
      <c r="C116" s="19">
        <v>441.6</v>
      </c>
      <c r="D116" s="20">
        <v>34.276000000000003</v>
      </c>
      <c r="E116" s="20">
        <v>37.814</v>
      </c>
      <c r="F116" s="20">
        <v>37.314</v>
      </c>
      <c r="G116" s="20">
        <v>172.73</v>
      </c>
      <c r="H116" s="20">
        <f t="shared" si="4"/>
        <v>35.097999999999999</v>
      </c>
      <c r="I116" s="5"/>
      <c r="J116" s="19">
        <v>294.49639999999999</v>
      </c>
      <c r="K116" s="20">
        <v>35.188800000000001</v>
      </c>
      <c r="L116" s="20">
        <v>38.193899999999999</v>
      </c>
      <c r="M116" s="20">
        <v>38.0379</v>
      </c>
      <c r="N116" s="20">
        <v>182.87110000000001</v>
      </c>
      <c r="O116" s="20">
        <f t="shared" si="5"/>
        <v>35.920574999999999</v>
      </c>
      <c r="P116" s="7"/>
      <c r="Q116" s="13"/>
      <c r="R116" s="14"/>
      <c r="S116" s="14"/>
      <c r="T116" s="27"/>
      <c r="U116" s="28">
        <f t="shared" si="3"/>
        <v>5.871070456782275E-2</v>
      </c>
    </row>
    <row r="117" spans="2:21" x14ac:dyDescent="0.25">
      <c r="B117" s="6" t="s">
        <v>112</v>
      </c>
      <c r="C117" s="15">
        <v>2572.14</v>
      </c>
      <c r="D117" s="16">
        <v>47.243000000000002</v>
      </c>
      <c r="E117" s="16">
        <v>48.959000000000003</v>
      </c>
      <c r="F117" s="16">
        <v>49.115000000000002</v>
      </c>
      <c r="G117" s="16">
        <v>116.2</v>
      </c>
      <c r="H117" s="16">
        <f t="shared" si="4"/>
        <v>47.691500000000005</v>
      </c>
      <c r="I117" s="5"/>
      <c r="J117" s="15">
        <v>1404.8924</v>
      </c>
      <c r="K117" s="16">
        <v>45.396799999999999</v>
      </c>
      <c r="L117" s="16">
        <v>47.5779</v>
      </c>
      <c r="M117" s="16">
        <v>47.838200000000001</v>
      </c>
      <c r="N117" s="16">
        <v>89.650400000000005</v>
      </c>
      <c r="O117" s="16">
        <f t="shared" si="5"/>
        <v>45.974612500000006</v>
      </c>
      <c r="P117" s="7"/>
      <c r="Q117" s="8">
        <f>bdrate(C117:C120,D117:D120,J117:J120,K117:K120)</f>
        <v>-0.40376753718201375</v>
      </c>
      <c r="R117" s="8">
        <f>bdrate(C117:C120,E117:E120,J117:J120,L117:L120)</f>
        <v>-0.44010388335198669</v>
      </c>
      <c r="S117" s="8">
        <f>bdrate(C117:C120,F117:F120,J117:J120,M117:M120)</f>
        <v>-0.44613976301311997</v>
      </c>
      <c r="T117" s="25">
        <f>bdrate(C117:C120,H117:H120,J117:J120,O117:O120)</f>
        <v>-0.41272288228534637</v>
      </c>
      <c r="U117" s="28">
        <f t="shared" si="3"/>
        <v>-0.22848192771084336</v>
      </c>
    </row>
    <row r="118" spans="2:21" x14ac:dyDescent="0.25">
      <c r="B118" s="9"/>
      <c r="C118" s="17">
        <v>1702.28</v>
      </c>
      <c r="D118" s="18">
        <v>44.234000000000002</v>
      </c>
      <c r="E118" s="18">
        <v>46.195</v>
      </c>
      <c r="F118" s="18">
        <v>46.393999999999998</v>
      </c>
      <c r="G118" s="18">
        <v>146.99</v>
      </c>
      <c r="H118" s="18">
        <f t="shared" si="4"/>
        <v>44.749124999999999</v>
      </c>
      <c r="I118" s="5"/>
      <c r="J118" s="17">
        <v>973.99549999999999</v>
      </c>
      <c r="K118" s="18">
        <v>43.825499999999998</v>
      </c>
      <c r="L118" s="18">
        <v>46.292200000000001</v>
      </c>
      <c r="M118" s="18">
        <v>46.546999999999997</v>
      </c>
      <c r="N118" s="18">
        <v>97.783600000000007</v>
      </c>
      <c r="O118" s="18">
        <f t="shared" si="5"/>
        <v>44.474024999999997</v>
      </c>
      <c r="P118" s="7"/>
      <c r="Q118" s="10"/>
      <c r="R118" s="11"/>
      <c r="S118" s="11"/>
      <c r="T118" s="26"/>
      <c r="U118" s="28">
        <f t="shared" si="3"/>
        <v>-0.33476018776787536</v>
      </c>
    </row>
    <row r="119" spans="2:21" x14ac:dyDescent="0.25">
      <c r="B119" s="9"/>
      <c r="C119" s="17">
        <v>1023.69</v>
      </c>
      <c r="D119" s="18">
        <v>40.795000000000002</v>
      </c>
      <c r="E119" s="18">
        <v>43.235999999999997</v>
      </c>
      <c r="F119" s="18">
        <v>43.436999999999998</v>
      </c>
      <c r="G119" s="18">
        <v>161.16</v>
      </c>
      <c r="H119" s="18">
        <f t="shared" si="4"/>
        <v>41.430375000000005</v>
      </c>
      <c r="I119" s="5"/>
      <c r="J119" s="17">
        <v>634.76649999999995</v>
      </c>
      <c r="K119" s="18">
        <v>41.2072</v>
      </c>
      <c r="L119" s="18">
        <v>44.003100000000003</v>
      </c>
      <c r="M119" s="18">
        <v>44.260399999999997</v>
      </c>
      <c r="N119" s="18">
        <v>112.45780000000001</v>
      </c>
      <c r="O119" s="18">
        <f t="shared" si="5"/>
        <v>41.938337500000003</v>
      </c>
      <c r="P119" s="7"/>
      <c r="Q119" s="10"/>
      <c r="R119" s="11"/>
      <c r="S119" s="11"/>
      <c r="T119" s="26"/>
      <c r="U119" s="28">
        <f t="shared" si="3"/>
        <v>-0.30219781583519478</v>
      </c>
    </row>
    <row r="120" spans="2:21" ht="16.5" thickBot="1" x14ac:dyDescent="0.3">
      <c r="B120" s="12"/>
      <c r="C120" s="19">
        <v>479.23</v>
      </c>
      <c r="D120" s="20">
        <v>35.993000000000002</v>
      </c>
      <c r="E120" s="20">
        <v>39.502000000000002</v>
      </c>
      <c r="F120" s="20">
        <v>39.71</v>
      </c>
      <c r="G120" s="20">
        <v>178.62</v>
      </c>
      <c r="H120" s="20">
        <f t="shared" si="4"/>
        <v>36.896250000000002</v>
      </c>
      <c r="I120" s="5"/>
      <c r="J120" s="19">
        <v>341.14929999999998</v>
      </c>
      <c r="K120" s="20">
        <v>37.125500000000002</v>
      </c>
      <c r="L120" s="20">
        <v>40.386499999999998</v>
      </c>
      <c r="M120" s="20">
        <v>40.665199999999999</v>
      </c>
      <c r="N120" s="20">
        <v>175.35310000000001</v>
      </c>
      <c r="O120" s="20">
        <f t="shared" si="5"/>
        <v>37.975587500000003</v>
      </c>
      <c r="P120" s="7"/>
      <c r="Q120" s="13"/>
      <c r="R120" s="14"/>
      <c r="S120" s="14"/>
      <c r="T120" s="27"/>
      <c r="U120" s="28">
        <f t="shared" si="3"/>
        <v>-1.8289665211062549E-2</v>
      </c>
    </row>
    <row r="121" spans="2:21" x14ac:dyDescent="0.25">
      <c r="B121" s="6" t="s">
        <v>113</v>
      </c>
      <c r="C121" s="29">
        <v>2145.96</v>
      </c>
      <c r="D121" s="30">
        <v>31.63</v>
      </c>
      <c r="E121" s="30">
        <v>35.755000000000003</v>
      </c>
      <c r="F121" s="30">
        <v>34.767000000000003</v>
      </c>
      <c r="G121" s="16">
        <v>121.07</v>
      </c>
      <c r="H121" s="16">
        <f t="shared" si="4"/>
        <v>32.537750000000003</v>
      </c>
      <c r="I121" s="5"/>
      <c r="J121" s="29">
        <v>1507.4123</v>
      </c>
      <c r="K121" s="30">
        <v>31.998200000000001</v>
      </c>
      <c r="L121" s="30">
        <v>36.337499999999999</v>
      </c>
      <c r="M121" s="30">
        <v>35.2318</v>
      </c>
      <c r="N121" s="16">
        <v>79.575599999999994</v>
      </c>
      <c r="O121" s="16">
        <f t="shared" si="5"/>
        <v>32.944812500000005</v>
      </c>
      <c r="P121" s="7"/>
      <c r="Q121" s="8">
        <f>bdrate(C121:C124,D121:D124,J121:J124,K121:K124)</f>
        <v>-0.43550989518048233</v>
      </c>
      <c r="R121" s="8">
        <f>bdrate(C121:C124,E121:E124,J121:J124,L121:L124)</f>
        <v>-0.38501250688240241</v>
      </c>
      <c r="S121" s="8">
        <f>bdrate(C121:C124,F121:F124,J121:J124,M121:M124)</f>
        <v>-0.33335808009308032</v>
      </c>
      <c r="T121" s="25">
        <f>bdrate(C121:C124,H121:H124,J121:J124,O121:O124)</f>
        <v>-0.42862423430362562</v>
      </c>
      <c r="U121" s="28">
        <f t="shared" si="3"/>
        <v>-0.34273065168910549</v>
      </c>
    </row>
    <row r="122" spans="2:21" x14ac:dyDescent="0.25">
      <c r="B122" s="9"/>
      <c r="C122" s="31">
        <v>1423.91</v>
      </c>
      <c r="D122" s="32">
        <v>29.486000000000001</v>
      </c>
      <c r="E122" s="32">
        <v>34.816000000000003</v>
      </c>
      <c r="F122" s="32">
        <v>33.781999999999996</v>
      </c>
      <c r="G122" s="18">
        <v>129.94999999999999</v>
      </c>
      <c r="H122" s="18">
        <f t="shared" si="4"/>
        <v>30.689250000000001</v>
      </c>
      <c r="I122" s="5"/>
      <c r="J122" s="31">
        <v>1007.1919</v>
      </c>
      <c r="K122" s="32">
        <v>30.174800000000001</v>
      </c>
      <c r="L122" s="32">
        <v>35.323099999999997</v>
      </c>
      <c r="M122" s="32">
        <v>34.150300000000001</v>
      </c>
      <c r="N122" s="18">
        <v>92.903199999999998</v>
      </c>
      <c r="O122" s="18">
        <f t="shared" si="5"/>
        <v>31.315275</v>
      </c>
      <c r="P122" s="7"/>
      <c r="Q122" s="10"/>
      <c r="R122" s="11"/>
      <c r="S122" s="11"/>
      <c r="T122" s="26"/>
      <c r="U122" s="28">
        <f t="shared" si="3"/>
        <v>-0.28508503270488644</v>
      </c>
    </row>
    <row r="123" spans="2:21" x14ac:dyDescent="0.25">
      <c r="B123" s="9"/>
      <c r="C123" s="31">
        <v>855.9</v>
      </c>
      <c r="D123" s="32">
        <v>26.888000000000002</v>
      </c>
      <c r="E123" s="32">
        <v>33.887</v>
      </c>
      <c r="F123" s="32">
        <v>32.82</v>
      </c>
      <c r="G123" s="18">
        <v>141.05000000000001</v>
      </c>
      <c r="H123" s="18">
        <f t="shared" si="4"/>
        <v>28.504375</v>
      </c>
      <c r="I123" s="5"/>
      <c r="J123" s="31">
        <v>602.17089999999996</v>
      </c>
      <c r="K123" s="32">
        <v>28.078299999999999</v>
      </c>
      <c r="L123" s="32">
        <v>34.090800000000002</v>
      </c>
      <c r="M123" s="32">
        <v>32.821800000000003</v>
      </c>
      <c r="N123" s="18">
        <v>119.56950000000001</v>
      </c>
      <c r="O123" s="18">
        <f t="shared" si="5"/>
        <v>29.422799999999999</v>
      </c>
      <c r="P123" s="7"/>
      <c r="Q123" s="10"/>
      <c r="R123" s="11"/>
      <c r="S123" s="11"/>
      <c r="T123" s="26"/>
      <c r="U123" s="28">
        <f t="shared" si="3"/>
        <v>-0.15228996809641973</v>
      </c>
    </row>
    <row r="124" spans="2:21" ht="16.5" thickBot="1" x14ac:dyDescent="0.3">
      <c r="B124" s="12"/>
      <c r="C124" s="33">
        <v>382.43</v>
      </c>
      <c r="D124" s="34">
        <v>22.846</v>
      </c>
      <c r="E124" s="34">
        <v>31.454000000000001</v>
      </c>
      <c r="F124" s="34">
        <v>30.257999999999999</v>
      </c>
      <c r="G124" s="20">
        <v>152.03</v>
      </c>
      <c r="H124" s="20">
        <f t="shared" si="4"/>
        <v>24.848500000000001</v>
      </c>
      <c r="I124" s="5"/>
      <c r="J124" s="33">
        <v>303.10469999999998</v>
      </c>
      <c r="K124" s="34">
        <v>25.605399999999999</v>
      </c>
      <c r="L124" s="34">
        <v>32.328400000000002</v>
      </c>
      <c r="M124" s="34">
        <v>30.9269</v>
      </c>
      <c r="N124" s="20">
        <v>159.3767</v>
      </c>
      <c r="O124" s="20">
        <f t="shared" si="5"/>
        <v>27.110962499999999</v>
      </c>
      <c r="P124" s="7"/>
      <c r="Q124" s="13"/>
      <c r="R124" s="14"/>
      <c r="S124" s="14"/>
      <c r="T124" s="27"/>
      <c r="U124" s="28">
        <f t="shared" si="3"/>
        <v>4.8324014997040046E-2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-0.46683320271482492</v>
      </c>
      <c r="R125" s="21">
        <f>AVERAGE(R9:R124)</f>
        <v>-0.54612149846878932</v>
      </c>
      <c r="S125" s="21">
        <f>AVERAGE(S9:S124)</f>
        <v>-0.53909807069518567</v>
      </c>
      <c r="T125" s="21">
        <f>AVERAGE(T9:T124)</f>
        <v>-0.48204533414837181</v>
      </c>
      <c r="U125" s="21">
        <f>AVERAGE(U9:U124)</f>
        <v>-0.14896103790810578</v>
      </c>
    </row>
    <row r="127" spans="2:21" s="35" customFormat="1" ht="15.75" customHeight="1" x14ac:dyDescent="0.25">
      <c r="B127" s="58" t="s">
        <v>29</v>
      </c>
      <c r="C127" s="60" t="s">
        <v>155</v>
      </c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2"/>
    </row>
    <row r="128" spans="2:21" s="35" customFormat="1" x14ac:dyDescent="0.25">
      <c r="B128" s="59"/>
      <c r="C128" s="63"/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5"/>
    </row>
    <row r="129" spans="1:21" ht="16.5" customHeight="1" thickBot="1" x14ac:dyDescent="0.3">
      <c r="C129" s="66" t="s">
        <v>156</v>
      </c>
      <c r="D129" s="67"/>
      <c r="E129" s="67"/>
      <c r="F129" s="67"/>
      <c r="G129" s="67"/>
      <c r="H129" s="67"/>
      <c r="I129" s="5"/>
      <c r="J129" s="66" t="s">
        <v>157</v>
      </c>
      <c r="K129" s="67"/>
      <c r="L129" s="67"/>
      <c r="M129" s="67"/>
      <c r="N129" s="67"/>
      <c r="O129" s="67"/>
      <c r="Q129" s="66" t="s">
        <v>7</v>
      </c>
      <c r="R129" s="67"/>
      <c r="S129" s="68"/>
      <c r="T129" s="36"/>
      <c r="U129" s="69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9"/>
    </row>
    <row r="131" spans="1:21" x14ac:dyDescent="0.25">
      <c r="A131" s="6" t="s">
        <v>35</v>
      </c>
      <c r="B131" s="6" t="s">
        <v>46</v>
      </c>
      <c r="C131" s="15">
        <v>5904.5</v>
      </c>
      <c r="D131" s="16">
        <v>36.344999999999999</v>
      </c>
      <c r="E131" s="16">
        <v>37.972000000000001</v>
      </c>
      <c r="F131" s="16">
        <v>40.139000000000003</v>
      </c>
      <c r="G131" s="16">
        <v>64.099999999999994</v>
      </c>
      <c r="H131" s="16">
        <f t="shared" ref="H131:H202" si="6">(6*D131+E131+F131)/8</f>
        <v>37.022624999999998</v>
      </c>
      <c r="I131" s="5"/>
      <c r="J131" s="15">
        <v>4024.4656</v>
      </c>
      <c r="K131" s="16">
        <v>37.536900000000003</v>
      </c>
      <c r="L131" s="16">
        <v>39.373199999999997</v>
      </c>
      <c r="M131" s="16">
        <v>41.851399999999998</v>
      </c>
      <c r="N131" s="16">
        <v>61.652299999999997</v>
      </c>
      <c r="O131" s="16">
        <f t="shared" ref="O131:O202" si="7">(6*K131+L131+M131)/8</f>
        <v>38.305750000000003</v>
      </c>
      <c r="P131" s="7"/>
      <c r="Q131" s="8">
        <f>bdrate(C131:C134,D131:D134,J131:J134,K131:K134)</f>
        <v>-0.53401055835751776</v>
      </c>
      <c r="R131" s="8">
        <f>bdrate(C131:C134,E131:E134,J131:J134,L131:L134)</f>
        <v>-0.67391573761282575</v>
      </c>
      <c r="S131" s="8">
        <f>bdrate(C131:C134,F131:F134,J131:J134,M131:M134)</f>
        <v>-0.68616719216492394</v>
      </c>
      <c r="T131" s="25">
        <f>bdrate(C131:C134,H131:H134,J131:J134,O131:O134)</f>
        <v>-0.55561806974175565</v>
      </c>
      <c r="U131" s="28">
        <f t="shared" ref="U131:U194" si="8">(N131-G131)/G131</f>
        <v>-3.8185647425897001E-2</v>
      </c>
    </row>
    <row r="132" spans="1:21" x14ac:dyDescent="0.25">
      <c r="A132" s="9" t="s">
        <v>36</v>
      </c>
      <c r="B132" s="9"/>
      <c r="C132" s="17">
        <v>4376.5</v>
      </c>
      <c r="D132" s="18">
        <v>35.319000000000003</v>
      </c>
      <c r="E132" s="18">
        <v>37.648000000000003</v>
      </c>
      <c r="F132" s="18">
        <v>39.838000000000001</v>
      </c>
      <c r="G132" s="18">
        <v>79.489999999999995</v>
      </c>
      <c r="H132" s="18">
        <f t="shared" si="6"/>
        <v>36.175000000000004</v>
      </c>
      <c r="I132" s="5"/>
      <c r="J132" s="17">
        <v>2958.1264000000001</v>
      </c>
      <c r="K132" s="18">
        <v>36.595300000000002</v>
      </c>
      <c r="L132" s="18">
        <v>38.8127</v>
      </c>
      <c r="M132" s="18">
        <v>41.159100000000002</v>
      </c>
      <c r="N132" s="18">
        <v>68.681299999999993</v>
      </c>
      <c r="O132" s="18">
        <f t="shared" si="7"/>
        <v>37.442950000000003</v>
      </c>
      <c r="P132" s="7"/>
      <c r="Q132" s="10"/>
      <c r="R132" s="11"/>
      <c r="S132" s="11"/>
      <c r="T132" s="26"/>
      <c r="U132" s="28">
        <f t="shared" si="8"/>
        <v>-0.13597559441439178</v>
      </c>
    </row>
    <row r="133" spans="1:21" x14ac:dyDescent="0.25">
      <c r="B133" s="9"/>
      <c r="C133" s="17">
        <v>2883.05</v>
      </c>
      <c r="D133" s="18">
        <v>33.524000000000001</v>
      </c>
      <c r="E133" s="18">
        <v>36.853000000000002</v>
      </c>
      <c r="F133" s="18">
        <v>39.006</v>
      </c>
      <c r="G133" s="18">
        <v>80.819999999999993</v>
      </c>
      <c r="H133" s="18">
        <f t="shared" si="6"/>
        <v>34.625375000000005</v>
      </c>
      <c r="I133" s="5"/>
      <c r="J133" s="17">
        <v>1933.8943999999999</v>
      </c>
      <c r="K133" s="18">
        <v>34.977899999999998</v>
      </c>
      <c r="L133" s="18">
        <v>38.115699999999997</v>
      </c>
      <c r="M133" s="18">
        <v>40.405500000000004</v>
      </c>
      <c r="N133" s="18">
        <v>75.528700000000001</v>
      </c>
      <c r="O133" s="18">
        <f t="shared" si="7"/>
        <v>36.048575</v>
      </c>
      <c r="P133" s="7"/>
      <c r="Q133" s="10"/>
      <c r="R133" s="11"/>
      <c r="S133" s="11"/>
      <c r="T133" s="26"/>
      <c r="U133" s="28">
        <f t="shared" si="8"/>
        <v>-6.5470180648354276E-2</v>
      </c>
    </row>
    <row r="134" spans="1:21" ht="16.5" thickBot="1" x14ac:dyDescent="0.3">
      <c r="B134" s="12"/>
      <c r="C134" s="19">
        <v>1405.22</v>
      </c>
      <c r="D134" s="20">
        <v>30.077000000000002</v>
      </c>
      <c r="E134" s="20">
        <v>35.825000000000003</v>
      </c>
      <c r="F134" s="20">
        <v>37.840000000000003</v>
      </c>
      <c r="G134" s="20">
        <v>84.32</v>
      </c>
      <c r="H134" s="20">
        <f t="shared" si="6"/>
        <v>31.765875000000005</v>
      </c>
      <c r="I134" s="5"/>
      <c r="J134" s="19">
        <v>923.28160000000003</v>
      </c>
      <c r="K134" s="20">
        <v>32.0854</v>
      </c>
      <c r="L134" s="20">
        <v>36.857900000000001</v>
      </c>
      <c r="M134" s="20">
        <v>39.088900000000002</v>
      </c>
      <c r="N134" s="20">
        <v>86.655100000000004</v>
      </c>
      <c r="O134" s="20">
        <f t="shared" si="7"/>
        <v>33.557400000000001</v>
      </c>
      <c r="P134" s="7"/>
      <c r="Q134" s="13"/>
      <c r="R134" s="14"/>
      <c r="S134" s="14"/>
      <c r="T134" s="27"/>
      <c r="U134" s="28">
        <f t="shared" si="8"/>
        <v>2.7693311195446057E-2</v>
      </c>
    </row>
    <row r="135" spans="1:21" x14ac:dyDescent="0.25">
      <c r="B135" s="6" t="s">
        <v>47</v>
      </c>
      <c r="C135" s="15">
        <v>6098.66</v>
      </c>
      <c r="D135" s="16">
        <v>29.097000000000001</v>
      </c>
      <c r="E135" s="16">
        <v>38.906999999999996</v>
      </c>
      <c r="F135" s="16">
        <v>39.656999999999996</v>
      </c>
      <c r="G135" s="16">
        <v>62.84</v>
      </c>
      <c r="H135" s="16">
        <f t="shared" si="6"/>
        <v>31.643249999999995</v>
      </c>
      <c r="I135" s="5"/>
      <c r="J135" s="15">
        <v>4044.0848000000001</v>
      </c>
      <c r="K135" s="16">
        <v>28.9941</v>
      </c>
      <c r="L135" s="16">
        <v>39.227800000000002</v>
      </c>
      <c r="M135" s="16">
        <v>40.202100000000002</v>
      </c>
      <c r="N135" s="16">
        <v>49.554000000000002</v>
      </c>
      <c r="O135" s="16">
        <f t="shared" si="7"/>
        <v>31.674312499999999</v>
      </c>
      <c r="P135" s="7"/>
      <c r="Q135" s="8">
        <f>bdrate(C135:C138,D135:D138,J135:J138,K135:K138)</f>
        <v>-0.3658661492860209</v>
      </c>
      <c r="R135" s="8">
        <f>bdrate(C135:C138,E135:E138,J135:J138,L135:L138)</f>
        <v>-0.42688805724375289</v>
      </c>
      <c r="S135" s="8">
        <f>bdrate(C135:C138,F135:F138,J135:J138,M135:M138)</f>
        <v>-0.52982486213510605</v>
      </c>
      <c r="T135" s="25">
        <f>bdrate(C135:C138,H135:H138,J135:J138,O135:O138)</f>
        <v>-0.3816468319549795</v>
      </c>
      <c r="U135" s="28">
        <f t="shared" si="8"/>
        <v>-0.21142584341183959</v>
      </c>
    </row>
    <row r="136" spans="1:21" x14ac:dyDescent="0.25">
      <c r="B136" s="9"/>
      <c r="C136" s="17">
        <v>4533</v>
      </c>
      <c r="D136" s="18">
        <v>27.591000000000001</v>
      </c>
      <c r="E136" s="18">
        <v>38.417999999999999</v>
      </c>
      <c r="F136" s="18">
        <v>39.154000000000003</v>
      </c>
      <c r="G136" s="18">
        <v>69.16</v>
      </c>
      <c r="H136" s="18">
        <f t="shared" si="6"/>
        <v>30.389749999999999</v>
      </c>
      <c r="I136" s="5"/>
      <c r="J136" s="17">
        <v>3038.4432000000002</v>
      </c>
      <c r="K136" s="18">
        <v>27.666499999999999</v>
      </c>
      <c r="L136" s="18">
        <v>38.723300000000002</v>
      </c>
      <c r="M136" s="18">
        <v>39.770000000000003</v>
      </c>
      <c r="N136" s="18">
        <v>57.915100000000002</v>
      </c>
      <c r="O136" s="18">
        <f t="shared" si="7"/>
        <v>30.5615375</v>
      </c>
      <c r="P136" s="7"/>
      <c r="Q136" s="10"/>
      <c r="R136" s="11"/>
      <c r="S136" s="11"/>
      <c r="T136" s="26"/>
      <c r="U136" s="28">
        <f t="shared" si="8"/>
        <v>-0.16259253903990739</v>
      </c>
    </row>
    <row r="137" spans="1:21" x14ac:dyDescent="0.25">
      <c r="B137" s="9"/>
      <c r="C137" s="17">
        <v>3016.57</v>
      </c>
      <c r="D137" s="18">
        <v>25.657</v>
      </c>
      <c r="E137" s="18">
        <v>37.616</v>
      </c>
      <c r="F137" s="18">
        <v>38.363999999999997</v>
      </c>
      <c r="G137" s="18">
        <v>68.680000000000007</v>
      </c>
      <c r="H137" s="18">
        <f t="shared" si="6"/>
        <v>28.74025</v>
      </c>
      <c r="I137" s="5"/>
      <c r="J137" s="17">
        <v>2010.8815999999999</v>
      </c>
      <c r="K137" s="18">
        <v>25.859200000000001</v>
      </c>
      <c r="L137" s="18">
        <v>37.984099999999998</v>
      </c>
      <c r="M137" s="18">
        <v>39.096600000000002</v>
      </c>
      <c r="N137" s="18">
        <v>67.689499999999995</v>
      </c>
      <c r="O137" s="18">
        <f t="shared" si="7"/>
        <v>29.029487499999998</v>
      </c>
      <c r="P137" s="7"/>
      <c r="Q137" s="10"/>
      <c r="R137" s="11"/>
      <c r="S137" s="11"/>
      <c r="T137" s="26"/>
      <c r="U137" s="28">
        <f t="shared" si="8"/>
        <v>-1.4421956901572676E-2</v>
      </c>
    </row>
    <row r="138" spans="1:21" ht="16.5" thickBot="1" x14ac:dyDescent="0.3">
      <c r="B138" s="12"/>
      <c r="C138" s="19">
        <v>1621.27</v>
      </c>
      <c r="D138" s="20">
        <v>22.465</v>
      </c>
      <c r="E138" s="20">
        <v>36.159999999999997</v>
      </c>
      <c r="F138" s="20">
        <v>37.026000000000003</v>
      </c>
      <c r="G138" s="20">
        <v>70.16</v>
      </c>
      <c r="H138" s="20">
        <f t="shared" si="6"/>
        <v>25.997</v>
      </c>
      <c r="I138" s="5"/>
      <c r="J138" s="19">
        <v>1158.2464</v>
      </c>
      <c r="K138" s="20">
        <v>23.910499999999999</v>
      </c>
      <c r="L138" s="20">
        <v>36.500599999999999</v>
      </c>
      <c r="M138" s="20">
        <v>37.776200000000003</v>
      </c>
      <c r="N138" s="20">
        <v>78.206500000000005</v>
      </c>
      <c r="O138" s="20">
        <f t="shared" si="7"/>
        <v>27.217475</v>
      </c>
      <c r="P138" s="7"/>
      <c r="Q138" s="13"/>
      <c r="R138" s="14"/>
      <c r="S138" s="14"/>
      <c r="T138" s="27"/>
      <c r="U138" s="28">
        <f t="shared" si="8"/>
        <v>0.11468785632839237</v>
      </c>
    </row>
    <row r="139" spans="1:21" x14ac:dyDescent="0.25">
      <c r="A139" s="6" t="s">
        <v>37</v>
      </c>
      <c r="B139" s="6" t="s">
        <v>48</v>
      </c>
      <c r="C139" s="15">
        <v>3203.21</v>
      </c>
      <c r="D139" s="16">
        <v>38.204000000000001</v>
      </c>
      <c r="E139" s="16">
        <v>41.404000000000003</v>
      </c>
      <c r="F139" s="16">
        <v>42.360999999999997</v>
      </c>
      <c r="G139" s="16">
        <v>120.06</v>
      </c>
      <c r="H139" s="16">
        <f t="shared" si="6"/>
        <v>39.123624999999997</v>
      </c>
      <c r="I139" s="5"/>
      <c r="J139" s="15">
        <v>2395.2592</v>
      </c>
      <c r="K139" s="16">
        <v>38.930900000000001</v>
      </c>
      <c r="L139" s="16">
        <v>41.83</v>
      </c>
      <c r="M139" s="16">
        <v>43.159500000000001</v>
      </c>
      <c r="N139" s="16">
        <v>121.15089999999999</v>
      </c>
      <c r="O139" s="16">
        <f t="shared" si="7"/>
        <v>39.821862499999995</v>
      </c>
      <c r="P139" s="7"/>
      <c r="Q139" s="8">
        <f>bdrate(C139:C142,D139:D142,J139:J142,K139:K142)</f>
        <v>-0.45764447447781642</v>
      </c>
      <c r="R139" s="8">
        <f>bdrate(C139:C142,E139:E142,J139:J142,L139:L142)</f>
        <v>-0.41955590403910947</v>
      </c>
      <c r="S139" s="8">
        <f>bdrate(C139:C142,F139:F142,J139:J142,M139:M142)</f>
        <v>-0.51759280917532091</v>
      </c>
      <c r="T139" s="25">
        <f>bdrate(C139:C142,H139:H142,J139:J142,O139:O142)</f>
        <v>-0.45972572993979033</v>
      </c>
      <c r="U139" s="28">
        <f t="shared" si="8"/>
        <v>9.0862901882391364E-3</v>
      </c>
    </row>
    <row r="140" spans="1:21" x14ac:dyDescent="0.25">
      <c r="A140" s="9" t="s">
        <v>38</v>
      </c>
      <c r="B140" s="9"/>
      <c r="C140" s="17">
        <v>2096.5</v>
      </c>
      <c r="D140" s="18">
        <v>36.676000000000002</v>
      </c>
      <c r="E140" s="18">
        <v>40.786999999999999</v>
      </c>
      <c r="F140" s="18">
        <v>41.701999999999998</v>
      </c>
      <c r="G140" s="18">
        <v>136.05000000000001</v>
      </c>
      <c r="H140" s="18">
        <f t="shared" si="6"/>
        <v>37.818125000000002</v>
      </c>
      <c r="I140" s="5"/>
      <c r="J140" s="17">
        <v>1571.6152</v>
      </c>
      <c r="K140" s="18">
        <v>37.654200000000003</v>
      </c>
      <c r="L140" s="18">
        <v>41.144799999999996</v>
      </c>
      <c r="M140" s="18">
        <v>42.383800000000001</v>
      </c>
      <c r="N140" s="18">
        <v>139.86009999999999</v>
      </c>
      <c r="O140" s="18">
        <f t="shared" si="7"/>
        <v>38.681725</v>
      </c>
      <c r="P140" s="7"/>
      <c r="Q140" s="10"/>
      <c r="R140" s="11"/>
      <c r="S140" s="11"/>
      <c r="T140" s="26"/>
      <c r="U140" s="28">
        <f t="shared" si="8"/>
        <v>2.8005145167217766E-2</v>
      </c>
    </row>
    <row r="141" spans="1:21" x14ac:dyDescent="0.25">
      <c r="B141" s="9"/>
      <c r="C141" s="17">
        <v>1295.8</v>
      </c>
      <c r="D141" s="18">
        <v>34.82</v>
      </c>
      <c r="E141" s="18">
        <v>40.014000000000003</v>
      </c>
      <c r="F141" s="18">
        <v>40.857999999999997</v>
      </c>
      <c r="G141" s="18">
        <v>138.57</v>
      </c>
      <c r="H141" s="18">
        <f t="shared" si="6"/>
        <v>36.224000000000004</v>
      </c>
      <c r="I141" s="5"/>
      <c r="J141" s="17">
        <v>961.54560000000004</v>
      </c>
      <c r="K141" s="18">
        <v>36.067700000000002</v>
      </c>
      <c r="L141" s="18">
        <v>40.4056</v>
      </c>
      <c r="M141" s="18">
        <v>41.572099999999999</v>
      </c>
      <c r="N141" s="18">
        <v>152.381</v>
      </c>
      <c r="O141" s="18">
        <f t="shared" si="7"/>
        <v>37.297987499999998</v>
      </c>
      <c r="P141" s="7"/>
      <c r="Q141" s="10"/>
      <c r="R141" s="11"/>
      <c r="S141" s="11"/>
      <c r="T141" s="26"/>
      <c r="U141" s="28">
        <f t="shared" si="8"/>
        <v>9.9668037814822891E-2</v>
      </c>
    </row>
    <row r="142" spans="1:21" ht="16.5" thickBot="1" x14ac:dyDescent="0.3">
      <c r="B142" s="12"/>
      <c r="C142" s="19">
        <v>764.63</v>
      </c>
      <c r="D142" s="20">
        <v>32.564</v>
      </c>
      <c r="E142" s="20">
        <v>39.173000000000002</v>
      </c>
      <c r="F142" s="20">
        <v>40.162999999999997</v>
      </c>
      <c r="G142" s="20">
        <v>147.87</v>
      </c>
      <c r="H142" s="20">
        <f t="shared" si="6"/>
        <v>34.340000000000003</v>
      </c>
      <c r="I142" s="5"/>
      <c r="J142" s="19">
        <v>559.78560000000004</v>
      </c>
      <c r="K142" s="20">
        <v>34.195999999999998</v>
      </c>
      <c r="L142" s="20">
        <v>39.603200000000001</v>
      </c>
      <c r="M142" s="20">
        <v>40.8127</v>
      </c>
      <c r="N142" s="20">
        <v>167.2474</v>
      </c>
      <c r="O142" s="20">
        <f t="shared" si="7"/>
        <v>35.698987500000001</v>
      </c>
      <c r="P142" s="7"/>
      <c r="Q142" s="13"/>
      <c r="R142" s="14"/>
      <c r="S142" s="14"/>
      <c r="T142" s="27"/>
      <c r="U142" s="28">
        <f t="shared" si="8"/>
        <v>0.13104348414147557</v>
      </c>
    </row>
    <row r="143" spans="1:21" x14ac:dyDescent="0.25">
      <c r="B143" s="6" t="s">
        <v>49</v>
      </c>
      <c r="C143" s="15">
        <v>3506.52</v>
      </c>
      <c r="D143" s="16">
        <v>35.195</v>
      </c>
      <c r="E143" s="16">
        <v>38.497999999999998</v>
      </c>
      <c r="F143" s="16">
        <v>39.71</v>
      </c>
      <c r="G143" s="16">
        <v>126.05</v>
      </c>
      <c r="H143" s="16">
        <f t="shared" si="6"/>
        <v>36.172249999999998</v>
      </c>
      <c r="I143" s="5"/>
      <c r="J143" s="15">
        <v>2447.44</v>
      </c>
      <c r="K143" s="16">
        <v>35.734999999999999</v>
      </c>
      <c r="L143" s="16">
        <v>39.786700000000003</v>
      </c>
      <c r="M143" s="16">
        <v>41.006900000000002</v>
      </c>
      <c r="N143" s="16">
        <v>103.98609999999999</v>
      </c>
      <c r="O143" s="16">
        <f t="shared" si="7"/>
        <v>36.900449999999999</v>
      </c>
      <c r="P143" s="7"/>
      <c r="Q143" s="8">
        <f>bdrate(C143:C146,D143:D146,J143:J146,K143:K146)</f>
        <v>-0.45018662255097586</v>
      </c>
      <c r="R143" s="8">
        <f>bdrate(C143:C146,E143:E146,J143:J146,L143:L146)</f>
        <v>-0.60955076807726927</v>
      </c>
      <c r="S143" s="8">
        <f>bdrate(C143:C146,F143:F146,J143:J146,M143:M146)</f>
        <v>-0.62268169694402276</v>
      </c>
      <c r="T143" s="25">
        <f>bdrate(C143:C146,H143:H146,J143:J146,O143:O146)</f>
        <v>-0.47737065070031393</v>
      </c>
      <c r="U143" s="28">
        <f t="shared" si="8"/>
        <v>-0.17504085680285605</v>
      </c>
    </row>
    <row r="144" spans="1:21" x14ac:dyDescent="0.25">
      <c r="B144" s="9"/>
      <c r="C144" s="17">
        <v>2322.6999999999998</v>
      </c>
      <c r="D144" s="18">
        <v>33.768999999999998</v>
      </c>
      <c r="E144" s="18">
        <v>37.905000000000001</v>
      </c>
      <c r="F144" s="18">
        <v>39.256</v>
      </c>
      <c r="G144" s="18">
        <v>145.19</v>
      </c>
      <c r="H144" s="18">
        <f t="shared" si="6"/>
        <v>34.971874999999997</v>
      </c>
      <c r="I144" s="5"/>
      <c r="J144" s="17">
        <v>1663.3751999999999</v>
      </c>
      <c r="K144" s="18">
        <v>34.502000000000002</v>
      </c>
      <c r="L144" s="18">
        <v>39.064599999999999</v>
      </c>
      <c r="M144" s="18">
        <v>40.3065</v>
      </c>
      <c r="N144" s="18">
        <v>129.31030000000001</v>
      </c>
      <c r="O144" s="18">
        <f t="shared" si="7"/>
        <v>35.797887500000002</v>
      </c>
      <c r="P144" s="7"/>
      <c r="Q144" s="10"/>
      <c r="R144" s="11"/>
      <c r="S144" s="11"/>
      <c r="T144" s="26"/>
      <c r="U144" s="28">
        <f t="shared" si="8"/>
        <v>-0.10937185756594797</v>
      </c>
    </row>
    <row r="145" spans="1:21" x14ac:dyDescent="0.25">
      <c r="B145" s="9"/>
      <c r="C145" s="17">
        <v>1447.26</v>
      </c>
      <c r="D145" s="18">
        <v>32.070999999999998</v>
      </c>
      <c r="E145" s="18">
        <v>37.286000000000001</v>
      </c>
      <c r="F145" s="18">
        <v>38.719000000000001</v>
      </c>
      <c r="G145" s="18">
        <v>150.75</v>
      </c>
      <c r="H145" s="18">
        <f t="shared" si="6"/>
        <v>33.553874999999998</v>
      </c>
      <c r="I145" s="5"/>
      <c r="J145" s="17">
        <v>1021.1128</v>
      </c>
      <c r="K145" s="18">
        <v>32.990699999999997</v>
      </c>
      <c r="L145" s="18">
        <v>38.136200000000002</v>
      </c>
      <c r="M145" s="18">
        <v>39.476799999999997</v>
      </c>
      <c r="N145" s="18">
        <v>142.51779999999999</v>
      </c>
      <c r="O145" s="18">
        <f t="shared" si="7"/>
        <v>34.444649999999996</v>
      </c>
      <c r="P145" s="7"/>
      <c r="Q145" s="10"/>
      <c r="R145" s="11"/>
      <c r="S145" s="11"/>
      <c r="T145" s="26"/>
      <c r="U145" s="28">
        <f t="shared" si="8"/>
        <v>-5.4608291873963558E-2</v>
      </c>
    </row>
    <row r="146" spans="1:21" ht="16.5" thickBot="1" x14ac:dyDescent="0.3">
      <c r="B146" s="12"/>
      <c r="C146" s="19">
        <v>864.33</v>
      </c>
      <c r="D146" s="20">
        <v>30.257999999999999</v>
      </c>
      <c r="E146" s="20">
        <v>36.667999999999999</v>
      </c>
      <c r="F146" s="20">
        <v>38.165999999999997</v>
      </c>
      <c r="G146" s="20">
        <v>155.34</v>
      </c>
      <c r="H146" s="20">
        <f t="shared" si="6"/>
        <v>32.047750000000001</v>
      </c>
      <c r="I146" s="5"/>
      <c r="J146" s="19">
        <v>586.05439999999999</v>
      </c>
      <c r="K146" s="20">
        <v>31.331800000000001</v>
      </c>
      <c r="L146" s="20">
        <v>37.1952</v>
      </c>
      <c r="M146" s="20">
        <v>38.716099999999997</v>
      </c>
      <c r="N146" s="20">
        <v>163.5992</v>
      </c>
      <c r="O146" s="20">
        <f t="shared" si="7"/>
        <v>32.987762500000002</v>
      </c>
      <c r="P146" s="7"/>
      <c r="Q146" s="13"/>
      <c r="R146" s="14"/>
      <c r="S146" s="14"/>
      <c r="T146" s="27"/>
      <c r="U146" s="28">
        <f t="shared" si="8"/>
        <v>5.3168533539333027E-2</v>
      </c>
    </row>
    <row r="147" spans="1:21" x14ac:dyDescent="0.25">
      <c r="B147" s="6" t="s">
        <v>50</v>
      </c>
      <c r="C147" s="15">
        <v>3604.35</v>
      </c>
      <c r="D147" s="16">
        <v>32.706000000000003</v>
      </c>
      <c r="E147" s="16">
        <v>37.237000000000002</v>
      </c>
      <c r="F147" s="16">
        <v>38.414000000000001</v>
      </c>
      <c r="G147" s="16">
        <v>100.75</v>
      </c>
      <c r="H147" s="16">
        <f t="shared" si="6"/>
        <v>33.985875</v>
      </c>
      <c r="I147" s="5"/>
      <c r="J147" s="15">
        <v>2409.0176000000001</v>
      </c>
      <c r="K147" s="16">
        <v>33.795200000000001</v>
      </c>
      <c r="L147" s="16">
        <v>38.050699999999999</v>
      </c>
      <c r="M147" s="16">
        <v>40.0077</v>
      </c>
      <c r="N147" s="16">
        <v>130.20830000000001</v>
      </c>
      <c r="O147" s="16">
        <f t="shared" si="7"/>
        <v>35.103700000000003</v>
      </c>
      <c r="P147" s="7"/>
      <c r="Q147" s="8">
        <f>bdrate(C147:C150,D147:D150,J147:J150,K147:K150)</f>
        <v>-0.55877111942836444</v>
      </c>
      <c r="R147" s="8">
        <f>bdrate(C147:C150,E147:E150,J147:J150,L147:L150)</f>
        <v>-0.64951001015191934</v>
      </c>
      <c r="S147" s="8">
        <f>bdrate(C147:C150,F147:F150,J147:J150,M147:M150)</f>
        <v>-0.66748570848121958</v>
      </c>
      <c r="T147" s="25">
        <f>bdrate(C147:C150,H147:H150,J147:J150,O147:O150)</f>
        <v>-0.57460593180306074</v>
      </c>
      <c r="U147" s="28">
        <f t="shared" si="8"/>
        <v>0.29239007444168741</v>
      </c>
    </row>
    <row r="148" spans="1:21" x14ac:dyDescent="0.25">
      <c r="B148" s="9"/>
      <c r="C148" s="17">
        <v>2411.73</v>
      </c>
      <c r="D148" s="18">
        <v>31.19</v>
      </c>
      <c r="E148" s="18">
        <v>36.804000000000002</v>
      </c>
      <c r="F148" s="18">
        <v>37.651000000000003</v>
      </c>
      <c r="G148" s="18">
        <v>151.88</v>
      </c>
      <c r="H148" s="18">
        <f t="shared" si="6"/>
        <v>32.699375000000003</v>
      </c>
      <c r="I148" s="5"/>
      <c r="J148" s="17">
        <v>1605.3584000000001</v>
      </c>
      <c r="K148" s="18">
        <v>32.551299999999998</v>
      </c>
      <c r="L148" s="18">
        <v>37.595300000000002</v>
      </c>
      <c r="M148" s="18">
        <v>39.149500000000003</v>
      </c>
      <c r="N148" s="18">
        <v>162.65450000000001</v>
      </c>
      <c r="O148" s="18">
        <f t="shared" si="7"/>
        <v>34.006574999999998</v>
      </c>
      <c r="P148" s="7"/>
      <c r="Q148" s="10"/>
      <c r="R148" s="11"/>
      <c r="S148" s="11"/>
      <c r="T148" s="26"/>
      <c r="U148" s="28">
        <f t="shared" si="8"/>
        <v>7.0940874374506302E-2</v>
      </c>
    </row>
    <row r="149" spans="1:21" x14ac:dyDescent="0.25">
      <c r="B149" s="9"/>
      <c r="C149" s="17">
        <v>1500.22</v>
      </c>
      <c r="D149" s="18">
        <v>29.251999999999999</v>
      </c>
      <c r="E149" s="18">
        <v>36.143999999999998</v>
      </c>
      <c r="F149" s="18">
        <v>36.616</v>
      </c>
      <c r="G149" s="18">
        <v>146.37</v>
      </c>
      <c r="H149" s="18">
        <f t="shared" si="6"/>
        <v>31.033999999999999</v>
      </c>
      <c r="I149" s="5"/>
      <c r="J149" s="17">
        <v>997.94079999999997</v>
      </c>
      <c r="K149" s="18">
        <v>30.923200000000001</v>
      </c>
      <c r="L149" s="18">
        <v>37.011600000000001</v>
      </c>
      <c r="M149" s="18">
        <v>38.113300000000002</v>
      </c>
      <c r="N149" s="18">
        <v>176.92850000000001</v>
      </c>
      <c r="O149" s="18">
        <f t="shared" si="7"/>
        <v>32.583012499999995</v>
      </c>
      <c r="P149" s="7"/>
      <c r="Q149" s="10"/>
      <c r="R149" s="11"/>
      <c r="S149" s="11"/>
      <c r="T149" s="26"/>
      <c r="U149" s="28">
        <f t="shared" si="8"/>
        <v>0.20877570540411292</v>
      </c>
    </row>
    <row r="150" spans="1:21" ht="16.5" thickBot="1" x14ac:dyDescent="0.3">
      <c r="B150" s="12"/>
      <c r="C150" s="19">
        <v>896.79</v>
      </c>
      <c r="D150" s="20">
        <v>27.09</v>
      </c>
      <c r="E150" s="20">
        <v>35.728999999999999</v>
      </c>
      <c r="F150" s="20">
        <v>35.872999999999998</v>
      </c>
      <c r="G150" s="20">
        <v>152.63</v>
      </c>
      <c r="H150" s="20">
        <f t="shared" si="6"/>
        <v>29.267749999999999</v>
      </c>
      <c r="I150" s="5"/>
      <c r="J150" s="19">
        <v>600.27520000000004</v>
      </c>
      <c r="K150" s="20">
        <v>29.089300000000001</v>
      </c>
      <c r="L150" s="20">
        <v>36.275700000000001</v>
      </c>
      <c r="M150" s="20">
        <v>36.959400000000002</v>
      </c>
      <c r="N150" s="20">
        <v>189.60939999999999</v>
      </c>
      <c r="O150" s="20">
        <f t="shared" si="7"/>
        <v>30.971362499999998</v>
      </c>
      <c r="P150" s="7"/>
      <c r="Q150" s="13"/>
      <c r="R150" s="14"/>
      <c r="S150" s="14"/>
      <c r="T150" s="27"/>
      <c r="U150" s="28">
        <f t="shared" si="8"/>
        <v>0.24228133394483392</v>
      </c>
    </row>
    <row r="151" spans="1:21" x14ac:dyDescent="0.25">
      <c r="B151" s="6" t="s">
        <v>51</v>
      </c>
      <c r="C151" s="29">
        <v>3572.25</v>
      </c>
      <c r="D151" s="30">
        <v>32.607999999999997</v>
      </c>
      <c r="E151" s="30">
        <v>39.286000000000001</v>
      </c>
      <c r="F151" s="30">
        <v>38.881999999999998</v>
      </c>
      <c r="G151" s="16">
        <v>125.69</v>
      </c>
      <c r="H151" s="16">
        <f t="shared" si="6"/>
        <v>34.226999999999997</v>
      </c>
      <c r="I151" s="5"/>
      <c r="J151" s="29">
        <v>2416.8416000000002</v>
      </c>
      <c r="K151" s="30">
        <v>33.760300000000001</v>
      </c>
      <c r="L151" s="30">
        <v>40.164900000000003</v>
      </c>
      <c r="M151" s="30">
        <v>39.726999999999997</v>
      </c>
      <c r="N151" s="16">
        <v>123.24379999999999</v>
      </c>
      <c r="O151" s="16">
        <f t="shared" si="7"/>
        <v>35.306712499999996</v>
      </c>
      <c r="P151" s="7"/>
      <c r="Q151" s="8">
        <f>bdrate(C151:C154,D151:D154,J151:J154,K151:K154)</f>
        <v>-0.57222136155183545</v>
      </c>
      <c r="R151" s="8">
        <f>bdrate(C151:C154,E151:E154,J151:J154,L151:L154)</f>
        <v>-0.54002424260912063</v>
      </c>
      <c r="S151" s="8">
        <f>bdrate(C151:C154,F151:F154,J151:J154,M151:M154)</f>
        <v>-0.4550474979428194</v>
      </c>
      <c r="T151" s="25">
        <f>bdrate(C151:C154,H151:H154,J151:J154,O151:O154)</f>
        <v>-0.56539835907030966</v>
      </c>
      <c r="U151" s="28">
        <f t="shared" si="8"/>
        <v>-1.9462168828069094E-2</v>
      </c>
    </row>
    <row r="152" spans="1:21" x14ac:dyDescent="0.25">
      <c r="B152" s="9"/>
      <c r="C152" s="31">
        <v>2365.14</v>
      </c>
      <c r="D152" s="32">
        <v>30.619</v>
      </c>
      <c r="E152" s="32">
        <v>38.430999999999997</v>
      </c>
      <c r="F152" s="32">
        <v>37.981000000000002</v>
      </c>
      <c r="G152" s="18">
        <v>133.44</v>
      </c>
      <c r="H152" s="18">
        <f t="shared" si="6"/>
        <v>32.515749999999997</v>
      </c>
      <c r="I152" s="5"/>
      <c r="J152" s="31">
        <v>1608.7503999999999</v>
      </c>
      <c r="K152" s="32">
        <v>32.332999999999998</v>
      </c>
      <c r="L152" s="32">
        <v>39.3581</v>
      </c>
      <c r="M152" s="32">
        <v>38.720199999999998</v>
      </c>
      <c r="N152" s="18">
        <v>145.6876</v>
      </c>
      <c r="O152" s="18">
        <f t="shared" si="7"/>
        <v>34.0095375</v>
      </c>
      <c r="P152" s="7"/>
      <c r="Q152" s="10"/>
      <c r="R152" s="11"/>
      <c r="S152" s="11"/>
      <c r="T152" s="26"/>
      <c r="U152" s="28">
        <f t="shared" si="8"/>
        <v>9.1783573141486857E-2</v>
      </c>
    </row>
    <row r="153" spans="1:21" x14ac:dyDescent="0.25">
      <c r="B153" s="9"/>
      <c r="C153" s="31">
        <v>1463.48</v>
      </c>
      <c r="D153" s="32">
        <v>27.907</v>
      </c>
      <c r="E153" s="32">
        <v>37.433</v>
      </c>
      <c r="F153" s="32">
        <v>36.935000000000002</v>
      </c>
      <c r="G153" s="18">
        <v>134.12</v>
      </c>
      <c r="H153" s="18">
        <f t="shared" si="6"/>
        <v>30.22625</v>
      </c>
      <c r="I153" s="5"/>
      <c r="J153" s="31">
        <v>1000.6808</v>
      </c>
      <c r="K153" s="32">
        <v>30.541799999999999</v>
      </c>
      <c r="L153" s="32">
        <v>38.375300000000003</v>
      </c>
      <c r="M153" s="32">
        <v>37.448999999999998</v>
      </c>
      <c r="N153" s="18">
        <v>161.8647</v>
      </c>
      <c r="O153" s="18">
        <f t="shared" si="7"/>
        <v>32.384387500000003</v>
      </c>
      <c r="P153" s="7"/>
      <c r="Q153" s="10"/>
      <c r="R153" s="11"/>
      <c r="S153" s="11"/>
      <c r="T153" s="26"/>
      <c r="U153" s="28">
        <f t="shared" si="8"/>
        <v>0.20686474798687737</v>
      </c>
    </row>
    <row r="154" spans="1:21" ht="16.5" thickBot="1" x14ac:dyDescent="0.3">
      <c r="B154" s="12"/>
      <c r="C154" s="33">
        <v>859.54</v>
      </c>
      <c r="D154" s="34">
        <v>24.052</v>
      </c>
      <c r="E154" s="34">
        <v>35.61</v>
      </c>
      <c r="F154" s="34">
        <v>34.933999999999997</v>
      </c>
      <c r="G154" s="20">
        <v>135.76</v>
      </c>
      <c r="H154" s="20">
        <f t="shared" si="6"/>
        <v>26.857000000000003</v>
      </c>
      <c r="I154" s="5"/>
      <c r="J154" s="33">
        <v>600.32719999999995</v>
      </c>
      <c r="K154" s="34">
        <v>28.6082</v>
      </c>
      <c r="L154" s="34">
        <v>36.784999999999997</v>
      </c>
      <c r="M154" s="34">
        <v>35.764400000000002</v>
      </c>
      <c r="N154" s="20">
        <v>179.01900000000001</v>
      </c>
      <c r="O154" s="20">
        <f t="shared" si="7"/>
        <v>30.524825</v>
      </c>
      <c r="P154" s="7"/>
      <c r="Q154" s="13"/>
      <c r="R154" s="14"/>
      <c r="S154" s="14"/>
      <c r="T154" s="27"/>
      <c r="U154" s="28">
        <f t="shared" si="8"/>
        <v>0.31864319387153811</v>
      </c>
    </row>
    <row r="155" spans="1:21" x14ac:dyDescent="0.25">
      <c r="B155" s="6" t="s">
        <v>52</v>
      </c>
      <c r="C155" s="15">
        <v>3589.16</v>
      </c>
      <c r="D155" s="16">
        <v>31.928000000000001</v>
      </c>
      <c r="E155" s="16">
        <v>38.405999999999999</v>
      </c>
      <c r="F155" s="16">
        <v>40.93</v>
      </c>
      <c r="G155" s="16">
        <v>116.08</v>
      </c>
      <c r="H155" s="16">
        <f t="shared" si="6"/>
        <v>33.863</v>
      </c>
      <c r="I155" s="5"/>
      <c r="J155" s="15">
        <v>2419.0104000000001</v>
      </c>
      <c r="K155" s="16">
        <v>33.35</v>
      </c>
      <c r="L155" s="16">
        <v>39.6982</v>
      </c>
      <c r="M155" s="16">
        <v>42.177999999999997</v>
      </c>
      <c r="N155" s="16">
        <v>135.28749999999999</v>
      </c>
      <c r="O155" s="16">
        <f t="shared" si="7"/>
        <v>35.247025000000001</v>
      </c>
      <c r="P155" s="7"/>
      <c r="Q155" s="8">
        <f>bdrate(C155:C158,D155:D158,J155:J158,K155:K158)</f>
        <v>-0.67786368408440167</v>
      </c>
      <c r="R155" s="8">
        <f>bdrate(C155:C158,E155:E158,J155:J158,L155:L158)</f>
        <v>-0.73814487102409809</v>
      </c>
      <c r="S155" s="8">
        <f>bdrate(C155:C158,F155:F158,J155:J158,M155:M158)</f>
        <v>-0.76080127202233361</v>
      </c>
      <c r="T155" s="25">
        <f>bdrate(C155:C158,H155:H158,J155:J158,O155:O158)</f>
        <v>-0.68641295508964162</v>
      </c>
      <c r="U155" s="28">
        <f t="shared" si="8"/>
        <v>0.16546778084079941</v>
      </c>
    </row>
    <row r="156" spans="1:21" x14ac:dyDescent="0.25">
      <c r="B156" s="9"/>
      <c r="C156" s="17">
        <v>2355.5300000000002</v>
      </c>
      <c r="D156" s="18">
        <v>30.632000000000001</v>
      </c>
      <c r="E156" s="18">
        <v>38.054000000000002</v>
      </c>
      <c r="F156" s="18">
        <v>40.463999999999999</v>
      </c>
      <c r="G156" s="18">
        <v>153.22</v>
      </c>
      <c r="H156" s="18">
        <f t="shared" si="6"/>
        <v>32.78875</v>
      </c>
      <c r="I156" s="5"/>
      <c r="J156" s="17">
        <v>1616.692</v>
      </c>
      <c r="K156" s="18">
        <v>32.636099999999999</v>
      </c>
      <c r="L156" s="18">
        <v>39.192500000000003</v>
      </c>
      <c r="M156" s="18">
        <v>41.777000000000001</v>
      </c>
      <c r="N156" s="18">
        <v>160.9442</v>
      </c>
      <c r="O156" s="18">
        <f t="shared" si="7"/>
        <v>34.598262499999997</v>
      </c>
      <c r="P156" s="7"/>
      <c r="Q156" s="10"/>
      <c r="R156" s="11"/>
      <c r="S156" s="11"/>
      <c r="T156" s="26"/>
      <c r="U156" s="28">
        <f t="shared" si="8"/>
        <v>5.0412478788669862E-2</v>
      </c>
    </row>
    <row r="157" spans="1:21" x14ac:dyDescent="0.25">
      <c r="B157" s="9"/>
      <c r="C157" s="17">
        <v>1444.93</v>
      </c>
      <c r="D157" s="18">
        <v>28.884</v>
      </c>
      <c r="E157" s="18">
        <v>37.472999999999999</v>
      </c>
      <c r="F157" s="18">
        <v>39.722999999999999</v>
      </c>
      <c r="G157" s="18">
        <v>155.08000000000001</v>
      </c>
      <c r="H157" s="18">
        <f t="shared" si="6"/>
        <v>31.3125</v>
      </c>
      <c r="I157" s="5"/>
      <c r="J157" s="17">
        <v>1030.6656</v>
      </c>
      <c r="K157" s="18">
        <v>31.514800000000001</v>
      </c>
      <c r="L157" s="18">
        <v>38.563699999999997</v>
      </c>
      <c r="M157" s="18">
        <v>41.139800000000001</v>
      </c>
      <c r="N157" s="18">
        <v>174.06440000000001</v>
      </c>
      <c r="O157" s="18">
        <f t="shared" si="7"/>
        <v>33.599037499999994</v>
      </c>
      <c r="P157" s="7"/>
      <c r="Q157" s="10"/>
      <c r="R157" s="11"/>
      <c r="S157" s="11"/>
      <c r="T157" s="26"/>
      <c r="U157" s="28">
        <f t="shared" si="8"/>
        <v>0.12241681712664426</v>
      </c>
    </row>
    <row r="158" spans="1:21" ht="16.5" thickBot="1" x14ac:dyDescent="0.3">
      <c r="B158" s="12"/>
      <c r="C158" s="19">
        <v>831.81</v>
      </c>
      <c r="D158" s="20">
        <v>26.58</v>
      </c>
      <c r="E158" s="20">
        <v>36.866999999999997</v>
      </c>
      <c r="F158" s="20">
        <v>38.96</v>
      </c>
      <c r="G158" s="20">
        <v>155.08000000000001</v>
      </c>
      <c r="H158" s="20">
        <f t="shared" si="6"/>
        <v>29.413374999999998</v>
      </c>
      <c r="I158" s="5"/>
      <c r="J158" s="19">
        <v>599.98320000000001</v>
      </c>
      <c r="K158" s="20">
        <v>29.973099999999999</v>
      </c>
      <c r="L158" s="20">
        <v>38.0154</v>
      </c>
      <c r="M158" s="20">
        <v>40.566200000000002</v>
      </c>
      <c r="N158" s="20">
        <v>186.7414</v>
      </c>
      <c r="O158" s="20">
        <f t="shared" si="7"/>
        <v>32.302524999999996</v>
      </c>
      <c r="P158" s="7"/>
      <c r="Q158" s="13"/>
      <c r="R158" s="14"/>
      <c r="S158" s="14"/>
      <c r="T158" s="27"/>
      <c r="U158" s="28">
        <f t="shared" si="8"/>
        <v>0.20416172298168678</v>
      </c>
    </row>
    <row r="159" spans="1:21" x14ac:dyDescent="0.25">
      <c r="A159" s="6" t="s">
        <v>39</v>
      </c>
      <c r="B159" s="6" t="s">
        <v>53</v>
      </c>
      <c r="C159" s="15">
        <v>1573.43</v>
      </c>
      <c r="D159" s="16">
        <v>33.082000000000001</v>
      </c>
      <c r="E159" s="16">
        <v>36.598999999999997</v>
      </c>
      <c r="F159" s="16">
        <v>36.448999999999998</v>
      </c>
      <c r="G159" s="16">
        <v>616.52</v>
      </c>
      <c r="H159" s="16">
        <f t="shared" si="6"/>
        <v>33.942500000000003</v>
      </c>
      <c r="I159" s="5"/>
      <c r="J159" s="15">
        <v>1210.6695999999999</v>
      </c>
      <c r="K159" s="16">
        <v>34.638599999999997</v>
      </c>
      <c r="L159" s="16">
        <v>38.794899999999998</v>
      </c>
      <c r="M159" s="16">
        <v>38.579300000000003</v>
      </c>
      <c r="N159" s="16">
        <v>464.25259999999997</v>
      </c>
      <c r="O159" s="16">
        <f t="shared" si="7"/>
        <v>35.650724999999994</v>
      </c>
      <c r="P159" s="7"/>
      <c r="Q159" s="8">
        <f>bdrate(C159:C162,D159:D162,J159:J162,K159:K162)</f>
        <v>-0.49293265298119093</v>
      </c>
      <c r="R159" s="8">
        <f>bdrate(C159:C162,E159:E162,J159:J162,L159:L162)</f>
        <v>-0.6197539629116674</v>
      </c>
      <c r="S159" s="8">
        <f>bdrate(C159:C162,F159:F162,J159:J162,M159:M162)</f>
        <v>-0.57025605668105528</v>
      </c>
      <c r="T159" s="25">
        <f>bdrate(C159:C162,H159:H162,J159:J162,O159:O162)</f>
        <v>-0.51278914358676175</v>
      </c>
      <c r="U159" s="28">
        <f t="shared" si="8"/>
        <v>-0.24697884902355158</v>
      </c>
    </row>
    <row r="160" spans="1:21" x14ac:dyDescent="0.25">
      <c r="A160" s="9" t="s">
        <v>40</v>
      </c>
      <c r="B160" s="9"/>
      <c r="C160" s="17">
        <v>1062.1500000000001</v>
      </c>
      <c r="D160" s="18">
        <v>31.571999999999999</v>
      </c>
      <c r="E160" s="18">
        <v>35.838000000000001</v>
      </c>
      <c r="F160" s="18">
        <v>35.529000000000003</v>
      </c>
      <c r="G160" s="18">
        <v>843.17</v>
      </c>
      <c r="H160" s="18">
        <f t="shared" si="6"/>
        <v>32.599874999999997</v>
      </c>
      <c r="I160" s="5"/>
      <c r="J160" s="17">
        <v>804.78</v>
      </c>
      <c r="K160" s="18">
        <v>33.0884</v>
      </c>
      <c r="L160" s="18">
        <v>37.630200000000002</v>
      </c>
      <c r="M160" s="18">
        <v>37.254800000000003</v>
      </c>
      <c r="N160" s="18">
        <v>562.42970000000003</v>
      </c>
      <c r="O160" s="18">
        <f t="shared" si="7"/>
        <v>34.176924999999997</v>
      </c>
      <c r="P160" s="7"/>
      <c r="Q160" s="10"/>
      <c r="R160" s="11"/>
      <c r="S160" s="11"/>
      <c r="T160" s="26"/>
      <c r="U160" s="28">
        <f t="shared" si="8"/>
        <v>-0.33295812232408645</v>
      </c>
    </row>
    <row r="161" spans="1:21" x14ac:dyDescent="0.25">
      <c r="B161" s="9"/>
      <c r="C161" s="17">
        <v>658.21</v>
      </c>
      <c r="D161" s="18">
        <v>29.684999999999999</v>
      </c>
      <c r="E161" s="18">
        <v>35.020000000000003</v>
      </c>
      <c r="F161" s="18">
        <v>34.573999999999998</v>
      </c>
      <c r="G161" s="18">
        <v>866.55</v>
      </c>
      <c r="H161" s="18">
        <f t="shared" si="6"/>
        <v>30.963000000000001</v>
      </c>
      <c r="I161" s="5"/>
      <c r="J161" s="17">
        <v>502.45519999999999</v>
      </c>
      <c r="K161" s="18">
        <v>31.290400000000002</v>
      </c>
      <c r="L161" s="18">
        <v>36.430500000000002</v>
      </c>
      <c r="M161" s="18">
        <v>35.878700000000002</v>
      </c>
      <c r="N161" s="18">
        <v>681.19889999999998</v>
      </c>
      <c r="O161" s="18">
        <f t="shared" si="7"/>
        <v>32.506450000000001</v>
      </c>
      <c r="P161" s="7"/>
      <c r="Q161" s="10"/>
      <c r="R161" s="11"/>
      <c r="S161" s="11"/>
      <c r="T161" s="26"/>
      <c r="U161" s="28">
        <f t="shared" si="8"/>
        <v>-0.21389544746408168</v>
      </c>
    </row>
    <row r="162" spans="1:21" ht="16.5" thickBot="1" x14ac:dyDescent="0.3">
      <c r="B162" s="12"/>
      <c r="C162" s="19">
        <v>402.4</v>
      </c>
      <c r="D162" s="20">
        <v>27.463999999999999</v>
      </c>
      <c r="E162" s="20">
        <v>34.267000000000003</v>
      </c>
      <c r="F162" s="20">
        <v>33.829000000000001</v>
      </c>
      <c r="G162" s="20">
        <v>889.68</v>
      </c>
      <c r="H162" s="20">
        <f t="shared" si="6"/>
        <v>29.11</v>
      </c>
      <c r="I162" s="5"/>
      <c r="J162" s="19">
        <v>300.69760000000002</v>
      </c>
      <c r="K162" s="20">
        <v>29.348199999999999</v>
      </c>
      <c r="L162" s="20">
        <v>35.080599999999997</v>
      </c>
      <c r="M162" s="20">
        <v>34.4026</v>
      </c>
      <c r="N162" s="20">
        <v>745.15650000000005</v>
      </c>
      <c r="O162" s="20">
        <f t="shared" si="7"/>
        <v>30.696550000000002</v>
      </c>
      <c r="P162" s="7"/>
      <c r="Q162" s="13"/>
      <c r="R162" s="14"/>
      <c r="S162" s="14"/>
      <c r="T162" s="27"/>
      <c r="U162" s="28">
        <f t="shared" si="8"/>
        <v>-0.16244436201780404</v>
      </c>
    </row>
    <row r="163" spans="1:21" x14ac:dyDescent="0.25">
      <c r="B163" s="6" t="s">
        <v>54</v>
      </c>
      <c r="C163" s="15">
        <v>1572.46</v>
      </c>
      <c r="D163" s="16">
        <v>33.475999999999999</v>
      </c>
      <c r="E163" s="16">
        <v>38.737000000000002</v>
      </c>
      <c r="F163" s="16">
        <v>39.508000000000003</v>
      </c>
      <c r="G163" s="16">
        <v>620.48</v>
      </c>
      <c r="H163" s="16">
        <f t="shared" si="6"/>
        <v>34.887625</v>
      </c>
      <c r="I163" s="5"/>
      <c r="J163" s="15">
        <v>1234.4223999999999</v>
      </c>
      <c r="K163" s="16">
        <v>34.826099999999997</v>
      </c>
      <c r="L163" s="16">
        <v>40.346200000000003</v>
      </c>
      <c r="M163" s="16">
        <v>41.1479</v>
      </c>
      <c r="N163" s="16">
        <v>499.58370000000002</v>
      </c>
      <c r="O163" s="16">
        <f t="shared" si="7"/>
        <v>36.306337499999998</v>
      </c>
      <c r="P163" s="7"/>
      <c r="Q163" s="8">
        <f>bdrate(C163:C166,D163:D166,J163:J166,K163:K166)</f>
        <v>-0.48129996808880293</v>
      </c>
      <c r="R163" s="8">
        <f>bdrate(C163:C166,E163:E166,J163:J166,L163:L166)</f>
        <v>-0.59781221547253516</v>
      </c>
      <c r="S163" s="8">
        <f>bdrate(C163:C166,F163:F166,J163:J166,M163:M166)</f>
        <v>-0.54864292258748493</v>
      </c>
      <c r="T163" s="25">
        <f>bdrate(C163:C166,H163:H166,J163:J166,O163:O166)</f>
        <v>-0.49629393273590627</v>
      </c>
      <c r="U163" s="28">
        <f t="shared" si="8"/>
        <v>-0.19484318592057762</v>
      </c>
    </row>
    <row r="164" spans="1:21" x14ac:dyDescent="0.25">
      <c r="B164" s="9"/>
      <c r="C164" s="17">
        <v>1067.26</v>
      </c>
      <c r="D164" s="18">
        <v>31.716999999999999</v>
      </c>
      <c r="E164" s="18">
        <v>37.984000000000002</v>
      </c>
      <c r="F164" s="18">
        <v>38.715000000000003</v>
      </c>
      <c r="G164" s="18">
        <v>818.55</v>
      </c>
      <c r="H164" s="18">
        <f t="shared" si="6"/>
        <v>33.375124999999997</v>
      </c>
      <c r="I164" s="5"/>
      <c r="J164" s="17">
        <v>824.51520000000005</v>
      </c>
      <c r="K164" s="18">
        <v>33.2667</v>
      </c>
      <c r="L164" s="18">
        <v>39.3782</v>
      </c>
      <c r="M164" s="18">
        <v>40.095500000000001</v>
      </c>
      <c r="N164" s="18">
        <v>541.51620000000003</v>
      </c>
      <c r="O164" s="18">
        <f t="shared" si="7"/>
        <v>34.884237499999998</v>
      </c>
      <c r="P164" s="7"/>
      <c r="Q164" s="10"/>
      <c r="R164" s="11"/>
      <c r="S164" s="11"/>
      <c r="T164" s="26"/>
      <c r="U164" s="28">
        <f t="shared" si="8"/>
        <v>-0.33844456661169131</v>
      </c>
    </row>
    <row r="165" spans="1:21" x14ac:dyDescent="0.25">
      <c r="B165" s="9"/>
      <c r="C165" s="17">
        <v>661.89</v>
      </c>
      <c r="D165" s="18">
        <v>29.53</v>
      </c>
      <c r="E165" s="18">
        <v>37.198999999999998</v>
      </c>
      <c r="F165" s="18">
        <v>37.869</v>
      </c>
      <c r="G165" s="18">
        <v>854.7</v>
      </c>
      <c r="H165" s="18">
        <f t="shared" si="6"/>
        <v>31.531000000000002</v>
      </c>
      <c r="I165" s="5"/>
      <c r="J165" s="17">
        <v>514.88879999999995</v>
      </c>
      <c r="K165" s="18">
        <v>31.398199999999999</v>
      </c>
      <c r="L165" s="18">
        <v>38.4024</v>
      </c>
      <c r="M165" s="18">
        <v>38.937100000000001</v>
      </c>
      <c r="N165" s="18">
        <v>651.46579999999994</v>
      </c>
      <c r="O165" s="18">
        <f t="shared" si="7"/>
        <v>33.2160875</v>
      </c>
      <c r="P165" s="7"/>
      <c r="Q165" s="10"/>
      <c r="R165" s="11"/>
      <c r="S165" s="11"/>
      <c r="T165" s="26"/>
      <c r="U165" s="28">
        <f t="shared" si="8"/>
        <v>-0.23778425178425189</v>
      </c>
    </row>
    <row r="166" spans="1:21" ht="16.5" thickBot="1" x14ac:dyDescent="0.3">
      <c r="B166" s="12"/>
      <c r="C166" s="19">
        <v>406.16</v>
      </c>
      <c r="D166" s="20">
        <v>27.062999999999999</v>
      </c>
      <c r="E166" s="20">
        <v>36.457000000000001</v>
      </c>
      <c r="F166" s="20">
        <v>36.981999999999999</v>
      </c>
      <c r="G166" s="20">
        <v>854.7</v>
      </c>
      <c r="H166" s="20">
        <f t="shared" si="6"/>
        <v>29.477124999999997</v>
      </c>
      <c r="I166" s="5"/>
      <c r="J166" s="19">
        <v>308.67439999999999</v>
      </c>
      <c r="K166" s="20">
        <v>29.310099999999998</v>
      </c>
      <c r="L166" s="20">
        <v>37.276200000000003</v>
      </c>
      <c r="M166" s="20">
        <v>37.709499999999998</v>
      </c>
      <c r="N166" s="20">
        <v>785.34029999999996</v>
      </c>
      <c r="O166" s="20">
        <f t="shared" si="7"/>
        <v>31.355787499999998</v>
      </c>
      <c r="P166" s="7"/>
      <c r="Q166" s="13"/>
      <c r="R166" s="14"/>
      <c r="S166" s="14"/>
      <c r="T166" s="27"/>
      <c r="U166" s="28">
        <f t="shared" si="8"/>
        <v>-8.1150930150930251E-2</v>
      </c>
    </row>
    <row r="167" spans="1:21" x14ac:dyDescent="0.25">
      <c r="B167" s="6" t="s">
        <v>55</v>
      </c>
      <c r="C167" s="15">
        <v>1453.32</v>
      </c>
      <c r="D167" s="16">
        <v>27.763000000000002</v>
      </c>
      <c r="E167" s="16">
        <v>34.613</v>
      </c>
      <c r="F167" s="16">
        <v>35.283000000000001</v>
      </c>
      <c r="G167" s="16">
        <v>628.14</v>
      </c>
      <c r="H167" s="16">
        <f t="shared" si="6"/>
        <v>29.559249999999999</v>
      </c>
      <c r="I167" s="5"/>
      <c r="J167" s="15">
        <v>1215.556</v>
      </c>
      <c r="K167" s="16">
        <v>29.928699999999999</v>
      </c>
      <c r="L167" s="16">
        <v>36.531799999999997</v>
      </c>
      <c r="M167" s="16">
        <v>37.294499999999999</v>
      </c>
      <c r="N167" s="16">
        <v>471.25349999999997</v>
      </c>
      <c r="O167" s="16">
        <f t="shared" si="7"/>
        <v>31.674812500000002</v>
      </c>
      <c r="P167" s="7"/>
      <c r="Q167" s="8">
        <f>bdrate(C167:C170,D167:D170,J167:J170,K167:K170)</f>
        <v>-0.58660969040012856</v>
      </c>
      <c r="R167" s="8">
        <f>bdrate(C167:C170,E167:E170,J167:J170,L167:L170)</f>
        <v>-0.68681500722538735</v>
      </c>
      <c r="S167" s="8">
        <f>bdrate(C167:C170,F167:F170,J167:J170,M167:M170)</f>
        <v>-0.67768105922319266</v>
      </c>
      <c r="T167" s="25">
        <f>bdrate(C167:C170,H167:H170,J167:J170,O167:O170)</f>
        <v>-0.60209048554445677</v>
      </c>
      <c r="U167" s="28">
        <f t="shared" si="8"/>
        <v>-0.24976358773521828</v>
      </c>
    </row>
    <row r="168" spans="1:21" x14ac:dyDescent="0.25">
      <c r="B168" s="9"/>
      <c r="C168" s="17">
        <v>983.3</v>
      </c>
      <c r="D168" s="18">
        <v>26.48</v>
      </c>
      <c r="E168" s="18">
        <v>34.18</v>
      </c>
      <c r="F168" s="18">
        <v>34.887</v>
      </c>
      <c r="G168" s="18">
        <v>843.17</v>
      </c>
      <c r="H168" s="18">
        <f t="shared" si="6"/>
        <v>28.493375</v>
      </c>
      <c r="I168" s="5"/>
      <c r="J168" s="17">
        <v>809.83280000000002</v>
      </c>
      <c r="K168" s="18">
        <v>28.613800000000001</v>
      </c>
      <c r="L168" s="18">
        <v>35.726999999999997</v>
      </c>
      <c r="M168" s="18">
        <v>36.517699999999998</v>
      </c>
      <c r="N168" s="18">
        <v>562.42970000000003</v>
      </c>
      <c r="O168" s="18">
        <f t="shared" si="7"/>
        <v>30.490937500000001</v>
      </c>
      <c r="P168" s="7"/>
      <c r="Q168" s="10"/>
      <c r="R168" s="11"/>
      <c r="S168" s="11"/>
      <c r="T168" s="26"/>
      <c r="U168" s="28">
        <f t="shared" si="8"/>
        <v>-0.33295812232408645</v>
      </c>
    </row>
    <row r="169" spans="1:21" x14ac:dyDescent="0.25">
      <c r="B169" s="9"/>
      <c r="C169" s="17">
        <v>610.76</v>
      </c>
      <c r="D169" s="18">
        <v>25.018999999999998</v>
      </c>
      <c r="E169" s="18">
        <v>33.777000000000001</v>
      </c>
      <c r="F169" s="18">
        <v>34.484999999999999</v>
      </c>
      <c r="G169" s="18">
        <v>782.47</v>
      </c>
      <c r="H169" s="18">
        <f t="shared" si="6"/>
        <v>27.296999999999997</v>
      </c>
      <c r="I169" s="5"/>
      <c r="J169" s="17">
        <v>510.18239999999997</v>
      </c>
      <c r="K169" s="18">
        <v>27.186800000000002</v>
      </c>
      <c r="L169" s="18">
        <v>34.936100000000003</v>
      </c>
      <c r="M169" s="18">
        <v>35.673000000000002</v>
      </c>
      <c r="N169" s="18">
        <v>641.02560000000005</v>
      </c>
      <c r="O169" s="18">
        <f t="shared" si="7"/>
        <v>29.216237500000002</v>
      </c>
      <c r="P169" s="7"/>
      <c r="Q169" s="10"/>
      <c r="R169" s="11"/>
      <c r="S169" s="11"/>
      <c r="T169" s="26"/>
      <c r="U169" s="28">
        <f t="shared" si="8"/>
        <v>-0.18076654696026681</v>
      </c>
    </row>
    <row r="170" spans="1:21" ht="16.5" thickBot="1" x14ac:dyDescent="0.3">
      <c r="B170" s="12"/>
      <c r="C170" s="19">
        <v>374.65</v>
      </c>
      <c r="D170" s="20">
        <v>23.587</v>
      </c>
      <c r="E170" s="20">
        <v>33.374000000000002</v>
      </c>
      <c r="F170" s="20">
        <v>34.084000000000003</v>
      </c>
      <c r="G170" s="20">
        <v>801.28</v>
      </c>
      <c r="H170" s="20">
        <f t="shared" si="6"/>
        <v>26.122499999999999</v>
      </c>
      <c r="I170" s="5"/>
      <c r="J170" s="19">
        <v>306.12799999999999</v>
      </c>
      <c r="K170" s="20">
        <v>25.6526</v>
      </c>
      <c r="L170" s="20">
        <v>34.075600000000001</v>
      </c>
      <c r="M170" s="20">
        <v>34.722099999999998</v>
      </c>
      <c r="N170" s="20">
        <v>667.55669999999998</v>
      </c>
      <c r="O170" s="20">
        <f t="shared" si="7"/>
        <v>27.8391625</v>
      </c>
      <c r="P170" s="7"/>
      <c r="Q170" s="13"/>
      <c r="R170" s="14"/>
      <c r="S170" s="14"/>
      <c r="T170" s="27"/>
      <c r="U170" s="28">
        <f t="shared" si="8"/>
        <v>-0.16688710563099041</v>
      </c>
    </row>
    <row r="171" spans="1:21" x14ac:dyDescent="0.25">
      <c r="B171" s="6" t="s">
        <v>56</v>
      </c>
      <c r="C171" s="15">
        <v>1467.12</v>
      </c>
      <c r="D171" s="16">
        <v>31.724</v>
      </c>
      <c r="E171" s="16">
        <v>36.008000000000003</v>
      </c>
      <c r="F171" s="16">
        <v>37.594999999999999</v>
      </c>
      <c r="G171" s="16">
        <v>564.97</v>
      </c>
      <c r="H171" s="16">
        <f t="shared" si="6"/>
        <v>32.993375</v>
      </c>
      <c r="I171" s="5"/>
      <c r="J171" s="15">
        <v>1197.1895999999999</v>
      </c>
      <c r="K171" s="16">
        <v>31.9026</v>
      </c>
      <c r="L171" s="16">
        <v>36.605400000000003</v>
      </c>
      <c r="M171" s="16">
        <v>38.164499999999997</v>
      </c>
      <c r="N171" s="16">
        <v>376.88440000000003</v>
      </c>
      <c r="O171" s="16">
        <f t="shared" si="7"/>
        <v>33.273187499999999</v>
      </c>
      <c r="P171" s="7"/>
      <c r="Q171" s="8">
        <f>bdrate(C171:C174,D171:D174,J171:J174,K171:K174)</f>
        <v>-0.27847810180986765</v>
      </c>
      <c r="R171" s="8">
        <f>bdrate(C171:C174,E171:E174,J171:J174,L171:L174)</f>
        <v>-0.32140044163086146</v>
      </c>
      <c r="S171" s="8">
        <f>bdrate(C171:C174,F171:F174,J171:J174,M171:M174)</f>
        <v>-0.30058402949962559</v>
      </c>
      <c r="T171" s="25">
        <f>bdrate(C171:C174,H171:H174,J171:J174,O171:O174)</f>
        <v>-0.28609219758062399</v>
      </c>
      <c r="U171" s="28">
        <f t="shared" si="8"/>
        <v>-0.33291254402888648</v>
      </c>
    </row>
    <row r="172" spans="1:21" x14ac:dyDescent="0.25">
      <c r="B172" s="9"/>
      <c r="C172" s="17">
        <v>1005.79</v>
      </c>
      <c r="D172" s="18">
        <v>30.192</v>
      </c>
      <c r="E172" s="18">
        <v>35.365000000000002</v>
      </c>
      <c r="F172" s="18">
        <v>36.941000000000003</v>
      </c>
      <c r="G172" s="18">
        <v>662.25</v>
      </c>
      <c r="H172" s="18">
        <f t="shared" si="6"/>
        <v>31.68225</v>
      </c>
      <c r="I172" s="5"/>
      <c r="J172" s="17">
        <v>796.13599999999997</v>
      </c>
      <c r="K172" s="18">
        <v>30.3871</v>
      </c>
      <c r="L172" s="18">
        <v>35.778199999999998</v>
      </c>
      <c r="M172" s="18">
        <v>37.2896</v>
      </c>
      <c r="N172" s="18">
        <v>437.31779999999998</v>
      </c>
      <c r="O172" s="18">
        <f t="shared" si="7"/>
        <v>31.9238</v>
      </c>
      <c r="P172" s="7"/>
      <c r="Q172" s="10"/>
      <c r="R172" s="11"/>
      <c r="S172" s="11"/>
      <c r="T172" s="26"/>
      <c r="U172" s="28">
        <f t="shared" si="8"/>
        <v>-0.33964847112117785</v>
      </c>
    </row>
    <row r="173" spans="1:21" x14ac:dyDescent="0.25">
      <c r="B173" s="9"/>
      <c r="C173" s="17">
        <v>634.82000000000005</v>
      </c>
      <c r="D173" s="18">
        <v>28.379000000000001</v>
      </c>
      <c r="E173" s="18">
        <v>34.688000000000002</v>
      </c>
      <c r="F173" s="18">
        <v>36.219000000000001</v>
      </c>
      <c r="G173" s="18">
        <v>710.9</v>
      </c>
      <c r="H173" s="18">
        <f t="shared" si="6"/>
        <v>30.147624999999998</v>
      </c>
      <c r="I173" s="5"/>
      <c r="J173" s="17">
        <v>499.0616</v>
      </c>
      <c r="K173" s="18">
        <v>28.800599999999999</v>
      </c>
      <c r="L173" s="18">
        <v>34.889699999999998</v>
      </c>
      <c r="M173" s="18">
        <v>36.391199999999998</v>
      </c>
      <c r="N173" s="18">
        <v>480.76920000000001</v>
      </c>
      <c r="O173" s="18">
        <f t="shared" si="7"/>
        <v>30.510562499999999</v>
      </c>
      <c r="P173" s="7"/>
      <c r="Q173" s="10"/>
      <c r="R173" s="11"/>
      <c r="S173" s="11"/>
      <c r="T173" s="26"/>
      <c r="U173" s="28">
        <f t="shared" si="8"/>
        <v>-0.32371754114502738</v>
      </c>
    </row>
    <row r="174" spans="1:21" ht="16.5" thickBot="1" x14ac:dyDescent="0.3">
      <c r="B174" s="12"/>
      <c r="C174" s="19">
        <v>396.6</v>
      </c>
      <c r="D174" s="20">
        <v>26.64</v>
      </c>
      <c r="E174" s="20">
        <v>33.927</v>
      </c>
      <c r="F174" s="20">
        <v>35.381999999999998</v>
      </c>
      <c r="G174" s="20">
        <v>738.92</v>
      </c>
      <c r="H174" s="20">
        <f t="shared" si="6"/>
        <v>28.643625</v>
      </c>
      <c r="I174" s="5"/>
      <c r="J174" s="19">
        <v>300.56560000000002</v>
      </c>
      <c r="K174" s="20">
        <v>27.21</v>
      </c>
      <c r="L174" s="20">
        <v>33.909399999999998</v>
      </c>
      <c r="M174" s="20">
        <v>35.304400000000001</v>
      </c>
      <c r="N174" s="20">
        <v>583.6576</v>
      </c>
      <c r="O174" s="20">
        <f t="shared" si="7"/>
        <v>29.059224999999998</v>
      </c>
      <c r="P174" s="7"/>
      <c r="Q174" s="13"/>
      <c r="R174" s="14"/>
      <c r="S174" s="14"/>
      <c r="T174" s="27"/>
      <c r="U174" s="28">
        <f t="shared" si="8"/>
        <v>-0.21012071672170191</v>
      </c>
    </row>
    <row r="175" spans="1:21" x14ac:dyDescent="0.25">
      <c r="A175" s="6" t="s">
        <v>41</v>
      </c>
      <c r="B175" s="6" t="s">
        <v>57</v>
      </c>
      <c r="C175" s="15">
        <v>836.9</v>
      </c>
      <c r="D175" s="16">
        <v>33.802999999999997</v>
      </c>
      <c r="E175" s="16">
        <v>38.241999999999997</v>
      </c>
      <c r="F175" s="16">
        <v>37.170999999999999</v>
      </c>
      <c r="G175" s="16">
        <v>2283.11</v>
      </c>
      <c r="H175" s="16">
        <f t="shared" si="6"/>
        <v>34.778874999999999</v>
      </c>
      <c r="I175" s="5"/>
      <c r="J175" s="15">
        <v>603.33360000000005</v>
      </c>
      <c r="K175" s="16">
        <v>33.9435</v>
      </c>
      <c r="L175" s="16">
        <v>39.368600000000001</v>
      </c>
      <c r="M175" s="16">
        <v>37.812399999999997</v>
      </c>
      <c r="N175" s="16">
        <v>1144.1648</v>
      </c>
      <c r="O175" s="16">
        <f t="shared" si="7"/>
        <v>35.105249999999998</v>
      </c>
      <c r="P175" s="7"/>
      <c r="Q175" s="8">
        <f>bdrate(C175:C178,D175:D178,J175:J178,K175:K178)</f>
        <v>-0.33070822925278864</v>
      </c>
      <c r="R175" s="8">
        <f>bdrate(C175:C178,E175:E178,J175:J178,L175:L178)</f>
        <v>-0.48429687113725228</v>
      </c>
      <c r="S175" s="8">
        <f>bdrate(C175:C178,F175:F178,J175:J178,M175:M178)</f>
        <v>-0.36096184658144259</v>
      </c>
      <c r="T175" s="25">
        <f>bdrate(C175:C178,H175:H178,J175:J178,O175:O178)</f>
        <v>-0.34681370192591221</v>
      </c>
      <c r="U175" s="28">
        <f t="shared" si="8"/>
        <v>-0.498856910091936</v>
      </c>
    </row>
    <row r="176" spans="1:21" x14ac:dyDescent="0.25">
      <c r="A176" s="9" t="s">
        <v>42</v>
      </c>
      <c r="B176" s="9"/>
      <c r="C176" s="17">
        <v>525.39</v>
      </c>
      <c r="D176" s="18">
        <v>31.661000000000001</v>
      </c>
      <c r="E176" s="18">
        <v>37.222999999999999</v>
      </c>
      <c r="F176" s="18">
        <v>35.935000000000002</v>
      </c>
      <c r="G176" s="18">
        <v>2923.98</v>
      </c>
      <c r="H176" s="18">
        <f t="shared" si="6"/>
        <v>32.890500000000003</v>
      </c>
      <c r="I176" s="5"/>
      <c r="J176" s="17">
        <v>401.86880000000002</v>
      </c>
      <c r="K176" s="18">
        <v>32.159799999999997</v>
      </c>
      <c r="L176" s="18">
        <v>38.235300000000002</v>
      </c>
      <c r="M176" s="18">
        <v>36.566600000000001</v>
      </c>
      <c r="N176" s="18">
        <v>1336.8984</v>
      </c>
      <c r="O176" s="18">
        <f t="shared" si="7"/>
        <v>33.470087499999998</v>
      </c>
      <c r="P176" s="7"/>
      <c r="Q176" s="10"/>
      <c r="R176" s="11"/>
      <c r="S176" s="11"/>
      <c r="T176" s="26"/>
      <c r="U176" s="28">
        <f t="shared" si="8"/>
        <v>-0.54278127757371797</v>
      </c>
    </row>
    <row r="177" spans="1:21" x14ac:dyDescent="0.25">
      <c r="B177" s="9"/>
      <c r="C177" s="17">
        <v>317.26</v>
      </c>
      <c r="D177" s="18">
        <v>29.533000000000001</v>
      </c>
      <c r="E177" s="18">
        <v>36.317999999999998</v>
      </c>
      <c r="F177" s="18">
        <v>34.805999999999997</v>
      </c>
      <c r="G177" s="18">
        <v>2906.98</v>
      </c>
      <c r="H177" s="18">
        <f t="shared" si="6"/>
        <v>31.04025</v>
      </c>
      <c r="I177" s="5"/>
      <c r="J177" s="17">
        <v>253.04560000000001</v>
      </c>
      <c r="K177" s="18">
        <v>30.242899999999999</v>
      </c>
      <c r="L177" s="18">
        <v>37.144300000000001</v>
      </c>
      <c r="M177" s="18">
        <v>35.342100000000002</v>
      </c>
      <c r="N177" s="18">
        <v>1453.4884</v>
      </c>
      <c r="O177" s="18">
        <f t="shared" si="7"/>
        <v>31.742975000000001</v>
      </c>
      <c r="P177" s="7"/>
      <c r="Q177" s="10"/>
      <c r="R177" s="11"/>
      <c r="S177" s="11"/>
      <c r="T177" s="26"/>
      <c r="U177" s="28">
        <f t="shared" si="8"/>
        <v>-0.50000055039938363</v>
      </c>
    </row>
    <row r="178" spans="1:21" ht="16.5" thickBot="1" x14ac:dyDescent="0.3">
      <c r="B178" s="12"/>
      <c r="C178" s="19">
        <v>162.91999999999999</v>
      </c>
      <c r="D178" s="20">
        <v>26.678000000000001</v>
      </c>
      <c r="E178" s="20">
        <v>35.250999999999998</v>
      </c>
      <c r="F178" s="20">
        <v>33.593000000000004</v>
      </c>
      <c r="G178" s="20">
        <v>3205.13</v>
      </c>
      <c r="H178" s="20">
        <f t="shared" si="6"/>
        <v>28.614000000000004</v>
      </c>
      <c r="I178" s="5"/>
      <c r="J178" s="19">
        <v>121.52800000000001</v>
      </c>
      <c r="K178" s="20">
        <v>27.483799999999999</v>
      </c>
      <c r="L178" s="20">
        <v>35.647799999999997</v>
      </c>
      <c r="M178" s="20">
        <v>33.4908</v>
      </c>
      <c r="N178" s="20">
        <v>2000</v>
      </c>
      <c r="O178" s="20">
        <f t="shared" si="7"/>
        <v>29.255174999999998</v>
      </c>
      <c r="P178" s="7"/>
      <c r="Q178" s="13"/>
      <c r="R178" s="14"/>
      <c r="S178" s="14"/>
      <c r="T178" s="27"/>
      <c r="U178" s="28">
        <f t="shared" si="8"/>
        <v>-0.37600034943980432</v>
      </c>
    </row>
    <row r="179" spans="1:21" x14ac:dyDescent="0.25">
      <c r="B179" s="6" t="s">
        <v>58</v>
      </c>
      <c r="C179" s="15">
        <v>768.76</v>
      </c>
      <c r="D179" s="16">
        <v>30.521999999999998</v>
      </c>
      <c r="E179" s="16">
        <v>38.463000000000001</v>
      </c>
      <c r="F179" s="16">
        <v>38.92</v>
      </c>
      <c r="G179" s="16">
        <v>2264.15</v>
      </c>
      <c r="H179" s="16">
        <f t="shared" si="6"/>
        <v>32.564374999999998</v>
      </c>
      <c r="I179" s="5"/>
      <c r="J179" s="15">
        <v>600.05119999999999</v>
      </c>
      <c r="K179" s="16">
        <v>33.217300000000002</v>
      </c>
      <c r="L179" s="16">
        <v>41.182899999999997</v>
      </c>
      <c r="M179" s="16">
        <v>41.892299999999999</v>
      </c>
      <c r="N179" s="16">
        <v>1425.1781000000001</v>
      </c>
      <c r="O179" s="16">
        <f t="shared" si="7"/>
        <v>35.297375000000002</v>
      </c>
      <c r="P179" s="7"/>
      <c r="Q179" s="8">
        <f>bdrate(C179:C182,D179:D182,J179:J182,K179:K182)</f>
        <v>-0.6588171899201215</v>
      </c>
      <c r="R179" s="8">
        <f>bdrate(C179:C182,E179:E182,J179:J182,L179:L182)</f>
        <v>-0.79333287728306745</v>
      </c>
      <c r="S179" s="8">
        <f>bdrate(C179:C182,F179:F182,J179:J182,M179:M182)</f>
        <v>-0.81071308204089743</v>
      </c>
      <c r="T179" s="25">
        <f>bdrate(C179:C182,H179:H182,J179:J182,O179:O182)</f>
        <v>-0.68042267265388168</v>
      </c>
      <c r="U179" s="28">
        <f t="shared" si="8"/>
        <v>-0.37054607689419872</v>
      </c>
    </row>
    <row r="180" spans="1:21" x14ac:dyDescent="0.25">
      <c r="B180" s="9"/>
      <c r="C180" s="17">
        <v>477.93</v>
      </c>
      <c r="D180" s="18">
        <v>28.911000000000001</v>
      </c>
      <c r="E180" s="18">
        <v>38.021000000000001</v>
      </c>
      <c r="F180" s="18">
        <v>38.302999999999997</v>
      </c>
      <c r="G180" s="18">
        <v>3508.77</v>
      </c>
      <c r="H180" s="18">
        <f t="shared" si="6"/>
        <v>31.223750000000003</v>
      </c>
      <c r="I180" s="5"/>
      <c r="J180" s="17">
        <v>399.66160000000002</v>
      </c>
      <c r="K180" s="18">
        <v>31.9191</v>
      </c>
      <c r="L180" s="18">
        <v>40.326900000000002</v>
      </c>
      <c r="M180" s="18">
        <v>41.045699999999997</v>
      </c>
      <c r="N180" s="18">
        <v>1671.3091999999999</v>
      </c>
      <c r="O180" s="18">
        <f t="shared" si="7"/>
        <v>34.110900000000001</v>
      </c>
      <c r="P180" s="7"/>
      <c r="Q180" s="10"/>
      <c r="R180" s="11"/>
      <c r="S180" s="11"/>
      <c r="T180" s="26"/>
      <c r="U180" s="28">
        <f t="shared" si="8"/>
        <v>-0.52367661602213889</v>
      </c>
    </row>
    <row r="181" spans="1:21" x14ac:dyDescent="0.25">
      <c r="B181" s="9"/>
      <c r="C181" s="17">
        <v>282.89</v>
      </c>
      <c r="D181" s="18">
        <v>27.213999999999999</v>
      </c>
      <c r="E181" s="18">
        <v>37.603999999999999</v>
      </c>
      <c r="F181" s="18">
        <v>37.837000000000003</v>
      </c>
      <c r="G181" s="18">
        <v>3846.15</v>
      </c>
      <c r="H181" s="18">
        <f t="shared" si="6"/>
        <v>29.840624999999996</v>
      </c>
      <c r="I181" s="5"/>
      <c r="J181" s="17">
        <v>250.35759999999999</v>
      </c>
      <c r="K181" s="18">
        <v>30.3843</v>
      </c>
      <c r="L181" s="18">
        <v>39.364800000000002</v>
      </c>
      <c r="M181" s="18">
        <v>39.979199999999999</v>
      </c>
      <c r="N181" s="18">
        <v>1600</v>
      </c>
      <c r="O181" s="18">
        <f t="shared" si="7"/>
        <v>32.706225000000003</v>
      </c>
      <c r="P181" s="7"/>
      <c r="Q181" s="10"/>
      <c r="R181" s="11"/>
      <c r="S181" s="11"/>
      <c r="T181" s="26"/>
      <c r="U181" s="28">
        <f t="shared" si="8"/>
        <v>-0.58399958399958396</v>
      </c>
    </row>
    <row r="182" spans="1:21" ht="16.5" thickBot="1" x14ac:dyDescent="0.3">
      <c r="B182" s="12"/>
      <c r="C182" s="19">
        <v>139.76</v>
      </c>
      <c r="D182" s="20">
        <v>25.13</v>
      </c>
      <c r="E182" s="20">
        <v>37.07</v>
      </c>
      <c r="F182" s="20">
        <v>37.119999999999997</v>
      </c>
      <c r="G182" s="20">
        <v>3846.15</v>
      </c>
      <c r="H182" s="20">
        <f t="shared" si="6"/>
        <v>28.12125</v>
      </c>
      <c r="I182" s="5"/>
      <c r="J182" s="19">
        <v>120.2736</v>
      </c>
      <c r="K182" s="20">
        <v>27.8337</v>
      </c>
      <c r="L182" s="20">
        <v>38.130499999999998</v>
      </c>
      <c r="M182" s="20">
        <v>38.609699999999997</v>
      </c>
      <c r="N182" s="20">
        <v>2135.2312999999999</v>
      </c>
      <c r="O182" s="20">
        <f t="shared" si="7"/>
        <v>30.4678</v>
      </c>
      <c r="P182" s="7"/>
      <c r="Q182" s="13"/>
      <c r="R182" s="14"/>
      <c r="S182" s="14"/>
      <c r="T182" s="27"/>
      <c r="U182" s="28">
        <f t="shared" si="8"/>
        <v>-0.44483930683930689</v>
      </c>
    </row>
    <row r="183" spans="1:21" x14ac:dyDescent="0.25">
      <c r="B183" s="6" t="s">
        <v>59</v>
      </c>
      <c r="C183" s="29">
        <v>844.87</v>
      </c>
      <c r="D183" s="30">
        <v>31.951000000000001</v>
      </c>
      <c r="E183" s="30">
        <v>35.853999999999999</v>
      </c>
      <c r="F183" s="30">
        <v>36.262</v>
      </c>
      <c r="G183" s="16">
        <v>2293.58</v>
      </c>
      <c r="H183" s="16">
        <f t="shared" si="6"/>
        <v>32.97775</v>
      </c>
      <c r="I183" s="5"/>
      <c r="J183" s="29">
        <v>642.95600000000002</v>
      </c>
      <c r="K183" s="30">
        <v>32.774299999999997</v>
      </c>
      <c r="L183" s="30">
        <v>37.891399999999997</v>
      </c>
      <c r="M183" s="30">
        <v>38.6646</v>
      </c>
      <c r="N183" s="16">
        <v>1187.6485</v>
      </c>
      <c r="O183" s="16">
        <f t="shared" si="7"/>
        <v>34.150224999999999</v>
      </c>
      <c r="P183" s="7"/>
      <c r="Q183" s="8">
        <f>bdrate(C183:C186,D183:D186,J183:J186,K183:K186)</f>
        <v>-0.43324178587461537</v>
      </c>
      <c r="R183" s="8">
        <f>bdrate(C183:C186,E183:E186,J183:J186,L183:L186)</f>
        <v>-0.66444372165983911</v>
      </c>
      <c r="S183" s="8">
        <f>bdrate(C183:C186,F183:F186,J183:J186,M183:M186)</f>
        <v>-0.71816352159011687</v>
      </c>
      <c r="T183" s="25">
        <f>bdrate(C183:C186,H183:H186,J183:J186,O183:O186)</f>
        <v>-0.48468679551240568</v>
      </c>
      <c r="U183" s="28">
        <f t="shared" si="8"/>
        <v>-0.48218570967657548</v>
      </c>
    </row>
    <row r="184" spans="1:21" x14ac:dyDescent="0.25">
      <c r="B184" s="9"/>
      <c r="C184" s="31">
        <v>527.24</v>
      </c>
      <c r="D184" s="32">
        <v>30.068999999999999</v>
      </c>
      <c r="E184" s="32">
        <v>34.872</v>
      </c>
      <c r="F184" s="32">
        <v>35.304000000000002</v>
      </c>
      <c r="G184" s="18">
        <v>3205.13</v>
      </c>
      <c r="H184" s="18">
        <f t="shared" si="6"/>
        <v>31.32375</v>
      </c>
      <c r="I184" s="5"/>
      <c r="J184" s="31">
        <v>426.6848</v>
      </c>
      <c r="K184" s="32">
        <v>31.273900000000001</v>
      </c>
      <c r="L184" s="32">
        <v>36.8536</v>
      </c>
      <c r="M184" s="32">
        <v>37.625500000000002</v>
      </c>
      <c r="N184" s="18">
        <v>1333.3333</v>
      </c>
      <c r="O184" s="18">
        <f t="shared" si="7"/>
        <v>32.7653125</v>
      </c>
      <c r="P184" s="7"/>
      <c r="Q184" s="10"/>
      <c r="R184" s="11"/>
      <c r="S184" s="11"/>
      <c r="T184" s="26"/>
      <c r="U184" s="28">
        <f t="shared" si="8"/>
        <v>-0.58400024335986378</v>
      </c>
    </row>
    <row r="185" spans="1:21" x14ac:dyDescent="0.25">
      <c r="B185" s="9"/>
      <c r="C185" s="31">
        <v>315.36</v>
      </c>
      <c r="D185" s="32">
        <v>28.216999999999999</v>
      </c>
      <c r="E185" s="32">
        <v>34.118000000000002</v>
      </c>
      <c r="F185" s="32">
        <v>34.576000000000001</v>
      </c>
      <c r="G185" s="18">
        <v>3571.43</v>
      </c>
      <c r="H185" s="18">
        <f t="shared" si="6"/>
        <v>29.749499999999998</v>
      </c>
      <c r="I185" s="5"/>
      <c r="J185" s="31">
        <v>263.96719999999999</v>
      </c>
      <c r="K185" s="32">
        <v>29.637699999999999</v>
      </c>
      <c r="L185" s="32">
        <v>35.729999999999997</v>
      </c>
      <c r="M185" s="32">
        <v>36.498800000000003</v>
      </c>
      <c r="N185" s="18">
        <v>1689.1892</v>
      </c>
      <c r="O185" s="18">
        <f t="shared" si="7"/>
        <v>31.256875000000001</v>
      </c>
      <c r="P185" s="7"/>
      <c r="Q185" s="10"/>
      <c r="R185" s="11"/>
      <c r="S185" s="11"/>
      <c r="T185" s="26"/>
      <c r="U185" s="28">
        <f t="shared" si="8"/>
        <v>-0.52702721318911472</v>
      </c>
    </row>
    <row r="186" spans="1:21" ht="16.5" thickBot="1" x14ac:dyDescent="0.3">
      <c r="B186" s="12"/>
      <c r="C186" s="33">
        <v>155.07</v>
      </c>
      <c r="D186" s="34">
        <v>25.916</v>
      </c>
      <c r="E186" s="34">
        <v>33.347999999999999</v>
      </c>
      <c r="F186" s="34">
        <v>33.869999999999997</v>
      </c>
      <c r="G186" s="20">
        <v>3571.43</v>
      </c>
      <c r="H186" s="20">
        <f t="shared" si="6"/>
        <v>27.83925</v>
      </c>
      <c r="I186" s="5"/>
      <c r="J186" s="33">
        <v>129.76320000000001</v>
      </c>
      <c r="K186" s="34">
        <v>27.283899999999999</v>
      </c>
      <c r="L186" s="34">
        <v>34.262999999999998</v>
      </c>
      <c r="M186" s="34">
        <v>35.005400000000002</v>
      </c>
      <c r="N186" s="20">
        <v>2136.7521000000002</v>
      </c>
      <c r="O186" s="20">
        <f t="shared" si="7"/>
        <v>29.121475</v>
      </c>
      <c r="P186" s="7"/>
      <c r="Q186" s="13"/>
      <c r="R186" s="14"/>
      <c r="S186" s="14"/>
      <c r="T186" s="27"/>
      <c r="U186" s="28">
        <f t="shared" si="8"/>
        <v>-0.40170965131613939</v>
      </c>
    </row>
    <row r="187" spans="1:21" x14ac:dyDescent="0.25">
      <c r="B187" s="6" t="s">
        <v>60</v>
      </c>
      <c r="C187" s="15">
        <v>785.19</v>
      </c>
      <c r="D187" s="16">
        <v>33.597999999999999</v>
      </c>
      <c r="E187" s="16">
        <v>36.531999999999996</v>
      </c>
      <c r="F187" s="16">
        <v>37.564999999999998</v>
      </c>
      <c r="G187" s="16">
        <v>2419.35</v>
      </c>
      <c r="H187" s="16">
        <f t="shared" si="6"/>
        <v>34.460625</v>
      </c>
      <c r="I187" s="5"/>
      <c r="J187" s="15">
        <v>601.83199999999999</v>
      </c>
      <c r="K187" s="16">
        <v>33.250100000000003</v>
      </c>
      <c r="L187" s="16">
        <v>37.328299999999999</v>
      </c>
      <c r="M187" s="16">
        <v>38.3703</v>
      </c>
      <c r="N187" s="16">
        <v>914.63409999999999</v>
      </c>
      <c r="O187" s="16">
        <f t="shared" si="7"/>
        <v>34.399900000000002</v>
      </c>
      <c r="P187" s="7"/>
      <c r="Q187" s="8">
        <f>bdrate(C187:C190,D187:D190,J187:J190,K187:K190)</f>
        <v>-0.20765198692285669</v>
      </c>
      <c r="R187" s="8">
        <f>bdrate(C187:C190,E187:E190,J187:J190,L187:L190)</f>
        <v>-0.40068180592108749</v>
      </c>
      <c r="S187" s="8">
        <f>bdrate(C187:C190,F187:F190,J187:J190,M187:M190)</f>
        <v>-0.38709343258924966</v>
      </c>
      <c r="T187" s="25">
        <f>bdrate(C187:C190,H187:H190,J187:J190,O187:O190)</f>
        <v>-0.24004454869050684</v>
      </c>
      <c r="U187" s="28">
        <f t="shared" si="8"/>
        <v>-0.62195048256763175</v>
      </c>
    </row>
    <row r="188" spans="1:21" x14ac:dyDescent="0.25">
      <c r="B188" s="9"/>
      <c r="C188" s="17">
        <v>495.32</v>
      </c>
      <c r="D188" s="18">
        <v>31.524000000000001</v>
      </c>
      <c r="E188" s="18">
        <v>35.435000000000002</v>
      </c>
      <c r="F188" s="18">
        <v>36.487000000000002</v>
      </c>
      <c r="G188" s="18">
        <v>2752.29</v>
      </c>
      <c r="H188" s="18">
        <f t="shared" si="6"/>
        <v>32.633250000000004</v>
      </c>
      <c r="I188" s="5"/>
      <c r="J188" s="17">
        <v>403.10160000000002</v>
      </c>
      <c r="K188" s="18">
        <v>31.523399999999999</v>
      </c>
      <c r="L188" s="18">
        <v>36.273000000000003</v>
      </c>
      <c r="M188" s="18">
        <v>37.334200000000003</v>
      </c>
      <c r="N188" s="18">
        <v>1132.0754999999999</v>
      </c>
      <c r="O188" s="18">
        <f t="shared" si="7"/>
        <v>32.843449999999997</v>
      </c>
      <c r="P188" s="7"/>
      <c r="Q188" s="10"/>
      <c r="R188" s="11"/>
      <c r="S188" s="11"/>
      <c r="T188" s="26"/>
      <c r="U188" s="28">
        <f t="shared" si="8"/>
        <v>-0.5886787002823104</v>
      </c>
    </row>
    <row r="189" spans="1:21" x14ac:dyDescent="0.25">
      <c r="B189" s="9"/>
      <c r="C189" s="17">
        <v>298.24</v>
      </c>
      <c r="D189" s="18">
        <v>29.523</v>
      </c>
      <c r="E189" s="18">
        <v>34.47</v>
      </c>
      <c r="F189" s="18">
        <v>35.530999999999999</v>
      </c>
      <c r="G189" s="18">
        <v>3225.81</v>
      </c>
      <c r="H189" s="18">
        <f t="shared" si="6"/>
        <v>30.892375000000001</v>
      </c>
      <c r="I189" s="5"/>
      <c r="J189" s="17">
        <v>250.7544</v>
      </c>
      <c r="K189" s="18">
        <v>29.748699999999999</v>
      </c>
      <c r="L189" s="18">
        <v>35.118899999999996</v>
      </c>
      <c r="M189" s="18">
        <v>36.145099999999999</v>
      </c>
      <c r="N189" s="18">
        <v>1204.8193000000001</v>
      </c>
      <c r="O189" s="18">
        <f t="shared" si="7"/>
        <v>31.219524999999997</v>
      </c>
      <c r="P189" s="7"/>
      <c r="Q189" s="10"/>
      <c r="R189" s="11"/>
      <c r="S189" s="11"/>
      <c r="T189" s="26"/>
      <c r="U189" s="28">
        <f t="shared" si="8"/>
        <v>-0.62650642784292931</v>
      </c>
    </row>
    <row r="190" spans="1:21" ht="16.5" thickBot="1" x14ac:dyDescent="0.3">
      <c r="B190" s="12"/>
      <c r="C190" s="19">
        <v>149.12</v>
      </c>
      <c r="D190" s="20">
        <v>26.923999999999999</v>
      </c>
      <c r="E190" s="20">
        <v>33.354999999999997</v>
      </c>
      <c r="F190" s="20">
        <v>34.341999999999999</v>
      </c>
      <c r="G190" s="20">
        <v>3191.49</v>
      </c>
      <c r="H190" s="20">
        <f t="shared" si="6"/>
        <v>28.655124999999998</v>
      </c>
      <c r="I190" s="5"/>
      <c r="J190" s="19">
        <v>120.7552</v>
      </c>
      <c r="K190" s="20">
        <v>27.296500000000002</v>
      </c>
      <c r="L190" s="20">
        <v>33.650599999999997</v>
      </c>
      <c r="M190" s="20">
        <v>34.575000000000003</v>
      </c>
      <c r="N190" s="20">
        <v>1754.386</v>
      </c>
      <c r="O190" s="20">
        <f t="shared" si="7"/>
        <v>29.000574999999998</v>
      </c>
      <c r="P190" s="7"/>
      <c r="Q190" s="13"/>
      <c r="R190" s="14"/>
      <c r="S190" s="14"/>
      <c r="T190" s="27"/>
      <c r="U190" s="28">
        <f t="shared" si="8"/>
        <v>-0.45029249660816734</v>
      </c>
    </row>
    <row r="191" spans="1:21" x14ac:dyDescent="0.25">
      <c r="A191" s="6" t="s">
        <v>43</v>
      </c>
      <c r="B191" s="6" t="s">
        <v>61</v>
      </c>
      <c r="C191" s="15">
        <v>1961.42</v>
      </c>
      <c r="D191" s="16">
        <v>40.225999999999999</v>
      </c>
      <c r="E191" s="16">
        <v>44.036000000000001</v>
      </c>
      <c r="F191" s="16">
        <v>45.14</v>
      </c>
      <c r="G191" s="16">
        <v>295.86</v>
      </c>
      <c r="H191" s="16">
        <f t="shared" si="6"/>
        <v>41.316499999999998</v>
      </c>
      <c r="I191" s="5"/>
      <c r="J191" s="15">
        <v>1497.316</v>
      </c>
      <c r="K191" s="16">
        <v>41.135300000000001</v>
      </c>
      <c r="L191" s="16">
        <v>45.476300000000002</v>
      </c>
      <c r="M191" s="16">
        <v>46.663800000000002</v>
      </c>
      <c r="N191" s="16">
        <v>259.8528</v>
      </c>
      <c r="O191" s="16">
        <f t="shared" si="7"/>
        <v>42.368987499999996</v>
      </c>
      <c r="P191" s="7"/>
      <c r="Q191" s="8">
        <f>bdrate(C191:C194,D191:D194,J191:J194,K191:K194)</f>
        <v>-0.47676061313343654</v>
      </c>
      <c r="R191" s="8">
        <f>bdrate(C191:C194,E191:E194,J191:J194,L191:L194)</f>
        <v>-0.5845128073047543</v>
      </c>
      <c r="S191" s="8">
        <f>bdrate(C191:C194,F191:F194,J191:J194,M191:M194)</f>
        <v>-0.57411469059856579</v>
      </c>
      <c r="T191" s="25">
        <f>bdrate(C191:C194,H191:H194,J191:J194,O191:O194)</f>
        <v>-0.49612580109328597</v>
      </c>
      <c r="U191" s="28">
        <f t="shared" si="8"/>
        <v>-0.1217035084161428</v>
      </c>
    </row>
    <row r="192" spans="1:21" x14ac:dyDescent="0.25">
      <c r="A192" s="9" t="s">
        <v>44</v>
      </c>
      <c r="B192" s="9"/>
      <c r="C192" s="17">
        <v>1286.8399999999999</v>
      </c>
      <c r="D192" s="18">
        <v>38.697000000000003</v>
      </c>
      <c r="E192" s="18">
        <v>42.91</v>
      </c>
      <c r="F192" s="18">
        <v>44.091000000000001</v>
      </c>
      <c r="G192" s="18">
        <v>400.8</v>
      </c>
      <c r="H192" s="18">
        <f t="shared" si="6"/>
        <v>39.897874999999999</v>
      </c>
      <c r="I192" s="5"/>
      <c r="J192" s="17">
        <v>984.49040000000002</v>
      </c>
      <c r="K192" s="18">
        <v>39.988199999999999</v>
      </c>
      <c r="L192" s="18">
        <v>44.598700000000001</v>
      </c>
      <c r="M192" s="18">
        <v>45.749699999999997</v>
      </c>
      <c r="N192" s="18">
        <v>369.68579999999997</v>
      </c>
      <c r="O192" s="18">
        <f t="shared" si="7"/>
        <v>41.284700000000001</v>
      </c>
      <c r="P192" s="7"/>
      <c r="Q192" s="10"/>
      <c r="R192" s="11"/>
      <c r="S192" s="11"/>
      <c r="T192" s="26"/>
      <c r="U192" s="28">
        <f t="shared" si="8"/>
        <v>-7.7630239520958183E-2</v>
      </c>
    </row>
    <row r="193" spans="1:21" x14ac:dyDescent="0.25">
      <c r="B193" s="9"/>
      <c r="C193" s="17">
        <v>766.85</v>
      </c>
      <c r="D193" s="18">
        <v>36.359000000000002</v>
      </c>
      <c r="E193" s="18">
        <v>41.694000000000003</v>
      </c>
      <c r="F193" s="18">
        <v>42.731000000000002</v>
      </c>
      <c r="G193" s="18">
        <v>396.56</v>
      </c>
      <c r="H193" s="18">
        <f t="shared" si="6"/>
        <v>37.822375000000001</v>
      </c>
      <c r="I193" s="5"/>
      <c r="J193" s="17">
        <v>577.56719999999996</v>
      </c>
      <c r="K193" s="18">
        <v>38.029800000000002</v>
      </c>
      <c r="L193" s="18">
        <v>43.173900000000003</v>
      </c>
      <c r="M193" s="18">
        <v>44.243899999999996</v>
      </c>
      <c r="N193" s="18">
        <v>369.91370000000001</v>
      </c>
      <c r="O193" s="18">
        <f t="shared" si="7"/>
        <v>39.449575000000003</v>
      </c>
      <c r="P193" s="7"/>
      <c r="Q193" s="10"/>
      <c r="R193" s="11"/>
      <c r="S193" s="11"/>
      <c r="T193" s="26"/>
      <c r="U193" s="28">
        <f t="shared" si="8"/>
        <v>-6.7193615089772035E-2</v>
      </c>
    </row>
    <row r="194" spans="1:21" ht="16.5" thickBot="1" x14ac:dyDescent="0.3">
      <c r="B194" s="12"/>
      <c r="C194" s="19">
        <v>352.41</v>
      </c>
      <c r="D194" s="20">
        <v>32.445</v>
      </c>
      <c r="E194" s="20">
        <v>39.725999999999999</v>
      </c>
      <c r="F194" s="20">
        <v>40.517000000000003</v>
      </c>
      <c r="G194" s="20">
        <v>373.37</v>
      </c>
      <c r="H194" s="20">
        <f t="shared" si="6"/>
        <v>34.364125000000001</v>
      </c>
      <c r="I194" s="5"/>
      <c r="J194" s="19">
        <v>283.00799999999998</v>
      </c>
      <c r="K194" s="20">
        <v>34.6721</v>
      </c>
      <c r="L194" s="20">
        <v>41.259799999999998</v>
      </c>
      <c r="M194" s="20">
        <v>42.2746</v>
      </c>
      <c r="N194" s="20">
        <v>436.99930000000001</v>
      </c>
      <c r="O194" s="20">
        <f t="shared" si="7"/>
        <v>36.445875000000001</v>
      </c>
      <c r="P194" s="7"/>
      <c r="Q194" s="13"/>
      <c r="R194" s="14"/>
      <c r="S194" s="14"/>
      <c r="T194" s="27"/>
      <c r="U194" s="28">
        <f t="shared" si="8"/>
        <v>0.17041888743069877</v>
      </c>
    </row>
    <row r="195" spans="1:21" x14ac:dyDescent="0.25">
      <c r="B195" s="6" t="s">
        <v>62</v>
      </c>
      <c r="C195" s="15">
        <v>2031.97</v>
      </c>
      <c r="D195" s="16">
        <v>41.898000000000003</v>
      </c>
      <c r="E195" s="16">
        <v>46.423000000000002</v>
      </c>
      <c r="F195" s="16">
        <v>46.813000000000002</v>
      </c>
      <c r="G195" s="16">
        <v>287.08</v>
      </c>
      <c r="H195" s="16">
        <f t="shared" si="6"/>
        <v>43.078000000000003</v>
      </c>
      <c r="I195" s="5"/>
      <c r="J195" s="15">
        <v>1485.1032</v>
      </c>
      <c r="K195" s="16">
        <v>42.464799999999997</v>
      </c>
      <c r="L195" s="16">
        <v>47.566000000000003</v>
      </c>
      <c r="M195" s="16">
        <v>48.240099999999998</v>
      </c>
      <c r="N195" s="16">
        <v>302.87729999999999</v>
      </c>
      <c r="O195" s="16">
        <f t="shared" si="7"/>
        <v>43.824362499999992</v>
      </c>
      <c r="P195" s="7"/>
      <c r="Q195" s="8">
        <f>bdrate(C195:C198,D195:D198,J195:J198,K195:K198)</f>
        <v>-0.54378158165459789</v>
      </c>
      <c r="R195" s="8">
        <f>bdrate(C195:C198,E195:E198,J195:J198,L195:L198)</f>
        <v>-0.68952397044536118</v>
      </c>
      <c r="S195" s="8">
        <f>bdrate(C195:C198,F195:F198,J195:J198,M195:M198)</f>
        <v>-0.71394954883209083</v>
      </c>
      <c r="T195" s="25">
        <f>bdrate(C195:C198,H195:H198,J195:J198,O195:O198)</f>
        <v>-0.58706413933198598</v>
      </c>
      <c r="U195" s="28">
        <f t="shared" ref="U195:U246" si="9">(N195-G195)/G195</f>
        <v>5.5027518461752849E-2</v>
      </c>
    </row>
    <row r="196" spans="1:21" x14ac:dyDescent="0.25">
      <c r="B196" s="9"/>
      <c r="C196" s="17">
        <v>1335.6</v>
      </c>
      <c r="D196" s="18">
        <v>41.142000000000003</v>
      </c>
      <c r="E196" s="18">
        <v>45.563000000000002</v>
      </c>
      <c r="F196" s="18">
        <v>46.021000000000001</v>
      </c>
      <c r="G196" s="18">
        <v>392.41</v>
      </c>
      <c r="H196" s="18">
        <f t="shared" si="6"/>
        <v>42.304500000000004</v>
      </c>
      <c r="I196" s="5"/>
      <c r="J196" s="17">
        <v>975.35199999999998</v>
      </c>
      <c r="K196" s="18">
        <v>41.8979</v>
      </c>
      <c r="L196" s="18">
        <v>47.091099999999997</v>
      </c>
      <c r="M196" s="18">
        <v>47.673900000000003</v>
      </c>
      <c r="N196" s="18">
        <v>373.1343</v>
      </c>
      <c r="O196" s="18">
        <f t="shared" si="7"/>
        <v>43.26905</v>
      </c>
      <c r="P196" s="7"/>
      <c r="Q196" s="10"/>
      <c r="R196" s="11"/>
      <c r="S196" s="11"/>
      <c r="T196" s="26"/>
      <c r="U196" s="28">
        <f t="shared" si="9"/>
        <v>-4.9121327183303247E-2</v>
      </c>
    </row>
    <row r="197" spans="1:21" x14ac:dyDescent="0.25">
      <c r="B197" s="9"/>
      <c r="C197" s="17">
        <v>790.15</v>
      </c>
      <c r="D197" s="18">
        <v>39.845999999999997</v>
      </c>
      <c r="E197" s="18">
        <v>44.436999999999998</v>
      </c>
      <c r="F197" s="18">
        <v>44.868000000000002</v>
      </c>
      <c r="G197" s="18">
        <v>396.56</v>
      </c>
      <c r="H197" s="18">
        <f t="shared" si="6"/>
        <v>41.047624999999996</v>
      </c>
      <c r="I197" s="5"/>
      <c r="J197" s="17">
        <v>579.99680000000001</v>
      </c>
      <c r="K197" s="18">
        <v>41.0077</v>
      </c>
      <c r="L197" s="18">
        <v>46.266399999999997</v>
      </c>
      <c r="M197" s="18">
        <v>46.903100000000002</v>
      </c>
      <c r="N197" s="18">
        <v>388.09829999999999</v>
      </c>
      <c r="O197" s="18">
        <f t="shared" si="7"/>
        <v>42.401962499999996</v>
      </c>
      <c r="P197" s="7"/>
      <c r="Q197" s="10"/>
      <c r="R197" s="11"/>
      <c r="S197" s="11"/>
      <c r="T197" s="26"/>
      <c r="U197" s="28">
        <f t="shared" si="9"/>
        <v>-2.1337754690336917E-2</v>
      </c>
    </row>
    <row r="198" spans="1:21" ht="16.5" thickBot="1" x14ac:dyDescent="0.3">
      <c r="B198" s="12"/>
      <c r="C198" s="19">
        <v>351.18</v>
      </c>
      <c r="D198" s="20">
        <v>37.042999999999999</v>
      </c>
      <c r="E198" s="20">
        <v>42.372</v>
      </c>
      <c r="F198" s="20">
        <v>43.207999999999998</v>
      </c>
      <c r="G198" s="20">
        <v>418.12</v>
      </c>
      <c r="H198" s="20">
        <f t="shared" si="6"/>
        <v>38.479749999999996</v>
      </c>
      <c r="I198" s="5"/>
      <c r="J198" s="19">
        <v>282.084</v>
      </c>
      <c r="K198" s="20">
        <v>39.170400000000001</v>
      </c>
      <c r="L198" s="20">
        <v>44.625599999999999</v>
      </c>
      <c r="M198" s="20">
        <v>45.152299999999997</v>
      </c>
      <c r="N198" s="20">
        <v>396.30119999999999</v>
      </c>
      <c r="O198" s="20">
        <f t="shared" si="7"/>
        <v>40.600037499999999</v>
      </c>
      <c r="P198" s="7"/>
      <c r="Q198" s="13"/>
      <c r="R198" s="14"/>
      <c r="S198" s="14"/>
      <c r="T198" s="27"/>
      <c r="U198" s="28">
        <f t="shared" si="9"/>
        <v>-5.2183105328613817E-2</v>
      </c>
    </row>
    <row r="199" spans="1:21" x14ac:dyDescent="0.25">
      <c r="B199" s="6" t="s">
        <v>63</v>
      </c>
      <c r="C199" s="15">
        <v>2118.12</v>
      </c>
      <c r="D199" s="16">
        <v>41.573999999999998</v>
      </c>
      <c r="E199" s="16">
        <v>45.188000000000002</v>
      </c>
      <c r="F199" s="16">
        <v>45.972999999999999</v>
      </c>
      <c r="G199" s="16">
        <v>293.54000000000002</v>
      </c>
      <c r="H199" s="16">
        <f t="shared" si="6"/>
        <v>42.575625000000002</v>
      </c>
      <c r="I199" s="5"/>
      <c r="J199" s="15">
        <v>1542.5463999999999</v>
      </c>
      <c r="K199" s="16">
        <v>42.356000000000002</v>
      </c>
      <c r="L199" s="16">
        <v>46.668900000000001</v>
      </c>
      <c r="M199" s="16">
        <v>47.525799999999997</v>
      </c>
      <c r="N199" s="16">
        <v>305.34350000000001</v>
      </c>
      <c r="O199" s="16">
        <f t="shared" si="7"/>
        <v>43.541337500000004</v>
      </c>
      <c r="P199" s="7"/>
      <c r="Q199" s="8">
        <f>bdrate(C199:C202,D199:D202,J199:J202,K199:K202)</f>
        <v>-0.53532336327085561</v>
      </c>
      <c r="R199" s="8">
        <f>bdrate(C199:C202,E199:E202,J199:J202,L199:L202)</f>
        <v>-0.65328558580987139</v>
      </c>
      <c r="S199" s="8">
        <f>bdrate(C199:C202,F199:F202,J199:J202,M199:M202)</f>
        <v>-0.64624215823618569</v>
      </c>
      <c r="T199" s="25">
        <f>bdrate(C199:C202,H199:H202,J199:J202,O199:O202)</f>
        <v>-0.56212054073337137</v>
      </c>
      <c r="U199" s="28">
        <f t="shared" si="9"/>
        <v>4.021087415684399E-2</v>
      </c>
    </row>
    <row r="200" spans="1:21" x14ac:dyDescent="0.25">
      <c r="B200" s="9"/>
      <c r="C200" s="17">
        <v>1399.53</v>
      </c>
      <c r="D200" s="18">
        <v>40.383000000000003</v>
      </c>
      <c r="E200" s="18">
        <v>44.133000000000003</v>
      </c>
      <c r="F200" s="18">
        <v>44.98</v>
      </c>
      <c r="G200" s="18">
        <v>392.41</v>
      </c>
      <c r="H200" s="18">
        <f t="shared" si="6"/>
        <v>41.426375</v>
      </c>
      <c r="I200" s="5"/>
      <c r="J200" s="17">
        <v>1010.8808</v>
      </c>
      <c r="K200" s="18">
        <v>41.499200000000002</v>
      </c>
      <c r="L200" s="18">
        <v>45.905000000000001</v>
      </c>
      <c r="M200" s="18">
        <v>46.741500000000002</v>
      </c>
      <c r="N200" s="18">
        <v>366.30040000000002</v>
      </c>
      <c r="O200" s="18">
        <f t="shared" si="7"/>
        <v>42.705212500000002</v>
      </c>
      <c r="P200" s="7"/>
      <c r="Q200" s="10"/>
      <c r="R200" s="11"/>
      <c r="S200" s="11"/>
      <c r="T200" s="26"/>
      <c r="U200" s="28">
        <f t="shared" si="9"/>
        <v>-6.6536530669452865E-2</v>
      </c>
    </row>
    <row r="201" spans="1:21" x14ac:dyDescent="0.25">
      <c r="B201" s="9"/>
      <c r="C201" s="17">
        <v>835.33</v>
      </c>
      <c r="D201" s="18">
        <v>38.512</v>
      </c>
      <c r="E201" s="18">
        <v>42.691000000000003</v>
      </c>
      <c r="F201" s="18">
        <v>43.563000000000002</v>
      </c>
      <c r="G201" s="18">
        <v>404.86</v>
      </c>
      <c r="H201" s="18">
        <f t="shared" si="6"/>
        <v>39.665750000000003</v>
      </c>
      <c r="I201" s="5"/>
      <c r="J201" s="17">
        <v>603.18079999999998</v>
      </c>
      <c r="K201" s="18">
        <v>40.132800000000003</v>
      </c>
      <c r="L201" s="18">
        <v>44.730899999999998</v>
      </c>
      <c r="M201" s="18">
        <v>45.527099999999997</v>
      </c>
      <c r="N201" s="18">
        <v>404.85829999999999</v>
      </c>
      <c r="O201" s="18">
        <f t="shared" si="7"/>
        <v>41.381850000000007</v>
      </c>
      <c r="P201" s="7"/>
      <c r="Q201" s="10"/>
      <c r="R201" s="11"/>
      <c r="S201" s="11"/>
      <c r="T201" s="26"/>
      <c r="U201" s="28">
        <f t="shared" si="9"/>
        <v>-4.19898236434326E-6</v>
      </c>
    </row>
    <row r="202" spans="1:21" ht="16.5" thickBot="1" x14ac:dyDescent="0.3">
      <c r="B202" s="12"/>
      <c r="C202" s="19">
        <v>383.2</v>
      </c>
      <c r="D202" s="20">
        <v>35.1</v>
      </c>
      <c r="E202" s="20">
        <v>40.65</v>
      </c>
      <c r="F202" s="20">
        <v>41.529000000000003</v>
      </c>
      <c r="G202" s="20">
        <v>413.51</v>
      </c>
      <c r="H202" s="20">
        <f t="shared" si="6"/>
        <v>36.597375000000007</v>
      </c>
      <c r="I202" s="5"/>
      <c r="J202" s="19">
        <v>295.46159999999998</v>
      </c>
      <c r="K202" s="20">
        <v>37.359699999999997</v>
      </c>
      <c r="L202" s="20">
        <v>42.620199999999997</v>
      </c>
      <c r="M202" s="20">
        <v>43.418500000000002</v>
      </c>
      <c r="N202" s="20">
        <v>408.99799999999999</v>
      </c>
      <c r="O202" s="20">
        <f t="shared" si="7"/>
        <v>38.774612499999996</v>
      </c>
      <c r="P202" s="7"/>
      <c r="Q202" s="13"/>
      <c r="R202" s="14"/>
      <c r="S202" s="14"/>
      <c r="T202" s="27"/>
      <c r="U202" s="28">
        <f t="shared" si="9"/>
        <v>-1.0911465260815942E-2</v>
      </c>
    </row>
    <row r="203" spans="1:21" x14ac:dyDescent="0.25">
      <c r="A203" s="6" t="s">
        <v>102</v>
      </c>
      <c r="B203" s="6" t="s">
        <v>103</v>
      </c>
      <c r="C203" s="15">
        <v>1644.6</v>
      </c>
      <c r="D203" s="16">
        <v>41.536999999999999</v>
      </c>
      <c r="E203" s="16">
        <v>46.499000000000002</v>
      </c>
      <c r="F203" s="16">
        <v>48.348999999999997</v>
      </c>
      <c r="G203" s="16">
        <v>287.68</v>
      </c>
      <c r="H203" s="16">
        <f t="shared" ref="H203:H246" si="10">(6*D203+E203+F203)/8</f>
        <v>43.008749999999999</v>
      </c>
      <c r="I203" s="5"/>
      <c r="J203" s="15">
        <v>1295.9263000000001</v>
      </c>
      <c r="K203" s="16">
        <v>42.8688</v>
      </c>
      <c r="L203" s="16">
        <v>48.680999999999997</v>
      </c>
      <c r="M203" s="16">
        <v>49.536700000000003</v>
      </c>
      <c r="N203" s="16">
        <v>234.98689999999999</v>
      </c>
      <c r="O203" s="16">
        <f t="shared" ref="O203:O246" si="11">(6*K203+L203+M203)/8</f>
        <v>44.428812499999999</v>
      </c>
      <c r="P203" s="7"/>
      <c r="Q203" s="8">
        <f>bdrate(C203:C206,D203:D206,J203:J206,K203:K206)</f>
        <v>-0.50016366484957075</v>
      </c>
      <c r="R203" s="8">
        <f>bdrate(C203:C206,E203:E206,J203:J206,L203:L206)</f>
        <v>-0.5397936702200512</v>
      </c>
      <c r="S203" s="8">
        <f>bdrate(C203:C206,F203:F206,J203:J206,M203:M206)</f>
        <v>-0.46958566114053735</v>
      </c>
      <c r="T203" s="25">
        <f>bdrate(C203:C206,H203:H206,J203:J206,O203:O206)</f>
        <v>-0.50262119114182369</v>
      </c>
      <c r="U203" s="28">
        <f t="shared" si="9"/>
        <v>-0.18316567018909904</v>
      </c>
    </row>
    <row r="204" spans="1:21" x14ac:dyDescent="0.25">
      <c r="A204" s="9" t="s">
        <v>78</v>
      </c>
      <c r="B204" s="9"/>
      <c r="C204" s="17">
        <v>1103.48</v>
      </c>
      <c r="D204" s="18">
        <v>39.156999999999996</v>
      </c>
      <c r="E204" s="18">
        <v>45.106999999999999</v>
      </c>
      <c r="F204" s="18">
        <v>47.085000000000001</v>
      </c>
      <c r="G204" s="18">
        <v>324.08999999999997</v>
      </c>
      <c r="H204" s="18">
        <f t="shared" si="10"/>
        <v>40.891749999999995</v>
      </c>
      <c r="I204" s="5"/>
      <c r="J204" s="17">
        <v>894.67110000000002</v>
      </c>
      <c r="K204" s="18">
        <v>41.493600000000001</v>
      </c>
      <c r="L204" s="18">
        <v>47.6434</v>
      </c>
      <c r="M204" s="18">
        <v>48.441600000000001</v>
      </c>
      <c r="N204" s="18">
        <v>284.85520000000002</v>
      </c>
      <c r="O204" s="18">
        <f t="shared" si="11"/>
        <v>43.130825000000002</v>
      </c>
      <c r="P204" s="7"/>
      <c r="Q204" s="10"/>
      <c r="R204" s="11"/>
      <c r="S204" s="11"/>
      <c r="T204" s="26"/>
      <c r="U204" s="28">
        <f t="shared" si="9"/>
        <v>-0.12106143355240814</v>
      </c>
    </row>
    <row r="205" spans="1:21" x14ac:dyDescent="0.25">
      <c r="B205" s="9"/>
      <c r="C205" s="17">
        <v>673.44</v>
      </c>
      <c r="D205" s="18">
        <v>36.478000000000002</v>
      </c>
      <c r="E205" s="18">
        <v>43.72</v>
      </c>
      <c r="F205" s="18">
        <v>45.51</v>
      </c>
      <c r="G205" s="18">
        <v>332.53</v>
      </c>
      <c r="H205" s="18">
        <f t="shared" si="10"/>
        <v>38.512249999999995</v>
      </c>
      <c r="I205" s="5"/>
      <c r="J205" s="17">
        <v>555.25729999999999</v>
      </c>
      <c r="K205" s="18">
        <v>39.123899999999999</v>
      </c>
      <c r="L205" s="18">
        <v>45.344000000000001</v>
      </c>
      <c r="M205" s="18">
        <v>46.921999999999997</v>
      </c>
      <c r="N205" s="18">
        <v>303.64370000000002</v>
      </c>
      <c r="O205" s="18">
        <f t="shared" si="11"/>
        <v>40.876175000000003</v>
      </c>
      <c r="P205" s="7"/>
      <c r="Q205" s="10"/>
      <c r="R205" s="11"/>
      <c r="S205" s="11"/>
      <c r="T205" s="26"/>
      <c r="U205" s="28">
        <f t="shared" si="9"/>
        <v>-8.6868252488497125E-2</v>
      </c>
    </row>
    <row r="206" spans="1:21" ht="16.5" thickBot="1" x14ac:dyDescent="0.3">
      <c r="B206" s="12"/>
      <c r="C206" s="19">
        <v>320.14</v>
      </c>
      <c r="D206" s="20">
        <v>32.158000000000001</v>
      </c>
      <c r="E206" s="20">
        <v>41.506</v>
      </c>
      <c r="F206" s="20">
        <v>43.432000000000002</v>
      </c>
      <c r="G206" s="20">
        <v>333.46</v>
      </c>
      <c r="H206" s="20">
        <f t="shared" si="10"/>
        <v>34.735750000000003</v>
      </c>
      <c r="I206" s="5"/>
      <c r="J206" s="19">
        <v>289.6173</v>
      </c>
      <c r="K206" s="20">
        <v>36.187600000000003</v>
      </c>
      <c r="L206" s="20">
        <v>43.583199999999998</v>
      </c>
      <c r="M206" s="20">
        <v>44.8185</v>
      </c>
      <c r="N206" s="20">
        <v>385.85210000000001</v>
      </c>
      <c r="O206" s="20">
        <f t="shared" si="11"/>
        <v>38.190912499999996</v>
      </c>
      <c r="P206" s="7"/>
      <c r="Q206" s="13"/>
      <c r="R206" s="14"/>
      <c r="S206" s="14"/>
      <c r="T206" s="27"/>
      <c r="U206" s="28">
        <f t="shared" si="9"/>
        <v>0.15711659569363651</v>
      </c>
    </row>
    <row r="207" spans="1:21" x14ac:dyDescent="0.25">
      <c r="B207" s="6" t="s">
        <v>104</v>
      </c>
      <c r="C207" s="15">
        <v>2028.93</v>
      </c>
      <c r="D207" s="16">
        <v>52.06</v>
      </c>
      <c r="E207" s="16">
        <v>52.366</v>
      </c>
      <c r="F207" s="16">
        <v>52.774999999999999</v>
      </c>
      <c r="G207" s="16">
        <v>311.85000000000002</v>
      </c>
      <c r="H207" s="16">
        <f t="shared" si="10"/>
        <v>52.187624999999997</v>
      </c>
      <c r="I207" s="5"/>
      <c r="J207" s="15">
        <v>1433.2107000000001</v>
      </c>
      <c r="K207" s="16">
        <v>51.418900000000001</v>
      </c>
      <c r="L207" s="16">
        <v>51.846600000000002</v>
      </c>
      <c r="M207" s="16">
        <v>52.300600000000003</v>
      </c>
      <c r="N207" s="16">
        <v>321.25650000000002</v>
      </c>
      <c r="O207" s="16">
        <f t="shared" si="11"/>
        <v>51.582575000000006</v>
      </c>
      <c r="P207" s="7"/>
      <c r="Q207" s="8">
        <f>bdrate(C207:C210,D207:D210,J207:J210,K207:K210)</f>
        <v>-0.31930156551891198</v>
      </c>
      <c r="R207" s="8">
        <f>bdrate(C207:C210,E207:E210,J207:J210,L207:L210)</f>
        <v>-0.35212353604158975</v>
      </c>
      <c r="S207" s="8">
        <f>bdrate(C207:C210,F207:F210,J207:J210,M207:M210)</f>
        <v>-0.34914593607080369</v>
      </c>
      <c r="T207" s="25">
        <f>bdrate(C207:C210,H207:H210,J207:J210,O207:O210)</f>
        <v>-0.32665029855010985</v>
      </c>
      <c r="U207" s="28">
        <f t="shared" si="9"/>
        <v>3.0163540163540142E-2</v>
      </c>
    </row>
    <row r="208" spans="1:21" x14ac:dyDescent="0.25">
      <c r="B208" s="9"/>
      <c r="C208" s="17">
        <v>1354.44</v>
      </c>
      <c r="D208" s="18">
        <v>49.276000000000003</v>
      </c>
      <c r="E208" s="18">
        <v>49.822000000000003</v>
      </c>
      <c r="F208" s="18">
        <v>50.317999999999998</v>
      </c>
      <c r="G208" s="18">
        <v>428.98</v>
      </c>
      <c r="H208" s="18">
        <f t="shared" si="10"/>
        <v>49.474499999999999</v>
      </c>
      <c r="I208" s="5"/>
      <c r="J208" s="17">
        <v>971.04070000000002</v>
      </c>
      <c r="K208" s="18">
        <v>49.3581</v>
      </c>
      <c r="L208" s="18">
        <v>50.09</v>
      </c>
      <c r="M208" s="18">
        <v>50.582099999999997</v>
      </c>
      <c r="N208" s="18">
        <v>389.86349999999999</v>
      </c>
      <c r="O208" s="18">
        <f t="shared" si="11"/>
        <v>49.602587499999998</v>
      </c>
      <c r="P208" s="7"/>
      <c r="Q208" s="10"/>
      <c r="R208" s="11"/>
      <c r="S208" s="11"/>
      <c r="T208" s="26"/>
      <c r="U208" s="28">
        <f t="shared" si="9"/>
        <v>-9.1184903725115452E-2</v>
      </c>
    </row>
    <row r="209" spans="2:21" x14ac:dyDescent="0.25">
      <c r="B209" s="9"/>
      <c r="C209" s="17">
        <v>822.98</v>
      </c>
      <c r="D209" s="18">
        <v>45.808999999999997</v>
      </c>
      <c r="E209" s="18">
        <v>46.664000000000001</v>
      </c>
      <c r="F209" s="18">
        <v>47.265000000000001</v>
      </c>
      <c r="G209" s="18">
        <v>430.52</v>
      </c>
      <c r="H209" s="18">
        <f t="shared" si="10"/>
        <v>46.097874999999995</v>
      </c>
      <c r="I209" s="5"/>
      <c r="J209" s="17">
        <v>596.7201</v>
      </c>
      <c r="K209" s="18">
        <v>46.483199999999997</v>
      </c>
      <c r="L209" s="18">
        <v>47.606400000000001</v>
      </c>
      <c r="M209" s="18">
        <v>48.121899999999997</v>
      </c>
      <c r="N209" s="18">
        <v>385.9348</v>
      </c>
      <c r="O209" s="18">
        <f t="shared" si="11"/>
        <v>46.828437499999993</v>
      </c>
      <c r="P209" s="7"/>
      <c r="Q209" s="10"/>
      <c r="R209" s="11"/>
      <c r="S209" s="11"/>
      <c r="T209" s="26"/>
      <c r="U209" s="28">
        <f t="shared" si="9"/>
        <v>-0.10356127473752669</v>
      </c>
    </row>
    <row r="210" spans="2:21" ht="16.5" thickBot="1" x14ac:dyDescent="0.3">
      <c r="B210" s="12"/>
      <c r="C210" s="19">
        <v>389.28</v>
      </c>
      <c r="D210" s="20">
        <v>41.277000000000001</v>
      </c>
      <c r="E210" s="20">
        <v>42.598999999999997</v>
      </c>
      <c r="F210" s="20">
        <v>43.119</v>
      </c>
      <c r="G210" s="20">
        <v>438.7</v>
      </c>
      <c r="H210" s="20">
        <f t="shared" si="10"/>
        <v>41.672499999999999</v>
      </c>
      <c r="I210" s="5"/>
      <c r="J210" s="19">
        <v>300.36840000000001</v>
      </c>
      <c r="K210" s="20">
        <v>41.9953</v>
      </c>
      <c r="L210" s="20">
        <v>43.5976</v>
      </c>
      <c r="M210" s="20">
        <v>44.177500000000002</v>
      </c>
      <c r="N210" s="20">
        <v>437.10539999999997</v>
      </c>
      <c r="O210" s="20">
        <f t="shared" si="11"/>
        <v>42.468362499999998</v>
      </c>
      <c r="P210" s="7"/>
      <c r="Q210" s="13"/>
      <c r="R210" s="14"/>
      <c r="S210" s="14"/>
      <c r="T210" s="27"/>
      <c r="U210" s="28">
        <f t="shared" si="9"/>
        <v>-3.6348301800775335E-3</v>
      </c>
    </row>
    <row r="211" spans="2:21" x14ac:dyDescent="0.25">
      <c r="B211" s="6" t="s">
        <v>105</v>
      </c>
      <c r="C211" s="15">
        <v>2192.83</v>
      </c>
      <c r="D211" s="16">
        <v>41.673999999999999</v>
      </c>
      <c r="E211" s="16">
        <v>43.701999999999998</v>
      </c>
      <c r="F211" s="16">
        <v>44.226999999999997</v>
      </c>
      <c r="G211" s="16">
        <v>280.72000000000003</v>
      </c>
      <c r="H211" s="16">
        <f t="shared" si="10"/>
        <v>42.246624999999995</v>
      </c>
      <c r="I211" s="5"/>
      <c r="J211" s="15">
        <v>1496.6216999999999</v>
      </c>
      <c r="K211" s="16">
        <v>42.199399999999997</v>
      </c>
      <c r="L211" s="16">
        <v>44.4968</v>
      </c>
      <c r="M211" s="16">
        <v>44.918599999999998</v>
      </c>
      <c r="N211" s="16">
        <v>276.62520000000001</v>
      </c>
      <c r="O211" s="16">
        <f t="shared" si="11"/>
        <v>42.826475000000002</v>
      </c>
      <c r="P211" s="7"/>
      <c r="Q211" s="8">
        <f>bdrate(C211:C214,D211:D214,J211:J214,K211:K214)</f>
        <v>-0.46597485266170335</v>
      </c>
      <c r="R211" s="8">
        <f>bdrate(C211:C214,E211:E214,J211:J214,L211:L214)</f>
        <v>-0.50238055953981275</v>
      </c>
      <c r="S211" s="8">
        <f>bdrate(C211:C214,F211:F214,J211:J214,M211:M214)</f>
        <v>-0.4721735391856553</v>
      </c>
      <c r="T211" s="25">
        <f>bdrate(C211:C214,H211:H214,J211:J214,O211:O214)</f>
        <v>-0.47040288399306063</v>
      </c>
      <c r="U211" s="28">
        <f t="shared" si="9"/>
        <v>-1.4586776859504205E-2</v>
      </c>
    </row>
    <row r="212" spans="2:21" x14ac:dyDescent="0.25">
      <c r="B212" s="9"/>
      <c r="C212" s="17">
        <v>1462.71</v>
      </c>
      <c r="D212" s="18">
        <v>39.22</v>
      </c>
      <c r="E212" s="18">
        <v>41.947000000000003</v>
      </c>
      <c r="F212" s="18">
        <v>42.573999999999998</v>
      </c>
      <c r="G212" s="18">
        <v>360.58</v>
      </c>
      <c r="H212" s="18">
        <f t="shared" si="10"/>
        <v>39.980125000000001</v>
      </c>
      <c r="I212" s="5"/>
      <c r="J212" s="17">
        <v>999.846</v>
      </c>
      <c r="K212" s="18">
        <v>40.243299999999998</v>
      </c>
      <c r="L212" s="18">
        <v>43.121499999999997</v>
      </c>
      <c r="M212" s="18">
        <v>43.561599999999999</v>
      </c>
      <c r="N212" s="18">
        <v>316.9572</v>
      </c>
      <c r="O212" s="18">
        <f t="shared" si="11"/>
        <v>41.017862499999993</v>
      </c>
      <c r="P212" s="7"/>
      <c r="Q212" s="10"/>
      <c r="R212" s="11"/>
      <c r="S212" s="11"/>
      <c r="T212" s="26"/>
      <c r="U212" s="28">
        <f t="shared" si="9"/>
        <v>-0.12097953297465192</v>
      </c>
    </row>
    <row r="213" spans="2:21" x14ac:dyDescent="0.25">
      <c r="B213" s="9"/>
      <c r="C213" s="17">
        <v>891.56</v>
      </c>
      <c r="D213" s="18">
        <v>36.110999999999997</v>
      </c>
      <c r="E213" s="18">
        <v>40.15</v>
      </c>
      <c r="F213" s="18">
        <v>40.853999999999999</v>
      </c>
      <c r="G213" s="18">
        <v>367.5</v>
      </c>
      <c r="H213" s="18">
        <f t="shared" si="10"/>
        <v>37.208749999999995</v>
      </c>
      <c r="I213" s="5"/>
      <c r="J213" s="17">
        <v>600.48</v>
      </c>
      <c r="K213" s="18">
        <v>37.627299999999998</v>
      </c>
      <c r="L213" s="18">
        <v>41.284199999999998</v>
      </c>
      <c r="M213" s="18">
        <v>41.722799999999999</v>
      </c>
      <c r="N213" s="18">
        <v>352.59550000000002</v>
      </c>
      <c r="O213" s="18">
        <f t="shared" si="11"/>
        <v>38.596350000000001</v>
      </c>
      <c r="P213" s="7"/>
      <c r="Q213" s="10"/>
      <c r="R213" s="11"/>
      <c r="S213" s="11"/>
      <c r="T213" s="26"/>
      <c r="U213" s="28">
        <f t="shared" si="9"/>
        <v>-4.0556462585033974E-2</v>
      </c>
    </row>
    <row r="214" spans="2:21" ht="16.5" thickBot="1" x14ac:dyDescent="0.3">
      <c r="B214" s="12"/>
      <c r="C214" s="19">
        <v>426.23</v>
      </c>
      <c r="D214" s="20">
        <v>31.527000000000001</v>
      </c>
      <c r="E214" s="20">
        <v>37.884999999999998</v>
      </c>
      <c r="F214" s="20">
        <v>38.633000000000003</v>
      </c>
      <c r="G214" s="20">
        <v>372.21</v>
      </c>
      <c r="H214" s="20">
        <f t="shared" si="10"/>
        <v>33.21</v>
      </c>
      <c r="I214" s="5"/>
      <c r="J214" s="19">
        <v>302.10599999999999</v>
      </c>
      <c r="K214" s="20">
        <v>34.06</v>
      </c>
      <c r="L214" s="20">
        <v>38.9011</v>
      </c>
      <c r="M214" s="20">
        <v>39.392099999999999</v>
      </c>
      <c r="N214" s="20">
        <v>397.7022</v>
      </c>
      <c r="O214" s="20">
        <f t="shared" si="11"/>
        <v>35.331649999999996</v>
      </c>
      <c r="P214" s="7"/>
      <c r="Q214" s="13"/>
      <c r="R214" s="14"/>
      <c r="S214" s="14"/>
      <c r="T214" s="27"/>
      <c r="U214" s="28">
        <f t="shared" si="9"/>
        <v>6.8488756347223415E-2</v>
      </c>
    </row>
    <row r="215" spans="2:21" x14ac:dyDescent="0.25">
      <c r="B215" s="6" t="s">
        <v>106</v>
      </c>
      <c r="C215" s="29">
        <v>2098.15</v>
      </c>
      <c r="D215" s="30">
        <v>38.072000000000003</v>
      </c>
      <c r="E215" s="30">
        <v>42.649000000000001</v>
      </c>
      <c r="F215" s="30">
        <v>42.542000000000002</v>
      </c>
      <c r="G215" s="16">
        <v>288.45999999999998</v>
      </c>
      <c r="H215" s="16">
        <f t="shared" si="10"/>
        <v>39.202875000000006</v>
      </c>
      <c r="I215" s="5"/>
      <c r="J215" s="29">
        <v>1503.3973000000001</v>
      </c>
      <c r="K215" s="30">
        <v>38.609200000000001</v>
      </c>
      <c r="L215" s="30">
        <v>43.171999999999997</v>
      </c>
      <c r="M215" s="30">
        <v>43.131500000000003</v>
      </c>
      <c r="N215" s="16">
        <v>252.41900000000001</v>
      </c>
      <c r="O215" s="16">
        <f t="shared" si="11"/>
        <v>39.744837500000003</v>
      </c>
      <c r="P215" s="7"/>
      <c r="Q215" s="8">
        <f>bdrate(C215:C218,D215:D218,J215:J218,K215:K218)</f>
        <v>-0.44073767443365242</v>
      </c>
      <c r="R215" s="8">
        <f>bdrate(C215:C218,E215:E218,J215:J218,L215:L218)</f>
        <v>-0.41330425910565916</v>
      </c>
      <c r="S215" s="8">
        <f>bdrate(C215:C218,F215:F218,J215:J218,M215:M218)</f>
        <v>-0.44569446079442843</v>
      </c>
      <c r="T215" s="25">
        <f>bdrate(C215:C218,H215:H218,J215:J218,O215:O218)</f>
        <v>-0.44021950883486594</v>
      </c>
      <c r="U215" s="28">
        <f t="shared" si="9"/>
        <v>-0.12494279969493161</v>
      </c>
    </row>
    <row r="216" spans="2:21" x14ac:dyDescent="0.25">
      <c r="B216" s="9"/>
      <c r="C216" s="31">
        <v>1401.68</v>
      </c>
      <c r="D216" s="32">
        <v>35.877000000000002</v>
      </c>
      <c r="E216" s="32">
        <v>41.308999999999997</v>
      </c>
      <c r="F216" s="32">
        <v>41.16</v>
      </c>
      <c r="G216" s="18">
        <v>326.92</v>
      </c>
      <c r="H216" s="18">
        <f t="shared" si="10"/>
        <v>37.216374999999999</v>
      </c>
      <c r="I216" s="5"/>
      <c r="J216" s="31">
        <v>999.14649999999995</v>
      </c>
      <c r="K216" s="32">
        <v>36.733800000000002</v>
      </c>
      <c r="L216" s="32">
        <v>41.939900000000002</v>
      </c>
      <c r="M216" s="32">
        <v>41.911499999999997</v>
      </c>
      <c r="N216" s="18">
        <v>289.94850000000002</v>
      </c>
      <c r="O216" s="18">
        <f t="shared" si="11"/>
        <v>38.031775000000003</v>
      </c>
      <c r="P216" s="7"/>
      <c r="Q216" s="10"/>
      <c r="R216" s="11"/>
      <c r="S216" s="11"/>
      <c r="T216" s="26"/>
      <c r="U216" s="28">
        <f t="shared" si="9"/>
        <v>-0.11309035849749172</v>
      </c>
    </row>
    <row r="217" spans="2:21" x14ac:dyDescent="0.25">
      <c r="B217" s="9"/>
      <c r="C217" s="31">
        <v>855.31</v>
      </c>
      <c r="D217" s="32">
        <v>33.161999999999999</v>
      </c>
      <c r="E217" s="32">
        <v>39.905999999999999</v>
      </c>
      <c r="F217" s="32">
        <v>39.661999999999999</v>
      </c>
      <c r="G217" s="18">
        <v>334.45</v>
      </c>
      <c r="H217" s="18">
        <f t="shared" si="10"/>
        <v>34.817499999999995</v>
      </c>
      <c r="I217" s="5"/>
      <c r="J217" s="31">
        <v>601.99800000000005</v>
      </c>
      <c r="K217" s="32">
        <v>34.467300000000002</v>
      </c>
      <c r="L217" s="32">
        <v>40.435400000000001</v>
      </c>
      <c r="M217" s="32">
        <v>40.439500000000002</v>
      </c>
      <c r="N217" s="18">
        <v>327.74950000000001</v>
      </c>
      <c r="O217" s="18">
        <f t="shared" si="11"/>
        <v>35.959837500000006</v>
      </c>
      <c r="P217" s="7"/>
      <c r="Q217" s="10"/>
      <c r="R217" s="11"/>
      <c r="S217" s="11"/>
      <c r="T217" s="26"/>
      <c r="U217" s="28">
        <f t="shared" si="9"/>
        <v>-2.003438481088347E-2</v>
      </c>
    </row>
    <row r="218" spans="2:21" ht="16.5" thickBot="1" x14ac:dyDescent="0.3">
      <c r="B218" s="12"/>
      <c r="C218" s="33">
        <v>407.53</v>
      </c>
      <c r="D218" s="34">
        <v>28.731999999999999</v>
      </c>
      <c r="E218" s="34">
        <v>38.005000000000003</v>
      </c>
      <c r="F218" s="34">
        <v>37.790999999999997</v>
      </c>
      <c r="G218" s="20">
        <v>339.37</v>
      </c>
      <c r="H218" s="20">
        <f t="shared" si="10"/>
        <v>31.023499999999999</v>
      </c>
      <c r="I218" s="5"/>
      <c r="J218" s="33">
        <v>301.99549999999999</v>
      </c>
      <c r="K218" s="34">
        <v>31.438600000000001</v>
      </c>
      <c r="L218" s="34">
        <v>38.507800000000003</v>
      </c>
      <c r="M218" s="34">
        <v>38.387500000000003</v>
      </c>
      <c r="N218" s="20">
        <v>380.7912</v>
      </c>
      <c r="O218" s="20">
        <f t="shared" si="11"/>
        <v>33.190862500000001</v>
      </c>
      <c r="P218" s="7"/>
      <c r="Q218" s="13"/>
      <c r="R218" s="14"/>
      <c r="S218" s="14"/>
      <c r="T218" s="27"/>
      <c r="U218" s="28">
        <f t="shared" si="9"/>
        <v>0.12205321625364646</v>
      </c>
    </row>
    <row r="219" spans="2:21" x14ac:dyDescent="0.25">
      <c r="B219" s="6" t="s">
        <v>107</v>
      </c>
      <c r="C219" s="15">
        <v>2130.61</v>
      </c>
      <c r="D219" s="16">
        <v>36.020000000000003</v>
      </c>
      <c r="E219" s="16">
        <v>39.505000000000003</v>
      </c>
      <c r="F219" s="16">
        <v>40.070999999999998</v>
      </c>
      <c r="G219" s="16">
        <v>217.65</v>
      </c>
      <c r="H219" s="16">
        <f t="shared" si="10"/>
        <v>36.962000000000003</v>
      </c>
      <c r="I219" s="5"/>
      <c r="J219" s="15">
        <v>1500.8692000000001</v>
      </c>
      <c r="K219" s="16">
        <v>36.448999999999998</v>
      </c>
      <c r="L219" s="16">
        <v>41.047499999999999</v>
      </c>
      <c r="M219" s="16">
        <v>41.643599999999999</v>
      </c>
      <c r="N219" s="16">
        <v>258.06450000000001</v>
      </c>
      <c r="O219" s="16">
        <f t="shared" si="11"/>
        <v>37.673137499999996</v>
      </c>
      <c r="P219" s="7"/>
      <c r="Q219" s="8">
        <f>bdrate(C219:C222,D219:D222,J219:J222,K219:K222)</f>
        <v>-0.42129623544070327</v>
      </c>
      <c r="R219" s="8">
        <f>bdrate(C219:C222,E219:E222,J219:J222,L219:L222)</f>
        <v>-0.55290937057064626</v>
      </c>
      <c r="S219" s="8">
        <f>bdrate(C219:C222,F219:F222,J219:J222,M219:M222)</f>
        <v>-0.56191738558776905</v>
      </c>
      <c r="T219" s="25">
        <f>bdrate(C219:C222,H219:H222,J219:J222,O219:O222)</f>
        <v>-0.447200646630591</v>
      </c>
      <c r="U219" s="28">
        <f t="shared" si="9"/>
        <v>0.1856857339765679</v>
      </c>
    </row>
    <row r="220" spans="2:21" x14ac:dyDescent="0.25">
      <c r="B220" s="9"/>
      <c r="C220" s="17">
        <v>1420.34</v>
      </c>
      <c r="D220" s="18">
        <v>33.780999999999999</v>
      </c>
      <c r="E220" s="18">
        <v>38.137</v>
      </c>
      <c r="F220" s="18">
        <v>38.784999999999997</v>
      </c>
      <c r="G220" s="18">
        <v>258.14</v>
      </c>
      <c r="H220" s="18">
        <f t="shared" si="10"/>
        <v>34.950999999999993</v>
      </c>
      <c r="I220" s="5"/>
      <c r="J220" s="17">
        <v>991.56569999999999</v>
      </c>
      <c r="K220" s="18">
        <v>34.509599999999999</v>
      </c>
      <c r="L220" s="18">
        <v>39.691099999999999</v>
      </c>
      <c r="M220" s="18">
        <v>40.336199999999998</v>
      </c>
      <c r="N220" s="18">
        <v>301.2552</v>
      </c>
      <c r="O220" s="18">
        <f t="shared" si="11"/>
        <v>35.885612500000001</v>
      </c>
      <c r="P220" s="7"/>
      <c r="Q220" s="10"/>
      <c r="R220" s="11"/>
      <c r="S220" s="11"/>
      <c r="T220" s="26"/>
      <c r="U220" s="28">
        <f t="shared" si="9"/>
        <v>0.16702254590532276</v>
      </c>
    </row>
    <row r="221" spans="2:21" x14ac:dyDescent="0.25">
      <c r="B221" s="9"/>
      <c r="C221" s="17">
        <v>863.15</v>
      </c>
      <c r="D221" s="18">
        <v>31.187999999999999</v>
      </c>
      <c r="E221" s="18">
        <v>36.808</v>
      </c>
      <c r="F221" s="18">
        <v>37.515999999999998</v>
      </c>
      <c r="G221" s="18">
        <v>369.76</v>
      </c>
      <c r="H221" s="18">
        <f t="shared" si="10"/>
        <v>32.6815</v>
      </c>
      <c r="I221" s="5"/>
      <c r="J221" s="17">
        <v>595.58550000000002</v>
      </c>
      <c r="K221" s="18">
        <v>32.154800000000002</v>
      </c>
      <c r="L221" s="18">
        <v>38.0413</v>
      </c>
      <c r="M221" s="18">
        <v>38.738599999999998</v>
      </c>
      <c r="N221" s="18">
        <v>340.39330000000001</v>
      </c>
      <c r="O221" s="18">
        <f t="shared" si="11"/>
        <v>33.713587500000003</v>
      </c>
      <c r="P221" s="7"/>
      <c r="Q221" s="10"/>
      <c r="R221" s="11"/>
      <c r="S221" s="11"/>
      <c r="T221" s="26"/>
      <c r="U221" s="28">
        <f t="shared" si="9"/>
        <v>-7.9420975768065727E-2</v>
      </c>
    </row>
    <row r="222" spans="2:21" ht="16.5" thickBot="1" x14ac:dyDescent="0.3">
      <c r="B222" s="12"/>
      <c r="C222" s="19">
        <v>405.7</v>
      </c>
      <c r="D222" s="20">
        <v>27.08</v>
      </c>
      <c r="E222" s="20">
        <v>35.101999999999997</v>
      </c>
      <c r="F222" s="20">
        <v>35.835999999999999</v>
      </c>
      <c r="G222" s="20">
        <v>383.3</v>
      </c>
      <c r="H222" s="20">
        <f t="shared" si="10"/>
        <v>29.177250000000001</v>
      </c>
      <c r="I222" s="5"/>
      <c r="J222" s="19">
        <v>300.88189999999997</v>
      </c>
      <c r="K222" s="20">
        <v>28.999400000000001</v>
      </c>
      <c r="L222" s="20">
        <v>35.9773</v>
      </c>
      <c r="M222" s="20">
        <v>36.785800000000002</v>
      </c>
      <c r="N222" s="20">
        <v>388.34949999999998</v>
      </c>
      <c r="O222" s="20">
        <f t="shared" si="11"/>
        <v>30.8449375</v>
      </c>
      <c r="P222" s="7"/>
      <c r="Q222" s="13"/>
      <c r="R222" s="14"/>
      <c r="S222" s="14"/>
      <c r="T222" s="27"/>
      <c r="U222" s="28">
        <f t="shared" si="9"/>
        <v>1.3173754239498998E-2</v>
      </c>
    </row>
    <row r="223" spans="2:21" x14ac:dyDescent="0.25">
      <c r="B223" s="6" t="s">
        <v>108</v>
      </c>
      <c r="C223" s="15">
        <v>2140.09</v>
      </c>
      <c r="D223" s="16">
        <v>36.860999999999997</v>
      </c>
      <c r="E223" s="16">
        <v>41.972000000000001</v>
      </c>
      <c r="F223" s="16">
        <v>43.628999999999998</v>
      </c>
      <c r="G223" s="16">
        <v>202.07</v>
      </c>
      <c r="H223" s="16">
        <f t="shared" si="10"/>
        <v>38.345874999999999</v>
      </c>
      <c r="I223" s="5"/>
      <c r="J223" s="15">
        <v>1504.2979</v>
      </c>
      <c r="K223" s="16">
        <v>36.696800000000003</v>
      </c>
      <c r="L223" s="16">
        <v>42.682200000000002</v>
      </c>
      <c r="M223" s="16">
        <v>44.046100000000003</v>
      </c>
      <c r="N223" s="16">
        <v>243.93549999999999</v>
      </c>
      <c r="O223" s="16">
        <f t="shared" si="11"/>
        <v>38.36363750000001</v>
      </c>
      <c r="P223" s="7"/>
      <c r="Q223" s="8">
        <f>bdrate(C223:C226,D223:D226,J223:J226,K223:K226)</f>
        <v>-0.39729194177570493</v>
      </c>
      <c r="R223" s="8">
        <f>bdrate(C223:C226,E223:E226,J223:J226,L223:L226)</f>
        <v>-0.56098101265030831</v>
      </c>
      <c r="S223" s="8">
        <f>bdrate(C223:C226,F223:F226,J223:J226,M223:M226)</f>
        <v>-0.45970535438355387</v>
      </c>
      <c r="T223" s="25">
        <f>bdrate(C223:C226,H223:H226,J223:J226,O223:O226)</f>
        <v>-0.41740885187404542</v>
      </c>
      <c r="U223" s="28">
        <f t="shared" si="9"/>
        <v>0.2071831543524521</v>
      </c>
    </row>
    <row r="224" spans="2:21" x14ac:dyDescent="0.25">
      <c r="B224" s="9"/>
      <c r="C224" s="17">
        <v>1427.46</v>
      </c>
      <c r="D224" s="18">
        <v>35.045000000000002</v>
      </c>
      <c r="E224" s="18">
        <v>40.777999999999999</v>
      </c>
      <c r="F224" s="18">
        <v>42.43</v>
      </c>
      <c r="G224" s="18">
        <v>320.51</v>
      </c>
      <c r="H224" s="18">
        <f t="shared" si="10"/>
        <v>36.684750000000001</v>
      </c>
      <c r="I224" s="5"/>
      <c r="J224" s="17">
        <v>1004.0214999999999</v>
      </c>
      <c r="K224" s="18">
        <v>35.354399999999998</v>
      </c>
      <c r="L224" s="18">
        <v>41.786700000000003</v>
      </c>
      <c r="M224" s="18">
        <v>43.0351</v>
      </c>
      <c r="N224" s="18">
        <v>290.65069999999997</v>
      </c>
      <c r="O224" s="18">
        <f t="shared" si="11"/>
        <v>37.118524999999998</v>
      </c>
      <c r="P224" s="7"/>
      <c r="Q224" s="10"/>
      <c r="R224" s="11"/>
      <c r="S224" s="11"/>
      <c r="T224" s="26"/>
      <c r="U224" s="28">
        <f t="shared" si="9"/>
        <v>-9.3161835824155312E-2</v>
      </c>
    </row>
    <row r="225" spans="2:21" x14ac:dyDescent="0.25">
      <c r="B225" s="9"/>
      <c r="C225" s="17">
        <v>867.2</v>
      </c>
      <c r="D225" s="18">
        <v>32.982999999999997</v>
      </c>
      <c r="E225" s="18">
        <v>39.56</v>
      </c>
      <c r="F225" s="18">
        <v>41.082999999999998</v>
      </c>
      <c r="G225" s="18">
        <v>326.92</v>
      </c>
      <c r="H225" s="18">
        <f t="shared" si="10"/>
        <v>34.817624999999992</v>
      </c>
      <c r="I225" s="5"/>
      <c r="J225" s="17">
        <v>602.94169999999997</v>
      </c>
      <c r="K225" s="18">
        <v>33.682099999999998</v>
      </c>
      <c r="L225" s="18">
        <v>40.693600000000004</v>
      </c>
      <c r="M225" s="18">
        <v>41.807099999999998</v>
      </c>
      <c r="N225" s="18">
        <v>330.51780000000002</v>
      </c>
      <c r="O225" s="18">
        <f t="shared" si="11"/>
        <v>35.5741625</v>
      </c>
      <c r="P225" s="7"/>
      <c r="Q225" s="10"/>
      <c r="R225" s="11"/>
      <c r="S225" s="11"/>
      <c r="T225" s="26"/>
      <c r="U225" s="28">
        <f t="shared" si="9"/>
        <v>1.1005138871895285E-2</v>
      </c>
    </row>
    <row r="226" spans="2:21" ht="16.5" thickBot="1" x14ac:dyDescent="0.3">
      <c r="B226" s="12"/>
      <c r="C226" s="19">
        <v>411.23</v>
      </c>
      <c r="D226" s="20">
        <v>30.381</v>
      </c>
      <c r="E226" s="20">
        <v>38.173999999999999</v>
      </c>
      <c r="F226" s="20">
        <v>39.290999999999997</v>
      </c>
      <c r="G226" s="20">
        <v>328.65</v>
      </c>
      <c r="H226" s="20">
        <f t="shared" si="10"/>
        <v>32.468874999999997</v>
      </c>
      <c r="I226" s="5"/>
      <c r="J226" s="19">
        <v>300.3836</v>
      </c>
      <c r="K226" s="20">
        <v>31.631399999999999</v>
      </c>
      <c r="L226" s="20">
        <v>39.236199999999997</v>
      </c>
      <c r="M226" s="20">
        <v>40.052300000000002</v>
      </c>
      <c r="N226" s="20">
        <v>382.0034</v>
      </c>
      <c r="O226" s="20">
        <f t="shared" si="11"/>
        <v>33.634612500000003</v>
      </c>
      <c r="P226" s="7"/>
      <c r="Q226" s="13"/>
      <c r="R226" s="14"/>
      <c r="S226" s="14"/>
      <c r="T226" s="27"/>
      <c r="U226" s="28">
        <f t="shared" si="9"/>
        <v>0.1623410923474822</v>
      </c>
    </row>
    <row r="227" spans="2:21" x14ac:dyDescent="0.25">
      <c r="B227" s="6" t="s">
        <v>109</v>
      </c>
      <c r="C227" s="15">
        <v>2194.36</v>
      </c>
      <c r="D227" s="16">
        <v>46.762</v>
      </c>
      <c r="E227" s="16">
        <v>50.851999999999997</v>
      </c>
      <c r="F227" s="16">
        <v>51.962000000000003</v>
      </c>
      <c r="G227" s="16">
        <v>310.70999999999998</v>
      </c>
      <c r="H227" s="16">
        <f t="shared" si="10"/>
        <v>47.923249999999996</v>
      </c>
      <c r="I227" s="5"/>
      <c r="J227" s="15">
        <v>1503.5606</v>
      </c>
      <c r="K227" s="16">
        <v>46.671700000000001</v>
      </c>
      <c r="L227" s="16">
        <v>51.398000000000003</v>
      </c>
      <c r="M227" s="16">
        <v>52.887</v>
      </c>
      <c r="N227" s="16">
        <v>286.19150000000002</v>
      </c>
      <c r="O227" s="16">
        <f t="shared" si="11"/>
        <v>48.039400000000008</v>
      </c>
      <c r="P227" s="7"/>
      <c r="Q227" s="8">
        <f>bdrate(C227:C230,D227:D230,J227:J230,K227:K230)</f>
        <v>-0.42293030030625245</v>
      </c>
      <c r="R227" s="8">
        <f>bdrate(C227:C230,E227:E230,J227:J230,L227:L230)</f>
        <v>-0.56115732369535221</v>
      </c>
      <c r="S227" s="8">
        <f>bdrate(C227:C230,F227:F230,J227:J230,M227:M230)</f>
        <v>-0.57722794765248531</v>
      </c>
      <c r="T227" s="25">
        <f>bdrate(C227:C230,H227:H230,J227:J230,O227:O230)</f>
        <v>-0.45917285411284015</v>
      </c>
      <c r="U227" s="28">
        <f t="shared" si="9"/>
        <v>-7.8911203372919958E-2</v>
      </c>
    </row>
    <row r="228" spans="2:21" x14ac:dyDescent="0.25">
      <c r="B228" s="9"/>
      <c r="C228" s="17">
        <v>1457.4</v>
      </c>
      <c r="D228" s="18">
        <v>44.13</v>
      </c>
      <c r="E228" s="18">
        <v>48.25</v>
      </c>
      <c r="F228" s="18">
        <v>49.496000000000002</v>
      </c>
      <c r="G228" s="18">
        <v>362.56</v>
      </c>
      <c r="H228" s="18">
        <f t="shared" si="10"/>
        <v>45.315750000000001</v>
      </c>
      <c r="I228" s="5"/>
      <c r="J228" s="17">
        <v>1005.1744</v>
      </c>
      <c r="K228" s="18">
        <v>44.856999999999999</v>
      </c>
      <c r="L228" s="18">
        <v>50.024700000000003</v>
      </c>
      <c r="M228" s="18">
        <v>51.421999999999997</v>
      </c>
      <c r="N228" s="18">
        <v>336.26170000000002</v>
      </c>
      <c r="O228" s="18">
        <f t="shared" si="11"/>
        <v>46.323587500000002</v>
      </c>
      <c r="P228" s="7"/>
      <c r="Q228" s="10"/>
      <c r="R228" s="11"/>
      <c r="S228" s="11"/>
      <c r="T228" s="26"/>
      <c r="U228" s="28">
        <f t="shared" si="9"/>
        <v>-7.2535028684907285E-2</v>
      </c>
    </row>
    <row r="229" spans="2:21" x14ac:dyDescent="0.25">
      <c r="B229" s="9"/>
      <c r="C229" s="17">
        <v>880.13</v>
      </c>
      <c r="D229" s="18">
        <v>41.406999999999996</v>
      </c>
      <c r="E229" s="18">
        <v>45.948999999999998</v>
      </c>
      <c r="F229" s="18">
        <v>47.267000000000003</v>
      </c>
      <c r="G229" s="18">
        <v>369.56</v>
      </c>
      <c r="H229" s="18">
        <f t="shared" si="10"/>
        <v>42.707249999999995</v>
      </c>
      <c r="I229" s="5"/>
      <c r="J229" s="17">
        <v>604.95320000000004</v>
      </c>
      <c r="K229" s="18">
        <v>42.614800000000002</v>
      </c>
      <c r="L229" s="18">
        <v>48.203400000000002</v>
      </c>
      <c r="M229" s="18">
        <v>49.577500000000001</v>
      </c>
      <c r="N229" s="18">
        <v>343.25510000000003</v>
      </c>
      <c r="O229" s="18">
        <f t="shared" si="11"/>
        <v>44.183712499999999</v>
      </c>
      <c r="P229" s="7"/>
      <c r="Q229" s="10"/>
      <c r="R229" s="11"/>
      <c r="S229" s="11"/>
      <c r="T229" s="26"/>
      <c r="U229" s="28">
        <f t="shared" si="9"/>
        <v>-7.1178969585452903E-2</v>
      </c>
    </row>
    <row r="230" spans="2:21" ht="16.5" thickBot="1" x14ac:dyDescent="0.3">
      <c r="B230" s="12"/>
      <c r="C230" s="19">
        <v>422.42</v>
      </c>
      <c r="D230" s="20">
        <v>38.793999999999997</v>
      </c>
      <c r="E230" s="20">
        <v>43.481000000000002</v>
      </c>
      <c r="F230" s="20">
        <v>44.853999999999999</v>
      </c>
      <c r="G230" s="20">
        <v>381.39</v>
      </c>
      <c r="H230" s="20">
        <f t="shared" si="10"/>
        <v>40.137374999999999</v>
      </c>
      <c r="I230" s="5"/>
      <c r="J230" s="19">
        <v>302.92950000000002</v>
      </c>
      <c r="K230" s="20">
        <v>39.394300000000001</v>
      </c>
      <c r="L230" s="20">
        <v>45.274900000000002</v>
      </c>
      <c r="M230" s="20">
        <v>46.644500000000001</v>
      </c>
      <c r="N230" s="20">
        <v>410.1687</v>
      </c>
      <c r="O230" s="20">
        <f t="shared" si="11"/>
        <v>41.035650000000004</v>
      </c>
      <c r="P230" s="7"/>
      <c r="Q230" s="13"/>
      <c r="R230" s="14"/>
      <c r="S230" s="14"/>
      <c r="T230" s="27"/>
      <c r="U230" s="28">
        <f t="shared" si="9"/>
        <v>7.5457405805081451E-2</v>
      </c>
    </row>
    <row r="231" spans="2:21" x14ac:dyDescent="0.25">
      <c r="B231" s="6" t="s">
        <v>110</v>
      </c>
      <c r="C231" s="15">
        <v>2062.5700000000002</v>
      </c>
      <c r="D231" s="16">
        <v>30.62</v>
      </c>
      <c r="E231" s="16">
        <v>39.408000000000001</v>
      </c>
      <c r="F231" s="16">
        <v>38.814</v>
      </c>
      <c r="G231" s="16">
        <v>277.35000000000002</v>
      </c>
      <c r="H231" s="16">
        <f t="shared" si="10"/>
        <v>32.742750000000001</v>
      </c>
      <c r="I231" s="5"/>
      <c r="J231" s="15">
        <v>1494.1717000000001</v>
      </c>
      <c r="K231" s="16">
        <v>31.3658</v>
      </c>
      <c r="L231" s="16">
        <v>39.853900000000003</v>
      </c>
      <c r="M231" s="16">
        <v>39.188899999999997</v>
      </c>
      <c r="N231" s="16">
        <v>209.6925</v>
      </c>
      <c r="O231" s="16">
        <f t="shared" si="11"/>
        <v>33.404699999999998</v>
      </c>
      <c r="P231" s="7"/>
      <c r="Q231" s="8">
        <f>bdrate(C231:C234,D231:D234,J231:J234,K231:K234)</f>
        <v>-0.46462993430553368</v>
      </c>
      <c r="R231" s="8">
        <f>bdrate(C231:C234,E231:E234,J231:J234,L231:L234)</f>
        <v>-0.33136032577504815</v>
      </c>
      <c r="S231" s="8">
        <f>bdrate(C231:C234,F231:F234,J231:J234,M231:M234)</f>
        <v>-0.30753291716067133</v>
      </c>
      <c r="T231" s="25">
        <f>bdrate(C231:C234,H231:H234,J231:J234,O231:O234)</f>
        <v>-0.44655948531871137</v>
      </c>
      <c r="U231" s="28">
        <f t="shared" si="9"/>
        <v>-0.24394267171444031</v>
      </c>
    </row>
    <row r="232" spans="2:21" x14ac:dyDescent="0.25">
      <c r="B232" s="9"/>
      <c r="C232" s="17">
        <v>1375.17</v>
      </c>
      <c r="D232" s="18">
        <v>28.562999999999999</v>
      </c>
      <c r="E232" s="18">
        <v>38.503999999999998</v>
      </c>
      <c r="F232" s="18">
        <v>37.9</v>
      </c>
      <c r="G232" s="18">
        <v>299.7</v>
      </c>
      <c r="H232" s="18">
        <f t="shared" si="10"/>
        <v>30.972749999999998</v>
      </c>
      <c r="I232" s="5"/>
      <c r="J232" s="17">
        <v>994.86749999999995</v>
      </c>
      <c r="K232" s="18">
        <v>29.633800000000001</v>
      </c>
      <c r="L232" s="18">
        <v>38.887</v>
      </c>
      <c r="M232" s="18">
        <v>38.189700000000002</v>
      </c>
      <c r="N232" s="18">
        <v>245.8681</v>
      </c>
      <c r="O232" s="18">
        <f t="shared" si="11"/>
        <v>31.859937500000001</v>
      </c>
      <c r="P232" s="7"/>
      <c r="Q232" s="10"/>
      <c r="R232" s="11"/>
      <c r="S232" s="11"/>
      <c r="T232" s="26"/>
      <c r="U232" s="28">
        <f t="shared" si="9"/>
        <v>-0.17961928595261925</v>
      </c>
    </row>
    <row r="233" spans="2:21" x14ac:dyDescent="0.25">
      <c r="B233" s="9"/>
      <c r="C233" s="17">
        <v>836.36</v>
      </c>
      <c r="D233" s="18">
        <v>25.984999999999999</v>
      </c>
      <c r="E233" s="18">
        <v>37.496000000000002</v>
      </c>
      <c r="F233" s="18">
        <v>36.881999999999998</v>
      </c>
      <c r="G233" s="18">
        <v>305.24</v>
      </c>
      <c r="H233" s="18">
        <f t="shared" si="10"/>
        <v>28.786000000000001</v>
      </c>
      <c r="I233" s="5"/>
      <c r="J233" s="17">
        <v>596.42250000000001</v>
      </c>
      <c r="K233" s="18">
        <v>27.476299999999998</v>
      </c>
      <c r="L233" s="18">
        <v>37.582000000000001</v>
      </c>
      <c r="M233" s="18">
        <v>36.8185</v>
      </c>
      <c r="N233" s="18">
        <v>305.29169999999999</v>
      </c>
      <c r="O233" s="18">
        <f t="shared" si="11"/>
        <v>29.907287499999999</v>
      </c>
      <c r="P233" s="7"/>
      <c r="Q233" s="10"/>
      <c r="R233" s="11"/>
      <c r="S233" s="11"/>
      <c r="T233" s="26"/>
      <c r="U233" s="28">
        <f t="shared" si="9"/>
        <v>1.6937491809717776E-4</v>
      </c>
    </row>
    <row r="234" spans="2:21" ht="16.5" thickBot="1" x14ac:dyDescent="0.3">
      <c r="B234" s="12"/>
      <c r="C234" s="19">
        <v>387.44</v>
      </c>
      <c r="D234" s="20">
        <v>21.878</v>
      </c>
      <c r="E234" s="20">
        <v>34.003</v>
      </c>
      <c r="F234" s="20">
        <v>33.393000000000001</v>
      </c>
      <c r="G234" s="20">
        <v>304.47000000000003</v>
      </c>
      <c r="H234" s="20">
        <f t="shared" si="10"/>
        <v>24.833000000000002</v>
      </c>
      <c r="I234" s="5"/>
      <c r="J234" s="19">
        <v>299.80950000000001</v>
      </c>
      <c r="K234" s="20">
        <v>24.7287</v>
      </c>
      <c r="L234" s="20">
        <v>35.081400000000002</v>
      </c>
      <c r="M234" s="20">
        <v>34.4983</v>
      </c>
      <c r="N234" s="20">
        <v>364.81560000000002</v>
      </c>
      <c r="O234" s="20">
        <f t="shared" si="11"/>
        <v>27.243987499999999</v>
      </c>
      <c r="P234" s="7"/>
      <c r="Q234" s="13"/>
      <c r="R234" s="14"/>
      <c r="S234" s="14"/>
      <c r="T234" s="27"/>
      <c r="U234" s="28">
        <f t="shared" si="9"/>
        <v>0.19819883732387422</v>
      </c>
    </row>
    <row r="235" spans="2:21" x14ac:dyDescent="0.25">
      <c r="B235" s="6" t="s">
        <v>111</v>
      </c>
      <c r="C235" s="15">
        <v>2328.0100000000002</v>
      </c>
      <c r="D235" s="16">
        <v>45.459000000000003</v>
      </c>
      <c r="E235" s="16">
        <v>45.933999999999997</v>
      </c>
      <c r="F235" s="16">
        <v>45.72</v>
      </c>
      <c r="G235" s="16">
        <v>292.87</v>
      </c>
      <c r="H235" s="16">
        <f t="shared" si="10"/>
        <v>45.551000000000002</v>
      </c>
      <c r="I235" s="5"/>
      <c r="J235" s="15">
        <v>1416.2781</v>
      </c>
      <c r="K235" s="16">
        <v>44.313800000000001</v>
      </c>
      <c r="L235" s="16">
        <v>45.290999999999997</v>
      </c>
      <c r="M235" s="16">
        <v>45.182200000000002</v>
      </c>
      <c r="N235" s="16">
        <v>255.28290000000001</v>
      </c>
      <c r="O235" s="16">
        <f t="shared" si="11"/>
        <v>44.544499999999999</v>
      </c>
      <c r="P235" s="7"/>
      <c r="Q235" s="8">
        <f>bdrate(C235:C238,D235:D238,J235:J238,K235:K238)</f>
        <v>-0.35336934905345097</v>
      </c>
      <c r="R235" s="8">
        <f>bdrate(C235:C238,E235:E238,J235:J238,L235:L238)</f>
        <v>-0.38128784358016465</v>
      </c>
      <c r="S235" s="8">
        <f>bdrate(C235:C238,F235:F238,J235:J238,M235:M238)</f>
        <v>-0.40645761304382844</v>
      </c>
      <c r="T235" s="25">
        <f>bdrate(C235:C238,H235:H238,J235:J238,O235:O238)</f>
        <v>-0.36188984138541236</v>
      </c>
      <c r="U235" s="28">
        <f t="shared" si="9"/>
        <v>-0.12834056065831254</v>
      </c>
    </row>
    <row r="236" spans="2:21" x14ac:dyDescent="0.25">
      <c r="B236" s="9"/>
      <c r="C236" s="17">
        <v>1547.19</v>
      </c>
      <c r="D236" s="18">
        <v>42.884999999999998</v>
      </c>
      <c r="E236" s="18">
        <v>43.753999999999998</v>
      </c>
      <c r="F236" s="18">
        <v>43.488999999999997</v>
      </c>
      <c r="G236" s="18">
        <v>367.5</v>
      </c>
      <c r="H236" s="18">
        <f t="shared" si="10"/>
        <v>43.069125</v>
      </c>
      <c r="I236" s="5"/>
      <c r="J236" s="17">
        <v>956.35969999999998</v>
      </c>
      <c r="K236" s="18">
        <v>42.470799999999997</v>
      </c>
      <c r="L236" s="18">
        <v>43.777200000000001</v>
      </c>
      <c r="M236" s="18">
        <v>43.635100000000001</v>
      </c>
      <c r="N236" s="18">
        <v>317.01299999999998</v>
      </c>
      <c r="O236" s="18">
        <f t="shared" si="11"/>
        <v>42.7796375</v>
      </c>
      <c r="P236" s="7"/>
      <c r="Q236" s="10"/>
      <c r="R236" s="11"/>
      <c r="S236" s="11"/>
      <c r="T236" s="26"/>
      <c r="U236" s="28">
        <f t="shared" si="9"/>
        <v>-0.13737959183673476</v>
      </c>
    </row>
    <row r="237" spans="2:21" x14ac:dyDescent="0.25">
      <c r="B237" s="9"/>
      <c r="C237" s="17">
        <v>940.43</v>
      </c>
      <c r="D237" s="18">
        <v>39.646999999999998</v>
      </c>
      <c r="E237" s="18">
        <v>41.247999999999998</v>
      </c>
      <c r="F237" s="18">
        <v>40.854999999999997</v>
      </c>
      <c r="G237" s="18">
        <v>380.79</v>
      </c>
      <c r="H237" s="18">
        <f t="shared" si="10"/>
        <v>39.998125000000002</v>
      </c>
      <c r="I237" s="5"/>
      <c r="J237" s="17">
        <v>584.27009999999996</v>
      </c>
      <c r="K237" s="18">
        <v>39.383899999999997</v>
      </c>
      <c r="L237" s="18">
        <v>41.320399999999999</v>
      </c>
      <c r="M237" s="18">
        <v>41.191000000000003</v>
      </c>
      <c r="N237" s="18">
        <v>357.072</v>
      </c>
      <c r="O237" s="18">
        <f t="shared" si="11"/>
        <v>39.851849999999999</v>
      </c>
      <c r="P237" s="7"/>
      <c r="Q237" s="10"/>
      <c r="R237" s="11"/>
      <c r="S237" s="11"/>
      <c r="T237" s="26"/>
      <c r="U237" s="28">
        <f t="shared" si="9"/>
        <v>-6.2286299535176913E-2</v>
      </c>
    </row>
    <row r="238" spans="2:21" ht="16.5" thickBot="1" x14ac:dyDescent="0.3">
      <c r="B238" s="12"/>
      <c r="C238" s="19">
        <v>442.42</v>
      </c>
      <c r="D238" s="20">
        <v>34.292999999999999</v>
      </c>
      <c r="E238" s="20">
        <v>37.823999999999998</v>
      </c>
      <c r="F238" s="20">
        <v>37.335999999999999</v>
      </c>
      <c r="G238" s="20">
        <v>395.17</v>
      </c>
      <c r="H238" s="20">
        <f t="shared" si="10"/>
        <v>35.114750000000001</v>
      </c>
      <c r="I238" s="5"/>
      <c r="J238" s="19">
        <v>295.69029999999998</v>
      </c>
      <c r="K238" s="20">
        <v>35.032200000000003</v>
      </c>
      <c r="L238" s="20">
        <v>38.159100000000002</v>
      </c>
      <c r="M238" s="20">
        <v>37.906599999999997</v>
      </c>
      <c r="N238" s="20">
        <v>399.20159999999998</v>
      </c>
      <c r="O238" s="20">
        <f t="shared" si="11"/>
        <v>35.782362500000005</v>
      </c>
      <c r="P238" s="7"/>
      <c r="Q238" s="13"/>
      <c r="R238" s="14"/>
      <c r="S238" s="14"/>
      <c r="T238" s="27"/>
      <c r="U238" s="28">
        <f t="shared" si="9"/>
        <v>1.0202191461902394E-2</v>
      </c>
    </row>
    <row r="239" spans="2:21" x14ac:dyDescent="0.25">
      <c r="B239" s="6" t="s">
        <v>112</v>
      </c>
      <c r="C239" s="15">
        <v>2580.73</v>
      </c>
      <c r="D239" s="16">
        <v>47.17</v>
      </c>
      <c r="E239" s="16">
        <v>48.88</v>
      </c>
      <c r="F239" s="16">
        <v>49.036000000000001</v>
      </c>
      <c r="G239" s="16">
        <v>285.62</v>
      </c>
      <c r="H239" s="16">
        <f t="shared" si="10"/>
        <v>47.616999999999997</v>
      </c>
      <c r="I239" s="5"/>
      <c r="J239" s="15">
        <v>1400.8652999999999</v>
      </c>
      <c r="K239" s="16">
        <v>45.287100000000002</v>
      </c>
      <c r="L239" s="16">
        <v>47.514099999999999</v>
      </c>
      <c r="M239" s="16">
        <v>47.7727</v>
      </c>
      <c r="N239" s="16">
        <v>238.37899999999999</v>
      </c>
      <c r="O239" s="16">
        <f t="shared" si="11"/>
        <v>45.876174999999996</v>
      </c>
      <c r="P239" s="7"/>
      <c r="Q239" s="8">
        <f>bdrate(C239:C242,D239:D242,J239:J242,K239:K242)</f>
        <v>-0.38694463497796461</v>
      </c>
      <c r="R239" s="8">
        <f>bdrate(C239:C242,E239:E242,J239:J242,L239:L242)</f>
        <v>-0.41842806910289387</v>
      </c>
      <c r="S239" s="8">
        <f>bdrate(C239:C242,F239:F242,J239:J242,M239:M242)</f>
        <v>-0.42431963969764885</v>
      </c>
      <c r="T239" s="25">
        <f>bdrate(C239:C242,H239:H242,J239:J242,O239:O242)</f>
        <v>-0.39471465003985629</v>
      </c>
      <c r="U239" s="28">
        <f t="shared" si="9"/>
        <v>-0.16539808136685111</v>
      </c>
    </row>
    <row r="240" spans="2:21" x14ac:dyDescent="0.25">
      <c r="B240" s="9"/>
      <c r="C240" s="17">
        <v>1709.59</v>
      </c>
      <c r="D240" s="18">
        <v>44.231999999999999</v>
      </c>
      <c r="E240" s="18">
        <v>46.2</v>
      </c>
      <c r="F240" s="18">
        <v>46.386000000000003</v>
      </c>
      <c r="G240" s="18">
        <v>353.91</v>
      </c>
      <c r="H240" s="18">
        <f t="shared" si="10"/>
        <v>44.747250000000001</v>
      </c>
      <c r="I240" s="5"/>
      <c r="J240" s="17">
        <v>976.52189999999996</v>
      </c>
      <c r="K240" s="18">
        <v>43.588200000000001</v>
      </c>
      <c r="L240" s="18">
        <v>45.995800000000003</v>
      </c>
      <c r="M240" s="18">
        <v>46.244999999999997</v>
      </c>
      <c r="N240" s="18">
        <v>278.03519999999997</v>
      </c>
      <c r="O240" s="18">
        <f t="shared" si="11"/>
        <v>44.221249999999998</v>
      </c>
      <c r="P240" s="7"/>
      <c r="Q240" s="10"/>
      <c r="R240" s="11"/>
      <c r="S240" s="11"/>
      <c r="T240" s="26"/>
      <c r="U240" s="28">
        <f t="shared" si="9"/>
        <v>-0.21439009917775717</v>
      </c>
    </row>
    <row r="241" spans="2:21" x14ac:dyDescent="0.25">
      <c r="B241" s="9"/>
      <c r="C241" s="17">
        <v>1026.67</v>
      </c>
      <c r="D241" s="18">
        <v>40.774999999999999</v>
      </c>
      <c r="E241" s="18">
        <v>43.216000000000001</v>
      </c>
      <c r="F241" s="18">
        <v>43.426000000000002</v>
      </c>
      <c r="G241" s="18">
        <v>388.43</v>
      </c>
      <c r="H241" s="18">
        <f t="shared" si="10"/>
        <v>41.411499999999997</v>
      </c>
      <c r="I241" s="5"/>
      <c r="J241" s="17">
        <v>635.66999999999996</v>
      </c>
      <c r="K241" s="18">
        <v>41.037999999999997</v>
      </c>
      <c r="L241" s="18">
        <v>43.8003</v>
      </c>
      <c r="M241" s="18">
        <v>44.0672</v>
      </c>
      <c r="N241" s="18">
        <v>306.85309999999998</v>
      </c>
      <c r="O241" s="18">
        <f t="shared" si="11"/>
        <v>41.761937500000002</v>
      </c>
      <c r="P241" s="7"/>
      <c r="Q241" s="10"/>
      <c r="R241" s="11"/>
      <c r="S241" s="11"/>
      <c r="T241" s="26"/>
      <c r="U241" s="28">
        <f t="shared" si="9"/>
        <v>-0.21001699147851613</v>
      </c>
    </row>
    <row r="242" spans="2:21" ht="16.5" thickBot="1" x14ac:dyDescent="0.3">
      <c r="B242" s="12"/>
      <c r="C242" s="19">
        <v>481.26</v>
      </c>
      <c r="D242" s="20">
        <v>36.06</v>
      </c>
      <c r="E242" s="20">
        <v>39.540999999999997</v>
      </c>
      <c r="F242" s="20">
        <v>39.755000000000003</v>
      </c>
      <c r="G242" s="20">
        <v>407.7</v>
      </c>
      <c r="H242" s="20">
        <f t="shared" si="10"/>
        <v>36.957000000000001</v>
      </c>
      <c r="I242" s="5"/>
      <c r="J242" s="19">
        <v>340.25</v>
      </c>
      <c r="K242" s="20">
        <v>36.866799999999998</v>
      </c>
      <c r="L242" s="20">
        <v>40.177700000000002</v>
      </c>
      <c r="M242" s="20">
        <v>40.428400000000003</v>
      </c>
      <c r="N242" s="20">
        <v>397.87799999999999</v>
      </c>
      <c r="O242" s="20">
        <f t="shared" si="11"/>
        <v>37.725862499999998</v>
      </c>
      <c r="P242" s="7"/>
      <c r="Q242" s="13"/>
      <c r="R242" s="14"/>
      <c r="S242" s="14"/>
      <c r="T242" s="27"/>
      <c r="U242" s="28">
        <f t="shared" si="9"/>
        <v>-2.4091243561442245E-2</v>
      </c>
    </row>
    <row r="243" spans="2:21" x14ac:dyDescent="0.25">
      <c r="B243" s="6" t="s">
        <v>113</v>
      </c>
      <c r="C243" s="29">
        <v>2147.08</v>
      </c>
      <c r="D243" s="30">
        <v>31.635000000000002</v>
      </c>
      <c r="E243" s="30">
        <v>35.779000000000003</v>
      </c>
      <c r="F243" s="30">
        <v>34.790999999999997</v>
      </c>
      <c r="G243" s="16">
        <v>236.34</v>
      </c>
      <c r="H243" s="16">
        <f t="shared" si="10"/>
        <v>32.547499999999999</v>
      </c>
      <c r="I243" s="5"/>
      <c r="J243" s="29">
        <v>1506.8504</v>
      </c>
      <c r="K243" s="30">
        <v>31.9665</v>
      </c>
      <c r="L243" s="30">
        <v>36.290599999999998</v>
      </c>
      <c r="M243" s="30">
        <v>35.180199999999999</v>
      </c>
      <c r="N243" s="16">
        <v>233.5539</v>
      </c>
      <c r="O243" s="16">
        <f t="shared" si="11"/>
        <v>32.908725000000004</v>
      </c>
      <c r="P243" s="7"/>
      <c r="Q243" s="8">
        <f>bdrate(C243:C246,D243:D246,J243:J246,K243:K246)</f>
        <v>-0.422605614747674</v>
      </c>
      <c r="R243" s="8">
        <f>bdrate(C243:C246,E243:E246,J243:J246,L243:L246)</f>
        <v>-0.36471342544964391</v>
      </c>
      <c r="S243" s="8">
        <f>bdrate(C243:C246,F243:F246,J243:J246,M243:M246)</f>
        <v>-0.31484140701991337</v>
      </c>
      <c r="T243" s="25">
        <f>bdrate(C243:C246,H243:H246,J243:J246,O243:O246)</f>
        <v>-0.41438951379246158</v>
      </c>
      <c r="U243" s="28">
        <f t="shared" si="9"/>
        <v>-1.1788525006346808E-2</v>
      </c>
    </row>
    <row r="244" spans="2:21" x14ac:dyDescent="0.25">
      <c r="B244" s="9"/>
      <c r="C244" s="31">
        <v>1424.7</v>
      </c>
      <c r="D244" s="32">
        <v>29.478999999999999</v>
      </c>
      <c r="E244" s="32">
        <v>34.826000000000001</v>
      </c>
      <c r="F244" s="32">
        <v>33.786000000000001</v>
      </c>
      <c r="G244" s="18">
        <v>332.47</v>
      </c>
      <c r="H244" s="18">
        <f t="shared" si="10"/>
        <v>30.685749999999999</v>
      </c>
      <c r="I244" s="5"/>
      <c r="J244" s="31">
        <v>1007.0581</v>
      </c>
      <c r="K244" s="32">
        <v>30.0914</v>
      </c>
      <c r="L244" s="32">
        <v>35.257100000000001</v>
      </c>
      <c r="M244" s="32">
        <v>34.085000000000001</v>
      </c>
      <c r="N244" s="18">
        <v>274.05599999999998</v>
      </c>
      <c r="O244" s="18">
        <f t="shared" si="11"/>
        <v>31.236312500000004</v>
      </c>
      <c r="P244" s="7"/>
      <c r="Q244" s="10"/>
      <c r="R244" s="11"/>
      <c r="S244" s="11"/>
      <c r="T244" s="26"/>
      <c r="U244" s="28">
        <f t="shared" si="9"/>
        <v>-0.17569705537341726</v>
      </c>
    </row>
    <row r="245" spans="2:21" x14ac:dyDescent="0.25">
      <c r="B245" s="9"/>
      <c r="C245" s="31">
        <v>856.01</v>
      </c>
      <c r="D245" s="32">
        <v>26.882000000000001</v>
      </c>
      <c r="E245" s="32">
        <v>33.883000000000003</v>
      </c>
      <c r="F245" s="32">
        <v>32.808999999999997</v>
      </c>
      <c r="G245" s="18">
        <v>341.23</v>
      </c>
      <c r="H245" s="18">
        <f t="shared" si="10"/>
        <v>28.498000000000001</v>
      </c>
      <c r="I245" s="5"/>
      <c r="J245" s="31">
        <v>602.70749999999998</v>
      </c>
      <c r="K245" s="32">
        <v>27.957100000000001</v>
      </c>
      <c r="L245" s="32">
        <v>34.0182</v>
      </c>
      <c r="M245" s="32">
        <v>32.7425</v>
      </c>
      <c r="N245" s="18">
        <v>320.39870000000002</v>
      </c>
      <c r="O245" s="18">
        <f t="shared" si="11"/>
        <v>29.312912500000003</v>
      </c>
      <c r="P245" s="7"/>
      <c r="Q245" s="10"/>
      <c r="R245" s="11"/>
      <c r="S245" s="11"/>
      <c r="T245" s="26"/>
      <c r="U245" s="28">
        <f t="shared" si="9"/>
        <v>-6.1047680450136262E-2</v>
      </c>
    </row>
    <row r="246" spans="2:21" ht="16.5" thickBot="1" x14ac:dyDescent="0.3">
      <c r="B246" s="12"/>
      <c r="C246" s="33">
        <v>378.05</v>
      </c>
      <c r="D246" s="34">
        <v>22.783000000000001</v>
      </c>
      <c r="E246" s="34">
        <v>31.248999999999999</v>
      </c>
      <c r="F246" s="34">
        <v>30.059000000000001</v>
      </c>
      <c r="G246" s="20">
        <v>350.74</v>
      </c>
      <c r="H246" s="20">
        <f t="shared" si="10"/>
        <v>24.75075</v>
      </c>
      <c r="I246" s="5"/>
      <c r="J246" s="33">
        <v>304.7876</v>
      </c>
      <c r="K246" s="34">
        <v>25.447600000000001</v>
      </c>
      <c r="L246" s="34">
        <v>32.1813</v>
      </c>
      <c r="M246" s="34">
        <v>30.780799999999999</v>
      </c>
      <c r="N246" s="20">
        <v>382.0034</v>
      </c>
      <c r="O246" s="20">
        <f t="shared" si="11"/>
        <v>26.955962500000002</v>
      </c>
      <c r="P246" s="7"/>
      <c r="Q246" s="13"/>
      <c r="R246" s="14"/>
      <c r="S246" s="14"/>
      <c r="T246" s="27"/>
      <c r="U246" s="28">
        <f t="shared" si="9"/>
        <v>8.9135541996920767E-2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-0.45646258279714891</v>
      </c>
      <c r="R247" s="21">
        <f>AVERAGE(R131:R246)</f>
        <v>-0.53558235356175699</v>
      </c>
      <c r="S247" s="21">
        <f>AVERAGE(S131:S246)</f>
        <v>-0.52884845686423965</v>
      </c>
      <c r="T247" s="21">
        <f>AVERAGE(T131:T246)</f>
        <v>-0.47160524873664578</v>
      </c>
      <c r="U247" s="21">
        <f>AVERAGE(U131:U246)</f>
        <v>-0.10649853696362031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021" priority="85" operator="greaterThan">
      <formula>0.03</formula>
    </cfRule>
    <cfRule type="cellIs" dxfId="1020" priority="86" stopIfTrue="1" operator="lessThan">
      <formula>-0.03</formula>
    </cfRule>
  </conditionalFormatting>
  <conditionalFormatting sqref="Q33:T36">
    <cfRule type="cellIs" dxfId="1019" priority="83" operator="greaterThan">
      <formula>0.03</formula>
    </cfRule>
    <cfRule type="cellIs" dxfId="1018" priority="84" stopIfTrue="1" operator="lessThan">
      <formula>-0.03</formula>
    </cfRule>
  </conditionalFormatting>
  <conditionalFormatting sqref="Q46:T48 Q62:T64">
    <cfRule type="cellIs" dxfId="1017" priority="81" operator="greaterThan">
      <formula>0.03</formula>
    </cfRule>
    <cfRule type="cellIs" dxfId="1016" priority="82" stopIfTrue="1" operator="lessThan">
      <formula>-0.03</formula>
    </cfRule>
  </conditionalFormatting>
  <conditionalFormatting sqref="Q50:T52 Q54:T56 Q58:T60">
    <cfRule type="cellIs" dxfId="1015" priority="79" operator="greaterThan">
      <formula>0.03</formula>
    </cfRule>
    <cfRule type="cellIs" dxfId="1014" priority="80" stopIfTrue="1" operator="lessThan">
      <formula>-0.03</formula>
    </cfRule>
  </conditionalFormatting>
  <conditionalFormatting sqref="Q70:T72 Q74:T76">
    <cfRule type="cellIs" dxfId="1013" priority="77" operator="greaterThan">
      <formula>0.03</formula>
    </cfRule>
    <cfRule type="cellIs" dxfId="1012" priority="78" stopIfTrue="1" operator="lessThan">
      <formula>-0.03</formula>
    </cfRule>
  </conditionalFormatting>
  <conditionalFormatting sqref="Q66:T68">
    <cfRule type="cellIs" dxfId="1011" priority="75" operator="greaterThan">
      <formula>0.03</formula>
    </cfRule>
    <cfRule type="cellIs" dxfId="1010" priority="76" stopIfTrue="1" operator="lessThan">
      <formula>-0.03</formula>
    </cfRule>
  </conditionalFormatting>
  <conditionalFormatting sqref="Q78:T80">
    <cfRule type="cellIs" dxfId="1009" priority="73" operator="greaterThan">
      <formula>0.03</formula>
    </cfRule>
    <cfRule type="cellIs" dxfId="1008" priority="74" stopIfTrue="1" operator="lessThan">
      <formula>-0.03</formula>
    </cfRule>
  </conditionalFormatting>
  <conditionalFormatting sqref="Q21:T28">
    <cfRule type="cellIs" dxfId="1007" priority="71" operator="greaterThan">
      <formula>0.03</formula>
    </cfRule>
    <cfRule type="cellIs" dxfId="1006" priority="72" stopIfTrue="1" operator="lessThan">
      <formula>-0.03</formula>
    </cfRule>
  </conditionalFormatting>
  <conditionalFormatting sqref="Q151:T154 Q159:T166 Q131:T142">
    <cfRule type="cellIs" dxfId="1005" priority="69" operator="greaterThan">
      <formula>0.03</formula>
    </cfRule>
    <cfRule type="cellIs" dxfId="1004" priority="70" stopIfTrue="1" operator="lessThan">
      <formula>-0.03</formula>
    </cfRule>
  </conditionalFormatting>
  <conditionalFormatting sqref="Q155:T158">
    <cfRule type="cellIs" dxfId="1003" priority="67" operator="greaterThan">
      <formula>0.03</formula>
    </cfRule>
    <cfRule type="cellIs" dxfId="1002" priority="68" stopIfTrue="1" operator="lessThan">
      <formula>-0.03</formula>
    </cfRule>
  </conditionalFormatting>
  <conditionalFormatting sqref="Q167:T170 Q183:T186">
    <cfRule type="cellIs" dxfId="1001" priority="65" operator="greaterThan">
      <formula>0.03</formula>
    </cfRule>
    <cfRule type="cellIs" dxfId="1000" priority="66" stopIfTrue="1" operator="lessThan">
      <formula>-0.03</formula>
    </cfRule>
  </conditionalFormatting>
  <conditionalFormatting sqref="Q171:T182">
    <cfRule type="cellIs" dxfId="999" priority="63" operator="greaterThan">
      <formula>0.03</formula>
    </cfRule>
    <cfRule type="cellIs" dxfId="998" priority="64" stopIfTrue="1" operator="lessThan">
      <formula>-0.03</formula>
    </cfRule>
  </conditionalFormatting>
  <conditionalFormatting sqref="Q191:T198">
    <cfRule type="cellIs" dxfId="997" priority="61" operator="greaterThan">
      <formula>0.03</formula>
    </cfRule>
    <cfRule type="cellIs" dxfId="996" priority="62" stopIfTrue="1" operator="lessThan">
      <formula>-0.03</formula>
    </cfRule>
  </conditionalFormatting>
  <conditionalFormatting sqref="Q187:T190">
    <cfRule type="cellIs" dxfId="995" priority="59" operator="greaterThan">
      <formula>0.03</formula>
    </cfRule>
    <cfRule type="cellIs" dxfId="994" priority="60" stopIfTrue="1" operator="lessThan">
      <formula>-0.03</formula>
    </cfRule>
  </conditionalFormatting>
  <conditionalFormatting sqref="Q199:T202">
    <cfRule type="cellIs" dxfId="993" priority="57" operator="greaterThan">
      <formula>0.03</formula>
    </cfRule>
    <cfRule type="cellIs" dxfId="992" priority="58" stopIfTrue="1" operator="lessThan">
      <formula>-0.03</formula>
    </cfRule>
  </conditionalFormatting>
  <conditionalFormatting sqref="Q143:T150">
    <cfRule type="cellIs" dxfId="991" priority="55" operator="greaterThan">
      <formula>0.03</formula>
    </cfRule>
    <cfRule type="cellIs" dxfId="990" priority="56" stopIfTrue="1" operator="lessThan">
      <formula>-0.03</formula>
    </cfRule>
  </conditionalFormatting>
  <conditionalFormatting sqref="Q45:T45">
    <cfRule type="cellIs" dxfId="989" priority="53" operator="greaterThan">
      <formula>0.03</formula>
    </cfRule>
    <cfRule type="cellIs" dxfId="988" priority="54" stopIfTrue="1" operator="lessThan">
      <formula>-0.03</formula>
    </cfRule>
  </conditionalFormatting>
  <conditionalFormatting sqref="Q49:T49">
    <cfRule type="cellIs" dxfId="987" priority="51" operator="greaterThan">
      <formula>0.03</formula>
    </cfRule>
    <cfRule type="cellIs" dxfId="986" priority="52" stopIfTrue="1" operator="lessThan">
      <formula>-0.03</formula>
    </cfRule>
  </conditionalFormatting>
  <conditionalFormatting sqref="Q53:T53">
    <cfRule type="cellIs" dxfId="985" priority="49" operator="greaterThan">
      <formula>0.03</formula>
    </cfRule>
    <cfRule type="cellIs" dxfId="984" priority="50" stopIfTrue="1" operator="lessThan">
      <formula>-0.03</formula>
    </cfRule>
  </conditionalFormatting>
  <conditionalFormatting sqref="Q57:T57">
    <cfRule type="cellIs" dxfId="983" priority="47" operator="greaterThan">
      <formula>0.03</formula>
    </cfRule>
    <cfRule type="cellIs" dxfId="982" priority="48" stopIfTrue="1" operator="lessThan">
      <formula>-0.03</formula>
    </cfRule>
  </conditionalFormatting>
  <conditionalFormatting sqref="Q61:T61">
    <cfRule type="cellIs" dxfId="981" priority="45" operator="greaterThan">
      <formula>0.03</formula>
    </cfRule>
    <cfRule type="cellIs" dxfId="980" priority="46" stopIfTrue="1" operator="lessThan">
      <formula>-0.03</formula>
    </cfRule>
  </conditionalFormatting>
  <conditionalFormatting sqref="Q65:T65">
    <cfRule type="cellIs" dxfId="979" priority="43" operator="greaterThan">
      <formula>0.03</formula>
    </cfRule>
    <cfRule type="cellIs" dxfId="978" priority="44" stopIfTrue="1" operator="lessThan">
      <formula>-0.03</formula>
    </cfRule>
  </conditionalFormatting>
  <conditionalFormatting sqref="Q69:T69">
    <cfRule type="cellIs" dxfId="977" priority="41" operator="greaterThan">
      <formula>0.03</formula>
    </cfRule>
    <cfRule type="cellIs" dxfId="976" priority="42" stopIfTrue="1" operator="lessThan">
      <formula>-0.03</formula>
    </cfRule>
  </conditionalFormatting>
  <conditionalFormatting sqref="Q73:T73">
    <cfRule type="cellIs" dxfId="975" priority="39" operator="greaterThan">
      <formula>0.03</formula>
    </cfRule>
    <cfRule type="cellIs" dxfId="974" priority="40" stopIfTrue="1" operator="lessThan">
      <formula>-0.03</formula>
    </cfRule>
  </conditionalFormatting>
  <conditionalFormatting sqref="Q77:T77">
    <cfRule type="cellIs" dxfId="973" priority="37" operator="greaterThan">
      <formula>0.03</formula>
    </cfRule>
    <cfRule type="cellIs" dxfId="972" priority="38" stopIfTrue="1" operator="lessThan">
      <formula>-0.03</formula>
    </cfRule>
  </conditionalFormatting>
  <conditionalFormatting sqref="Q117:T117">
    <cfRule type="cellIs" dxfId="971" priority="21" operator="greaterThan">
      <formula>0.03</formula>
    </cfRule>
    <cfRule type="cellIs" dxfId="970" priority="22" stopIfTrue="1" operator="lessThan">
      <formula>-0.03</formula>
    </cfRule>
  </conditionalFormatting>
  <conditionalFormatting sqref="Q93:T96 Q101:T108 Q81:T84">
    <cfRule type="cellIs" dxfId="969" priority="35" operator="greaterThan">
      <formula>0.03</formula>
    </cfRule>
    <cfRule type="cellIs" dxfId="968" priority="36" stopIfTrue="1" operator="lessThan">
      <formula>-0.03</formula>
    </cfRule>
  </conditionalFormatting>
  <conditionalFormatting sqref="Q97:T100">
    <cfRule type="cellIs" dxfId="967" priority="33" operator="greaterThan">
      <formula>0.03</formula>
    </cfRule>
    <cfRule type="cellIs" dxfId="966" priority="34" stopIfTrue="1" operator="lessThan">
      <formula>-0.03</formula>
    </cfRule>
  </conditionalFormatting>
  <conditionalFormatting sqref="Q110:T112 Q122:T124">
    <cfRule type="cellIs" dxfId="965" priority="31" operator="greaterThan">
      <formula>0.03</formula>
    </cfRule>
    <cfRule type="cellIs" dxfId="964" priority="32" stopIfTrue="1" operator="lessThan">
      <formula>-0.03</formula>
    </cfRule>
  </conditionalFormatting>
  <conditionalFormatting sqref="Q114:T116 Q118:T120">
    <cfRule type="cellIs" dxfId="963" priority="29" operator="greaterThan">
      <formula>0.03</formula>
    </cfRule>
    <cfRule type="cellIs" dxfId="962" priority="30" stopIfTrue="1" operator="lessThan">
      <formula>-0.03</formula>
    </cfRule>
  </conditionalFormatting>
  <conditionalFormatting sqref="Q85:T92">
    <cfRule type="cellIs" dxfId="961" priority="27" operator="greaterThan">
      <formula>0.03</formula>
    </cfRule>
    <cfRule type="cellIs" dxfId="960" priority="28" stopIfTrue="1" operator="lessThan">
      <formula>-0.03</formula>
    </cfRule>
  </conditionalFormatting>
  <conditionalFormatting sqref="Q109:T109">
    <cfRule type="cellIs" dxfId="959" priority="25" operator="greaterThan">
      <formula>0.03</formula>
    </cfRule>
    <cfRule type="cellIs" dxfId="958" priority="26" stopIfTrue="1" operator="lessThan">
      <formula>-0.03</formula>
    </cfRule>
  </conditionalFormatting>
  <conditionalFormatting sqref="Q113:T113">
    <cfRule type="cellIs" dxfId="957" priority="23" operator="greaterThan">
      <formula>0.03</formula>
    </cfRule>
    <cfRule type="cellIs" dxfId="956" priority="24" stopIfTrue="1" operator="lessThan">
      <formula>-0.03</formula>
    </cfRule>
  </conditionalFormatting>
  <conditionalFormatting sqref="Q121:T121">
    <cfRule type="cellIs" dxfId="955" priority="19" operator="greaterThan">
      <formula>0.03</formula>
    </cfRule>
    <cfRule type="cellIs" dxfId="954" priority="20" stopIfTrue="1" operator="lessThan">
      <formula>-0.03</formula>
    </cfRule>
  </conditionalFormatting>
  <conditionalFormatting sqref="Q239:T239">
    <cfRule type="cellIs" dxfId="953" priority="3" operator="greaterThan">
      <formula>0.03</formula>
    </cfRule>
    <cfRule type="cellIs" dxfId="952" priority="4" stopIfTrue="1" operator="lessThan">
      <formula>-0.03</formula>
    </cfRule>
  </conditionalFormatting>
  <conditionalFormatting sqref="Q215:T218 Q223:T230 Q203:T206">
    <cfRule type="cellIs" dxfId="951" priority="17" operator="greaterThan">
      <formula>0.03</formula>
    </cfRule>
    <cfRule type="cellIs" dxfId="950" priority="18" stopIfTrue="1" operator="lessThan">
      <formula>-0.03</formula>
    </cfRule>
  </conditionalFormatting>
  <conditionalFormatting sqref="Q219:T222">
    <cfRule type="cellIs" dxfId="949" priority="15" operator="greaterThan">
      <formula>0.03</formula>
    </cfRule>
    <cfRule type="cellIs" dxfId="948" priority="16" stopIfTrue="1" operator="lessThan">
      <formula>-0.03</formula>
    </cfRule>
  </conditionalFormatting>
  <conditionalFormatting sqref="Q232:T234 Q244:T246">
    <cfRule type="cellIs" dxfId="947" priority="13" operator="greaterThan">
      <formula>0.03</formula>
    </cfRule>
    <cfRule type="cellIs" dxfId="946" priority="14" stopIfTrue="1" operator="lessThan">
      <formula>-0.03</formula>
    </cfRule>
  </conditionalFormatting>
  <conditionalFormatting sqref="Q236:T238 Q240:T242">
    <cfRule type="cellIs" dxfId="945" priority="11" operator="greaterThan">
      <formula>0.03</formula>
    </cfRule>
    <cfRule type="cellIs" dxfId="944" priority="12" stopIfTrue="1" operator="lessThan">
      <formula>-0.03</formula>
    </cfRule>
  </conditionalFormatting>
  <conditionalFormatting sqref="Q207:T214">
    <cfRule type="cellIs" dxfId="943" priority="9" operator="greaterThan">
      <formula>0.03</formula>
    </cfRule>
    <cfRule type="cellIs" dxfId="942" priority="10" stopIfTrue="1" operator="lessThan">
      <formula>-0.03</formula>
    </cfRule>
  </conditionalFormatting>
  <conditionalFormatting sqref="Q231:T231">
    <cfRule type="cellIs" dxfId="941" priority="7" operator="greaterThan">
      <formula>0.03</formula>
    </cfRule>
    <cfRule type="cellIs" dxfId="940" priority="8" stopIfTrue="1" operator="lessThan">
      <formula>-0.03</formula>
    </cfRule>
  </conditionalFormatting>
  <conditionalFormatting sqref="Q235:T235">
    <cfRule type="cellIs" dxfId="939" priority="5" operator="greaterThan">
      <formula>0.03</formula>
    </cfRule>
    <cfRule type="cellIs" dxfId="938" priority="6" stopIfTrue="1" operator="lessThan">
      <formula>-0.03</formula>
    </cfRule>
  </conditionalFormatting>
  <conditionalFormatting sqref="Q243:T243">
    <cfRule type="cellIs" dxfId="937" priority="1" operator="greaterThan">
      <formula>0.03</formula>
    </cfRule>
    <cfRule type="cellIs" dxfId="936" priority="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101</v>
      </c>
    </row>
    <row r="2" spans="1:21" x14ac:dyDescent="0.25">
      <c r="A2" t="s">
        <v>86</v>
      </c>
    </row>
    <row r="3" spans="1:21" x14ac:dyDescent="0.25">
      <c r="A3" t="s">
        <v>89</v>
      </c>
    </row>
    <row r="4" spans="1:21" x14ac:dyDescent="0.25">
      <c r="A4" t="s">
        <v>88</v>
      </c>
    </row>
    <row r="5" spans="1:21" s="35" customFormat="1" ht="15.75" customHeight="1" x14ac:dyDescent="0.25">
      <c r="B5" s="58" t="s">
        <v>29</v>
      </c>
      <c r="C5" s="60" t="s">
        <v>148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2"/>
    </row>
    <row r="6" spans="1:21" s="35" customFormat="1" x14ac:dyDescent="0.25">
      <c r="B6" s="59"/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5"/>
    </row>
    <row r="7" spans="1:21" ht="16.5" customHeight="1" thickBot="1" x14ac:dyDescent="0.3">
      <c r="C7" s="66" t="s">
        <v>65</v>
      </c>
      <c r="D7" s="67"/>
      <c r="E7" s="67"/>
      <c r="F7" s="67"/>
      <c r="G7" s="67"/>
      <c r="H7" s="67"/>
      <c r="I7" s="5"/>
      <c r="J7" s="66" t="s">
        <v>142</v>
      </c>
      <c r="K7" s="67"/>
      <c r="L7" s="67"/>
      <c r="M7" s="67"/>
      <c r="N7" s="67"/>
      <c r="O7" s="67"/>
      <c r="Q7" s="66" t="s">
        <v>7</v>
      </c>
      <c r="R7" s="67"/>
      <c r="S7" s="68"/>
      <c r="T7" s="36"/>
      <c r="U7" s="6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9"/>
    </row>
    <row r="9" spans="1:21" x14ac:dyDescent="0.25">
      <c r="A9" s="6" t="s">
        <v>35</v>
      </c>
      <c r="B9" s="6" t="s">
        <v>46</v>
      </c>
      <c r="C9" s="15">
        <v>5877.02</v>
      </c>
      <c r="D9" s="16">
        <v>37.286000000000001</v>
      </c>
      <c r="E9" s="16">
        <v>38.783999999999999</v>
      </c>
      <c r="F9" s="16">
        <v>41.085999999999999</v>
      </c>
      <c r="G9" s="16">
        <v>16.21</v>
      </c>
      <c r="H9" s="16">
        <f t="shared" ref="H9:H80" si="0">(6*D9+E9+F9)/8</f>
        <v>37.948250000000002</v>
      </c>
      <c r="I9" s="5"/>
      <c r="J9" s="15">
        <v>3996.5727999999999</v>
      </c>
      <c r="K9" s="16">
        <v>37.901400000000002</v>
      </c>
      <c r="L9" s="16">
        <v>39.451599999999999</v>
      </c>
      <c r="M9" s="16">
        <v>41.927100000000003</v>
      </c>
      <c r="N9" s="16">
        <v>16.325600000000001</v>
      </c>
      <c r="O9" s="16">
        <f t="shared" ref="O9:O80" si="1">(6*K9+L9+M9)/8</f>
        <v>38.598387500000001</v>
      </c>
      <c r="P9" s="7"/>
      <c r="Q9" s="8">
        <f>bdrate(C9:C12,D9:D12,J9:J12,K9:K12)</f>
        <v>-0.46477968110792778</v>
      </c>
      <c r="R9" s="8">
        <f>bdrate(C9:C12,E9:E12,J9:J12,L9:L12)</f>
        <v>-0.51121990335641743</v>
      </c>
      <c r="S9" s="8">
        <f>bdrate(C9:C12,F9:F12,J9:J12,M9:M12)</f>
        <v>-0.51683360526724909</v>
      </c>
      <c r="T9" s="25">
        <f>bdrate(C9:C12,H9:H12,J9:J12,O9:O12)</f>
        <v>-0.4716242077593461</v>
      </c>
      <c r="U9" s="28">
        <f t="shared" ref="U9:U40" si="2">(N9-G9)/G9</f>
        <v>7.1314003701419236E-3</v>
      </c>
    </row>
    <row r="10" spans="1:21" x14ac:dyDescent="0.25">
      <c r="A10" s="9" t="s">
        <v>36</v>
      </c>
      <c r="B10" s="9"/>
      <c r="C10" s="17">
        <v>4367.54</v>
      </c>
      <c r="D10" s="18">
        <v>36.210999999999999</v>
      </c>
      <c r="E10" s="18">
        <v>38.326000000000001</v>
      </c>
      <c r="F10" s="18">
        <v>40.597999999999999</v>
      </c>
      <c r="G10" s="18">
        <v>17.420000000000002</v>
      </c>
      <c r="H10" s="18">
        <f t="shared" si="0"/>
        <v>37.02375</v>
      </c>
      <c r="I10" s="5"/>
      <c r="J10" s="17">
        <v>2901.0864000000001</v>
      </c>
      <c r="K10" s="18">
        <v>36.9054</v>
      </c>
      <c r="L10" s="18">
        <v>38.872300000000003</v>
      </c>
      <c r="M10" s="18">
        <v>41.210500000000003</v>
      </c>
      <c r="N10" s="18">
        <v>18.6706</v>
      </c>
      <c r="O10" s="18">
        <f t="shared" si="1"/>
        <v>37.689400000000006</v>
      </c>
      <c r="P10" s="7"/>
      <c r="Q10" s="10"/>
      <c r="R10" s="11"/>
      <c r="S10" s="11"/>
      <c r="T10" s="26"/>
      <c r="U10" s="28">
        <f t="shared" si="2"/>
        <v>7.179104477611932E-2</v>
      </c>
    </row>
    <row r="11" spans="1:21" x14ac:dyDescent="0.25">
      <c r="B11" s="9"/>
      <c r="C11" s="17">
        <v>2868.78</v>
      </c>
      <c r="D11" s="18">
        <v>34.494999999999997</v>
      </c>
      <c r="E11" s="18">
        <v>37.679000000000002</v>
      </c>
      <c r="F11" s="18">
        <v>39.926000000000002</v>
      </c>
      <c r="G11" s="18">
        <v>18.489999999999998</v>
      </c>
      <c r="H11" s="18">
        <f t="shared" si="0"/>
        <v>35.571874999999999</v>
      </c>
      <c r="I11" s="5"/>
      <c r="J11" s="17">
        <v>1939.912</v>
      </c>
      <c r="K11" s="18">
        <v>35.383899999999997</v>
      </c>
      <c r="L11" s="18">
        <v>38.226199999999999</v>
      </c>
      <c r="M11" s="18">
        <v>40.5227</v>
      </c>
      <c r="N11" s="18">
        <v>21.904199999999999</v>
      </c>
      <c r="O11" s="18">
        <f t="shared" si="1"/>
        <v>36.3815375</v>
      </c>
      <c r="P11" s="7"/>
      <c r="Q11" s="10"/>
      <c r="R11" s="11"/>
      <c r="S11" s="11"/>
      <c r="T11" s="26"/>
      <c r="U11" s="28">
        <f t="shared" si="2"/>
        <v>0.18465116279069774</v>
      </c>
    </row>
    <row r="12" spans="1:21" ht="16.5" thickBot="1" x14ac:dyDescent="0.3">
      <c r="B12" s="12"/>
      <c r="C12" s="19">
        <v>1397.56</v>
      </c>
      <c r="D12" s="20">
        <v>31.077000000000002</v>
      </c>
      <c r="E12" s="20">
        <v>36.594999999999999</v>
      </c>
      <c r="F12" s="20">
        <v>38.762999999999998</v>
      </c>
      <c r="G12" s="20">
        <v>20.29</v>
      </c>
      <c r="H12" s="20">
        <f t="shared" si="0"/>
        <v>32.727499999999999</v>
      </c>
      <c r="I12" s="5"/>
      <c r="J12" s="19">
        <v>923.71199999999999</v>
      </c>
      <c r="K12" s="20">
        <v>32.498100000000001</v>
      </c>
      <c r="L12" s="20">
        <v>36.923999999999999</v>
      </c>
      <c r="M12" s="20">
        <v>39.136800000000001</v>
      </c>
      <c r="N12" s="20">
        <v>28.7026</v>
      </c>
      <c r="O12" s="20">
        <f t="shared" si="1"/>
        <v>33.881175000000006</v>
      </c>
      <c r="P12" s="7"/>
      <c r="Q12" s="13"/>
      <c r="R12" s="14"/>
      <c r="S12" s="14"/>
      <c r="T12" s="27"/>
      <c r="U12" s="28">
        <f t="shared" si="2"/>
        <v>0.4146180384425826</v>
      </c>
    </row>
    <row r="13" spans="1:21" x14ac:dyDescent="0.25">
      <c r="B13" s="6" t="s">
        <v>47</v>
      </c>
      <c r="C13" s="15">
        <v>6236.2</v>
      </c>
      <c r="D13" s="16">
        <v>29.414999999999999</v>
      </c>
      <c r="E13" s="16">
        <v>39.261000000000003</v>
      </c>
      <c r="F13" s="16">
        <v>40.112000000000002</v>
      </c>
      <c r="G13" s="16">
        <v>14.35</v>
      </c>
      <c r="H13" s="16">
        <f t="shared" si="0"/>
        <v>31.982875</v>
      </c>
      <c r="I13" s="5"/>
      <c r="J13" s="15">
        <v>4038.4863999999998</v>
      </c>
      <c r="K13" s="16">
        <v>29.4847</v>
      </c>
      <c r="L13" s="16">
        <v>39.3401</v>
      </c>
      <c r="M13" s="16">
        <v>40.259700000000002</v>
      </c>
      <c r="N13" s="16">
        <v>11.9741</v>
      </c>
      <c r="O13" s="16">
        <f t="shared" si="1"/>
        <v>32.063499999999998</v>
      </c>
      <c r="P13" s="7"/>
      <c r="Q13" s="8">
        <f>bdrate(C13:C16,D13:D16,J13:J16,K13:K16)</f>
        <v>-0.43053610652576091</v>
      </c>
      <c r="R13" s="8">
        <f>bdrate(C13:C16,E13:E16,J13:J16,L13:L16)</f>
        <v>-0.3873730045894308</v>
      </c>
      <c r="S13" s="8">
        <f>bdrate(C13:C16,F13:F16,J13:J16,M13:M16)</f>
        <v>-0.45373937643519668</v>
      </c>
      <c r="T13" s="25">
        <f>bdrate(C13:C16,H13:H16,J13:J16,O13:O16)</f>
        <v>-0.43023672153407266</v>
      </c>
      <c r="U13" s="28">
        <f t="shared" si="2"/>
        <v>-0.16556794425087107</v>
      </c>
    </row>
    <row r="14" spans="1:21" x14ac:dyDescent="0.25">
      <c r="B14" s="9"/>
      <c r="C14" s="17">
        <v>4677.12</v>
      </c>
      <c r="D14" s="18">
        <v>27.835000000000001</v>
      </c>
      <c r="E14" s="18">
        <v>38.771999999999998</v>
      </c>
      <c r="F14" s="18">
        <v>39.634</v>
      </c>
      <c r="G14" s="18">
        <v>15.84</v>
      </c>
      <c r="H14" s="18">
        <f t="shared" si="0"/>
        <v>30.677</v>
      </c>
      <c r="I14" s="5"/>
      <c r="J14" s="17">
        <v>3049.6</v>
      </c>
      <c r="K14" s="18">
        <v>28.211600000000001</v>
      </c>
      <c r="L14" s="18">
        <v>38.883499999999998</v>
      </c>
      <c r="M14" s="18">
        <v>39.850499999999997</v>
      </c>
      <c r="N14" s="18">
        <v>13.915900000000001</v>
      </c>
      <c r="O14" s="18">
        <f t="shared" si="1"/>
        <v>31.000450000000001</v>
      </c>
      <c r="P14" s="7"/>
      <c r="Q14" s="10"/>
      <c r="R14" s="11"/>
      <c r="S14" s="11"/>
      <c r="T14" s="26"/>
      <c r="U14" s="28">
        <f t="shared" si="2"/>
        <v>-0.12147095959595955</v>
      </c>
    </row>
    <row r="15" spans="1:21" x14ac:dyDescent="0.25">
      <c r="B15" s="9"/>
      <c r="C15" s="17">
        <v>3105.6</v>
      </c>
      <c r="D15" s="18">
        <v>25.71</v>
      </c>
      <c r="E15" s="18">
        <v>38.024999999999999</v>
      </c>
      <c r="F15" s="18">
        <v>38.906999999999996</v>
      </c>
      <c r="G15" s="18">
        <v>17.77</v>
      </c>
      <c r="H15" s="18">
        <f t="shared" si="0"/>
        <v>28.899000000000001</v>
      </c>
      <c r="I15" s="5"/>
      <c r="J15" s="17">
        <v>2019.6464000000001</v>
      </c>
      <c r="K15" s="18">
        <v>26.395399999999999</v>
      </c>
      <c r="L15" s="18">
        <v>38.172899999999998</v>
      </c>
      <c r="M15" s="18">
        <v>39.279299999999999</v>
      </c>
      <c r="N15" s="18">
        <v>17.5459</v>
      </c>
      <c r="O15" s="18">
        <f t="shared" si="1"/>
        <v>29.478075</v>
      </c>
      <c r="P15" s="7"/>
      <c r="Q15" s="10"/>
      <c r="R15" s="11"/>
      <c r="S15" s="11"/>
      <c r="T15" s="26"/>
      <c r="U15" s="28">
        <f t="shared" si="2"/>
        <v>-1.2611142374788968E-2</v>
      </c>
    </row>
    <row r="16" spans="1:21" ht="16.5" thickBot="1" x14ac:dyDescent="0.3">
      <c r="B16" s="12"/>
      <c r="C16" s="19">
        <v>1654.85</v>
      </c>
      <c r="D16" s="20">
        <v>22.556000000000001</v>
      </c>
      <c r="E16" s="20">
        <v>36.438000000000002</v>
      </c>
      <c r="F16" s="20">
        <v>37.536999999999999</v>
      </c>
      <c r="G16" s="20">
        <v>19.829999999999998</v>
      </c>
      <c r="H16" s="20">
        <f t="shared" si="0"/>
        <v>26.163875000000001</v>
      </c>
      <c r="I16" s="5"/>
      <c r="J16" s="19">
        <v>1103.0527999999999</v>
      </c>
      <c r="K16" s="20">
        <v>24.1691</v>
      </c>
      <c r="L16" s="20">
        <v>36.587000000000003</v>
      </c>
      <c r="M16" s="20">
        <v>37.904800000000002</v>
      </c>
      <c r="N16" s="20">
        <v>22.946300000000001</v>
      </c>
      <c r="O16" s="20">
        <f t="shared" si="1"/>
        <v>27.438300000000002</v>
      </c>
      <c r="P16" s="7"/>
      <c r="Q16" s="13"/>
      <c r="R16" s="14"/>
      <c r="S16" s="14"/>
      <c r="T16" s="27"/>
      <c r="U16" s="28">
        <f t="shared" si="2"/>
        <v>0.15715078164397392</v>
      </c>
    </row>
    <row r="17" spans="1:21" x14ac:dyDescent="0.25">
      <c r="A17" s="6" t="s">
        <v>37</v>
      </c>
      <c r="B17" s="6" t="s">
        <v>48</v>
      </c>
      <c r="C17" s="15">
        <v>3051.05</v>
      </c>
      <c r="D17" s="16">
        <v>38.14</v>
      </c>
      <c r="E17" s="16">
        <v>41.531999999999996</v>
      </c>
      <c r="F17" s="16">
        <v>42.531999999999996</v>
      </c>
      <c r="G17" s="16">
        <v>26.8</v>
      </c>
      <c r="H17" s="16">
        <f t="shared" si="0"/>
        <v>39.113</v>
      </c>
      <c r="I17" s="5"/>
      <c r="J17" s="15">
        <v>2398.7352000000001</v>
      </c>
      <c r="K17" s="16">
        <v>39.0854</v>
      </c>
      <c r="L17" s="16">
        <v>41.890799999999999</v>
      </c>
      <c r="M17" s="16">
        <v>43.240099999999998</v>
      </c>
      <c r="N17" s="16">
        <v>31.463000000000001</v>
      </c>
      <c r="O17" s="16">
        <f t="shared" si="1"/>
        <v>39.955412500000001</v>
      </c>
      <c r="P17" s="7"/>
      <c r="Q17" s="8">
        <f>bdrate(C17:C20,D17:D20,J17:J20,K17:K20)</f>
        <v>-0.48291593231109953</v>
      </c>
      <c r="R17" s="8">
        <f>bdrate(C17:C20,E17:E20,J17:J20,L17:L20)</f>
        <v>-0.38881233874921717</v>
      </c>
      <c r="S17" s="8">
        <f>bdrate(C17:C20,F17:F20,J17:J20,M17:M20)</f>
        <v>-0.48903008718997809</v>
      </c>
      <c r="T17" s="25">
        <f>bdrate(C17:C20,H17:H20,J17:J20,O17:O20)</f>
        <v>-0.47760729959347714</v>
      </c>
      <c r="U17" s="28">
        <f t="shared" si="2"/>
        <v>0.17399253731343284</v>
      </c>
    </row>
    <row r="18" spans="1:21" x14ac:dyDescent="0.25">
      <c r="A18" s="9" t="s">
        <v>38</v>
      </c>
      <c r="B18" s="9"/>
      <c r="C18" s="17">
        <v>2010.23</v>
      </c>
      <c r="D18" s="18">
        <v>36.600999999999999</v>
      </c>
      <c r="E18" s="18">
        <v>40.829000000000001</v>
      </c>
      <c r="F18" s="18">
        <v>41.707000000000001</v>
      </c>
      <c r="G18" s="18">
        <v>29.87</v>
      </c>
      <c r="H18" s="18">
        <f t="shared" si="0"/>
        <v>37.767749999999999</v>
      </c>
      <c r="I18" s="5"/>
      <c r="J18" s="17">
        <v>1570.4015999999999</v>
      </c>
      <c r="K18" s="18">
        <v>37.851999999999997</v>
      </c>
      <c r="L18" s="18">
        <v>41.205300000000001</v>
      </c>
      <c r="M18" s="18">
        <v>42.441699999999997</v>
      </c>
      <c r="N18" s="18">
        <v>35.613599999999998</v>
      </c>
      <c r="O18" s="18">
        <f t="shared" si="1"/>
        <v>38.844875000000002</v>
      </c>
      <c r="P18" s="7"/>
      <c r="Q18" s="10"/>
      <c r="R18" s="11"/>
      <c r="S18" s="11"/>
      <c r="T18" s="26"/>
      <c r="U18" s="28">
        <f t="shared" si="2"/>
        <v>0.19228657515902234</v>
      </c>
    </row>
    <row r="19" spans="1:21" x14ac:dyDescent="0.25">
      <c r="B19" s="9"/>
      <c r="C19" s="17">
        <v>1252.17</v>
      </c>
      <c r="D19" s="18">
        <v>34.671999999999997</v>
      </c>
      <c r="E19" s="18">
        <v>40.048000000000002</v>
      </c>
      <c r="F19" s="18">
        <v>40.954999999999998</v>
      </c>
      <c r="G19" s="18">
        <v>33.15</v>
      </c>
      <c r="H19" s="18">
        <f t="shared" si="0"/>
        <v>36.129374999999996</v>
      </c>
      <c r="I19" s="5"/>
      <c r="J19" s="17">
        <v>962.68719999999996</v>
      </c>
      <c r="K19" s="18">
        <v>36.287700000000001</v>
      </c>
      <c r="L19" s="18">
        <v>40.410200000000003</v>
      </c>
      <c r="M19" s="18">
        <v>41.594700000000003</v>
      </c>
      <c r="N19" s="18">
        <v>41.804600000000001</v>
      </c>
      <c r="O19" s="18">
        <f t="shared" si="1"/>
        <v>37.466387499999996</v>
      </c>
      <c r="P19" s="7"/>
      <c r="Q19" s="10"/>
      <c r="R19" s="11"/>
      <c r="S19" s="11"/>
      <c r="T19" s="26"/>
      <c r="U19" s="28">
        <f t="shared" si="2"/>
        <v>0.26107390648567125</v>
      </c>
    </row>
    <row r="20" spans="1:21" ht="16.5" thickBot="1" x14ac:dyDescent="0.3">
      <c r="B20" s="12"/>
      <c r="C20" s="19">
        <v>746.89</v>
      </c>
      <c r="D20" s="20">
        <v>32.347000000000001</v>
      </c>
      <c r="E20" s="20">
        <v>39.185000000000002</v>
      </c>
      <c r="F20" s="20">
        <v>40.167000000000002</v>
      </c>
      <c r="G20" s="20">
        <v>36.630000000000003</v>
      </c>
      <c r="H20" s="20">
        <f t="shared" si="0"/>
        <v>34.179249999999996</v>
      </c>
      <c r="I20" s="5"/>
      <c r="J20" s="19">
        <v>554.31679999999994</v>
      </c>
      <c r="K20" s="20">
        <v>34.429200000000002</v>
      </c>
      <c r="L20" s="20">
        <v>39.6511</v>
      </c>
      <c r="M20" s="20">
        <v>40.857799999999997</v>
      </c>
      <c r="N20" s="20">
        <v>50.611600000000003</v>
      </c>
      <c r="O20" s="20">
        <f t="shared" si="1"/>
        <v>35.885512499999997</v>
      </c>
      <c r="P20" s="7"/>
      <c r="Q20" s="13"/>
      <c r="R20" s="14"/>
      <c r="S20" s="14"/>
      <c r="T20" s="27"/>
      <c r="U20" s="28">
        <f t="shared" si="2"/>
        <v>0.3816980616980617</v>
      </c>
    </row>
    <row r="21" spans="1:21" x14ac:dyDescent="0.25">
      <c r="B21" s="6" t="s">
        <v>49</v>
      </c>
      <c r="C21" s="15">
        <v>3469.69</v>
      </c>
      <c r="D21" s="16">
        <v>35.533999999999999</v>
      </c>
      <c r="E21" s="16">
        <v>38.76</v>
      </c>
      <c r="F21" s="16">
        <v>39.963000000000001</v>
      </c>
      <c r="G21" s="16">
        <v>30.83</v>
      </c>
      <c r="H21" s="16">
        <f t="shared" si="0"/>
        <v>36.490875000000003</v>
      </c>
      <c r="I21" s="5"/>
      <c r="J21" s="15">
        <v>2445.0632000000001</v>
      </c>
      <c r="K21" s="16">
        <v>36.016599999999997</v>
      </c>
      <c r="L21" s="16">
        <v>39.927999999999997</v>
      </c>
      <c r="M21" s="16">
        <v>41.136699999999998</v>
      </c>
      <c r="N21" s="16">
        <v>28.436</v>
      </c>
      <c r="O21" s="16">
        <f t="shared" si="1"/>
        <v>37.145537500000003</v>
      </c>
      <c r="P21" s="7"/>
      <c r="Q21" s="8">
        <f>bdrate(C21:C24,D21:D24,J21:J24,K21:K24)</f>
        <v>-0.46757377485419749</v>
      </c>
      <c r="R21" s="8">
        <f>bdrate(C21:C24,E21:E24,J21:J24,L21:L24)</f>
        <v>-0.58975277005986015</v>
      </c>
      <c r="S21" s="8">
        <f>bdrate(C21:C24,F21:F24,J21:J24,M21:M24)</f>
        <v>-0.59266332816948708</v>
      </c>
      <c r="T21" s="25">
        <f>bdrate(C21:C24,H21:H24,J21:J24,O21:O24)</f>
        <v>-0.48847710500596753</v>
      </c>
      <c r="U21" s="28">
        <f t="shared" si="2"/>
        <v>-7.7651638014920477E-2</v>
      </c>
    </row>
    <row r="22" spans="1:21" x14ac:dyDescent="0.25">
      <c r="B22" s="9"/>
      <c r="C22" s="17">
        <v>2303.2600000000002</v>
      </c>
      <c r="D22" s="18">
        <v>33.938000000000002</v>
      </c>
      <c r="E22" s="18">
        <v>38.104999999999997</v>
      </c>
      <c r="F22" s="18">
        <v>39.436999999999998</v>
      </c>
      <c r="G22" s="18">
        <v>33.67</v>
      </c>
      <c r="H22" s="18">
        <f t="shared" si="0"/>
        <v>35.146250000000002</v>
      </c>
      <c r="I22" s="5"/>
      <c r="J22" s="17">
        <v>1633.9007999999999</v>
      </c>
      <c r="K22" s="18">
        <v>34.7547</v>
      </c>
      <c r="L22" s="18">
        <v>39.174199999999999</v>
      </c>
      <c r="M22" s="18">
        <v>40.3752</v>
      </c>
      <c r="N22" s="18">
        <v>34.266100000000002</v>
      </c>
      <c r="O22" s="18">
        <f t="shared" si="1"/>
        <v>36.009700000000002</v>
      </c>
      <c r="P22" s="7"/>
      <c r="Q22" s="10"/>
      <c r="R22" s="11"/>
      <c r="S22" s="11"/>
      <c r="T22" s="26"/>
      <c r="U22" s="28">
        <f t="shared" si="2"/>
        <v>1.7704187704187697E-2</v>
      </c>
    </row>
    <row r="23" spans="1:21" x14ac:dyDescent="0.25">
      <c r="B23" s="9"/>
      <c r="C23" s="17">
        <v>1429.63</v>
      </c>
      <c r="D23" s="18">
        <v>32.098999999999997</v>
      </c>
      <c r="E23" s="18">
        <v>37.381</v>
      </c>
      <c r="F23" s="18">
        <v>38.82</v>
      </c>
      <c r="G23" s="18">
        <v>36.979999999999997</v>
      </c>
      <c r="H23" s="18">
        <f t="shared" si="0"/>
        <v>33.599375000000002</v>
      </c>
      <c r="I23" s="5"/>
      <c r="J23" s="17">
        <v>1002.3504</v>
      </c>
      <c r="K23" s="18">
        <v>33.235900000000001</v>
      </c>
      <c r="L23" s="18">
        <v>38.2121</v>
      </c>
      <c r="M23" s="18">
        <v>39.522199999999998</v>
      </c>
      <c r="N23" s="18">
        <v>41.357900000000001</v>
      </c>
      <c r="O23" s="18">
        <f t="shared" si="1"/>
        <v>34.643712499999999</v>
      </c>
      <c r="P23" s="7"/>
      <c r="Q23" s="10"/>
      <c r="R23" s="11"/>
      <c r="S23" s="11"/>
      <c r="T23" s="26"/>
      <c r="U23" s="28">
        <f t="shared" si="2"/>
        <v>0.11838561384532191</v>
      </c>
    </row>
    <row r="24" spans="1:21" ht="16.5" thickBot="1" x14ac:dyDescent="0.3">
      <c r="B24" s="12"/>
      <c r="C24" s="19">
        <v>854.33</v>
      </c>
      <c r="D24" s="20">
        <v>30.106999999999999</v>
      </c>
      <c r="E24" s="20">
        <v>36.72</v>
      </c>
      <c r="F24" s="20">
        <v>38.198999999999998</v>
      </c>
      <c r="G24" s="20">
        <v>40.49</v>
      </c>
      <c r="H24" s="20">
        <f t="shared" si="0"/>
        <v>31.945124999999997</v>
      </c>
      <c r="I24" s="5"/>
      <c r="J24" s="19">
        <v>588.62480000000005</v>
      </c>
      <c r="K24" s="20">
        <v>31.6374</v>
      </c>
      <c r="L24" s="20">
        <v>37.3065</v>
      </c>
      <c r="M24" s="20">
        <v>38.7986</v>
      </c>
      <c r="N24" s="20">
        <v>48.377299999999998</v>
      </c>
      <c r="O24" s="20">
        <f t="shared" si="1"/>
        <v>33.241187500000002</v>
      </c>
      <c r="P24" s="7"/>
      <c r="Q24" s="13"/>
      <c r="R24" s="14"/>
      <c r="S24" s="14"/>
      <c r="T24" s="27"/>
      <c r="U24" s="28">
        <f t="shared" si="2"/>
        <v>0.19479624598666326</v>
      </c>
    </row>
    <row r="25" spans="1:21" x14ac:dyDescent="0.25">
      <c r="B25" s="6" t="s">
        <v>50</v>
      </c>
      <c r="C25" s="15">
        <v>3581.97</v>
      </c>
      <c r="D25" s="16">
        <v>33.509</v>
      </c>
      <c r="E25" s="16">
        <v>37.649000000000001</v>
      </c>
      <c r="F25" s="16">
        <v>38.999000000000002</v>
      </c>
      <c r="G25" s="16">
        <v>34.76</v>
      </c>
      <c r="H25" s="16">
        <f t="shared" si="0"/>
        <v>34.71275</v>
      </c>
      <c r="I25" s="5"/>
      <c r="J25" s="15">
        <v>2409.2815999999998</v>
      </c>
      <c r="K25" s="16">
        <v>34.112499999999997</v>
      </c>
      <c r="L25" s="16">
        <v>38.1098</v>
      </c>
      <c r="M25" s="16">
        <v>40.109099999999998</v>
      </c>
      <c r="N25" s="16">
        <v>39.815300000000001</v>
      </c>
      <c r="O25" s="16">
        <f t="shared" si="1"/>
        <v>35.361737499999997</v>
      </c>
      <c r="P25" s="7"/>
      <c r="Q25" s="8">
        <f>bdrate(C25:C28,D25:D28,J25:J28,K25:K28)</f>
        <v>-0.50787672501445713</v>
      </c>
      <c r="R25" s="8">
        <f>bdrate(C25:C28,E25:E28,J25:J28,L25:L28)</f>
        <v>-0.56738871916072853</v>
      </c>
      <c r="S25" s="8">
        <f>bdrate(C25:C28,F25:F28,J25:J28,M25:M28)</f>
        <v>-0.61198407622753515</v>
      </c>
      <c r="T25" s="25">
        <f>bdrate(C25:C28,H25:H28,J25:J28,O25:O28)</f>
        <v>-0.52090209923558595</v>
      </c>
      <c r="U25" s="28">
        <f t="shared" si="2"/>
        <v>0.14543440736478719</v>
      </c>
    </row>
    <row r="26" spans="1:21" x14ac:dyDescent="0.25">
      <c r="B26" s="9"/>
      <c r="C26" s="17">
        <v>2374.21</v>
      </c>
      <c r="D26" s="18">
        <v>31.981000000000002</v>
      </c>
      <c r="E26" s="18">
        <v>37.127000000000002</v>
      </c>
      <c r="F26" s="18">
        <v>38.15</v>
      </c>
      <c r="G26" s="18">
        <v>37.44</v>
      </c>
      <c r="H26" s="18">
        <f t="shared" si="0"/>
        <v>33.395375000000001</v>
      </c>
      <c r="I26" s="5"/>
      <c r="J26" s="17">
        <v>1604.2439999999999</v>
      </c>
      <c r="K26" s="18">
        <v>32.917400000000001</v>
      </c>
      <c r="L26" s="18">
        <v>37.667900000000003</v>
      </c>
      <c r="M26" s="18">
        <v>39.304099999999998</v>
      </c>
      <c r="N26" s="18">
        <v>46.856000000000002</v>
      </c>
      <c r="O26" s="18">
        <f t="shared" si="1"/>
        <v>34.309550000000002</v>
      </c>
      <c r="P26" s="7"/>
      <c r="Q26" s="10"/>
      <c r="R26" s="11"/>
      <c r="S26" s="11"/>
      <c r="T26" s="26"/>
      <c r="U26" s="28">
        <f t="shared" si="2"/>
        <v>0.2514957264957266</v>
      </c>
    </row>
    <row r="27" spans="1:21" x14ac:dyDescent="0.25">
      <c r="B27" s="9"/>
      <c r="C27" s="17">
        <v>1479.25</v>
      </c>
      <c r="D27" s="18">
        <v>30.004000000000001</v>
      </c>
      <c r="E27" s="18">
        <v>36.551000000000002</v>
      </c>
      <c r="F27" s="18">
        <v>37.183999999999997</v>
      </c>
      <c r="G27" s="18">
        <v>40.47</v>
      </c>
      <c r="H27" s="18">
        <f t="shared" si="0"/>
        <v>31.719874999999998</v>
      </c>
      <c r="I27" s="5"/>
      <c r="J27" s="17">
        <v>998.58320000000003</v>
      </c>
      <c r="K27" s="18">
        <v>31.3521</v>
      </c>
      <c r="L27" s="18">
        <v>37.094000000000001</v>
      </c>
      <c r="M27" s="18">
        <v>38.303899999999999</v>
      </c>
      <c r="N27" s="18">
        <v>55.834699999999998</v>
      </c>
      <c r="O27" s="18">
        <f t="shared" si="1"/>
        <v>32.938812499999997</v>
      </c>
      <c r="P27" s="7"/>
      <c r="Q27" s="10"/>
      <c r="R27" s="11"/>
      <c r="S27" s="11"/>
      <c r="T27" s="26"/>
      <c r="U27" s="28">
        <f t="shared" si="2"/>
        <v>0.37965653570546082</v>
      </c>
    </row>
    <row r="28" spans="1:21" ht="16.5" thickBot="1" x14ac:dyDescent="0.3">
      <c r="B28" s="12"/>
      <c r="C28" s="19">
        <v>881.9</v>
      </c>
      <c r="D28" s="20">
        <v>27.638000000000002</v>
      </c>
      <c r="E28" s="20">
        <v>35.863</v>
      </c>
      <c r="F28" s="20">
        <v>36.247999999999998</v>
      </c>
      <c r="G28" s="20">
        <v>43.49</v>
      </c>
      <c r="H28" s="20">
        <f t="shared" si="0"/>
        <v>29.742374999999999</v>
      </c>
      <c r="I28" s="5"/>
      <c r="J28" s="19">
        <v>583.20000000000005</v>
      </c>
      <c r="K28" s="20">
        <v>29.580400000000001</v>
      </c>
      <c r="L28" s="20">
        <v>36.449599999999997</v>
      </c>
      <c r="M28" s="20">
        <v>37.235300000000002</v>
      </c>
      <c r="N28" s="20">
        <v>67.195300000000003</v>
      </c>
      <c r="O28" s="20">
        <f t="shared" si="1"/>
        <v>31.395912500000001</v>
      </c>
      <c r="P28" s="7"/>
      <c r="Q28" s="13"/>
      <c r="R28" s="14"/>
      <c r="S28" s="14"/>
      <c r="T28" s="27"/>
      <c r="U28" s="28">
        <f t="shared" si="2"/>
        <v>0.5450747298229478</v>
      </c>
    </row>
    <row r="29" spans="1:21" x14ac:dyDescent="0.25">
      <c r="B29" s="6" t="s">
        <v>51</v>
      </c>
      <c r="C29" s="29">
        <v>3595.16</v>
      </c>
      <c r="D29" s="30">
        <v>32.729999999999997</v>
      </c>
      <c r="E29" s="30">
        <v>39.26</v>
      </c>
      <c r="F29" s="30">
        <v>38.887</v>
      </c>
      <c r="G29" s="16">
        <v>32.020000000000003</v>
      </c>
      <c r="H29" s="16">
        <f t="shared" si="0"/>
        <v>34.315874999999998</v>
      </c>
      <c r="I29" s="5"/>
      <c r="J29" s="29">
        <v>2415.4128000000001</v>
      </c>
      <c r="K29" s="30">
        <v>34.057600000000001</v>
      </c>
      <c r="L29" s="30">
        <v>40.283999999999999</v>
      </c>
      <c r="M29" s="30">
        <v>39.888100000000001</v>
      </c>
      <c r="N29" s="16">
        <v>35.144399999999997</v>
      </c>
      <c r="O29" s="16">
        <f t="shared" si="1"/>
        <v>35.564712499999999</v>
      </c>
      <c r="P29" s="7"/>
      <c r="Q29" s="8">
        <f>bdrate(C29:C32,D29:D32,J29:J32,K29:K32)</f>
        <v>-0.60834663449284931</v>
      </c>
      <c r="R29" s="8">
        <f>bdrate(C29:C32,E29:E32,J29:J32,L29:L32)</f>
        <v>-0.59351157796507681</v>
      </c>
      <c r="S29" s="8">
        <f>bdrate(C29:C32,F29:F32,J29:J32,M29:M32)</f>
        <v>-0.5293441012799992</v>
      </c>
      <c r="T29" s="25">
        <f>bdrate(C29:C32,H29:H32,J29:J32,O29:O32)</f>
        <v>-0.60510535311801472</v>
      </c>
      <c r="U29" s="28">
        <f t="shared" si="2"/>
        <v>9.7576514678325857E-2</v>
      </c>
    </row>
    <row r="30" spans="1:21" x14ac:dyDescent="0.25">
      <c r="B30" s="9"/>
      <c r="C30" s="31">
        <v>2386.5500000000002</v>
      </c>
      <c r="D30" s="32">
        <v>30.702000000000002</v>
      </c>
      <c r="E30" s="32">
        <v>38.405000000000001</v>
      </c>
      <c r="F30" s="32">
        <v>37.975999999999999</v>
      </c>
      <c r="G30" s="18">
        <v>34.880000000000003</v>
      </c>
      <c r="H30" s="18">
        <f t="shared" si="0"/>
        <v>32.574125000000002</v>
      </c>
      <c r="I30" s="5"/>
      <c r="J30" s="31">
        <v>1606.9232</v>
      </c>
      <c r="K30" s="32">
        <v>32.689599999999999</v>
      </c>
      <c r="L30" s="32">
        <v>39.553199999999997</v>
      </c>
      <c r="M30" s="32">
        <v>38.9621</v>
      </c>
      <c r="N30" s="18">
        <v>41.3018</v>
      </c>
      <c r="O30" s="18">
        <f t="shared" si="1"/>
        <v>34.331612499999999</v>
      </c>
      <c r="P30" s="7"/>
      <c r="Q30" s="10"/>
      <c r="R30" s="11"/>
      <c r="S30" s="11"/>
      <c r="T30" s="26"/>
      <c r="U30" s="28">
        <f t="shared" si="2"/>
        <v>0.18411123853211001</v>
      </c>
    </row>
    <row r="31" spans="1:21" x14ac:dyDescent="0.25">
      <c r="B31" s="9"/>
      <c r="C31" s="31">
        <v>1474.76</v>
      </c>
      <c r="D31" s="32">
        <v>27.797000000000001</v>
      </c>
      <c r="E31" s="32">
        <v>37.265999999999998</v>
      </c>
      <c r="F31" s="32">
        <v>36.798999999999999</v>
      </c>
      <c r="G31" s="18">
        <v>37.97</v>
      </c>
      <c r="H31" s="18">
        <f t="shared" si="0"/>
        <v>30.105875000000001</v>
      </c>
      <c r="I31" s="5"/>
      <c r="J31" s="31">
        <v>1001.5096</v>
      </c>
      <c r="K31" s="32">
        <v>30.976299999999998</v>
      </c>
      <c r="L31" s="32">
        <v>38.557899999999997</v>
      </c>
      <c r="M31" s="32">
        <v>37.757399999999997</v>
      </c>
      <c r="N31" s="18">
        <v>49.845500000000001</v>
      </c>
      <c r="O31" s="18">
        <f t="shared" si="1"/>
        <v>32.771637499999997</v>
      </c>
      <c r="P31" s="7"/>
      <c r="Q31" s="10"/>
      <c r="R31" s="11"/>
      <c r="S31" s="11"/>
      <c r="T31" s="26"/>
      <c r="U31" s="28">
        <f t="shared" si="2"/>
        <v>0.31276007374242831</v>
      </c>
    </row>
    <row r="32" spans="1:21" ht="16.5" thickBot="1" x14ac:dyDescent="0.3">
      <c r="B32" s="12"/>
      <c r="C32" s="33">
        <v>876.11</v>
      </c>
      <c r="D32" s="34">
        <v>23.986999999999998</v>
      </c>
      <c r="E32" s="34">
        <v>35.578000000000003</v>
      </c>
      <c r="F32" s="34">
        <v>34.762</v>
      </c>
      <c r="G32" s="20">
        <v>41.04</v>
      </c>
      <c r="H32" s="20">
        <f t="shared" si="0"/>
        <v>26.78275</v>
      </c>
      <c r="I32" s="5"/>
      <c r="J32" s="33">
        <v>589.35040000000004</v>
      </c>
      <c r="K32" s="34">
        <v>29.0975</v>
      </c>
      <c r="L32" s="34">
        <v>36.967700000000001</v>
      </c>
      <c r="M32" s="34">
        <v>36.061100000000003</v>
      </c>
      <c r="N32" s="20">
        <v>60.357300000000002</v>
      </c>
      <c r="O32" s="20">
        <f t="shared" si="1"/>
        <v>30.951725000000003</v>
      </c>
      <c r="P32" s="7"/>
      <c r="Q32" s="13"/>
      <c r="R32" s="14"/>
      <c r="S32" s="14"/>
      <c r="T32" s="27"/>
      <c r="U32" s="28">
        <f t="shared" si="2"/>
        <v>0.47069444444444453</v>
      </c>
    </row>
    <row r="33" spans="1:21" x14ac:dyDescent="0.25">
      <c r="B33" s="6" t="s">
        <v>52</v>
      </c>
      <c r="C33" s="15">
        <v>3606.5</v>
      </c>
      <c r="D33" s="16">
        <v>31.893999999999998</v>
      </c>
      <c r="E33" s="16">
        <v>38.402999999999999</v>
      </c>
      <c r="F33" s="16">
        <v>40.918999999999997</v>
      </c>
      <c r="G33" s="16">
        <v>37.630000000000003</v>
      </c>
      <c r="H33" s="16">
        <f t="shared" si="0"/>
        <v>33.835749999999997</v>
      </c>
      <c r="I33" s="5"/>
      <c r="J33" s="15">
        <v>2429.7280000000001</v>
      </c>
      <c r="K33" s="16">
        <v>33.611699999999999</v>
      </c>
      <c r="L33" s="16">
        <v>39.757100000000001</v>
      </c>
      <c r="M33" s="16">
        <v>42.173099999999998</v>
      </c>
      <c r="N33" s="16">
        <v>43.706299999999999</v>
      </c>
      <c r="O33" s="16">
        <f t="shared" si="1"/>
        <v>35.450049999999997</v>
      </c>
      <c r="P33" s="7"/>
      <c r="Q33" s="8">
        <f>bdrate(C33:C36,D33:D36,J33:J36,K33:K36)</f>
        <v>-0.72328840481084855</v>
      </c>
      <c r="R33" s="8">
        <f>bdrate(C33:C36,E33:E36,J33:J36,L33:L36)</f>
        <v>-0.76370230609653822</v>
      </c>
      <c r="S33" s="8">
        <f>bdrate(C33:C36,F33:F36,J33:J36,M33:M36)</f>
        <v>-0.76934579933160319</v>
      </c>
      <c r="T33" s="25">
        <f>bdrate(C33:C36,H33:H36,J33:J36,O33:O36)</f>
        <v>-0.72778513646899057</v>
      </c>
      <c r="U33" s="28">
        <f t="shared" si="2"/>
        <v>0.16147488705819812</v>
      </c>
    </row>
    <row r="34" spans="1:21" x14ac:dyDescent="0.25">
      <c r="B34" s="9"/>
      <c r="C34" s="17">
        <v>2378.56</v>
      </c>
      <c r="D34" s="18">
        <v>30.643000000000001</v>
      </c>
      <c r="E34" s="18">
        <v>37.996000000000002</v>
      </c>
      <c r="F34" s="18">
        <v>40.472000000000001</v>
      </c>
      <c r="G34" s="18">
        <v>40.44</v>
      </c>
      <c r="H34" s="18">
        <f t="shared" si="0"/>
        <v>32.790750000000003</v>
      </c>
      <c r="I34" s="5"/>
      <c r="J34" s="17">
        <v>1595.5047999999999</v>
      </c>
      <c r="K34" s="18">
        <v>32.892299999999999</v>
      </c>
      <c r="L34" s="18">
        <v>39.291800000000002</v>
      </c>
      <c r="M34" s="18">
        <v>41.758000000000003</v>
      </c>
      <c r="N34" s="18">
        <v>50.675699999999999</v>
      </c>
      <c r="O34" s="18">
        <f t="shared" si="1"/>
        <v>34.800449999999998</v>
      </c>
      <c r="P34" s="7"/>
      <c r="Q34" s="10"/>
      <c r="R34" s="11"/>
      <c r="S34" s="11"/>
      <c r="T34" s="26"/>
      <c r="U34" s="28">
        <f t="shared" si="2"/>
        <v>0.25310830860534128</v>
      </c>
    </row>
    <row r="35" spans="1:21" x14ac:dyDescent="0.25">
      <c r="B35" s="9"/>
      <c r="C35" s="17">
        <v>1449.56</v>
      </c>
      <c r="D35" s="18">
        <v>28.809000000000001</v>
      </c>
      <c r="E35" s="18">
        <v>37.417999999999999</v>
      </c>
      <c r="F35" s="18">
        <v>39.878999999999998</v>
      </c>
      <c r="G35" s="18">
        <v>42.78</v>
      </c>
      <c r="H35" s="18">
        <f t="shared" si="0"/>
        <v>31.268875000000001</v>
      </c>
      <c r="I35" s="5"/>
      <c r="J35" s="17">
        <v>1021.936</v>
      </c>
      <c r="K35" s="18">
        <v>31.87</v>
      </c>
      <c r="L35" s="18">
        <v>38.626899999999999</v>
      </c>
      <c r="M35" s="18">
        <v>41.106499999999997</v>
      </c>
      <c r="N35" s="18">
        <v>57.926200000000001</v>
      </c>
      <c r="O35" s="18">
        <f t="shared" si="1"/>
        <v>33.869174999999998</v>
      </c>
      <c r="P35" s="7"/>
      <c r="Q35" s="10"/>
      <c r="R35" s="11"/>
      <c r="S35" s="11"/>
      <c r="T35" s="26"/>
      <c r="U35" s="28">
        <f t="shared" si="2"/>
        <v>0.35404862085086491</v>
      </c>
    </row>
    <row r="36" spans="1:21" ht="16.5" thickBot="1" x14ac:dyDescent="0.3">
      <c r="B36" s="12"/>
      <c r="C36" s="19">
        <v>841.12</v>
      </c>
      <c r="D36" s="20">
        <v>26.358000000000001</v>
      </c>
      <c r="E36" s="20">
        <v>36.884</v>
      </c>
      <c r="F36" s="20">
        <v>38.914999999999999</v>
      </c>
      <c r="G36" s="20">
        <v>44.83</v>
      </c>
      <c r="H36" s="20">
        <f t="shared" si="0"/>
        <v>29.243374999999997</v>
      </c>
      <c r="I36" s="5"/>
      <c r="J36" s="19">
        <v>599.37840000000006</v>
      </c>
      <c r="K36" s="20">
        <v>30.441500000000001</v>
      </c>
      <c r="L36" s="20">
        <v>38.067</v>
      </c>
      <c r="M36" s="20">
        <v>40.615099999999998</v>
      </c>
      <c r="N36" s="20">
        <v>66.203199999999995</v>
      </c>
      <c r="O36" s="20">
        <f t="shared" si="1"/>
        <v>32.666387499999999</v>
      </c>
      <c r="P36" s="7"/>
      <c r="Q36" s="13"/>
      <c r="R36" s="14"/>
      <c r="S36" s="14"/>
      <c r="T36" s="27"/>
      <c r="U36" s="28">
        <f t="shared" si="2"/>
        <v>0.47676109747936646</v>
      </c>
    </row>
    <row r="37" spans="1:21" x14ac:dyDescent="0.25">
      <c r="A37" s="6" t="s">
        <v>39</v>
      </c>
      <c r="B37" s="6" t="s">
        <v>53</v>
      </c>
      <c r="C37" s="15">
        <v>1555.88</v>
      </c>
      <c r="D37" s="16">
        <v>33.933999999999997</v>
      </c>
      <c r="E37" s="16">
        <v>37.317</v>
      </c>
      <c r="F37" s="16">
        <v>37.167999999999999</v>
      </c>
      <c r="G37" s="16">
        <v>152.63</v>
      </c>
      <c r="H37" s="16">
        <f t="shared" si="0"/>
        <v>34.761125</v>
      </c>
      <c r="I37" s="5"/>
      <c r="J37" s="15">
        <v>1214.752</v>
      </c>
      <c r="K37" s="16">
        <v>35.065100000000001</v>
      </c>
      <c r="L37" s="16">
        <v>39.060200000000002</v>
      </c>
      <c r="M37" s="16">
        <v>38.918500000000002</v>
      </c>
      <c r="N37" s="16">
        <v>128.70009999999999</v>
      </c>
      <c r="O37" s="16">
        <f t="shared" si="1"/>
        <v>36.046162500000001</v>
      </c>
      <c r="P37" s="7"/>
      <c r="Q37" s="8">
        <f>bdrate(C37:C40,D37:D40,J37:J40,K37:K40)</f>
        <v>-0.4308483893028765</v>
      </c>
      <c r="R37" s="8">
        <f>bdrate(C37:C40,E37:E40,J37:J40,L37:L40)</f>
        <v>-0.56851419657395741</v>
      </c>
      <c r="S37" s="8">
        <f>bdrate(C37:C40,F37:F40,J37:J40,M37:M40)</f>
        <v>-0.52526508371681513</v>
      </c>
      <c r="T37" s="25">
        <f>bdrate(C37:C40,H37:H40,J37:J40,O37:O40)</f>
        <v>-0.45353909079942401</v>
      </c>
      <c r="U37" s="28">
        <f t="shared" si="2"/>
        <v>-0.15678372534888294</v>
      </c>
    </row>
    <row r="38" spans="1:21" x14ac:dyDescent="0.25">
      <c r="A38" s="9" t="s">
        <v>40</v>
      </c>
      <c r="B38" s="9"/>
      <c r="C38" s="17">
        <v>1055.6199999999999</v>
      </c>
      <c r="D38" s="18">
        <v>32.447000000000003</v>
      </c>
      <c r="E38" s="18">
        <v>36.366</v>
      </c>
      <c r="F38" s="18">
        <v>36.133000000000003</v>
      </c>
      <c r="G38" s="18">
        <v>172.29</v>
      </c>
      <c r="H38" s="18">
        <f t="shared" si="0"/>
        <v>33.397624999999998</v>
      </c>
      <c r="I38" s="5"/>
      <c r="J38" s="17">
        <v>810.93359999999996</v>
      </c>
      <c r="K38" s="18">
        <v>33.5246</v>
      </c>
      <c r="L38" s="18">
        <v>37.897100000000002</v>
      </c>
      <c r="M38" s="18">
        <v>37.570799999999998</v>
      </c>
      <c r="N38" s="18">
        <v>150.46639999999999</v>
      </c>
      <c r="O38" s="18">
        <f t="shared" si="1"/>
        <v>34.5769375</v>
      </c>
      <c r="P38" s="7"/>
      <c r="Q38" s="10"/>
      <c r="R38" s="11"/>
      <c r="S38" s="11"/>
      <c r="T38" s="26"/>
      <c r="U38" s="28">
        <f t="shared" si="2"/>
        <v>-0.1266678275001451</v>
      </c>
    </row>
    <row r="39" spans="1:21" x14ac:dyDescent="0.25">
      <c r="B39" s="9"/>
      <c r="C39" s="17">
        <v>650.20000000000005</v>
      </c>
      <c r="D39" s="18">
        <v>30.484999999999999</v>
      </c>
      <c r="E39" s="18">
        <v>35.340000000000003</v>
      </c>
      <c r="F39" s="18">
        <v>34.968000000000004</v>
      </c>
      <c r="G39" s="18">
        <v>188.54</v>
      </c>
      <c r="H39" s="18">
        <f t="shared" si="0"/>
        <v>31.652250000000002</v>
      </c>
      <c r="I39" s="5"/>
      <c r="J39" s="17">
        <v>506.56799999999998</v>
      </c>
      <c r="K39" s="18">
        <v>31.761399999999998</v>
      </c>
      <c r="L39" s="18">
        <v>36.667499999999997</v>
      </c>
      <c r="M39" s="18">
        <v>36.194800000000001</v>
      </c>
      <c r="N39" s="18">
        <v>189.68129999999999</v>
      </c>
      <c r="O39" s="18">
        <f t="shared" si="1"/>
        <v>32.9288375</v>
      </c>
      <c r="P39" s="7"/>
      <c r="Q39" s="10"/>
      <c r="R39" s="11"/>
      <c r="S39" s="11"/>
      <c r="T39" s="26"/>
      <c r="U39" s="28">
        <f t="shared" si="2"/>
        <v>6.0533573777447813E-3</v>
      </c>
    </row>
    <row r="40" spans="1:21" ht="16.5" thickBot="1" x14ac:dyDescent="0.3">
      <c r="B40" s="12"/>
      <c r="C40" s="19">
        <v>396.8</v>
      </c>
      <c r="D40" s="20">
        <v>28.202000000000002</v>
      </c>
      <c r="E40" s="20">
        <v>34.404000000000003</v>
      </c>
      <c r="F40" s="20">
        <v>33.956000000000003</v>
      </c>
      <c r="G40" s="20">
        <v>202.84</v>
      </c>
      <c r="H40" s="20">
        <f t="shared" si="0"/>
        <v>29.6965</v>
      </c>
      <c r="I40" s="5"/>
      <c r="J40" s="19">
        <v>303.5496</v>
      </c>
      <c r="K40" s="20">
        <v>29.815100000000001</v>
      </c>
      <c r="L40" s="20">
        <v>35.364100000000001</v>
      </c>
      <c r="M40" s="20">
        <v>34.793100000000003</v>
      </c>
      <c r="N40" s="20">
        <v>241.08</v>
      </c>
      <c r="O40" s="20">
        <f t="shared" si="1"/>
        <v>31.130975000000003</v>
      </c>
      <c r="P40" s="7"/>
      <c r="Q40" s="13"/>
      <c r="R40" s="14"/>
      <c r="S40" s="14"/>
      <c r="T40" s="27"/>
      <c r="U40" s="28">
        <f t="shared" si="2"/>
        <v>0.18852297377243152</v>
      </c>
    </row>
    <row r="41" spans="1:21" x14ac:dyDescent="0.25">
      <c r="B41" s="6" t="s">
        <v>54</v>
      </c>
      <c r="C41" s="15">
        <v>1569.95</v>
      </c>
      <c r="D41" s="16">
        <v>34.162999999999997</v>
      </c>
      <c r="E41" s="16">
        <v>39.100999999999999</v>
      </c>
      <c r="F41" s="16">
        <v>39.826000000000001</v>
      </c>
      <c r="G41" s="16">
        <v>157.6</v>
      </c>
      <c r="H41" s="16">
        <f t="shared" si="0"/>
        <v>35.488124999999997</v>
      </c>
      <c r="I41" s="5"/>
      <c r="J41" s="15">
        <v>1244.8664000000001</v>
      </c>
      <c r="K41" s="16">
        <v>35.249000000000002</v>
      </c>
      <c r="L41" s="16">
        <v>40.472799999999999</v>
      </c>
      <c r="M41" s="16">
        <v>41.294400000000003</v>
      </c>
      <c r="N41" s="16">
        <v>132.15860000000001</v>
      </c>
      <c r="O41" s="16">
        <f t="shared" si="1"/>
        <v>36.657650000000004</v>
      </c>
      <c r="P41" s="7"/>
      <c r="Q41" s="8">
        <f>bdrate(C41:C44,D41:D44,J41:J44,K41:K44)</f>
        <v>-0.45792125661477401</v>
      </c>
      <c r="R41" s="8">
        <f>bdrate(C41:C44,E41:E44,J41:J44,L41:L44)</f>
        <v>-0.54621601092914762</v>
      </c>
      <c r="S41" s="8">
        <f>bdrate(C41:C44,F41:F44,J41:J44,M41:M44)</f>
        <v>-0.52792896174558845</v>
      </c>
      <c r="T41" s="25">
        <f>bdrate(C41:C44,H41:H44,J41:J44,O41:O44)</f>
        <v>-0.47089132453961613</v>
      </c>
      <c r="U41" s="28">
        <f t="shared" ref="U41:U72" si="3">(N41-G41)/G41</f>
        <v>-0.1614302030456852</v>
      </c>
    </row>
    <row r="42" spans="1:21" x14ac:dyDescent="0.25">
      <c r="B42" s="9"/>
      <c r="C42" s="17">
        <v>1064.1600000000001</v>
      </c>
      <c r="D42" s="18">
        <v>32.351999999999997</v>
      </c>
      <c r="E42" s="18">
        <v>38.31</v>
      </c>
      <c r="F42" s="18">
        <v>38.951000000000001</v>
      </c>
      <c r="G42" s="18">
        <v>169.44</v>
      </c>
      <c r="H42" s="18">
        <f t="shared" si="0"/>
        <v>33.921624999999999</v>
      </c>
      <c r="I42" s="5"/>
      <c r="J42" s="17">
        <v>829.85839999999996</v>
      </c>
      <c r="K42" s="18">
        <v>33.7042</v>
      </c>
      <c r="L42" s="18">
        <v>39.476900000000001</v>
      </c>
      <c r="M42" s="18">
        <v>40.228099999999998</v>
      </c>
      <c r="N42" s="18">
        <v>160.25640000000001</v>
      </c>
      <c r="O42" s="18">
        <f t="shared" si="1"/>
        <v>35.241275000000002</v>
      </c>
      <c r="P42" s="7"/>
      <c r="Q42" s="10"/>
      <c r="R42" s="11"/>
      <c r="S42" s="11"/>
      <c r="T42" s="26"/>
      <c r="U42" s="28">
        <f t="shared" si="3"/>
        <v>-5.4199716713880929E-2</v>
      </c>
    </row>
    <row r="43" spans="1:21" x14ac:dyDescent="0.25">
      <c r="B43" s="9"/>
      <c r="C43" s="17">
        <v>656.82</v>
      </c>
      <c r="D43" s="18">
        <v>29.931000000000001</v>
      </c>
      <c r="E43" s="18">
        <v>37.423000000000002</v>
      </c>
      <c r="F43" s="18">
        <v>38.012</v>
      </c>
      <c r="G43" s="18">
        <v>183.15</v>
      </c>
      <c r="H43" s="18">
        <f t="shared" si="0"/>
        <v>31.877625000000002</v>
      </c>
      <c r="I43" s="5"/>
      <c r="J43" s="17">
        <v>518.3184</v>
      </c>
      <c r="K43" s="18">
        <v>31.849399999999999</v>
      </c>
      <c r="L43" s="18">
        <v>38.478700000000003</v>
      </c>
      <c r="M43" s="18">
        <v>39.0657</v>
      </c>
      <c r="N43" s="18">
        <v>194.23759999999999</v>
      </c>
      <c r="O43" s="18">
        <f t="shared" si="1"/>
        <v>33.580100000000002</v>
      </c>
      <c r="P43" s="7"/>
      <c r="Q43" s="10"/>
      <c r="R43" s="11"/>
      <c r="S43" s="11"/>
      <c r="T43" s="26"/>
      <c r="U43" s="28">
        <f t="shared" si="3"/>
        <v>6.053835653835643E-2</v>
      </c>
    </row>
    <row r="44" spans="1:21" ht="16.5" thickBot="1" x14ac:dyDescent="0.3">
      <c r="B44" s="12"/>
      <c r="C44" s="19">
        <v>403.38</v>
      </c>
      <c r="D44" s="20">
        <v>27.056000000000001</v>
      </c>
      <c r="E44" s="20">
        <v>36.524000000000001</v>
      </c>
      <c r="F44" s="20">
        <v>37.000999999999998</v>
      </c>
      <c r="G44" s="20">
        <v>197.24</v>
      </c>
      <c r="H44" s="20">
        <f t="shared" si="0"/>
        <v>29.482625000000002</v>
      </c>
      <c r="I44" s="5"/>
      <c r="J44" s="19">
        <v>310.64960000000002</v>
      </c>
      <c r="K44" s="20">
        <v>29.7653</v>
      </c>
      <c r="L44" s="20">
        <v>37.418599999999998</v>
      </c>
      <c r="M44" s="20">
        <v>37.874099999999999</v>
      </c>
      <c r="N44" s="20">
        <v>240.38460000000001</v>
      </c>
      <c r="O44" s="20">
        <f t="shared" si="1"/>
        <v>31.7355625</v>
      </c>
      <c r="P44" s="7"/>
      <c r="Q44" s="13"/>
      <c r="R44" s="14"/>
      <c r="S44" s="14"/>
      <c r="T44" s="27"/>
      <c r="U44" s="28">
        <f t="shared" si="3"/>
        <v>0.218741634556885</v>
      </c>
    </row>
    <row r="45" spans="1:21" x14ac:dyDescent="0.25">
      <c r="B45" s="6" t="s">
        <v>55</v>
      </c>
      <c r="C45" s="15">
        <v>1434.58</v>
      </c>
      <c r="D45" s="16">
        <v>28.477</v>
      </c>
      <c r="E45" s="16">
        <v>34.874000000000002</v>
      </c>
      <c r="F45" s="16">
        <v>35.527999999999999</v>
      </c>
      <c r="G45" s="16">
        <v>163.51</v>
      </c>
      <c r="H45" s="16">
        <f t="shared" si="0"/>
        <v>30.157999999999998</v>
      </c>
      <c r="I45" s="5"/>
      <c r="J45" s="15">
        <v>1227.3535999999999</v>
      </c>
      <c r="K45" s="16">
        <v>30.374300000000002</v>
      </c>
      <c r="L45" s="16">
        <v>36.723100000000002</v>
      </c>
      <c r="M45" s="16">
        <v>37.487400000000001</v>
      </c>
      <c r="N45" s="16">
        <v>118.25920000000001</v>
      </c>
      <c r="O45" s="16">
        <f t="shared" si="1"/>
        <v>32.0570375</v>
      </c>
      <c r="P45" s="7"/>
      <c r="Q45" s="8">
        <f>bdrate(C45:C48,D45:D48,J45:J48,K45:K48)</f>
        <v>-0.52830638798082596</v>
      </c>
      <c r="R45" s="8">
        <f>bdrate(C45:C48,E45:E48,J45:J48,L45:L48)</f>
        <v>-0.64895335005434585</v>
      </c>
      <c r="S45" s="8">
        <f>bdrate(C45:C48,F45:F48,J45:J48,M45:M48)</f>
        <v>-0.64916748602501362</v>
      </c>
      <c r="T45" s="25">
        <f>bdrate(C45:C48,H45:H48,J45:J48,O45:O48)</f>
        <v>-0.54771676710138584</v>
      </c>
      <c r="U45" s="28">
        <f t="shared" si="3"/>
        <v>-0.27674637636841776</v>
      </c>
    </row>
    <row r="46" spans="1:21" x14ac:dyDescent="0.25">
      <c r="B46" s="9"/>
      <c r="C46" s="17">
        <v>972.03</v>
      </c>
      <c r="D46" s="18">
        <v>27.19</v>
      </c>
      <c r="E46" s="18">
        <v>34.430999999999997</v>
      </c>
      <c r="F46" s="18">
        <v>35.116</v>
      </c>
      <c r="G46" s="18">
        <v>184.23</v>
      </c>
      <c r="H46" s="18">
        <f t="shared" si="0"/>
        <v>29.085875000000001</v>
      </c>
      <c r="I46" s="5"/>
      <c r="J46" s="17">
        <v>814.67520000000002</v>
      </c>
      <c r="K46" s="18">
        <v>29.026800000000001</v>
      </c>
      <c r="L46" s="18">
        <v>35.895899999999997</v>
      </c>
      <c r="M46" s="18">
        <v>36.6404</v>
      </c>
      <c r="N46" s="18">
        <v>143.10249999999999</v>
      </c>
      <c r="O46" s="18">
        <f t="shared" si="1"/>
        <v>30.837137499999997</v>
      </c>
      <c r="P46" s="7"/>
      <c r="Q46" s="10"/>
      <c r="R46" s="11"/>
      <c r="S46" s="11"/>
      <c r="T46" s="26"/>
      <c r="U46" s="28">
        <f t="shared" si="3"/>
        <v>-0.22323997177441243</v>
      </c>
    </row>
    <row r="47" spans="1:21" x14ac:dyDescent="0.25">
      <c r="B47" s="9"/>
      <c r="C47" s="17">
        <v>604.52</v>
      </c>
      <c r="D47" s="18">
        <v>25.698</v>
      </c>
      <c r="E47" s="18">
        <v>33.975999999999999</v>
      </c>
      <c r="F47" s="18">
        <v>34.659999999999997</v>
      </c>
      <c r="G47" s="18">
        <v>199.04</v>
      </c>
      <c r="H47" s="18">
        <f t="shared" si="0"/>
        <v>27.852999999999998</v>
      </c>
      <c r="I47" s="5"/>
      <c r="J47" s="17">
        <v>513.85760000000005</v>
      </c>
      <c r="K47" s="18">
        <v>27.546399999999998</v>
      </c>
      <c r="L47" s="18">
        <v>35.089199999999998</v>
      </c>
      <c r="M47" s="18">
        <v>35.792999999999999</v>
      </c>
      <c r="N47" s="18">
        <v>178.06270000000001</v>
      </c>
      <c r="O47" s="18">
        <f t="shared" si="1"/>
        <v>29.520074999999999</v>
      </c>
      <c r="P47" s="7"/>
      <c r="Q47" s="10"/>
      <c r="R47" s="11"/>
      <c r="S47" s="11"/>
      <c r="T47" s="26"/>
      <c r="U47" s="28">
        <f t="shared" si="3"/>
        <v>-0.10539238344051439</v>
      </c>
    </row>
    <row r="48" spans="1:21" ht="16.5" thickBot="1" x14ac:dyDescent="0.3">
      <c r="B48" s="12"/>
      <c r="C48" s="19">
        <v>372.38</v>
      </c>
      <c r="D48" s="20">
        <v>24.201000000000001</v>
      </c>
      <c r="E48" s="20">
        <v>33.524000000000001</v>
      </c>
      <c r="F48" s="20">
        <v>34.249000000000002</v>
      </c>
      <c r="G48" s="20">
        <v>218.05</v>
      </c>
      <c r="H48" s="20">
        <f t="shared" si="0"/>
        <v>26.622375000000002</v>
      </c>
      <c r="I48" s="5"/>
      <c r="J48" s="19">
        <v>308.86079999999998</v>
      </c>
      <c r="K48" s="20">
        <v>25.999199999999998</v>
      </c>
      <c r="L48" s="20">
        <v>34.202500000000001</v>
      </c>
      <c r="M48" s="20">
        <v>34.880499999999998</v>
      </c>
      <c r="N48" s="20">
        <v>224.1147</v>
      </c>
      <c r="O48" s="20">
        <f t="shared" si="1"/>
        <v>28.134774999999998</v>
      </c>
      <c r="P48" s="7"/>
      <c r="Q48" s="13"/>
      <c r="R48" s="14"/>
      <c r="S48" s="14"/>
      <c r="T48" s="27"/>
      <c r="U48" s="28">
        <f t="shared" si="3"/>
        <v>2.7813345562944222E-2</v>
      </c>
    </row>
    <row r="49" spans="1:21" x14ac:dyDescent="0.25">
      <c r="B49" s="6" t="s">
        <v>56</v>
      </c>
      <c r="C49" s="15">
        <v>1431.35</v>
      </c>
      <c r="D49" s="16">
        <v>32.317999999999998</v>
      </c>
      <c r="E49" s="16">
        <v>36.283999999999999</v>
      </c>
      <c r="F49" s="16">
        <v>37.881</v>
      </c>
      <c r="G49" s="16">
        <v>119.43</v>
      </c>
      <c r="H49" s="16">
        <f t="shared" si="0"/>
        <v>33.509124999999997</v>
      </c>
      <c r="I49" s="5"/>
      <c r="J49" s="15">
        <v>1208.9367999999999</v>
      </c>
      <c r="K49" s="16">
        <v>32.453699999999998</v>
      </c>
      <c r="L49" s="16">
        <v>36.885199999999998</v>
      </c>
      <c r="M49" s="16">
        <v>38.4634</v>
      </c>
      <c r="N49" s="16">
        <v>86.231700000000004</v>
      </c>
      <c r="O49" s="16">
        <f t="shared" si="1"/>
        <v>33.758849999999995</v>
      </c>
      <c r="P49" s="7"/>
      <c r="Q49" s="8">
        <f>bdrate(C49:C52,D49:D52,J49:J52,K49:K52)</f>
        <v>-0.25824342178984738</v>
      </c>
      <c r="R49" s="8">
        <f>bdrate(C49:C52,E49:E52,J49:J52,L49:L52)</f>
        <v>-0.32479531969236242</v>
      </c>
      <c r="S49" s="8">
        <f>bdrate(C49:C52,F49:F52,J49:J52,M49:M52)</f>
        <v>-0.32090191680777458</v>
      </c>
      <c r="T49" s="25">
        <f>bdrate(C49:C52,H49:H52,J49:J52,O49:O52)</f>
        <v>-0.26944064729824246</v>
      </c>
      <c r="U49" s="28">
        <f t="shared" si="3"/>
        <v>-0.27797287113790509</v>
      </c>
    </row>
    <row r="50" spans="1:21" x14ac:dyDescent="0.25">
      <c r="B50" s="9"/>
      <c r="C50" s="17">
        <v>977.49</v>
      </c>
      <c r="D50" s="18">
        <v>30.704000000000001</v>
      </c>
      <c r="E50" s="18">
        <v>35.582000000000001</v>
      </c>
      <c r="F50" s="18">
        <v>37.164999999999999</v>
      </c>
      <c r="G50" s="18">
        <v>127.33</v>
      </c>
      <c r="H50" s="18">
        <f t="shared" si="0"/>
        <v>32.121375</v>
      </c>
      <c r="I50" s="5"/>
      <c r="J50" s="17">
        <v>805.56320000000005</v>
      </c>
      <c r="K50" s="18">
        <v>30.9053</v>
      </c>
      <c r="L50" s="18">
        <v>35.977899999999998</v>
      </c>
      <c r="M50" s="18">
        <v>37.525399999999998</v>
      </c>
      <c r="N50" s="18">
        <v>103.95010000000001</v>
      </c>
      <c r="O50" s="18">
        <f t="shared" si="1"/>
        <v>32.366887500000004</v>
      </c>
      <c r="P50" s="7"/>
      <c r="Q50" s="10"/>
      <c r="R50" s="11"/>
      <c r="S50" s="11"/>
      <c r="T50" s="26"/>
      <c r="U50" s="28">
        <f t="shared" si="3"/>
        <v>-0.18361658682164447</v>
      </c>
    </row>
    <row r="51" spans="1:21" x14ac:dyDescent="0.25">
      <c r="B51" s="9"/>
      <c r="C51" s="17">
        <v>617.66</v>
      </c>
      <c r="D51" s="18">
        <v>28.751000000000001</v>
      </c>
      <c r="E51" s="18">
        <v>34.832000000000001</v>
      </c>
      <c r="F51" s="18">
        <v>36.326000000000001</v>
      </c>
      <c r="G51" s="18">
        <v>147.93</v>
      </c>
      <c r="H51" s="18">
        <f t="shared" si="0"/>
        <v>30.457999999999998</v>
      </c>
      <c r="I51" s="5"/>
      <c r="J51" s="17">
        <v>503.96159999999998</v>
      </c>
      <c r="K51" s="18">
        <v>29.267299999999999</v>
      </c>
      <c r="L51" s="18">
        <v>35.134900000000002</v>
      </c>
      <c r="M51" s="18">
        <v>36.670200000000001</v>
      </c>
      <c r="N51" s="18">
        <v>129.03229999999999</v>
      </c>
      <c r="O51" s="18">
        <f t="shared" si="1"/>
        <v>30.926112499999999</v>
      </c>
      <c r="P51" s="7"/>
      <c r="Q51" s="10"/>
      <c r="R51" s="11"/>
      <c r="S51" s="11"/>
      <c r="T51" s="26"/>
      <c r="U51" s="28">
        <f t="shared" si="3"/>
        <v>-0.12774758331643354</v>
      </c>
    </row>
    <row r="52" spans="1:21" ht="16.5" thickBot="1" x14ac:dyDescent="0.3">
      <c r="B52" s="12"/>
      <c r="C52" s="19">
        <v>383.65</v>
      </c>
      <c r="D52" s="20">
        <v>26.646999999999998</v>
      </c>
      <c r="E52" s="20">
        <v>33.960999999999999</v>
      </c>
      <c r="F52" s="20">
        <v>35.374000000000002</v>
      </c>
      <c r="G52" s="20">
        <v>164.38</v>
      </c>
      <c r="H52" s="20">
        <f t="shared" si="0"/>
        <v>28.652125000000002</v>
      </c>
      <c r="I52" s="5"/>
      <c r="J52" s="19">
        <v>301.9624</v>
      </c>
      <c r="K52" s="20">
        <v>27.655999999999999</v>
      </c>
      <c r="L52" s="20">
        <v>34.215200000000003</v>
      </c>
      <c r="M52" s="20">
        <v>35.6678</v>
      </c>
      <c r="N52" s="20">
        <v>167.22409999999999</v>
      </c>
      <c r="O52" s="20">
        <f t="shared" si="1"/>
        <v>29.477374999999999</v>
      </c>
      <c r="P52" s="7"/>
      <c r="Q52" s="13"/>
      <c r="R52" s="14"/>
      <c r="S52" s="14"/>
      <c r="T52" s="27"/>
      <c r="U52" s="28">
        <f t="shared" si="3"/>
        <v>1.7301983209636194E-2</v>
      </c>
    </row>
    <row r="53" spans="1:21" x14ac:dyDescent="0.25">
      <c r="A53" s="6" t="s">
        <v>41</v>
      </c>
      <c r="B53" s="6" t="s">
        <v>57</v>
      </c>
      <c r="C53" s="15">
        <v>849.15</v>
      </c>
      <c r="D53" s="16">
        <v>34.765999999999998</v>
      </c>
      <c r="E53" s="16">
        <v>38.771000000000001</v>
      </c>
      <c r="F53" s="16">
        <v>37.640999999999998</v>
      </c>
      <c r="G53" s="16">
        <v>493.1</v>
      </c>
      <c r="H53" s="16">
        <f t="shared" si="0"/>
        <v>35.626000000000005</v>
      </c>
      <c r="I53" s="5"/>
      <c r="J53" s="15">
        <v>604.78719999999998</v>
      </c>
      <c r="K53" s="16">
        <v>34.3994</v>
      </c>
      <c r="L53" s="16">
        <v>39.6569</v>
      </c>
      <c r="M53" s="16">
        <v>38.191299999999998</v>
      </c>
      <c r="N53" s="16">
        <v>337.38189999999997</v>
      </c>
      <c r="O53" s="16">
        <f t="shared" si="1"/>
        <v>35.530574999999999</v>
      </c>
      <c r="P53" s="7"/>
      <c r="Q53" s="8">
        <f>bdrate(C53:C56,D53:D56,J53:J56,K53:K56)</f>
        <v>-0.28168833717231967</v>
      </c>
      <c r="R53" s="8">
        <f>bdrate(C53:C56,E53:E56,J53:J56,L53:L56)</f>
        <v>-0.45546781888571619</v>
      </c>
      <c r="S53" s="8">
        <f>bdrate(C53:C56,F53:F56,J53:J56,M53:M56)</f>
        <v>-0.36934677574432073</v>
      </c>
      <c r="T53" s="25">
        <f>bdrate(C53:C56,H53:H56,J53:J56,O53:O56)</f>
        <v>-0.30325498547981367</v>
      </c>
      <c r="U53" s="28">
        <f t="shared" si="3"/>
        <v>-0.31579415939971617</v>
      </c>
    </row>
    <row r="54" spans="1:21" x14ac:dyDescent="0.25">
      <c r="A54" s="9" t="s">
        <v>42</v>
      </c>
      <c r="B54" s="9"/>
      <c r="C54" s="17">
        <v>531.5</v>
      </c>
      <c r="D54" s="18">
        <v>32.542000000000002</v>
      </c>
      <c r="E54" s="18">
        <v>37.643000000000001</v>
      </c>
      <c r="F54" s="18">
        <v>36.238999999999997</v>
      </c>
      <c r="G54" s="18">
        <v>552.49</v>
      </c>
      <c r="H54" s="18">
        <f t="shared" si="0"/>
        <v>33.641750000000002</v>
      </c>
      <c r="I54" s="5"/>
      <c r="J54" s="17">
        <v>404.87119999999999</v>
      </c>
      <c r="K54" s="18">
        <v>32.598399999999998</v>
      </c>
      <c r="L54" s="18">
        <v>38.511699999999998</v>
      </c>
      <c r="M54" s="18">
        <v>36.869700000000002</v>
      </c>
      <c r="N54" s="18">
        <v>405.51499999999999</v>
      </c>
      <c r="O54" s="18">
        <f t="shared" si="1"/>
        <v>33.871474999999997</v>
      </c>
      <c r="P54" s="7"/>
      <c r="Q54" s="10"/>
      <c r="R54" s="11"/>
      <c r="S54" s="11"/>
      <c r="T54" s="26"/>
      <c r="U54" s="28">
        <f t="shared" si="3"/>
        <v>-0.26602291444189041</v>
      </c>
    </row>
    <row r="55" spans="1:21" x14ac:dyDescent="0.25">
      <c r="B55" s="9"/>
      <c r="C55" s="17">
        <v>321.83</v>
      </c>
      <c r="D55" s="18">
        <v>30.228000000000002</v>
      </c>
      <c r="E55" s="18">
        <v>36.637</v>
      </c>
      <c r="F55" s="18">
        <v>35.088999999999999</v>
      </c>
      <c r="G55" s="18">
        <v>616.52</v>
      </c>
      <c r="H55" s="18">
        <f t="shared" si="0"/>
        <v>31.636749999999999</v>
      </c>
      <c r="I55" s="5"/>
      <c r="J55" s="17">
        <v>254.61439999999999</v>
      </c>
      <c r="K55" s="18">
        <v>30.668399999999998</v>
      </c>
      <c r="L55" s="18">
        <v>37.404600000000002</v>
      </c>
      <c r="M55" s="18">
        <v>35.655999999999999</v>
      </c>
      <c r="N55" s="18">
        <v>485.43689999999998</v>
      </c>
      <c r="O55" s="18">
        <f t="shared" si="1"/>
        <v>32.133875000000003</v>
      </c>
      <c r="P55" s="7"/>
      <c r="Q55" s="10"/>
      <c r="R55" s="11"/>
      <c r="S55" s="11"/>
      <c r="T55" s="26"/>
      <c r="U55" s="28">
        <f t="shared" si="3"/>
        <v>-0.21261775773697528</v>
      </c>
    </row>
    <row r="56" spans="1:21" ht="16.5" thickBot="1" x14ac:dyDescent="0.3">
      <c r="B56" s="12"/>
      <c r="C56" s="19">
        <v>164.71</v>
      </c>
      <c r="D56" s="20">
        <v>27.134</v>
      </c>
      <c r="E56" s="20">
        <v>35.435000000000002</v>
      </c>
      <c r="F56" s="20">
        <v>33.729999999999997</v>
      </c>
      <c r="G56" s="20">
        <v>712.25</v>
      </c>
      <c r="H56" s="20">
        <f t="shared" si="0"/>
        <v>28.996124999999999</v>
      </c>
      <c r="I56" s="5"/>
      <c r="J56" s="19">
        <v>122.9768</v>
      </c>
      <c r="K56" s="20">
        <v>27.895199999999999</v>
      </c>
      <c r="L56" s="20">
        <v>35.856000000000002</v>
      </c>
      <c r="M56" s="20">
        <v>33.788200000000003</v>
      </c>
      <c r="N56" s="20">
        <v>712.25070000000005</v>
      </c>
      <c r="O56" s="20">
        <f t="shared" si="1"/>
        <v>29.626925</v>
      </c>
      <c r="P56" s="7"/>
      <c r="Q56" s="13"/>
      <c r="R56" s="14"/>
      <c r="S56" s="14"/>
      <c r="T56" s="27"/>
      <c r="U56" s="28">
        <f t="shared" si="3"/>
        <v>9.8280098287351257E-7</v>
      </c>
    </row>
    <row r="57" spans="1:21" x14ac:dyDescent="0.25">
      <c r="B57" s="6" t="s">
        <v>58</v>
      </c>
      <c r="C57" s="15">
        <v>742.97</v>
      </c>
      <c r="D57" s="16">
        <v>30.85</v>
      </c>
      <c r="E57" s="16">
        <v>38.603999999999999</v>
      </c>
      <c r="F57" s="16">
        <v>39.046999999999997</v>
      </c>
      <c r="G57" s="16">
        <v>663.72</v>
      </c>
      <c r="H57" s="16">
        <f t="shared" si="0"/>
        <v>32.843874999999997</v>
      </c>
      <c r="I57" s="5"/>
      <c r="J57" s="15">
        <v>604.35440000000006</v>
      </c>
      <c r="K57" s="16">
        <v>33.662700000000001</v>
      </c>
      <c r="L57" s="16">
        <v>41.256900000000002</v>
      </c>
      <c r="M57" s="16">
        <v>42.063400000000001</v>
      </c>
      <c r="N57" s="16">
        <v>392.41329999999999</v>
      </c>
      <c r="O57" s="16">
        <f t="shared" si="1"/>
        <v>35.662062500000005</v>
      </c>
      <c r="P57" s="7"/>
      <c r="Q57" s="8">
        <f>bdrate(C57:C60,D57:D60,J57:J60,K57:K60)</f>
        <v>-0.67365087033253457</v>
      </c>
      <c r="R57" s="8">
        <f>bdrate(C57:C60,E57:E60,J57:J60,L57:L60)</f>
        <v>-0.77239477863903594</v>
      </c>
      <c r="S57" s="8">
        <f>bdrate(C57:C60,F57:F60,J57:J60,M57:M60)</f>
        <v>-0.78596359286204942</v>
      </c>
      <c r="T57" s="25">
        <f>bdrate(C57:C60,H57:H60,J57:J60,O57:O60)</f>
        <v>-0.69002401793941015</v>
      </c>
      <c r="U57" s="28">
        <f t="shared" si="3"/>
        <v>-0.40876679925269693</v>
      </c>
    </row>
    <row r="58" spans="1:21" x14ac:dyDescent="0.25">
      <c r="B58" s="9"/>
      <c r="C58" s="17">
        <v>462.41</v>
      </c>
      <c r="D58" s="18">
        <v>29.114000000000001</v>
      </c>
      <c r="E58" s="18">
        <v>38.103000000000002</v>
      </c>
      <c r="F58" s="18">
        <v>38.405000000000001</v>
      </c>
      <c r="G58" s="18">
        <v>725.51</v>
      </c>
      <c r="H58" s="18">
        <f t="shared" si="0"/>
        <v>31.399000000000001</v>
      </c>
      <c r="I58" s="5"/>
      <c r="J58" s="17">
        <v>403.31760000000003</v>
      </c>
      <c r="K58" s="18">
        <v>32.394799999999996</v>
      </c>
      <c r="L58" s="18">
        <v>40.384700000000002</v>
      </c>
      <c r="M58" s="18">
        <v>41.197000000000003</v>
      </c>
      <c r="N58" s="18">
        <v>505.90219999999999</v>
      </c>
      <c r="O58" s="18">
        <f t="shared" si="1"/>
        <v>34.493812499999997</v>
      </c>
      <c r="P58" s="7"/>
      <c r="Q58" s="10"/>
      <c r="R58" s="11"/>
      <c r="S58" s="11"/>
      <c r="T58" s="26"/>
      <c r="U58" s="28">
        <f t="shared" si="3"/>
        <v>-0.30269438050474839</v>
      </c>
    </row>
    <row r="59" spans="1:21" x14ac:dyDescent="0.25">
      <c r="B59" s="9"/>
      <c r="C59" s="17">
        <v>276.11</v>
      </c>
      <c r="D59" s="18">
        <v>27.451000000000001</v>
      </c>
      <c r="E59" s="18">
        <v>37.656999999999996</v>
      </c>
      <c r="F59" s="18">
        <v>37.75</v>
      </c>
      <c r="G59" s="18">
        <v>817.44</v>
      </c>
      <c r="H59" s="18">
        <f t="shared" si="0"/>
        <v>30.014125</v>
      </c>
      <c r="I59" s="5"/>
      <c r="J59" s="17">
        <v>251.9032</v>
      </c>
      <c r="K59" s="18">
        <v>30.897099999999998</v>
      </c>
      <c r="L59" s="18">
        <v>39.426600000000001</v>
      </c>
      <c r="M59" s="18">
        <v>40.117400000000004</v>
      </c>
      <c r="N59" s="18">
        <v>619.8347</v>
      </c>
      <c r="O59" s="18">
        <f t="shared" si="1"/>
        <v>33.115825000000001</v>
      </c>
      <c r="P59" s="7"/>
      <c r="Q59" s="10"/>
      <c r="R59" s="11"/>
      <c r="S59" s="11"/>
      <c r="T59" s="26"/>
      <c r="U59" s="28">
        <f t="shared" si="3"/>
        <v>-0.24173676355451171</v>
      </c>
    </row>
    <row r="60" spans="1:21" ht="16.5" thickBot="1" x14ac:dyDescent="0.3">
      <c r="B60" s="12"/>
      <c r="C60" s="19">
        <v>136.83000000000001</v>
      </c>
      <c r="D60" s="20">
        <v>25.288</v>
      </c>
      <c r="E60" s="20">
        <v>37.055</v>
      </c>
      <c r="F60" s="20">
        <v>37.1</v>
      </c>
      <c r="G60" s="20">
        <v>894.19</v>
      </c>
      <c r="H60" s="20">
        <f t="shared" si="0"/>
        <v>28.235375000000001</v>
      </c>
      <c r="I60" s="5"/>
      <c r="J60" s="19">
        <v>121.0432</v>
      </c>
      <c r="K60" s="20">
        <v>28.3431</v>
      </c>
      <c r="L60" s="20">
        <v>38.164999999999999</v>
      </c>
      <c r="M60" s="20">
        <v>38.604199999999999</v>
      </c>
      <c r="N60" s="20">
        <v>854.70090000000005</v>
      </c>
      <c r="O60" s="20">
        <f t="shared" si="1"/>
        <v>30.853475</v>
      </c>
      <c r="P60" s="7"/>
      <c r="Q60" s="13"/>
      <c r="R60" s="14"/>
      <c r="S60" s="14"/>
      <c r="T60" s="27"/>
      <c r="U60" s="28">
        <f t="shared" si="3"/>
        <v>-4.4161867164696549E-2</v>
      </c>
    </row>
    <row r="61" spans="1:21" x14ac:dyDescent="0.25">
      <c r="B61" s="6" t="s">
        <v>59</v>
      </c>
      <c r="C61" s="29">
        <v>836.1</v>
      </c>
      <c r="D61" s="30">
        <v>32.529000000000003</v>
      </c>
      <c r="E61" s="30">
        <v>36.090000000000003</v>
      </c>
      <c r="F61" s="30">
        <v>36.457000000000001</v>
      </c>
      <c r="G61" s="16">
        <v>562.42999999999995</v>
      </c>
      <c r="H61" s="16">
        <f t="shared" si="0"/>
        <v>33.465125000000008</v>
      </c>
      <c r="I61" s="5"/>
      <c r="J61" s="29">
        <v>644.05999999999995</v>
      </c>
      <c r="K61" s="30">
        <v>33.212699999999998</v>
      </c>
      <c r="L61" s="30">
        <v>38.172899999999998</v>
      </c>
      <c r="M61" s="30">
        <v>38.936</v>
      </c>
      <c r="N61" s="16">
        <v>352.11270000000002</v>
      </c>
      <c r="O61" s="16">
        <f t="shared" si="1"/>
        <v>34.548137499999996</v>
      </c>
      <c r="P61" s="7"/>
      <c r="Q61" s="8">
        <f>bdrate(C61:C64,D61:D64,J61:J64,K61:K64)</f>
        <v>-0.39025472694249363</v>
      </c>
      <c r="R61" s="8">
        <f>bdrate(C61:C64,E61:E64,J61:J64,L61:L64)</f>
        <v>-0.642663790961155</v>
      </c>
      <c r="S61" s="8">
        <f>bdrate(C61:C64,F61:F64,J61:J64,M61:M64)</f>
        <v>-0.69304266694407335</v>
      </c>
      <c r="T61" s="25">
        <f>bdrate(C61:C64,H61:H64,J61:J64,O61:O64)</f>
        <v>-0.44599413725408577</v>
      </c>
      <c r="U61" s="28">
        <f t="shared" si="3"/>
        <v>-0.37394395747026288</v>
      </c>
    </row>
    <row r="62" spans="1:21" x14ac:dyDescent="0.25">
      <c r="B62" s="9"/>
      <c r="C62" s="31">
        <v>521.72</v>
      </c>
      <c r="D62" s="32">
        <v>30.632000000000001</v>
      </c>
      <c r="E62" s="32">
        <v>35.185000000000002</v>
      </c>
      <c r="F62" s="32">
        <v>35.619</v>
      </c>
      <c r="G62" s="18">
        <v>641.03</v>
      </c>
      <c r="H62" s="18">
        <f t="shared" si="0"/>
        <v>31.8245</v>
      </c>
      <c r="I62" s="5"/>
      <c r="J62" s="31">
        <v>427.37360000000001</v>
      </c>
      <c r="K62" s="32">
        <v>31.674399999999999</v>
      </c>
      <c r="L62" s="32">
        <v>37.095300000000002</v>
      </c>
      <c r="M62" s="32">
        <v>37.826300000000003</v>
      </c>
      <c r="N62" s="18">
        <v>445.23599999999999</v>
      </c>
      <c r="O62" s="18">
        <f t="shared" si="1"/>
        <v>33.121000000000002</v>
      </c>
      <c r="P62" s="7"/>
      <c r="Q62" s="10"/>
      <c r="R62" s="11"/>
      <c r="S62" s="11"/>
      <c r="T62" s="26"/>
      <c r="U62" s="28">
        <f t="shared" si="3"/>
        <v>-0.3054365630313714</v>
      </c>
    </row>
    <row r="63" spans="1:21" x14ac:dyDescent="0.25">
      <c r="B63" s="9"/>
      <c r="C63" s="31">
        <v>311.38</v>
      </c>
      <c r="D63" s="32">
        <v>28.77</v>
      </c>
      <c r="E63" s="32">
        <v>34.375</v>
      </c>
      <c r="F63" s="32">
        <v>34.814999999999998</v>
      </c>
      <c r="G63" s="18">
        <v>697.35</v>
      </c>
      <c r="H63" s="18">
        <f t="shared" si="0"/>
        <v>30.22625</v>
      </c>
      <c r="I63" s="5"/>
      <c r="J63" s="31">
        <v>266.7944</v>
      </c>
      <c r="K63" s="32">
        <v>29.9938</v>
      </c>
      <c r="L63" s="32">
        <v>35.978099999999998</v>
      </c>
      <c r="M63" s="32">
        <v>36.695799999999998</v>
      </c>
      <c r="N63" s="18">
        <v>542.88819999999998</v>
      </c>
      <c r="O63" s="18">
        <f t="shared" si="1"/>
        <v>31.579587499999999</v>
      </c>
      <c r="P63" s="7"/>
      <c r="Q63" s="10"/>
      <c r="R63" s="11"/>
      <c r="S63" s="11"/>
      <c r="T63" s="26"/>
      <c r="U63" s="28">
        <f t="shared" si="3"/>
        <v>-0.22149824334982438</v>
      </c>
    </row>
    <row r="64" spans="1:21" ht="16.5" thickBot="1" x14ac:dyDescent="0.3">
      <c r="B64" s="12"/>
      <c r="C64" s="33">
        <v>152.66</v>
      </c>
      <c r="D64" s="34">
        <v>26.379000000000001</v>
      </c>
      <c r="E64" s="34">
        <v>33.506999999999998</v>
      </c>
      <c r="F64" s="34">
        <v>34.024999999999999</v>
      </c>
      <c r="G64" s="20">
        <v>782.47</v>
      </c>
      <c r="H64" s="20">
        <f t="shared" si="0"/>
        <v>28.225750000000001</v>
      </c>
      <c r="I64" s="5"/>
      <c r="J64" s="33">
        <v>128.61840000000001</v>
      </c>
      <c r="K64" s="34">
        <v>27.5792</v>
      </c>
      <c r="L64" s="34">
        <v>34.422699999999999</v>
      </c>
      <c r="M64" s="34">
        <v>35.129800000000003</v>
      </c>
      <c r="N64" s="20">
        <v>781.25</v>
      </c>
      <c r="O64" s="20">
        <f t="shared" si="1"/>
        <v>29.378462499999998</v>
      </c>
      <c r="P64" s="7"/>
      <c r="Q64" s="13"/>
      <c r="R64" s="14"/>
      <c r="S64" s="14"/>
      <c r="T64" s="27"/>
      <c r="U64" s="28">
        <f t="shared" si="3"/>
        <v>-1.5591652076118283E-3</v>
      </c>
    </row>
    <row r="65" spans="1:21" x14ac:dyDescent="0.25">
      <c r="B65" s="6" t="s">
        <v>60</v>
      </c>
      <c r="C65" s="15">
        <v>768.56</v>
      </c>
      <c r="D65" s="16">
        <v>34.579000000000001</v>
      </c>
      <c r="E65" s="16">
        <v>37.023000000000003</v>
      </c>
      <c r="F65" s="16">
        <v>38.103000000000002</v>
      </c>
      <c r="G65" s="16">
        <v>400.53</v>
      </c>
      <c r="H65" s="16">
        <f t="shared" si="0"/>
        <v>35.324999999999996</v>
      </c>
      <c r="I65" s="5"/>
      <c r="J65" s="15">
        <v>605.97519999999997</v>
      </c>
      <c r="K65" s="16">
        <v>33.987099999999998</v>
      </c>
      <c r="L65" s="16">
        <v>37.743899999999996</v>
      </c>
      <c r="M65" s="16">
        <v>38.834699999999998</v>
      </c>
      <c r="N65" s="16">
        <v>234.5582</v>
      </c>
      <c r="O65" s="16">
        <f t="shared" si="1"/>
        <v>35.062649999999998</v>
      </c>
      <c r="P65" s="7"/>
      <c r="Q65" s="8">
        <f>bdrate(C65:C68,D65:D68,J65:J68,K65:K68)</f>
        <v>-0.1625990512303398</v>
      </c>
      <c r="R65" s="8">
        <f>bdrate(C65:C68,E65:E68,J65:J68,L65:L68)</f>
        <v>-0.36460518701044731</v>
      </c>
      <c r="S65" s="8">
        <f>bdrate(C65:C68,F65:F68,J65:J68,M65:M68)</f>
        <v>-0.35782779075155713</v>
      </c>
      <c r="T65" s="25">
        <f>bdrate(C65:C68,H65:H68,J65:J68,O65:O68)</f>
        <v>-0.19617510138135996</v>
      </c>
      <c r="U65" s="28">
        <f t="shared" si="3"/>
        <v>-0.41438044590917034</v>
      </c>
    </row>
    <row r="66" spans="1:21" x14ac:dyDescent="0.25">
      <c r="B66" s="9"/>
      <c r="C66" s="17">
        <v>482.03</v>
      </c>
      <c r="D66" s="18">
        <v>32.338000000000001</v>
      </c>
      <c r="E66" s="18">
        <v>35.848999999999997</v>
      </c>
      <c r="F66" s="18">
        <v>36.911999999999999</v>
      </c>
      <c r="G66" s="18">
        <v>457.32</v>
      </c>
      <c r="H66" s="18">
        <f t="shared" si="0"/>
        <v>33.348624999999998</v>
      </c>
      <c r="I66" s="5"/>
      <c r="J66" s="17">
        <v>403.8888</v>
      </c>
      <c r="K66" s="18">
        <v>32.1678</v>
      </c>
      <c r="L66" s="18">
        <v>36.606400000000001</v>
      </c>
      <c r="M66" s="18">
        <v>37.706099999999999</v>
      </c>
      <c r="N66" s="18">
        <v>291.26209999999998</v>
      </c>
      <c r="O66" s="18">
        <f t="shared" si="1"/>
        <v>33.4149125</v>
      </c>
      <c r="P66" s="7"/>
      <c r="Q66" s="10"/>
      <c r="R66" s="11"/>
      <c r="S66" s="11"/>
      <c r="T66" s="26"/>
      <c r="U66" s="28">
        <f t="shared" si="3"/>
        <v>-0.3631109507565819</v>
      </c>
    </row>
    <row r="67" spans="1:21" x14ac:dyDescent="0.25">
      <c r="B67" s="9"/>
      <c r="C67" s="17">
        <v>290.94</v>
      </c>
      <c r="D67" s="18">
        <v>30.140999999999998</v>
      </c>
      <c r="E67" s="18">
        <v>34.774000000000001</v>
      </c>
      <c r="F67" s="18">
        <v>35.820999999999998</v>
      </c>
      <c r="G67" s="18">
        <v>505.9</v>
      </c>
      <c r="H67" s="18">
        <f t="shared" si="0"/>
        <v>31.430125</v>
      </c>
      <c r="I67" s="5"/>
      <c r="J67" s="17">
        <v>252.94560000000001</v>
      </c>
      <c r="K67" s="18">
        <v>30.2729</v>
      </c>
      <c r="L67" s="18">
        <v>35.393599999999999</v>
      </c>
      <c r="M67" s="18">
        <v>36.433900000000001</v>
      </c>
      <c r="N67" s="18">
        <v>369.91370000000001</v>
      </c>
      <c r="O67" s="18">
        <f t="shared" si="1"/>
        <v>31.6831125</v>
      </c>
      <c r="P67" s="7"/>
      <c r="Q67" s="10"/>
      <c r="R67" s="11"/>
      <c r="S67" s="11"/>
      <c r="T67" s="26"/>
      <c r="U67" s="28">
        <f t="shared" si="3"/>
        <v>-0.26880075113658819</v>
      </c>
    </row>
    <row r="68" spans="1:21" ht="16.5" thickBot="1" x14ac:dyDescent="0.3">
      <c r="B68" s="12"/>
      <c r="C68" s="19">
        <v>144.61000000000001</v>
      </c>
      <c r="D68" s="20">
        <v>27.175999999999998</v>
      </c>
      <c r="E68" s="20">
        <v>33.497</v>
      </c>
      <c r="F68" s="20">
        <v>34.494999999999997</v>
      </c>
      <c r="G68" s="20">
        <v>621.12</v>
      </c>
      <c r="H68" s="20">
        <f t="shared" si="0"/>
        <v>28.881</v>
      </c>
      <c r="I68" s="5"/>
      <c r="J68" s="19">
        <v>122.30800000000001</v>
      </c>
      <c r="K68" s="20">
        <v>27.795000000000002</v>
      </c>
      <c r="L68" s="20">
        <v>33.964700000000001</v>
      </c>
      <c r="M68" s="20">
        <v>34.902900000000002</v>
      </c>
      <c r="N68" s="20">
        <v>549.45050000000003</v>
      </c>
      <c r="O68" s="20">
        <f t="shared" si="1"/>
        <v>29.454700000000003</v>
      </c>
      <c r="P68" s="7"/>
      <c r="Q68" s="13"/>
      <c r="R68" s="14"/>
      <c r="S68" s="14"/>
      <c r="T68" s="27"/>
      <c r="U68" s="28">
        <f t="shared" si="3"/>
        <v>-0.11538752575991752</v>
      </c>
    </row>
    <row r="69" spans="1:21" x14ac:dyDescent="0.25">
      <c r="A69" s="6" t="s">
        <v>43</v>
      </c>
      <c r="B69" s="6" t="s">
        <v>61</v>
      </c>
      <c r="C69" s="15">
        <v>1902.34</v>
      </c>
      <c r="D69" s="16">
        <v>40.909999999999997</v>
      </c>
      <c r="E69" s="16">
        <v>44.582000000000001</v>
      </c>
      <c r="F69" s="16">
        <v>45.673999999999999</v>
      </c>
      <c r="G69" s="16">
        <v>83.97</v>
      </c>
      <c r="H69" s="16">
        <f t="shared" si="0"/>
        <v>41.964499999999994</v>
      </c>
      <c r="I69" s="5"/>
      <c r="J69" s="15">
        <v>1491.2647999999999</v>
      </c>
      <c r="K69" s="16">
        <v>41.363</v>
      </c>
      <c r="L69" s="16">
        <v>45.620399999999997</v>
      </c>
      <c r="M69" s="16">
        <v>46.805900000000001</v>
      </c>
      <c r="N69" s="16">
        <v>103.95010000000001</v>
      </c>
      <c r="O69" s="16">
        <f t="shared" si="1"/>
        <v>42.575537500000003</v>
      </c>
      <c r="P69" s="7"/>
      <c r="Q69" s="8">
        <f>bdrate(C69:C72,D69:D72,J69:J72,K69:K72)</f>
        <v>-0.40482775143706073</v>
      </c>
      <c r="R69" s="8">
        <f>bdrate(C69:C72,E69:E72,J69:J72,L69:L72)</f>
        <v>-0.52625807170986694</v>
      </c>
      <c r="S69" s="8">
        <f>bdrate(C69:C72,F69:F72,J69:J72,M69:M72)</f>
        <v>-0.54409649068083588</v>
      </c>
      <c r="T69" s="25">
        <f>bdrate(C69:C72,H69:H72,J69:J72,O69:O72)</f>
        <v>-0.43134989454367745</v>
      </c>
      <c r="U69" s="28">
        <f t="shared" si="3"/>
        <v>0.2379433130880077</v>
      </c>
    </row>
    <row r="70" spans="1:21" x14ac:dyDescent="0.25">
      <c r="A70" s="9" t="s">
        <v>44</v>
      </c>
      <c r="B70" s="9"/>
      <c r="C70" s="17">
        <v>1241.57</v>
      </c>
      <c r="D70" s="18">
        <v>39.497</v>
      </c>
      <c r="E70" s="18">
        <v>43.429000000000002</v>
      </c>
      <c r="F70" s="18">
        <v>44.393999999999998</v>
      </c>
      <c r="G70" s="18">
        <v>88.42</v>
      </c>
      <c r="H70" s="18">
        <f t="shared" si="0"/>
        <v>40.600625000000001</v>
      </c>
      <c r="I70" s="5"/>
      <c r="J70" s="17">
        <v>984.8528</v>
      </c>
      <c r="K70" s="18">
        <v>40.243699999999997</v>
      </c>
      <c r="L70" s="18">
        <v>44.6633</v>
      </c>
      <c r="M70" s="18">
        <v>45.837899999999998</v>
      </c>
      <c r="N70" s="18">
        <v>119.8322</v>
      </c>
      <c r="O70" s="18">
        <f t="shared" si="1"/>
        <v>41.495424999999997</v>
      </c>
      <c r="P70" s="7"/>
      <c r="Q70" s="10"/>
      <c r="R70" s="11"/>
      <c r="S70" s="11"/>
      <c r="T70" s="26"/>
      <c r="U70" s="28">
        <f t="shared" si="3"/>
        <v>0.35526125311015605</v>
      </c>
    </row>
    <row r="71" spans="1:21" x14ac:dyDescent="0.25">
      <c r="B71" s="9"/>
      <c r="C71" s="17">
        <v>742.19</v>
      </c>
      <c r="D71" s="18">
        <v>37.155000000000001</v>
      </c>
      <c r="E71" s="18">
        <v>41.886000000000003</v>
      </c>
      <c r="F71" s="18">
        <v>42.853999999999999</v>
      </c>
      <c r="G71" s="18">
        <v>91.58</v>
      </c>
      <c r="H71" s="18">
        <f t="shared" si="0"/>
        <v>38.458750000000002</v>
      </c>
      <c r="I71" s="5"/>
      <c r="J71" s="17">
        <v>574.95519999999999</v>
      </c>
      <c r="K71" s="18">
        <v>38.364899999999999</v>
      </c>
      <c r="L71" s="18">
        <v>43.274500000000003</v>
      </c>
      <c r="M71" s="18">
        <v>44.390500000000003</v>
      </c>
      <c r="N71" s="18">
        <v>138.37639999999999</v>
      </c>
      <c r="O71" s="18">
        <f t="shared" si="1"/>
        <v>39.731799999999993</v>
      </c>
      <c r="P71" s="7"/>
      <c r="Q71" s="10"/>
      <c r="R71" s="11"/>
      <c r="S71" s="11"/>
      <c r="T71" s="26"/>
      <c r="U71" s="28">
        <f t="shared" si="3"/>
        <v>0.51098929897357492</v>
      </c>
    </row>
    <row r="72" spans="1:21" ht="16.5" thickBot="1" x14ac:dyDescent="0.3">
      <c r="B72" s="12"/>
      <c r="C72" s="19">
        <v>341.98</v>
      </c>
      <c r="D72" s="20">
        <v>32.871000000000002</v>
      </c>
      <c r="E72" s="20">
        <v>39.752000000000002</v>
      </c>
      <c r="F72" s="20">
        <v>40.545000000000002</v>
      </c>
      <c r="G72" s="20">
        <v>97.86</v>
      </c>
      <c r="H72" s="20">
        <f t="shared" si="0"/>
        <v>34.690375000000003</v>
      </c>
      <c r="I72" s="5"/>
      <c r="J72" s="19">
        <v>278.60320000000002</v>
      </c>
      <c r="K72" s="20">
        <v>35.244399999999999</v>
      </c>
      <c r="L72" s="20">
        <v>41.513300000000001</v>
      </c>
      <c r="M72" s="20">
        <v>42.485799999999998</v>
      </c>
      <c r="N72" s="20">
        <v>170.9402</v>
      </c>
      <c r="O72" s="20">
        <f t="shared" si="1"/>
        <v>36.933187499999995</v>
      </c>
      <c r="P72" s="7"/>
      <c r="Q72" s="13"/>
      <c r="R72" s="14"/>
      <c r="S72" s="14"/>
      <c r="T72" s="27"/>
      <c r="U72" s="28">
        <f t="shared" si="3"/>
        <v>0.74678315961577768</v>
      </c>
    </row>
    <row r="73" spans="1:21" x14ac:dyDescent="0.25">
      <c r="B73" s="6" t="s">
        <v>62</v>
      </c>
      <c r="C73" s="15">
        <v>1993.4</v>
      </c>
      <c r="D73" s="16">
        <v>41.819000000000003</v>
      </c>
      <c r="E73" s="16">
        <v>46.232999999999997</v>
      </c>
      <c r="F73" s="16">
        <v>46.719000000000001</v>
      </c>
      <c r="G73" s="16">
        <v>91.35</v>
      </c>
      <c r="H73" s="16">
        <f t="shared" si="0"/>
        <v>42.983249999999998</v>
      </c>
      <c r="I73" s="5"/>
      <c r="J73" s="15">
        <v>1469.3440000000001</v>
      </c>
      <c r="K73" s="16">
        <v>42.62</v>
      </c>
      <c r="L73" s="16">
        <v>47.650399999999998</v>
      </c>
      <c r="M73" s="16">
        <v>48.2652</v>
      </c>
      <c r="N73" s="16">
        <v>117.624</v>
      </c>
      <c r="O73" s="16">
        <f t="shared" si="1"/>
        <v>43.954449999999994</v>
      </c>
      <c r="P73" s="7"/>
      <c r="Q73" s="8">
        <f>bdrate(C73:C76,D73:D76,J73:J76,K73:K76)</f>
        <v>-0.61726278983256311</v>
      </c>
      <c r="R73" s="8">
        <f>bdrate(C73:C76,E73:E76,J73:J76,L73:L76)</f>
        <v>-0.72384427586073874</v>
      </c>
      <c r="S73" s="8">
        <f>bdrate(C73:C76,F73:F76,J73:J76,M73:M76)</f>
        <v>-0.73491076642334108</v>
      </c>
      <c r="T73" s="25">
        <f>bdrate(C73:C76,H73:H76,J73:J76,O73:O76)</f>
        <v>-0.64864938245691506</v>
      </c>
      <c r="U73" s="28">
        <f t="shared" ref="U73:U80" si="4">(N73-G73)/G73</f>
        <v>0.28761904761904766</v>
      </c>
    </row>
    <row r="74" spans="1:21" x14ac:dyDescent="0.25">
      <c r="B74" s="9"/>
      <c r="C74" s="17">
        <v>1304.96</v>
      </c>
      <c r="D74" s="18">
        <v>40.963999999999999</v>
      </c>
      <c r="E74" s="18">
        <v>45.326000000000001</v>
      </c>
      <c r="F74" s="18">
        <v>45.728999999999999</v>
      </c>
      <c r="G74" s="18">
        <v>97.13</v>
      </c>
      <c r="H74" s="18">
        <f t="shared" si="0"/>
        <v>42.104875</v>
      </c>
      <c r="I74" s="5"/>
      <c r="J74" s="17">
        <v>973.91520000000003</v>
      </c>
      <c r="K74" s="18">
        <v>42.095500000000001</v>
      </c>
      <c r="L74" s="18">
        <v>47.204500000000003</v>
      </c>
      <c r="M74" s="18">
        <v>47.851300000000002</v>
      </c>
      <c r="N74" s="18">
        <v>136.8613</v>
      </c>
      <c r="O74" s="18">
        <f t="shared" si="1"/>
        <v>43.453600000000002</v>
      </c>
      <c r="P74" s="7"/>
      <c r="Q74" s="10"/>
      <c r="R74" s="11"/>
      <c r="S74" s="11"/>
      <c r="T74" s="26"/>
      <c r="U74" s="28">
        <f t="shared" si="4"/>
        <v>0.40905281581385777</v>
      </c>
    </row>
    <row r="75" spans="1:21" x14ac:dyDescent="0.25">
      <c r="B75" s="9"/>
      <c r="C75" s="17">
        <v>773.12</v>
      </c>
      <c r="D75" s="18">
        <v>39.49</v>
      </c>
      <c r="E75" s="18">
        <v>43.94</v>
      </c>
      <c r="F75" s="18">
        <v>44.570999999999998</v>
      </c>
      <c r="G75" s="18">
        <v>102.56</v>
      </c>
      <c r="H75" s="18">
        <f t="shared" si="0"/>
        <v>40.681375000000003</v>
      </c>
      <c r="I75" s="5"/>
      <c r="J75" s="17">
        <v>578.66079999999999</v>
      </c>
      <c r="K75" s="18">
        <v>41.234000000000002</v>
      </c>
      <c r="L75" s="18">
        <v>46.368499999999997</v>
      </c>
      <c r="M75" s="18">
        <v>46.933199999999999</v>
      </c>
      <c r="N75" s="18">
        <v>153.84620000000001</v>
      </c>
      <c r="O75" s="18">
        <f t="shared" si="1"/>
        <v>42.588212499999997</v>
      </c>
      <c r="P75" s="7"/>
      <c r="Q75" s="10"/>
      <c r="R75" s="11"/>
      <c r="S75" s="11"/>
      <c r="T75" s="26"/>
      <c r="U75" s="28">
        <f t="shared" si="4"/>
        <v>0.50006045241809682</v>
      </c>
    </row>
    <row r="76" spans="1:21" ht="16.5" thickBot="1" x14ac:dyDescent="0.3">
      <c r="B76" s="12"/>
      <c r="C76" s="19">
        <v>345.53</v>
      </c>
      <c r="D76" s="20">
        <v>35.966999999999999</v>
      </c>
      <c r="E76" s="20">
        <v>41.634999999999998</v>
      </c>
      <c r="F76" s="20">
        <v>42.387999999999998</v>
      </c>
      <c r="G76" s="20">
        <v>108.97</v>
      </c>
      <c r="H76" s="20">
        <f t="shared" si="0"/>
        <v>37.478124999999999</v>
      </c>
      <c r="I76" s="5"/>
      <c r="J76" s="19">
        <v>281.61439999999999</v>
      </c>
      <c r="K76" s="20">
        <v>39.438299999999998</v>
      </c>
      <c r="L76" s="20">
        <v>44.5854</v>
      </c>
      <c r="M76" s="20">
        <v>45.122900000000001</v>
      </c>
      <c r="N76" s="20">
        <v>179.7484</v>
      </c>
      <c r="O76" s="20">
        <f t="shared" si="1"/>
        <v>40.7922625</v>
      </c>
      <c r="P76" s="7"/>
      <c r="Q76" s="13"/>
      <c r="R76" s="14"/>
      <c r="S76" s="14"/>
      <c r="T76" s="27"/>
      <c r="U76" s="28">
        <f t="shared" si="4"/>
        <v>0.6495218867578233</v>
      </c>
    </row>
    <row r="77" spans="1:21" x14ac:dyDescent="0.25">
      <c r="B77" s="6" t="s">
        <v>63</v>
      </c>
      <c r="C77" s="15">
        <v>2091.64</v>
      </c>
      <c r="D77" s="16">
        <v>41.814</v>
      </c>
      <c r="E77" s="16">
        <v>45.527000000000001</v>
      </c>
      <c r="F77" s="16">
        <v>46.262999999999998</v>
      </c>
      <c r="G77" s="16">
        <v>86.23</v>
      </c>
      <c r="H77" s="16">
        <f t="shared" si="0"/>
        <v>42.834249999999997</v>
      </c>
      <c r="I77" s="5"/>
      <c r="J77" s="15">
        <v>1534.556</v>
      </c>
      <c r="K77" s="16">
        <v>42.498699999999999</v>
      </c>
      <c r="L77" s="16">
        <v>46.739100000000001</v>
      </c>
      <c r="M77" s="16">
        <v>47.615299999999998</v>
      </c>
      <c r="N77" s="16">
        <v>104.2209</v>
      </c>
      <c r="O77" s="16">
        <f t="shared" si="1"/>
        <v>43.668324999999996</v>
      </c>
      <c r="P77" s="7"/>
      <c r="Q77" s="8">
        <f>bdrate(C77:C80,D77:D80,J77:J80,K77:K80)</f>
        <v>-0.53404490203706034</v>
      </c>
      <c r="R77" s="8">
        <f>bdrate(C77:C80,E77:E80,J77:J80,L77:L80)</f>
        <v>-0.62936124197523469</v>
      </c>
      <c r="S77" s="8">
        <f>bdrate(C77:C80,F77:F80,J77:J80,M77:M80)</f>
        <v>-0.64986257409423787</v>
      </c>
      <c r="T77" s="25">
        <f>bdrate(C77:C80,H77:H80,J77:J80,O77:O80)</f>
        <v>-0.55988853624694823</v>
      </c>
      <c r="U77" s="28">
        <f t="shared" si="4"/>
        <v>0.20863852487533335</v>
      </c>
    </row>
    <row r="78" spans="1:21" x14ac:dyDescent="0.25">
      <c r="B78" s="9"/>
      <c r="C78" s="17">
        <v>1376.91</v>
      </c>
      <c r="D78" s="18">
        <v>40.616</v>
      </c>
      <c r="E78" s="18">
        <v>44.451999999999998</v>
      </c>
      <c r="F78" s="18">
        <v>45.058</v>
      </c>
      <c r="G78" s="18">
        <v>92.45</v>
      </c>
      <c r="H78" s="18">
        <f t="shared" si="0"/>
        <v>41.650750000000002</v>
      </c>
      <c r="I78" s="5"/>
      <c r="J78" s="17">
        <v>1011.9088</v>
      </c>
      <c r="K78" s="18">
        <v>41.670200000000001</v>
      </c>
      <c r="L78" s="18">
        <v>45.9681</v>
      </c>
      <c r="M78" s="18">
        <v>46.803600000000003</v>
      </c>
      <c r="N78" s="18">
        <v>120.5788</v>
      </c>
      <c r="O78" s="18">
        <f t="shared" si="1"/>
        <v>42.849112500000004</v>
      </c>
      <c r="P78" s="7"/>
      <c r="Q78" s="10"/>
      <c r="R78" s="11"/>
      <c r="S78" s="11"/>
      <c r="T78" s="26"/>
      <c r="U78" s="28">
        <f t="shared" si="4"/>
        <v>0.30425959978366685</v>
      </c>
    </row>
    <row r="79" spans="1:21" x14ac:dyDescent="0.25">
      <c r="B79" s="9"/>
      <c r="C79" s="17">
        <v>819.91</v>
      </c>
      <c r="D79" s="18">
        <v>38.643000000000001</v>
      </c>
      <c r="E79" s="18">
        <v>42.667000000000002</v>
      </c>
      <c r="F79" s="18">
        <v>43.341999999999999</v>
      </c>
      <c r="G79" s="18">
        <v>97.86</v>
      </c>
      <c r="H79" s="18">
        <f t="shared" si="0"/>
        <v>39.733374999999995</v>
      </c>
      <c r="I79" s="5"/>
      <c r="J79" s="17">
        <v>606.48320000000001</v>
      </c>
      <c r="K79" s="18">
        <v>40.3491</v>
      </c>
      <c r="L79" s="18">
        <v>44.813200000000002</v>
      </c>
      <c r="M79" s="18">
        <v>45.621099999999998</v>
      </c>
      <c r="N79" s="18">
        <v>137.86760000000001</v>
      </c>
      <c r="O79" s="18">
        <f t="shared" si="1"/>
        <v>41.566112500000003</v>
      </c>
      <c r="P79" s="7"/>
      <c r="Q79" s="10"/>
      <c r="R79" s="11"/>
      <c r="S79" s="11"/>
      <c r="T79" s="26"/>
      <c r="U79" s="28">
        <f t="shared" si="4"/>
        <v>0.4088248518291438</v>
      </c>
    </row>
    <row r="80" spans="1:21" ht="16.5" thickBot="1" x14ac:dyDescent="0.3">
      <c r="B80" s="12"/>
      <c r="C80" s="19">
        <v>376.98</v>
      </c>
      <c r="D80" s="20">
        <v>34.680999999999997</v>
      </c>
      <c r="E80" s="20">
        <v>40.332000000000001</v>
      </c>
      <c r="F80" s="20">
        <v>41.054000000000002</v>
      </c>
      <c r="G80" s="20">
        <v>105.37</v>
      </c>
      <c r="H80" s="20">
        <f t="shared" si="0"/>
        <v>36.183999999999997</v>
      </c>
      <c r="I80" s="5"/>
      <c r="J80" s="19">
        <v>296.06400000000002</v>
      </c>
      <c r="K80" s="20">
        <v>37.845100000000002</v>
      </c>
      <c r="L80" s="20">
        <v>42.853700000000003</v>
      </c>
      <c r="M80" s="20">
        <v>43.685299999999998</v>
      </c>
      <c r="N80" s="20">
        <v>167.22409999999999</v>
      </c>
      <c r="O80" s="20">
        <f t="shared" si="1"/>
        <v>39.2012</v>
      </c>
      <c r="P80" s="7"/>
      <c r="Q80" s="13"/>
      <c r="R80" s="14"/>
      <c r="S80" s="14"/>
      <c r="T80" s="27"/>
      <c r="U80" s="28">
        <f t="shared" si="4"/>
        <v>0.58701812660149932</v>
      </c>
    </row>
    <row r="81" spans="1:21" x14ac:dyDescent="0.25">
      <c r="A81" s="6" t="s">
        <v>102</v>
      </c>
      <c r="B81" s="6" t="s">
        <v>103</v>
      </c>
      <c r="C81" s="15">
        <v>1609.46</v>
      </c>
      <c r="D81" s="16">
        <v>41.334000000000003</v>
      </c>
      <c r="E81" s="16">
        <v>46.189</v>
      </c>
      <c r="F81" s="16">
        <v>47.826000000000001</v>
      </c>
      <c r="G81" s="16">
        <v>71.010000000000005</v>
      </c>
      <c r="H81" s="16">
        <f t="shared" ref="H81:H91" si="5">(6*D81+E81+F81)/8</f>
        <v>42.752375000000008</v>
      </c>
      <c r="I81" s="5"/>
      <c r="J81" s="15">
        <v>1284.4647</v>
      </c>
      <c r="K81" s="16">
        <v>43.5306</v>
      </c>
      <c r="L81" s="16">
        <v>49.320300000000003</v>
      </c>
      <c r="M81" s="16">
        <v>50.169600000000003</v>
      </c>
      <c r="N81" s="16">
        <v>61.1143</v>
      </c>
      <c r="O81" s="16">
        <f t="shared" ref="O81:O91" si="6">(6*K81+L81+M81)/8</f>
        <v>45.084187500000006</v>
      </c>
      <c r="P81" s="7"/>
      <c r="Q81" s="8">
        <f>bdrate(C81:C84,D81:D84,J81:J84,K81:K84)</f>
        <v>-0.57845252914817902</v>
      </c>
      <c r="R81" s="8">
        <f>bdrate(C81:C84,E81:E84,J81:J84,L81:L84)</f>
        <v>-0.67303451706727913</v>
      </c>
      <c r="S81" s="8">
        <f>bdrate(C81:C84,F81:F84,J81:J84,M81:M84)</f>
        <v>-0.64114622006510724</v>
      </c>
      <c r="T81" s="25">
        <f>bdrate(C81:C84,H81:H84,J81:J84,O81:O84)</f>
        <v>-0.59476035532245763</v>
      </c>
      <c r="U81" s="28">
        <f t="shared" ref="U81:U91" si="7">(N81-G81)/G81</f>
        <v>-0.13935642867201808</v>
      </c>
    </row>
    <row r="82" spans="1:21" x14ac:dyDescent="0.25">
      <c r="A82" s="9" t="s">
        <v>78</v>
      </c>
      <c r="B82" s="9"/>
      <c r="C82" s="17">
        <v>1075.94</v>
      </c>
      <c r="D82" s="18">
        <v>38.960999999999999</v>
      </c>
      <c r="E82" s="18">
        <v>44.704999999999998</v>
      </c>
      <c r="F82" s="18">
        <v>46.332999999999998</v>
      </c>
      <c r="G82" s="18">
        <v>78.17</v>
      </c>
      <c r="H82" s="18">
        <f t="shared" si="5"/>
        <v>40.600499999999997</v>
      </c>
      <c r="I82" s="5"/>
      <c r="J82" s="17">
        <v>879.48929999999996</v>
      </c>
      <c r="K82" s="18">
        <v>41.948799999999999</v>
      </c>
      <c r="L82" s="18">
        <v>48.056399999999996</v>
      </c>
      <c r="M82" s="18">
        <v>49.049799999999998</v>
      </c>
      <c r="N82" s="18">
        <v>71.400199999999998</v>
      </c>
      <c r="O82" s="18">
        <f t="shared" si="6"/>
        <v>43.599874999999997</v>
      </c>
      <c r="P82" s="7"/>
      <c r="Q82" s="10"/>
      <c r="R82" s="11"/>
      <c r="S82" s="11"/>
      <c r="T82" s="26"/>
      <c r="U82" s="28">
        <f t="shared" si="7"/>
        <v>-8.6603556351541558E-2</v>
      </c>
    </row>
    <row r="83" spans="1:21" x14ac:dyDescent="0.25">
      <c r="B83" s="9"/>
      <c r="C83" s="17">
        <v>655.58</v>
      </c>
      <c r="D83" s="18">
        <v>35.781999999999996</v>
      </c>
      <c r="E83" s="18">
        <v>42.284999999999997</v>
      </c>
      <c r="F83" s="18">
        <v>44.844999999999999</v>
      </c>
      <c r="G83" s="18">
        <v>84.97</v>
      </c>
      <c r="H83" s="18">
        <f t="shared" si="5"/>
        <v>37.72775</v>
      </c>
      <c r="I83" s="5"/>
      <c r="J83" s="17">
        <v>545.35910000000001</v>
      </c>
      <c r="K83" s="18">
        <v>39.795099999999998</v>
      </c>
      <c r="L83" s="18">
        <v>46.178600000000003</v>
      </c>
      <c r="M83" s="18">
        <v>47.460299999999997</v>
      </c>
      <c r="N83" s="18">
        <v>88.552199999999999</v>
      </c>
      <c r="O83" s="18">
        <f t="shared" si="6"/>
        <v>41.551187500000005</v>
      </c>
      <c r="P83" s="7"/>
      <c r="Q83" s="10"/>
      <c r="R83" s="11"/>
      <c r="S83" s="11"/>
      <c r="T83" s="26"/>
      <c r="U83" s="28">
        <f t="shared" si="7"/>
        <v>4.2158408850182419E-2</v>
      </c>
    </row>
    <row r="84" spans="1:21" ht="16.5" thickBot="1" x14ac:dyDescent="0.3">
      <c r="B84" s="12"/>
      <c r="C84" s="19">
        <v>309.89</v>
      </c>
      <c r="D84" s="20">
        <v>31.052</v>
      </c>
      <c r="E84" s="20">
        <v>40.287999999999997</v>
      </c>
      <c r="F84" s="20">
        <v>42.761000000000003</v>
      </c>
      <c r="G84" s="20">
        <v>97.46</v>
      </c>
      <c r="H84" s="20">
        <f t="shared" si="5"/>
        <v>33.670125000000006</v>
      </c>
      <c r="I84" s="5"/>
      <c r="J84" s="19">
        <v>282.40550000000002</v>
      </c>
      <c r="K84" s="20">
        <v>36.8446</v>
      </c>
      <c r="L84" s="20">
        <v>44.142499999999998</v>
      </c>
      <c r="M84" s="20">
        <v>45.454900000000002</v>
      </c>
      <c r="N84" s="20">
        <v>117.1417</v>
      </c>
      <c r="O84" s="20">
        <f t="shared" si="6"/>
        <v>38.833125000000003</v>
      </c>
      <c r="P84" s="7"/>
      <c r="Q84" s="13"/>
      <c r="R84" s="14"/>
      <c r="S84" s="14"/>
      <c r="T84" s="27"/>
      <c r="U84" s="28">
        <f t="shared" si="7"/>
        <v>0.20194643956494981</v>
      </c>
    </row>
    <row r="85" spans="1:21" x14ac:dyDescent="0.25">
      <c r="B85" s="6" t="s">
        <v>104</v>
      </c>
      <c r="C85" s="15">
        <v>1995.46</v>
      </c>
      <c r="D85" s="16">
        <v>52.850999999999999</v>
      </c>
      <c r="E85" s="16">
        <v>53.143000000000001</v>
      </c>
      <c r="F85" s="16">
        <v>53.533999999999999</v>
      </c>
      <c r="G85" s="16">
        <v>124.6</v>
      </c>
      <c r="H85" s="16">
        <f t="shared" si="5"/>
        <v>52.972875000000002</v>
      </c>
      <c r="I85" s="5"/>
      <c r="J85" s="15">
        <v>1450.0807</v>
      </c>
      <c r="K85" s="16">
        <v>51.507899999999999</v>
      </c>
      <c r="L85" s="16">
        <v>52.500399999999999</v>
      </c>
      <c r="M85" s="16">
        <v>52.997700000000002</v>
      </c>
      <c r="N85" s="16">
        <v>109.2697</v>
      </c>
      <c r="O85" s="16">
        <f t="shared" si="6"/>
        <v>51.818187500000001</v>
      </c>
      <c r="P85" s="7"/>
      <c r="Q85" s="8">
        <f>bdrate(C85:C88,D85:D88,J85:J88,K85:K88)</f>
        <v>-0.18874995250401239</v>
      </c>
      <c r="R85" s="8">
        <f>bdrate(C85:C88,E85:E88,J85:J88,L85:L88)</f>
        <v>-0.28008167111580362</v>
      </c>
      <c r="S85" s="8">
        <f>bdrate(C85:C88,F85:F88,J85:J88,M85:M88)</f>
        <v>-0.2827166027295438</v>
      </c>
      <c r="T85" s="25">
        <f>bdrate(C85:C88,H85:H88,J85:J88,O85:O88)</f>
        <v>-0.21190222442856377</v>
      </c>
      <c r="U85" s="28">
        <f t="shared" si="7"/>
        <v>-0.1230361155698234</v>
      </c>
    </row>
    <row r="86" spans="1:21" x14ac:dyDescent="0.25">
      <c r="B86" s="9"/>
      <c r="C86" s="17">
        <v>1333.17</v>
      </c>
      <c r="D86" s="18">
        <v>50.171999999999997</v>
      </c>
      <c r="E86" s="18">
        <v>50.634999999999998</v>
      </c>
      <c r="F86" s="18">
        <v>51.091000000000001</v>
      </c>
      <c r="G86" s="18">
        <v>119.44</v>
      </c>
      <c r="H86" s="18">
        <f t="shared" si="5"/>
        <v>50.344749999999998</v>
      </c>
      <c r="I86" s="5"/>
      <c r="J86" s="17">
        <v>976.32950000000005</v>
      </c>
      <c r="K86" s="18">
        <v>49.613100000000003</v>
      </c>
      <c r="L86" s="18">
        <v>50.7087</v>
      </c>
      <c r="M86" s="18">
        <v>51.253100000000003</v>
      </c>
      <c r="N86" s="18">
        <v>134.16820000000001</v>
      </c>
      <c r="O86" s="18">
        <f t="shared" si="6"/>
        <v>49.955050000000007</v>
      </c>
      <c r="P86" s="7"/>
      <c r="Q86" s="10"/>
      <c r="R86" s="11"/>
      <c r="S86" s="11"/>
      <c r="T86" s="26"/>
      <c r="U86" s="28">
        <f t="shared" si="7"/>
        <v>0.12331044876088426</v>
      </c>
    </row>
    <row r="87" spans="1:21" x14ac:dyDescent="0.25">
      <c r="B87" s="9"/>
      <c r="C87" s="17">
        <v>809.37</v>
      </c>
      <c r="D87" s="18">
        <v>47.081000000000003</v>
      </c>
      <c r="E87" s="18">
        <v>47.588999999999999</v>
      </c>
      <c r="F87" s="18">
        <v>48.183</v>
      </c>
      <c r="G87" s="18">
        <v>138.02000000000001</v>
      </c>
      <c r="H87" s="18">
        <f t="shared" si="5"/>
        <v>47.282249999999998</v>
      </c>
      <c r="I87" s="5"/>
      <c r="J87" s="17">
        <v>592.02679999999998</v>
      </c>
      <c r="K87" s="18">
        <v>46.379800000000003</v>
      </c>
      <c r="L87" s="18">
        <v>47.723500000000001</v>
      </c>
      <c r="M87" s="18">
        <v>48.2849</v>
      </c>
      <c r="N87" s="18">
        <v>157.19149999999999</v>
      </c>
      <c r="O87" s="18">
        <f t="shared" si="6"/>
        <v>46.785900000000005</v>
      </c>
      <c r="P87" s="7"/>
      <c r="Q87" s="10"/>
      <c r="R87" s="11"/>
      <c r="S87" s="11"/>
      <c r="T87" s="26"/>
      <c r="U87" s="28">
        <f t="shared" si="7"/>
        <v>0.13890378206057077</v>
      </c>
    </row>
    <row r="88" spans="1:21" ht="16.5" thickBot="1" x14ac:dyDescent="0.3">
      <c r="B88" s="12"/>
      <c r="C88" s="19">
        <v>382.66</v>
      </c>
      <c r="D88" s="20">
        <v>42.404000000000003</v>
      </c>
      <c r="E88" s="20">
        <v>43.276000000000003</v>
      </c>
      <c r="F88" s="20">
        <v>43.866</v>
      </c>
      <c r="G88" s="20">
        <v>147.55000000000001</v>
      </c>
      <c r="H88" s="20">
        <f t="shared" si="5"/>
        <v>42.695750000000004</v>
      </c>
      <c r="I88" s="5"/>
      <c r="J88" s="19">
        <v>299.8784</v>
      </c>
      <c r="K88" s="20">
        <v>42.425800000000002</v>
      </c>
      <c r="L88" s="20">
        <v>43.935600000000001</v>
      </c>
      <c r="M88" s="20">
        <v>44.562600000000003</v>
      </c>
      <c r="N88" s="20">
        <v>177.51480000000001</v>
      </c>
      <c r="O88" s="20">
        <f t="shared" si="6"/>
        <v>42.881625</v>
      </c>
      <c r="P88" s="7"/>
      <c r="Q88" s="13"/>
      <c r="R88" s="14"/>
      <c r="S88" s="14"/>
      <c r="T88" s="27"/>
      <c r="U88" s="28">
        <f t="shared" si="7"/>
        <v>0.2030823449678075</v>
      </c>
    </row>
    <row r="89" spans="1:21" x14ac:dyDescent="0.25">
      <c r="B89" s="6" t="s">
        <v>105</v>
      </c>
      <c r="C89" s="15">
        <v>2177.4699999999998</v>
      </c>
      <c r="D89" s="16">
        <v>42.386000000000003</v>
      </c>
      <c r="E89" s="16">
        <v>44.103999999999999</v>
      </c>
      <c r="F89" s="16">
        <v>44.786000000000001</v>
      </c>
      <c r="G89" s="16">
        <v>80.459999999999994</v>
      </c>
      <c r="H89" s="16">
        <f t="shared" si="5"/>
        <v>42.900750000000002</v>
      </c>
      <c r="I89" s="5"/>
      <c r="J89" s="15">
        <v>1492.1165000000001</v>
      </c>
      <c r="K89" s="16">
        <v>42.7438</v>
      </c>
      <c r="L89" s="16">
        <v>45.086300000000001</v>
      </c>
      <c r="M89" s="16">
        <v>45.512</v>
      </c>
      <c r="N89" s="16">
        <v>78.923100000000005</v>
      </c>
      <c r="O89" s="16">
        <f t="shared" si="6"/>
        <v>43.382637500000001</v>
      </c>
      <c r="P89" s="7"/>
      <c r="Q89" s="8">
        <f>bdrate(C89:C92,D89:D92,J89:J92,K89:K92)</f>
        <v>-0.44879899222375463</v>
      </c>
      <c r="R89" s="8">
        <f>bdrate(C89:C92,E89:E92,J89:J92,L89:L92)</f>
        <v>-0.4948357041989504</v>
      </c>
      <c r="S89" s="8">
        <f>bdrate(C89:C92,F89:F92,J89:J92,M89:M92)</f>
        <v>-0.45517063552112835</v>
      </c>
      <c r="T89" s="25">
        <f>bdrate(C89:C92,H89:H92,J89:J92,O89:O92)</f>
        <v>-0.45455020912818411</v>
      </c>
      <c r="U89" s="28">
        <f t="shared" si="7"/>
        <v>-1.9101416853094567E-2</v>
      </c>
    </row>
    <row r="90" spans="1:21" x14ac:dyDescent="0.25">
      <c r="B90" s="9"/>
      <c r="C90" s="17">
        <v>1452.98</v>
      </c>
      <c r="D90" s="18">
        <v>39.85</v>
      </c>
      <c r="E90" s="18">
        <v>42.439</v>
      </c>
      <c r="F90" s="18">
        <v>43.154000000000003</v>
      </c>
      <c r="G90" s="18">
        <v>86.95</v>
      </c>
      <c r="H90" s="18">
        <f t="shared" si="5"/>
        <v>40.586625000000005</v>
      </c>
      <c r="I90" s="5"/>
      <c r="J90" s="17">
        <v>996.19849999999997</v>
      </c>
      <c r="K90" s="18">
        <v>40.787100000000002</v>
      </c>
      <c r="L90" s="18">
        <v>43.570099999999996</v>
      </c>
      <c r="M90" s="18">
        <v>43.997999999999998</v>
      </c>
      <c r="N90" s="18">
        <v>93.052099999999996</v>
      </c>
      <c r="O90" s="18">
        <f t="shared" si="6"/>
        <v>41.536337499999995</v>
      </c>
      <c r="P90" s="7"/>
      <c r="Q90" s="10"/>
      <c r="R90" s="11"/>
      <c r="S90" s="11"/>
      <c r="T90" s="26"/>
      <c r="U90" s="28">
        <f t="shared" si="7"/>
        <v>7.0179413456009115E-2</v>
      </c>
    </row>
    <row r="91" spans="1:21" x14ac:dyDescent="0.25">
      <c r="B91" s="9"/>
      <c r="C91" s="17">
        <v>884.44</v>
      </c>
      <c r="D91" s="18">
        <v>36.963000000000001</v>
      </c>
      <c r="E91" s="18">
        <v>40.61</v>
      </c>
      <c r="F91" s="18">
        <v>41.329000000000001</v>
      </c>
      <c r="G91" s="18">
        <v>93.43</v>
      </c>
      <c r="H91" s="18">
        <f t="shared" si="5"/>
        <v>37.964625000000005</v>
      </c>
      <c r="I91" s="5"/>
      <c r="J91" s="17">
        <v>598.95360000000005</v>
      </c>
      <c r="K91" s="18">
        <v>38.256300000000003</v>
      </c>
      <c r="L91" s="18">
        <v>41.760300000000001</v>
      </c>
      <c r="M91" s="18">
        <v>42.1935</v>
      </c>
      <c r="N91" s="18">
        <v>108.85339999999999</v>
      </c>
      <c r="O91" s="18">
        <f t="shared" si="6"/>
        <v>39.186449999999994</v>
      </c>
      <c r="P91" s="7"/>
      <c r="Q91" s="10"/>
      <c r="R91" s="11"/>
      <c r="S91" s="11"/>
      <c r="T91" s="26"/>
      <c r="U91" s="28">
        <f t="shared" si="7"/>
        <v>0.16507973884191357</v>
      </c>
    </row>
    <row r="92" spans="1:21" ht="16.5" thickBot="1" x14ac:dyDescent="0.3">
      <c r="B92" s="12"/>
      <c r="C92" s="19">
        <v>422.61</v>
      </c>
      <c r="D92" s="20">
        <v>31.797999999999998</v>
      </c>
      <c r="E92" s="20">
        <v>38.088999999999999</v>
      </c>
      <c r="F92" s="20">
        <v>38.874000000000002</v>
      </c>
      <c r="G92" s="20">
        <v>102.11</v>
      </c>
      <c r="H92" s="20">
        <f t="shared" ref="H92:H124" si="8">(6*D92+E92+F92)/8</f>
        <v>33.468874999999997</v>
      </c>
      <c r="I92" s="5"/>
      <c r="J92" s="19">
        <v>299.65050000000002</v>
      </c>
      <c r="K92" s="20">
        <v>34.445700000000002</v>
      </c>
      <c r="L92" s="20">
        <v>39.090699999999998</v>
      </c>
      <c r="M92" s="20">
        <v>39.5884</v>
      </c>
      <c r="N92" s="20">
        <v>135.1148</v>
      </c>
      <c r="O92" s="20">
        <f t="shared" ref="O92:O124" si="9">(6*K92+L92+M92)/8</f>
        <v>35.669162499999999</v>
      </c>
      <c r="P92" s="7"/>
      <c r="Q92" s="13"/>
      <c r="R92" s="14"/>
      <c r="S92" s="14"/>
      <c r="T92" s="27"/>
      <c r="U92" s="28">
        <f t="shared" ref="U92:U124" si="10">(N92-G92)/G92</f>
        <v>0.3232278914895701</v>
      </c>
    </row>
    <row r="93" spans="1:21" x14ac:dyDescent="0.25">
      <c r="B93" s="6" t="s">
        <v>106</v>
      </c>
      <c r="C93" s="29">
        <v>2056.19</v>
      </c>
      <c r="D93" s="30">
        <v>38.831000000000003</v>
      </c>
      <c r="E93" s="30">
        <v>43.152999999999999</v>
      </c>
      <c r="F93" s="30">
        <v>43.113999999999997</v>
      </c>
      <c r="G93" s="16">
        <v>65.52</v>
      </c>
      <c r="H93" s="16">
        <f t="shared" si="8"/>
        <v>39.906624999999998</v>
      </c>
      <c r="I93" s="5"/>
      <c r="J93" s="29">
        <v>1497.2303999999999</v>
      </c>
      <c r="K93" s="30">
        <v>39.035800000000002</v>
      </c>
      <c r="L93" s="30">
        <v>43.499299999999998</v>
      </c>
      <c r="M93" s="30">
        <v>43.509599999999999</v>
      </c>
      <c r="N93" s="16">
        <v>67.991200000000006</v>
      </c>
      <c r="O93" s="16">
        <f t="shared" si="9"/>
        <v>40.152962500000001</v>
      </c>
      <c r="P93" s="7"/>
      <c r="Q93" s="8">
        <f>bdrate(C93:C96,D93:D96,J93:J96,K93:K96)</f>
        <v>-0.40390328580244117</v>
      </c>
      <c r="R93" s="8">
        <f>bdrate(C93:C96,E93:E96,J93:J96,L93:L96)</f>
        <v>-0.37532659126118961</v>
      </c>
      <c r="S93" s="8">
        <f>bdrate(C93:C96,F93:F96,J93:J96,M93:M96)</f>
        <v>-0.40337419665174135</v>
      </c>
      <c r="T93" s="25">
        <f>bdrate(C93:C96,H93:H96,J93:J96,O93:O96)</f>
        <v>-0.40272412937855218</v>
      </c>
      <c r="U93" s="28">
        <f t="shared" si="10"/>
        <v>3.7716727716727877E-2</v>
      </c>
    </row>
    <row r="94" spans="1:21" x14ac:dyDescent="0.25">
      <c r="B94" s="9"/>
      <c r="C94" s="31">
        <v>1376.07</v>
      </c>
      <c r="D94" s="32">
        <v>36.603000000000002</v>
      </c>
      <c r="E94" s="32">
        <v>41.765999999999998</v>
      </c>
      <c r="F94" s="32">
        <v>41.66</v>
      </c>
      <c r="G94" s="18">
        <v>76.569999999999993</v>
      </c>
      <c r="H94" s="18">
        <f t="shared" si="8"/>
        <v>37.880499999999998</v>
      </c>
      <c r="I94" s="5"/>
      <c r="J94" s="31">
        <v>1000.9473</v>
      </c>
      <c r="K94" s="32">
        <v>37.204500000000003</v>
      </c>
      <c r="L94" s="32">
        <v>42.235900000000001</v>
      </c>
      <c r="M94" s="32">
        <v>42.220199999999998</v>
      </c>
      <c r="N94" s="18">
        <v>79.741299999999995</v>
      </c>
      <c r="O94" s="18">
        <f t="shared" si="9"/>
        <v>38.460387500000003</v>
      </c>
      <c r="P94" s="7"/>
      <c r="Q94" s="10"/>
      <c r="R94" s="11"/>
      <c r="S94" s="11"/>
      <c r="T94" s="26"/>
      <c r="U94" s="28">
        <f t="shared" si="10"/>
        <v>4.1417004048583027E-2</v>
      </c>
    </row>
    <row r="95" spans="1:21" x14ac:dyDescent="0.25">
      <c r="B95" s="9"/>
      <c r="C95" s="31">
        <v>840.41</v>
      </c>
      <c r="D95" s="32">
        <v>33.814999999999998</v>
      </c>
      <c r="E95" s="32">
        <v>40.253999999999998</v>
      </c>
      <c r="F95" s="32">
        <v>40.064</v>
      </c>
      <c r="G95" s="18">
        <v>83.85</v>
      </c>
      <c r="H95" s="18">
        <f t="shared" si="8"/>
        <v>35.400999999999996</v>
      </c>
      <c r="I95" s="5"/>
      <c r="J95" s="31">
        <v>600.63570000000004</v>
      </c>
      <c r="K95" s="32">
        <v>34.933399999999999</v>
      </c>
      <c r="L95" s="32">
        <v>40.6708</v>
      </c>
      <c r="M95" s="32">
        <v>40.707299999999996</v>
      </c>
      <c r="N95" s="18">
        <v>95.435000000000002</v>
      </c>
      <c r="O95" s="18">
        <f t="shared" si="9"/>
        <v>36.372312499999992</v>
      </c>
      <c r="P95" s="7"/>
      <c r="Q95" s="10"/>
      <c r="R95" s="11"/>
      <c r="S95" s="11"/>
      <c r="T95" s="26"/>
      <c r="U95" s="28">
        <f t="shared" si="10"/>
        <v>0.13816338700059641</v>
      </c>
    </row>
    <row r="96" spans="1:21" ht="16.5" thickBot="1" x14ac:dyDescent="0.3">
      <c r="B96" s="12"/>
      <c r="C96" s="33">
        <v>400.85</v>
      </c>
      <c r="D96" s="34">
        <v>29.248999999999999</v>
      </c>
      <c r="E96" s="34">
        <v>38.246000000000002</v>
      </c>
      <c r="F96" s="34">
        <v>38.079000000000001</v>
      </c>
      <c r="G96" s="20">
        <v>92.61</v>
      </c>
      <c r="H96" s="20">
        <f t="shared" si="8"/>
        <v>31.477375000000002</v>
      </c>
      <c r="I96" s="5"/>
      <c r="J96" s="33">
        <v>301.35430000000002</v>
      </c>
      <c r="K96" s="34">
        <v>31.894300000000001</v>
      </c>
      <c r="L96" s="34">
        <v>38.762900000000002</v>
      </c>
      <c r="M96" s="34">
        <v>38.667299999999997</v>
      </c>
      <c r="N96" s="20">
        <v>121.0817</v>
      </c>
      <c r="O96" s="20">
        <f t="shared" si="9"/>
        <v>33.599499999999999</v>
      </c>
      <c r="P96" s="7"/>
      <c r="Q96" s="13"/>
      <c r="R96" s="14"/>
      <c r="S96" s="14"/>
      <c r="T96" s="27"/>
      <c r="U96" s="28">
        <f t="shared" si="10"/>
        <v>0.30743656192635782</v>
      </c>
    </row>
    <row r="97" spans="2:21" x14ac:dyDescent="0.25">
      <c r="B97" s="6" t="s">
        <v>107</v>
      </c>
      <c r="C97" s="15">
        <v>2123.35</v>
      </c>
      <c r="D97" s="16">
        <v>37.134</v>
      </c>
      <c r="E97" s="16">
        <v>40.329000000000001</v>
      </c>
      <c r="F97" s="16">
        <v>40.883000000000003</v>
      </c>
      <c r="G97" s="16">
        <v>79.58</v>
      </c>
      <c r="H97" s="16">
        <f t="shared" si="8"/>
        <v>38.001999999999995</v>
      </c>
      <c r="I97" s="5"/>
      <c r="J97" s="15">
        <v>1501.104</v>
      </c>
      <c r="K97" s="16">
        <v>36.958599999999997</v>
      </c>
      <c r="L97" s="16">
        <v>41.437600000000003</v>
      </c>
      <c r="M97" s="16">
        <v>41.97</v>
      </c>
      <c r="N97" s="16">
        <v>68.112200000000001</v>
      </c>
      <c r="O97" s="16">
        <f t="shared" si="9"/>
        <v>38.144900000000007</v>
      </c>
      <c r="P97" s="7"/>
      <c r="Q97" s="8">
        <f>bdrate(C97:C100,D97:D100,J97:J100,K97:K100)</f>
        <v>-0.35065251965264754</v>
      </c>
      <c r="R97" s="8">
        <f>bdrate(C97:C100,E97:E100,J97:J100,L97:L100)</f>
        <v>-0.49715857337688751</v>
      </c>
      <c r="S97" s="8">
        <f>bdrate(C97:C100,F97:F100,J97:J100,M97:M100)</f>
        <v>-0.49606620948267577</v>
      </c>
      <c r="T97" s="25">
        <f>bdrate(C97:C100,H97:H100,J97:J100,O97:O100)</f>
        <v>-0.37748007023566865</v>
      </c>
      <c r="U97" s="28">
        <f t="shared" si="10"/>
        <v>-0.14410404624277454</v>
      </c>
    </row>
    <row r="98" spans="2:21" x14ac:dyDescent="0.25">
      <c r="B98" s="9"/>
      <c r="C98" s="17">
        <v>1417.56</v>
      </c>
      <c r="D98" s="18">
        <v>34.938000000000002</v>
      </c>
      <c r="E98" s="18">
        <v>38.911000000000001</v>
      </c>
      <c r="F98" s="18">
        <v>39.54</v>
      </c>
      <c r="G98" s="18">
        <v>79.959999999999994</v>
      </c>
      <c r="H98" s="18">
        <f t="shared" si="8"/>
        <v>36.009875000000001</v>
      </c>
      <c r="I98" s="5"/>
      <c r="J98" s="17">
        <v>1003.5619</v>
      </c>
      <c r="K98" s="18">
        <v>35.055599999999998</v>
      </c>
      <c r="L98" s="18">
        <v>40.040300000000002</v>
      </c>
      <c r="M98" s="18">
        <v>40.634999999999998</v>
      </c>
      <c r="N98" s="18">
        <v>79.086100000000002</v>
      </c>
      <c r="O98" s="18">
        <f t="shared" si="9"/>
        <v>36.376112499999998</v>
      </c>
      <c r="P98" s="7"/>
      <c r="Q98" s="10"/>
      <c r="R98" s="11"/>
      <c r="S98" s="11"/>
      <c r="T98" s="26"/>
      <c r="U98" s="28">
        <f t="shared" si="10"/>
        <v>-1.0929214607303551E-2</v>
      </c>
    </row>
    <row r="99" spans="2:21" x14ac:dyDescent="0.25">
      <c r="B99" s="9"/>
      <c r="C99" s="17">
        <v>861.2</v>
      </c>
      <c r="D99" s="18">
        <v>32.28</v>
      </c>
      <c r="E99" s="18">
        <v>37.375</v>
      </c>
      <c r="F99" s="18">
        <v>38.076000000000001</v>
      </c>
      <c r="G99" s="18">
        <v>91.94</v>
      </c>
      <c r="H99" s="18">
        <f t="shared" si="8"/>
        <v>33.641375000000004</v>
      </c>
      <c r="I99" s="5"/>
      <c r="J99" s="17">
        <v>602.41719999999998</v>
      </c>
      <c r="K99" s="18">
        <v>32.7455</v>
      </c>
      <c r="L99" s="18">
        <v>38.423299999999998</v>
      </c>
      <c r="M99" s="18">
        <v>39.064999999999998</v>
      </c>
      <c r="N99" s="18">
        <v>94.039000000000001</v>
      </c>
      <c r="O99" s="18">
        <f t="shared" si="9"/>
        <v>34.245162499999999</v>
      </c>
      <c r="P99" s="7"/>
      <c r="Q99" s="10"/>
      <c r="R99" s="11"/>
      <c r="S99" s="11"/>
      <c r="T99" s="26"/>
      <c r="U99" s="28">
        <f t="shared" si="10"/>
        <v>2.2830106591255207E-2</v>
      </c>
    </row>
    <row r="100" spans="2:21" ht="16.5" thickBot="1" x14ac:dyDescent="0.3">
      <c r="B100" s="12"/>
      <c r="C100" s="19">
        <v>404.05</v>
      </c>
      <c r="D100" s="20">
        <v>27.861999999999998</v>
      </c>
      <c r="E100" s="20">
        <v>35.396000000000001</v>
      </c>
      <c r="F100" s="20">
        <v>36.164999999999999</v>
      </c>
      <c r="G100" s="20">
        <v>102.56</v>
      </c>
      <c r="H100" s="20">
        <f t="shared" si="8"/>
        <v>29.841624999999997</v>
      </c>
      <c r="I100" s="5"/>
      <c r="J100" s="19">
        <v>298.27120000000002</v>
      </c>
      <c r="K100" s="20">
        <v>29.479099999999999</v>
      </c>
      <c r="L100" s="20">
        <v>36.251100000000001</v>
      </c>
      <c r="M100" s="20">
        <v>36.978400000000001</v>
      </c>
      <c r="N100" s="20">
        <v>120.06399999999999</v>
      </c>
      <c r="O100" s="20">
        <f t="shared" si="9"/>
        <v>31.263012499999999</v>
      </c>
      <c r="P100" s="7"/>
      <c r="Q100" s="13"/>
      <c r="R100" s="14"/>
      <c r="S100" s="14"/>
      <c r="T100" s="27"/>
      <c r="U100" s="28">
        <f t="shared" si="10"/>
        <v>0.17067082683307322</v>
      </c>
    </row>
    <row r="101" spans="2:21" x14ac:dyDescent="0.25">
      <c r="B101" s="6" t="s">
        <v>108</v>
      </c>
      <c r="C101" s="15">
        <v>2124.35</v>
      </c>
      <c r="D101" s="16">
        <v>37.604999999999997</v>
      </c>
      <c r="E101" s="16">
        <v>42.658000000000001</v>
      </c>
      <c r="F101" s="16">
        <v>44.220999999999997</v>
      </c>
      <c r="G101" s="16">
        <v>65.900000000000006</v>
      </c>
      <c r="H101" s="16">
        <f t="shared" si="8"/>
        <v>39.063625000000002</v>
      </c>
      <c r="I101" s="5"/>
      <c r="J101" s="15">
        <v>1506.6112000000001</v>
      </c>
      <c r="K101" s="16">
        <v>37.189100000000003</v>
      </c>
      <c r="L101" s="16">
        <v>43.0501</v>
      </c>
      <c r="M101" s="16">
        <v>44.443899999999999</v>
      </c>
      <c r="N101" s="16">
        <v>61.212000000000003</v>
      </c>
      <c r="O101" s="16">
        <f t="shared" si="9"/>
        <v>38.828575000000001</v>
      </c>
      <c r="P101" s="7"/>
      <c r="Q101" s="8">
        <f>bdrate(C101:C104,D101:D104,J101:J104,K101:K104)</f>
        <v>-0.35882688622199921</v>
      </c>
      <c r="R101" s="8">
        <f>bdrate(C101:C104,E101:E104,J101:J104,L101:L104)</f>
        <v>-0.48515848743319157</v>
      </c>
      <c r="S101" s="8">
        <f>bdrate(C101:C104,F101:F104,J101:J104,M101:M104)</f>
        <v>-0.41595827299233368</v>
      </c>
      <c r="T101" s="25">
        <f>bdrate(C101:C104,H101:H104,J101:J104,O101:O104)</f>
        <v>-0.37544818932923607</v>
      </c>
      <c r="U101" s="28">
        <f t="shared" si="10"/>
        <v>-7.1138088012139639E-2</v>
      </c>
    </row>
    <row r="102" spans="2:21" x14ac:dyDescent="0.25">
      <c r="B102" s="9"/>
      <c r="C102" s="17">
        <v>1418.35</v>
      </c>
      <c r="D102" s="18">
        <v>35.755000000000003</v>
      </c>
      <c r="E102" s="18">
        <v>41.412999999999997</v>
      </c>
      <c r="F102" s="18">
        <v>42.991</v>
      </c>
      <c r="G102" s="18">
        <v>72.16</v>
      </c>
      <c r="H102" s="18">
        <f t="shared" si="8"/>
        <v>37.366750000000003</v>
      </c>
      <c r="I102" s="5"/>
      <c r="J102" s="17">
        <v>1006.7127</v>
      </c>
      <c r="K102" s="18">
        <v>35.811</v>
      </c>
      <c r="L102" s="18">
        <v>42.086300000000001</v>
      </c>
      <c r="M102" s="18">
        <v>43.381100000000004</v>
      </c>
      <c r="N102" s="18">
        <v>75.811800000000005</v>
      </c>
      <c r="O102" s="18">
        <f t="shared" si="9"/>
        <v>37.541674999999998</v>
      </c>
      <c r="P102" s="7"/>
      <c r="Q102" s="10"/>
      <c r="R102" s="11"/>
      <c r="S102" s="11"/>
      <c r="T102" s="26"/>
      <c r="U102" s="28">
        <f t="shared" si="10"/>
        <v>5.0606984478935822E-2</v>
      </c>
    </row>
    <row r="103" spans="2:21" x14ac:dyDescent="0.25">
      <c r="B103" s="9"/>
      <c r="C103" s="17">
        <v>863.17</v>
      </c>
      <c r="D103" s="18">
        <v>33.643999999999998</v>
      </c>
      <c r="E103" s="18">
        <v>40.064999999999998</v>
      </c>
      <c r="F103" s="18">
        <v>41.445999999999998</v>
      </c>
      <c r="G103" s="18">
        <v>80.010000000000005</v>
      </c>
      <c r="H103" s="18">
        <f t="shared" si="8"/>
        <v>35.421875</v>
      </c>
      <c r="I103" s="5"/>
      <c r="J103" s="17">
        <v>604.09490000000005</v>
      </c>
      <c r="K103" s="18">
        <v>34.142299999999999</v>
      </c>
      <c r="L103" s="18">
        <v>40.920099999999998</v>
      </c>
      <c r="M103" s="18">
        <v>42.028100000000002</v>
      </c>
      <c r="N103" s="18">
        <v>91.3566</v>
      </c>
      <c r="O103" s="18">
        <f t="shared" si="9"/>
        <v>35.975249999999996</v>
      </c>
      <c r="P103" s="7"/>
      <c r="Q103" s="10"/>
      <c r="R103" s="11"/>
      <c r="S103" s="11"/>
      <c r="T103" s="26"/>
      <c r="U103" s="28">
        <f t="shared" si="10"/>
        <v>0.14181477315335575</v>
      </c>
    </row>
    <row r="104" spans="2:21" ht="16.5" thickBot="1" x14ac:dyDescent="0.3">
      <c r="B104" s="12"/>
      <c r="C104" s="19">
        <v>408.16</v>
      </c>
      <c r="D104" s="20">
        <v>30.850999999999999</v>
      </c>
      <c r="E104" s="20">
        <v>38.353000000000002</v>
      </c>
      <c r="F104" s="20">
        <v>39.396999999999998</v>
      </c>
      <c r="G104" s="20">
        <v>92.09</v>
      </c>
      <c r="H104" s="20">
        <f t="shared" si="8"/>
        <v>32.856999999999999</v>
      </c>
      <c r="I104" s="5"/>
      <c r="J104" s="19">
        <v>302.91370000000001</v>
      </c>
      <c r="K104" s="20">
        <v>32.097000000000001</v>
      </c>
      <c r="L104" s="20">
        <v>39.484099999999998</v>
      </c>
      <c r="M104" s="20">
        <v>40.381900000000002</v>
      </c>
      <c r="N104" s="20">
        <v>116.78449999999999</v>
      </c>
      <c r="O104" s="20">
        <f t="shared" si="9"/>
        <v>34.055999999999997</v>
      </c>
      <c r="P104" s="7"/>
      <c r="Q104" s="13"/>
      <c r="R104" s="14"/>
      <c r="S104" s="14"/>
      <c r="T104" s="27"/>
      <c r="U104" s="28">
        <f t="shared" si="10"/>
        <v>0.26815615159083495</v>
      </c>
    </row>
    <row r="105" spans="2:21" x14ac:dyDescent="0.25">
      <c r="B105" s="6" t="s">
        <v>109</v>
      </c>
      <c r="C105" s="15">
        <v>2211.14</v>
      </c>
      <c r="D105" s="16">
        <v>46.975999999999999</v>
      </c>
      <c r="E105" s="16">
        <v>51.308</v>
      </c>
      <c r="F105" s="16">
        <v>52.465000000000003</v>
      </c>
      <c r="G105" s="16">
        <v>79.86</v>
      </c>
      <c r="H105" s="16">
        <f t="shared" si="8"/>
        <v>48.203625000000002</v>
      </c>
      <c r="I105" s="5"/>
      <c r="J105" s="15">
        <v>1500.4631999999999</v>
      </c>
      <c r="K105" s="16">
        <v>47.454500000000003</v>
      </c>
      <c r="L105" s="16">
        <v>52.731000000000002</v>
      </c>
      <c r="M105" s="16">
        <v>54.069299999999998</v>
      </c>
      <c r="N105" s="16">
        <v>77.603300000000004</v>
      </c>
      <c r="O105" s="16">
        <f t="shared" si="9"/>
        <v>48.940912500000003</v>
      </c>
      <c r="P105" s="7"/>
      <c r="Q105" s="8">
        <f>bdrate(C105:C108,D105:D108,J105:J108,K105:K108)</f>
        <v>-0.45982366106230588</v>
      </c>
      <c r="R105" s="8">
        <f>bdrate(C105:C108,E105:E108,J105:J108,L105:L108)</f>
        <v>-0.59178225980578369</v>
      </c>
      <c r="S105" s="8">
        <f>bdrate(C105:C108,F105:F108,J105:J108,M105:M108)</f>
        <v>-0.59806332624903313</v>
      </c>
      <c r="T105" s="25">
        <f>bdrate(C105:C108,H105:H108,J105:J108,O105:O108)</f>
        <v>-0.49721239937177975</v>
      </c>
      <c r="U105" s="28">
        <f t="shared" si="10"/>
        <v>-2.8258201853243115E-2</v>
      </c>
    </row>
    <row r="106" spans="2:21" x14ac:dyDescent="0.25">
      <c r="B106" s="9"/>
      <c r="C106" s="17">
        <v>1469.93</v>
      </c>
      <c r="D106" s="18">
        <v>44.402999999999999</v>
      </c>
      <c r="E106" s="18">
        <v>48.865000000000002</v>
      </c>
      <c r="F106" s="18">
        <v>50.176000000000002</v>
      </c>
      <c r="G106" s="18">
        <v>90.17</v>
      </c>
      <c r="H106" s="18">
        <f t="shared" si="8"/>
        <v>45.682375</v>
      </c>
      <c r="I106" s="5"/>
      <c r="J106" s="17">
        <v>1001.8679</v>
      </c>
      <c r="K106" s="18">
        <v>45.643900000000002</v>
      </c>
      <c r="L106" s="18">
        <v>51.103000000000002</v>
      </c>
      <c r="M106" s="18">
        <v>52.455100000000002</v>
      </c>
      <c r="N106" s="18">
        <v>95.6203</v>
      </c>
      <c r="O106" s="18">
        <f t="shared" si="9"/>
        <v>47.177687500000005</v>
      </c>
      <c r="P106" s="7"/>
      <c r="Q106" s="10"/>
      <c r="R106" s="11"/>
      <c r="S106" s="11"/>
      <c r="T106" s="26"/>
      <c r="U106" s="28">
        <f t="shared" si="10"/>
        <v>6.044471553731838E-2</v>
      </c>
    </row>
    <row r="107" spans="2:21" x14ac:dyDescent="0.25">
      <c r="B107" s="9"/>
      <c r="C107" s="17">
        <v>891.28</v>
      </c>
      <c r="D107" s="18">
        <v>42.151000000000003</v>
      </c>
      <c r="E107" s="18">
        <v>46.682000000000002</v>
      </c>
      <c r="F107" s="18">
        <v>48.048999999999999</v>
      </c>
      <c r="G107" s="18">
        <v>104.56</v>
      </c>
      <c r="H107" s="18">
        <f t="shared" si="8"/>
        <v>43.454625</v>
      </c>
      <c r="I107" s="5"/>
      <c r="J107" s="17">
        <v>601.41189999999995</v>
      </c>
      <c r="K107" s="18">
        <v>43.317500000000003</v>
      </c>
      <c r="L107" s="18">
        <v>48.994100000000003</v>
      </c>
      <c r="M107" s="18">
        <v>50.347200000000001</v>
      </c>
      <c r="N107" s="18">
        <v>116.252</v>
      </c>
      <c r="O107" s="18">
        <f t="shared" si="9"/>
        <v>44.905787500000002</v>
      </c>
      <c r="P107" s="7"/>
      <c r="Q107" s="10"/>
      <c r="R107" s="11"/>
      <c r="S107" s="11"/>
      <c r="T107" s="26"/>
      <c r="U107" s="28">
        <f t="shared" si="10"/>
        <v>0.1118209640397857</v>
      </c>
    </row>
    <row r="108" spans="2:21" ht="16.5" thickBot="1" x14ac:dyDescent="0.3">
      <c r="B108" s="12"/>
      <c r="C108" s="19">
        <v>426.32</v>
      </c>
      <c r="D108" s="20">
        <v>39.700000000000003</v>
      </c>
      <c r="E108" s="20">
        <v>43.896000000000001</v>
      </c>
      <c r="F108" s="20">
        <v>45.305999999999997</v>
      </c>
      <c r="G108" s="20">
        <v>115.44</v>
      </c>
      <c r="H108" s="20">
        <f t="shared" si="8"/>
        <v>40.925249999999998</v>
      </c>
      <c r="I108" s="5"/>
      <c r="J108" s="19">
        <v>301.69240000000002</v>
      </c>
      <c r="K108" s="20">
        <v>40.197000000000003</v>
      </c>
      <c r="L108" s="20">
        <v>46.045000000000002</v>
      </c>
      <c r="M108" s="20">
        <v>47.433</v>
      </c>
      <c r="N108" s="20">
        <v>145.7861</v>
      </c>
      <c r="O108" s="20">
        <f t="shared" si="9"/>
        <v>41.832500000000003</v>
      </c>
      <c r="P108" s="7"/>
      <c r="Q108" s="13"/>
      <c r="R108" s="14"/>
      <c r="S108" s="14"/>
      <c r="T108" s="27"/>
      <c r="U108" s="28">
        <f t="shared" si="10"/>
        <v>0.26287335412335416</v>
      </c>
    </row>
    <row r="109" spans="2:21" x14ac:dyDescent="0.25">
      <c r="B109" s="6" t="s">
        <v>110</v>
      </c>
      <c r="C109" s="15">
        <v>2050.1999999999998</v>
      </c>
      <c r="D109" s="16">
        <v>31.462</v>
      </c>
      <c r="E109" s="16">
        <v>39.835000000000001</v>
      </c>
      <c r="F109" s="16">
        <v>39.173000000000002</v>
      </c>
      <c r="G109" s="16">
        <v>60.76</v>
      </c>
      <c r="H109" s="16">
        <f t="shared" si="8"/>
        <v>33.472499999999997</v>
      </c>
      <c r="I109" s="5"/>
      <c r="J109" s="15">
        <v>1496.6615999999999</v>
      </c>
      <c r="K109" s="16">
        <v>32.0002</v>
      </c>
      <c r="L109" s="16">
        <v>40.169199999999996</v>
      </c>
      <c r="M109" s="16">
        <v>39.538499999999999</v>
      </c>
      <c r="N109" s="16">
        <v>48.398800000000001</v>
      </c>
      <c r="O109" s="16">
        <f t="shared" si="9"/>
        <v>33.963612499999996</v>
      </c>
      <c r="P109" s="7"/>
      <c r="Q109" s="8">
        <f>bdrate(C109:C112,D109:D112,J109:J112,K109:K112)</f>
        <v>-0.45000857310481979</v>
      </c>
      <c r="R109" s="8">
        <f>bdrate(C109:C112,E109:E112,J109:J112,L109:L112)</f>
        <v>-0.37282319137021025</v>
      </c>
      <c r="S109" s="8">
        <f>bdrate(C109:C112,F109:F112,J109:J112,M109:M112)</f>
        <v>-0.35547051973536536</v>
      </c>
      <c r="T109" s="25">
        <f>bdrate(C109:C112,H109:H112,J109:J112,O109:O112)</f>
        <v>-0.43925329161705307</v>
      </c>
      <c r="U109" s="28">
        <f t="shared" si="10"/>
        <v>-0.20344305464121126</v>
      </c>
    </row>
    <row r="110" spans="2:21" x14ac:dyDescent="0.25">
      <c r="B110" s="9"/>
      <c r="C110" s="17">
        <v>1365.42</v>
      </c>
      <c r="D110" s="18">
        <v>29.295999999999999</v>
      </c>
      <c r="E110" s="18">
        <v>38.802999999999997</v>
      </c>
      <c r="F110" s="18">
        <v>38.179000000000002</v>
      </c>
      <c r="G110" s="18">
        <v>66.58</v>
      </c>
      <c r="H110" s="18">
        <f t="shared" si="8"/>
        <v>31.594750000000001</v>
      </c>
      <c r="I110" s="5"/>
      <c r="J110" s="17">
        <v>996.12189999999998</v>
      </c>
      <c r="K110" s="18">
        <v>30.224599999999999</v>
      </c>
      <c r="L110" s="18">
        <v>39.198900000000002</v>
      </c>
      <c r="M110" s="18">
        <v>38.531999999999996</v>
      </c>
      <c r="N110" s="18">
        <v>58.929400000000001</v>
      </c>
      <c r="O110" s="18">
        <f t="shared" si="9"/>
        <v>32.384812500000002</v>
      </c>
      <c r="P110" s="7"/>
      <c r="Q110" s="10"/>
      <c r="R110" s="11"/>
      <c r="S110" s="11"/>
      <c r="T110" s="26"/>
      <c r="U110" s="28">
        <f t="shared" si="10"/>
        <v>-0.11490838089516367</v>
      </c>
    </row>
    <row r="111" spans="2:21" x14ac:dyDescent="0.25">
      <c r="B111" s="9"/>
      <c r="C111" s="17">
        <v>830.07</v>
      </c>
      <c r="D111" s="18">
        <v>26.457999999999998</v>
      </c>
      <c r="E111" s="18">
        <v>37.642000000000003</v>
      </c>
      <c r="F111" s="18">
        <v>37.021000000000001</v>
      </c>
      <c r="G111" s="18">
        <v>73.489999999999995</v>
      </c>
      <c r="H111" s="18">
        <f t="shared" si="8"/>
        <v>29.176375</v>
      </c>
      <c r="I111" s="5"/>
      <c r="J111" s="17">
        <v>597.71310000000005</v>
      </c>
      <c r="K111" s="18">
        <v>28.037800000000001</v>
      </c>
      <c r="L111" s="18">
        <v>37.933900000000001</v>
      </c>
      <c r="M111" s="18">
        <v>37.192500000000003</v>
      </c>
      <c r="N111" s="18">
        <v>74.633099999999999</v>
      </c>
      <c r="O111" s="18">
        <f t="shared" si="9"/>
        <v>30.419149999999998</v>
      </c>
      <c r="P111" s="7"/>
      <c r="Q111" s="10"/>
      <c r="R111" s="11"/>
      <c r="S111" s="11"/>
      <c r="T111" s="26"/>
      <c r="U111" s="28">
        <f t="shared" si="10"/>
        <v>1.5554497210504887E-2</v>
      </c>
    </row>
    <row r="112" spans="2:21" ht="16.5" thickBot="1" x14ac:dyDescent="0.3">
      <c r="B112" s="12"/>
      <c r="C112" s="19">
        <v>385.24</v>
      </c>
      <c r="D112" s="20">
        <v>21.971</v>
      </c>
      <c r="E112" s="20">
        <v>33.65</v>
      </c>
      <c r="F112" s="20">
        <v>33.103999999999999</v>
      </c>
      <c r="G112" s="20">
        <v>84.16</v>
      </c>
      <c r="H112" s="20">
        <f t="shared" si="8"/>
        <v>24.822499999999998</v>
      </c>
      <c r="I112" s="5"/>
      <c r="J112" s="19">
        <v>299.06670000000003</v>
      </c>
      <c r="K112" s="20">
        <v>25.2727</v>
      </c>
      <c r="L112" s="20">
        <v>35.665799999999997</v>
      </c>
      <c r="M112" s="20">
        <v>35.048099999999998</v>
      </c>
      <c r="N112" s="20">
        <v>102.29600000000001</v>
      </c>
      <c r="O112" s="20">
        <f t="shared" si="9"/>
        <v>27.7937625</v>
      </c>
      <c r="P112" s="7"/>
      <c r="Q112" s="13"/>
      <c r="R112" s="14"/>
      <c r="S112" s="14"/>
      <c r="T112" s="27"/>
      <c r="U112" s="28">
        <f t="shared" si="10"/>
        <v>0.21549429657794689</v>
      </c>
    </row>
    <row r="113" spans="2:21" x14ac:dyDescent="0.25">
      <c r="B113" s="6" t="s">
        <v>111</v>
      </c>
      <c r="C113" s="15">
        <v>2347.94</v>
      </c>
      <c r="D113" s="16">
        <v>46.12</v>
      </c>
      <c r="E113" s="16">
        <v>46.585999999999999</v>
      </c>
      <c r="F113" s="16">
        <v>46.307000000000002</v>
      </c>
      <c r="G113" s="16">
        <v>81.599999999999994</v>
      </c>
      <c r="H113" s="16">
        <f t="shared" si="8"/>
        <v>46.201625</v>
      </c>
      <c r="I113" s="5"/>
      <c r="J113" s="15">
        <v>1426.7881</v>
      </c>
      <c r="K113" s="16">
        <v>45.045099999999998</v>
      </c>
      <c r="L113" s="16">
        <v>46.120600000000003</v>
      </c>
      <c r="M113" s="16">
        <v>46.0259</v>
      </c>
      <c r="N113" s="16">
        <v>69.970799999999997</v>
      </c>
      <c r="O113" s="16">
        <f t="shared" si="9"/>
        <v>45.302137500000001</v>
      </c>
      <c r="P113" s="7"/>
      <c r="Q113" s="8">
        <f>bdrate(C113:C116,D113:D116,J113:J116,K113:K116)</f>
        <v>-0.3355121652337637</v>
      </c>
      <c r="R113" s="8">
        <f>bdrate(C113:C116,E113:E116,J113:J116,L113:L116)</f>
        <v>-0.3719975611484424</v>
      </c>
      <c r="S113" s="8">
        <f>bdrate(C113:C116,F113:F116,J113:J116,M113:M116)</f>
        <v>-0.3972329795585926</v>
      </c>
      <c r="T113" s="25">
        <f>bdrate(C113:C116,H113:H116,J113:J116,O113:O116)</f>
        <v>-0.34610803942902491</v>
      </c>
      <c r="U113" s="28">
        <f t="shared" si="10"/>
        <v>-0.1425147058823529</v>
      </c>
    </row>
    <row r="114" spans="2:21" x14ac:dyDescent="0.25">
      <c r="B114" s="9"/>
      <c r="C114" s="17">
        <v>1559.99</v>
      </c>
      <c r="D114" s="18">
        <v>43.838999999999999</v>
      </c>
      <c r="E114" s="18">
        <v>44.581000000000003</v>
      </c>
      <c r="F114" s="18">
        <v>44.262999999999998</v>
      </c>
      <c r="G114" s="18">
        <v>90.57</v>
      </c>
      <c r="H114" s="18">
        <f t="shared" si="8"/>
        <v>43.984749999999998</v>
      </c>
      <c r="I114" s="5"/>
      <c r="J114" s="17">
        <v>965.39189999999996</v>
      </c>
      <c r="K114" s="18">
        <v>43.239400000000003</v>
      </c>
      <c r="L114" s="18">
        <v>44.613199999999999</v>
      </c>
      <c r="M114" s="18">
        <v>44.491100000000003</v>
      </c>
      <c r="N114" s="18">
        <v>89.374399999999994</v>
      </c>
      <c r="O114" s="18">
        <f t="shared" si="9"/>
        <v>43.567587500000009</v>
      </c>
      <c r="P114" s="7"/>
      <c r="Q114" s="10"/>
      <c r="R114" s="11"/>
      <c r="S114" s="11"/>
      <c r="T114" s="26"/>
      <c r="U114" s="28">
        <f t="shared" si="10"/>
        <v>-1.320083912995472E-2</v>
      </c>
    </row>
    <row r="115" spans="2:21" x14ac:dyDescent="0.25">
      <c r="B115" s="9"/>
      <c r="C115" s="17">
        <v>943.8</v>
      </c>
      <c r="D115" s="18">
        <v>40.732999999999997</v>
      </c>
      <c r="E115" s="18">
        <v>42.113999999999997</v>
      </c>
      <c r="F115" s="18">
        <v>41.726999999999997</v>
      </c>
      <c r="G115" s="18">
        <v>97.7</v>
      </c>
      <c r="H115" s="18">
        <f t="shared" si="8"/>
        <v>41.02987499999999</v>
      </c>
      <c r="I115" s="5"/>
      <c r="J115" s="17">
        <v>588.9828</v>
      </c>
      <c r="K115" s="18">
        <v>40.255200000000002</v>
      </c>
      <c r="L115" s="18">
        <v>42.058300000000003</v>
      </c>
      <c r="M115" s="18">
        <v>41.893999999999998</v>
      </c>
      <c r="N115" s="18">
        <v>110.5244</v>
      </c>
      <c r="O115" s="18">
        <f t="shared" si="9"/>
        <v>40.685437500000006</v>
      </c>
      <c r="P115" s="7"/>
      <c r="Q115" s="10"/>
      <c r="R115" s="11"/>
      <c r="S115" s="11"/>
      <c r="T115" s="26"/>
      <c r="U115" s="28">
        <f t="shared" si="10"/>
        <v>0.13126305015353118</v>
      </c>
    </row>
    <row r="116" spans="2:21" ht="16.5" thickBot="1" x14ac:dyDescent="0.3">
      <c r="B116" s="12"/>
      <c r="C116" s="19">
        <v>436.89</v>
      </c>
      <c r="D116" s="20">
        <v>34.939</v>
      </c>
      <c r="E116" s="20">
        <v>38.234000000000002</v>
      </c>
      <c r="F116" s="20">
        <v>37.840000000000003</v>
      </c>
      <c r="G116" s="20">
        <v>106.84</v>
      </c>
      <c r="H116" s="20">
        <f t="shared" si="8"/>
        <v>35.713500000000003</v>
      </c>
      <c r="I116" s="5"/>
      <c r="J116" s="19">
        <v>295.0856</v>
      </c>
      <c r="K116" s="20">
        <v>35.911499999999997</v>
      </c>
      <c r="L116" s="20">
        <v>38.628700000000002</v>
      </c>
      <c r="M116" s="20">
        <v>38.411299999999997</v>
      </c>
      <c r="N116" s="20">
        <v>136.7054</v>
      </c>
      <c r="O116" s="20">
        <f t="shared" si="9"/>
        <v>36.563625000000002</v>
      </c>
      <c r="P116" s="7"/>
      <c r="Q116" s="13"/>
      <c r="R116" s="14"/>
      <c r="S116" s="14"/>
      <c r="T116" s="27"/>
      <c r="U116" s="28">
        <f t="shared" si="10"/>
        <v>0.27953388244103328</v>
      </c>
    </row>
    <row r="117" spans="2:21" x14ac:dyDescent="0.25">
      <c r="B117" s="6" t="s">
        <v>112</v>
      </c>
      <c r="C117" s="15">
        <v>2789.08</v>
      </c>
      <c r="D117" s="16">
        <v>47.192999999999998</v>
      </c>
      <c r="E117" s="16">
        <v>48.585999999999999</v>
      </c>
      <c r="F117" s="16">
        <v>48.808999999999997</v>
      </c>
      <c r="G117" s="16">
        <v>86.89</v>
      </c>
      <c r="H117" s="16">
        <f t="shared" si="8"/>
        <v>47.569125</v>
      </c>
      <c r="I117" s="5"/>
      <c r="J117" s="15">
        <v>1396.9183</v>
      </c>
      <c r="K117" s="16">
        <v>45.549199999999999</v>
      </c>
      <c r="L117" s="16">
        <v>47.799199999999999</v>
      </c>
      <c r="M117" s="16">
        <v>48.039299999999997</v>
      </c>
      <c r="N117" s="16">
        <v>65.671899999999994</v>
      </c>
      <c r="O117" s="16">
        <f t="shared" si="9"/>
        <v>46.141712499999997</v>
      </c>
      <c r="P117" s="7"/>
      <c r="Q117" s="8">
        <f>bdrate(C117:C120,D117:D120,J117:J120,K117:K120)</f>
        <v>-0.39911389591336077</v>
      </c>
      <c r="R117" s="8">
        <f>bdrate(C117:C120,E117:E120,J117:J120,L117:L120)</f>
        <v>-0.45007358649652929</v>
      </c>
      <c r="S117" s="8">
        <f>bdrate(C117:C120,F117:F120,J117:J120,M117:M120)</f>
        <v>-0.4549880120304437</v>
      </c>
      <c r="T117" s="25">
        <f>bdrate(C117:C120,H117:H120,J117:J120,O117:O120)</f>
        <v>-0.4111124294525641</v>
      </c>
      <c r="U117" s="28">
        <f t="shared" si="10"/>
        <v>-0.24419495914374503</v>
      </c>
    </row>
    <row r="118" spans="2:21" x14ac:dyDescent="0.25">
      <c r="B118" s="9"/>
      <c r="C118" s="17">
        <v>1842.82</v>
      </c>
      <c r="D118" s="18">
        <v>44.503</v>
      </c>
      <c r="E118" s="18">
        <v>46.255000000000003</v>
      </c>
      <c r="F118" s="18">
        <v>46.481999999999999</v>
      </c>
      <c r="G118" s="18">
        <v>97.29</v>
      </c>
      <c r="H118" s="18">
        <f t="shared" si="8"/>
        <v>44.969374999999999</v>
      </c>
      <c r="I118" s="5"/>
      <c r="J118" s="17">
        <v>972.96010000000001</v>
      </c>
      <c r="K118" s="18">
        <v>43.9392</v>
      </c>
      <c r="L118" s="18">
        <v>46.417000000000002</v>
      </c>
      <c r="M118" s="18">
        <v>46.653500000000001</v>
      </c>
      <c r="N118" s="18">
        <v>74.251300000000001</v>
      </c>
      <c r="O118" s="18">
        <f t="shared" si="9"/>
        <v>44.588212499999997</v>
      </c>
      <c r="P118" s="7"/>
      <c r="Q118" s="10"/>
      <c r="R118" s="11"/>
      <c r="S118" s="11"/>
      <c r="T118" s="26"/>
      <c r="U118" s="28">
        <f t="shared" si="10"/>
        <v>-0.23680439921883034</v>
      </c>
    </row>
    <row r="119" spans="2:21" x14ac:dyDescent="0.25">
      <c r="B119" s="9"/>
      <c r="C119" s="17">
        <v>1105.9000000000001</v>
      </c>
      <c r="D119" s="18">
        <v>41.652999999999999</v>
      </c>
      <c r="E119" s="18">
        <v>43.911000000000001</v>
      </c>
      <c r="F119" s="18">
        <v>44.125999999999998</v>
      </c>
      <c r="G119" s="18">
        <v>108.04</v>
      </c>
      <c r="H119" s="18">
        <f t="shared" si="8"/>
        <v>42.244374999999998</v>
      </c>
      <c r="I119" s="5"/>
      <c r="J119" s="17">
        <v>630.25549999999998</v>
      </c>
      <c r="K119" s="18">
        <v>41.457999999999998</v>
      </c>
      <c r="L119" s="18">
        <v>44.203699999999998</v>
      </c>
      <c r="M119" s="18">
        <v>44.496099999999998</v>
      </c>
      <c r="N119" s="18">
        <v>86.563400000000001</v>
      </c>
      <c r="O119" s="18">
        <f t="shared" si="9"/>
        <v>42.180974999999997</v>
      </c>
      <c r="P119" s="7"/>
      <c r="Q119" s="10"/>
      <c r="R119" s="11"/>
      <c r="S119" s="11"/>
      <c r="T119" s="26"/>
      <c r="U119" s="28">
        <f t="shared" si="10"/>
        <v>-0.19878378378378381</v>
      </c>
    </row>
    <row r="120" spans="2:21" ht="16.5" thickBot="1" x14ac:dyDescent="0.3">
      <c r="B120" s="12"/>
      <c r="C120" s="19">
        <v>518.85</v>
      </c>
      <c r="D120" s="20">
        <v>37.094999999999999</v>
      </c>
      <c r="E120" s="20">
        <v>40.326999999999998</v>
      </c>
      <c r="F120" s="20">
        <v>40.573</v>
      </c>
      <c r="G120" s="20">
        <v>121.58</v>
      </c>
      <c r="H120" s="20">
        <f t="shared" si="8"/>
        <v>37.933749999999996</v>
      </c>
      <c r="I120" s="5"/>
      <c r="J120" s="19">
        <v>343.34030000000001</v>
      </c>
      <c r="K120" s="20">
        <v>37.286000000000001</v>
      </c>
      <c r="L120" s="20">
        <v>40.5351</v>
      </c>
      <c r="M120" s="20">
        <v>40.788600000000002</v>
      </c>
      <c r="N120" s="20">
        <v>134.9528</v>
      </c>
      <c r="O120" s="20">
        <f t="shared" si="9"/>
        <v>38.129962500000005</v>
      </c>
      <c r="P120" s="7"/>
      <c r="Q120" s="13"/>
      <c r="R120" s="14"/>
      <c r="S120" s="14"/>
      <c r="T120" s="27"/>
      <c r="U120" s="28">
        <f t="shared" si="10"/>
        <v>0.10999177496298732</v>
      </c>
    </row>
    <row r="121" spans="2:21" x14ac:dyDescent="0.25">
      <c r="B121" s="6" t="s">
        <v>113</v>
      </c>
      <c r="C121" s="29">
        <v>2133.66</v>
      </c>
      <c r="D121" s="30">
        <v>32.844999999999999</v>
      </c>
      <c r="E121" s="30">
        <v>36.453000000000003</v>
      </c>
      <c r="F121" s="30">
        <v>35.447000000000003</v>
      </c>
      <c r="G121" s="16">
        <v>71.66</v>
      </c>
      <c r="H121" s="16">
        <f t="shared" si="8"/>
        <v>33.621250000000003</v>
      </c>
      <c r="I121" s="5"/>
      <c r="J121" s="29">
        <v>1504.8884</v>
      </c>
      <c r="K121" s="30">
        <v>32.379899999999999</v>
      </c>
      <c r="L121" s="30">
        <v>36.547199999999997</v>
      </c>
      <c r="M121" s="30">
        <v>35.4544</v>
      </c>
      <c r="N121" s="16">
        <v>57.866599999999998</v>
      </c>
      <c r="O121" s="16">
        <f t="shared" si="9"/>
        <v>33.285125000000001</v>
      </c>
      <c r="P121" s="7"/>
      <c r="Q121" s="8">
        <f>bdrate(C121:C124,D121:D124,J121:J124,K121:K124)</f>
        <v>-0.34005734432646928</v>
      </c>
      <c r="R121" s="8">
        <f>bdrate(C121:C124,E121:E124,J121:J124,L121:L124)</f>
        <v>-0.31532871036476706</v>
      </c>
      <c r="S121" s="8">
        <f>bdrate(C121:C124,F121:F124,J121:J124,M121:M124)</f>
        <v>-0.27327950496198483</v>
      </c>
      <c r="T121" s="25">
        <f>bdrate(C121:C124,H121:H124,J121:J124,O121:O124)</f>
        <v>-0.33517297117255829</v>
      </c>
      <c r="U121" s="28">
        <f t="shared" si="10"/>
        <v>-0.19248395199553445</v>
      </c>
    </row>
    <row r="122" spans="2:21" x14ac:dyDescent="0.25">
      <c r="B122" s="9"/>
      <c r="C122" s="31">
        <v>1412.33</v>
      </c>
      <c r="D122" s="32">
        <v>30.606000000000002</v>
      </c>
      <c r="E122" s="32">
        <v>35.356999999999999</v>
      </c>
      <c r="F122" s="32">
        <v>34.307000000000002</v>
      </c>
      <c r="G122" s="18">
        <v>79.680000000000007</v>
      </c>
      <c r="H122" s="18">
        <f t="shared" si="8"/>
        <v>31.662500000000001</v>
      </c>
      <c r="I122" s="5"/>
      <c r="J122" s="31">
        <v>1003.1686999999999</v>
      </c>
      <c r="K122" s="32">
        <v>30.5029</v>
      </c>
      <c r="L122" s="32">
        <v>35.512099999999997</v>
      </c>
      <c r="M122" s="32">
        <v>34.356699999999996</v>
      </c>
      <c r="N122" s="18">
        <v>70.356499999999997</v>
      </c>
      <c r="O122" s="18">
        <f t="shared" si="9"/>
        <v>31.610775</v>
      </c>
      <c r="P122" s="7"/>
      <c r="Q122" s="10"/>
      <c r="R122" s="11"/>
      <c r="S122" s="11"/>
      <c r="T122" s="26"/>
      <c r="U122" s="28">
        <f t="shared" si="10"/>
        <v>-0.11701179718875514</v>
      </c>
    </row>
    <row r="123" spans="2:21" x14ac:dyDescent="0.25">
      <c r="B123" s="9"/>
      <c r="C123" s="31">
        <v>848.44</v>
      </c>
      <c r="D123" s="32">
        <v>27.806999999999999</v>
      </c>
      <c r="E123" s="32">
        <v>34.279000000000003</v>
      </c>
      <c r="F123" s="32">
        <v>33.213000000000001</v>
      </c>
      <c r="G123" s="18">
        <v>87.28</v>
      </c>
      <c r="H123" s="18">
        <f t="shared" si="8"/>
        <v>29.291749999999997</v>
      </c>
      <c r="I123" s="5"/>
      <c r="J123" s="31">
        <v>604.08360000000005</v>
      </c>
      <c r="K123" s="32">
        <v>28.3383</v>
      </c>
      <c r="L123" s="32">
        <v>34.282400000000003</v>
      </c>
      <c r="M123" s="32">
        <v>33.036200000000001</v>
      </c>
      <c r="N123" s="18">
        <v>87.544399999999996</v>
      </c>
      <c r="O123" s="18">
        <f t="shared" si="9"/>
        <v>29.66855</v>
      </c>
      <c r="P123" s="7"/>
      <c r="Q123" s="10"/>
      <c r="R123" s="11"/>
      <c r="S123" s="11"/>
      <c r="T123" s="26"/>
      <c r="U123" s="28">
        <f t="shared" si="10"/>
        <v>3.0293308890925168E-3</v>
      </c>
    </row>
    <row r="124" spans="2:21" ht="16.5" thickBot="1" x14ac:dyDescent="0.3">
      <c r="B124" s="12"/>
      <c r="C124" s="33">
        <v>384.66</v>
      </c>
      <c r="D124" s="34">
        <v>23.35</v>
      </c>
      <c r="E124" s="34">
        <v>31.812999999999999</v>
      </c>
      <c r="F124" s="34">
        <v>30.623000000000001</v>
      </c>
      <c r="G124" s="20">
        <v>98.71</v>
      </c>
      <c r="H124" s="20">
        <f t="shared" si="8"/>
        <v>25.317</v>
      </c>
      <c r="I124" s="5"/>
      <c r="J124" s="33">
        <v>303.32279999999997</v>
      </c>
      <c r="K124" s="34">
        <v>25.824300000000001</v>
      </c>
      <c r="L124" s="34">
        <v>32.542499999999997</v>
      </c>
      <c r="M124" s="34">
        <v>31.165800000000001</v>
      </c>
      <c r="N124" s="20">
        <v>117.6163</v>
      </c>
      <c r="O124" s="20">
        <f t="shared" si="9"/>
        <v>27.3317625</v>
      </c>
      <c r="P124" s="7"/>
      <c r="Q124" s="13"/>
      <c r="R124" s="14"/>
      <c r="S124" s="14"/>
      <c r="T124" s="27"/>
      <c r="U124" s="28">
        <f t="shared" si="10"/>
        <v>0.19153378583730121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-0.43927120513736523</v>
      </c>
      <c r="R125" s="21">
        <f>AVERAGE(R9:R124)</f>
        <v>-0.51422191434166598</v>
      </c>
      <c r="S125" s="21">
        <f>AVERAGE(S9:S124)</f>
        <v>-0.51361106757498642</v>
      </c>
      <c r="T125" s="21">
        <f>AVERAGE(T9:T124)</f>
        <v>-0.45463400402144727</v>
      </c>
      <c r="U125" s="21">
        <f>AVERAGE(U9:U124)</f>
        <v>6.3342910637784647E-2</v>
      </c>
    </row>
    <row r="127" spans="2:21" s="35" customFormat="1" ht="15.75" customHeight="1" x14ac:dyDescent="0.25">
      <c r="B127" s="58" t="s">
        <v>29</v>
      </c>
      <c r="C127" s="60" t="s">
        <v>149</v>
      </c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2"/>
    </row>
    <row r="128" spans="2:21" s="35" customFormat="1" x14ac:dyDescent="0.25">
      <c r="B128" s="59"/>
      <c r="C128" s="63"/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5"/>
    </row>
    <row r="129" spans="1:21" ht="16.5" customHeight="1" thickBot="1" x14ac:dyDescent="0.3">
      <c r="C129" s="66" t="s">
        <v>83</v>
      </c>
      <c r="D129" s="67"/>
      <c r="E129" s="67"/>
      <c r="F129" s="67"/>
      <c r="G129" s="67"/>
      <c r="H129" s="67"/>
      <c r="I129" s="5"/>
      <c r="J129" s="66" t="s">
        <v>144</v>
      </c>
      <c r="K129" s="67"/>
      <c r="L129" s="67"/>
      <c r="M129" s="67"/>
      <c r="N129" s="67"/>
      <c r="O129" s="67"/>
      <c r="Q129" s="66" t="s">
        <v>7</v>
      </c>
      <c r="R129" s="67"/>
      <c r="S129" s="68"/>
      <c r="T129" s="36"/>
      <c r="U129" s="69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9"/>
    </row>
    <row r="131" spans="1:21" x14ac:dyDescent="0.25">
      <c r="A131" s="6" t="s">
        <v>35</v>
      </c>
      <c r="B131" s="6" t="s">
        <v>46</v>
      </c>
      <c r="C131" s="15">
        <v>5906.76</v>
      </c>
      <c r="D131" s="16">
        <v>36.969000000000001</v>
      </c>
      <c r="E131" s="16">
        <v>38.771000000000001</v>
      </c>
      <c r="F131" s="16">
        <v>41.063000000000002</v>
      </c>
      <c r="G131" s="16">
        <v>47.83</v>
      </c>
      <c r="H131" s="16">
        <f t="shared" ref="H131:H202" si="11">(6*D131+E131+F131)/8</f>
        <v>37.706000000000003</v>
      </c>
      <c r="I131" s="5"/>
      <c r="J131" s="15">
        <v>4025.7359999999999</v>
      </c>
      <c r="K131" s="16">
        <v>37.8581</v>
      </c>
      <c r="L131" s="16">
        <v>39.445999999999998</v>
      </c>
      <c r="M131" s="16">
        <v>41.926000000000002</v>
      </c>
      <c r="N131" s="16">
        <v>49.309699999999999</v>
      </c>
      <c r="O131" s="16">
        <f t="shared" ref="O131:O202" si="12">(6*K131+L131+M131)/8</f>
        <v>38.565075</v>
      </c>
      <c r="P131" s="7"/>
      <c r="Q131" s="8">
        <f>bdrate(C131:C134,D131:D134,J131:J134,K131:K134)</f>
        <v>-0.48624384342423987</v>
      </c>
      <c r="R131" s="8">
        <f>bdrate(C131:C134,E131:E134,J131:J134,L131:L134)</f>
        <v>-0.51201880558650581</v>
      </c>
      <c r="S131" s="8">
        <f>bdrate(C131:C134,F131:F134,J131:J134,M131:M134)</f>
        <v>-0.52064507719053499</v>
      </c>
      <c r="T131" s="25">
        <f>bdrate(C131:C134,H131:H134,J131:J134,O131:O134)</f>
        <v>-0.49034368182566612</v>
      </c>
      <c r="U131" s="28">
        <f t="shared" ref="U131:U162" si="13">(N131-G131)/G131</f>
        <v>3.0936650637675124E-2</v>
      </c>
    </row>
    <row r="132" spans="1:21" x14ac:dyDescent="0.25">
      <c r="A132" s="9" t="s">
        <v>36</v>
      </c>
      <c r="B132" s="9"/>
      <c r="C132" s="17">
        <v>4362.6899999999996</v>
      </c>
      <c r="D132" s="18">
        <v>35.905999999999999</v>
      </c>
      <c r="E132" s="18">
        <v>38.317999999999998</v>
      </c>
      <c r="F132" s="18">
        <v>40.582000000000001</v>
      </c>
      <c r="G132" s="18">
        <v>53.42</v>
      </c>
      <c r="H132" s="18">
        <f t="shared" si="11"/>
        <v>36.791999999999994</v>
      </c>
      <c r="I132" s="5"/>
      <c r="J132" s="17">
        <v>2927.4560000000001</v>
      </c>
      <c r="K132" s="18">
        <v>36.838900000000002</v>
      </c>
      <c r="L132" s="18">
        <v>38.860100000000003</v>
      </c>
      <c r="M132" s="18">
        <v>41.204000000000001</v>
      </c>
      <c r="N132" s="18">
        <v>55.248600000000003</v>
      </c>
      <c r="O132" s="18">
        <f t="shared" si="12"/>
        <v>37.637187500000003</v>
      </c>
      <c r="P132" s="7"/>
      <c r="Q132" s="10"/>
      <c r="R132" s="11"/>
      <c r="S132" s="11"/>
      <c r="T132" s="26"/>
      <c r="U132" s="28">
        <f t="shared" si="13"/>
        <v>3.4230625233994789E-2</v>
      </c>
    </row>
    <row r="133" spans="1:21" x14ac:dyDescent="0.25">
      <c r="B133" s="9"/>
      <c r="C133" s="17">
        <v>2859.46</v>
      </c>
      <c r="D133" s="18">
        <v>34.274999999999999</v>
      </c>
      <c r="E133" s="18">
        <v>37.656999999999996</v>
      </c>
      <c r="F133" s="18">
        <v>39.887999999999998</v>
      </c>
      <c r="G133" s="18">
        <v>55.91</v>
      </c>
      <c r="H133" s="18">
        <f t="shared" si="11"/>
        <v>35.399374999999992</v>
      </c>
      <c r="I133" s="5"/>
      <c r="J133" s="17">
        <v>1901.664</v>
      </c>
      <c r="K133" s="18">
        <v>35.246699999999997</v>
      </c>
      <c r="L133" s="18">
        <v>38.180799999999998</v>
      </c>
      <c r="M133" s="18">
        <v>40.480600000000003</v>
      </c>
      <c r="N133" s="18">
        <v>62.034700000000001</v>
      </c>
      <c r="O133" s="18">
        <f t="shared" si="12"/>
        <v>36.267699999999998</v>
      </c>
      <c r="P133" s="7"/>
      <c r="Q133" s="10"/>
      <c r="R133" s="11"/>
      <c r="S133" s="11"/>
      <c r="T133" s="26"/>
      <c r="U133" s="28">
        <f t="shared" si="13"/>
        <v>0.10954569844392782</v>
      </c>
    </row>
    <row r="134" spans="1:21" ht="16.5" thickBot="1" x14ac:dyDescent="0.3">
      <c r="B134" s="12"/>
      <c r="C134" s="19">
        <v>1390.8</v>
      </c>
      <c r="D134" s="20">
        <v>30.922000000000001</v>
      </c>
      <c r="E134" s="20">
        <v>36.572000000000003</v>
      </c>
      <c r="F134" s="20">
        <v>38.728000000000002</v>
      </c>
      <c r="G134" s="20">
        <v>57.58</v>
      </c>
      <c r="H134" s="20">
        <f t="shared" si="11"/>
        <v>32.603999999999999</v>
      </c>
      <c r="I134" s="5"/>
      <c r="J134" s="19">
        <v>916.07039999999995</v>
      </c>
      <c r="K134" s="20">
        <v>32.336599999999997</v>
      </c>
      <c r="L134" s="20">
        <v>36.903799999999997</v>
      </c>
      <c r="M134" s="20">
        <v>39.095700000000001</v>
      </c>
      <c r="N134" s="20">
        <v>74.552700000000002</v>
      </c>
      <c r="O134" s="20">
        <f t="shared" si="12"/>
        <v>33.752387499999998</v>
      </c>
      <c r="P134" s="7"/>
      <c r="Q134" s="13"/>
      <c r="R134" s="14"/>
      <c r="S134" s="14"/>
      <c r="T134" s="27"/>
      <c r="U134" s="28">
        <f t="shared" si="13"/>
        <v>0.29476728030566174</v>
      </c>
    </row>
    <row r="135" spans="1:21" x14ac:dyDescent="0.25">
      <c r="B135" s="6" t="s">
        <v>47</v>
      </c>
      <c r="C135" s="15">
        <v>6656.77</v>
      </c>
      <c r="D135" s="16">
        <v>28.562999999999999</v>
      </c>
      <c r="E135" s="16">
        <v>39.088000000000001</v>
      </c>
      <c r="F135" s="16">
        <v>39.884999999999998</v>
      </c>
      <c r="G135" s="16">
        <v>44.5</v>
      </c>
      <c r="H135" s="16">
        <f t="shared" si="11"/>
        <v>31.293874999999996</v>
      </c>
      <c r="I135" s="5"/>
      <c r="J135" s="15">
        <v>4053.7231999999999</v>
      </c>
      <c r="K135" s="16">
        <v>29.415400000000002</v>
      </c>
      <c r="L135" s="16">
        <v>39.341099999999997</v>
      </c>
      <c r="M135" s="16">
        <v>40.263100000000001</v>
      </c>
      <c r="N135" s="16">
        <v>38.461500000000001</v>
      </c>
      <c r="O135" s="16">
        <f t="shared" si="12"/>
        <v>32.012075000000003</v>
      </c>
      <c r="P135" s="7"/>
      <c r="Q135" s="8">
        <f>bdrate(C135:C138,D135:D138,J135:J138,K135:K138)</f>
        <v>-0.53174783875943921</v>
      </c>
      <c r="R135" s="8">
        <f>bdrate(C135:C138,E135:E138,J135:J138,L135:L138)</f>
        <v>-0.46764914034545069</v>
      </c>
      <c r="S135" s="8">
        <f>bdrate(C135:C138,F135:F138,J135:J138,M135:M138)</f>
        <v>-0.51183526678487223</v>
      </c>
      <c r="T135" s="25">
        <f>bdrate(C135:C138,H135:H138,J135:J138,O135:O138)</f>
        <v>-0.52731653562173586</v>
      </c>
      <c r="U135" s="28">
        <f t="shared" si="13"/>
        <v>-0.13569662921348313</v>
      </c>
    </row>
    <row r="136" spans="1:21" x14ac:dyDescent="0.25">
      <c r="B136" s="9"/>
      <c r="C136" s="17">
        <v>4995.1000000000004</v>
      </c>
      <c r="D136" s="18">
        <v>27.12</v>
      </c>
      <c r="E136" s="18">
        <v>38.566000000000003</v>
      </c>
      <c r="F136" s="18">
        <v>39.484000000000002</v>
      </c>
      <c r="G136" s="18">
        <v>50.07</v>
      </c>
      <c r="H136" s="18">
        <f t="shared" si="11"/>
        <v>30.096250000000001</v>
      </c>
      <c r="I136" s="5"/>
      <c r="J136" s="17">
        <v>3036.5536000000002</v>
      </c>
      <c r="K136" s="18">
        <v>28.103400000000001</v>
      </c>
      <c r="L136" s="18">
        <v>38.858499999999999</v>
      </c>
      <c r="M136" s="18">
        <v>39.851599999999998</v>
      </c>
      <c r="N136" s="18">
        <v>43.911000000000001</v>
      </c>
      <c r="O136" s="18">
        <f t="shared" si="12"/>
        <v>30.9163125</v>
      </c>
      <c r="P136" s="7"/>
      <c r="Q136" s="10"/>
      <c r="R136" s="11"/>
      <c r="S136" s="11"/>
      <c r="T136" s="26"/>
      <c r="U136" s="28">
        <f t="shared" si="13"/>
        <v>-0.12300778909526661</v>
      </c>
    </row>
    <row r="137" spans="1:21" x14ac:dyDescent="0.25">
      <c r="B137" s="9"/>
      <c r="C137" s="17">
        <v>3210.31</v>
      </c>
      <c r="D137" s="18">
        <v>24.861999999999998</v>
      </c>
      <c r="E137" s="18">
        <v>37.792000000000002</v>
      </c>
      <c r="F137" s="18">
        <v>38.747</v>
      </c>
      <c r="G137" s="18">
        <v>54.9</v>
      </c>
      <c r="H137" s="18">
        <f t="shared" si="11"/>
        <v>28.213875000000002</v>
      </c>
      <c r="I137" s="5"/>
      <c r="J137" s="17">
        <v>2026.9792</v>
      </c>
      <c r="K137" s="18">
        <v>26.305299999999999</v>
      </c>
      <c r="L137" s="18">
        <v>38.129300000000001</v>
      </c>
      <c r="M137" s="18">
        <v>39.230800000000002</v>
      </c>
      <c r="N137" s="18">
        <v>50.352499999999999</v>
      </c>
      <c r="O137" s="18">
        <f t="shared" si="12"/>
        <v>29.398987499999997</v>
      </c>
      <c r="P137" s="7"/>
      <c r="Q137" s="10"/>
      <c r="R137" s="11"/>
      <c r="S137" s="11"/>
      <c r="T137" s="26"/>
      <c r="U137" s="28">
        <f t="shared" si="13"/>
        <v>-8.2832422586520946E-2</v>
      </c>
    </row>
    <row r="138" spans="1:21" ht="16.5" thickBot="1" x14ac:dyDescent="0.3">
      <c r="B138" s="12"/>
      <c r="C138" s="19">
        <v>1786.27</v>
      </c>
      <c r="D138" s="20">
        <v>22.268000000000001</v>
      </c>
      <c r="E138" s="20">
        <v>35.76</v>
      </c>
      <c r="F138" s="20">
        <v>36.933</v>
      </c>
      <c r="G138" s="20">
        <v>58.28</v>
      </c>
      <c r="H138" s="20">
        <f t="shared" si="11"/>
        <v>25.787624999999998</v>
      </c>
      <c r="I138" s="5"/>
      <c r="J138" s="19">
        <v>1138.9983999999999</v>
      </c>
      <c r="K138" s="20">
        <v>24.146000000000001</v>
      </c>
      <c r="L138" s="20">
        <v>36.568800000000003</v>
      </c>
      <c r="M138" s="20">
        <v>37.845300000000002</v>
      </c>
      <c r="N138" s="20">
        <v>63.264400000000002</v>
      </c>
      <c r="O138" s="20">
        <f t="shared" si="12"/>
        <v>27.411262500000003</v>
      </c>
      <c r="P138" s="7"/>
      <c r="Q138" s="13"/>
      <c r="R138" s="14"/>
      <c r="S138" s="14"/>
      <c r="T138" s="27"/>
      <c r="U138" s="28">
        <f t="shared" si="13"/>
        <v>8.5525051475634883E-2</v>
      </c>
    </row>
    <row r="139" spans="1:21" x14ac:dyDescent="0.25">
      <c r="A139" s="6" t="s">
        <v>37</v>
      </c>
      <c r="B139" s="6" t="s">
        <v>48</v>
      </c>
      <c r="C139" s="15">
        <v>3027.51</v>
      </c>
      <c r="D139" s="16">
        <v>37.984000000000002</v>
      </c>
      <c r="E139" s="16">
        <v>41.488999999999997</v>
      </c>
      <c r="F139" s="16">
        <v>42.491999999999997</v>
      </c>
      <c r="G139" s="16">
        <v>84.06</v>
      </c>
      <c r="H139" s="16">
        <f t="shared" si="11"/>
        <v>38.985624999999999</v>
      </c>
      <c r="I139" s="5"/>
      <c r="J139" s="15">
        <v>2382.0248000000001</v>
      </c>
      <c r="K139" s="16">
        <v>39.0732</v>
      </c>
      <c r="L139" s="16">
        <v>41.882199999999997</v>
      </c>
      <c r="M139" s="16">
        <v>43.224600000000002</v>
      </c>
      <c r="N139" s="16">
        <v>96.153800000000004</v>
      </c>
      <c r="O139" s="16">
        <f t="shared" si="12"/>
        <v>39.943249999999999</v>
      </c>
      <c r="P139" s="7"/>
      <c r="Q139" s="8">
        <f>bdrate(C139:C142,D139:D142,J139:J142,K139:K142)</f>
        <v>-0.49311612621117429</v>
      </c>
      <c r="R139" s="8">
        <f>bdrate(C139:C142,E139:E142,J139:J142,L139:L142)</f>
        <v>-0.40425911204252596</v>
      </c>
      <c r="S139" s="8">
        <f>bdrate(C139:C142,F139:F142,J139:J142,M139:M142)</f>
        <v>-0.49200152490227911</v>
      </c>
      <c r="T139" s="25">
        <f>bdrate(C139:C142,H139:H142,J139:J142,O139:O142)</f>
        <v>-0.48764205055593923</v>
      </c>
      <c r="U139" s="28">
        <f t="shared" si="13"/>
        <v>0.14387104449202953</v>
      </c>
    </row>
    <row r="140" spans="1:21" x14ac:dyDescent="0.25">
      <c r="A140" s="9" t="s">
        <v>38</v>
      </c>
      <c r="B140" s="9"/>
      <c r="C140" s="17">
        <v>1995.54</v>
      </c>
      <c r="D140" s="18">
        <v>36.457000000000001</v>
      </c>
      <c r="E140" s="18">
        <v>40.786999999999999</v>
      </c>
      <c r="F140" s="18">
        <v>41.673999999999999</v>
      </c>
      <c r="G140" s="18">
        <v>94.38</v>
      </c>
      <c r="H140" s="18">
        <f t="shared" si="11"/>
        <v>37.650374999999997</v>
      </c>
      <c r="I140" s="5"/>
      <c r="J140" s="17">
        <v>1562.0976000000001</v>
      </c>
      <c r="K140" s="18">
        <v>37.799300000000002</v>
      </c>
      <c r="L140" s="18">
        <v>41.200499999999998</v>
      </c>
      <c r="M140" s="18">
        <v>42.424399999999999</v>
      </c>
      <c r="N140" s="18">
        <v>108.94240000000001</v>
      </c>
      <c r="O140" s="18">
        <f t="shared" si="12"/>
        <v>38.802587500000001</v>
      </c>
      <c r="P140" s="7"/>
      <c r="Q140" s="10"/>
      <c r="R140" s="11"/>
      <c r="S140" s="11"/>
      <c r="T140" s="26"/>
      <c r="U140" s="28">
        <f t="shared" si="13"/>
        <v>0.15429540156812896</v>
      </c>
    </row>
    <row r="141" spans="1:21" x14ac:dyDescent="0.25">
      <c r="B141" s="9"/>
      <c r="C141" s="17">
        <v>1236.3800000000001</v>
      </c>
      <c r="D141" s="18">
        <v>34.499000000000002</v>
      </c>
      <c r="E141" s="18">
        <v>39.988</v>
      </c>
      <c r="F141" s="18">
        <v>40.927999999999997</v>
      </c>
      <c r="G141" s="18">
        <v>103.9</v>
      </c>
      <c r="H141" s="18">
        <f t="shared" si="11"/>
        <v>35.988750000000003</v>
      </c>
      <c r="I141" s="5"/>
      <c r="J141" s="17">
        <v>960.34</v>
      </c>
      <c r="K141" s="18">
        <v>36.227400000000003</v>
      </c>
      <c r="L141" s="18">
        <v>40.420499999999997</v>
      </c>
      <c r="M141" s="18">
        <v>41.587899999999998</v>
      </c>
      <c r="N141" s="18">
        <v>122.9508</v>
      </c>
      <c r="O141" s="18">
        <f t="shared" si="12"/>
        <v>37.421599999999998</v>
      </c>
      <c r="P141" s="7"/>
      <c r="Q141" s="10"/>
      <c r="R141" s="11"/>
      <c r="S141" s="11"/>
      <c r="T141" s="26"/>
      <c r="U141" s="28">
        <f t="shared" si="13"/>
        <v>0.18335707410972082</v>
      </c>
    </row>
    <row r="142" spans="1:21" ht="16.5" thickBot="1" x14ac:dyDescent="0.3">
      <c r="B142" s="12"/>
      <c r="C142" s="19">
        <v>737.05</v>
      </c>
      <c r="D142" s="20">
        <v>32.176000000000002</v>
      </c>
      <c r="E142" s="20">
        <v>39.122999999999998</v>
      </c>
      <c r="F142" s="20">
        <v>40.091999999999999</v>
      </c>
      <c r="G142" s="20">
        <v>109.09</v>
      </c>
      <c r="H142" s="20">
        <f t="shared" si="11"/>
        <v>34.033875000000002</v>
      </c>
      <c r="I142" s="5"/>
      <c r="J142" s="19">
        <v>553.24559999999997</v>
      </c>
      <c r="K142" s="20">
        <v>34.352600000000002</v>
      </c>
      <c r="L142" s="20">
        <v>39.639600000000002</v>
      </c>
      <c r="M142" s="20">
        <v>40.826300000000003</v>
      </c>
      <c r="N142" s="20">
        <v>138.6482</v>
      </c>
      <c r="O142" s="20">
        <f t="shared" si="12"/>
        <v>35.822687500000001</v>
      </c>
      <c r="P142" s="7"/>
      <c r="Q142" s="13"/>
      <c r="R142" s="14"/>
      <c r="S142" s="14"/>
      <c r="T142" s="27"/>
      <c r="U142" s="28">
        <f t="shared" si="13"/>
        <v>0.27095242460353836</v>
      </c>
    </row>
    <row r="143" spans="1:21" x14ac:dyDescent="0.25">
      <c r="B143" s="6" t="s">
        <v>49</v>
      </c>
      <c r="C143" s="15">
        <v>3459.85</v>
      </c>
      <c r="D143" s="16">
        <v>35.295000000000002</v>
      </c>
      <c r="E143" s="16">
        <v>38.71</v>
      </c>
      <c r="F143" s="16">
        <v>39.929000000000002</v>
      </c>
      <c r="G143" s="16">
        <v>93.75</v>
      </c>
      <c r="H143" s="16">
        <f t="shared" si="11"/>
        <v>36.301124999999999</v>
      </c>
      <c r="I143" s="5"/>
      <c r="J143" s="15">
        <v>2458.3056000000001</v>
      </c>
      <c r="K143" s="16">
        <v>35.995800000000003</v>
      </c>
      <c r="L143" s="16">
        <v>39.898600000000002</v>
      </c>
      <c r="M143" s="16">
        <v>41.108800000000002</v>
      </c>
      <c r="N143" s="16">
        <v>87.399900000000002</v>
      </c>
      <c r="O143" s="16">
        <f t="shared" si="12"/>
        <v>37.122775000000004</v>
      </c>
      <c r="P143" s="7"/>
      <c r="Q143" s="8">
        <f>bdrate(C143:C146,D143:D146,J143:J146,K143:K146)</f>
        <v>-0.4820904177993468</v>
      </c>
      <c r="R143" s="8">
        <f>bdrate(C143:C146,E143:E146,J143:J146,L143:L146)</f>
        <v>-0.59004377095267713</v>
      </c>
      <c r="S143" s="8">
        <f>bdrate(C143:C146,F143:F146,J143:J146,M143:M146)</f>
        <v>-0.59417196316203147</v>
      </c>
      <c r="T143" s="25">
        <f>bdrate(C143:C146,H143:H146,J143:J146,O143:O146)</f>
        <v>-0.50023811609662161</v>
      </c>
      <c r="U143" s="28">
        <f t="shared" si="13"/>
        <v>-6.7734399999999972E-2</v>
      </c>
    </row>
    <row r="144" spans="1:21" x14ac:dyDescent="0.25">
      <c r="B144" s="9"/>
      <c r="C144" s="17">
        <v>2292.25</v>
      </c>
      <c r="D144" s="18">
        <v>33.765000000000001</v>
      </c>
      <c r="E144" s="18">
        <v>38.06</v>
      </c>
      <c r="F144" s="18">
        <v>39.408000000000001</v>
      </c>
      <c r="G144" s="18">
        <v>103.9</v>
      </c>
      <c r="H144" s="18">
        <f t="shared" si="11"/>
        <v>35.007249999999999</v>
      </c>
      <c r="I144" s="5"/>
      <c r="J144" s="17">
        <v>1657.9784</v>
      </c>
      <c r="K144" s="18">
        <v>34.727600000000002</v>
      </c>
      <c r="L144" s="18">
        <v>39.1616</v>
      </c>
      <c r="M144" s="18">
        <v>40.367100000000001</v>
      </c>
      <c r="N144" s="18">
        <v>103.94110000000001</v>
      </c>
      <c r="O144" s="18">
        <f t="shared" si="12"/>
        <v>35.986787500000005</v>
      </c>
      <c r="P144" s="7"/>
      <c r="Q144" s="10"/>
      <c r="R144" s="11"/>
      <c r="S144" s="11"/>
      <c r="T144" s="26"/>
      <c r="U144" s="28">
        <f t="shared" si="13"/>
        <v>3.9557266602502535E-4</v>
      </c>
    </row>
    <row r="145" spans="1:21" x14ac:dyDescent="0.25">
      <c r="B145" s="9"/>
      <c r="C145" s="17">
        <v>1420.28</v>
      </c>
      <c r="D145" s="18">
        <v>31.957999999999998</v>
      </c>
      <c r="E145" s="18">
        <v>37.348999999999997</v>
      </c>
      <c r="F145" s="18">
        <v>38.765000000000001</v>
      </c>
      <c r="G145" s="18">
        <v>114.83</v>
      </c>
      <c r="H145" s="18">
        <f t="shared" si="11"/>
        <v>33.482749999999996</v>
      </c>
      <c r="I145" s="5"/>
      <c r="J145" s="17">
        <v>1020.7576</v>
      </c>
      <c r="K145" s="18">
        <v>33.227899999999998</v>
      </c>
      <c r="L145" s="18">
        <v>38.216799999999999</v>
      </c>
      <c r="M145" s="18">
        <v>39.526299999999999</v>
      </c>
      <c r="N145" s="18">
        <v>113.9601</v>
      </c>
      <c r="O145" s="18">
        <f t="shared" si="12"/>
        <v>34.6388125</v>
      </c>
      <c r="P145" s="7"/>
      <c r="Q145" s="10"/>
      <c r="R145" s="11"/>
      <c r="S145" s="11"/>
      <c r="T145" s="26"/>
      <c r="U145" s="28">
        <f t="shared" si="13"/>
        <v>-7.5755464599843352E-3</v>
      </c>
    </row>
    <row r="146" spans="1:21" ht="16.5" thickBot="1" x14ac:dyDescent="0.3">
      <c r="B146" s="12"/>
      <c r="C146" s="19">
        <v>846.05</v>
      </c>
      <c r="D146" s="20">
        <v>29.966999999999999</v>
      </c>
      <c r="E146" s="20">
        <v>36.673999999999999</v>
      </c>
      <c r="F146" s="20">
        <v>38.143999999999998</v>
      </c>
      <c r="G146" s="20">
        <v>120.18</v>
      </c>
      <c r="H146" s="20">
        <f t="shared" si="11"/>
        <v>31.827500000000001</v>
      </c>
      <c r="I146" s="5"/>
      <c r="J146" s="19">
        <v>585.61919999999998</v>
      </c>
      <c r="K146" s="20">
        <v>31.532699999999998</v>
      </c>
      <c r="L146" s="20">
        <v>37.263500000000001</v>
      </c>
      <c r="M146" s="20">
        <v>38.768700000000003</v>
      </c>
      <c r="N146" s="20">
        <v>137.3784</v>
      </c>
      <c r="O146" s="20">
        <f t="shared" si="12"/>
        <v>33.153549999999996</v>
      </c>
      <c r="P146" s="7"/>
      <c r="Q146" s="13"/>
      <c r="R146" s="14"/>
      <c r="S146" s="14"/>
      <c r="T146" s="27"/>
      <c r="U146" s="28">
        <f t="shared" si="13"/>
        <v>0.14310534198701941</v>
      </c>
    </row>
    <row r="147" spans="1:21" x14ac:dyDescent="0.25">
      <c r="B147" s="6" t="s">
        <v>50</v>
      </c>
      <c r="C147" s="15">
        <v>3574.57</v>
      </c>
      <c r="D147" s="16">
        <v>33.496000000000002</v>
      </c>
      <c r="E147" s="16">
        <v>37.649000000000001</v>
      </c>
      <c r="F147" s="16">
        <v>38.997</v>
      </c>
      <c r="G147" s="16">
        <v>84.12</v>
      </c>
      <c r="H147" s="16">
        <f t="shared" si="11"/>
        <v>34.702750000000002</v>
      </c>
      <c r="I147" s="5"/>
      <c r="J147" s="15">
        <v>2412.7296000000001</v>
      </c>
      <c r="K147" s="16">
        <v>34.033999999999999</v>
      </c>
      <c r="L147" s="16">
        <v>38.090000000000003</v>
      </c>
      <c r="M147" s="16">
        <v>40.070900000000002</v>
      </c>
      <c r="N147" s="16">
        <v>109.3853</v>
      </c>
      <c r="O147" s="16">
        <f t="shared" si="12"/>
        <v>35.295612500000004</v>
      </c>
      <c r="P147" s="7"/>
      <c r="Q147" s="8">
        <f>bdrate(C147:C150,D147:D150,J147:J150,K147:K150)</f>
        <v>-0.48744880990534445</v>
      </c>
      <c r="R147" s="8">
        <f>bdrate(C147:C150,E147:E150,J147:J150,L147:L150)</f>
        <v>-0.54495683776748649</v>
      </c>
      <c r="S147" s="8">
        <f>bdrate(C147:C150,F147:F150,J147:J150,M147:M150)</f>
        <v>-0.59138983972978787</v>
      </c>
      <c r="T147" s="25">
        <f>bdrate(C147:C150,H147:H150,J147:J150,O147:O150)</f>
        <v>-0.50056054205582146</v>
      </c>
      <c r="U147" s="28">
        <f t="shared" si="13"/>
        <v>0.3003483119353304</v>
      </c>
    </row>
    <row r="148" spans="1:21" x14ac:dyDescent="0.25">
      <c r="B148" s="9"/>
      <c r="C148" s="17">
        <v>2368.64</v>
      </c>
      <c r="D148" s="18">
        <v>31.972000000000001</v>
      </c>
      <c r="E148" s="18">
        <v>37.134</v>
      </c>
      <c r="F148" s="18">
        <v>38.152999999999999</v>
      </c>
      <c r="G148" s="18">
        <v>115.26</v>
      </c>
      <c r="H148" s="18">
        <f t="shared" si="11"/>
        <v>33.389875000000004</v>
      </c>
      <c r="I148" s="5"/>
      <c r="J148" s="17">
        <v>1604.1271999999999</v>
      </c>
      <c r="K148" s="18">
        <v>32.804699999999997</v>
      </c>
      <c r="L148" s="18">
        <v>37.640099999999997</v>
      </c>
      <c r="M148" s="18">
        <v>39.247999999999998</v>
      </c>
      <c r="N148" s="18">
        <v>135.79580000000001</v>
      </c>
      <c r="O148" s="18">
        <f t="shared" si="12"/>
        <v>34.214537499999999</v>
      </c>
      <c r="P148" s="7"/>
      <c r="Q148" s="10"/>
      <c r="R148" s="11"/>
      <c r="S148" s="11"/>
      <c r="T148" s="26"/>
      <c r="U148" s="28">
        <f t="shared" si="13"/>
        <v>0.17816935623807051</v>
      </c>
    </row>
    <row r="149" spans="1:21" x14ac:dyDescent="0.25">
      <c r="B149" s="9"/>
      <c r="C149" s="17">
        <v>1474.3</v>
      </c>
      <c r="D149" s="18">
        <v>29.984000000000002</v>
      </c>
      <c r="E149" s="18">
        <v>36.540999999999997</v>
      </c>
      <c r="F149" s="18">
        <v>37.189</v>
      </c>
      <c r="G149" s="18">
        <v>120.45</v>
      </c>
      <c r="H149" s="18">
        <f t="shared" si="11"/>
        <v>31.704249999999998</v>
      </c>
      <c r="I149" s="5"/>
      <c r="J149" s="17">
        <v>998.38400000000001</v>
      </c>
      <c r="K149" s="18">
        <v>31.199100000000001</v>
      </c>
      <c r="L149" s="18">
        <v>37.044699999999999</v>
      </c>
      <c r="M149" s="18">
        <v>38.219900000000003</v>
      </c>
      <c r="N149" s="18">
        <v>152.62520000000001</v>
      </c>
      <c r="O149" s="18">
        <f t="shared" si="12"/>
        <v>32.807400000000001</v>
      </c>
      <c r="P149" s="7"/>
      <c r="Q149" s="10"/>
      <c r="R149" s="11"/>
      <c r="S149" s="11"/>
      <c r="T149" s="26"/>
      <c r="U149" s="28">
        <f t="shared" si="13"/>
        <v>0.26712494811124948</v>
      </c>
    </row>
    <row r="150" spans="1:21" ht="16.5" thickBot="1" x14ac:dyDescent="0.3">
      <c r="B150" s="12"/>
      <c r="C150" s="19">
        <v>879.79</v>
      </c>
      <c r="D150" s="20">
        <v>27.626999999999999</v>
      </c>
      <c r="E150" s="20">
        <v>35.869999999999997</v>
      </c>
      <c r="F150" s="20">
        <v>36.261000000000003</v>
      </c>
      <c r="G150" s="20">
        <v>124.25</v>
      </c>
      <c r="H150" s="20">
        <f t="shared" si="11"/>
        <v>29.736625</v>
      </c>
      <c r="I150" s="5"/>
      <c r="J150" s="19">
        <v>599.56960000000004</v>
      </c>
      <c r="K150" s="20">
        <v>29.450600000000001</v>
      </c>
      <c r="L150" s="20">
        <v>36.366300000000003</v>
      </c>
      <c r="M150" s="20">
        <v>37.130699999999997</v>
      </c>
      <c r="N150" s="20">
        <v>168.691</v>
      </c>
      <c r="O150" s="20">
        <f t="shared" si="12"/>
        <v>31.275074999999998</v>
      </c>
      <c r="P150" s="7"/>
      <c r="Q150" s="13"/>
      <c r="R150" s="14"/>
      <c r="S150" s="14"/>
      <c r="T150" s="27"/>
      <c r="U150" s="28">
        <f t="shared" si="13"/>
        <v>0.35767404426559357</v>
      </c>
    </row>
    <row r="151" spans="1:21" x14ac:dyDescent="0.25">
      <c r="B151" s="6" t="s">
        <v>51</v>
      </c>
      <c r="C151" s="29">
        <v>3594.75</v>
      </c>
      <c r="D151" s="30">
        <v>32.722999999999999</v>
      </c>
      <c r="E151" s="30">
        <v>39.253</v>
      </c>
      <c r="F151" s="30">
        <v>38.896000000000001</v>
      </c>
      <c r="G151" s="16">
        <v>96.54</v>
      </c>
      <c r="H151" s="16">
        <f t="shared" si="11"/>
        <v>34.310875000000003</v>
      </c>
      <c r="I151" s="5"/>
      <c r="J151" s="29">
        <v>2410.6088</v>
      </c>
      <c r="K151" s="30">
        <v>33.986499999999999</v>
      </c>
      <c r="L151" s="30">
        <v>40.246499999999997</v>
      </c>
      <c r="M151" s="30">
        <v>39.833500000000001</v>
      </c>
      <c r="N151" s="16">
        <v>104.3841</v>
      </c>
      <c r="O151" s="16">
        <f t="shared" si="12"/>
        <v>35.499874999999996</v>
      </c>
      <c r="P151" s="7"/>
      <c r="Q151" s="8">
        <f>bdrate(C151:C154,D151:D154,J151:J154,K151:K154)</f>
        <v>-0.59425342485743471</v>
      </c>
      <c r="R151" s="8">
        <f>bdrate(C151:C154,E151:E154,J151:J154,L151:L154)</f>
        <v>-0.57852458727399148</v>
      </c>
      <c r="S151" s="8">
        <f>bdrate(C151:C154,F151:F154,J151:J154,M151:M154)</f>
        <v>-0.50286450533455773</v>
      </c>
      <c r="T151" s="25">
        <f>bdrate(C151:C154,H151:H154,J151:J154,O151:O154)</f>
        <v>-0.59016658211859263</v>
      </c>
      <c r="U151" s="28">
        <f t="shared" si="13"/>
        <v>8.1252330640149126E-2</v>
      </c>
    </row>
    <row r="152" spans="1:21" x14ac:dyDescent="0.25">
      <c r="B152" s="9"/>
      <c r="C152" s="31">
        <v>2385.96</v>
      </c>
      <c r="D152" s="32">
        <v>30.704999999999998</v>
      </c>
      <c r="E152" s="32">
        <v>38.412999999999997</v>
      </c>
      <c r="F152" s="32">
        <v>37.997999999999998</v>
      </c>
      <c r="G152" s="18">
        <v>107.16</v>
      </c>
      <c r="H152" s="18">
        <f t="shared" si="11"/>
        <v>32.580124999999995</v>
      </c>
      <c r="I152" s="5"/>
      <c r="J152" s="31">
        <v>1609.3320000000001</v>
      </c>
      <c r="K152" s="32">
        <v>32.598500000000001</v>
      </c>
      <c r="L152" s="32">
        <v>39.518000000000001</v>
      </c>
      <c r="M152" s="32">
        <v>38.890599999999999</v>
      </c>
      <c r="N152" s="18">
        <v>120.9482</v>
      </c>
      <c r="O152" s="18">
        <f t="shared" si="12"/>
        <v>34.249949999999998</v>
      </c>
      <c r="P152" s="7"/>
      <c r="Q152" s="10"/>
      <c r="R152" s="11"/>
      <c r="S152" s="11"/>
      <c r="T152" s="26"/>
      <c r="U152" s="28">
        <f t="shared" si="13"/>
        <v>0.12866927958193358</v>
      </c>
    </row>
    <row r="153" spans="1:21" x14ac:dyDescent="0.25">
      <c r="B153" s="9"/>
      <c r="C153" s="31">
        <v>1476.73</v>
      </c>
      <c r="D153" s="32">
        <v>27.832999999999998</v>
      </c>
      <c r="E153" s="32">
        <v>37.265999999999998</v>
      </c>
      <c r="F153" s="32">
        <v>36.813000000000002</v>
      </c>
      <c r="G153" s="18">
        <v>110.84</v>
      </c>
      <c r="H153" s="18">
        <f t="shared" si="11"/>
        <v>30.134625</v>
      </c>
      <c r="I153" s="5"/>
      <c r="J153" s="31">
        <v>999.67439999999999</v>
      </c>
      <c r="K153" s="32">
        <v>30.818899999999999</v>
      </c>
      <c r="L153" s="32">
        <v>38.489699999999999</v>
      </c>
      <c r="M153" s="32">
        <v>37.647199999999998</v>
      </c>
      <c r="N153" s="18">
        <v>136.94880000000001</v>
      </c>
      <c r="O153" s="18">
        <f t="shared" si="12"/>
        <v>32.631287499999999</v>
      </c>
      <c r="P153" s="7"/>
      <c r="Q153" s="10"/>
      <c r="R153" s="11"/>
      <c r="S153" s="11"/>
      <c r="T153" s="26"/>
      <c r="U153" s="28">
        <f t="shared" si="13"/>
        <v>0.23555395164200651</v>
      </c>
    </row>
    <row r="154" spans="1:21" ht="16.5" thickBot="1" x14ac:dyDescent="0.3">
      <c r="B154" s="12"/>
      <c r="C154" s="33">
        <v>875.54</v>
      </c>
      <c r="D154" s="34">
        <v>23.96</v>
      </c>
      <c r="E154" s="34">
        <v>35.402999999999999</v>
      </c>
      <c r="F154" s="34">
        <v>34.661999999999999</v>
      </c>
      <c r="G154" s="20">
        <v>112.03</v>
      </c>
      <c r="H154" s="20">
        <f t="shared" si="11"/>
        <v>26.728124999999999</v>
      </c>
      <c r="I154" s="5"/>
      <c r="J154" s="33">
        <v>599.84479999999996</v>
      </c>
      <c r="K154" s="34">
        <v>28.9115</v>
      </c>
      <c r="L154" s="34">
        <v>36.864899999999999</v>
      </c>
      <c r="M154" s="34">
        <v>35.8444</v>
      </c>
      <c r="N154" s="20">
        <v>157.08449999999999</v>
      </c>
      <c r="O154" s="20">
        <f t="shared" si="12"/>
        <v>30.772287500000001</v>
      </c>
      <c r="P154" s="7"/>
      <c r="Q154" s="13"/>
      <c r="R154" s="14"/>
      <c r="S154" s="14"/>
      <c r="T154" s="27"/>
      <c r="U154" s="28">
        <f t="shared" si="13"/>
        <v>0.402164598768187</v>
      </c>
    </row>
    <row r="155" spans="1:21" x14ac:dyDescent="0.25">
      <c r="B155" s="6" t="s">
        <v>52</v>
      </c>
      <c r="C155" s="15">
        <v>3601.37</v>
      </c>
      <c r="D155" s="16">
        <v>31.856000000000002</v>
      </c>
      <c r="E155" s="16">
        <v>38.381</v>
      </c>
      <c r="F155" s="16">
        <v>40.902999999999999</v>
      </c>
      <c r="G155" s="16">
        <v>89.42</v>
      </c>
      <c r="H155" s="16">
        <f t="shared" si="11"/>
        <v>33.802500000000002</v>
      </c>
      <c r="I155" s="5"/>
      <c r="J155" s="15">
        <v>2415.4295999999999</v>
      </c>
      <c r="K155" s="16">
        <v>33.566000000000003</v>
      </c>
      <c r="L155" s="16">
        <v>39.733800000000002</v>
      </c>
      <c r="M155" s="16">
        <v>42.177300000000002</v>
      </c>
      <c r="N155" s="16">
        <v>117.9941</v>
      </c>
      <c r="O155" s="16">
        <f t="shared" si="12"/>
        <v>35.413387499999999</v>
      </c>
      <c r="P155" s="7"/>
      <c r="Q155" s="8">
        <f>bdrate(C155:C158,D155:D158,J155:J158,K155:K158)</f>
        <v>-0.71119208304300829</v>
      </c>
      <c r="R155" s="8">
        <f>bdrate(C155:C158,E155:E158,J155:J158,L155:L158)</f>
        <v>-0.75548009906460911</v>
      </c>
      <c r="S155" s="8">
        <f>bdrate(C155:C158,F155:F158,J155:J158,M155:M158)</f>
        <v>-0.75968139839004423</v>
      </c>
      <c r="T155" s="25">
        <f>bdrate(C155:C158,H155:H158,J155:J158,O155:O158)</f>
        <v>-0.71625872842758698</v>
      </c>
      <c r="U155" s="28">
        <f t="shared" si="13"/>
        <v>0.31954931782598972</v>
      </c>
    </row>
    <row r="156" spans="1:21" x14ac:dyDescent="0.25">
      <c r="B156" s="9"/>
      <c r="C156" s="17">
        <v>2375.42</v>
      </c>
      <c r="D156" s="18">
        <v>30.619</v>
      </c>
      <c r="E156" s="18">
        <v>37.994999999999997</v>
      </c>
      <c r="F156" s="18">
        <v>40.445</v>
      </c>
      <c r="G156" s="18">
        <v>121.33</v>
      </c>
      <c r="H156" s="18">
        <f t="shared" si="11"/>
        <v>32.76925</v>
      </c>
      <c r="I156" s="5"/>
      <c r="J156" s="17">
        <v>1607.4168</v>
      </c>
      <c r="K156" s="18">
        <v>32.854999999999997</v>
      </c>
      <c r="L156" s="18">
        <v>39.249000000000002</v>
      </c>
      <c r="M156" s="18">
        <v>41.777299999999997</v>
      </c>
      <c r="N156" s="18">
        <v>139.34049999999999</v>
      </c>
      <c r="O156" s="18">
        <f t="shared" si="12"/>
        <v>34.769537499999998</v>
      </c>
      <c r="P156" s="7"/>
      <c r="Q156" s="10"/>
      <c r="R156" s="11"/>
      <c r="S156" s="11"/>
      <c r="T156" s="26"/>
      <c r="U156" s="28">
        <f t="shared" si="13"/>
        <v>0.14844226489738724</v>
      </c>
    </row>
    <row r="157" spans="1:21" x14ac:dyDescent="0.25">
      <c r="B157" s="9"/>
      <c r="C157" s="17">
        <v>1448.88</v>
      </c>
      <c r="D157" s="18">
        <v>28.838000000000001</v>
      </c>
      <c r="E157" s="18">
        <v>37.424999999999997</v>
      </c>
      <c r="F157" s="18">
        <v>39.884999999999998</v>
      </c>
      <c r="G157" s="18">
        <v>123.66</v>
      </c>
      <c r="H157" s="18">
        <f t="shared" si="11"/>
        <v>31.292250000000003</v>
      </c>
      <c r="I157" s="5"/>
      <c r="J157" s="17">
        <v>1024.7072000000001</v>
      </c>
      <c r="K157" s="18">
        <v>31.753599999999999</v>
      </c>
      <c r="L157" s="18">
        <v>38.575899999999997</v>
      </c>
      <c r="M157" s="18">
        <v>41.099699999999999</v>
      </c>
      <c r="N157" s="18">
        <v>142.41630000000001</v>
      </c>
      <c r="O157" s="18">
        <f t="shared" si="12"/>
        <v>33.774649999999994</v>
      </c>
      <c r="P157" s="7"/>
      <c r="Q157" s="10"/>
      <c r="R157" s="11"/>
      <c r="S157" s="11"/>
      <c r="T157" s="26"/>
      <c r="U157" s="28">
        <f t="shared" si="13"/>
        <v>0.15167637069383802</v>
      </c>
    </row>
    <row r="158" spans="1:21" ht="16.5" thickBot="1" x14ac:dyDescent="0.3">
      <c r="B158" s="12"/>
      <c r="C158" s="19">
        <v>837.94</v>
      </c>
      <c r="D158" s="20">
        <v>26.353000000000002</v>
      </c>
      <c r="E158" s="20">
        <v>36.884999999999998</v>
      </c>
      <c r="F158" s="20">
        <v>38.792000000000002</v>
      </c>
      <c r="G158" s="20">
        <v>126.93</v>
      </c>
      <c r="H158" s="20">
        <f t="shared" si="11"/>
        <v>29.224374999999998</v>
      </c>
      <c r="I158" s="5"/>
      <c r="J158" s="19">
        <v>594.81600000000003</v>
      </c>
      <c r="K158" s="20">
        <v>30.2395</v>
      </c>
      <c r="L158" s="20">
        <v>38.022100000000002</v>
      </c>
      <c r="M158" s="20">
        <v>40.510100000000001</v>
      </c>
      <c r="N158" s="20">
        <v>156.3314</v>
      </c>
      <c r="O158" s="20">
        <f t="shared" si="12"/>
        <v>32.49615</v>
      </c>
      <c r="P158" s="7"/>
      <c r="Q158" s="13"/>
      <c r="R158" s="14"/>
      <c r="S158" s="14"/>
      <c r="T158" s="27"/>
      <c r="U158" s="28">
        <f t="shared" si="13"/>
        <v>0.23163475931615846</v>
      </c>
    </row>
    <row r="159" spans="1:21" x14ac:dyDescent="0.25">
      <c r="A159" s="6" t="s">
        <v>39</v>
      </c>
      <c r="B159" s="6" t="s">
        <v>53</v>
      </c>
      <c r="C159" s="15">
        <v>1551.07</v>
      </c>
      <c r="D159" s="16">
        <v>33.914999999999999</v>
      </c>
      <c r="E159" s="16">
        <v>37.308</v>
      </c>
      <c r="F159" s="16">
        <v>37.158999999999999</v>
      </c>
      <c r="G159" s="16">
        <v>445.24</v>
      </c>
      <c r="H159" s="16">
        <f t="shared" si="11"/>
        <v>34.744624999999999</v>
      </c>
      <c r="I159" s="5"/>
      <c r="J159" s="15">
        <v>1206.1135999999999</v>
      </c>
      <c r="K159" s="16">
        <v>34.9816</v>
      </c>
      <c r="L159" s="16">
        <v>39.017299999999999</v>
      </c>
      <c r="M159" s="16">
        <v>38.86</v>
      </c>
      <c r="N159" s="16">
        <v>390.625</v>
      </c>
      <c r="O159" s="16">
        <f t="shared" si="12"/>
        <v>35.970862500000003</v>
      </c>
      <c r="P159" s="7"/>
      <c r="Q159" s="8">
        <f>bdrate(C159:C162,D159:D162,J159:J162,K159:K162)</f>
        <v>-0.41341613547942146</v>
      </c>
      <c r="R159" s="8">
        <f>bdrate(C159:C162,E159:E162,J159:J162,L159:L162)</f>
        <v>-0.55786872826497458</v>
      </c>
      <c r="S159" s="8">
        <f>bdrate(C159:C162,F159:F162,J159:J162,M159:M162)</f>
        <v>-0.51399852181120353</v>
      </c>
      <c r="T159" s="25">
        <f>bdrate(C159:C162,H159:H162,J159:J162,O159:O162)</f>
        <v>-0.43700614844892394</v>
      </c>
      <c r="U159" s="28">
        <f t="shared" si="13"/>
        <v>-0.12266418111580273</v>
      </c>
    </row>
    <row r="160" spans="1:21" x14ac:dyDescent="0.25">
      <c r="A160" s="9" t="s">
        <v>40</v>
      </c>
      <c r="B160" s="9"/>
      <c r="C160" s="17">
        <v>1053.92</v>
      </c>
      <c r="D160" s="18">
        <v>32.433</v>
      </c>
      <c r="E160" s="18">
        <v>36.356999999999999</v>
      </c>
      <c r="F160" s="18">
        <v>36.100999999999999</v>
      </c>
      <c r="G160" s="18">
        <v>552.49</v>
      </c>
      <c r="H160" s="18">
        <f t="shared" si="11"/>
        <v>33.382000000000005</v>
      </c>
      <c r="I160" s="5"/>
      <c r="J160" s="17">
        <v>806.10879999999997</v>
      </c>
      <c r="K160" s="18">
        <v>33.4084</v>
      </c>
      <c r="L160" s="18">
        <v>37.787300000000002</v>
      </c>
      <c r="M160" s="18">
        <v>37.509799999999998</v>
      </c>
      <c r="N160" s="18">
        <v>470.8098</v>
      </c>
      <c r="O160" s="18">
        <f t="shared" si="12"/>
        <v>34.4684375</v>
      </c>
      <c r="P160" s="7"/>
      <c r="Q160" s="10"/>
      <c r="R160" s="11"/>
      <c r="S160" s="11"/>
      <c r="T160" s="26"/>
      <c r="U160" s="28">
        <f t="shared" si="13"/>
        <v>-0.14784014190302089</v>
      </c>
    </row>
    <row r="161" spans="1:21" x14ac:dyDescent="0.25">
      <c r="B161" s="9"/>
      <c r="C161" s="17">
        <v>647.76</v>
      </c>
      <c r="D161" s="18">
        <v>30.478999999999999</v>
      </c>
      <c r="E161" s="18">
        <v>35.363999999999997</v>
      </c>
      <c r="F161" s="18">
        <v>34.950000000000003</v>
      </c>
      <c r="G161" s="18">
        <v>582.75</v>
      </c>
      <c r="H161" s="18">
        <f t="shared" si="11"/>
        <v>31.648499999999999</v>
      </c>
      <c r="I161" s="5"/>
      <c r="J161" s="17">
        <v>502.84</v>
      </c>
      <c r="K161" s="18">
        <v>31.606100000000001</v>
      </c>
      <c r="L161" s="18">
        <v>36.615499999999997</v>
      </c>
      <c r="M161" s="18">
        <v>36.1006</v>
      </c>
      <c r="N161" s="18">
        <v>524.65899999999999</v>
      </c>
      <c r="O161" s="18">
        <f t="shared" si="12"/>
        <v>32.794087500000003</v>
      </c>
      <c r="P161" s="7"/>
      <c r="Q161" s="10"/>
      <c r="R161" s="11"/>
      <c r="S161" s="11"/>
      <c r="T161" s="26"/>
      <c r="U161" s="28">
        <f t="shared" si="13"/>
        <v>-9.9684255684255693E-2</v>
      </c>
    </row>
    <row r="162" spans="1:21" ht="16.5" thickBot="1" x14ac:dyDescent="0.3">
      <c r="B162" s="12"/>
      <c r="C162" s="19">
        <v>395.4</v>
      </c>
      <c r="D162" s="20">
        <v>28.172000000000001</v>
      </c>
      <c r="E162" s="20">
        <v>34.387999999999998</v>
      </c>
      <c r="F162" s="20">
        <v>33.975000000000001</v>
      </c>
      <c r="G162" s="20">
        <v>628.14</v>
      </c>
      <c r="H162" s="20">
        <f t="shared" si="11"/>
        <v>29.674375000000001</v>
      </c>
      <c r="I162" s="5"/>
      <c r="J162" s="19">
        <v>301.25760000000002</v>
      </c>
      <c r="K162" s="20">
        <v>29.628699999999998</v>
      </c>
      <c r="L162" s="20">
        <v>35.2712</v>
      </c>
      <c r="M162" s="20">
        <v>34.6736</v>
      </c>
      <c r="N162" s="20">
        <v>640.20489999999995</v>
      </c>
      <c r="O162" s="20">
        <f t="shared" si="12"/>
        <v>30.964624999999998</v>
      </c>
      <c r="P162" s="7"/>
      <c r="Q162" s="13"/>
      <c r="R162" s="14"/>
      <c r="S162" s="14"/>
      <c r="T162" s="27"/>
      <c r="U162" s="28">
        <f t="shared" si="13"/>
        <v>1.9207342312223336E-2</v>
      </c>
    </row>
    <row r="163" spans="1:21" x14ac:dyDescent="0.25">
      <c r="B163" s="6" t="s">
        <v>54</v>
      </c>
      <c r="C163" s="15">
        <v>1571.77</v>
      </c>
      <c r="D163" s="16">
        <v>34.173999999999999</v>
      </c>
      <c r="E163" s="16">
        <v>39.08</v>
      </c>
      <c r="F163" s="16">
        <v>39.814999999999998</v>
      </c>
      <c r="G163" s="16">
        <v>458.02</v>
      </c>
      <c r="H163" s="16">
        <f t="shared" si="11"/>
        <v>35.492374999999996</v>
      </c>
      <c r="I163" s="5"/>
      <c r="J163" s="15">
        <v>1234.7719999999999</v>
      </c>
      <c r="K163" s="16">
        <v>35.172899999999998</v>
      </c>
      <c r="L163" s="16">
        <v>40.443600000000004</v>
      </c>
      <c r="M163" s="16">
        <v>41.311</v>
      </c>
      <c r="N163" s="16">
        <v>396.03960000000001</v>
      </c>
      <c r="O163" s="16">
        <f t="shared" si="12"/>
        <v>36.598999999999997</v>
      </c>
      <c r="P163" s="7"/>
      <c r="Q163" s="8">
        <f>bdrate(C163:C166,D163:D166,J163:J166,K163:K166)</f>
        <v>-0.44556134307906137</v>
      </c>
      <c r="R163" s="8">
        <f>bdrate(C163:C166,E163:E166,J163:J166,L163:L166)</f>
        <v>-0.53718714583320448</v>
      </c>
      <c r="S163" s="8">
        <f>bdrate(C163:C166,F163:F166,J163:J166,M163:M166)</f>
        <v>-0.51316874576604832</v>
      </c>
      <c r="T163" s="25">
        <f>bdrate(C163:C166,H163:H166,J163:J166,O163:O166)</f>
        <v>-0.45886770863973148</v>
      </c>
      <c r="U163" s="28">
        <f t="shared" ref="U163:U194" si="14">(N163-G163)/G163</f>
        <v>-0.1353224750010916</v>
      </c>
    </row>
    <row r="164" spans="1:21" x14ac:dyDescent="0.25">
      <c r="B164" s="9"/>
      <c r="C164" s="17">
        <v>1065</v>
      </c>
      <c r="D164" s="18">
        <v>32.344000000000001</v>
      </c>
      <c r="E164" s="18">
        <v>38.31</v>
      </c>
      <c r="F164" s="18">
        <v>38.991999999999997</v>
      </c>
      <c r="G164" s="18">
        <v>541.52</v>
      </c>
      <c r="H164" s="18">
        <f t="shared" si="11"/>
        <v>33.920750000000005</v>
      </c>
      <c r="I164" s="5"/>
      <c r="J164" s="17">
        <v>822.024</v>
      </c>
      <c r="K164" s="18">
        <v>33.608800000000002</v>
      </c>
      <c r="L164" s="18">
        <v>39.474600000000002</v>
      </c>
      <c r="M164" s="18">
        <v>40.2241</v>
      </c>
      <c r="N164" s="18">
        <v>463.32049999999998</v>
      </c>
      <c r="O164" s="18">
        <f t="shared" si="12"/>
        <v>35.168937500000006</v>
      </c>
      <c r="P164" s="7"/>
      <c r="Q164" s="10"/>
      <c r="R164" s="11"/>
      <c r="S164" s="11"/>
      <c r="T164" s="26"/>
      <c r="U164" s="28">
        <f t="shared" si="14"/>
        <v>-0.14440740877529917</v>
      </c>
    </row>
    <row r="165" spans="1:21" x14ac:dyDescent="0.25">
      <c r="B165" s="9"/>
      <c r="C165" s="17">
        <v>657.31</v>
      </c>
      <c r="D165" s="18">
        <v>29.917000000000002</v>
      </c>
      <c r="E165" s="18">
        <v>37.408999999999999</v>
      </c>
      <c r="F165" s="18">
        <v>37.963000000000001</v>
      </c>
      <c r="G165" s="18">
        <v>549.45000000000005</v>
      </c>
      <c r="H165" s="18">
        <f t="shared" si="11"/>
        <v>31.859249999999999</v>
      </c>
      <c r="I165" s="5"/>
      <c r="J165" s="17">
        <v>513.27200000000005</v>
      </c>
      <c r="K165" s="18">
        <v>31.6707</v>
      </c>
      <c r="L165" s="18">
        <v>38.401600000000002</v>
      </c>
      <c r="M165" s="18">
        <v>38.966500000000003</v>
      </c>
      <c r="N165" s="18">
        <v>549.45050000000003</v>
      </c>
      <c r="O165" s="18">
        <f t="shared" si="12"/>
        <v>33.424037500000004</v>
      </c>
      <c r="P165" s="7"/>
      <c r="Q165" s="10"/>
      <c r="R165" s="11"/>
      <c r="S165" s="11"/>
      <c r="T165" s="26"/>
      <c r="U165" s="28">
        <f t="shared" si="14"/>
        <v>9.1000090997939125E-7</v>
      </c>
    </row>
    <row r="166" spans="1:21" ht="16.5" thickBot="1" x14ac:dyDescent="0.3">
      <c r="B166" s="12"/>
      <c r="C166" s="19">
        <v>403.22</v>
      </c>
      <c r="D166" s="20">
        <v>27.097999999999999</v>
      </c>
      <c r="E166" s="20">
        <v>36.502000000000002</v>
      </c>
      <c r="F166" s="20">
        <v>37.026000000000003</v>
      </c>
      <c r="G166" s="20">
        <v>582.52</v>
      </c>
      <c r="H166" s="20">
        <f t="shared" si="11"/>
        <v>29.514500000000002</v>
      </c>
      <c r="I166" s="5"/>
      <c r="J166" s="19">
        <v>307.32400000000001</v>
      </c>
      <c r="K166" s="20">
        <v>29.556100000000001</v>
      </c>
      <c r="L166" s="20">
        <v>37.361400000000003</v>
      </c>
      <c r="M166" s="20">
        <v>37.791899999999998</v>
      </c>
      <c r="N166" s="20">
        <v>641.02560000000005</v>
      </c>
      <c r="O166" s="20">
        <f t="shared" si="12"/>
        <v>31.561237500000001</v>
      </c>
      <c r="P166" s="7"/>
      <c r="Q166" s="13"/>
      <c r="R166" s="14"/>
      <c r="S166" s="14"/>
      <c r="T166" s="27"/>
      <c r="U166" s="28">
        <f t="shared" si="14"/>
        <v>0.10043534985923243</v>
      </c>
    </row>
    <row r="167" spans="1:21" x14ac:dyDescent="0.25">
      <c r="B167" s="6" t="s">
        <v>55</v>
      </c>
      <c r="C167" s="15">
        <v>1434.52</v>
      </c>
      <c r="D167" s="16">
        <v>28.427</v>
      </c>
      <c r="E167" s="16">
        <v>34.868000000000002</v>
      </c>
      <c r="F167" s="16">
        <v>35.511000000000003</v>
      </c>
      <c r="G167" s="16">
        <v>517.05999999999995</v>
      </c>
      <c r="H167" s="16">
        <f t="shared" si="11"/>
        <v>30.117625</v>
      </c>
      <c r="I167" s="5"/>
      <c r="J167" s="15">
        <v>1215.1232</v>
      </c>
      <c r="K167" s="16">
        <v>30.297799999999999</v>
      </c>
      <c r="L167" s="16">
        <v>36.6723</v>
      </c>
      <c r="M167" s="16">
        <v>37.456000000000003</v>
      </c>
      <c r="N167" s="16">
        <v>348.43209999999999</v>
      </c>
      <c r="O167" s="16">
        <f t="shared" si="12"/>
        <v>31.989387499999999</v>
      </c>
      <c r="P167" s="7"/>
      <c r="Q167" s="8">
        <f>bdrate(C167:C170,D167:D170,J167:J170,K167:K170)</f>
        <v>-0.52323006841789843</v>
      </c>
      <c r="R167" s="8">
        <f>bdrate(C167:C170,E167:E170,J167:J170,L167:L170)</f>
        <v>-0.62797865319718715</v>
      </c>
      <c r="S167" s="8">
        <f>bdrate(C167:C170,F167:F170,J167:J170,M167:M170)</f>
        <v>-0.6362614631456629</v>
      </c>
      <c r="T167" s="25">
        <f>bdrate(C167:C170,H167:H170,J167:J170,O167:O170)</f>
        <v>-0.54075125781196443</v>
      </c>
      <c r="U167" s="28">
        <f t="shared" si="14"/>
        <v>-0.32612830232468182</v>
      </c>
    </row>
    <row r="168" spans="1:21" x14ac:dyDescent="0.25">
      <c r="B168" s="9"/>
      <c r="C168" s="17">
        <v>970.93</v>
      </c>
      <c r="D168" s="18">
        <v>27.15</v>
      </c>
      <c r="E168" s="18">
        <v>34.441000000000003</v>
      </c>
      <c r="F168" s="18">
        <v>35.112000000000002</v>
      </c>
      <c r="G168" s="18">
        <v>582.75</v>
      </c>
      <c r="H168" s="18">
        <f t="shared" si="11"/>
        <v>29.056624999999997</v>
      </c>
      <c r="I168" s="5"/>
      <c r="J168" s="17">
        <v>809.06640000000004</v>
      </c>
      <c r="K168" s="18">
        <v>28.9481</v>
      </c>
      <c r="L168" s="18">
        <v>35.876199999999997</v>
      </c>
      <c r="M168" s="18">
        <v>36.647500000000001</v>
      </c>
      <c r="N168" s="18">
        <v>444.8399</v>
      </c>
      <c r="O168" s="18">
        <f t="shared" si="12"/>
        <v>30.7765375</v>
      </c>
      <c r="P168" s="7"/>
      <c r="Q168" s="10"/>
      <c r="R168" s="11"/>
      <c r="S168" s="11"/>
      <c r="T168" s="26"/>
      <c r="U168" s="28">
        <f t="shared" si="14"/>
        <v>-0.23665396825396826</v>
      </c>
    </row>
    <row r="169" spans="1:21" x14ac:dyDescent="0.25">
      <c r="B169" s="9"/>
      <c r="C169" s="17">
        <v>603.51</v>
      </c>
      <c r="D169" s="18">
        <v>25.675000000000001</v>
      </c>
      <c r="E169" s="18">
        <v>33.954000000000001</v>
      </c>
      <c r="F169" s="18">
        <v>34.651000000000003</v>
      </c>
      <c r="G169" s="18">
        <v>628.92999999999995</v>
      </c>
      <c r="H169" s="18">
        <f t="shared" si="11"/>
        <v>27.831875000000004</v>
      </c>
      <c r="I169" s="5"/>
      <c r="J169" s="17">
        <v>507.83440000000002</v>
      </c>
      <c r="K169" s="18">
        <v>27.447800000000001</v>
      </c>
      <c r="L169" s="18">
        <v>34.991999999999997</v>
      </c>
      <c r="M169" s="18">
        <v>35.723199999999999</v>
      </c>
      <c r="N169" s="18">
        <v>501.00200000000001</v>
      </c>
      <c r="O169" s="18">
        <f t="shared" si="12"/>
        <v>29.425249999999998</v>
      </c>
      <c r="P169" s="7"/>
      <c r="Q169" s="10"/>
      <c r="R169" s="11"/>
      <c r="S169" s="11"/>
      <c r="T169" s="26"/>
      <c r="U169" s="28">
        <f t="shared" si="14"/>
        <v>-0.20340578442751966</v>
      </c>
    </row>
    <row r="170" spans="1:21" ht="16.5" thickBot="1" x14ac:dyDescent="0.3">
      <c r="B170" s="12"/>
      <c r="C170" s="19">
        <v>370.5</v>
      </c>
      <c r="D170" s="20">
        <v>24.152000000000001</v>
      </c>
      <c r="E170" s="20">
        <v>33.509</v>
      </c>
      <c r="F170" s="20">
        <v>34.234000000000002</v>
      </c>
      <c r="G170" s="20">
        <v>654.45000000000005</v>
      </c>
      <c r="H170" s="20">
        <f t="shared" si="11"/>
        <v>26.581875</v>
      </c>
      <c r="I170" s="5"/>
      <c r="J170" s="19">
        <v>305.85359999999997</v>
      </c>
      <c r="K170" s="20">
        <v>25.8734</v>
      </c>
      <c r="L170" s="20">
        <v>34.138399999999997</v>
      </c>
      <c r="M170" s="20">
        <v>34.826799999999999</v>
      </c>
      <c r="N170" s="20">
        <v>561.79780000000005</v>
      </c>
      <c r="O170" s="20">
        <f t="shared" si="12"/>
        <v>28.025699999999997</v>
      </c>
      <c r="P170" s="7"/>
      <c r="Q170" s="13"/>
      <c r="R170" s="14"/>
      <c r="S170" s="14"/>
      <c r="T170" s="27"/>
      <c r="U170" s="28">
        <f t="shared" si="14"/>
        <v>-0.14157261822904726</v>
      </c>
    </row>
    <row r="171" spans="1:21" x14ac:dyDescent="0.25">
      <c r="B171" s="6" t="s">
        <v>56</v>
      </c>
      <c r="C171" s="15">
        <v>1430.52</v>
      </c>
      <c r="D171" s="16">
        <v>32.164000000000001</v>
      </c>
      <c r="E171" s="16">
        <v>36.247999999999998</v>
      </c>
      <c r="F171" s="16">
        <v>37.813000000000002</v>
      </c>
      <c r="G171" s="16">
        <v>392.67</v>
      </c>
      <c r="H171" s="16">
        <f t="shared" si="11"/>
        <v>33.380625000000002</v>
      </c>
      <c r="I171" s="5"/>
      <c r="J171" s="15">
        <v>1203.9456</v>
      </c>
      <c r="K171" s="16">
        <v>32.360300000000002</v>
      </c>
      <c r="L171" s="16">
        <v>36.856400000000001</v>
      </c>
      <c r="M171" s="16">
        <v>38.395099999999999</v>
      </c>
      <c r="N171" s="16">
        <v>274.7253</v>
      </c>
      <c r="O171" s="16">
        <f t="shared" si="12"/>
        <v>33.676662500000006</v>
      </c>
      <c r="P171" s="7"/>
      <c r="Q171" s="8">
        <f>bdrate(C171:C174,D171:D174,J171:J174,K171:K174)</f>
        <v>-0.26217128514754262</v>
      </c>
      <c r="R171" s="8">
        <f>bdrate(C171:C174,E171:E174,J171:J174,L171:L174)</f>
        <v>-0.3060942256703274</v>
      </c>
      <c r="S171" s="8">
        <f>bdrate(C171:C174,F171:F174,J171:J174,M171:M174)</f>
        <v>-0.31604514283352259</v>
      </c>
      <c r="T171" s="25">
        <f>bdrate(C171:C174,H171:H174,J171:J174,O171:O174)</f>
        <v>-0.27146323219147417</v>
      </c>
      <c r="U171" s="28">
        <f t="shared" si="14"/>
        <v>-0.30036595614638245</v>
      </c>
    </row>
    <row r="172" spans="1:21" x14ac:dyDescent="0.25">
      <c r="B172" s="9"/>
      <c r="C172" s="17">
        <v>976.5</v>
      </c>
      <c r="D172" s="18">
        <v>30.556999999999999</v>
      </c>
      <c r="E172" s="18">
        <v>35.567</v>
      </c>
      <c r="F172" s="18">
        <v>37.100999999999999</v>
      </c>
      <c r="G172" s="18">
        <v>447.09</v>
      </c>
      <c r="H172" s="18">
        <f t="shared" si="11"/>
        <v>32.001249999999999</v>
      </c>
      <c r="I172" s="5"/>
      <c r="J172" s="17">
        <v>802.02959999999996</v>
      </c>
      <c r="K172" s="18">
        <v>30.802099999999999</v>
      </c>
      <c r="L172" s="18">
        <v>35.939900000000002</v>
      </c>
      <c r="M172" s="18">
        <v>37.5122</v>
      </c>
      <c r="N172" s="18">
        <v>337.45780000000002</v>
      </c>
      <c r="O172" s="18">
        <f t="shared" si="12"/>
        <v>32.283087500000001</v>
      </c>
      <c r="P172" s="7"/>
      <c r="Q172" s="10"/>
      <c r="R172" s="11"/>
      <c r="S172" s="11"/>
      <c r="T172" s="26"/>
      <c r="U172" s="28">
        <f t="shared" si="14"/>
        <v>-0.24521282068487321</v>
      </c>
    </row>
    <row r="173" spans="1:21" x14ac:dyDescent="0.25">
      <c r="B173" s="9"/>
      <c r="C173" s="17">
        <v>615.01</v>
      </c>
      <c r="D173" s="18">
        <v>28.638999999999999</v>
      </c>
      <c r="E173" s="18">
        <v>34.786999999999999</v>
      </c>
      <c r="F173" s="18">
        <v>36.255000000000003</v>
      </c>
      <c r="G173" s="18">
        <v>427.35</v>
      </c>
      <c r="H173" s="18">
        <f t="shared" si="11"/>
        <v>30.359500000000001</v>
      </c>
      <c r="I173" s="5"/>
      <c r="J173" s="17">
        <v>500.91359999999997</v>
      </c>
      <c r="K173" s="18">
        <v>29.1203</v>
      </c>
      <c r="L173" s="18">
        <v>35.0274</v>
      </c>
      <c r="M173" s="18">
        <v>36.552500000000002</v>
      </c>
      <c r="N173" s="18">
        <v>401.06950000000001</v>
      </c>
      <c r="O173" s="18">
        <f t="shared" si="12"/>
        <v>30.787712500000001</v>
      </c>
      <c r="P173" s="7"/>
      <c r="Q173" s="10"/>
      <c r="R173" s="11"/>
      <c r="S173" s="11"/>
      <c r="T173" s="26"/>
      <c r="U173" s="28">
        <f t="shared" si="14"/>
        <v>-6.1496431496431532E-2</v>
      </c>
    </row>
    <row r="174" spans="1:21" ht="16.5" thickBot="1" x14ac:dyDescent="0.3">
      <c r="B174" s="12"/>
      <c r="C174" s="19">
        <v>379.75</v>
      </c>
      <c r="D174" s="20">
        <v>26.513999999999999</v>
      </c>
      <c r="E174" s="20">
        <v>33.887</v>
      </c>
      <c r="F174" s="20">
        <v>35.267000000000003</v>
      </c>
      <c r="G174" s="20">
        <v>534.76</v>
      </c>
      <c r="H174" s="20">
        <f t="shared" si="11"/>
        <v>28.52975</v>
      </c>
      <c r="I174" s="5"/>
      <c r="J174" s="19">
        <v>300.15199999999999</v>
      </c>
      <c r="K174" s="20">
        <v>27.5139</v>
      </c>
      <c r="L174" s="20">
        <v>34.097299999999997</v>
      </c>
      <c r="M174" s="20">
        <v>35.533999999999999</v>
      </c>
      <c r="N174" s="20">
        <v>458.01530000000002</v>
      </c>
      <c r="O174" s="20">
        <f t="shared" si="12"/>
        <v>29.339337499999996</v>
      </c>
      <c r="P174" s="7"/>
      <c r="Q174" s="13"/>
      <c r="R174" s="14"/>
      <c r="S174" s="14"/>
      <c r="T174" s="27"/>
      <c r="U174" s="28">
        <f t="shared" si="14"/>
        <v>-0.14351241678509979</v>
      </c>
    </row>
    <row r="175" spans="1:21" x14ac:dyDescent="0.25">
      <c r="A175" s="6" t="s">
        <v>41</v>
      </c>
      <c r="B175" s="6" t="s">
        <v>57</v>
      </c>
      <c r="C175" s="15">
        <v>850.11</v>
      </c>
      <c r="D175" s="16">
        <v>34.750999999999998</v>
      </c>
      <c r="E175" s="16">
        <v>38.750999999999998</v>
      </c>
      <c r="F175" s="16">
        <v>37.621000000000002</v>
      </c>
      <c r="G175" s="16">
        <v>1457.73</v>
      </c>
      <c r="H175" s="16">
        <f t="shared" si="11"/>
        <v>35.609749999999998</v>
      </c>
      <c r="I175" s="5"/>
      <c r="J175" s="15">
        <v>601.71439999999996</v>
      </c>
      <c r="K175" s="16">
        <v>34.334299999999999</v>
      </c>
      <c r="L175" s="16">
        <v>39.618600000000001</v>
      </c>
      <c r="M175" s="16">
        <v>38.152500000000003</v>
      </c>
      <c r="N175" s="16">
        <v>943.39620000000002</v>
      </c>
      <c r="O175" s="16">
        <f t="shared" si="12"/>
        <v>35.472112499999994</v>
      </c>
      <c r="P175" s="7"/>
      <c r="Q175" s="8">
        <f>bdrate(C175:C178,D175:D178,J175:J178,K175:K178)</f>
        <v>-0.27057745625795981</v>
      </c>
      <c r="R175" s="8">
        <f>bdrate(C175:C178,E175:E178,J175:J178,L175:L178)</f>
        <v>-0.43995106358146163</v>
      </c>
      <c r="S175" s="8">
        <f>bdrate(C175:C178,F175:F178,J175:J178,M175:M178)</f>
        <v>-0.35085382510972685</v>
      </c>
      <c r="T175" s="25">
        <f>bdrate(C175:C178,H175:H178,J175:J178,O175:O178)</f>
        <v>-0.29117467924537122</v>
      </c>
      <c r="U175" s="28">
        <f t="shared" si="14"/>
        <v>-0.35283200592702352</v>
      </c>
    </row>
    <row r="176" spans="1:21" x14ac:dyDescent="0.25">
      <c r="A176" s="9" t="s">
        <v>42</v>
      </c>
      <c r="B176" s="9"/>
      <c r="C176" s="17">
        <v>531.82000000000005</v>
      </c>
      <c r="D176" s="18">
        <v>32.515999999999998</v>
      </c>
      <c r="E176" s="18">
        <v>37.652000000000001</v>
      </c>
      <c r="F176" s="18">
        <v>36.243000000000002</v>
      </c>
      <c r="G176" s="18">
        <v>1683.5</v>
      </c>
      <c r="H176" s="18">
        <f t="shared" si="11"/>
        <v>33.623874999999998</v>
      </c>
      <c r="I176" s="5"/>
      <c r="J176" s="17">
        <v>402.13200000000001</v>
      </c>
      <c r="K176" s="18">
        <v>32.502000000000002</v>
      </c>
      <c r="L176" s="18">
        <v>38.444099999999999</v>
      </c>
      <c r="M176" s="18">
        <v>36.81</v>
      </c>
      <c r="N176" s="18">
        <v>1068.3761</v>
      </c>
      <c r="O176" s="18">
        <f t="shared" si="12"/>
        <v>33.783262499999999</v>
      </c>
      <c r="P176" s="7"/>
      <c r="Q176" s="10"/>
      <c r="R176" s="11"/>
      <c r="S176" s="11"/>
      <c r="T176" s="26"/>
      <c r="U176" s="28">
        <f t="shared" si="14"/>
        <v>-0.365383961983962</v>
      </c>
    </row>
    <row r="177" spans="1:21" x14ac:dyDescent="0.25">
      <c r="B177" s="9"/>
      <c r="C177" s="17">
        <v>321.74</v>
      </c>
      <c r="D177" s="18">
        <v>30.224</v>
      </c>
      <c r="E177" s="18">
        <v>36.68</v>
      </c>
      <c r="F177" s="18">
        <v>35.081000000000003</v>
      </c>
      <c r="G177" s="18">
        <v>1524.39</v>
      </c>
      <c r="H177" s="18">
        <f t="shared" si="11"/>
        <v>31.638125000000002</v>
      </c>
      <c r="I177" s="5"/>
      <c r="J177" s="17">
        <v>252.59280000000001</v>
      </c>
      <c r="K177" s="18">
        <v>30.5428</v>
      </c>
      <c r="L177" s="18">
        <v>37.370399999999997</v>
      </c>
      <c r="M177" s="18">
        <v>35.5595</v>
      </c>
      <c r="N177" s="18">
        <v>1144.1648</v>
      </c>
      <c r="O177" s="18">
        <f t="shared" si="12"/>
        <v>32.023337499999997</v>
      </c>
      <c r="P177" s="7"/>
      <c r="Q177" s="10"/>
      <c r="R177" s="11"/>
      <c r="S177" s="11"/>
      <c r="T177" s="26"/>
      <c r="U177" s="28">
        <f t="shared" si="14"/>
        <v>-0.24942777110844341</v>
      </c>
    </row>
    <row r="178" spans="1:21" ht="16.5" thickBot="1" x14ac:dyDescent="0.3">
      <c r="B178" s="12"/>
      <c r="C178" s="19">
        <v>165.06</v>
      </c>
      <c r="D178" s="20">
        <v>27.103999999999999</v>
      </c>
      <c r="E178" s="20">
        <v>35.418999999999997</v>
      </c>
      <c r="F178" s="20">
        <v>33.722000000000001</v>
      </c>
      <c r="G178" s="20">
        <v>1689.19</v>
      </c>
      <c r="H178" s="20">
        <f t="shared" si="11"/>
        <v>28.970625000000002</v>
      </c>
      <c r="I178" s="5"/>
      <c r="J178" s="19">
        <v>121.68640000000001</v>
      </c>
      <c r="K178" s="20">
        <v>27.680599999999998</v>
      </c>
      <c r="L178" s="20">
        <v>35.7547</v>
      </c>
      <c r="M178" s="20">
        <v>33.615299999999998</v>
      </c>
      <c r="N178" s="20">
        <v>1886.7925</v>
      </c>
      <c r="O178" s="20">
        <f t="shared" si="12"/>
        <v>29.431699999999999</v>
      </c>
      <c r="P178" s="7"/>
      <c r="Q178" s="13"/>
      <c r="R178" s="14"/>
      <c r="S178" s="14"/>
      <c r="T178" s="27"/>
      <c r="U178" s="28">
        <f t="shared" si="14"/>
        <v>0.11698062384930052</v>
      </c>
    </row>
    <row r="179" spans="1:21" x14ac:dyDescent="0.25">
      <c r="B179" s="6" t="s">
        <v>58</v>
      </c>
      <c r="C179" s="15">
        <v>740.86</v>
      </c>
      <c r="D179" s="16">
        <v>30.843</v>
      </c>
      <c r="E179" s="16">
        <v>38.604999999999997</v>
      </c>
      <c r="F179" s="16">
        <v>39.046999999999997</v>
      </c>
      <c r="G179" s="16">
        <v>1604.28</v>
      </c>
      <c r="H179" s="16">
        <f t="shared" si="11"/>
        <v>32.838749999999997</v>
      </c>
      <c r="I179" s="5"/>
      <c r="J179" s="15">
        <v>599.44719999999995</v>
      </c>
      <c r="K179" s="16">
        <v>33.597000000000001</v>
      </c>
      <c r="L179" s="16">
        <v>41.282699999999998</v>
      </c>
      <c r="M179" s="16">
        <v>42.087200000000003</v>
      </c>
      <c r="N179" s="16">
        <v>1129.9435000000001</v>
      </c>
      <c r="O179" s="16">
        <f t="shared" si="12"/>
        <v>35.618987500000003</v>
      </c>
      <c r="P179" s="7"/>
      <c r="Q179" s="8">
        <f>bdrate(C179:C182,D179:D182,J179:J182,K179:K182)</f>
        <v>-0.66368506172268726</v>
      </c>
      <c r="R179" s="8">
        <f>bdrate(C179:C182,E179:E182,J179:J182,L179:L182)</f>
        <v>-0.77569475078320338</v>
      </c>
      <c r="S179" s="8">
        <f>bdrate(C179:C182,F179:F182,J179:J182,M179:M182)</f>
        <v>-0.79581032526640461</v>
      </c>
      <c r="T179" s="25">
        <f>bdrate(C179:C182,H179:H182,J179:J182,O179:O182)</f>
        <v>-0.68191616928068854</v>
      </c>
      <c r="U179" s="28">
        <f t="shared" si="14"/>
        <v>-0.29566939686339039</v>
      </c>
    </row>
    <row r="180" spans="1:21" x14ac:dyDescent="0.25">
      <c r="B180" s="9"/>
      <c r="C180" s="17">
        <v>461.9</v>
      </c>
      <c r="D180" s="18">
        <v>29.105</v>
      </c>
      <c r="E180" s="18">
        <v>38.067999999999998</v>
      </c>
      <c r="F180" s="18">
        <v>38.445</v>
      </c>
      <c r="G180" s="18">
        <v>1923.08</v>
      </c>
      <c r="H180" s="18">
        <f t="shared" si="11"/>
        <v>31.392874999999997</v>
      </c>
      <c r="I180" s="5"/>
      <c r="J180" s="17">
        <v>398.89839999999998</v>
      </c>
      <c r="K180" s="18">
        <v>32.302500000000002</v>
      </c>
      <c r="L180" s="18">
        <v>40.409300000000002</v>
      </c>
      <c r="M180" s="18">
        <v>41.160200000000003</v>
      </c>
      <c r="N180" s="18">
        <v>1282.0513000000001</v>
      </c>
      <c r="O180" s="18">
        <f t="shared" si="12"/>
        <v>34.4230625</v>
      </c>
      <c r="P180" s="7"/>
      <c r="Q180" s="10"/>
      <c r="R180" s="11"/>
      <c r="S180" s="11"/>
      <c r="T180" s="26"/>
      <c r="U180" s="28">
        <f t="shared" si="14"/>
        <v>-0.33333439066497489</v>
      </c>
    </row>
    <row r="181" spans="1:21" x14ac:dyDescent="0.25">
      <c r="B181" s="9"/>
      <c r="C181" s="17">
        <v>275.7</v>
      </c>
      <c r="D181" s="18">
        <v>27.440999999999999</v>
      </c>
      <c r="E181" s="18">
        <v>37.655000000000001</v>
      </c>
      <c r="F181" s="18">
        <v>37.749000000000002</v>
      </c>
      <c r="G181" s="18">
        <v>1923.08</v>
      </c>
      <c r="H181" s="18">
        <f t="shared" si="11"/>
        <v>30.006249999999998</v>
      </c>
      <c r="I181" s="5"/>
      <c r="J181" s="17">
        <v>249.5624</v>
      </c>
      <c r="K181" s="18">
        <v>30.7806</v>
      </c>
      <c r="L181" s="18">
        <v>39.431699999999999</v>
      </c>
      <c r="M181" s="18">
        <v>40.055700000000002</v>
      </c>
      <c r="N181" s="18">
        <v>1538.4614999999999</v>
      </c>
      <c r="O181" s="18">
        <f t="shared" si="12"/>
        <v>33.021375000000006</v>
      </c>
      <c r="P181" s="7"/>
      <c r="Q181" s="10"/>
      <c r="R181" s="11"/>
      <c r="S181" s="11"/>
      <c r="T181" s="26"/>
      <c r="U181" s="28">
        <f t="shared" si="14"/>
        <v>-0.20000129999792002</v>
      </c>
    </row>
    <row r="182" spans="1:21" ht="16.5" thickBot="1" x14ac:dyDescent="0.3">
      <c r="B182" s="12"/>
      <c r="C182" s="19">
        <v>136.34</v>
      </c>
      <c r="D182" s="20">
        <v>25.28</v>
      </c>
      <c r="E182" s="20">
        <v>37.079000000000001</v>
      </c>
      <c r="F182" s="20">
        <v>37.093000000000004</v>
      </c>
      <c r="G182" s="20">
        <v>1829.27</v>
      </c>
      <c r="H182" s="20">
        <f t="shared" si="11"/>
        <v>28.231500000000004</v>
      </c>
      <c r="I182" s="5"/>
      <c r="J182" s="19">
        <v>120.2304</v>
      </c>
      <c r="K182" s="20">
        <v>28.193300000000001</v>
      </c>
      <c r="L182" s="20">
        <v>38.144399999999997</v>
      </c>
      <c r="M182" s="20">
        <v>38.719000000000001</v>
      </c>
      <c r="N182" s="20">
        <v>1749.2710999999999</v>
      </c>
      <c r="O182" s="20">
        <f t="shared" si="12"/>
        <v>30.7529</v>
      </c>
      <c r="P182" s="7"/>
      <c r="Q182" s="13"/>
      <c r="R182" s="14"/>
      <c r="S182" s="14"/>
      <c r="T182" s="27"/>
      <c r="U182" s="28">
        <f t="shared" si="14"/>
        <v>-4.3732691182821588E-2</v>
      </c>
    </row>
    <row r="183" spans="1:21" x14ac:dyDescent="0.25">
      <c r="B183" s="6" t="s">
        <v>59</v>
      </c>
      <c r="C183" s="29">
        <v>836.75</v>
      </c>
      <c r="D183" s="30">
        <v>32.526000000000003</v>
      </c>
      <c r="E183" s="30">
        <v>36.087000000000003</v>
      </c>
      <c r="F183" s="30">
        <v>36.493000000000002</v>
      </c>
      <c r="G183" s="16">
        <v>1524.39</v>
      </c>
      <c r="H183" s="16">
        <f t="shared" si="11"/>
        <v>33.466999999999999</v>
      </c>
      <c r="I183" s="5"/>
      <c r="J183" s="29">
        <v>638.72</v>
      </c>
      <c r="K183" s="30">
        <v>33.088999999999999</v>
      </c>
      <c r="L183" s="30">
        <v>38.058</v>
      </c>
      <c r="M183" s="30">
        <v>38.820099999999996</v>
      </c>
      <c r="N183" s="16">
        <v>915.7509</v>
      </c>
      <c r="O183" s="16">
        <f t="shared" si="12"/>
        <v>34.426512500000001</v>
      </c>
      <c r="P183" s="7"/>
      <c r="Q183" s="8">
        <f>bdrate(C183:C186,D183:D186,J183:J186,K183:K186)</f>
        <v>-0.37373807493365441</v>
      </c>
      <c r="R183" s="8">
        <f>bdrate(C183:C186,E183:E186,J183:J186,L183:L186)</f>
        <v>-0.62434970300621084</v>
      </c>
      <c r="S183" s="8">
        <f>bdrate(C183:C186,F183:F186,J183:J186,M183:M186)</f>
        <v>-0.67900105178941206</v>
      </c>
      <c r="T183" s="25">
        <f>bdrate(C183:C186,H183:H186,J183:J186,O183:O186)</f>
        <v>-0.42892611633269773</v>
      </c>
      <c r="U183" s="28">
        <f t="shared" si="14"/>
        <v>-0.39926731348277017</v>
      </c>
    </row>
    <row r="184" spans="1:21" x14ac:dyDescent="0.25">
      <c r="B184" s="9"/>
      <c r="C184" s="31">
        <v>522.47</v>
      </c>
      <c r="D184" s="32">
        <v>30.635999999999999</v>
      </c>
      <c r="E184" s="32">
        <v>35.194000000000003</v>
      </c>
      <c r="F184" s="32">
        <v>35.621000000000002</v>
      </c>
      <c r="G184" s="18">
        <v>1689.19</v>
      </c>
      <c r="H184" s="18">
        <f t="shared" si="11"/>
        <v>31.828875</v>
      </c>
      <c r="I184" s="5"/>
      <c r="J184" s="31">
        <v>427.41120000000001</v>
      </c>
      <c r="K184" s="32">
        <v>31.593499999999999</v>
      </c>
      <c r="L184" s="32">
        <v>37.042499999999997</v>
      </c>
      <c r="M184" s="32">
        <v>37.793399999999998</v>
      </c>
      <c r="N184" s="18">
        <v>1144.1648</v>
      </c>
      <c r="O184" s="18">
        <f t="shared" si="12"/>
        <v>33.049612499999995</v>
      </c>
      <c r="P184" s="7"/>
      <c r="Q184" s="10"/>
      <c r="R184" s="11"/>
      <c r="S184" s="11"/>
      <c r="T184" s="26"/>
      <c r="U184" s="28">
        <f t="shared" si="14"/>
        <v>-0.32265476352571354</v>
      </c>
    </row>
    <row r="185" spans="1:21" x14ac:dyDescent="0.25">
      <c r="B185" s="9"/>
      <c r="C185" s="31">
        <v>311.39999999999998</v>
      </c>
      <c r="D185" s="32">
        <v>28.757000000000001</v>
      </c>
      <c r="E185" s="32">
        <v>34.347000000000001</v>
      </c>
      <c r="F185" s="32">
        <v>34.811</v>
      </c>
      <c r="G185" s="18">
        <v>1785.71</v>
      </c>
      <c r="H185" s="18">
        <f t="shared" si="11"/>
        <v>30.212500000000002</v>
      </c>
      <c r="I185" s="5"/>
      <c r="J185" s="31">
        <v>264.94880000000001</v>
      </c>
      <c r="K185" s="32">
        <v>29.853300000000001</v>
      </c>
      <c r="L185" s="32">
        <v>35.845399999999998</v>
      </c>
      <c r="M185" s="32">
        <v>36.535800000000002</v>
      </c>
      <c r="N185" s="18">
        <v>1333.3333</v>
      </c>
      <c r="O185" s="18">
        <f t="shared" si="12"/>
        <v>31.437624999999997</v>
      </c>
      <c r="P185" s="7"/>
      <c r="Q185" s="10"/>
      <c r="R185" s="11"/>
      <c r="S185" s="11"/>
      <c r="T185" s="26"/>
      <c r="U185" s="28">
        <f t="shared" si="14"/>
        <v>-0.25333155999574403</v>
      </c>
    </row>
    <row r="186" spans="1:21" ht="16.5" thickBot="1" x14ac:dyDescent="0.3">
      <c r="B186" s="12"/>
      <c r="C186" s="33">
        <v>152.97</v>
      </c>
      <c r="D186" s="34">
        <v>26.361999999999998</v>
      </c>
      <c r="E186" s="34">
        <v>33.511000000000003</v>
      </c>
      <c r="F186" s="34">
        <v>34.009</v>
      </c>
      <c r="G186" s="20">
        <v>1779.36</v>
      </c>
      <c r="H186" s="20">
        <f t="shared" si="11"/>
        <v>28.211500000000001</v>
      </c>
      <c r="I186" s="5"/>
      <c r="J186" s="33">
        <v>127.00320000000001</v>
      </c>
      <c r="K186" s="34">
        <v>27.4345</v>
      </c>
      <c r="L186" s="34">
        <v>34.3414</v>
      </c>
      <c r="M186" s="34">
        <v>35.111899999999999</v>
      </c>
      <c r="N186" s="20">
        <v>1779.3594000000001</v>
      </c>
      <c r="O186" s="20">
        <f t="shared" si="12"/>
        <v>29.257537499999998</v>
      </c>
      <c r="P186" s="7"/>
      <c r="Q186" s="13"/>
      <c r="R186" s="14"/>
      <c r="S186" s="14"/>
      <c r="T186" s="27"/>
      <c r="U186" s="28">
        <f t="shared" si="14"/>
        <v>-3.3719989201139043E-7</v>
      </c>
    </row>
    <row r="187" spans="1:21" x14ac:dyDescent="0.25">
      <c r="B187" s="6" t="s">
        <v>60</v>
      </c>
      <c r="C187" s="15">
        <v>767.85</v>
      </c>
      <c r="D187" s="16">
        <v>34.536999999999999</v>
      </c>
      <c r="E187" s="16">
        <v>37.01</v>
      </c>
      <c r="F187" s="16">
        <v>38.076000000000001</v>
      </c>
      <c r="G187" s="16">
        <v>1127.82</v>
      </c>
      <c r="H187" s="16">
        <f t="shared" si="11"/>
        <v>35.288499999999999</v>
      </c>
      <c r="I187" s="5"/>
      <c r="J187" s="15">
        <v>601.66639999999995</v>
      </c>
      <c r="K187" s="16">
        <v>33.9315</v>
      </c>
      <c r="L187" s="16">
        <v>37.709499999999998</v>
      </c>
      <c r="M187" s="16">
        <v>38.797600000000003</v>
      </c>
      <c r="N187" s="16">
        <v>601.20240000000001</v>
      </c>
      <c r="O187" s="16">
        <f t="shared" si="12"/>
        <v>35.012012499999997</v>
      </c>
      <c r="P187" s="7"/>
      <c r="Q187" s="8">
        <f>bdrate(C187:C190,D187:D190,J187:J190,K187:K190)</f>
        <v>-0.1596195053803745</v>
      </c>
      <c r="R187" s="8">
        <f>bdrate(C187:C190,E187:E190,J187:J190,L187:L190)</f>
        <v>-0.35909970466015817</v>
      </c>
      <c r="S187" s="8">
        <f>bdrate(C187:C190,F187:F190,J187:J190,M187:M190)</f>
        <v>-0.35281461208120601</v>
      </c>
      <c r="T187" s="25">
        <f>bdrate(C187:C190,H187:H190,J187:J190,O187:O190)</f>
        <v>-0.19280065799200108</v>
      </c>
      <c r="U187" s="28">
        <f t="shared" si="14"/>
        <v>-0.46693408522636587</v>
      </c>
    </row>
    <row r="188" spans="1:21" x14ac:dyDescent="0.25">
      <c r="B188" s="9"/>
      <c r="C188" s="17">
        <v>481.17</v>
      </c>
      <c r="D188" s="18">
        <v>32.296999999999997</v>
      </c>
      <c r="E188" s="18">
        <v>35.828000000000003</v>
      </c>
      <c r="F188" s="18">
        <v>36.878999999999998</v>
      </c>
      <c r="G188" s="18">
        <v>1477.83</v>
      </c>
      <c r="H188" s="18">
        <f t="shared" si="11"/>
        <v>33.311124999999997</v>
      </c>
      <c r="I188" s="5"/>
      <c r="J188" s="17">
        <v>401.01440000000002</v>
      </c>
      <c r="K188" s="18">
        <v>32.0914</v>
      </c>
      <c r="L188" s="18">
        <v>36.545400000000001</v>
      </c>
      <c r="M188" s="18">
        <v>37.635399999999997</v>
      </c>
      <c r="N188" s="18">
        <v>769.23080000000004</v>
      </c>
      <c r="O188" s="18">
        <f t="shared" si="12"/>
        <v>33.341149999999999</v>
      </c>
      <c r="P188" s="7"/>
      <c r="Q188" s="10"/>
      <c r="R188" s="11"/>
      <c r="S188" s="11"/>
      <c r="T188" s="26"/>
      <c r="U188" s="28">
        <f t="shared" si="14"/>
        <v>-0.47948627379333209</v>
      </c>
    </row>
    <row r="189" spans="1:21" x14ac:dyDescent="0.25">
      <c r="B189" s="9"/>
      <c r="C189" s="17">
        <v>290.48</v>
      </c>
      <c r="D189" s="18">
        <v>30.097999999999999</v>
      </c>
      <c r="E189" s="18">
        <v>34.743000000000002</v>
      </c>
      <c r="F189" s="18">
        <v>35.795999999999999</v>
      </c>
      <c r="G189" s="18">
        <v>1485.15</v>
      </c>
      <c r="H189" s="18">
        <f t="shared" si="11"/>
        <v>31.390874999999998</v>
      </c>
      <c r="I189" s="5"/>
      <c r="J189" s="17">
        <v>251.14879999999999</v>
      </c>
      <c r="K189" s="18">
        <v>30.194500000000001</v>
      </c>
      <c r="L189" s="18">
        <v>35.350999999999999</v>
      </c>
      <c r="M189" s="18">
        <v>36.377800000000001</v>
      </c>
      <c r="N189" s="18">
        <v>917.43119999999999</v>
      </c>
      <c r="O189" s="18">
        <f t="shared" si="12"/>
        <v>31.611975000000001</v>
      </c>
      <c r="P189" s="7"/>
      <c r="Q189" s="10"/>
      <c r="R189" s="11"/>
      <c r="S189" s="11"/>
      <c r="T189" s="26"/>
      <c r="U189" s="28">
        <f t="shared" si="14"/>
        <v>-0.38226360973639029</v>
      </c>
    </row>
    <row r="190" spans="1:21" ht="16.5" thickBot="1" x14ac:dyDescent="0.3">
      <c r="B190" s="12"/>
      <c r="C190" s="19">
        <v>143.99</v>
      </c>
      <c r="D190" s="20">
        <v>27.166</v>
      </c>
      <c r="E190" s="20">
        <v>33.488</v>
      </c>
      <c r="F190" s="20">
        <v>34.485999999999997</v>
      </c>
      <c r="G190" s="20">
        <v>1604.28</v>
      </c>
      <c r="H190" s="20">
        <f t="shared" si="11"/>
        <v>28.87125</v>
      </c>
      <c r="I190" s="5"/>
      <c r="J190" s="19">
        <v>120.71120000000001</v>
      </c>
      <c r="K190" s="20">
        <v>27.676100000000002</v>
      </c>
      <c r="L190" s="20">
        <v>33.878799999999998</v>
      </c>
      <c r="M190" s="20">
        <v>34.846400000000003</v>
      </c>
      <c r="N190" s="20">
        <v>1282.0513000000001</v>
      </c>
      <c r="O190" s="20">
        <f t="shared" si="12"/>
        <v>29.347725000000004</v>
      </c>
      <c r="P190" s="7"/>
      <c r="Q190" s="13"/>
      <c r="R190" s="14"/>
      <c r="S190" s="14"/>
      <c r="T190" s="27"/>
      <c r="U190" s="28">
        <f t="shared" si="14"/>
        <v>-0.20085564863988822</v>
      </c>
    </row>
    <row r="191" spans="1:21" x14ac:dyDescent="0.25">
      <c r="A191" s="6" t="s">
        <v>43</v>
      </c>
      <c r="B191" s="6" t="s">
        <v>61</v>
      </c>
      <c r="C191" s="15">
        <v>1896.4</v>
      </c>
      <c r="D191" s="16">
        <v>40.869999999999997</v>
      </c>
      <c r="E191" s="16">
        <v>44.581000000000003</v>
      </c>
      <c r="F191" s="16">
        <v>45.67</v>
      </c>
      <c r="G191" s="16">
        <v>231.75</v>
      </c>
      <c r="H191" s="16">
        <f t="shared" si="11"/>
        <v>41.933875</v>
      </c>
      <c r="I191" s="5"/>
      <c r="J191" s="15">
        <v>1495.9087999999999</v>
      </c>
      <c r="K191" s="16">
        <v>41.340699999999998</v>
      </c>
      <c r="L191" s="16">
        <v>45.598199999999999</v>
      </c>
      <c r="M191" s="16">
        <v>46.769799999999996</v>
      </c>
      <c r="N191" s="16">
        <v>268.93770000000001</v>
      </c>
      <c r="O191" s="16">
        <f t="shared" si="12"/>
        <v>42.551524999999998</v>
      </c>
      <c r="P191" s="7"/>
      <c r="Q191" s="8">
        <f>bdrate(C191:C194,D191:D194,J191:J194,K191:K194)</f>
        <v>-0.37675816575196963</v>
      </c>
      <c r="R191" s="8">
        <f>bdrate(C191:C194,E191:E194,J191:J194,L191:L194)</f>
        <v>-0.50287711201951812</v>
      </c>
      <c r="S191" s="8">
        <f>bdrate(C191:C194,F191:F194,J191:J194,M191:M194)</f>
        <v>-0.51266613868651612</v>
      </c>
      <c r="T191" s="25">
        <f>bdrate(C191:C194,H191:H194,J191:J194,O191:O194)</f>
        <v>-0.40316223259895601</v>
      </c>
      <c r="U191" s="28">
        <f t="shared" si="14"/>
        <v>0.16046472491909389</v>
      </c>
    </row>
    <row r="192" spans="1:21" x14ac:dyDescent="0.25">
      <c r="A192" s="9" t="s">
        <v>44</v>
      </c>
      <c r="B192" s="9"/>
      <c r="C192" s="17">
        <v>1237.8399999999999</v>
      </c>
      <c r="D192" s="18">
        <v>39.482999999999997</v>
      </c>
      <c r="E192" s="18">
        <v>43.412999999999997</v>
      </c>
      <c r="F192" s="18">
        <v>44.389000000000003</v>
      </c>
      <c r="G192" s="18">
        <v>261.67</v>
      </c>
      <c r="H192" s="18">
        <f t="shared" si="11"/>
        <v>40.587499999999999</v>
      </c>
      <c r="I192" s="5"/>
      <c r="J192" s="17">
        <v>986.1232</v>
      </c>
      <c r="K192" s="18">
        <v>40.185299999999998</v>
      </c>
      <c r="L192" s="18">
        <v>44.640700000000002</v>
      </c>
      <c r="M192" s="18">
        <v>45.801099999999998</v>
      </c>
      <c r="N192" s="18">
        <v>307.69229999999999</v>
      </c>
      <c r="O192" s="18">
        <f t="shared" si="12"/>
        <v>41.444200000000002</v>
      </c>
      <c r="P192" s="7"/>
      <c r="Q192" s="10"/>
      <c r="R192" s="11"/>
      <c r="S192" s="11"/>
      <c r="T192" s="26"/>
      <c r="U192" s="28">
        <f t="shared" si="14"/>
        <v>0.17587916077502186</v>
      </c>
    </row>
    <row r="193" spans="1:21" x14ac:dyDescent="0.25">
      <c r="B193" s="9"/>
      <c r="C193" s="17">
        <v>739.67</v>
      </c>
      <c r="D193" s="18">
        <v>37.136000000000003</v>
      </c>
      <c r="E193" s="18">
        <v>41.856000000000002</v>
      </c>
      <c r="F193" s="18">
        <v>42.869</v>
      </c>
      <c r="G193" s="18">
        <v>259.85000000000002</v>
      </c>
      <c r="H193" s="18">
        <f t="shared" si="11"/>
        <v>38.442625000000007</v>
      </c>
      <c r="I193" s="5"/>
      <c r="J193" s="17">
        <v>577.85919999999999</v>
      </c>
      <c r="K193" s="18">
        <v>38.190800000000003</v>
      </c>
      <c r="L193" s="18">
        <v>43.1785</v>
      </c>
      <c r="M193" s="18">
        <v>44.244199999999999</v>
      </c>
      <c r="N193" s="18">
        <v>325.90980000000002</v>
      </c>
      <c r="O193" s="18">
        <f t="shared" si="12"/>
        <v>39.570937499999999</v>
      </c>
      <c r="P193" s="7"/>
      <c r="Q193" s="10"/>
      <c r="R193" s="11"/>
      <c r="S193" s="11"/>
      <c r="T193" s="26"/>
      <c r="U193" s="28">
        <f t="shared" si="14"/>
        <v>0.25422282085818737</v>
      </c>
    </row>
    <row r="194" spans="1:21" ht="16.5" thickBot="1" x14ac:dyDescent="0.3">
      <c r="B194" s="12"/>
      <c r="C194" s="19">
        <v>341.57</v>
      </c>
      <c r="D194" s="20">
        <v>32.912999999999997</v>
      </c>
      <c r="E194" s="20">
        <v>39.732999999999997</v>
      </c>
      <c r="F194" s="20">
        <v>40.573</v>
      </c>
      <c r="G194" s="20">
        <v>265.25</v>
      </c>
      <c r="H194" s="20">
        <f t="shared" si="11"/>
        <v>34.722999999999999</v>
      </c>
      <c r="I194" s="5"/>
      <c r="J194" s="19">
        <v>282.10559999999998</v>
      </c>
      <c r="K194" s="20">
        <v>34.839700000000001</v>
      </c>
      <c r="L194" s="20">
        <v>41.195599999999999</v>
      </c>
      <c r="M194" s="20">
        <v>42.197299999999998</v>
      </c>
      <c r="N194" s="20">
        <v>380.71069999999997</v>
      </c>
      <c r="O194" s="20">
        <f t="shared" si="12"/>
        <v>36.553887500000002</v>
      </c>
      <c r="P194" s="7"/>
      <c r="Q194" s="13"/>
      <c r="R194" s="14"/>
      <c r="S194" s="14"/>
      <c r="T194" s="27"/>
      <c r="U194" s="28">
        <f t="shared" si="14"/>
        <v>0.43529010367577747</v>
      </c>
    </row>
    <row r="195" spans="1:21" x14ac:dyDescent="0.25">
      <c r="B195" s="6" t="s">
        <v>62</v>
      </c>
      <c r="C195" s="15">
        <v>1991.55</v>
      </c>
      <c r="D195" s="16">
        <v>41.807000000000002</v>
      </c>
      <c r="E195" s="16">
        <v>46.203000000000003</v>
      </c>
      <c r="F195" s="16">
        <v>46.707999999999998</v>
      </c>
      <c r="G195" s="16">
        <v>237.44</v>
      </c>
      <c r="H195" s="16">
        <f t="shared" si="11"/>
        <v>42.969125000000005</v>
      </c>
      <c r="I195" s="5"/>
      <c r="J195" s="15">
        <v>1478.4376</v>
      </c>
      <c r="K195" s="16">
        <v>42.602699999999999</v>
      </c>
      <c r="L195" s="16">
        <v>47.613599999999998</v>
      </c>
      <c r="M195" s="16">
        <v>48.302799999999998</v>
      </c>
      <c r="N195" s="16">
        <v>300.45069999999998</v>
      </c>
      <c r="O195" s="16">
        <f t="shared" si="12"/>
        <v>43.941575</v>
      </c>
      <c r="P195" s="7"/>
      <c r="Q195" s="8">
        <f>bdrate(C195:C198,D195:D198,J195:J198,K195:K198)</f>
        <v>-0.60048531640719449</v>
      </c>
      <c r="R195" s="8">
        <f>bdrate(C195:C198,E195:E198,J195:J198,L195:L198)</f>
        <v>-0.7138068654347054</v>
      </c>
      <c r="S195" s="8">
        <f>bdrate(C195:C198,F195:F198,J195:J198,M195:M198)</f>
        <v>-0.72754892476082622</v>
      </c>
      <c r="T195" s="25">
        <f>bdrate(C195:C198,H195:H198,J195:J198,O195:O198)</f>
        <v>-0.63275136598942172</v>
      </c>
      <c r="U195" s="28">
        <f t="shared" ref="U195:U202" si="15">(N195-G195)/G195</f>
        <v>0.26537525269541773</v>
      </c>
    </row>
    <row r="196" spans="1:21" x14ac:dyDescent="0.25">
      <c r="B196" s="9"/>
      <c r="C196" s="17">
        <v>1303.4100000000001</v>
      </c>
      <c r="D196" s="18">
        <v>40.962000000000003</v>
      </c>
      <c r="E196" s="18">
        <v>45.308</v>
      </c>
      <c r="F196" s="18">
        <v>45.692</v>
      </c>
      <c r="G196" s="18">
        <v>284.77</v>
      </c>
      <c r="H196" s="18">
        <f t="shared" si="11"/>
        <v>42.096500000000006</v>
      </c>
      <c r="I196" s="5"/>
      <c r="J196" s="17">
        <v>972.40719999999999</v>
      </c>
      <c r="K196" s="18">
        <v>42.05</v>
      </c>
      <c r="L196" s="18">
        <v>47.131399999999999</v>
      </c>
      <c r="M196" s="18">
        <v>47.773499999999999</v>
      </c>
      <c r="N196" s="18">
        <v>343.44589999999999</v>
      </c>
      <c r="O196" s="18">
        <f t="shared" si="12"/>
        <v>43.400612500000001</v>
      </c>
      <c r="P196" s="7"/>
      <c r="Q196" s="10"/>
      <c r="R196" s="11"/>
      <c r="S196" s="11"/>
      <c r="T196" s="26"/>
      <c r="U196" s="28">
        <f t="shared" si="15"/>
        <v>0.20604663412578578</v>
      </c>
    </row>
    <row r="197" spans="1:21" x14ac:dyDescent="0.25">
      <c r="B197" s="9"/>
      <c r="C197" s="17">
        <v>771.47</v>
      </c>
      <c r="D197" s="18">
        <v>39.468000000000004</v>
      </c>
      <c r="E197" s="18">
        <v>43.942</v>
      </c>
      <c r="F197" s="18">
        <v>44.537999999999997</v>
      </c>
      <c r="G197" s="18">
        <v>272.73</v>
      </c>
      <c r="H197" s="18">
        <f t="shared" si="11"/>
        <v>40.661000000000001</v>
      </c>
      <c r="I197" s="5"/>
      <c r="J197" s="17">
        <v>573.55920000000003</v>
      </c>
      <c r="K197" s="18">
        <v>41.119100000000003</v>
      </c>
      <c r="L197" s="18">
        <v>46.216500000000003</v>
      </c>
      <c r="M197" s="18">
        <v>46.797499999999999</v>
      </c>
      <c r="N197" s="18">
        <v>377.12130000000002</v>
      </c>
      <c r="O197" s="18">
        <f t="shared" si="12"/>
        <v>42.466075000000004</v>
      </c>
      <c r="P197" s="7"/>
      <c r="Q197" s="10"/>
      <c r="R197" s="11"/>
      <c r="S197" s="11"/>
      <c r="T197" s="26"/>
      <c r="U197" s="28">
        <f t="shared" si="15"/>
        <v>0.38276427235727639</v>
      </c>
    </row>
    <row r="198" spans="1:21" ht="16.5" thickBot="1" x14ac:dyDescent="0.3">
      <c r="B198" s="12"/>
      <c r="C198" s="19">
        <v>344.66</v>
      </c>
      <c r="D198" s="20">
        <v>35.939</v>
      </c>
      <c r="E198" s="20">
        <v>41.594999999999999</v>
      </c>
      <c r="F198" s="20">
        <v>42.341000000000001</v>
      </c>
      <c r="G198" s="20">
        <v>293.54000000000002</v>
      </c>
      <c r="H198" s="20">
        <f t="shared" si="11"/>
        <v>37.446250000000006</v>
      </c>
      <c r="I198" s="5"/>
      <c r="J198" s="19">
        <v>277.096</v>
      </c>
      <c r="K198" s="20">
        <v>39.242400000000004</v>
      </c>
      <c r="L198" s="20">
        <v>44.553400000000003</v>
      </c>
      <c r="M198" s="20">
        <v>45.053600000000003</v>
      </c>
      <c r="N198" s="20">
        <v>404.31270000000001</v>
      </c>
      <c r="O198" s="20">
        <f t="shared" si="12"/>
        <v>40.632675000000006</v>
      </c>
      <c r="P198" s="7"/>
      <c r="Q198" s="13"/>
      <c r="R198" s="14"/>
      <c r="S198" s="14"/>
      <c r="T198" s="27"/>
      <c r="U198" s="28">
        <f t="shared" si="15"/>
        <v>0.37736833140287518</v>
      </c>
    </row>
    <row r="199" spans="1:21" x14ac:dyDescent="0.25">
      <c r="B199" s="6" t="s">
        <v>63</v>
      </c>
      <c r="C199" s="15">
        <v>2089.94</v>
      </c>
      <c r="D199" s="16">
        <v>41.784999999999997</v>
      </c>
      <c r="E199" s="16">
        <v>45.500999999999998</v>
      </c>
      <c r="F199" s="16">
        <v>46.249000000000002</v>
      </c>
      <c r="G199" s="16">
        <v>238.85</v>
      </c>
      <c r="H199" s="16">
        <f t="shared" si="11"/>
        <v>42.807499999999997</v>
      </c>
      <c r="I199" s="5"/>
      <c r="J199" s="15">
        <v>1539.4184</v>
      </c>
      <c r="K199" s="16">
        <v>42.490200000000002</v>
      </c>
      <c r="L199" s="16">
        <v>46.751100000000001</v>
      </c>
      <c r="M199" s="16">
        <v>47.616100000000003</v>
      </c>
      <c r="N199" s="16">
        <v>252.84450000000001</v>
      </c>
      <c r="O199" s="16">
        <f t="shared" si="12"/>
        <v>43.663550000000001</v>
      </c>
      <c r="P199" s="7"/>
      <c r="Q199" s="8">
        <f>bdrate(C199:C202,D199:D202,J199:J202,K199:K202)</f>
        <v>-0.52998466140209477</v>
      </c>
      <c r="R199" s="8">
        <f>bdrate(C199:C202,E199:E202,J199:J202,L199:L202)</f>
        <v>-0.62106541370487667</v>
      </c>
      <c r="S199" s="8">
        <f>bdrate(C199:C202,F199:F202,J199:J202,M199:M202)</f>
        <v>-0.64018437888712187</v>
      </c>
      <c r="T199" s="25">
        <f>bdrate(C199:C202,H199:H202,J199:J202,O199:O202)</f>
        <v>-0.55452805767205282</v>
      </c>
      <c r="U199" s="28">
        <f t="shared" si="15"/>
        <v>5.8591166003768125E-2</v>
      </c>
    </row>
    <row r="200" spans="1:21" x14ac:dyDescent="0.25">
      <c r="B200" s="9"/>
      <c r="C200" s="17">
        <v>1375.68</v>
      </c>
      <c r="D200" s="18">
        <v>40.549999999999997</v>
      </c>
      <c r="E200" s="18">
        <v>44.460999999999999</v>
      </c>
      <c r="F200" s="18">
        <v>45.048999999999999</v>
      </c>
      <c r="G200" s="18">
        <v>268.94</v>
      </c>
      <c r="H200" s="18">
        <f t="shared" si="11"/>
        <v>41.601249999999993</v>
      </c>
      <c r="I200" s="5"/>
      <c r="J200" s="17">
        <v>1010.8496</v>
      </c>
      <c r="K200" s="18">
        <v>41.646599999999999</v>
      </c>
      <c r="L200" s="18">
        <v>45.944099999999999</v>
      </c>
      <c r="M200" s="18">
        <v>46.793900000000001</v>
      </c>
      <c r="N200" s="18">
        <v>284.76510000000002</v>
      </c>
      <c r="O200" s="18">
        <f t="shared" si="12"/>
        <v>42.827199999999998</v>
      </c>
      <c r="P200" s="7"/>
      <c r="Q200" s="10"/>
      <c r="R200" s="11"/>
      <c r="S200" s="11"/>
      <c r="T200" s="26"/>
      <c r="U200" s="28">
        <f t="shared" si="15"/>
        <v>5.8842492749312192E-2</v>
      </c>
    </row>
    <row r="201" spans="1:21" x14ac:dyDescent="0.25">
      <c r="B201" s="9"/>
      <c r="C201" s="17">
        <v>818.75</v>
      </c>
      <c r="D201" s="18">
        <v>38.616</v>
      </c>
      <c r="E201" s="18">
        <v>42.656999999999996</v>
      </c>
      <c r="F201" s="18">
        <v>43.298999999999999</v>
      </c>
      <c r="G201" s="18">
        <v>265.25</v>
      </c>
      <c r="H201" s="18">
        <f t="shared" si="11"/>
        <v>39.706499999999998</v>
      </c>
      <c r="I201" s="5"/>
      <c r="J201" s="17">
        <v>600.47360000000003</v>
      </c>
      <c r="K201" s="18">
        <v>40.280700000000003</v>
      </c>
      <c r="L201" s="18">
        <v>44.761800000000001</v>
      </c>
      <c r="M201" s="18">
        <v>45.538499999999999</v>
      </c>
      <c r="N201" s="18">
        <v>349.44670000000002</v>
      </c>
      <c r="O201" s="18">
        <f t="shared" si="12"/>
        <v>41.498062500000003</v>
      </c>
      <c r="P201" s="7"/>
      <c r="Q201" s="10"/>
      <c r="R201" s="11"/>
      <c r="S201" s="11"/>
      <c r="T201" s="26"/>
      <c r="U201" s="28">
        <f t="shared" si="15"/>
        <v>0.31742393967954768</v>
      </c>
    </row>
    <row r="202" spans="1:21" ht="16.5" thickBot="1" x14ac:dyDescent="0.3">
      <c r="B202" s="12"/>
      <c r="C202" s="19">
        <v>376.61</v>
      </c>
      <c r="D202" s="20">
        <v>34.631999999999998</v>
      </c>
      <c r="E202" s="20">
        <v>40.283000000000001</v>
      </c>
      <c r="F202" s="20">
        <v>41.01</v>
      </c>
      <c r="G202" s="20">
        <v>284.89999999999998</v>
      </c>
      <c r="H202" s="20">
        <f t="shared" si="11"/>
        <v>36.135624999999997</v>
      </c>
      <c r="I202" s="5"/>
      <c r="J202" s="19">
        <v>294.11520000000002</v>
      </c>
      <c r="K202" s="20">
        <v>37.534300000000002</v>
      </c>
      <c r="L202" s="20">
        <v>42.611499999999999</v>
      </c>
      <c r="M202" s="20">
        <v>43.448799999999999</v>
      </c>
      <c r="N202" s="20">
        <v>366.30040000000002</v>
      </c>
      <c r="O202" s="20">
        <f t="shared" si="12"/>
        <v>38.908262499999999</v>
      </c>
      <c r="P202" s="7"/>
      <c r="Q202" s="13"/>
      <c r="R202" s="14"/>
      <c r="S202" s="14"/>
      <c r="T202" s="27"/>
      <c r="U202" s="28">
        <f t="shared" si="15"/>
        <v>0.28571568971568989</v>
      </c>
    </row>
    <row r="203" spans="1:21" x14ac:dyDescent="0.25">
      <c r="A203" s="6" t="s">
        <v>102</v>
      </c>
      <c r="B203" s="6" t="s">
        <v>103</v>
      </c>
      <c r="C203" s="15">
        <v>1608.53</v>
      </c>
      <c r="D203" s="16">
        <v>41.314999999999998</v>
      </c>
      <c r="E203" s="16">
        <v>46.136000000000003</v>
      </c>
      <c r="F203" s="16">
        <v>47.805999999999997</v>
      </c>
      <c r="G203" s="16">
        <v>199.6</v>
      </c>
      <c r="H203" s="16">
        <f t="shared" ref="H203:H213" si="16">(6*D203+E203+F203)/8</f>
        <v>42.728999999999999</v>
      </c>
      <c r="I203" s="5"/>
      <c r="J203" s="15">
        <v>1288.4177</v>
      </c>
      <c r="K203" s="16">
        <v>43.483199999999997</v>
      </c>
      <c r="L203" s="16">
        <v>49.198099999999997</v>
      </c>
      <c r="M203" s="16">
        <v>50.1892</v>
      </c>
      <c r="N203" s="16">
        <v>183.15020000000001</v>
      </c>
      <c r="O203" s="16">
        <f t="shared" ref="O203:O213" si="17">(6*K203+L203+M203)/8</f>
        <v>45.035812499999992</v>
      </c>
      <c r="P203" s="7"/>
      <c r="Q203" s="8">
        <f>bdrate(C203:C206,D203:D206,J203:J206,K203:K206)</f>
        <v>-0.57452441467621229</v>
      </c>
      <c r="R203" s="8">
        <f>bdrate(C203:C206,E203:E206,J203:J206,L203:L206)</f>
        <v>-0.66586886768697195</v>
      </c>
      <c r="S203" s="8">
        <f>bdrate(C203:C206,F203:F206,J203:J206,M203:M206)</f>
        <v>-0.62587778254679449</v>
      </c>
      <c r="T203" s="25">
        <f>bdrate(C203:C206,H203:H206,J203:J206,O203:O206)</f>
        <v>-0.58988927679653491</v>
      </c>
      <c r="U203" s="28">
        <f t="shared" ref="U203:U213" si="18">(N203-G203)/G203</f>
        <v>-8.2413827655310537E-2</v>
      </c>
    </row>
    <row r="204" spans="1:21" x14ac:dyDescent="0.25">
      <c r="A204" s="9" t="s">
        <v>78</v>
      </c>
      <c r="B204" s="9"/>
      <c r="C204" s="17">
        <v>1075.26</v>
      </c>
      <c r="D204" s="18">
        <v>38.844000000000001</v>
      </c>
      <c r="E204" s="18">
        <v>44.55</v>
      </c>
      <c r="F204" s="18">
        <v>46.341000000000001</v>
      </c>
      <c r="G204" s="18">
        <v>239.39</v>
      </c>
      <c r="H204" s="18">
        <f t="shared" si="16"/>
        <v>40.494375000000005</v>
      </c>
      <c r="I204" s="5"/>
      <c r="J204" s="17">
        <v>881.42089999999996</v>
      </c>
      <c r="K204" s="18">
        <v>41.944600000000001</v>
      </c>
      <c r="L204" s="18">
        <v>47.959099999999999</v>
      </c>
      <c r="M204" s="18">
        <v>48.836199999999998</v>
      </c>
      <c r="N204" s="18">
        <v>216.0864</v>
      </c>
      <c r="O204" s="18">
        <f t="shared" si="17"/>
        <v>43.557862499999999</v>
      </c>
      <c r="P204" s="7"/>
      <c r="Q204" s="10"/>
      <c r="R204" s="11"/>
      <c r="S204" s="11"/>
      <c r="T204" s="26"/>
      <c r="U204" s="28">
        <f t="shared" si="18"/>
        <v>-9.7345753790885128E-2</v>
      </c>
    </row>
    <row r="205" spans="1:21" x14ac:dyDescent="0.25">
      <c r="B205" s="9"/>
      <c r="C205" s="17">
        <v>654.39</v>
      </c>
      <c r="D205" s="18">
        <v>35.758000000000003</v>
      </c>
      <c r="E205" s="18">
        <v>41.969000000000001</v>
      </c>
      <c r="F205" s="18">
        <v>44.761000000000003</v>
      </c>
      <c r="G205" s="18">
        <v>253.56</v>
      </c>
      <c r="H205" s="18">
        <f t="shared" si="16"/>
        <v>37.659750000000003</v>
      </c>
      <c r="I205" s="5"/>
      <c r="J205" s="17">
        <v>548.03750000000002</v>
      </c>
      <c r="K205" s="18">
        <v>39.726199999999999</v>
      </c>
      <c r="L205" s="18">
        <v>46.084099999999999</v>
      </c>
      <c r="M205" s="18">
        <v>47.407299999999999</v>
      </c>
      <c r="N205" s="18">
        <v>256.95929999999998</v>
      </c>
      <c r="O205" s="18">
        <f t="shared" si="17"/>
        <v>41.481074999999997</v>
      </c>
      <c r="P205" s="7"/>
      <c r="Q205" s="10"/>
      <c r="R205" s="11"/>
      <c r="S205" s="11"/>
      <c r="T205" s="26"/>
      <c r="U205" s="28">
        <f t="shared" si="18"/>
        <v>1.3406294368196807E-2</v>
      </c>
    </row>
    <row r="206" spans="1:21" ht="16.5" thickBot="1" x14ac:dyDescent="0.3">
      <c r="B206" s="12"/>
      <c r="C206" s="19">
        <v>309.69</v>
      </c>
      <c r="D206" s="20">
        <v>31.065000000000001</v>
      </c>
      <c r="E206" s="20">
        <v>40.097000000000001</v>
      </c>
      <c r="F206" s="20">
        <v>42.780999999999999</v>
      </c>
      <c r="G206" s="20">
        <v>260.98</v>
      </c>
      <c r="H206" s="20">
        <f t="shared" si="16"/>
        <v>33.658500000000004</v>
      </c>
      <c r="I206" s="5"/>
      <c r="J206" s="19">
        <v>282.96769999999998</v>
      </c>
      <c r="K206" s="20">
        <v>36.534399999999998</v>
      </c>
      <c r="L206" s="20">
        <v>43.7881</v>
      </c>
      <c r="M206" s="20">
        <v>45.130499999999998</v>
      </c>
      <c r="N206" s="20">
        <v>320.51280000000003</v>
      </c>
      <c r="O206" s="20">
        <f t="shared" si="17"/>
        <v>38.515624999999993</v>
      </c>
      <c r="P206" s="7"/>
      <c r="Q206" s="13"/>
      <c r="R206" s="14"/>
      <c r="S206" s="14"/>
      <c r="T206" s="27"/>
      <c r="U206" s="28">
        <f t="shared" si="18"/>
        <v>0.2281124990420722</v>
      </c>
    </row>
    <row r="207" spans="1:21" x14ac:dyDescent="0.25">
      <c r="B207" s="6" t="s">
        <v>104</v>
      </c>
      <c r="C207" s="15">
        <v>1996.96</v>
      </c>
      <c r="D207" s="16">
        <v>52.884</v>
      </c>
      <c r="E207" s="16">
        <v>53.177</v>
      </c>
      <c r="F207" s="16">
        <v>53.58</v>
      </c>
      <c r="G207" s="16">
        <v>277.31</v>
      </c>
      <c r="H207" s="16">
        <f t="shared" si="16"/>
        <v>53.007624999999997</v>
      </c>
      <c r="I207" s="5"/>
      <c r="J207" s="15">
        <v>1441.3715</v>
      </c>
      <c r="K207" s="16">
        <v>51.476900000000001</v>
      </c>
      <c r="L207" s="16">
        <v>52.441600000000001</v>
      </c>
      <c r="M207" s="16">
        <v>52.952100000000002</v>
      </c>
      <c r="N207" s="16">
        <v>204.5455</v>
      </c>
      <c r="O207" s="16">
        <f t="shared" si="17"/>
        <v>51.781887499999996</v>
      </c>
      <c r="P207" s="7"/>
      <c r="Q207" s="8">
        <f>bdrate(C207:C210,D207:D210,J207:J210,K207:K210)</f>
        <v>-0.1766966758229559</v>
      </c>
      <c r="R207" s="8">
        <f>bdrate(C207:C210,E207:E210,J207:J210,L207:L210)</f>
        <v>-0.26436597226252911</v>
      </c>
      <c r="S207" s="8">
        <f>bdrate(C207:C210,F207:F210,J207:J210,M207:M210)</f>
        <v>-0.26713836843394123</v>
      </c>
      <c r="T207" s="25">
        <f>bdrate(C207:C210,H207:H210,J207:J210,O207:O210)</f>
        <v>-0.1988706057458004</v>
      </c>
      <c r="U207" s="28">
        <f t="shared" si="18"/>
        <v>-0.26239407161660233</v>
      </c>
    </row>
    <row r="208" spans="1:21" x14ac:dyDescent="0.25">
      <c r="B208" s="9"/>
      <c r="C208" s="17">
        <v>1334.37</v>
      </c>
      <c r="D208" s="18">
        <v>50.234000000000002</v>
      </c>
      <c r="E208" s="18">
        <v>50.692</v>
      </c>
      <c r="F208" s="18">
        <v>51.146999999999998</v>
      </c>
      <c r="G208" s="18">
        <v>355.94</v>
      </c>
      <c r="H208" s="18">
        <f t="shared" si="16"/>
        <v>50.405374999999999</v>
      </c>
      <c r="I208" s="5"/>
      <c r="J208" s="17">
        <v>975.63440000000003</v>
      </c>
      <c r="K208" s="18">
        <v>49.412199999999999</v>
      </c>
      <c r="L208" s="18">
        <v>50.485599999999998</v>
      </c>
      <c r="M208" s="18">
        <v>51.033000000000001</v>
      </c>
      <c r="N208" s="18">
        <v>256.41030000000001</v>
      </c>
      <c r="O208" s="18">
        <f t="shared" si="17"/>
        <v>49.748975000000002</v>
      </c>
      <c r="P208" s="7"/>
      <c r="Q208" s="10"/>
      <c r="R208" s="11"/>
      <c r="S208" s="11"/>
      <c r="T208" s="26"/>
      <c r="U208" s="28">
        <f t="shared" si="18"/>
        <v>-0.27962493678709893</v>
      </c>
    </row>
    <row r="209" spans="2:21" x14ac:dyDescent="0.25">
      <c r="B209" s="9"/>
      <c r="C209" s="17">
        <v>810.14</v>
      </c>
      <c r="D209" s="18">
        <v>47.14</v>
      </c>
      <c r="E209" s="18">
        <v>47.698</v>
      </c>
      <c r="F209" s="18">
        <v>48.244</v>
      </c>
      <c r="G209" s="18">
        <v>366.23</v>
      </c>
      <c r="H209" s="18">
        <f t="shared" si="16"/>
        <v>47.347750000000005</v>
      </c>
      <c r="I209" s="5"/>
      <c r="J209" s="17">
        <v>592.4556</v>
      </c>
      <c r="K209" s="18">
        <v>46.5092</v>
      </c>
      <c r="L209" s="18">
        <v>47.820700000000002</v>
      </c>
      <c r="M209" s="18">
        <v>48.374600000000001</v>
      </c>
      <c r="N209" s="18">
        <v>374.60980000000001</v>
      </c>
      <c r="O209" s="18">
        <f t="shared" si="17"/>
        <v>46.906312499999999</v>
      </c>
      <c r="P209" s="7"/>
      <c r="Q209" s="10"/>
      <c r="R209" s="11"/>
      <c r="S209" s="11"/>
      <c r="T209" s="26"/>
      <c r="U209" s="28">
        <f t="shared" si="18"/>
        <v>2.2881249488026618E-2</v>
      </c>
    </row>
    <row r="210" spans="2:21" ht="16.5" thickBot="1" x14ac:dyDescent="0.3">
      <c r="B210" s="12"/>
      <c r="C210" s="19">
        <v>382.92</v>
      </c>
      <c r="D210" s="20">
        <v>42.451999999999998</v>
      </c>
      <c r="E210" s="20">
        <v>43.378</v>
      </c>
      <c r="F210" s="20">
        <v>43.921999999999997</v>
      </c>
      <c r="G210" s="20">
        <v>375.78</v>
      </c>
      <c r="H210" s="20">
        <f t="shared" si="16"/>
        <v>42.751499999999993</v>
      </c>
      <c r="I210" s="5"/>
      <c r="J210" s="19">
        <v>299.02409999999998</v>
      </c>
      <c r="K210" s="20">
        <v>42.139899999999997</v>
      </c>
      <c r="L210" s="20">
        <v>43.7607</v>
      </c>
      <c r="M210" s="20">
        <v>44.235599999999998</v>
      </c>
      <c r="N210" s="20">
        <v>395.17009999999999</v>
      </c>
      <c r="O210" s="20">
        <f t="shared" si="17"/>
        <v>42.604462499999997</v>
      </c>
      <c r="P210" s="7"/>
      <c r="Q210" s="13"/>
      <c r="R210" s="14"/>
      <c r="S210" s="14"/>
      <c r="T210" s="27"/>
      <c r="U210" s="28">
        <f t="shared" si="18"/>
        <v>5.1599606152536108E-2</v>
      </c>
    </row>
    <row r="211" spans="2:21" x14ac:dyDescent="0.25">
      <c r="B211" s="6" t="s">
        <v>105</v>
      </c>
      <c r="C211" s="15">
        <v>2181.4699999999998</v>
      </c>
      <c r="D211" s="16">
        <v>42.334000000000003</v>
      </c>
      <c r="E211" s="16">
        <v>44.066000000000003</v>
      </c>
      <c r="F211" s="16">
        <v>44.765000000000001</v>
      </c>
      <c r="G211" s="16">
        <v>226.7</v>
      </c>
      <c r="H211" s="16">
        <f t="shared" si="16"/>
        <v>42.854375000000005</v>
      </c>
      <c r="I211" s="5"/>
      <c r="J211" s="15">
        <v>1491.3976</v>
      </c>
      <c r="K211" s="16">
        <v>42.666899999999998</v>
      </c>
      <c r="L211" s="16">
        <v>45.021799999999999</v>
      </c>
      <c r="M211" s="16">
        <v>45.446100000000001</v>
      </c>
      <c r="N211" s="16">
        <v>207.51669999999999</v>
      </c>
      <c r="O211" s="16">
        <f t="shared" si="17"/>
        <v>43.308662499999997</v>
      </c>
      <c r="P211" s="7"/>
      <c r="Q211" s="8">
        <f>bdrate(C211:C214,D211:D214,J211:J214,K211:K214)</f>
        <v>-0.44034127246951527</v>
      </c>
      <c r="R211" s="8">
        <f>bdrate(C211:C214,E211:E214,J211:J214,L211:L214)</f>
        <v>-0.48078242888108536</v>
      </c>
      <c r="S211" s="8">
        <f>bdrate(C211:C214,F211:F214,J211:J214,M211:M214)</f>
        <v>-0.43849644327006754</v>
      </c>
      <c r="T211" s="25">
        <f>bdrate(C211:C214,H211:H214,J211:J214,O211:O214)</f>
        <v>-0.44486145353014683</v>
      </c>
      <c r="U211" s="28">
        <f t="shared" si="18"/>
        <v>-8.4619761799735349E-2</v>
      </c>
    </row>
    <row r="212" spans="2:21" x14ac:dyDescent="0.25">
      <c r="B212" s="9"/>
      <c r="C212" s="17">
        <v>1455.51</v>
      </c>
      <c r="D212" s="18">
        <v>39.768999999999998</v>
      </c>
      <c r="E212" s="18">
        <v>42.387999999999998</v>
      </c>
      <c r="F212" s="18">
        <v>43.109000000000002</v>
      </c>
      <c r="G212" s="18">
        <v>260.87</v>
      </c>
      <c r="H212" s="18">
        <f t="shared" si="16"/>
        <v>40.513874999999992</v>
      </c>
      <c r="I212" s="5"/>
      <c r="J212" s="17">
        <v>995.74959999999999</v>
      </c>
      <c r="K212" s="18">
        <v>40.7087</v>
      </c>
      <c r="L212" s="18">
        <v>43.506700000000002</v>
      </c>
      <c r="M212" s="18">
        <v>43.947600000000001</v>
      </c>
      <c r="N212" s="18">
        <v>258.65789999999998</v>
      </c>
      <c r="O212" s="18">
        <f t="shared" si="17"/>
        <v>41.463312500000008</v>
      </c>
      <c r="P212" s="7"/>
      <c r="Q212" s="10"/>
      <c r="R212" s="11"/>
      <c r="S212" s="11"/>
      <c r="T212" s="26"/>
      <c r="U212" s="28">
        <f t="shared" si="18"/>
        <v>-8.4797025338291896E-3</v>
      </c>
    </row>
    <row r="213" spans="2:21" x14ac:dyDescent="0.25">
      <c r="B213" s="9"/>
      <c r="C213" s="17">
        <v>885.99</v>
      </c>
      <c r="D213" s="18">
        <v>36.896999999999998</v>
      </c>
      <c r="E213" s="18">
        <v>40.564999999999998</v>
      </c>
      <c r="F213" s="18">
        <v>41.286999999999999</v>
      </c>
      <c r="G213" s="18">
        <v>271.49</v>
      </c>
      <c r="H213" s="18">
        <f t="shared" si="16"/>
        <v>37.904249999999998</v>
      </c>
      <c r="I213" s="5"/>
      <c r="J213" s="17">
        <v>599.25509999999997</v>
      </c>
      <c r="K213" s="18">
        <v>38.036999999999999</v>
      </c>
      <c r="L213" s="18">
        <v>41.544499999999999</v>
      </c>
      <c r="M213" s="18">
        <v>41.964700000000001</v>
      </c>
      <c r="N213" s="18">
        <v>294.26190000000003</v>
      </c>
      <c r="O213" s="18">
        <f t="shared" si="17"/>
        <v>38.966399999999993</v>
      </c>
      <c r="P213" s="7"/>
      <c r="Q213" s="10"/>
      <c r="R213" s="11"/>
      <c r="S213" s="11"/>
      <c r="T213" s="26"/>
      <c r="U213" s="28">
        <f t="shared" si="18"/>
        <v>8.3877490883642186E-2</v>
      </c>
    </row>
    <row r="214" spans="2:21" ht="16.5" thickBot="1" x14ac:dyDescent="0.3">
      <c r="B214" s="12"/>
      <c r="C214" s="19">
        <v>423.43</v>
      </c>
      <c r="D214" s="20">
        <v>31.693000000000001</v>
      </c>
      <c r="E214" s="20">
        <v>38.021000000000001</v>
      </c>
      <c r="F214" s="20">
        <v>38.832000000000001</v>
      </c>
      <c r="G214" s="20">
        <v>279.98</v>
      </c>
      <c r="H214" s="20">
        <f t="shared" ref="H214:H246" si="19">(6*D214+E214+F214)/8</f>
        <v>33.376375000000003</v>
      </c>
      <c r="I214" s="5"/>
      <c r="J214" s="19">
        <v>302.10210000000001</v>
      </c>
      <c r="K214" s="20">
        <v>34.3444</v>
      </c>
      <c r="L214" s="20">
        <v>39.025500000000001</v>
      </c>
      <c r="M214" s="20">
        <v>39.501100000000001</v>
      </c>
      <c r="N214" s="20">
        <v>341.36169999999998</v>
      </c>
      <c r="O214" s="20">
        <f t="shared" ref="O214:O246" si="20">(6*K214+L214+M214)/8</f>
        <v>35.574124999999995</v>
      </c>
      <c r="P214" s="7"/>
      <c r="Q214" s="13"/>
      <c r="R214" s="14"/>
      <c r="S214" s="14"/>
      <c r="T214" s="27"/>
      <c r="U214" s="28">
        <f t="shared" ref="U214:U246" si="21">(N214-G214)/G214</f>
        <v>0.2192360168583469</v>
      </c>
    </row>
    <row r="215" spans="2:21" x14ac:dyDescent="0.25">
      <c r="B215" s="6" t="s">
        <v>106</v>
      </c>
      <c r="C215" s="29">
        <v>2059.41</v>
      </c>
      <c r="D215" s="30">
        <v>38.74</v>
      </c>
      <c r="E215" s="30">
        <v>43.076000000000001</v>
      </c>
      <c r="F215" s="30">
        <v>43.073999999999998</v>
      </c>
      <c r="G215" s="16">
        <v>171.18</v>
      </c>
      <c r="H215" s="16">
        <f t="shared" si="19"/>
        <v>39.823750000000004</v>
      </c>
      <c r="I215" s="5"/>
      <c r="J215" s="29">
        <v>1493.6628000000001</v>
      </c>
      <c r="K215" s="30">
        <v>38.9756</v>
      </c>
      <c r="L215" s="30">
        <v>43.4681</v>
      </c>
      <c r="M215" s="30">
        <v>43.461199999999998</v>
      </c>
      <c r="N215" s="16">
        <v>195.5247</v>
      </c>
      <c r="O215" s="16">
        <f t="shared" si="20"/>
        <v>40.097862500000005</v>
      </c>
      <c r="P215" s="7"/>
      <c r="Q215" s="8">
        <f>bdrate(C215:C218,D215:D218,J215:J218,K215:K218)</f>
        <v>-0.40130010155448281</v>
      </c>
      <c r="R215" s="8">
        <f>bdrate(C215:C218,E215:E218,J215:J218,L215:L218)</f>
        <v>-0.37358581061826379</v>
      </c>
      <c r="S215" s="8">
        <f>bdrate(C215:C218,F215:F218,J215:J218,M215:M218)</f>
        <v>-0.39213162948340008</v>
      </c>
      <c r="T215" s="25">
        <f>bdrate(C215:C218,H215:H218,J215:J218,O215:O218)</f>
        <v>-0.39943508964230412</v>
      </c>
      <c r="U215" s="28">
        <f t="shared" si="21"/>
        <v>0.14221696459866801</v>
      </c>
    </row>
    <row r="216" spans="2:21" x14ac:dyDescent="0.25">
      <c r="B216" s="9"/>
      <c r="C216" s="31">
        <v>1377.26</v>
      </c>
      <c r="D216" s="32">
        <v>36.479999999999997</v>
      </c>
      <c r="E216" s="32">
        <v>41.686999999999998</v>
      </c>
      <c r="F216" s="32">
        <v>41.603999999999999</v>
      </c>
      <c r="G216" s="18">
        <v>235.91</v>
      </c>
      <c r="H216" s="18">
        <f t="shared" si="19"/>
        <v>37.771374999999999</v>
      </c>
      <c r="I216" s="5"/>
      <c r="J216" s="31">
        <v>994.84749999999997</v>
      </c>
      <c r="K216" s="32">
        <v>37.085799999999999</v>
      </c>
      <c r="L216" s="32">
        <v>42.144799999999996</v>
      </c>
      <c r="M216" s="32">
        <v>42.125700000000002</v>
      </c>
      <c r="N216" s="18">
        <v>236.43770000000001</v>
      </c>
      <c r="O216" s="18">
        <f t="shared" si="20"/>
        <v>38.348162499999994</v>
      </c>
      <c r="P216" s="7"/>
      <c r="Q216" s="10"/>
      <c r="R216" s="11"/>
      <c r="S216" s="11"/>
      <c r="T216" s="26"/>
      <c r="U216" s="28">
        <f t="shared" si="21"/>
        <v>2.2368699927939046E-3</v>
      </c>
    </row>
    <row r="217" spans="2:21" x14ac:dyDescent="0.25">
      <c r="B217" s="9"/>
      <c r="C217" s="31">
        <v>841.68</v>
      </c>
      <c r="D217" s="32">
        <v>33.72</v>
      </c>
      <c r="E217" s="32">
        <v>40.188000000000002</v>
      </c>
      <c r="F217" s="32">
        <v>40.033000000000001</v>
      </c>
      <c r="G217" s="18">
        <v>245.5</v>
      </c>
      <c r="H217" s="18">
        <f t="shared" si="19"/>
        <v>35.317625</v>
      </c>
      <c r="I217" s="5"/>
      <c r="J217" s="31">
        <v>602.88369999999998</v>
      </c>
      <c r="K217" s="32">
        <v>34.792999999999999</v>
      </c>
      <c r="L217" s="32">
        <v>40.595999999999997</v>
      </c>
      <c r="M217" s="32">
        <v>40.599400000000003</v>
      </c>
      <c r="N217" s="18">
        <v>272.0677</v>
      </c>
      <c r="O217" s="18">
        <f t="shared" si="20"/>
        <v>36.244174999999998</v>
      </c>
      <c r="P217" s="7"/>
      <c r="Q217" s="10"/>
      <c r="R217" s="11"/>
      <c r="S217" s="11"/>
      <c r="T217" s="26"/>
      <c r="U217" s="28">
        <f t="shared" si="21"/>
        <v>0.10821873727087578</v>
      </c>
    </row>
    <row r="218" spans="2:21" ht="16.5" thickBot="1" x14ac:dyDescent="0.3">
      <c r="B218" s="12"/>
      <c r="C218" s="33">
        <v>401.9</v>
      </c>
      <c r="D218" s="34">
        <v>29.134</v>
      </c>
      <c r="E218" s="34">
        <v>38.140999999999998</v>
      </c>
      <c r="F218" s="34">
        <v>38.000999999999998</v>
      </c>
      <c r="G218" s="20">
        <v>254.13</v>
      </c>
      <c r="H218" s="20">
        <f t="shared" si="19"/>
        <v>31.36825</v>
      </c>
      <c r="I218" s="5"/>
      <c r="J218" s="33">
        <v>302.49770000000001</v>
      </c>
      <c r="K218" s="34">
        <v>31.6966</v>
      </c>
      <c r="L218" s="34">
        <v>38.642800000000001</v>
      </c>
      <c r="M218" s="34">
        <v>38.553100000000001</v>
      </c>
      <c r="N218" s="20">
        <v>324.90969999999999</v>
      </c>
      <c r="O218" s="20">
        <f t="shared" si="20"/>
        <v>33.421937499999999</v>
      </c>
      <c r="P218" s="7"/>
      <c r="Q218" s="13"/>
      <c r="R218" s="14"/>
      <c r="S218" s="14"/>
      <c r="T218" s="27"/>
      <c r="U218" s="28">
        <f t="shared" si="21"/>
        <v>0.2785176877975839</v>
      </c>
    </row>
    <row r="219" spans="2:21" x14ac:dyDescent="0.25">
      <c r="B219" s="6" t="s">
        <v>107</v>
      </c>
      <c r="C219" s="15">
        <v>2125.2199999999998</v>
      </c>
      <c r="D219" s="16">
        <v>37.119999999999997</v>
      </c>
      <c r="E219" s="16">
        <v>40.320999999999998</v>
      </c>
      <c r="F219" s="16">
        <v>40.875</v>
      </c>
      <c r="G219" s="16">
        <v>233.52</v>
      </c>
      <c r="H219" s="16">
        <f t="shared" si="19"/>
        <v>37.989499999999992</v>
      </c>
      <c r="I219" s="5"/>
      <c r="J219" s="15">
        <v>1503.2900999999999</v>
      </c>
      <c r="K219" s="16">
        <v>36.908499999999997</v>
      </c>
      <c r="L219" s="16">
        <v>41.398000000000003</v>
      </c>
      <c r="M219" s="16">
        <v>41.941099999999999</v>
      </c>
      <c r="N219" s="16">
        <v>203.50479999999999</v>
      </c>
      <c r="O219" s="16">
        <f t="shared" si="20"/>
        <v>38.098762499999999</v>
      </c>
      <c r="P219" s="7"/>
      <c r="Q219" s="8">
        <f>bdrate(C219:C222,D219:D222,J219:J222,K219:K222)</f>
        <v>-0.34132782607340639</v>
      </c>
      <c r="R219" s="8">
        <f>bdrate(C219:C222,E219:E222,J219:J222,L219:L222)</f>
        <v>-0.4881579717572162</v>
      </c>
      <c r="S219" s="8">
        <f>bdrate(C219:C222,F219:F222,J219:J222,M219:M222)</f>
        <v>-0.48877480756285641</v>
      </c>
      <c r="T219" s="25">
        <f>bdrate(C219:C222,H219:H222,J219:J222,O219:O222)</f>
        <v>-0.36819853348997134</v>
      </c>
      <c r="U219" s="28">
        <f t="shared" si="21"/>
        <v>-0.12853374443302509</v>
      </c>
    </row>
    <row r="220" spans="2:21" x14ac:dyDescent="0.25">
      <c r="B220" s="9"/>
      <c r="C220" s="17">
        <v>1418.35</v>
      </c>
      <c r="D220" s="18">
        <v>34.923000000000002</v>
      </c>
      <c r="E220" s="18">
        <v>38.905000000000001</v>
      </c>
      <c r="F220" s="18">
        <v>39.533999999999999</v>
      </c>
      <c r="G220" s="18">
        <v>263.43</v>
      </c>
      <c r="H220" s="18">
        <f t="shared" si="19"/>
        <v>35.997125000000004</v>
      </c>
      <c r="I220" s="5"/>
      <c r="J220" s="17">
        <v>998.3519</v>
      </c>
      <c r="K220" s="18">
        <v>34.958300000000001</v>
      </c>
      <c r="L220" s="18">
        <v>40.000399999999999</v>
      </c>
      <c r="M220" s="18">
        <v>40.599400000000003</v>
      </c>
      <c r="N220" s="18">
        <v>234.98689999999999</v>
      </c>
      <c r="O220" s="18">
        <f t="shared" si="20"/>
        <v>36.293700000000001</v>
      </c>
      <c r="P220" s="7"/>
      <c r="Q220" s="10"/>
      <c r="R220" s="11"/>
      <c r="S220" s="11"/>
      <c r="T220" s="26"/>
      <c r="U220" s="28">
        <f t="shared" si="21"/>
        <v>-0.10797213681053795</v>
      </c>
    </row>
    <row r="221" spans="2:21" x14ac:dyDescent="0.25">
      <c r="B221" s="9"/>
      <c r="C221" s="17">
        <v>861.65</v>
      </c>
      <c r="D221" s="18">
        <v>32.250999999999998</v>
      </c>
      <c r="E221" s="18">
        <v>37.369999999999997</v>
      </c>
      <c r="F221" s="18">
        <v>38.067999999999998</v>
      </c>
      <c r="G221" s="18">
        <v>275.27</v>
      </c>
      <c r="H221" s="18">
        <f t="shared" si="19"/>
        <v>33.617999999999995</v>
      </c>
      <c r="I221" s="5"/>
      <c r="J221" s="17">
        <v>598.72879999999998</v>
      </c>
      <c r="K221" s="18">
        <v>32.603200000000001</v>
      </c>
      <c r="L221" s="18">
        <v>38.342700000000001</v>
      </c>
      <c r="M221" s="18">
        <v>39.001300000000001</v>
      </c>
      <c r="N221" s="18">
        <v>271.4932</v>
      </c>
      <c r="O221" s="18">
        <f t="shared" si="20"/>
        <v>34.120400000000004</v>
      </c>
      <c r="P221" s="7"/>
      <c r="Q221" s="10"/>
      <c r="R221" s="11"/>
      <c r="S221" s="11"/>
      <c r="T221" s="26"/>
      <c r="U221" s="28">
        <f t="shared" si="21"/>
        <v>-1.3720347295382644E-2</v>
      </c>
    </row>
    <row r="222" spans="2:21" ht="16.5" thickBot="1" x14ac:dyDescent="0.3">
      <c r="B222" s="12"/>
      <c r="C222" s="19">
        <v>404.2</v>
      </c>
      <c r="D222" s="20">
        <v>27.835999999999999</v>
      </c>
      <c r="E222" s="20">
        <v>35.378999999999998</v>
      </c>
      <c r="F222" s="20">
        <v>36.146999999999998</v>
      </c>
      <c r="G222" s="20">
        <v>291.31</v>
      </c>
      <c r="H222" s="20">
        <f t="shared" si="19"/>
        <v>29.817749999999997</v>
      </c>
      <c r="I222" s="5"/>
      <c r="J222" s="19">
        <v>298.03210000000001</v>
      </c>
      <c r="K222" s="20">
        <v>29.3081</v>
      </c>
      <c r="L222" s="20">
        <v>36.150300000000001</v>
      </c>
      <c r="M222" s="20">
        <v>36.882800000000003</v>
      </c>
      <c r="N222" s="20">
        <v>326.85669999999999</v>
      </c>
      <c r="O222" s="20">
        <f t="shared" si="20"/>
        <v>31.110212499999999</v>
      </c>
      <c r="P222" s="7"/>
      <c r="Q222" s="13"/>
      <c r="R222" s="14"/>
      <c r="S222" s="14"/>
      <c r="T222" s="27"/>
      <c r="U222" s="28">
        <f t="shared" si="21"/>
        <v>0.12202361745219864</v>
      </c>
    </row>
    <row r="223" spans="2:21" x14ac:dyDescent="0.25">
      <c r="B223" s="6" t="s">
        <v>108</v>
      </c>
      <c r="C223" s="15">
        <v>2126.0100000000002</v>
      </c>
      <c r="D223" s="16">
        <v>37.555999999999997</v>
      </c>
      <c r="E223" s="16">
        <v>42.618000000000002</v>
      </c>
      <c r="F223" s="16">
        <v>44.218000000000004</v>
      </c>
      <c r="G223" s="16">
        <v>159.57</v>
      </c>
      <c r="H223" s="16">
        <f t="shared" si="19"/>
        <v>39.021500000000003</v>
      </c>
      <c r="I223" s="5"/>
      <c r="J223" s="15">
        <v>1509.0969</v>
      </c>
      <c r="K223" s="16">
        <v>37.131</v>
      </c>
      <c r="L223" s="16">
        <v>43.010599999999997</v>
      </c>
      <c r="M223" s="16">
        <v>44.395899999999997</v>
      </c>
      <c r="N223" s="16">
        <v>194.2586</v>
      </c>
      <c r="O223" s="16">
        <f t="shared" si="20"/>
        <v>38.774062499999999</v>
      </c>
      <c r="P223" s="7"/>
      <c r="Q223" s="8">
        <f>bdrate(C223:C226,D223:D226,J223:J226,K223:K226)</f>
        <v>-0.34765440699628769</v>
      </c>
      <c r="R223" s="8">
        <f>bdrate(C223:C226,E223:E226,J223:J226,L223:L226)</f>
        <v>-0.47360906488419729</v>
      </c>
      <c r="S223" s="8">
        <f>bdrate(C223:C226,F223:F226,J223:J226,M223:M226)</f>
        <v>-0.3985763713601892</v>
      </c>
      <c r="T223" s="25">
        <f>bdrate(C223:C226,H223:H226,J223:J226,O223:O226)</f>
        <v>-0.36384071794501005</v>
      </c>
      <c r="U223" s="28">
        <f t="shared" si="21"/>
        <v>0.21738798019677891</v>
      </c>
    </row>
    <row r="224" spans="2:21" x14ac:dyDescent="0.25">
      <c r="B224" s="9"/>
      <c r="C224" s="17">
        <v>1418.41</v>
      </c>
      <c r="D224" s="18">
        <v>35.710999999999999</v>
      </c>
      <c r="E224" s="18">
        <v>41.368000000000002</v>
      </c>
      <c r="F224" s="18">
        <v>42.966000000000001</v>
      </c>
      <c r="G224" s="18">
        <v>228.37</v>
      </c>
      <c r="H224" s="18">
        <f t="shared" si="19"/>
        <v>37.324999999999996</v>
      </c>
      <c r="I224" s="5"/>
      <c r="J224" s="17">
        <v>1006.1303</v>
      </c>
      <c r="K224" s="18">
        <v>35.715000000000003</v>
      </c>
      <c r="L224" s="18">
        <v>42.011699999999998</v>
      </c>
      <c r="M224" s="18">
        <v>43.266599999999997</v>
      </c>
      <c r="N224" s="18">
        <v>227.9058</v>
      </c>
      <c r="O224" s="18">
        <f t="shared" si="20"/>
        <v>37.446037500000003</v>
      </c>
      <c r="P224" s="7"/>
      <c r="Q224" s="10"/>
      <c r="R224" s="11"/>
      <c r="S224" s="11"/>
      <c r="T224" s="26"/>
      <c r="U224" s="28">
        <f t="shared" si="21"/>
        <v>-2.0326662871655876E-3</v>
      </c>
    </row>
    <row r="225" spans="2:21" x14ac:dyDescent="0.25">
      <c r="B225" s="9"/>
      <c r="C225" s="17">
        <v>863.17</v>
      </c>
      <c r="D225" s="18">
        <v>33.603000000000002</v>
      </c>
      <c r="E225" s="18">
        <v>40.021999999999998</v>
      </c>
      <c r="F225" s="18">
        <v>41.427999999999997</v>
      </c>
      <c r="G225" s="18">
        <v>241.35</v>
      </c>
      <c r="H225" s="18">
        <f t="shared" si="19"/>
        <v>35.383499999999998</v>
      </c>
      <c r="I225" s="5"/>
      <c r="J225" s="17">
        <v>605.48109999999997</v>
      </c>
      <c r="K225" s="18">
        <v>34.032400000000003</v>
      </c>
      <c r="L225" s="18">
        <v>40.818800000000003</v>
      </c>
      <c r="M225" s="18">
        <v>41.954099999999997</v>
      </c>
      <c r="N225" s="18">
        <v>264.04579999999999</v>
      </c>
      <c r="O225" s="18">
        <f t="shared" si="20"/>
        <v>35.870912500000003</v>
      </c>
      <c r="P225" s="7"/>
      <c r="Q225" s="10"/>
      <c r="R225" s="11"/>
      <c r="S225" s="11"/>
      <c r="T225" s="26"/>
      <c r="U225" s="28">
        <f t="shared" si="21"/>
        <v>9.4036875906360021E-2</v>
      </c>
    </row>
    <row r="226" spans="2:21" ht="16.5" thickBot="1" x14ac:dyDescent="0.3">
      <c r="B226" s="12"/>
      <c r="C226" s="19">
        <v>407.8</v>
      </c>
      <c r="D226" s="20">
        <v>30.844999999999999</v>
      </c>
      <c r="E226" s="20">
        <v>38.348999999999997</v>
      </c>
      <c r="F226" s="20">
        <v>39.427</v>
      </c>
      <c r="G226" s="20">
        <v>239.87</v>
      </c>
      <c r="H226" s="20">
        <f t="shared" si="19"/>
        <v>32.85575</v>
      </c>
      <c r="I226" s="5"/>
      <c r="J226" s="19">
        <v>302.14929999999998</v>
      </c>
      <c r="K226" s="20">
        <v>31.930499999999999</v>
      </c>
      <c r="L226" s="20">
        <v>39.342199999999998</v>
      </c>
      <c r="M226" s="20">
        <v>40.220199999999998</v>
      </c>
      <c r="N226" s="20">
        <v>320.51280000000003</v>
      </c>
      <c r="O226" s="20">
        <f t="shared" si="20"/>
        <v>33.893174999999999</v>
      </c>
      <c r="P226" s="7"/>
      <c r="Q226" s="13"/>
      <c r="R226" s="14"/>
      <c r="S226" s="14"/>
      <c r="T226" s="27"/>
      <c r="U226" s="28">
        <f t="shared" si="21"/>
        <v>0.33619377162629765</v>
      </c>
    </row>
    <row r="227" spans="2:21" x14ac:dyDescent="0.25">
      <c r="B227" s="6" t="s">
        <v>109</v>
      </c>
      <c r="C227" s="15">
        <v>2215.9699999999998</v>
      </c>
      <c r="D227" s="16">
        <v>46.994999999999997</v>
      </c>
      <c r="E227" s="16">
        <v>51.284999999999997</v>
      </c>
      <c r="F227" s="16">
        <v>52.46</v>
      </c>
      <c r="G227" s="16">
        <v>237.24</v>
      </c>
      <c r="H227" s="16">
        <f t="shared" si="19"/>
        <v>48.214374999999997</v>
      </c>
      <c r="I227" s="5"/>
      <c r="J227" s="15">
        <v>1501.0678</v>
      </c>
      <c r="K227" s="16">
        <v>47.354599999999998</v>
      </c>
      <c r="L227" s="16">
        <v>52.657400000000003</v>
      </c>
      <c r="M227" s="16">
        <v>53.941699999999997</v>
      </c>
      <c r="N227" s="16">
        <v>230.16890000000001</v>
      </c>
      <c r="O227" s="16">
        <f t="shared" si="20"/>
        <v>48.840837499999992</v>
      </c>
      <c r="P227" s="7"/>
      <c r="Q227" s="8">
        <f>bdrate(C227:C230,D227:D230,J227:J230,K227:K230)</f>
        <v>-0.44197714073262273</v>
      </c>
      <c r="R227" s="8">
        <f>bdrate(C227:C230,E227:E230,J227:J230,L227:L230)</f>
        <v>-0.58290440908106378</v>
      </c>
      <c r="S227" s="8">
        <f>bdrate(C227:C230,F227:F230,J227:J230,M227:M230)</f>
        <v>-0.58159015266112712</v>
      </c>
      <c r="T227" s="25">
        <f>bdrate(C227:C230,H227:H230,J227:J230,O227:O230)</f>
        <v>-0.48125671474324427</v>
      </c>
      <c r="U227" s="28">
        <f t="shared" si="21"/>
        <v>-2.9805682009779132E-2</v>
      </c>
    </row>
    <row r="228" spans="2:21" x14ac:dyDescent="0.25">
      <c r="B228" s="9"/>
      <c r="C228" s="17">
        <v>1472.46</v>
      </c>
      <c r="D228" s="18">
        <v>44.365000000000002</v>
      </c>
      <c r="E228" s="18">
        <v>48.844999999999999</v>
      </c>
      <c r="F228" s="18">
        <v>50.161999999999999</v>
      </c>
      <c r="G228" s="18">
        <v>273.74</v>
      </c>
      <c r="H228" s="18">
        <f t="shared" si="19"/>
        <v>45.649624999999993</v>
      </c>
      <c r="I228" s="5"/>
      <c r="J228" s="17">
        <v>1001.3508</v>
      </c>
      <c r="K228" s="18">
        <v>45.520899999999997</v>
      </c>
      <c r="L228" s="18">
        <v>51.024900000000002</v>
      </c>
      <c r="M228" s="18">
        <v>52.369900000000001</v>
      </c>
      <c r="N228" s="18">
        <v>263.28109999999998</v>
      </c>
      <c r="O228" s="18">
        <f t="shared" si="20"/>
        <v>47.065025000000006</v>
      </c>
      <c r="P228" s="7"/>
      <c r="Q228" s="10"/>
      <c r="R228" s="11"/>
      <c r="S228" s="11"/>
      <c r="T228" s="26"/>
      <c r="U228" s="28">
        <f t="shared" si="21"/>
        <v>-3.820742310221388E-2</v>
      </c>
    </row>
    <row r="229" spans="2:21" x14ac:dyDescent="0.25">
      <c r="B229" s="9"/>
      <c r="C229" s="17">
        <v>893.38</v>
      </c>
      <c r="D229" s="18">
        <v>42.146000000000001</v>
      </c>
      <c r="E229" s="18">
        <v>46.63</v>
      </c>
      <c r="F229" s="18">
        <v>48.048000000000002</v>
      </c>
      <c r="G229" s="18">
        <v>295.69</v>
      </c>
      <c r="H229" s="18">
        <f t="shared" si="19"/>
        <v>43.444250000000004</v>
      </c>
      <c r="I229" s="5"/>
      <c r="J229" s="17">
        <v>601.97280000000001</v>
      </c>
      <c r="K229" s="18">
        <v>43.199199999999998</v>
      </c>
      <c r="L229" s="18">
        <v>48.895099999999999</v>
      </c>
      <c r="M229" s="18">
        <v>50.178699999999999</v>
      </c>
      <c r="N229" s="18">
        <v>313.30549999999999</v>
      </c>
      <c r="O229" s="18">
        <f t="shared" si="20"/>
        <v>44.783625000000001</v>
      </c>
      <c r="P229" s="7"/>
      <c r="Q229" s="10"/>
      <c r="R229" s="11"/>
      <c r="S229" s="11"/>
      <c r="T229" s="26"/>
      <c r="U229" s="28">
        <f t="shared" si="21"/>
        <v>5.9574216239981055E-2</v>
      </c>
    </row>
    <row r="230" spans="2:21" ht="16.5" thickBot="1" x14ac:dyDescent="0.3">
      <c r="B230" s="12"/>
      <c r="C230" s="19">
        <v>427.08</v>
      </c>
      <c r="D230" s="20">
        <v>39.695999999999998</v>
      </c>
      <c r="E230" s="20">
        <v>43.890999999999998</v>
      </c>
      <c r="F230" s="20">
        <v>45.305</v>
      </c>
      <c r="G230" s="20">
        <v>304.04000000000002</v>
      </c>
      <c r="H230" s="20">
        <f t="shared" si="19"/>
        <v>40.921500000000002</v>
      </c>
      <c r="I230" s="5"/>
      <c r="J230" s="19">
        <v>303.03370000000001</v>
      </c>
      <c r="K230" s="20">
        <v>39.937899999999999</v>
      </c>
      <c r="L230" s="20">
        <v>45.788400000000003</v>
      </c>
      <c r="M230" s="20">
        <v>47.145099999999999</v>
      </c>
      <c r="N230" s="20">
        <v>363.72829999999999</v>
      </c>
      <c r="O230" s="20">
        <f t="shared" si="20"/>
        <v>41.5701125</v>
      </c>
      <c r="P230" s="7"/>
      <c r="Q230" s="13"/>
      <c r="R230" s="14"/>
      <c r="S230" s="14"/>
      <c r="T230" s="27"/>
      <c r="U230" s="28">
        <f t="shared" si="21"/>
        <v>0.19631726088672533</v>
      </c>
    </row>
    <row r="231" spans="2:21" x14ac:dyDescent="0.25">
      <c r="B231" s="6" t="s">
        <v>110</v>
      </c>
      <c r="C231" s="15">
        <v>2050.42</v>
      </c>
      <c r="D231" s="16">
        <v>31.425999999999998</v>
      </c>
      <c r="E231" s="16">
        <v>39.802</v>
      </c>
      <c r="F231" s="16">
        <v>39.171999999999997</v>
      </c>
      <c r="G231" s="16">
        <v>191.63</v>
      </c>
      <c r="H231" s="16">
        <f t="shared" si="19"/>
        <v>33.441249999999997</v>
      </c>
      <c r="I231" s="5"/>
      <c r="J231" s="15">
        <v>1496.1557</v>
      </c>
      <c r="K231" s="16">
        <v>31.938700000000001</v>
      </c>
      <c r="L231" s="16">
        <v>40.133099999999999</v>
      </c>
      <c r="M231" s="16">
        <v>39.519300000000001</v>
      </c>
      <c r="N231" s="16">
        <v>157.6044</v>
      </c>
      <c r="O231" s="16">
        <f t="shared" si="20"/>
        <v>33.910575000000001</v>
      </c>
      <c r="P231" s="7"/>
      <c r="Q231" s="8">
        <f>bdrate(C231:C234,D231:D234,J231:J234,K231:K234)</f>
        <v>-0.44268925010716265</v>
      </c>
      <c r="R231" s="8">
        <f>bdrate(C231:C234,E231:E234,J231:J234,L231:L234)</f>
        <v>-0.35818459021581972</v>
      </c>
      <c r="S231" s="8">
        <f>bdrate(C231:C234,F231:F234,J231:J234,M231:M234)</f>
        <v>-0.34231391371718478</v>
      </c>
      <c r="T231" s="25">
        <f>bdrate(C231:C234,H231:H234,J231:J234,O231:O234)</f>
        <v>-0.43097260966252271</v>
      </c>
      <c r="U231" s="28">
        <f t="shared" si="21"/>
        <v>-0.17755883734279601</v>
      </c>
    </row>
    <row r="232" spans="2:21" x14ac:dyDescent="0.25">
      <c r="B232" s="9"/>
      <c r="C232" s="17">
        <v>1364.83</v>
      </c>
      <c r="D232" s="18">
        <v>29.248000000000001</v>
      </c>
      <c r="E232" s="18">
        <v>38.781999999999996</v>
      </c>
      <c r="F232" s="18">
        <v>38.167000000000002</v>
      </c>
      <c r="G232" s="18">
        <v>214.06</v>
      </c>
      <c r="H232" s="18">
        <f t="shared" si="19"/>
        <v>31.554624999999998</v>
      </c>
      <c r="I232" s="5"/>
      <c r="J232" s="17">
        <v>995.16189999999995</v>
      </c>
      <c r="K232" s="18">
        <v>30.155999999999999</v>
      </c>
      <c r="L232" s="18">
        <v>39.188499999999998</v>
      </c>
      <c r="M232" s="18">
        <v>38.493699999999997</v>
      </c>
      <c r="N232" s="18">
        <v>187.26589999999999</v>
      </c>
      <c r="O232" s="18">
        <f t="shared" si="20"/>
        <v>32.327275</v>
      </c>
      <c r="P232" s="7"/>
      <c r="Q232" s="10"/>
      <c r="R232" s="11"/>
      <c r="S232" s="11"/>
      <c r="T232" s="26"/>
      <c r="U232" s="28">
        <f t="shared" si="21"/>
        <v>-0.12517098009903771</v>
      </c>
    </row>
    <row r="233" spans="2:21" x14ac:dyDescent="0.25">
      <c r="B233" s="9"/>
      <c r="C233" s="17">
        <v>829.82</v>
      </c>
      <c r="D233" s="18">
        <v>26.417000000000002</v>
      </c>
      <c r="E233" s="18">
        <v>37.610999999999997</v>
      </c>
      <c r="F233" s="18">
        <v>36.99</v>
      </c>
      <c r="G233" s="18">
        <v>224.38</v>
      </c>
      <c r="H233" s="18">
        <f t="shared" si="19"/>
        <v>29.137875000000001</v>
      </c>
      <c r="I233" s="5"/>
      <c r="J233" s="17">
        <v>596.8723</v>
      </c>
      <c r="K233" s="18">
        <v>27.908899999999999</v>
      </c>
      <c r="L233" s="18">
        <v>37.8232</v>
      </c>
      <c r="M233" s="18">
        <v>37.110199999999999</v>
      </c>
      <c r="N233" s="18">
        <v>228.4264</v>
      </c>
      <c r="O233" s="18">
        <f t="shared" si="20"/>
        <v>30.298349999999996</v>
      </c>
      <c r="P233" s="7"/>
      <c r="Q233" s="10"/>
      <c r="R233" s="11"/>
      <c r="S233" s="11"/>
      <c r="T233" s="26"/>
      <c r="U233" s="28">
        <f t="shared" si="21"/>
        <v>1.8033692842499355E-2</v>
      </c>
    </row>
    <row r="234" spans="2:21" ht="16.5" thickBot="1" x14ac:dyDescent="0.3">
      <c r="B234" s="12"/>
      <c r="C234" s="19">
        <v>386.92</v>
      </c>
      <c r="D234" s="20">
        <v>21.957000000000001</v>
      </c>
      <c r="E234" s="20">
        <v>33.554000000000002</v>
      </c>
      <c r="F234" s="20">
        <v>33.070999999999998</v>
      </c>
      <c r="G234" s="20">
        <v>228.43</v>
      </c>
      <c r="H234" s="20">
        <f t="shared" si="19"/>
        <v>24.795875000000002</v>
      </c>
      <c r="I234" s="5"/>
      <c r="J234" s="19">
        <v>299.84359999999998</v>
      </c>
      <c r="K234" s="20">
        <v>25.083200000000001</v>
      </c>
      <c r="L234" s="20">
        <v>35.425800000000002</v>
      </c>
      <c r="M234" s="20">
        <v>34.831499999999998</v>
      </c>
      <c r="N234" s="20">
        <v>293.58999999999997</v>
      </c>
      <c r="O234" s="20">
        <f t="shared" si="20"/>
        <v>27.594562500000002</v>
      </c>
      <c r="P234" s="7"/>
      <c r="Q234" s="13"/>
      <c r="R234" s="14"/>
      <c r="S234" s="14"/>
      <c r="T234" s="27"/>
      <c r="U234" s="28">
        <f t="shared" si="21"/>
        <v>0.28525149936523209</v>
      </c>
    </row>
    <row r="235" spans="2:21" x14ac:dyDescent="0.25">
      <c r="B235" s="6" t="s">
        <v>111</v>
      </c>
      <c r="C235" s="15">
        <v>2358.6999999999998</v>
      </c>
      <c r="D235" s="16">
        <v>46.08</v>
      </c>
      <c r="E235" s="16">
        <v>46.557000000000002</v>
      </c>
      <c r="F235" s="16">
        <v>46.273000000000003</v>
      </c>
      <c r="G235" s="16">
        <v>236.9</v>
      </c>
      <c r="H235" s="16">
        <f t="shared" si="19"/>
        <v>46.163750000000007</v>
      </c>
      <c r="I235" s="5"/>
      <c r="J235" s="15">
        <v>1424.6311000000001</v>
      </c>
      <c r="K235" s="16">
        <v>44.897100000000002</v>
      </c>
      <c r="L235" s="16">
        <v>46.005299999999998</v>
      </c>
      <c r="M235" s="16">
        <v>45.879600000000003</v>
      </c>
      <c r="N235" s="16">
        <v>206.75399999999999</v>
      </c>
      <c r="O235" s="16">
        <f t="shared" si="20"/>
        <v>45.158437499999998</v>
      </c>
      <c r="P235" s="7"/>
      <c r="Q235" s="8">
        <f>bdrate(C235:C238,D235:D238,J235:J238,K235:K238)</f>
        <v>-0.32232999333944345</v>
      </c>
      <c r="R235" s="8">
        <f>bdrate(C235:C238,E235:E238,J235:J238,L235:L238)</f>
        <v>-0.35749981563695765</v>
      </c>
      <c r="S235" s="8">
        <f>bdrate(C235:C238,F235:F238,J235:J238,M235:M238)</f>
        <v>-0.38440040247610086</v>
      </c>
      <c r="T235" s="25">
        <f>bdrate(C235:C238,H235:H238,J235:J238,O235:O238)</f>
        <v>-0.33270994182399705</v>
      </c>
      <c r="U235" s="28">
        <f t="shared" si="21"/>
        <v>-0.1272520050654285</v>
      </c>
    </row>
    <row r="236" spans="2:21" x14ac:dyDescent="0.25">
      <c r="B236" s="9"/>
      <c r="C236" s="17">
        <v>1567.25</v>
      </c>
      <c r="D236" s="18">
        <v>43.786999999999999</v>
      </c>
      <c r="E236" s="18">
        <v>44.552</v>
      </c>
      <c r="F236" s="18">
        <v>44.225000000000001</v>
      </c>
      <c r="G236" s="18">
        <v>270.14999999999998</v>
      </c>
      <c r="H236" s="18">
        <f t="shared" si="19"/>
        <v>43.937375000000003</v>
      </c>
      <c r="I236" s="5"/>
      <c r="J236" s="17">
        <v>959.3827</v>
      </c>
      <c r="K236" s="18">
        <v>43.006799999999998</v>
      </c>
      <c r="L236" s="18">
        <v>44.383699999999997</v>
      </c>
      <c r="M236" s="18">
        <v>44.245199999999997</v>
      </c>
      <c r="N236" s="18">
        <v>250.31290000000001</v>
      </c>
      <c r="O236" s="18">
        <f t="shared" si="20"/>
        <v>43.333712499999997</v>
      </c>
      <c r="P236" s="7"/>
      <c r="Q236" s="10"/>
      <c r="R236" s="11"/>
      <c r="S236" s="11"/>
      <c r="T236" s="26"/>
      <c r="U236" s="28">
        <f t="shared" si="21"/>
        <v>-7.3429946326114992E-2</v>
      </c>
    </row>
    <row r="237" spans="2:21" x14ac:dyDescent="0.25">
      <c r="B237" s="9"/>
      <c r="C237" s="17">
        <v>947.23</v>
      </c>
      <c r="D237" s="18">
        <v>40.671999999999997</v>
      </c>
      <c r="E237" s="18">
        <v>42.073999999999998</v>
      </c>
      <c r="F237" s="18">
        <v>41.668999999999997</v>
      </c>
      <c r="G237" s="18">
        <v>282.70999999999998</v>
      </c>
      <c r="H237" s="18">
        <f t="shared" si="19"/>
        <v>40.971874999999997</v>
      </c>
      <c r="I237" s="5"/>
      <c r="J237" s="17">
        <v>586.72469999999998</v>
      </c>
      <c r="K237" s="18">
        <v>40.034700000000001</v>
      </c>
      <c r="L237" s="18">
        <v>41.902700000000003</v>
      </c>
      <c r="M237" s="18">
        <v>41.717300000000002</v>
      </c>
      <c r="N237" s="18">
        <v>293.5421</v>
      </c>
      <c r="O237" s="18">
        <f t="shared" si="20"/>
        <v>40.478525000000005</v>
      </c>
      <c r="P237" s="7"/>
      <c r="Q237" s="10"/>
      <c r="R237" s="11"/>
      <c r="S237" s="11"/>
      <c r="T237" s="26"/>
      <c r="U237" s="28">
        <f t="shared" si="21"/>
        <v>3.8315234692794832E-2</v>
      </c>
    </row>
    <row r="238" spans="2:21" ht="16.5" thickBot="1" x14ac:dyDescent="0.3">
      <c r="B238" s="12"/>
      <c r="C238" s="19">
        <v>438.68</v>
      </c>
      <c r="D238" s="20">
        <v>34.926000000000002</v>
      </c>
      <c r="E238" s="20">
        <v>38.229999999999997</v>
      </c>
      <c r="F238" s="20">
        <v>37.826999999999998</v>
      </c>
      <c r="G238" s="20">
        <v>299.7</v>
      </c>
      <c r="H238" s="20">
        <f t="shared" si="19"/>
        <v>35.701625</v>
      </c>
      <c r="I238" s="5"/>
      <c r="J238" s="19">
        <v>293.31229999999999</v>
      </c>
      <c r="K238" s="20">
        <v>35.535600000000002</v>
      </c>
      <c r="L238" s="20">
        <v>38.401200000000003</v>
      </c>
      <c r="M238" s="20">
        <v>38.236499999999999</v>
      </c>
      <c r="N238" s="20">
        <v>346.28699999999998</v>
      </c>
      <c r="O238" s="20">
        <f t="shared" si="20"/>
        <v>36.231412499999998</v>
      </c>
      <c r="P238" s="7"/>
      <c r="Q238" s="13"/>
      <c r="R238" s="14"/>
      <c r="S238" s="14"/>
      <c r="T238" s="27"/>
      <c r="U238" s="28">
        <f t="shared" si="21"/>
        <v>0.15544544544544542</v>
      </c>
    </row>
    <row r="239" spans="2:21" x14ac:dyDescent="0.25">
      <c r="B239" s="6" t="s">
        <v>112</v>
      </c>
      <c r="C239" s="15">
        <v>2848.82</v>
      </c>
      <c r="D239" s="16">
        <v>47.22</v>
      </c>
      <c r="E239" s="16">
        <v>48.61</v>
      </c>
      <c r="F239" s="16">
        <v>48.832000000000001</v>
      </c>
      <c r="G239" s="16">
        <v>232.17</v>
      </c>
      <c r="H239" s="16">
        <f t="shared" si="19"/>
        <v>47.59525</v>
      </c>
      <c r="I239" s="5"/>
      <c r="J239" s="15">
        <v>1405.8221000000001</v>
      </c>
      <c r="K239" s="16">
        <v>45.484699999999997</v>
      </c>
      <c r="L239" s="16">
        <v>47.7378</v>
      </c>
      <c r="M239" s="16">
        <v>47.978900000000003</v>
      </c>
      <c r="N239" s="16">
        <v>203.85050000000001</v>
      </c>
      <c r="O239" s="16">
        <f t="shared" si="20"/>
        <v>46.078112499999996</v>
      </c>
      <c r="P239" s="7"/>
      <c r="Q239" s="8">
        <f>bdrate(C239:C242,D239:D242,J239:J242,K239:K242)</f>
        <v>-0.38487313011866975</v>
      </c>
      <c r="R239" s="8">
        <f>bdrate(C239:C242,E239:E242,J239:J242,L239:L242)</f>
        <v>-0.43359566236294667</v>
      </c>
      <c r="S239" s="8">
        <f>bdrate(C239:C242,F239:F242,J239:J242,M239:M242)</f>
        <v>-0.43700856265744459</v>
      </c>
      <c r="T239" s="25">
        <f>bdrate(C239:C242,H239:H242,J239:J242,O239:O242)</f>
        <v>-0.3961793820891889</v>
      </c>
      <c r="U239" s="28">
        <f t="shared" si="21"/>
        <v>-0.12197743033122271</v>
      </c>
    </row>
    <row r="240" spans="2:21" x14ac:dyDescent="0.25">
      <c r="B240" s="9"/>
      <c r="C240" s="17">
        <v>1885.73</v>
      </c>
      <c r="D240" s="18">
        <v>44.545000000000002</v>
      </c>
      <c r="E240" s="18">
        <v>46.3</v>
      </c>
      <c r="F240" s="18">
        <v>46.530999999999999</v>
      </c>
      <c r="G240" s="18">
        <v>286.26</v>
      </c>
      <c r="H240" s="18">
        <f t="shared" si="19"/>
        <v>45.012625</v>
      </c>
      <c r="I240" s="5"/>
      <c r="J240" s="17">
        <v>973.86720000000003</v>
      </c>
      <c r="K240" s="18">
        <v>43.914000000000001</v>
      </c>
      <c r="L240" s="18">
        <v>46.415799999999997</v>
      </c>
      <c r="M240" s="18">
        <v>46.659599999999998</v>
      </c>
      <c r="N240" s="18">
        <v>227.58879999999999</v>
      </c>
      <c r="O240" s="18">
        <f t="shared" si="20"/>
        <v>44.569925000000005</v>
      </c>
      <c r="P240" s="7"/>
      <c r="Q240" s="10"/>
      <c r="R240" s="11"/>
      <c r="S240" s="11"/>
      <c r="T240" s="26"/>
      <c r="U240" s="28">
        <f t="shared" si="21"/>
        <v>-0.20495773073429749</v>
      </c>
    </row>
    <row r="241" spans="2:21" x14ac:dyDescent="0.25">
      <c r="B241" s="9"/>
      <c r="C241" s="17">
        <v>1126.43</v>
      </c>
      <c r="D241" s="18">
        <v>41.738999999999997</v>
      </c>
      <c r="E241" s="18">
        <v>43.99</v>
      </c>
      <c r="F241" s="18">
        <v>44.210999999999999</v>
      </c>
      <c r="G241" s="18">
        <v>307.69</v>
      </c>
      <c r="H241" s="18">
        <f t="shared" si="19"/>
        <v>42.329374999999999</v>
      </c>
      <c r="I241" s="5"/>
      <c r="J241" s="17">
        <v>634.89679999999998</v>
      </c>
      <c r="K241" s="18">
        <v>41.244399999999999</v>
      </c>
      <c r="L241" s="18">
        <v>43.974800000000002</v>
      </c>
      <c r="M241" s="18">
        <v>44.237900000000003</v>
      </c>
      <c r="N241" s="18">
        <v>248.65309999999999</v>
      </c>
      <c r="O241" s="18">
        <f t="shared" si="20"/>
        <v>41.959887500000001</v>
      </c>
      <c r="P241" s="7"/>
      <c r="Q241" s="10"/>
      <c r="R241" s="11"/>
      <c r="S241" s="11"/>
      <c r="T241" s="26"/>
      <c r="U241" s="28">
        <f t="shared" si="21"/>
        <v>-0.19187136403523028</v>
      </c>
    </row>
    <row r="242" spans="2:21" ht="16.5" thickBot="1" x14ac:dyDescent="0.3">
      <c r="B242" s="12"/>
      <c r="C242" s="19">
        <v>526.66999999999996</v>
      </c>
      <c r="D242" s="20">
        <v>37.195999999999998</v>
      </c>
      <c r="E242" s="20">
        <v>40.415999999999997</v>
      </c>
      <c r="F242" s="20">
        <v>40.658000000000001</v>
      </c>
      <c r="G242" s="20">
        <v>332.47</v>
      </c>
      <c r="H242" s="20">
        <f t="shared" si="19"/>
        <v>38.03125</v>
      </c>
      <c r="I242" s="5"/>
      <c r="J242" s="19">
        <v>337.28789999999998</v>
      </c>
      <c r="K242" s="20">
        <v>37.015500000000003</v>
      </c>
      <c r="L242" s="20">
        <v>40.268900000000002</v>
      </c>
      <c r="M242" s="20">
        <v>40.543300000000002</v>
      </c>
      <c r="N242" s="20">
        <v>347.22219999999999</v>
      </c>
      <c r="O242" s="20">
        <f t="shared" si="20"/>
        <v>37.863149999999997</v>
      </c>
      <c r="P242" s="7"/>
      <c r="Q242" s="13"/>
      <c r="R242" s="14"/>
      <c r="S242" s="14"/>
      <c r="T242" s="27"/>
      <c r="U242" s="28">
        <f t="shared" si="21"/>
        <v>4.4371522242608229E-2</v>
      </c>
    </row>
    <row r="243" spans="2:21" x14ac:dyDescent="0.25">
      <c r="B243" s="6" t="s">
        <v>113</v>
      </c>
      <c r="C243" s="29">
        <v>2133.06</v>
      </c>
      <c r="D243" s="30">
        <v>32.802</v>
      </c>
      <c r="E243" s="30">
        <v>36.438000000000002</v>
      </c>
      <c r="F243" s="30">
        <v>35.436999999999998</v>
      </c>
      <c r="G243" s="16">
        <v>222.77</v>
      </c>
      <c r="H243" s="16">
        <f t="shared" si="19"/>
        <v>33.585875000000001</v>
      </c>
      <c r="I243" s="5"/>
      <c r="J243" s="29">
        <v>1506.1197</v>
      </c>
      <c r="K243" s="30">
        <v>32.323900000000002</v>
      </c>
      <c r="L243" s="30">
        <v>36.522199999999998</v>
      </c>
      <c r="M243" s="30">
        <v>35.4251</v>
      </c>
      <c r="N243" s="16">
        <v>181.68969999999999</v>
      </c>
      <c r="O243" s="16">
        <f t="shared" si="20"/>
        <v>33.236337499999998</v>
      </c>
      <c r="P243" s="7"/>
      <c r="Q243" s="8">
        <f>bdrate(C243:C246,D243:D246,J243:J246,K243:K246)</f>
        <v>-0.33422622320399398</v>
      </c>
      <c r="R243" s="8">
        <f>bdrate(C243:C246,E243:E246,J243:J246,L243:L246)</f>
        <v>-0.29826749912647965</v>
      </c>
      <c r="S243" s="8">
        <f>bdrate(C243:C246,F243:F246,J243:J246,M243:M246)</f>
        <v>-0.25565580176726121</v>
      </c>
      <c r="T243" s="25">
        <f>bdrate(C243:C246,H243:H246,J243:J246,O243:O246)</f>
        <v>-0.3278132833231594</v>
      </c>
      <c r="U243" s="28">
        <f t="shared" si="21"/>
        <v>-0.18440678726938106</v>
      </c>
    </row>
    <row r="244" spans="2:21" x14ac:dyDescent="0.25">
      <c r="B244" s="9"/>
      <c r="C244" s="31">
        <v>1411.83</v>
      </c>
      <c r="D244" s="32">
        <v>30.553000000000001</v>
      </c>
      <c r="E244" s="32">
        <v>35.338999999999999</v>
      </c>
      <c r="F244" s="32">
        <v>34.299999999999997</v>
      </c>
      <c r="G244" s="18">
        <v>246</v>
      </c>
      <c r="H244" s="18">
        <f t="shared" si="19"/>
        <v>31.619624999999999</v>
      </c>
      <c r="I244" s="5"/>
      <c r="J244" s="31">
        <v>1004.3307</v>
      </c>
      <c r="K244" s="32">
        <v>30.424900000000001</v>
      </c>
      <c r="L244" s="32">
        <v>35.454300000000003</v>
      </c>
      <c r="M244" s="32">
        <v>34.299500000000002</v>
      </c>
      <c r="N244" s="18">
        <v>213.27010000000001</v>
      </c>
      <c r="O244" s="18">
        <f t="shared" si="20"/>
        <v>31.537899999999997</v>
      </c>
      <c r="P244" s="7"/>
      <c r="Q244" s="10"/>
      <c r="R244" s="11"/>
      <c r="S244" s="11"/>
      <c r="T244" s="26"/>
      <c r="U244" s="28">
        <f t="shared" si="21"/>
        <v>-0.13304837398373978</v>
      </c>
    </row>
    <row r="245" spans="2:21" x14ac:dyDescent="0.25">
      <c r="B245" s="9"/>
      <c r="C245" s="31">
        <v>848.08</v>
      </c>
      <c r="D245" s="32">
        <v>27.748000000000001</v>
      </c>
      <c r="E245" s="32">
        <v>34.262999999999998</v>
      </c>
      <c r="F245" s="32">
        <v>33.19</v>
      </c>
      <c r="G245" s="18">
        <v>259.22000000000003</v>
      </c>
      <c r="H245" s="18">
        <f t="shared" si="19"/>
        <v>29.242625</v>
      </c>
      <c r="I245" s="5"/>
      <c r="J245" s="31">
        <v>602.17920000000004</v>
      </c>
      <c r="K245" s="32">
        <v>28.213200000000001</v>
      </c>
      <c r="L245" s="32">
        <v>34.183700000000002</v>
      </c>
      <c r="M245" s="32">
        <v>32.933199999999999</v>
      </c>
      <c r="N245" s="18">
        <v>255.79079999999999</v>
      </c>
      <c r="O245" s="18">
        <f t="shared" si="20"/>
        <v>29.549512499999999</v>
      </c>
      <c r="P245" s="7"/>
      <c r="Q245" s="10"/>
      <c r="R245" s="11"/>
      <c r="S245" s="11"/>
      <c r="T245" s="26"/>
      <c r="U245" s="28">
        <f t="shared" si="21"/>
        <v>-1.3228917521796299E-2</v>
      </c>
    </row>
    <row r="246" spans="2:21" ht="16.5" thickBot="1" x14ac:dyDescent="0.3">
      <c r="B246" s="12"/>
      <c r="C246" s="33">
        <v>382.09</v>
      </c>
      <c r="D246" s="34">
        <v>23.204999999999998</v>
      </c>
      <c r="E246" s="34">
        <v>31.617000000000001</v>
      </c>
      <c r="F246" s="34">
        <v>30.463000000000001</v>
      </c>
      <c r="G246" s="20">
        <v>267.58</v>
      </c>
      <c r="H246" s="20">
        <f t="shared" si="19"/>
        <v>25.163749999999997</v>
      </c>
      <c r="I246" s="5"/>
      <c r="J246" s="33">
        <v>303.7543</v>
      </c>
      <c r="K246" s="34">
        <v>25.672000000000001</v>
      </c>
      <c r="L246" s="34">
        <v>32.36</v>
      </c>
      <c r="M246" s="34">
        <v>30.966899999999999</v>
      </c>
      <c r="N246" s="20">
        <v>320.51280000000003</v>
      </c>
      <c r="O246" s="20">
        <f t="shared" si="20"/>
        <v>27.169862500000001</v>
      </c>
      <c r="P246" s="7"/>
      <c r="Q246" s="13"/>
      <c r="R246" s="14"/>
      <c r="S246" s="14"/>
      <c r="T246" s="27"/>
      <c r="U246" s="28">
        <f t="shared" si="21"/>
        <v>0.19782046490769134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-0.43494000183015874</v>
      </c>
      <c r="R247" s="21">
        <f>AVERAGE(R131:R246)</f>
        <v>-0.50674923488629675</v>
      </c>
      <c r="S247" s="21">
        <f>AVERAGE(S131:S246)</f>
        <v>-0.50423817039890106</v>
      </c>
      <c r="T247" s="21">
        <f>AVERAGE(T131:T246)</f>
        <v>-0.4496517748861078</v>
      </c>
      <c r="U247" s="21">
        <f>AVERAGE(U131:U246)</f>
        <v>7.1084864511556396E-3</v>
      </c>
    </row>
  </sheetData>
  <mergeCells count="12">
    <mergeCell ref="B5:B6"/>
    <mergeCell ref="C7:H7"/>
    <mergeCell ref="J7:O7"/>
    <mergeCell ref="Q7:S7"/>
    <mergeCell ref="C5:U6"/>
    <mergeCell ref="B127:B128"/>
    <mergeCell ref="C129:H129"/>
    <mergeCell ref="J129:O129"/>
    <mergeCell ref="Q129:S129"/>
    <mergeCell ref="U7:U8"/>
    <mergeCell ref="U129:U130"/>
    <mergeCell ref="C127:U128"/>
  </mergeCells>
  <phoneticPr fontId="5" type="noConversion"/>
  <conditionalFormatting sqref="Q29:T32 Q37:T44 Q9:T20">
    <cfRule type="cellIs" dxfId="935" priority="473" operator="greaterThan">
      <formula>0.03</formula>
    </cfRule>
    <cfRule type="cellIs" dxfId="934" priority="474" stopIfTrue="1" operator="lessThan">
      <formula>-0.03</formula>
    </cfRule>
  </conditionalFormatting>
  <conditionalFormatting sqref="Q33:T36">
    <cfRule type="cellIs" dxfId="933" priority="471" operator="greaterThan">
      <formula>0.03</formula>
    </cfRule>
    <cfRule type="cellIs" dxfId="932" priority="472" stopIfTrue="1" operator="lessThan">
      <formula>-0.03</formula>
    </cfRule>
  </conditionalFormatting>
  <conditionalFormatting sqref="Q46:T48 Q62:T64">
    <cfRule type="cellIs" dxfId="931" priority="469" operator="greaterThan">
      <formula>0.03</formula>
    </cfRule>
    <cfRule type="cellIs" dxfId="930" priority="470" stopIfTrue="1" operator="lessThan">
      <formula>-0.03</formula>
    </cfRule>
  </conditionalFormatting>
  <conditionalFormatting sqref="Q50:T52 Q54:T56 Q58:T60">
    <cfRule type="cellIs" dxfId="929" priority="467" operator="greaterThan">
      <formula>0.03</formula>
    </cfRule>
    <cfRule type="cellIs" dxfId="928" priority="468" stopIfTrue="1" operator="lessThan">
      <formula>-0.03</formula>
    </cfRule>
  </conditionalFormatting>
  <conditionalFormatting sqref="Q70:T72 Q74:T76">
    <cfRule type="cellIs" dxfId="927" priority="465" operator="greaterThan">
      <formula>0.03</formula>
    </cfRule>
    <cfRule type="cellIs" dxfId="926" priority="466" stopIfTrue="1" operator="lessThan">
      <formula>-0.03</formula>
    </cfRule>
  </conditionalFormatting>
  <conditionalFormatting sqref="Q66:T68">
    <cfRule type="cellIs" dxfId="925" priority="463" operator="greaterThan">
      <formula>0.03</formula>
    </cfRule>
    <cfRule type="cellIs" dxfId="924" priority="464" stopIfTrue="1" operator="lessThan">
      <formula>-0.03</formula>
    </cfRule>
  </conditionalFormatting>
  <conditionalFormatting sqref="Q78:T80">
    <cfRule type="cellIs" dxfId="923" priority="461" operator="greaterThan">
      <formula>0.03</formula>
    </cfRule>
    <cfRule type="cellIs" dxfId="922" priority="462" stopIfTrue="1" operator="lessThan">
      <formula>-0.03</formula>
    </cfRule>
  </conditionalFormatting>
  <conditionalFormatting sqref="Q21:T28">
    <cfRule type="cellIs" dxfId="921" priority="437" operator="greaterThan">
      <formula>0.03</formula>
    </cfRule>
    <cfRule type="cellIs" dxfId="920" priority="438" stopIfTrue="1" operator="lessThan">
      <formula>-0.03</formula>
    </cfRule>
  </conditionalFormatting>
  <conditionalFormatting sqref="Q151:T154 Q159:T166 Q131:T142">
    <cfRule type="cellIs" dxfId="919" priority="433" operator="greaterThan">
      <formula>0.03</formula>
    </cfRule>
    <cfRule type="cellIs" dxfId="918" priority="434" stopIfTrue="1" operator="lessThan">
      <formula>-0.03</formula>
    </cfRule>
  </conditionalFormatting>
  <conditionalFormatting sqref="Q155:T158">
    <cfRule type="cellIs" dxfId="917" priority="431" operator="greaterThan">
      <formula>0.03</formula>
    </cfRule>
    <cfRule type="cellIs" dxfId="916" priority="432" stopIfTrue="1" operator="lessThan">
      <formula>-0.03</formula>
    </cfRule>
  </conditionalFormatting>
  <conditionalFormatting sqref="Q167:T170 Q183:T186">
    <cfRule type="cellIs" dxfId="915" priority="429" operator="greaterThan">
      <formula>0.03</formula>
    </cfRule>
    <cfRule type="cellIs" dxfId="914" priority="430" stopIfTrue="1" operator="lessThan">
      <formula>-0.03</formula>
    </cfRule>
  </conditionalFormatting>
  <conditionalFormatting sqref="Q171:T182">
    <cfRule type="cellIs" dxfId="913" priority="427" operator="greaterThan">
      <formula>0.03</formula>
    </cfRule>
    <cfRule type="cellIs" dxfId="912" priority="428" stopIfTrue="1" operator="lessThan">
      <formula>-0.03</formula>
    </cfRule>
  </conditionalFormatting>
  <conditionalFormatting sqref="Q191:T198">
    <cfRule type="cellIs" dxfId="911" priority="425" operator="greaterThan">
      <formula>0.03</formula>
    </cfRule>
    <cfRule type="cellIs" dxfId="910" priority="426" stopIfTrue="1" operator="lessThan">
      <formula>-0.03</formula>
    </cfRule>
  </conditionalFormatting>
  <conditionalFormatting sqref="Q187:T190">
    <cfRule type="cellIs" dxfId="909" priority="423" operator="greaterThan">
      <formula>0.03</formula>
    </cfRule>
    <cfRule type="cellIs" dxfId="908" priority="424" stopIfTrue="1" operator="lessThan">
      <formula>-0.03</formula>
    </cfRule>
  </conditionalFormatting>
  <conditionalFormatting sqref="Q199:T202">
    <cfRule type="cellIs" dxfId="907" priority="421" operator="greaterThan">
      <formula>0.03</formula>
    </cfRule>
    <cfRule type="cellIs" dxfId="906" priority="422" stopIfTrue="1" operator="lessThan">
      <formula>-0.03</formula>
    </cfRule>
  </conditionalFormatting>
  <conditionalFormatting sqref="Q143:T150">
    <cfRule type="cellIs" dxfId="905" priority="417" operator="greaterThan">
      <formula>0.03</formula>
    </cfRule>
    <cfRule type="cellIs" dxfId="904" priority="418" stopIfTrue="1" operator="lessThan">
      <formula>-0.03</formula>
    </cfRule>
  </conditionalFormatting>
  <conditionalFormatting sqref="Q45:T45">
    <cfRule type="cellIs" dxfId="903" priority="415" operator="greaterThan">
      <formula>0.03</formula>
    </cfRule>
    <cfRule type="cellIs" dxfId="902" priority="416" stopIfTrue="1" operator="lessThan">
      <formula>-0.03</formula>
    </cfRule>
  </conditionalFormatting>
  <conditionalFormatting sqref="Q49:T49">
    <cfRule type="cellIs" dxfId="901" priority="413" operator="greaterThan">
      <formula>0.03</formula>
    </cfRule>
    <cfRule type="cellIs" dxfId="900" priority="414" stopIfTrue="1" operator="lessThan">
      <formula>-0.03</formula>
    </cfRule>
  </conditionalFormatting>
  <conditionalFormatting sqref="Q53:T53">
    <cfRule type="cellIs" dxfId="899" priority="411" operator="greaterThan">
      <formula>0.03</formula>
    </cfRule>
    <cfRule type="cellIs" dxfId="898" priority="412" stopIfTrue="1" operator="lessThan">
      <formula>-0.03</formula>
    </cfRule>
  </conditionalFormatting>
  <conditionalFormatting sqref="Q57:T57">
    <cfRule type="cellIs" dxfId="897" priority="409" operator="greaterThan">
      <formula>0.03</formula>
    </cfRule>
    <cfRule type="cellIs" dxfId="896" priority="410" stopIfTrue="1" operator="lessThan">
      <formula>-0.03</formula>
    </cfRule>
  </conditionalFormatting>
  <conditionalFormatting sqref="Q61:T61">
    <cfRule type="cellIs" dxfId="895" priority="407" operator="greaterThan">
      <formula>0.03</formula>
    </cfRule>
    <cfRule type="cellIs" dxfId="894" priority="408" stopIfTrue="1" operator="lessThan">
      <formula>-0.03</formula>
    </cfRule>
  </conditionalFormatting>
  <conditionalFormatting sqref="Q65:T65">
    <cfRule type="cellIs" dxfId="893" priority="405" operator="greaterThan">
      <formula>0.03</formula>
    </cfRule>
    <cfRule type="cellIs" dxfId="892" priority="406" stopIfTrue="1" operator="lessThan">
      <formula>-0.03</formula>
    </cfRule>
  </conditionalFormatting>
  <conditionalFormatting sqref="Q69:T69">
    <cfRule type="cellIs" dxfId="891" priority="403" operator="greaterThan">
      <formula>0.03</formula>
    </cfRule>
    <cfRule type="cellIs" dxfId="890" priority="404" stopIfTrue="1" operator="lessThan">
      <formula>-0.03</formula>
    </cfRule>
  </conditionalFormatting>
  <conditionalFormatting sqref="Q73:T73">
    <cfRule type="cellIs" dxfId="889" priority="401" operator="greaterThan">
      <formula>0.03</formula>
    </cfRule>
    <cfRule type="cellIs" dxfId="888" priority="402" stopIfTrue="1" operator="lessThan">
      <formula>-0.03</formula>
    </cfRule>
  </conditionalFormatting>
  <conditionalFormatting sqref="Q77:T77">
    <cfRule type="cellIs" dxfId="887" priority="399" operator="greaterThan">
      <formula>0.03</formula>
    </cfRule>
    <cfRule type="cellIs" dxfId="886" priority="400" stopIfTrue="1" operator="lessThan">
      <formula>-0.03</formula>
    </cfRule>
  </conditionalFormatting>
  <conditionalFormatting sqref="Q117:T117">
    <cfRule type="cellIs" dxfId="885" priority="99" operator="greaterThan">
      <formula>0.03</formula>
    </cfRule>
    <cfRule type="cellIs" dxfId="884" priority="100" stopIfTrue="1" operator="lessThan">
      <formula>-0.03</formula>
    </cfRule>
  </conditionalFormatting>
  <conditionalFormatting sqref="Q93:T96 Q101:T108 Q81:T84">
    <cfRule type="cellIs" dxfId="883" priority="113" operator="greaterThan">
      <formula>0.03</formula>
    </cfRule>
    <cfRule type="cellIs" dxfId="882" priority="114" stopIfTrue="1" operator="lessThan">
      <formula>-0.03</formula>
    </cfRule>
  </conditionalFormatting>
  <conditionalFormatting sqref="Q97:T100">
    <cfRule type="cellIs" dxfId="881" priority="111" operator="greaterThan">
      <formula>0.03</formula>
    </cfRule>
    <cfRule type="cellIs" dxfId="880" priority="112" stopIfTrue="1" operator="lessThan">
      <formula>-0.03</formula>
    </cfRule>
  </conditionalFormatting>
  <conditionalFormatting sqref="Q110:T112 Q122:T124">
    <cfRule type="cellIs" dxfId="879" priority="109" operator="greaterThan">
      <formula>0.03</formula>
    </cfRule>
    <cfRule type="cellIs" dxfId="878" priority="110" stopIfTrue="1" operator="lessThan">
      <formula>-0.03</formula>
    </cfRule>
  </conditionalFormatting>
  <conditionalFormatting sqref="Q114:T116 Q118:T120">
    <cfRule type="cellIs" dxfId="877" priority="107" operator="greaterThan">
      <formula>0.03</formula>
    </cfRule>
    <cfRule type="cellIs" dxfId="876" priority="108" stopIfTrue="1" operator="lessThan">
      <formula>-0.03</formula>
    </cfRule>
  </conditionalFormatting>
  <conditionalFormatting sqref="Q85:T92">
    <cfRule type="cellIs" dxfId="875" priority="105" operator="greaterThan">
      <formula>0.03</formula>
    </cfRule>
    <cfRule type="cellIs" dxfId="874" priority="106" stopIfTrue="1" operator="lessThan">
      <formula>-0.03</formula>
    </cfRule>
  </conditionalFormatting>
  <conditionalFormatting sqref="Q109:T109">
    <cfRule type="cellIs" dxfId="873" priority="103" operator="greaterThan">
      <formula>0.03</formula>
    </cfRule>
    <cfRule type="cellIs" dxfId="872" priority="104" stopIfTrue="1" operator="lessThan">
      <formula>-0.03</formula>
    </cfRule>
  </conditionalFormatting>
  <conditionalFormatting sqref="Q113:T113">
    <cfRule type="cellIs" dxfId="871" priority="101" operator="greaterThan">
      <formula>0.03</formula>
    </cfRule>
    <cfRule type="cellIs" dxfId="870" priority="102" stopIfTrue="1" operator="lessThan">
      <formula>-0.03</formula>
    </cfRule>
  </conditionalFormatting>
  <conditionalFormatting sqref="Q121:T121">
    <cfRule type="cellIs" dxfId="869" priority="97" operator="greaterThan">
      <formula>0.03</formula>
    </cfRule>
    <cfRule type="cellIs" dxfId="868" priority="98" stopIfTrue="1" operator="lessThan">
      <formula>-0.03</formula>
    </cfRule>
  </conditionalFormatting>
  <conditionalFormatting sqref="Q239:T239">
    <cfRule type="cellIs" dxfId="867" priority="33" operator="greaterThan">
      <formula>0.03</formula>
    </cfRule>
    <cfRule type="cellIs" dxfId="866" priority="34" stopIfTrue="1" operator="lessThan">
      <formula>-0.03</formula>
    </cfRule>
  </conditionalFormatting>
  <conditionalFormatting sqref="Q215:T218 Q223:T230 Q203:T206">
    <cfRule type="cellIs" dxfId="865" priority="47" operator="greaterThan">
      <formula>0.03</formula>
    </cfRule>
    <cfRule type="cellIs" dxfId="864" priority="48" stopIfTrue="1" operator="lessThan">
      <formula>-0.03</formula>
    </cfRule>
  </conditionalFormatting>
  <conditionalFormatting sqref="Q219:T222">
    <cfRule type="cellIs" dxfId="863" priority="45" operator="greaterThan">
      <formula>0.03</formula>
    </cfRule>
    <cfRule type="cellIs" dxfId="862" priority="46" stopIfTrue="1" operator="lessThan">
      <formula>-0.03</formula>
    </cfRule>
  </conditionalFormatting>
  <conditionalFormatting sqref="Q232:T234 Q244:T246">
    <cfRule type="cellIs" dxfId="861" priority="43" operator="greaterThan">
      <formula>0.03</formula>
    </cfRule>
    <cfRule type="cellIs" dxfId="860" priority="44" stopIfTrue="1" operator="lessThan">
      <formula>-0.03</formula>
    </cfRule>
  </conditionalFormatting>
  <conditionalFormatting sqref="Q236:T238 Q240:T242">
    <cfRule type="cellIs" dxfId="859" priority="41" operator="greaterThan">
      <formula>0.03</formula>
    </cfRule>
    <cfRule type="cellIs" dxfId="858" priority="42" stopIfTrue="1" operator="lessThan">
      <formula>-0.03</formula>
    </cfRule>
  </conditionalFormatting>
  <conditionalFormatting sqref="Q207:T214">
    <cfRule type="cellIs" dxfId="857" priority="39" operator="greaterThan">
      <formula>0.03</formula>
    </cfRule>
    <cfRule type="cellIs" dxfId="856" priority="40" stopIfTrue="1" operator="lessThan">
      <formula>-0.03</formula>
    </cfRule>
  </conditionalFormatting>
  <conditionalFormatting sqref="Q231:T231">
    <cfRule type="cellIs" dxfId="855" priority="37" operator="greaterThan">
      <formula>0.03</formula>
    </cfRule>
    <cfRule type="cellIs" dxfId="854" priority="38" stopIfTrue="1" operator="lessThan">
      <formula>-0.03</formula>
    </cfRule>
  </conditionalFormatting>
  <conditionalFormatting sqref="Q235:T235">
    <cfRule type="cellIs" dxfId="853" priority="35" operator="greaterThan">
      <formula>0.03</formula>
    </cfRule>
    <cfRule type="cellIs" dxfId="852" priority="36" stopIfTrue="1" operator="lessThan">
      <formula>-0.03</formula>
    </cfRule>
  </conditionalFormatting>
  <conditionalFormatting sqref="Q243:T243">
    <cfRule type="cellIs" dxfId="851" priority="31" operator="greaterThan">
      <formula>0.03</formula>
    </cfRule>
    <cfRule type="cellIs" dxfId="850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100</v>
      </c>
    </row>
    <row r="2" spans="1:21" x14ac:dyDescent="0.25">
      <c r="A2" t="s">
        <v>86</v>
      </c>
    </row>
    <row r="3" spans="1:21" x14ac:dyDescent="0.25">
      <c r="A3" t="s">
        <v>90</v>
      </c>
    </row>
    <row r="4" spans="1:21" x14ac:dyDescent="0.25">
      <c r="A4" t="s">
        <v>88</v>
      </c>
    </row>
    <row r="5" spans="1:21" s="35" customFormat="1" ht="15.75" customHeight="1" x14ac:dyDescent="0.25">
      <c r="B5" s="58" t="s">
        <v>29</v>
      </c>
      <c r="C5" s="60" t="s">
        <v>146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2"/>
    </row>
    <row r="6" spans="1:21" s="35" customFormat="1" x14ac:dyDescent="0.25">
      <c r="B6" s="59"/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5"/>
    </row>
    <row r="7" spans="1:21" ht="16.5" customHeight="1" thickBot="1" x14ac:dyDescent="0.3">
      <c r="C7" s="66" t="s">
        <v>67</v>
      </c>
      <c r="D7" s="67"/>
      <c r="E7" s="67"/>
      <c r="F7" s="67"/>
      <c r="G7" s="67"/>
      <c r="H7" s="67"/>
      <c r="I7" s="5"/>
      <c r="J7" s="66" t="s">
        <v>138</v>
      </c>
      <c r="K7" s="67"/>
      <c r="L7" s="67"/>
      <c r="M7" s="67"/>
      <c r="N7" s="67"/>
      <c r="O7" s="67"/>
      <c r="Q7" s="66" t="s">
        <v>7</v>
      </c>
      <c r="R7" s="67"/>
      <c r="S7" s="68"/>
      <c r="T7" s="36"/>
      <c r="U7" s="6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9"/>
    </row>
    <row r="9" spans="1:21" x14ac:dyDescent="0.25">
      <c r="A9" s="6" t="s">
        <v>35</v>
      </c>
      <c r="B9" s="6" t="s">
        <v>46</v>
      </c>
      <c r="C9" s="15">
        <v>5750.1</v>
      </c>
      <c r="D9" s="16">
        <v>38.338999999999999</v>
      </c>
      <c r="E9" s="16">
        <v>39.268999999999998</v>
      </c>
      <c r="F9" s="16">
        <v>41.694000000000003</v>
      </c>
      <c r="G9" s="16">
        <v>3.92</v>
      </c>
      <c r="H9" s="16">
        <f t="shared" ref="H9:H80" si="0">(6*D9+E9+F9)/8</f>
        <v>38.874625000000002</v>
      </c>
      <c r="I9" s="5"/>
      <c r="J9" s="15">
        <v>4098.576</v>
      </c>
      <c r="K9" s="16">
        <v>38.532800000000002</v>
      </c>
      <c r="L9" s="16">
        <v>40.193899999999999</v>
      </c>
      <c r="M9" s="16">
        <v>42.944000000000003</v>
      </c>
      <c r="N9" s="16">
        <v>3.3666999999999998</v>
      </c>
      <c r="O9" s="16">
        <f t="shared" ref="O9:O80" si="1">(6*K9+L9+M9)/8</f>
        <v>39.2918375</v>
      </c>
      <c r="P9" s="7"/>
      <c r="Q9" s="8">
        <f>bdrate(C9:C12,D9:D12,J9:J12,K9:K12)</f>
        <v>-0.39535787492768215</v>
      </c>
      <c r="R9" s="8">
        <f>bdrate(C9:C12,E9:E12,J9:J12,L9:L12)</f>
        <v>-0.61707595690909922</v>
      </c>
      <c r="S9" s="8">
        <f>bdrate(C9:C12,F9:F12,J9:J12,M9:M12)</f>
        <v>-0.6097987303781347</v>
      </c>
      <c r="T9" s="25">
        <f>bdrate(C9:C12,H9:H12,J9:J12,O9:O12)</f>
        <v>-0.43210490078096186</v>
      </c>
      <c r="U9" s="28">
        <f t="shared" ref="U9:U72" si="2">(N9-G9)/G9</f>
        <v>-0.14114795918367351</v>
      </c>
    </row>
    <row r="10" spans="1:21" x14ac:dyDescent="0.25">
      <c r="A10" s="9" t="s">
        <v>36</v>
      </c>
      <c r="B10" s="9"/>
      <c r="C10" s="17">
        <v>4264</v>
      </c>
      <c r="D10" s="18">
        <v>37.332000000000001</v>
      </c>
      <c r="E10" s="18">
        <v>38.750999999999998</v>
      </c>
      <c r="F10" s="18">
        <v>41.148000000000003</v>
      </c>
      <c r="G10" s="18">
        <v>4.43</v>
      </c>
      <c r="H10" s="18">
        <f t="shared" si="0"/>
        <v>37.986375000000002</v>
      </c>
      <c r="I10" s="5"/>
      <c r="J10" s="17">
        <v>3023.8</v>
      </c>
      <c r="K10" s="18">
        <v>37.631300000000003</v>
      </c>
      <c r="L10" s="18">
        <v>39.732100000000003</v>
      </c>
      <c r="M10" s="18">
        <v>42.316499999999998</v>
      </c>
      <c r="N10" s="18">
        <v>3.8786999999999998</v>
      </c>
      <c r="O10" s="18">
        <f t="shared" si="1"/>
        <v>38.479550000000003</v>
      </c>
      <c r="P10" s="7"/>
      <c r="Q10" s="10"/>
      <c r="R10" s="11"/>
      <c r="S10" s="11"/>
      <c r="T10" s="26"/>
      <c r="U10" s="28">
        <f t="shared" si="2"/>
        <v>-0.12444695259593679</v>
      </c>
    </row>
    <row r="11" spans="1:21" x14ac:dyDescent="0.25">
      <c r="B11" s="9"/>
      <c r="C11" s="17">
        <v>2805.35</v>
      </c>
      <c r="D11" s="18">
        <v>35.709000000000003</v>
      </c>
      <c r="E11" s="18">
        <v>38.03</v>
      </c>
      <c r="F11" s="18">
        <v>40.393000000000001</v>
      </c>
      <c r="G11" s="18">
        <v>5.15</v>
      </c>
      <c r="H11" s="18">
        <f t="shared" si="0"/>
        <v>36.584625000000003</v>
      </c>
      <c r="I11" s="5"/>
      <c r="J11" s="17">
        <v>1988.6464000000001</v>
      </c>
      <c r="K11" s="18">
        <v>36.2746</v>
      </c>
      <c r="L11" s="18">
        <v>39.093800000000002</v>
      </c>
      <c r="M11" s="18">
        <v>41.531799999999997</v>
      </c>
      <c r="N11" s="18">
        <v>4.718</v>
      </c>
      <c r="O11" s="18">
        <f t="shared" si="1"/>
        <v>37.284149999999997</v>
      </c>
      <c r="P11" s="7"/>
      <c r="Q11" s="10"/>
      <c r="R11" s="11"/>
      <c r="S11" s="11"/>
      <c r="T11" s="26"/>
      <c r="U11" s="28">
        <f t="shared" si="2"/>
        <v>-8.3883495145631135E-2</v>
      </c>
    </row>
    <row r="12" spans="1:21" ht="16.5" thickBot="1" x14ac:dyDescent="0.3">
      <c r="B12" s="12"/>
      <c r="C12" s="19">
        <v>1385.05</v>
      </c>
      <c r="D12" s="20">
        <v>32.401000000000003</v>
      </c>
      <c r="E12" s="20">
        <v>36.902000000000001</v>
      </c>
      <c r="F12" s="20">
        <v>39.222999999999999</v>
      </c>
      <c r="G12" s="20">
        <v>6.37</v>
      </c>
      <c r="H12" s="20">
        <f t="shared" si="0"/>
        <v>33.816375000000001</v>
      </c>
      <c r="I12" s="5"/>
      <c r="J12" s="19">
        <v>938.66719999999998</v>
      </c>
      <c r="K12" s="20">
        <v>33.577300000000001</v>
      </c>
      <c r="L12" s="20">
        <v>37.751399999999997</v>
      </c>
      <c r="M12" s="20">
        <v>40.023200000000003</v>
      </c>
      <c r="N12" s="20">
        <v>6.2721999999999998</v>
      </c>
      <c r="O12" s="20">
        <f t="shared" si="1"/>
        <v>34.904799999999994</v>
      </c>
      <c r="P12" s="7"/>
      <c r="Q12" s="13"/>
      <c r="R12" s="14"/>
      <c r="S12" s="14"/>
      <c r="T12" s="27"/>
      <c r="U12" s="28">
        <f t="shared" si="2"/>
        <v>-1.5353218210361119E-2</v>
      </c>
    </row>
    <row r="13" spans="1:21" x14ac:dyDescent="0.25">
      <c r="B13" s="6" t="s">
        <v>47</v>
      </c>
      <c r="C13" s="15">
        <v>6234.39</v>
      </c>
      <c r="D13" s="16">
        <v>30.94</v>
      </c>
      <c r="E13" s="16">
        <v>40.103999999999999</v>
      </c>
      <c r="F13" s="16">
        <v>40.841000000000001</v>
      </c>
      <c r="G13" s="16">
        <v>3</v>
      </c>
      <c r="H13" s="16">
        <f t="shared" si="0"/>
        <v>33.323125000000005</v>
      </c>
      <c r="I13" s="5"/>
      <c r="J13" s="15">
        <v>4171.6624000000002</v>
      </c>
      <c r="K13" s="16">
        <v>30.087399999999999</v>
      </c>
      <c r="L13" s="16">
        <v>40.8673</v>
      </c>
      <c r="M13" s="16">
        <v>41.661299999999997</v>
      </c>
      <c r="N13" s="16">
        <v>2.5150999999999999</v>
      </c>
      <c r="O13" s="16">
        <f t="shared" si="1"/>
        <v>32.881625</v>
      </c>
      <c r="P13" s="7"/>
      <c r="Q13" s="8">
        <f>bdrate(C13:C16,D13:D16,J13:J16,K13:K16)</f>
        <v>-0.29226059914173774</v>
      </c>
      <c r="R13" s="8">
        <f>bdrate(C13:C16,E13:E16,J13:J16,L13:L16)</f>
        <v>-0.52339409889198518</v>
      </c>
      <c r="S13" s="8">
        <f>bdrate(C13:C16,F13:F16,J13:J16,M13:M16)</f>
        <v>-0.58968781724943209</v>
      </c>
      <c r="T13" s="25">
        <f>bdrate(C13:C16,H13:H16,J13:J16,O13:O16)</f>
        <v>-0.32877978876781455</v>
      </c>
      <c r="U13" s="28">
        <f t="shared" si="2"/>
        <v>-0.16163333333333338</v>
      </c>
    </row>
    <row r="14" spans="1:21" x14ac:dyDescent="0.25">
      <c r="B14" s="9"/>
      <c r="C14" s="17">
        <v>4673.4799999999996</v>
      </c>
      <c r="D14" s="18">
        <v>29.373999999999999</v>
      </c>
      <c r="E14" s="18">
        <v>39.582999999999998</v>
      </c>
      <c r="F14" s="18">
        <v>40.33</v>
      </c>
      <c r="G14" s="18">
        <v>3.34</v>
      </c>
      <c r="H14" s="18">
        <f t="shared" si="0"/>
        <v>32.019624999999998</v>
      </c>
      <c r="I14" s="5"/>
      <c r="J14" s="17">
        <v>3137.7328000000002</v>
      </c>
      <c r="K14" s="18">
        <v>28.818000000000001</v>
      </c>
      <c r="L14" s="18">
        <v>40.359499999999997</v>
      </c>
      <c r="M14" s="18">
        <v>41.245899999999999</v>
      </c>
      <c r="N14" s="18">
        <v>2.8330000000000002</v>
      </c>
      <c r="O14" s="18">
        <f t="shared" si="1"/>
        <v>31.814175000000002</v>
      </c>
      <c r="P14" s="7"/>
      <c r="Q14" s="10"/>
      <c r="R14" s="11"/>
      <c r="S14" s="11"/>
      <c r="T14" s="26"/>
      <c r="U14" s="28">
        <f t="shared" si="2"/>
        <v>-0.15179640718562865</v>
      </c>
    </row>
    <row r="15" spans="1:21" x14ac:dyDescent="0.25">
      <c r="B15" s="9"/>
      <c r="C15" s="17">
        <v>3102.21</v>
      </c>
      <c r="D15" s="18">
        <v>27.167000000000002</v>
      </c>
      <c r="E15" s="18">
        <v>38.869999999999997</v>
      </c>
      <c r="F15" s="18">
        <v>39.645000000000003</v>
      </c>
      <c r="G15" s="18">
        <v>3.86</v>
      </c>
      <c r="H15" s="18">
        <f t="shared" si="0"/>
        <v>30.189625000000003</v>
      </c>
      <c r="I15" s="5"/>
      <c r="J15" s="17">
        <v>2107.0351999999998</v>
      </c>
      <c r="K15" s="18">
        <v>27.0837</v>
      </c>
      <c r="L15" s="18">
        <v>39.616100000000003</v>
      </c>
      <c r="M15" s="18">
        <v>40.613700000000001</v>
      </c>
      <c r="N15" s="18">
        <v>3.3144999999999998</v>
      </c>
      <c r="O15" s="18">
        <f t="shared" si="1"/>
        <v>30.341500000000003</v>
      </c>
      <c r="P15" s="7"/>
      <c r="Q15" s="10"/>
      <c r="R15" s="11"/>
      <c r="S15" s="11"/>
      <c r="T15" s="26"/>
      <c r="U15" s="28">
        <f t="shared" si="2"/>
        <v>-0.1413212435233161</v>
      </c>
    </row>
    <row r="16" spans="1:21" ht="16.5" thickBot="1" x14ac:dyDescent="0.3">
      <c r="B16" s="12"/>
      <c r="C16" s="19">
        <v>1537.26</v>
      </c>
      <c r="D16" s="20">
        <v>23.866</v>
      </c>
      <c r="E16" s="20">
        <v>37.814999999999998</v>
      </c>
      <c r="F16" s="20">
        <v>38.677999999999997</v>
      </c>
      <c r="G16" s="20">
        <v>4.78</v>
      </c>
      <c r="H16" s="20">
        <f t="shared" si="0"/>
        <v>27.461124999999999</v>
      </c>
      <c r="I16" s="5"/>
      <c r="J16" s="19">
        <v>1377.5232000000001</v>
      </c>
      <c r="K16" s="20">
        <v>25.677199999999999</v>
      </c>
      <c r="L16" s="20">
        <v>38.4358</v>
      </c>
      <c r="M16" s="20">
        <v>39.520800000000001</v>
      </c>
      <c r="N16" s="20">
        <v>3.6366000000000001</v>
      </c>
      <c r="O16" s="20">
        <f t="shared" si="1"/>
        <v>29.002475</v>
      </c>
      <c r="P16" s="7"/>
      <c r="Q16" s="13"/>
      <c r="R16" s="14"/>
      <c r="S16" s="14"/>
      <c r="T16" s="27"/>
      <c r="U16" s="28">
        <f t="shared" si="2"/>
        <v>-0.23920502092050211</v>
      </c>
    </row>
    <row r="17" spans="1:21" x14ac:dyDescent="0.25">
      <c r="A17" s="6" t="s">
        <v>37</v>
      </c>
      <c r="B17" s="6" t="s">
        <v>48</v>
      </c>
      <c r="C17" s="15">
        <v>3055.15</v>
      </c>
      <c r="D17" s="16">
        <v>39.247</v>
      </c>
      <c r="E17" s="16">
        <v>41.923000000000002</v>
      </c>
      <c r="F17" s="16">
        <v>43.036000000000001</v>
      </c>
      <c r="G17" s="16">
        <v>5.93</v>
      </c>
      <c r="H17" s="16">
        <f t="shared" si="0"/>
        <v>40.055124999999997</v>
      </c>
      <c r="I17" s="5"/>
      <c r="J17" s="15">
        <v>2378.8096</v>
      </c>
      <c r="K17" s="16">
        <v>39.498899999999999</v>
      </c>
      <c r="L17" s="16">
        <v>42.385599999999997</v>
      </c>
      <c r="M17" s="16">
        <v>44.088000000000001</v>
      </c>
      <c r="N17" s="16">
        <v>5.7127999999999997</v>
      </c>
      <c r="O17" s="16">
        <f t="shared" si="1"/>
        <v>40.433375000000005</v>
      </c>
      <c r="P17" s="7"/>
      <c r="Q17" s="8">
        <f>bdrate(C17:C20,D17:D20,J17:J20,K17:K20)</f>
        <v>-0.36647000608694769</v>
      </c>
      <c r="R17" s="8">
        <f>bdrate(C17:C20,E17:E20,J17:J20,L17:L20)</f>
        <v>-0.49660647008707193</v>
      </c>
      <c r="S17" s="8">
        <f>bdrate(C17:C20,F17:F20,J17:J20,M17:M20)</f>
        <v>-0.57795786470115318</v>
      </c>
      <c r="T17" s="25">
        <f>bdrate(C17:C20,H17:H20,J17:J20,O17:O20)</f>
        <v>-0.39494112920908819</v>
      </c>
      <c r="U17" s="28">
        <f t="shared" si="2"/>
        <v>-3.6627318718381124E-2</v>
      </c>
    </row>
    <row r="18" spans="1:21" x14ac:dyDescent="0.25">
      <c r="A18" s="9" t="s">
        <v>38</v>
      </c>
      <c r="B18" s="9"/>
      <c r="C18" s="17">
        <v>2014.58</v>
      </c>
      <c r="D18" s="18">
        <v>37.834000000000003</v>
      </c>
      <c r="E18" s="18">
        <v>41.206000000000003</v>
      </c>
      <c r="F18" s="18">
        <v>42.212000000000003</v>
      </c>
      <c r="G18" s="18">
        <v>6.74</v>
      </c>
      <c r="H18" s="18">
        <f t="shared" si="0"/>
        <v>38.802750000000003</v>
      </c>
      <c r="I18" s="5"/>
      <c r="J18" s="17">
        <v>1577.6559999999999</v>
      </c>
      <c r="K18" s="18">
        <v>38.3551</v>
      </c>
      <c r="L18" s="18">
        <v>41.832700000000003</v>
      </c>
      <c r="M18" s="18">
        <v>43.311</v>
      </c>
      <c r="N18" s="18">
        <v>6.8163999999999998</v>
      </c>
      <c r="O18" s="18">
        <f t="shared" si="1"/>
        <v>39.409287499999998</v>
      </c>
      <c r="P18" s="7"/>
      <c r="Q18" s="10"/>
      <c r="R18" s="11"/>
      <c r="S18" s="11"/>
      <c r="T18" s="26"/>
      <c r="U18" s="28">
        <f t="shared" si="2"/>
        <v>1.1335311572700233E-2</v>
      </c>
    </row>
    <row r="19" spans="1:21" x14ac:dyDescent="0.25">
      <c r="B19" s="9"/>
      <c r="C19" s="17">
        <v>1250.22</v>
      </c>
      <c r="D19" s="18">
        <v>35.951000000000001</v>
      </c>
      <c r="E19" s="18">
        <v>40.357999999999997</v>
      </c>
      <c r="F19" s="18">
        <v>41.295999999999999</v>
      </c>
      <c r="G19" s="18">
        <v>7.86</v>
      </c>
      <c r="H19" s="18">
        <f t="shared" si="0"/>
        <v>37.17</v>
      </c>
      <c r="I19" s="5"/>
      <c r="J19" s="17">
        <v>975.93759999999997</v>
      </c>
      <c r="K19" s="18">
        <v>36.856499999999997</v>
      </c>
      <c r="L19" s="18">
        <v>41.123699999999999</v>
      </c>
      <c r="M19" s="18">
        <v>42.4313</v>
      </c>
      <c r="N19" s="18">
        <v>8.3338999999999999</v>
      </c>
      <c r="O19" s="18">
        <f t="shared" si="1"/>
        <v>38.086750000000002</v>
      </c>
      <c r="P19" s="7"/>
      <c r="Q19" s="10"/>
      <c r="R19" s="11"/>
      <c r="S19" s="11"/>
      <c r="T19" s="26"/>
      <c r="U19" s="28">
        <f t="shared" si="2"/>
        <v>6.0292620865139888E-2</v>
      </c>
    </row>
    <row r="20" spans="1:21" ht="16.5" thickBot="1" x14ac:dyDescent="0.3">
      <c r="B20" s="12"/>
      <c r="C20" s="19">
        <v>742.22</v>
      </c>
      <c r="D20" s="20">
        <v>33.622</v>
      </c>
      <c r="E20" s="20">
        <v>39.456000000000003</v>
      </c>
      <c r="F20" s="20">
        <v>40.39</v>
      </c>
      <c r="G20" s="20">
        <v>9.44</v>
      </c>
      <c r="H20" s="20">
        <f t="shared" si="0"/>
        <v>35.197249999999997</v>
      </c>
      <c r="I20" s="5"/>
      <c r="J20" s="19">
        <v>571.42639999999994</v>
      </c>
      <c r="K20" s="20">
        <v>35.079900000000002</v>
      </c>
      <c r="L20" s="20">
        <v>40.4161</v>
      </c>
      <c r="M20" s="20">
        <v>41.664400000000001</v>
      </c>
      <c r="N20" s="20">
        <v>10.297800000000001</v>
      </c>
      <c r="O20" s="20">
        <f t="shared" si="1"/>
        <v>36.569987499999996</v>
      </c>
      <c r="P20" s="7"/>
      <c r="Q20" s="13"/>
      <c r="R20" s="14"/>
      <c r="S20" s="14"/>
      <c r="T20" s="27"/>
      <c r="U20" s="28">
        <f t="shared" si="2"/>
        <v>9.0868644067796725E-2</v>
      </c>
    </row>
    <row r="21" spans="1:21" x14ac:dyDescent="0.25">
      <c r="B21" s="6" t="s">
        <v>49</v>
      </c>
      <c r="C21" s="15">
        <v>3436.31</v>
      </c>
      <c r="D21" s="16">
        <v>36.783000000000001</v>
      </c>
      <c r="E21" s="16">
        <v>39.529000000000003</v>
      </c>
      <c r="F21" s="16">
        <v>40.68</v>
      </c>
      <c r="G21" s="16">
        <v>6.57</v>
      </c>
      <c r="H21" s="16">
        <f t="shared" si="0"/>
        <v>37.613375000000005</v>
      </c>
      <c r="I21" s="5"/>
      <c r="J21" s="15">
        <v>2538.3440000000001</v>
      </c>
      <c r="K21" s="16">
        <v>36.656199999999998</v>
      </c>
      <c r="L21" s="16">
        <v>40.796399999999998</v>
      </c>
      <c r="M21" s="16">
        <v>42.105200000000004</v>
      </c>
      <c r="N21" s="16">
        <v>5.3087</v>
      </c>
      <c r="O21" s="16">
        <f t="shared" si="1"/>
        <v>37.854849999999999</v>
      </c>
      <c r="P21" s="7"/>
      <c r="Q21" s="8">
        <f>bdrate(C21:C24,D21:D24,J21:J24,K21:K24)</f>
        <v>-0.31314481305839403</v>
      </c>
      <c r="R21" s="8">
        <f>bdrate(C21:C24,E21:E24,J21:J24,L21:L24)</f>
        <v>-0.61895134453478795</v>
      </c>
      <c r="S21" s="8">
        <f>bdrate(C21:C24,F21:F24,J21:J24,M21:M24)</f>
        <v>-0.6188355921798192</v>
      </c>
      <c r="T21" s="25">
        <f>bdrate(C21:C24,H21:H24,J21:J24,O21:O24)</f>
        <v>-0.3696305915606577</v>
      </c>
      <c r="U21" s="28">
        <f t="shared" si="2"/>
        <v>-0.19197869101978696</v>
      </c>
    </row>
    <row r="22" spans="1:21" x14ac:dyDescent="0.25">
      <c r="B22" s="9"/>
      <c r="C22" s="17">
        <v>2270.73</v>
      </c>
      <c r="D22" s="18">
        <v>35.341999999999999</v>
      </c>
      <c r="E22" s="18">
        <v>38.767000000000003</v>
      </c>
      <c r="F22" s="18">
        <v>40.021999999999998</v>
      </c>
      <c r="G22" s="18">
        <v>7.19</v>
      </c>
      <c r="H22" s="18">
        <f t="shared" si="0"/>
        <v>36.355125000000001</v>
      </c>
      <c r="I22" s="5"/>
      <c r="J22" s="17">
        <v>1658.8543999999999</v>
      </c>
      <c r="K22" s="18">
        <v>35.386699999999998</v>
      </c>
      <c r="L22" s="18">
        <v>39.990499999999997</v>
      </c>
      <c r="M22" s="18">
        <v>41.203499999999998</v>
      </c>
      <c r="N22" s="18">
        <v>6.3944000000000001</v>
      </c>
      <c r="O22" s="18">
        <f t="shared" si="1"/>
        <v>36.689275000000002</v>
      </c>
      <c r="P22" s="7"/>
      <c r="Q22" s="10"/>
      <c r="R22" s="11"/>
      <c r="S22" s="11"/>
      <c r="T22" s="26"/>
      <c r="U22" s="28">
        <f t="shared" si="2"/>
        <v>-0.11065368567454802</v>
      </c>
    </row>
    <row r="23" spans="1:21" x14ac:dyDescent="0.25">
      <c r="B23" s="9"/>
      <c r="C23" s="17">
        <v>1413.59</v>
      </c>
      <c r="D23" s="18">
        <v>33.597000000000001</v>
      </c>
      <c r="E23" s="18">
        <v>37.972000000000001</v>
      </c>
      <c r="F23" s="18">
        <v>39.381</v>
      </c>
      <c r="G23" s="18">
        <v>8.11</v>
      </c>
      <c r="H23" s="18">
        <f t="shared" si="0"/>
        <v>34.866875</v>
      </c>
      <c r="I23" s="5"/>
      <c r="J23" s="17">
        <v>1028.0791999999999</v>
      </c>
      <c r="K23" s="18">
        <v>33.92</v>
      </c>
      <c r="L23" s="18">
        <v>39.095399999999998</v>
      </c>
      <c r="M23" s="18">
        <v>40.311</v>
      </c>
      <c r="N23" s="18">
        <v>7.9630999999999998</v>
      </c>
      <c r="O23" s="18">
        <f t="shared" si="1"/>
        <v>35.3658</v>
      </c>
      <c r="P23" s="7"/>
      <c r="Q23" s="10"/>
      <c r="R23" s="11"/>
      <c r="S23" s="11"/>
      <c r="T23" s="26"/>
      <c r="U23" s="28">
        <f t="shared" si="2"/>
        <v>-1.8113440197287251E-2</v>
      </c>
    </row>
    <row r="24" spans="1:21" ht="16.5" thickBot="1" x14ac:dyDescent="0.3">
      <c r="B24" s="12"/>
      <c r="C24" s="19">
        <v>844.74</v>
      </c>
      <c r="D24" s="20">
        <v>31.687000000000001</v>
      </c>
      <c r="E24" s="20">
        <v>37.212000000000003</v>
      </c>
      <c r="F24" s="20">
        <v>38.752000000000002</v>
      </c>
      <c r="G24" s="20">
        <v>9.35</v>
      </c>
      <c r="H24" s="20">
        <f t="shared" si="0"/>
        <v>33.260750000000002</v>
      </c>
      <c r="I24" s="5"/>
      <c r="J24" s="19">
        <v>614.92560000000003</v>
      </c>
      <c r="K24" s="20">
        <v>32.345399999999998</v>
      </c>
      <c r="L24" s="20">
        <v>38.133499999999998</v>
      </c>
      <c r="M24" s="20">
        <v>39.485500000000002</v>
      </c>
      <c r="N24" s="20">
        <v>9.7990999999999993</v>
      </c>
      <c r="O24" s="20">
        <f t="shared" si="1"/>
        <v>33.961424999999998</v>
      </c>
      <c r="P24" s="7"/>
      <c r="Q24" s="13"/>
      <c r="R24" s="14"/>
      <c r="S24" s="14"/>
      <c r="T24" s="27"/>
      <c r="U24" s="28">
        <f t="shared" si="2"/>
        <v>4.8032085561497288E-2</v>
      </c>
    </row>
    <row r="25" spans="1:21" x14ac:dyDescent="0.25">
      <c r="B25" s="6" t="s">
        <v>50</v>
      </c>
      <c r="C25" s="15">
        <v>3536.03</v>
      </c>
      <c r="D25" s="16">
        <v>34.637999999999998</v>
      </c>
      <c r="E25" s="16">
        <v>38.149000000000001</v>
      </c>
      <c r="F25" s="16">
        <v>39.863</v>
      </c>
      <c r="G25" s="16">
        <v>7.64</v>
      </c>
      <c r="H25" s="16">
        <f t="shared" si="0"/>
        <v>35.729999999999997</v>
      </c>
      <c r="I25" s="5"/>
      <c r="J25" s="15">
        <v>2411.7936</v>
      </c>
      <c r="K25" s="16">
        <v>34.957700000000003</v>
      </c>
      <c r="L25" s="16">
        <v>38.608899999999998</v>
      </c>
      <c r="M25" s="16">
        <v>41.219200000000001</v>
      </c>
      <c r="N25" s="16">
        <v>7.7102000000000004</v>
      </c>
      <c r="O25" s="16">
        <f t="shared" si="1"/>
        <v>36.196787499999999</v>
      </c>
      <c r="P25" s="7"/>
      <c r="Q25" s="8">
        <f>bdrate(C25:C28,D25:D28,J25:J28,K25:K28)</f>
        <v>-0.4561874214400683</v>
      </c>
      <c r="R25" s="8">
        <f>bdrate(C25:C28,E25:E28,J25:J28,L25:L28)</f>
        <v>-0.65322717991128543</v>
      </c>
      <c r="S25" s="8">
        <f>bdrate(C25:C28,F25:F28,J25:J28,M25:M28)</f>
        <v>-0.6763860759041932</v>
      </c>
      <c r="T25" s="25">
        <f>bdrate(C25:C28,H25:H28,J25:J28,O25:O28)</f>
        <v>-0.49203140196890149</v>
      </c>
      <c r="U25" s="28">
        <f t="shared" si="2"/>
        <v>9.1884816753927626E-3</v>
      </c>
    </row>
    <row r="26" spans="1:21" x14ac:dyDescent="0.25">
      <c r="B26" s="9"/>
      <c r="C26" s="17">
        <v>2355.5500000000002</v>
      </c>
      <c r="D26" s="18">
        <v>33.234000000000002</v>
      </c>
      <c r="E26" s="18">
        <v>37.576999999999998</v>
      </c>
      <c r="F26" s="18">
        <v>38.962000000000003</v>
      </c>
      <c r="G26" s="18">
        <v>8.6</v>
      </c>
      <c r="H26" s="18">
        <f t="shared" si="0"/>
        <v>34.492874999999998</v>
      </c>
      <c r="I26" s="5"/>
      <c r="J26" s="17">
        <v>1605.2231999999999</v>
      </c>
      <c r="K26" s="18">
        <v>33.844200000000001</v>
      </c>
      <c r="L26" s="18">
        <v>38.2776</v>
      </c>
      <c r="M26" s="18">
        <v>40.438299999999998</v>
      </c>
      <c r="N26" s="18">
        <v>9.3826000000000001</v>
      </c>
      <c r="O26" s="18">
        <f t="shared" si="1"/>
        <v>35.222637500000005</v>
      </c>
      <c r="P26" s="7"/>
      <c r="Q26" s="10"/>
      <c r="R26" s="11"/>
      <c r="S26" s="11"/>
      <c r="T26" s="26"/>
      <c r="U26" s="28">
        <f t="shared" si="2"/>
        <v>9.1000000000000053E-2</v>
      </c>
    </row>
    <row r="27" spans="1:21" x14ac:dyDescent="0.25">
      <c r="B27" s="9"/>
      <c r="C27" s="17">
        <v>1465.76</v>
      </c>
      <c r="D27" s="18">
        <v>31.404</v>
      </c>
      <c r="E27" s="18">
        <v>36.93</v>
      </c>
      <c r="F27" s="18">
        <v>37.843000000000004</v>
      </c>
      <c r="G27" s="18">
        <v>10.029999999999999</v>
      </c>
      <c r="H27" s="18">
        <f t="shared" si="0"/>
        <v>32.899625</v>
      </c>
      <c r="I27" s="5"/>
      <c r="J27" s="17">
        <v>999.14800000000002</v>
      </c>
      <c r="K27" s="18">
        <v>32.337600000000002</v>
      </c>
      <c r="L27" s="18">
        <v>37.837600000000002</v>
      </c>
      <c r="M27" s="18">
        <v>39.522399999999998</v>
      </c>
      <c r="N27" s="18">
        <v>11.4062</v>
      </c>
      <c r="O27" s="18">
        <f t="shared" si="1"/>
        <v>33.923200000000001</v>
      </c>
      <c r="P27" s="7"/>
      <c r="Q27" s="10"/>
      <c r="R27" s="11"/>
      <c r="S27" s="11"/>
      <c r="T27" s="26"/>
      <c r="U27" s="28">
        <f t="shared" si="2"/>
        <v>0.13720837487537396</v>
      </c>
    </row>
    <row r="28" spans="1:21" ht="16.5" thickBot="1" x14ac:dyDescent="0.3">
      <c r="B28" s="12"/>
      <c r="C28" s="19">
        <v>884.22</v>
      </c>
      <c r="D28" s="20">
        <v>29.256</v>
      </c>
      <c r="E28" s="20">
        <v>36.231000000000002</v>
      </c>
      <c r="F28" s="20">
        <v>36.767000000000003</v>
      </c>
      <c r="G28" s="20">
        <v>11.72</v>
      </c>
      <c r="H28" s="20">
        <f t="shared" si="0"/>
        <v>31.066749999999999</v>
      </c>
      <c r="I28" s="5"/>
      <c r="J28" s="19">
        <v>600.43359999999996</v>
      </c>
      <c r="K28" s="20">
        <v>30.688199999999998</v>
      </c>
      <c r="L28" s="20">
        <v>37.225000000000001</v>
      </c>
      <c r="M28" s="20">
        <v>38.504399999999997</v>
      </c>
      <c r="N28" s="20">
        <v>14.132300000000001</v>
      </c>
      <c r="O28" s="20">
        <f t="shared" si="1"/>
        <v>32.482324999999996</v>
      </c>
      <c r="P28" s="7"/>
      <c r="Q28" s="13"/>
      <c r="R28" s="14"/>
      <c r="S28" s="14"/>
      <c r="T28" s="27"/>
      <c r="U28" s="28">
        <f t="shared" si="2"/>
        <v>0.20582764505119452</v>
      </c>
    </row>
    <row r="29" spans="1:21" x14ac:dyDescent="0.25">
      <c r="B29" s="6" t="s">
        <v>51</v>
      </c>
      <c r="C29" s="29">
        <v>3583.67</v>
      </c>
      <c r="D29" s="30">
        <v>34.298999999999999</v>
      </c>
      <c r="E29" s="30">
        <v>39.918999999999997</v>
      </c>
      <c r="F29" s="30">
        <v>39.628</v>
      </c>
      <c r="G29" s="16">
        <v>6.76</v>
      </c>
      <c r="H29" s="16">
        <f t="shared" si="0"/>
        <v>35.667624999999994</v>
      </c>
      <c r="I29" s="5"/>
      <c r="J29" s="29">
        <v>2455.4</v>
      </c>
      <c r="K29" s="30">
        <v>34.703000000000003</v>
      </c>
      <c r="L29" s="30">
        <v>41.201700000000002</v>
      </c>
      <c r="M29" s="30">
        <v>40.9664</v>
      </c>
      <c r="N29" s="16">
        <v>6.7065999999999999</v>
      </c>
      <c r="O29" s="16">
        <f t="shared" si="1"/>
        <v>36.298262500000007</v>
      </c>
      <c r="P29" s="7"/>
      <c r="Q29" s="8">
        <f>bdrate(C29:C32,D29:D32,J29:J32,K29:K32)</f>
        <v>-0.48014300230215023</v>
      </c>
      <c r="R29" s="8">
        <f>bdrate(C29:C32,E29:E32,J29:J32,L29:L32)</f>
        <v>-0.71485292615107987</v>
      </c>
      <c r="S29" s="8">
        <f>bdrate(C29:C32,F29:F32,J29:J32,M29:M32)</f>
        <v>-0.6529912190288697</v>
      </c>
      <c r="T29" s="25">
        <f>bdrate(C29:C32,H29:H32,J29:J32,O29:O32)</f>
        <v>-0.51906267797373418</v>
      </c>
      <c r="U29" s="28">
        <f t="shared" si="2"/>
        <v>-7.8994082840236537E-3</v>
      </c>
    </row>
    <row r="30" spans="1:21" x14ac:dyDescent="0.25">
      <c r="B30" s="9"/>
      <c r="C30" s="31">
        <v>2380.67</v>
      </c>
      <c r="D30" s="32">
        <v>32.631999999999998</v>
      </c>
      <c r="E30" s="32">
        <v>39.084000000000003</v>
      </c>
      <c r="F30" s="32">
        <v>38.530999999999999</v>
      </c>
      <c r="G30" s="18">
        <v>7.84</v>
      </c>
      <c r="H30" s="18">
        <f t="shared" si="0"/>
        <v>34.175874999999998</v>
      </c>
      <c r="I30" s="5"/>
      <c r="J30" s="31">
        <v>1640.3712</v>
      </c>
      <c r="K30" s="32">
        <v>33.424399999999999</v>
      </c>
      <c r="L30" s="32">
        <v>40.572899999999997</v>
      </c>
      <c r="M30" s="32">
        <v>40.101399999999998</v>
      </c>
      <c r="N30" s="18">
        <v>7.8250000000000002</v>
      </c>
      <c r="O30" s="18">
        <f t="shared" si="1"/>
        <v>35.152587500000003</v>
      </c>
      <c r="P30" s="7"/>
      <c r="Q30" s="10"/>
      <c r="R30" s="11"/>
      <c r="S30" s="11"/>
      <c r="T30" s="26"/>
      <c r="U30" s="28">
        <f t="shared" si="2"/>
        <v>-1.9132653061224082E-3</v>
      </c>
    </row>
    <row r="31" spans="1:21" x14ac:dyDescent="0.25">
      <c r="B31" s="9"/>
      <c r="C31" s="31">
        <v>1471.91</v>
      </c>
      <c r="D31" s="32">
        <v>30.318999999999999</v>
      </c>
      <c r="E31" s="32">
        <v>38.023000000000003</v>
      </c>
      <c r="F31" s="32">
        <v>37.088999999999999</v>
      </c>
      <c r="G31" s="18">
        <v>9.4499999999999993</v>
      </c>
      <c r="H31" s="18">
        <f t="shared" si="0"/>
        <v>32.128249999999994</v>
      </c>
      <c r="I31" s="5"/>
      <c r="J31" s="31">
        <v>1017.2264</v>
      </c>
      <c r="K31" s="32">
        <v>31.831600000000002</v>
      </c>
      <c r="L31" s="32">
        <v>39.856099999999998</v>
      </c>
      <c r="M31" s="32">
        <v>39.0794</v>
      </c>
      <c r="N31" s="18">
        <v>9.4324999999999992</v>
      </c>
      <c r="O31" s="18">
        <f t="shared" si="1"/>
        <v>33.740637499999998</v>
      </c>
      <c r="P31" s="7"/>
      <c r="Q31" s="10"/>
      <c r="R31" s="11"/>
      <c r="S31" s="11"/>
      <c r="T31" s="26"/>
      <c r="U31" s="28">
        <f t="shared" si="2"/>
        <v>-1.8518518518518595E-3</v>
      </c>
    </row>
    <row r="32" spans="1:21" ht="16.5" thickBot="1" x14ac:dyDescent="0.3">
      <c r="B32" s="12"/>
      <c r="C32" s="33">
        <v>881.28</v>
      </c>
      <c r="D32" s="34">
        <v>27.396999999999998</v>
      </c>
      <c r="E32" s="34">
        <v>36.825000000000003</v>
      </c>
      <c r="F32" s="34">
        <v>35.256999999999998</v>
      </c>
      <c r="G32" s="20">
        <v>11.13</v>
      </c>
      <c r="H32" s="20">
        <f t="shared" si="0"/>
        <v>29.558</v>
      </c>
      <c r="I32" s="5"/>
      <c r="J32" s="33">
        <v>612.97280000000001</v>
      </c>
      <c r="K32" s="34">
        <v>30.1065</v>
      </c>
      <c r="L32" s="34">
        <v>38.897300000000001</v>
      </c>
      <c r="M32" s="34">
        <v>37.709600000000002</v>
      </c>
      <c r="N32" s="20">
        <v>11.3939</v>
      </c>
      <c r="O32" s="20">
        <f t="shared" si="1"/>
        <v>32.155737500000001</v>
      </c>
      <c r="P32" s="7"/>
      <c r="Q32" s="13"/>
      <c r="R32" s="14"/>
      <c r="S32" s="14"/>
      <c r="T32" s="27"/>
      <c r="U32" s="28">
        <f t="shared" si="2"/>
        <v>2.3710691823899333E-2</v>
      </c>
    </row>
    <row r="33" spans="1:21" x14ac:dyDescent="0.25">
      <c r="B33" s="6" t="s">
        <v>52</v>
      </c>
      <c r="C33" s="15">
        <v>3615.43</v>
      </c>
      <c r="D33" s="16">
        <v>33.414999999999999</v>
      </c>
      <c r="E33" s="16">
        <v>39.091000000000001</v>
      </c>
      <c r="F33" s="16">
        <v>41.826999999999998</v>
      </c>
      <c r="G33" s="16">
        <v>8.26</v>
      </c>
      <c r="H33" s="16">
        <f t="shared" si="0"/>
        <v>35.176000000000002</v>
      </c>
      <c r="I33" s="5"/>
      <c r="J33" s="15">
        <v>2401.4295999999999</v>
      </c>
      <c r="K33" s="16">
        <v>34.018599999999999</v>
      </c>
      <c r="L33" s="16">
        <v>40.365699999999997</v>
      </c>
      <c r="M33" s="16">
        <v>42.812199999999997</v>
      </c>
      <c r="N33" s="16">
        <v>7.1529999999999996</v>
      </c>
      <c r="O33" s="16">
        <f t="shared" si="1"/>
        <v>35.911187500000004</v>
      </c>
      <c r="P33" s="7"/>
      <c r="Q33" s="8">
        <f>bdrate(C33:C36,D33:D36,J33:J36,K33:K36)</f>
        <v>-0.57954213013159461</v>
      </c>
      <c r="R33" s="8">
        <f>bdrate(C33:C36,E33:E36,J33:J36,L33:L36)</f>
        <v>-0.76288474213700141</v>
      </c>
      <c r="S33" s="8">
        <f>bdrate(C33:C36,F33:F36,J33:J36,M33:M36)</f>
        <v>-0.73387315897287841</v>
      </c>
      <c r="T33" s="25">
        <f>bdrate(C33:C36,H33:H36,J33:J36,O33:O36)</f>
        <v>-0.60770673890065319</v>
      </c>
      <c r="U33" s="28">
        <f t="shared" si="2"/>
        <v>-0.13401937046004844</v>
      </c>
    </row>
    <row r="34" spans="1:21" x14ac:dyDescent="0.25">
      <c r="B34" s="9"/>
      <c r="C34" s="17">
        <v>2384.64</v>
      </c>
      <c r="D34" s="18">
        <v>32.481000000000002</v>
      </c>
      <c r="E34" s="18">
        <v>38.6</v>
      </c>
      <c r="F34" s="18">
        <v>41.268999999999998</v>
      </c>
      <c r="G34" s="18">
        <v>9.06</v>
      </c>
      <c r="H34" s="18">
        <f t="shared" si="0"/>
        <v>34.344374999999999</v>
      </c>
      <c r="I34" s="5"/>
      <c r="J34" s="17">
        <v>1607.8768</v>
      </c>
      <c r="K34" s="18">
        <v>33.403199999999998</v>
      </c>
      <c r="L34" s="18">
        <v>39.943100000000001</v>
      </c>
      <c r="M34" s="18">
        <v>42.424599999999998</v>
      </c>
      <c r="N34" s="18">
        <v>8.6255000000000006</v>
      </c>
      <c r="O34" s="18">
        <f t="shared" si="1"/>
        <v>35.3483625</v>
      </c>
      <c r="P34" s="7"/>
      <c r="Q34" s="10"/>
      <c r="R34" s="11"/>
      <c r="S34" s="11"/>
      <c r="T34" s="26"/>
      <c r="U34" s="28">
        <f t="shared" si="2"/>
        <v>-4.7958057395143472E-2</v>
      </c>
    </row>
    <row r="35" spans="1:21" x14ac:dyDescent="0.25">
      <c r="B35" s="9"/>
      <c r="C35" s="17">
        <v>1469.89</v>
      </c>
      <c r="D35" s="18">
        <v>31.05</v>
      </c>
      <c r="E35" s="18">
        <v>38.113</v>
      </c>
      <c r="F35" s="18">
        <v>40.817</v>
      </c>
      <c r="G35" s="18">
        <v>10.119999999999999</v>
      </c>
      <c r="H35" s="18">
        <f t="shared" si="0"/>
        <v>33.153750000000002</v>
      </c>
      <c r="I35" s="5"/>
      <c r="J35" s="17">
        <v>986.59119999999996</v>
      </c>
      <c r="K35" s="18">
        <v>32.433300000000003</v>
      </c>
      <c r="L35" s="18">
        <v>39.249099999999999</v>
      </c>
      <c r="M35" s="18">
        <v>41.798900000000003</v>
      </c>
      <c r="N35" s="18">
        <v>10.5779</v>
      </c>
      <c r="O35" s="18">
        <f t="shared" si="1"/>
        <v>34.455975000000002</v>
      </c>
      <c r="P35" s="7"/>
      <c r="Q35" s="10"/>
      <c r="R35" s="11"/>
      <c r="S35" s="11"/>
      <c r="T35" s="26"/>
      <c r="U35" s="28">
        <f t="shared" si="2"/>
        <v>4.5247035573122575E-2</v>
      </c>
    </row>
    <row r="36" spans="1:21" ht="16.5" thickBot="1" x14ac:dyDescent="0.3">
      <c r="B36" s="12"/>
      <c r="C36" s="19">
        <v>862.56</v>
      </c>
      <c r="D36" s="20">
        <v>29.079000000000001</v>
      </c>
      <c r="E36" s="20">
        <v>37.476999999999997</v>
      </c>
      <c r="F36" s="20">
        <v>39.926000000000002</v>
      </c>
      <c r="G36" s="20">
        <v>11.67</v>
      </c>
      <c r="H36" s="20">
        <f t="shared" si="0"/>
        <v>31.484625000000001</v>
      </c>
      <c r="I36" s="5"/>
      <c r="J36" s="19">
        <v>607.46159999999998</v>
      </c>
      <c r="K36" s="20">
        <v>31.0932</v>
      </c>
      <c r="L36" s="20">
        <v>38.692500000000003</v>
      </c>
      <c r="M36" s="20">
        <v>41.250900000000001</v>
      </c>
      <c r="N36" s="20">
        <v>13.9506</v>
      </c>
      <c r="O36" s="20">
        <f t="shared" si="1"/>
        <v>33.312825000000004</v>
      </c>
      <c r="P36" s="7"/>
      <c r="Q36" s="13"/>
      <c r="R36" s="14"/>
      <c r="S36" s="14"/>
      <c r="T36" s="27"/>
      <c r="U36" s="28">
        <f t="shared" si="2"/>
        <v>0.19542416452442157</v>
      </c>
    </row>
    <row r="37" spans="1:21" x14ac:dyDescent="0.25">
      <c r="A37" s="6" t="s">
        <v>39</v>
      </c>
      <c r="B37" s="6" t="s">
        <v>53</v>
      </c>
      <c r="C37" s="15">
        <v>1549.7</v>
      </c>
      <c r="D37" s="16">
        <v>35.359000000000002</v>
      </c>
      <c r="E37" s="16">
        <v>38.744999999999997</v>
      </c>
      <c r="F37" s="16">
        <v>38.712000000000003</v>
      </c>
      <c r="G37" s="16">
        <v>30.85</v>
      </c>
      <c r="H37" s="16">
        <f t="shared" si="0"/>
        <v>36.201374999999999</v>
      </c>
      <c r="I37" s="5"/>
      <c r="J37" s="15">
        <v>1237.4856</v>
      </c>
      <c r="K37" s="16">
        <v>36.6145</v>
      </c>
      <c r="L37" s="16">
        <v>40.960900000000002</v>
      </c>
      <c r="M37" s="16">
        <v>40.953000000000003</v>
      </c>
      <c r="N37" s="16">
        <v>21.8933</v>
      </c>
      <c r="O37" s="16">
        <f t="shared" si="1"/>
        <v>37.700112500000003</v>
      </c>
      <c r="P37" s="7"/>
      <c r="Q37" s="8">
        <f>bdrate(C37:C40,D37:D40,J37:J40,K37:K40)</f>
        <v>-0.39121822505974646</v>
      </c>
      <c r="R37" s="8">
        <f>bdrate(C37:C40,E37:E40,J37:J40,L37:L40)</f>
        <v>-0.63800596325664893</v>
      </c>
      <c r="S37" s="8">
        <f>bdrate(C37:C40,F37:F40,J37:J40,M37:M40)</f>
        <v>-0.59992115993114248</v>
      </c>
      <c r="T37" s="25">
        <f>bdrate(C37:C40,H37:H40,J37:J40,O37:O40)</f>
        <v>-0.4436872595205309</v>
      </c>
      <c r="U37" s="28">
        <f t="shared" si="2"/>
        <v>-0.29033063209076176</v>
      </c>
    </row>
    <row r="38" spans="1:21" x14ac:dyDescent="0.25">
      <c r="A38" s="9" t="s">
        <v>40</v>
      </c>
      <c r="B38" s="9"/>
      <c r="C38" s="17">
        <v>1047.1199999999999</v>
      </c>
      <c r="D38" s="18">
        <v>33.825000000000003</v>
      </c>
      <c r="E38" s="18">
        <v>37.521999999999998</v>
      </c>
      <c r="F38" s="18">
        <v>37.363</v>
      </c>
      <c r="G38" s="18">
        <v>34.65</v>
      </c>
      <c r="H38" s="18">
        <f t="shared" si="0"/>
        <v>34.729375000000005</v>
      </c>
      <c r="I38" s="5"/>
      <c r="J38" s="17">
        <v>825.31600000000003</v>
      </c>
      <c r="K38" s="18">
        <v>34.837899999999998</v>
      </c>
      <c r="L38" s="18">
        <v>39.658700000000003</v>
      </c>
      <c r="M38" s="18">
        <v>39.500799999999998</v>
      </c>
      <c r="N38" s="18">
        <v>25.2972</v>
      </c>
      <c r="O38" s="18">
        <f t="shared" si="1"/>
        <v>36.023362500000005</v>
      </c>
      <c r="P38" s="7"/>
      <c r="Q38" s="10"/>
      <c r="R38" s="11"/>
      <c r="S38" s="11"/>
      <c r="T38" s="26"/>
      <c r="U38" s="28">
        <f t="shared" si="2"/>
        <v>-0.2699220779220779</v>
      </c>
    </row>
    <row r="39" spans="1:21" x14ac:dyDescent="0.25">
      <c r="B39" s="9"/>
      <c r="C39" s="17">
        <v>646.15</v>
      </c>
      <c r="D39" s="18">
        <v>31.879000000000001</v>
      </c>
      <c r="E39" s="18">
        <v>36.237000000000002</v>
      </c>
      <c r="F39" s="18">
        <v>35.884</v>
      </c>
      <c r="G39" s="18">
        <v>39.909999999999997</v>
      </c>
      <c r="H39" s="18">
        <f t="shared" si="0"/>
        <v>32.924374999999998</v>
      </c>
      <c r="I39" s="5"/>
      <c r="J39" s="17">
        <v>516.89679999999998</v>
      </c>
      <c r="K39" s="18">
        <v>32.9527</v>
      </c>
      <c r="L39" s="18">
        <v>38.379199999999997</v>
      </c>
      <c r="M39" s="18">
        <v>38.020499999999998</v>
      </c>
      <c r="N39" s="18">
        <v>30.237100000000002</v>
      </c>
      <c r="O39" s="18">
        <f t="shared" si="1"/>
        <v>34.264487500000001</v>
      </c>
      <c r="P39" s="7"/>
      <c r="Q39" s="10"/>
      <c r="R39" s="11"/>
      <c r="S39" s="11"/>
      <c r="T39" s="26"/>
      <c r="U39" s="28">
        <f t="shared" si="2"/>
        <v>-0.24236782761212719</v>
      </c>
    </row>
    <row r="40" spans="1:21" ht="16.5" thickBot="1" x14ac:dyDescent="0.3">
      <c r="B40" s="12"/>
      <c r="C40" s="19">
        <v>396.23</v>
      </c>
      <c r="D40" s="20">
        <v>29.733000000000001</v>
      </c>
      <c r="E40" s="20">
        <v>35.045999999999999</v>
      </c>
      <c r="F40" s="20">
        <v>34.500999999999998</v>
      </c>
      <c r="G40" s="20">
        <v>48.05</v>
      </c>
      <c r="H40" s="20">
        <f t="shared" si="0"/>
        <v>30.993124999999999</v>
      </c>
      <c r="I40" s="5"/>
      <c r="J40" s="19">
        <v>309.46719999999999</v>
      </c>
      <c r="K40" s="20">
        <v>31.013400000000001</v>
      </c>
      <c r="L40" s="20">
        <v>37.087299999999999</v>
      </c>
      <c r="M40" s="20">
        <v>36.527900000000002</v>
      </c>
      <c r="N40" s="20">
        <v>37.180199999999999</v>
      </c>
      <c r="O40" s="20">
        <f t="shared" si="1"/>
        <v>32.461950000000002</v>
      </c>
      <c r="P40" s="7"/>
      <c r="Q40" s="13"/>
      <c r="R40" s="14"/>
      <c r="S40" s="14"/>
      <c r="T40" s="27"/>
      <c r="U40" s="28">
        <f t="shared" si="2"/>
        <v>-0.2262185223725286</v>
      </c>
    </row>
    <row r="41" spans="1:21" x14ac:dyDescent="0.25">
      <c r="B41" s="6" t="s">
        <v>54</v>
      </c>
      <c r="C41" s="15">
        <v>1559.67</v>
      </c>
      <c r="D41" s="16">
        <v>35.686</v>
      </c>
      <c r="E41" s="16">
        <v>40.110999999999997</v>
      </c>
      <c r="F41" s="16">
        <v>40.927</v>
      </c>
      <c r="G41" s="16">
        <v>34.65</v>
      </c>
      <c r="H41" s="16">
        <f t="shared" si="0"/>
        <v>36.89425</v>
      </c>
      <c r="I41" s="5"/>
      <c r="J41" s="15">
        <v>1259.4000000000001</v>
      </c>
      <c r="K41" s="16">
        <v>36.253100000000003</v>
      </c>
      <c r="L41" s="16">
        <v>41.761299999999999</v>
      </c>
      <c r="M41" s="16">
        <v>42.774000000000001</v>
      </c>
      <c r="N41" s="16">
        <v>24.561</v>
      </c>
      <c r="O41" s="16">
        <f t="shared" si="1"/>
        <v>37.7567375</v>
      </c>
      <c r="P41" s="7"/>
      <c r="Q41" s="8">
        <f>bdrate(C41:C44,D41:D44,J41:J44,K41:K44)</f>
        <v>-0.37311575835378885</v>
      </c>
      <c r="R41" s="8">
        <f>bdrate(C41:C44,E41:E44,J41:J44,L41:L44)</f>
        <v>-0.60334612499234375</v>
      </c>
      <c r="S41" s="8">
        <f>bdrate(C41:C44,F41:F44,J41:J44,M41:M44)</f>
        <v>-0.60361719686522086</v>
      </c>
      <c r="T41" s="25">
        <f>bdrate(C41:C44,H41:H44,J41:J44,O41:O44)</f>
        <v>-0.41649438964107022</v>
      </c>
      <c r="U41" s="28">
        <f t="shared" si="2"/>
        <v>-0.29116883116883113</v>
      </c>
    </row>
    <row r="42" spans="1:21" x14ac:dyDescent="0.25">
      <c r="B42" s="9"/>
      <c r="C42" s="17">
        <v>1058.5899999999999</v>
      </c>
      <c r="D42" s="18">
        <v>33.985999999999997</v>
      </c>
      <c r="E42" s="18">
        <v>39.262999999999998</v>
      </c>
      <c r="F42" s="18">
        <v>39.960999999999999</v>
      </c>
      <c r="G42" s="18">
        <v>37.82</v>
      </c>
      <c r="H42" s="18">
        <f t="shared" si="0"/>
        <v>35.392499999999998</v>
      </c>
      <c r="I42" s="5"/>
      <c r="J42" s="17">
        <v>836.3048</v>
      </c>
      <c r="K42" s="18">
        <v>34.7607</v>
      </c>
      <c r="L42" s="18">
        <v>40.800600000000003</v>
      </c>
      <c r="M42" s="18">
        <v>41.6524</v>
      </c>
      <c r="N42" s="18">
        <v>28.7026</v>
      </c>
      <c r="O42" s="18">
        <f t="shared" si="1"/>
        <v>36.37715</v>
      </c>
      <c r="P42" s="7"/>
      <c r="Q42" s="10"/>
      <c r="R42" s="11"/>
      <c r="S42" s="11"/>
      <c r="T42" s="26"/>
      <c r="U42" s="28">
        <f t="shared" si="2"/>
        <v>-0.24107350608143838</v>
      </c>
    </row>
    <row r="43" spans="1:21" x14ac:dyDescent="0.25">
      <c r="B43" s="9"/>
      <c r="C43" s="17">
        <v>654.4</v>
      </c>
      <c r="D43" s="18">
        <v>31.754999999999999</v>
      </c>
      <c r="E43" s="18">
        <v>38.220999999999997</v>
      </c>
      <c r="F43" s="18">
        <v>38.82</v>
      </c>
      <c r="G43" s="18">
        <v>42.17</v>
      </c>
      <c r="H43" s="18">
        <f t="shared" si="0"/>
        <v>33.446375000000003</v>
      </c>
      <c r="I43" s="5"/>
      <c r="J43" s="17">
        <v>520.63679999999999</v>
      </c>
      <c r="K43" s="18">
        <v>32.936300000000003</v>
      </c>
      <c r="L43" s="18">
        <v>39.719499999999996</v>
      </c>
      <c r="M43" s="18">
        <v>40.477400000000003</v>
      </c>
      <c r="N43" s="18">
        <v>34.036799999999999</v>
      </c>
      <c r="O43" s="18">
        <f t="shared" si="1"/>
        <v>34.726837500000002</v>
      </c>
      <c r="P43" s="7"/>
      <c r="Q43" s="10"/>
      <c r="R43" s="11"/>
      <c r="S43" s="11"/>
      <c r="T43" s="26"/>
      <c r="U43" s="28">
        <f t="shared" si="2"/>
        <v>-0.19286696703817885</v>
      </c>
    </row>
    <row r="44" spans="1:21" ht="16.5" thickBot="1" x14ac:dyDescent="0.3">
      <c r="B44" s="12"/>
      <c r="C44" s="19">
        <v>404.48</v>
      </c>
      <c r="D44" s="20">
        <v>29.388000000000002</v>
      </c>
      <c r="E44" s="20">
        <v>37.277000000000001</v>
      </c>
      <c r="F44" s="20">
        <v>37.783999999999999</v>
      </c>
      <c r="G44" s="20">
        <v>47.78</v>
      </c>
      <c r="H44" s="20">
        <f t="shared" si="0"/>
        <v>31.423625000000001</v>
      </c>
      <c r="I44" s="5"/>
      <c r="J44" s="19">
        <v>311.94639999999998</v>
      </c>
      <c r="K44" s="20">
        <v>30.8994</v>
      </c>
      <c r="L44" s="20">
        <v>38.648899999999998</v>
      </c>
      <c r="M44" s="20">
        <v>39.282699999999998</v>
      </c>
      <c r="N44" s="20">
        <v>41.805999999999997</v>
      </c>
      <c r="O44" s="20">
        <f t="shared" si="1"/>
        <v>32.915999999999997</v>
      </c>
      <c r="P44" s="7"/>
      <c r="Q44" s="13"/>
      <c r="R44" s="14"/>
      <c r="S44" s="14"/>
      <c r="T44" s="27"/>
      <c r="U44" s="28">
        <f t="shared" si="2"/>
        <v>-0.12503139388865642</v>
      </c>
    </row>
    <row r="45" spans="1:21" x14ac:dyDescent="0.25">
      <c r="B45" s="6" t="s">
        <v>55</v>
      </c>
      <c r="C45" s="15">
        <v>1422.97</v>
      </c>
      <c r="D45" s="16">
        <v>30.19</v>
      </c>
      <c r="E45" s="16">
        <v>35.831000000000003</v>
      </c>
      <c r="F45" s="16">
        <v>36.554000000000002</v>
      </c>
      <c r="G45" s="16">
        <v>30.58</v>
      </c>
      <c r="H45" s="16">
        <f t="shared" si="0"/>
        <v>31.690625000000001</v>
      </c>
      <c r="I45" s="5"/>
      <c r="J45" s="15">
        <v>1238.0032000000001</v>
      </c>
      <c r="K45" s="16">
        <v>31.119700000000002</v>
      </c>
      <c r="L45" s="16">
        <v>37.7027</v>
      </c>
      <c r="M45" s="16">
        <v>38.517299999999999</v>
      </c>
      <c r="N45" s="16">
        <v>20.880299999999998</v>
      </c>
      <c r="O45" s="16">
        <f t="shared" si="1"/>
        <v>32.867274999999999</v>
      </c>
      <c r="P45" s="7"/>
      <c r="Q45" s="8">
        <f>bdrate(C45:C48,D45:D48,J45:J48,K45:K48)</f>
        <v>-0.38562731060745747</v>
      </c>
      <c r="R45" s="8">
        <f>bdrate(C45:C48,E45:E48,J45:J48,L45:L48)</f>
        <v>-0.66594951920312617</v>
      </c>
      <c r="S45" s="8">
        <f>bdrate(C45:C48,F45:F48,J45:J48,M45:M48)</f>
        <v>-0.66658152332571585</v>
      </c>
      <c r="T45" s="25">
        <f>bdrate(C45:C48,H45:H48,J45:J48,O45:O48)</f>
        <v>-0.43696172940259015</v>
      </c>
      <c r="U45" s="28">
        <f t="shared" si="2"/>
        <v>-0.31719097449313277</v>
      </c>
    </row>
    <row r="46" spans="1:21" x14ac:dyDescent="0.25">
      <c r="B46" s="9"/>
      <c r="C46" s="17">
        <v>966.76</v>
      </c>
      <c r="D46" s="18">
        <v>28.774999999999999</v>
      </c>
      <c r="E46" s="18">
        <v>35.237000000000002</v>
      </c>
      <c r="F46" s="18">
        <v>35.962000000000003</v>
      </c>
      <c r="G46" s="18">
        <v>33.18</v>
      </c>
      <c r="H46" s="18">
        <f t="shared" si="0"/>
        <v>30.481124999999999</v>
      </c>
      <c r="I46" s="5"/>
      <c r="J46" s="17">
        <v>822.35919999999999</v>
      </c>
      <c r="K46" s="18">
        <v>29.795000000000002</v>
      </c>
      <c r="L46" s="18">
        <v>36.860500000000002</v>
      </c>
      <c r="M46" s="18">
        <v>37.633499999999998</v>
      </c>
      <c r="N46" s="18">
        <v>24.523</v>
      </c>
      <c r="O46" s="18">
        <f t="shared" si="1"/>
        <v>31.658000000000001</v>
      </c>
      <c r="P46" s="7"/>
      <c r="Q46" s="10"/>
      <c r="R46" s="11"/>
      <c r="S46" s="11"/>
      <c r="T46" s="26"/>
      <c r="U46" s="28">
        <f t="shared" si="2"/>
        <v>-0.26091018685955397</v>
      </c>
    </row>
    <row r="47" spans="1:21" x14ac:dyDescent="0.25">
      <c r="B47" s="9"/>
      <c r="C47" s="17">
        <v>600.79999999999995</v>
      </c>
      <c r="D47" s="18">
        <v>27.152999999999999</v>
      </c>
      <c r="E47" s="18">
        <v>34.591000000000001</v>
      </c>
      <c r="F47" s="18">
        <v>35.334000000000003</v>
      </c>
      <c r="G47" s="18">
        <v>36.92</v>
      </c>
      <c r="H47" s="18">
        <f t="shared" si="0"/>
        <v>29.105375000000002</v>
      </c>
      <c r="I47" s="5"/>
      <c r="J47" s="17">
        <v>515.64</v>
      </c>
      <c r="K47" s="18">
        <v>28.2944</v>
      </c>
      <c r="L47" s="18">
        <v>35.997700000000002</v>
      </c>
      <c r="M47" s="18">
        <v>36.771599999999999</v>
      </c>
      <c r="N47" s="18">
        <v>29.6754</v>
      </c>
      <c r="O47" s="18">
        <f t="shared" si="1"/>
        <v>30.316962500000002</v>
      </c>
      <c r="P47" s="7"/>
      <c r="Q47" s="10"/>
      <c r="R47" s="11"/>
      <c r="S47" s="11"/>
      <c r="T47" s="26"/>
      <c r="U47" s="28">
        <f t="shared" si="2"/>
        <v>-0.19622426868905746</v>
      </c>
    </row>
    <row r="48" spans="1:21" ht="16.5" thickBot="1" x14ac:dyDescent="0.3">
      <c r="B48" s="12"/>
      <c r="C48" s="19">
        <v>371.69</v>
      </c>
      <c r="D48" s="20">
        <v>25.623999999999999</v>
      </c>
      <c r="E48" s="20">
        <v>34.061</v>
      </c>
      <c r="F48" s="20">
        <v>34.792000000000002</v>
      </c>
      <c r="G48" s="20">
        <v>41.9</v>
      </c>
      <c r="H48" s="20">
        <f t="shared" si="0"/>
        <v>27.824625000000001</v>
      </c>
      <c r="I48" s="5"/>
      <c r="J48" s="19">
        <v>308.71280000000002</v>
      </c>
      <c r="K48" s="20">
        <v>26.776800000000001</v>
      </c>
      <c r="L48" s="20">
        <v>35.143999999999998</v>
      </c>
      <c r="M48" s="20">
        <v>35.8324</v>
      </c>
      <c r="N48" s="20">
        <v>37.0124</v>
      </c>
      <c r="O48" s="20">
        <f t="shared" si="1"/>
        <v>28.954650000000001</v>
      </c>
      <c r="P48" s="7"/>
      <c r="Q48" s="13"/>
      <c r="R48" s="14"/>
      <c r="S48" s="14"/>
      <c r="T48" s="27"/>
      <c r="U48" s="28">
        <f t="shared" si="2"/>
        <v>-0.11664916467780427</v>
      </c>
    </row>
    <row r="49" spans="1:21" x14ac:dyDescent="0.25">
      <c r="B49" s="6" t="s">
        <v>56</v>
      </c>
      <c r="C49" s="15">
        <v>1424.49</v>
      </c>
      <c r="D49" s="16">
        <v>33.524999999999999</v>
      </c>
      <c r="E49" s="16">
        <v>37.01</v>
      </c>
      <c r="F49" s="16">
        <v>38.732999999999997</v>
      </c>
      <c r="G49" s="16">
        <v>22.39</v>
      </c>
      <c r="H49" s="16">
        <f t="shared" si="0"/>
        <v>34.611624999999997</v>
      </c>
      <c r="I49" s="5"/>
      <c r="J49" s="15">
        <v>1227.816</v>
      </c>
      <c r="K49" s="16">
        <v>33.216099999999997</v>
      </c>
      <c r="L49" s="16">
        <v>37.917200000000001</v>
      </c>
      <c r="M49" s="16">
        <v>39.512799999999999</v>
      </c>
      <c r="N49" s="16">
        <v>15.866300000000001</v>
      </c>
      <c r="O49" s="16">
        <f t="shared" si="1"/>
        <v>34.590824999999995</v>
      </c>
      <c r="P49" s="7"/>
      <c r="Q49" s="8">
        <f>bdrate(C49:C52,D49:D52,J49:J52,K49:K52)</f>
        <v>-0.14857107362675859</v>
      </c>
      <c r="R49" s="8">
        <f>bdrate(C49:C52,E49:E52,J49:J52,L49:L52)</f>
        <v>-0.46612690769176368</v>
      </c>
      <c r="S49" s="8">
        <f>bdrate(C49:C52,F49:F52,J49:J52,M49:M52)</f>
        <v>-0.452964684885239</v>
      </c>
      <c r="T49" s="25">
        <f>bdrate(C49:C52,H49:H52,J49:J52,O49:O52)</f>
        <v>-0.1997704484904107</v>
      </c>
      <c r="U49" s="28">
        <f t="shared" si="2"/>
        <v>-0.29136668155426526</v>
      </c>
    </row>
    <row r="50" spans="1:21" x14ac:dyDescent="0.25">
      <c r="B50" s="9"/>
      <c r="C50" s="17">
        <v>979.48</v>
      </c>
      <c r="D50" s="18">
        <v>31.972000000000001</v>
      </c>
      <c r="E50" s="18">
        <v>36.216000000000001</v>
      </c>
      <c r="F50" s="18">
        <v>37.908999999999999</v>
      </c>
      <c r="G50" s="18">
        <v>24.98</v>
      </c>
      <c r="H50" s="18">
        <f t="shared" si="0"/>
        <v>33.244624999999999</v>
      </c>
      <c r="I50" s="5"/>
      <c r="J50" s="17">
        <v>819.28719999999998</v>
      </c>
      <c r="K50" s="18">
        <v>31.711400000000001</v>
      </c>
      <c r="L50" s="18">
        <v>37.003300000000003</v>
      </c>
      <c r="M50" s="18">
        <v>38.659300000000002</v>
      </c>
      <c r="N50" s="18">
        <v>18.090800000000002</v>
      </c>
      <c r="O50" s="18">
        <f t="shared" si="1"/>
        <v>33.241375000000005</v>
      </c>
      <c r="P50" s="7"/>
      <c r="Q50" s="10"/>
      <c r="R50" s="11"/>
      <c r="S50" s="11"/>
      <c r="T50" s="26"/>
      <c r="U50" s="28">
        <f t="shared" si="2"/>
        <v>-0.27578863090472372</v>
      </c>
    </row>
    <row r="51" spans="1:21" x14ac:dyDescent="0.25">
      <c r="B51" s="9"/>
      <c r="C51" s="17">
        <v>614.30999999999995</v>
      </c>
      <c r="D51" s="18">
        <v>30.033999999999999</v>
      </c>
      <c r="E51" s="18">
        <v>35.305</v>
      </c>
      <c r="F51" s="18">
        <v>36.914999999999999</v>
      </c>
      <c r="G51" s="18">
        <v>28.28</v>
      </c>
      <c r="H51" s="18">
        <f t="shared" si="0"/>
        <v>31.553000000000001</v>
      </c>
      <c r="I51" s="5"/>
      <c r="J51" s="17">
        <v>516.88239999999996</v>
      </c>
      <c r="K51" s="18">
        <v>30.078900000000001</v>
      </c>
      <c r="L51" s="18">
        <v>36.205399999999997</v>
      </c>
      <c r="M51" s="18">
        <v>37.832799999999999</v>
      </c>
      <c r="N51" s="18">
        <v>21.318899999999999</v>
      </c>
      <c r="O51" s="18">
        <f t="shared" si="1"/>
        <v>31.813949999999998</v>
      </c>
      <c r="P51" s="7"/>
      <c r="Q51" s="10"/>
      <c r="R51" s="11"/>
      <c r="S51" s="11"/>
      <c r="T51" s="26"/>
      <c r="U51" s="28">
        <f t="shared" si="2"/>
        <v>-0.24614922206506371</v>
      </c>
    </row>
    <row r="52" spans="1:21" ht="16.5" thickBot="1" x14ac:dyDescent="0.3">
      <c r="B52" s="12"/>
      <c r="C52" s="19">
        <v>382.43</v>
      </c>
      <c r="D52" s="20">
        <v>28.099</v>
      </c>
      <c r="E52" s="20">
        <v>34.341000000000001</v>
      </c>
      <c r="F52" s="20">
        <v>35.783999999999999</v>
      </c>
      <c r="G52" s="20">
        <v>32.99</v>
      </c>
      <c r="H52" s="20">
        <f t="shared" si="0"/>
        <v>29.839874999999999</v>
      </c>
      <c r="I52" s="5"/>
      <c r="J52" s="19">
        <v>310.00560000000002</v>
      </c>
      <c r="K52" s="20">
        <v>28.474499999999999</v>
      </c>
      <c r="L52" s="20">
        <v>35.3125</v>
      </c>
      <c r="M52" s="20">
        <v>36.9786</v>
      </c>
      <c r="N52" s="20">
        <v>25.438800000000001</v>
      </c>
      <c r="O52" s="20">
        <f t="shared" si="1"/>
        <v>30.392262499999998</v>
      </c>
      <c r="P52" s="7"/>
      <c r="Q52" s="13"/>
      <c r="R52" s="14"/>
      <c r="S52" s="14"/>
      <c r="T52" s="27"/>
      <c r="U52" s="28">
        <f t="shared" si="2"/>
        <v>-0.22889360412246137</v>
      </c>
    </row>
    <row r="53" spans="1:21" x14ac:dyDescent="0.25">
      <c r="A53" s="6" t="s">
        <v>41</v>
      </c>
      <c r="B53" s="6" t="s">
        <v>57</v>
      </c>
      <c r="C53" s="15">
        <v>850.79</v>
      </c>
      <c r="D53" s="16">
        <v>36.146000000000001</v>
      </c>
      <c r="E53" s="16">
        <v>39.966999999999999</v>
      </c>
      <c r="F53" s="16">
        <v>38.777000000000001</v>
      </c>
      <c r="G53" s="16">
        <v>94.84</v>
      </c>
      <c r="H53" s="16">
        <f t="shared" si="0"/>
        <v>36.952500000000001</v>
      </c>
      <c r="I53" s="5"/>
      <c r="J53" s="15">
        <v>608.41840000000002</v>
      </c>
      <c r="K53" s="16">
        <v>35.314900000000002</v>
      </c>
      <c r="L53" s="16">
        <v>40.965000000000003</v>
      </c>
      <c r="M53" s="16">
        <v>39.4071</v>
      </c>
      <c r="N53" s="16">
        <v>69.521699999999996</v>
      </c>
      <c r="O53" s="16">
        <f t="shared" si="1"/>
        <v>36.532687500000002</v>
      </c>
      <c r="P53" s="7"/>
      <c r="Q53" s="8">
        <f>bdrate(C53:C56,D53:D56,J53:J56,K53:K56)</f>
        <v>-0.198142440689551</v>
      </c>
      <c r="R53" s="8">
        <f>bdrate(C53:C56,E53:E56,J53:J56,L53:L56)</f>
        <v>-0.53057595672758673</v>
      </c>
      <c r="S53" s="8">
        <f>bdrate(C53:C56,F53:F56,J53:J56,M53:M56)</f>
        <v>-0.45591479582985561</v>
      </c>
      <c r="T53" s="25">
        <f>bdrate(C53:C56,H53:H56,J53:J56,O53:O56)</f>
        <v>-0.25423534948877191</v>
      </c>
      <c r="U53" s="28">
        <f t="shared" si="2"/>
        <v>-0.26695803458456357</v>
      </c>
    </row>
    <row r="54" spans="1:21" x14ac:dyDescent="0.25">
      <c r="A54" s="9" t="s">
        <v>42</v>
      </c>
      <c r="B54" s="9"/>
      <c r="C54" s="17">
        <v>532.89</v>
      </c>
      <c r="D54" s="18">
        <v>33.826999999999998</v>
      </c>
      <c r="E54" s="18">
        <v>38.631</v>
      </c>
      <c r="F54" s="18">
        <v>37.200000000000003</v>
      </c>
      <c r="G54" s="18">
        <v>106.5</v>
      </c>
      <c r="H54" s="18">
        <f t="shared" si="0"/>
        <v>34.849125000000001</v>
      </c>
      <c r="I54" s="5"/>
      <c r="J54" s="17">
        <v>408.76799999999997</v>
      </c>
      <c r="K54" s="18">
        <v>33.464599999999997</v>
      </c>
      <c r="L54" s="18">
        <v>39.836100000000002</v>
      </c>
      <c r="M54" s="18">
        <v>38.139200000000002</v>
      </c>
      <c r="N54" s="18">
        <v>80.945400000000006</v>
      </c>
      <c r="O54" s="18">
        <f t="shared" si="1"/>
        <v>34.8453625</v>
      </c>
      <c r="P54" s="7"/>
      <c r="Q54" s="10"/>
      <c r="R54" s="11"/>
      <c r="S54" s="11"/>
      <c r="T54" s="26"/>
      <c r="U54" s="28">
        <f t="shared" si="2"/>
        <v>-0.23994929577464782</v>
      </c>
    </row>
    <row r="55" spans="1:21" x14ac:dyDescent="0.25">
      <c r="B55" s="9"/>
      <c r="C55" s="17">
        <v>320.8</v>
      </c>
      <c r="D55" s="18">
        <v>31.478000000000002</v>
      </c>
      <c r="E55" s="18">
        <v>37.417999999999999</v>
      </c>
      <c r="F55" s="18">
        <v>35.713000000000001</v>
      </c>
      <c r="G55" s="18">
        <v>121.89</v>
      </c>
      <c r="H55" s="18">
        <f t="shared" si="0"/>
        <v>32.749875000000003</v>
      </c>
      <c r="I55" s="5"/>
      <c r="J55" s="17">
        <v>254.75919999999999</v>
      </c>
      <c r="K55" s="18">
        <v>31.4361</v>
      </c>
      <c r="L55" s="18">
        <v>38.677700000000002</v>
      </c>
      <c r="M55" s="18">
        <v>36.8232</v>
      </c>
      <c r="N55" s="18">
        <v>95.969300000000004</v>
      </c>
      <c r="O55" s="18">
        <f t="shared" si="1"/>
        <v>33.014687500000001</v>
      </c>
      <c r="P55" s="7"/>
      <c r="Q55" s="10"/>
      <c r="R55" s="11"/>
      <c r="S55" s="11"/>
      <c r="T55" s="26"/>
      <c r="U55" s="28">
        <f t="shared" si="2"/>
        <v>-0.21265649355976698</v>
      </c>
    </row>
    <row r="56" spans="1:21" ht="16.5" thickBot="1" x14ac:dyDescent="0.3">
      <c r="B56" s="12"/>
      <c r="C56" s="19">
        <v>161.97999999999999</v>
      </c>
      <c r="D56" s="20">
        <v>28.443000000000001</v>
      </c>
      <c r="E56" s="20">
        <v>36.069000000000003</v>
      </c>
      <c r="F56" s="20">
        <v>34.008000000000003</v>
      </c>
      <c r="G56" s="20">
        <v>154.13</v>
      </c>
      <c r="H56" s="20">
        <f t="shared" si="0"/>
        <v>30.091875000000005</v>
      </c>
      <c r="I56" s="5"/>
      <c r="J56" s="19">
        <v>123.5376</v>
      </c>
      <c r="K56" s="20">
        <v>28.6004</v>
      </c>
      <c r="L56" s="20">
        <v>37.095999999999997</v>
      </c>
      <c r="M56" s="20">
        <v>34.984999999999999</v>
      </c>
      <c r="N56" s="20">
        <v>129.23240000000001</v>
      </c>
      <c r="O56" s="20">
        <f t="shared" si="1"/>
        <v>30.460425000000001</v>
      </c>
      <c r="P56" s="7"/>
      <c r="Q56" s="13"/>
      <c r="R56" s="14"/>
      <c r="S56" s="14"/>
      <c r="T56" s="27"/>
      <c r="U56" s="28">
        <f t="shared" si="2"/>
        <v>-0.16153636540582614</v>
      </c>
    </row>
    <row r="57" spans="1:21" x14ac:dyDescent="0.25">
      <c r="B57" s="6" t="s">
        <v>119</v>
      </c>
      <c r="C57" s="15">
        <v>742.03</v>
      </c>
      <c r="D57" s="16">
        <v>32.997999999999998</v>
      </c>
      <c r="E57" s="16">
        <v>39.741999999999997</v>
      </c>
      <c r="F57" s="16">
        <v>40.506</v>
      </c>
      <c r="G57" s="16">
        <v>126.96</v>
      </c>
      <c r="H57" s="16">
        <f t="shared" si="0"/>
        <v>34.779499999999999</v>
      </c>
      <c r="I57" s="5"/>
      <c r="J57" s="15">
        <v>619.16</v>
      </c>
      <c r="K57" s="16">
        <v>34.287799999999997</v>
      </c>
      <c r="L57" s="16">
        <v>42.031399999999998</v>
      </c>
      <c r="M57" s="16">
        <v>43.020600000000002</v>
      </c>
      <c r="N57" s="16">
        <v>77.700100000000006</v>
      </c>
      <c r="O57" s="16">
        <f t="shared" si="1"/>
        <v>36.347349999999992</v>
      </c>
      <c r="P57" s="7"/>
      <c r="Q57" s="8">
        <f>bdrate(C57:C60,D57:D60,J57:J60,K57:K60)</f>
        <v>-0.46860831511284617</v>
      </c>
      <c r="R57" s="8">
        <f>bdrate(C57:C60,E57:E60,J57:J60,L57:L60)</f>
        <v>-0.7066080695570125</v>
      </c>
      <c r="S57" s="8">
        <f>bdrate(C57:C60,F57:F60,J57:J60,M57:M60)</f>
        <v>-0.7384981178475658</v>
      </c>
      <c r="T57" s="25">
        <f>bdrate(C57:C60,H57:H60,J57:J60,O57:O60)</f>
        <v>-0.51466892566958844</v>
      </c>
      <c r="U57" s="28">
        <f t="shared" si="2"/>
        <v>-0.38799543163201</v>
      </c>
    </row>
    <row r="58" spans="1:21" x14ac:dyDescent="0.25">
      <c r="B58" s="9"/>
      <c r="C58" s="17">
        <v>457.53</v>
      </c>
      <c r="D58" s="18">
        <v>31.273</v>
      </c>
      <c r="E58" s="18">
        <v>39.170999999999999</v>
      </c>
      <c r="F58" s="18">
        <v>39.723999999999997</v>
      </c>
      <c r="G58" s="18">
        <v>140.91</v>
      </c>
      <c r="H58" s="18">
        <f t="shared" si="0"/>
        <v>33.316625000000002</v>
      </c>
      <c r="I58" s="5"/>
      <c r="J58" s="17">
        <v>409.83359999999999</v>
      </c>
      <c r="K58" s="18">
        <v>32.936700000000002</v>
      </c>
      <c r="L58" s="18">
        <v>41.271799999999999</v>
      </c>
      <c r="M58" s="18">
        <v>42.1404</v>
      </c>
      <c r="N58" s="18">
        <v>94.043899999999994</v>
      </c>
      <c r="O58" s="18">
        <f t="shared" si="1"/>
        <v>35.129049999999999</v>
      </c>
      <c r="P58" s="7"/>
      <c r="Q58" s="10"/>
      <c r="R58" s="11"/>
      <c r="S58" s="11"/>
      <c r="T58" s="26"/>
      <c r="U58" s="28">
        <f t="shared" si="2"/>
        <v>-0.33259598325172096</v>
      </c>
    </row>
    <row r="59" spans="1:21" x14ac:dyDescent="0.25">
      <c r="B59" s="9"/>
      <c r="C59" s="17">
        <v>271.64</v>
      </c>
      <c r="D59" s="18">
        <v>29.402000000000001</v>
      </c>
      <c r="E59" s="18">
        <v>38.652000000000001</v>
      </c>
      <c r="F59" s="18">
        <v>38.920999999999999</v>
      </c>
      <c r="G59" s="18">
        <v>156.99</v>
      </c>
      <c r="H59" s="18">
        <f t="shared" si="0"/>
        <v>31.748125000000002</v>
      </c>
      <c r="I59" s="5"/>
      <c r="J59" s="17">
        <v>254.7824</v>
      </c>
      <c r="K59" s="18">
        <v>31.414999999999999</v>
      </c>
      <c r="L59" s="18">
        <v>40.181800000000003</v>
      </c>
      <c r="M59" s="18">
        <v>41.088200000000001</v>
      </c>
      <c r="N59" s="18">
        <v>115.4957</v>
      </c>
      <c r="O59" s="18">
        <f t="shared" si="1"/>
        <v>33.72</v>
      </c>
      <c r="P59" s="7"/>
      <c r="Q59" s="10"/>
      <c r="R59" s="11"/>
      <c r="S59" s="11"/>
      <c r="T59" s="26"/>
      <c r="U59" s="28">
        <f t="shared" si="2"/>
        <v>-0.26431173960124854</v>
      </c>
    </row>
    <row r="60" spans="1:21" ht="16.5" thickBot="1" x14ac:dyDescent="0.3">
      <c r="B60" s="12"/>
      <c r="C60" s="19">
        <v>134.47</v>
      </c>
      <c r="D60" s="20">
        <v>26.803999999999998</v>
      </c>
      <c r="E60" s="20">
        <v>37.975999999999999</v>
      </c>
      <c r="F60" s="20">
        <v>38.081000000000003</v>
      </c>
      <c r="G60" s="20">
        <v>184.05</v>
      </c>
      <c r="H60" s="20">
        <f t="shared" si="0"/>
        <v>29.610124999999996</v>
      </c>
      <c r="I60" s="5"/>
      <c r="J60" s="19">
        <v>121.4128</v>
      </c>
      <c r="K60" s="20">
        <v>28.9345</v>
      </c>
      <c r="L60" s="20">
        <v>38.966000000000001</v>
      </c>
      <c r="M60" s="20">
        <v>39.713299999999997</v>
      </c>
      <c r="N60" s="20">
        <v>169.44370000000001</v>
      </c>
      <c r="O60" s="20">
        <f t="shared" si="1"/>
        <v>31.535787500000001</v>
      </c>
      <c r="P60" s="7"/>
      <c r="Q60" s="13"/>
      <c r="R60" s="14"/>
      <c r="S60" s="14"/>
      <c r="T60" s="27"/>
      <c r="U60" s="28">
        <f t="shared" si="2"/>
        <v>-7.9360499864167364E-2</v>
      </c>
    </row>
    <row r="61" spans="1:21" x14ac:dyDescent="0.25">
      <c r="B61" s="6" t="s">
        <v>59</v>
      </c>
      <c r="C61" s="29">
        <v>828.98</v>
      </c>
      <c r="D61" s="30">
        <v>34.072000000000003</v>
      </c>
      <c r="E61" s="30">
        <v>37.503</v>
      </c>
      <c r="F61" s="30">
        <v>37.972999999999999</v>
      </c>
      <c r="G61" s="16">
        <v>112.46</v>
      </c>
      <c r="H61" s="16">
        <f t="shared" si="0"/>
        <v>34.988500000000002</v>
      </c>
      <c r="I61" s="5"/>
      <c r="J61" s="29">
        <v>645.34400000000005</v>
      </c>
      <c r="K61" s="30">
        <v>33.784599999999998</v>
      </c>
      <c r="L61" s="30">
        <v>39.0959</v>
      </c>
      <c r="M61" s="30">
        <v>39.984499999999997</v>
      </c>
      <c r="N61" s="16">
        <v>74.019199999999998</v>
      </c>
      <c r="O61" s="16">
        <f t="shared" si="1"/>
        <v>35.223500000000001</v>
      </c>
      <c r="P61" s="7"/>
      <c r="Q61" s="8">
        <f>bdrate(C61:C64,D61:D64,J61:J64,K61:K64)</f>
        <v>-0.22178661483407724</v>
      </c>
      <c r="R61" s="8">
        <f>bdrate(C61:C64,E61:E64,J61:J64,L61:L64)</f>
        <v>-0.60819899725752835</v>
      </c>
      <c r="S61" s="8">
        <f>bdrate(C61:C64,F61:F64,J61:J64,M61:M64)</f>
        <v>-0.66083921264347345</v>
      </c>
      <c r="T61" s="25">
        <f>bdrate(C61:C64,H61:H64,J61:J64,O61:O64)</f>
        <v>-0.30995607553325244</v>
      </c>
      <c r="U61" s="28">
        <f t="shared" si="2"/>
        <v>-0.34181753512359947</v>
      </c>
    </row>
    <row r="62" spans="1:21" x14ac:dyDescent="0.25">
      <c r="B62" s="9"/>
      <c r="C62" s="31">
        <v>516.67999999999995</v>
      </c>
      <c r="D62" s="32">
        <v>32.109000000000002</v>
      </c>
      <c r="E62" s="32">
        <v>36.283000000000001</v>
      </c>
      <c r="F62" s="32">
        <v>36.744999999999997</v>
      </c>
      <c r="G62" s="18">
        <v>122.34</v>
      </c>
      <c r="H62" s="18">
        <f t="shared" si="0"/>
        <v>33.210250000000002</v>
      </c>
      <c r="I62" s="5"/>
      <c r="J62" s="31">
        <v>430.79199999999997</v>
      </c>
      <c r="K62" s="32">
        <v>32.239400000000003</v>
      </c>
      <c r="L62" s="32">
        <v>38.051699999999997</v>
      </c>
      <c r="M62" s="32">
        <v>38.864199999999997</v>
      </c>
      <c r="N62" s="18">
        <v>88.526899999999998</v>
      </c>
      <c r="O62" s="18">
        <f t="shared" si="1"/>
        <v>33.794037500000002</v>
      </c>
      <c r="P62" s="7"/>
      <c r="Q62" s="10"/>
      <c r="R62" s="11"/>
      <c r="S62" s="11"/>
      <c r="T62" s="26"/>
      <c r="U62" s="28">
        <f t="shared" si="2"/>
        <v>-0.27638630047408863</v>
      </c>
    </row>
    <row r="63" spans="1:21" x14ac:dyDescent="0.25">
      <c r="B63" s="9"/>
      <c r="C63" s="31">
        <v>307.94</v>
      </c>
      <c r="D63" s="32">
        <v>30.103000000000002</v>
      </c>
      <c r="E63" s="32">
        <v>35.295000000000002</v>
      </c>
      <c r="F63" s="32">
        <v>35.789000000000001</v>
      </c>
      <c r="G63" s="18">
        <v>134.12</v>
      </c>
      <c r="H63" s="18">
        <f t="shared" si="0"/>
        <v>31.46275</v>
      </c>
      <c r="I63" s="5"/>
      <c r="J63" s="31">
        <v>269.20479999999998</v>
      </c>
      <c r="K63" s="32">
        <v>30.5702</v>
      </c>
      <c r="L63" s="32">
        <v>36.938800000000001</v>
      </c>
      <c r="M63" s="32">
        <v>37.730600000000003</v>
      </c>
      <c r="N63" s="18">
        <v>107.55</v>
      </c>
      <c r="O63" s="18">
        <f t="shared" si="1"/>
        <v>32.261324999999999</v>
      </c>
      <c r="P63" s="7"/>
      <c r="Q63" s="10"/>
      <c r="R63" s="11"/>
      <c r="S63" s="11"/>
      <c r="T63" s="26"/>
      <c r="U63" s="28">
        <f t="shared" si="2"/>
        <v>-0.19810617357590224</v>
      </c>
    </row>
    <row r="64" spans="1:21" ht="16.5" thickBot="1" x14ac:dyDescent="0.3">
      <c r="B64" s="12"/>
      <c r="C64" s="33">
        <v>151.28</v>
      </c>
      <c r="D64" s="34">
        <v>27.585000000000001</v>
      </c>
      <c r="E64" s="34">
        <v>34.149000000000001</v>
      </c>
      <c r="F64" s="34">
        <v>34.689</v>
      </c>
      <c r="G64" s="20">
        <v>157.13</v>
      </c>
      <c r="H64" s="20">
        <f t="shared" si="0"/>
        <v>29.293499999999998</v>
      </c>
      <c r="I64" s="5"/>
      <c r="J64" s="33">
        <v>127.14239999999999</v>
      </c>
      <c r="K64" s="34">
        <v>28.121600000000001</v>
      </c>
      <c r="L64" s="34">
        <v>35.388399999999997</v>
      </c>
      <c r="M64" s="34">
        <v>36.134999999999998</v>
      </c>
      <c r="N64" s="20">
        <v>148.41200000000001</v>
      </c>
      <c r="O64" s="20">
        <f t="shared" si="1"/>
        <v>30.031624999999998</v>
      </c>
      <c r="P64" s="7"/>
      <c r="Q64" s="13"/>
      <c r="R64" s="14"/>
      <c r="S64" s="14"/>
      <c r="T64" s="27"/>
      <c r="U64" s="28">
        <f t="shared" si="2"/>
        <v>-5.5482721313561953E-2</v>
      </c>
    </row>
    <row r="65" spans="1:21" x14ac:dyDescent="0.25">
      <c r="B65" s="6" t="s">
        <v>60</v>
      </c>
      <c r="C65" s="15">
        <v>764.04</v>
      </c>
      <c r="D65" s="16">
        <v>35.875999999999998</v>
      </c>
      <c r="E65" s="16">
        <v>37.972999999999999</v>
      </c>
      <c r="F65" s="16">
        <v>39.107999999999997</v>
      </c>
      <c r="G65" s="16">
        <v>73.400000000000006</v>
      </c>
      <c r="H65" s="16">
        <f t="shared" si="0"/>
        <v>36.542124999999999</v>
      </c>
      <c r="I65" s="5"/>
      <c r="J65" s="15">
        <v>614.86080000000004</v>
      </c>
      <c r="K65" s="16">
        <v>34.866700000000002</v>
      </c>
      <c r="L65" s="16">
        <v>38.877699999999997</v>
      </c>
      <c r="M65" s="16">
        <v>40.011499999999998</v>
      </c>
      <c r="N65" s="16">
        <v>51.422699999999999</v>
      </c>
      <c r="O65" s="16">
        <f t="shared" si="1"/>
        <v>36.011175000000001</v>
      </c>
      <c r="P65" s="7"/>
      <c r="Q65" s="8">
        <f>bdrate(C65:C68,D65:D68,J65:J68,K65:K68)</f>
        <v>-6.9605371383877124E-2</v>
      </c>
      <c r="R65" s="8">
        <f>bdrate(C65:C68,E65:E68,J65:J68,L65:L68)</f>
        <v>-0.44988826345584909</v>
      </c>
      <c r="S65" s="8">
        <f>bdrate(C65:C68,F65:F68,J65:J68,M65:M68)</f>
        <v>-0.45086401866747772</v>
      </c>
      <c r="T65" s="25">
        <f>bdrate(C65:C68,H65:H68,J65:J68,O65:O68)</f>
        <v>-0.14302568835258556</v>
      </c>
      <c r="U65" s="28">
        <f t="shared" si="2"/>
        <v>-0.29941825613079026</v>
      </c>
    </row>
    <row r="66" spans="1:21" x14ac:dyDescent="0.25">
      <c r="B66" s="9"/>
      <c r="C66" s="17">
        <v>480.01</v>
      </c>
      <c r="D66" s="18">
        <v>33.563000000000002</v>
      </c>
      <c r="E66" s="18">
        <v>36.640999999999998</v>
      </c>
      <c r="F66" s="18">
        <v>37.805999999999997</v>
      </c>
      <c r="G66" s="18">
        <v>81.5</v>
      </c>
      <c r="H66" s="18">
        <f t="shared" si="0"/>
        <v>34.478124999999999</v>
      </c>
      <c r="I66" s="5"/>
      <c r="J66" s="17">
        <v>410.69439999999997</v>
      </c>
      <c r="K66" s="18">
        <v>32.994100000000003</v>
      </c>
      <c r="L66" s="18">
        <v>37.746400000000001</v>
      </c>
      <c r="M66" s="18">
        <v>38.897300000000001</v>
      </c>
      <c r="N66" s="18">
        <v>60.667299999999997</v>
      </c>
      <c r="O66" s="18">
        <f t="shared" si="1"/>
        <v>34.326037499999998</v>
      </c>
      <c r="P66" s="7"/>
      <c r="Q66" s="10"/>
      <c r="R66" s="11"/>
      <c r="S66" s="11"/>
      <c r="T66" s="26"/>
      <c r="U66" s="28">
        <f t="shared" si="2"/>
        <v>-0.25561595092024542</v>
      </c>
    </row>
    <row r="67" spans="1:21" x14ac:dyDescent="0.25">
      <c r="B67" s="9"/>
      <c r="C67" s="17">
        <v>289.07</v>
      </c>
      <c r="D67" s="18">
        <v>31.242999999999999</v>
      </c>
      <c r="E67" s="18">
        <v>35.392000000000003</v>
      </c>
      <c r="F67" s="18">
        <v>36.533999999999999</v>
      </c>
      <c r="G67" s="18">
        <v>91.58</v>
      </c>
      <c r="H67" s="18">
        <f t="shared" si="0"/>
        <v>32.423000000000002</v>
      </c>
      <c r="I67" s="5"/>
      <c r="J67" s="17">
        <v>258.06799999999998</v>
      </c>
      <c r="K67" s="18">
        <v>31.084199999999999</v>
      </c>
      <c r="L67" s="18">
        <v>36.5321</v>
      </c>
      <c r="M67" s="18">
        <v>37.705100000000002</v>
      </c>
      <c r="N67" s="18">
        <v>73.403499999999994</v>
      </c>
      <c r="O67" s="18">
        <f t="shared" si="1"/>
        <v>32.592800000000004</v>
      </c>
      <c r="P67" s="7"/>
      <c r="Q67" s="10"/>
      <c r="R67" s="11"/>
      <c r="S67" s="11"/>
      <c r="T67" s="26"/>
      <c r="U67" s="28">
        <f t="shared" si="2"/>
        <v>-0.1984767416466478</v>
      </c>
    </row>
    <row r="68" spans="1:21" ht="16.5" thickBot="1" x14ac:dyDescent="0.3">
      <c r="B68" s="12"/>
      <c r="C68" s="19">
        <v>145.16999999999999</v>
      </c>
      <c r="D68" s="20">
        <v>28.408999999999999</v>
      </c>
      <c r="E68" s="20">
        <v>33.960999999999999</v>
      </c>
      <c r="F68" s="20">
        <v>34.948999999999998</v>
      </c>
      <c r="G68" s="20">
        <v>113.12</v>
      </c>
      <c r="H68" s="20">
        <f t="shared" si="0"/>
        <v>29.920500000000004</v>
      </c>
      <c r="I68" s="5"/>
      <c r="J68" s="19">
        <v>124.80240000000001</v>
      </c>
      <c r="K68" s="20">
        <v>28.4693</v>
      </c>
      <c r="L68" s="20">
        <v>35.101399999999998</v>
      </c>
      <c r="M68" s="20">
        <v>36.213700000000003</v>
      </c>
      <c r="N68" s="20">
        <v>98.619299999999996</v>
      </c>
      <c r="O68" s="20">
        <f t="shared" si="1"/>
        <v>30.2663625</v>
      </c>
      <c r="P68" s="7"/>
      <c r="Q68" s="13"/>
      <c r="R68" s="14"/>
      <c r="S68" s="14"/>
      <c r="T68" s="27"/>
      <c r="U68" s="28">
        <f t="shared" si="2"/>
        <v>-0.12818864922206513</v>
      </c>
    </row>
    <row r="69" spans="1:21" x14ac:dyDescent="0.25">
      <c r="A69" s="6" t="s">
        <v>43</v>
      </c>
      <c r="B69" s="6" t="s">
        <v>61</v>
      </c>
      <c r="C69" s="15">
        <v>1924.11</v>
      </c>
      <c r="D69" s="16">
        <v>41.56</v>
      </c>
      <c r="E69" s="16">
        <v>45.156999999999996</v>
      </c>
      <c r="F69" s="16">
        <v>46.411999999999999</v>
      </c>
      <c r="G69" s="16">
        <v>24.3</v>
      </c>
      <c r="H69" s="16">
        <f t="shared" si="0"/>
        <v>42.616124999999997</v>
      </c>
      <c r="I69" s="5"/>
      <c r="J69" s="15">
        <v>1507.3648000000001</v>
      </c>
      <c r="K69" s="16">
        <v>41.935000000000002</v>
      </c>
      <c r="L69" s="16">
        <v>46.534199999999998</v>
      </c>
      <c r="M69" s="16">
        <v>47.826799999999999</v>
      </c>
      <c r="N69" s="16">
        <v>18.580500000000001</v>
      </c>
      <c r="O69" s="16">
        <f t="shared" si="1"/>
        <v>43.246375</v>
      </c>
      <c r="P69" s="7"/>
      <c r="Q69" s="8">
        <f>bdrate(C69:C72,D69:D72,J69:J72,K69:K72)</f>
        <v>-0.37547519807352336</v>
      </c>
      <c r="R69" s="8">
        <f>bdrate(C69:C72,E69:E72,J69:J72,L69:L72)</f>
        <v>-0.61160749208124432</v>
      </c>
      <c r="S69" s="8">
        <f>bdrate(C69:C72,F69:F72,J69:J72,M69:M72)</f>
        <v>-0.61265946233320334</v>
      </c>
      <c r="T69" s="25">
        <f>bdrate(C69:C72,H69:H72,J69:J72,O69:O72)</f>
        <v>-0.43135240470674385</v>
      </c>
      <c r="U69" s="28">
        <f t="shared" si="2"/>
        <v>-0.23537037037037037</v>
      </c>
    </row>
    <row r="70" spans="1:21" x14ac:dyDescent="0.25">
      <c r="A70" s="9" t="s">
        <v>44</v>
      </c>
      <c r="B70" s="9"/>
      <c r="C70" s="17">
        <v>1251.3399999999999</v>
      </c>
      <c r="D70" s="18">
        <v>40.411999999999999</v>
      </c>
      <c r="E70" s="18">
        <v>44.015999999999998</v>
      </c>
      <c r="F70" s="18">
        <v>45.142000000000003</v>
      </c>
      <c r="G70" s="18">
        <v>26.36</v>
      </c>
      <c r="H70" s="18">
        <f t="shared" si="0"/>
        <v>41.453749999999999</v>
      </c>
      <c r="I70" s="5"/>
      <c r="J70" s="17">
        <v>998.39840000000004</v>
      </c>
      <c r="K70" s="18">
        <v>40.963200000000001</v>
      </c>
      <c r="L70" s="18">
        <v>45.7562</v>
      </c>
      <c r="M70" s="18">
        <v>46.956499999999998</v>
      </c>
      <c r="N70" s="18">
        <v>23.267499999999998</v>
      </c>
      <c r="O70" s="18">
        <f t="shared" si="1"/>
        <v>42.311487499999998</v>
      </c>
      <c r="P70" s="7"/>
      <c r="Q70" s="10"/>
      <c r="R70" s="11"/>
      <c r="S70" s="11"/>
      <c r="T70" s="26"/>
      <c r="U70" s="28">
        <f t="shared" si="2"/>
        <v>-0.11731790591805771</v>
      </c>
    </row>
    <row r="71" spans="1:21" x14ac:dyDescent="0.25">
      <c r="B71" s="9"/>
      <c r="C71" s="17">
        <v>740.14</v>
      </c>
      <c r="D71" s="18">
        <v>38.362000000000002</v>
      </c>
      <c r="E71" s="18">
        <v>42.456000000000003</v>
      </c>
      <c r="F71" s="18">
        <v>43.603000000000002</v>
      </c>
      <c r="G71" s="18">
        <v>29.4</v>
      </c>
      <c r="H71" s="18">
        <f t="shared" si="0"/>
        <v>39.528875000000006</v>
      </c>
      <c r="I71" s="5"/>
      <c r="J71" s="17">
        <v>590.63760000000002</v>
      </c>
      <c r="K71" s="18">
        <v>39.333799999999997</v>
      </c>
      <c r="L71" s="18">
        <v>44.474800000000002</v>
      </c>
      <c r="M71" s="18">
        <v>45.661900000000003</v>
      </c>
      <c r="N71" s="18">
        <v>30.477</v>
      </c>
      <c r="O71" s="18">
        <f t="shared" si="1"/>
        <v>40.7674375</v>
      </c>
      <c r="P71" s="7"/>
      <c r="Q71" s="10"/>
      <c r="R71" s="11"/>
      <c r="S71" s="11"/>
      <c r="T71" s="26"/>
      <c r="U71" s="28">
        <f t="shared" si="2"/>
        <v>3.6632653061224547E-2</v>
      </c>
    </row>
    <row r="72" spans="1:21" ht="16.5" thickBot="1" x14ac:dyDescent="0.3">
      <c r="B72" s="12"/>
      <c r="C72" s="19">
        <v>338.88</v>
      </c>
      <c r="D72" s="20">
        <v>34.116</v>
      </c>
      <c r="E72" s="20">
        <v>40.308999999999997</v>
      </c>
      <c r="F72" s="20">
        <v>41.255000000000003</v>
      </c>
      <c r="G72" s="20">
        <v>35.840000000000003</v>
      </c>
      <c r="H72" s="20">
        <f t="shared" si="0"/>
        <v>35.782499999999999</v>
      </c>
      <c r="I72" s="5"/>
      <c r="J72" s="19">
        <v>284.79680000000002</v>
      </c>
      <c r="K72" s="20">
        <v>36.334699999999998</v>
      </c>
      <c r="L72" s="20">
        <v>42.587899999999998</v>
      </c>
      <c r="M72" s="20">
        <v>43.702100000000002</v>
      </c>
      <c r="N72" s="20">
        <v>40.357799999999997</v>
      </c>
      <c r="O72" s="20">
        <f t="shared" si="1"/>
        <v>38.037274999999994</v>
      </c>
      <c r="P72" s="7"/>
      <c r="Q72" s="13"/>
      <c r="R72" s="14"/>
      <c r="S72" s="14"/>
      <c r="T72" s="27"/>
      <c r="U72" s="28">
        <f t="shared" si="2"/>
        <v>0.12605468749999982</v>
      </c>
    </row>
    <row r="73" spans="1:21" x14ac:dyDescent="0.25">
      <c r="B73" s="6" t="s">
        <v>62</v>
      </c>
      <c r="C73" s="15">
        <v>1977.59</v>
      </c>
      <c r="D73" s="16">
        <v>42.466000000000001</v>
      </c>
      <c r="E73" s="16">
        <v>47.005000000000003</v>
      </c>
      <c r="F73" s="16">
        <v>47.442999999999998</v>
      </c>
      <c r="G73" s="16">
        <v>23.27</v>
      </c>
      <c r="H73" s="16">
        <f t="shared" si="0"/>
        <v>43.655499999999996</v>
      </c>
      <c r="I73" s="5"/>
      <c r="J73" s="15">
        <v>1512.2392</v>
      </c>
      <c r="K73" s="16">
        <v>42.937800000000003</v>
      </c>
      <c r="L73" s="16">
        <v>48.345799999999997</v>
      </c>
      <c r="M73" s="16">
        <v>49.066299999999998</v>
      </c>
      <c r="N73" s="16">
        <v>19.753699999999998</v>
      </c>
      <c r="O73" s="16">
        <f t="shared" si="1"/>
        <v>44.379862500000002</v>
      </c>
      <c r="P73" s="7"/>
      <c r="Q73" s="8">
        <f>bdrate(C73:C76,D73:D76,J73:J76,K73:K76)</f>
        <v>-0.54664497180890048</v>
      </c>
      <c r="R73" s="8">
        <f>bdrate(C73:C76,E73:E76,J73:J76,L73:L76)</f>
        <v>-0.76383321392310721</v>
      </c>
      <c r="S73" s="8">
        <f>bdrate(C73:C76,F73:F76,J73:J76,M73:M76)</f>
        <v>-0.78711064532755448</v>
      </c>
      <c r="T73" s="25">
        <f>bdrate(C73:C76,H73:H76,J73:J76,O73:O76)</f>
        <v>-0.62481196287763763</v>
      </c>
      <c r="U73" s="28">
        <f t="shared" ref="U73:U91" si="3">(N73-G73)/G73</f>
        <v>-0.15110872367855613</v>
      </c>
    </row>
    <row r="74" spans="1:21" x14ac:dyDescent="0.25">
      <c r="B74" s="9"/>
      <c r="C74" s="17">
        <v>1299.3800000000001</v>
      </c>
      <c r="D74" s="18">
        <v>41.828000000000003</v>
      </c>
      <c r="E74" s="18">
        <v>46.069000000000003</v>
      </c>
      <c r="F74" s="18">
        <v>46.323</v>
      </c>
      <c r="G74" s="18">
        <v>25.17</v>
      </c>
      <c r="H74" s="18">
        <f t="shared" si="0"/>
        <v>42.92</v>
      </c>
      <c r="I74" s="5"/>
      <c r="J74" s="17">
        <v>994.84159999999997</v>
      </c>
      <c r="K74" s="18">
        <v>42.5229</v>
      </c>
      <c r="L74" s="18">
        <v>48.018999999999998</v>
      </c>
      <c r="M74" s="18">
        <v>48.720399999999998</v>
      </c>
      <c r="N74" s="18">
        <v>23.889199999999999</v>
      </c>
      <c r="O74" s="18">
        <f t="shared" si="1"/>
        <v>43.9846</v>
      </c>
      <c r="P74" s="7"/>
      <c r="Q74" s="10"/>
      <c r="R74" s="11"/>
      <c r="S74" s="11"/>
      <c r="T74" s="26"/>
      <c r="U74" s="28">
        <f t="shared" si="3"/>
        <v>-5.0885975367501099E-2</v>
      </c>
    </row>
    <row r="75" spans="1:21" x14ac:dyDescent="0.25">
      <c r="B75" s="9"/>
      <c r="C75" s="17">
        <v>762.47</v>
      </c>
      <c r="D75" s="18">
        <v>40.701999999999998</v>
      </c>
      <c r="E75" s="18">
        <v>44.783000000000001</v>
      </c>
      <c r="F75" s="18">
        <v>45.189</v>
      </c>
      <c r="G75" s="18">
        <v>27.83</v>
      </c>
      <c r="H75" s="18">
        <f t="shared" si="0"/>
        <v>41.773000000000003</v>
      </c>
      <c r="I75" s="5"/>
      <c r="J75" s="17">
        <v>579.20079999999996</v>
      </c>
      <c r="K75" s="18">
        <v>41.766300000000001</v>
      </c>
      <c r="L75" s="18">
        <v>47.3217</v>
      </c>
      <c r="M75" s="18">
        <v>47.935499999999998</v>
      </c>
      <c r="N75" s="18">
        <v>30.404399999999999</v>
      </c>
      <c r="O75" s="18">
        <f t="shared" si="1"/>
        <v>43.231875000000002</v>
      </c>
      <c r="P75" s="7"/>
      <c r="Q75" s="10"/>
      <c r="R75" s="11"/>
      <c r="S75" s="11"/>
      <c r="T75" s="26"/>
      <c r="U75" s="28">
        <f t="shared" si="3"/>
        <v>9.2504491555874979E-2</v>
      </c>
    </row>
    <row r="76" spans="1:21" ht="16.5" thickBot="1" x14ac:dyDescent="0.3">
      <c r="B76" s="12"/>
      <c r="C76" s="19">
        <v>333.15</v>
      </c>
      <c r="D76" s="20">
        <v>37.78</v>
      </c>
      <c r="E76" s="20">
        <v>42.140999999999998</v>
      </c>
      <c r="F76" s="20">
        <v>43.262999999999998</v>
      </c>
      <c r="G76" s="20">
        <v>33.619999999999997</v>
      </c>
      <c r="H76" s="20">
        <f t="shared" si="0"/>
        <v>39.0105</v>
      </c>
      <c r="I76" s="5"/>
      <c r="J76" s="19">
        <v>278.35120000000001</v>
      </c>
      <c r="K76" s="20">
        <v>40.191899999999997</v>
      </c>
      <c r="L76" s="20">
        <v>45.779600000000002</v>
      </c>
      <c r="M76" s="20">
        <v>46.329799999999999</v>
      </c>
      <c r="N76" s="20">
        <v>41.399299999999997</v>
      </c>
      <c r="O76" s="20">
        <f t="shared" si="1"/>
        <v>41.657599999999995</v>
      </c>
      <c r="P76" s="7"/>
      <c r="Q76" s="13"/>
      <c r="R76" s="14"/>
      <c r="S76" s="14"/>
      <c r="T76" s="27"/>
      <c r="U76" s="28">
        <f t="shared" si="3"/>
        <v>0.23138905413444377</v>
      </c>
    </row>
    <row r="77" spans="1:21" x14ac:dyDescent="0.25">
      <c r="B77" s="6" t="s">
        <v>63</v>
      </c>
      <c r="C77" s="15">
        <v>2052.38</v>
      </c>
      <c r="D77" s="16">
        <v>42.570999999999998</v>
      </c>
      <c r="E77" s="16">
        <v>46.329000000000001</v>
      </c>
      <c r="F77" s="16">
        <v>46.918999999999997</v>
      </c>
      <c r="G77" s="16">
        <v>22.05</v>
      </c>
      <c r="H77" s="16">
        <f t="shared" si="0"/>
        <v>43.584249999999997</v>
      </c>
      <c r="I77" s="5"/>
      <c r="J77" s="15">
        <v>1541.796</v>
      </c>
      <c r="K77" s="16">
        <v>42.893599999999999</v>
      </c>
      <c r="L77" s="16">
        <v>47.551400000000001</v>
      </c>
      <c r="M77" s="16">
        <v>48.448999999999998</v>
      </c>
      <c r="N77" s="16">
        <v>18.3672</v>
      </c>
      <c r="O77" s="16">
        <f t="shared" si="1"/>
        <v>44.170250000000003</v>
      </c>
      <c r="P77" s="7"/>
      <c r="Q77" s="8">
        <f>bdrate(C77:C80,D77:D80,J77:J80,K77:K80)</f>
        <v>-0.43447182820952179</v>
      </c>
      <c r="R77" s="8">
        <f>bdrate(C77:C80,E77:E80,J77:J80,L77:L80)</f>
        <v>-0.67506046843202472</v>
      </c>
      <c r="S77" s="8">
        <f>bdrate(C77:C80,F77:F80,J77:J80,M77:M80)</f>
        <v>-0.6880176568347327</v>
      </c>
      <c r="T77" s="25">
        <f>bdrate(C77:C80,H77:H80,J77:J80,O77:O80)</f>
        <v>-0.50716339901093166</v>
      </c>
      <c r="U77" s="28">
        <f t="shared" si="3"/>
        <v>-0.16702040816326533</v>
      </c>
    </row>
    <row r="78" spans="1:21" x14ac:dyDescent="0.25">
      <c r="B78" s="9"/>
      <c r="C78" s="17">
        <v>1354.15</v>
      </c>
      <c r="D78" s="18">
        <v>41.701000000000001</v>
      </c>
      <c r="E78" s="18">
        <v>45.259</v>
      </c>
      <c r="F78" s="18">
        <v>46.002000000000002</v>
      </c>
      <c r="G78" s="18">
        <v>24.14</v>
      </c>
      <c r="H78" s="18">
        <f t="shared" si="0"/>
        <v>42.683375000000005</v>
      </c>
      <c r="I78" s="5"/>
      <c r="J78" s="17">
        <v>1028.8592000000001</v>
      </c>
      <c r="K78" s="18">
        <v>42.220999999999997</v>
      </c>
      <c r="L78" s="18">
        <v>47.007899999999999</v>
      </c>
      <c r="M78" s="18">
        <v>47.8752</v>
      </c>
      <c r="N78" s="18">
        <v>22.798100000000002</v>
      </c>
      <c r="O78" s="18">
        <f t="shared" si="1"/>
        <v>43.526137499999997</v>
      </c>
      <c r="P78" s="7"/>
      <c r="Q78" s="10"/>
      <c r="R78" s="11"/>
      <c r="S78" s="11"/>
      <c r="T78" s="26"/>
      <c r="U78" s="28">
        <f t="shared" si="3"/>
        <v>-5.5588235294117605E-2</v>
      </c>
    </row>
    <row r="79" spans="1:21" x14ac:dyDescent="0.25">
      <c r="B79" s="9"/>
      <c r="C79" s="17">
        <v>805.56</v>
      </c>
      <c r="D79" s="18">
        <v>40.159999999999997</v>
      </c>
      <c r="E79" s="18">
        <v>43.554000000000002</v>
      </c>
      <c r="F79" s="18">
        <v>44.304000000000002</v>
      </c>
      <c r="G79" s="18">
        <v>27.41</v>
      </c>
      <c r="H79" s="18">
        <f t="shared" si="0"/>
        <v>41.102249999999998</v>
      </c>
      <c r="I79" s="5"/>
      <c r="J79" s="17">
        <v>600.82719999999995</v>
      </c>
      <c r="K79" s="18">
        <v>40.999400000000001</v>
      </c>
      <c r="L79" s="18">
        <v>45.976700000000001</v>
      </c>
      <c r="M79" s="18">
        <v>46.7864</v>
      </c>
      <c r="N79" s="18">
        <v>29.953600000000002</v>
      </c>
      <c r="O79" s="18">
        <f t="shared" si="1"/>
        <v>42.3449375</v>
      </c>
      <c r="P79" s="7"/>
      <c r="Q79" s="10"/>
      <c r="R79" s="11"/>
      <c r="S79" s="11"/>
      <c r="T79" s="26"/>
      <c r="U79" s="28">
        <f t="shared" si="3"/>
        <v>9.2798248814301404E-2</v>
      </c>
    </row>
    <row r="80" spans="1:21" ht="16.5" thickBot="1" x14ac:dyDescent="0.3">
      <c r="B80" s="12"/>
      <c r="C80" s="19">
        <v>365.63</v>
      </c>
      <c r="D80" s="20">
        <v>36.497999999999998</v>
      </c>
      <c r="E80" s="20">
        <v>41.082000000000001</v>
      </c>
      <c r="F80" s="20">
        <v>41.728999999999999</v>
      </c>
      <c r="G80" s="20">
        <v>34.65</v>
      </c>
      <c r="H80" s="20">
        <f t="shared" si="0"/>
        <v>37.724874999999997</v>
      </c>
      <c r="I80" s="5"/>
      <c r="J80" s="19">
        <v>297.13119999999998</v>
      </c>
      <c r="K80" s="20">
        <v>38.752000000000002</v>
      </c>
      <c r="L80" s="20">
        <v>44.160299999999999</v>
      </c>
      <c r="M80" s="20">
        <v>45.030500000000004</v>
      </c>
      <c r="N80" s="20">
        <v>39.898899999999998</v>
      </c>
      <c r="O80" s="20">
        <f t="shared" si="1"/>
        <v>40.212850000000003</v>
      </c>
      <c r="P80" s="7"/>
      <c r="Q80" s="13"/>
      <c r="R80" s="14"/>
      <c r="S80" s="14"/>
      <c r="T80" s="27"/>
      <c r="U80" s="28">
        <f t="shared" si="3"/>
        <v>0.15148340548340547</v>
      </c>
    </row>
    <row r="81" spans="1:21" x14ac:dyDescent="0.25">
      <c r="A81" s="6" t="s">
        <v>102</v>
      </c>
      <c r="B81" s="6" t="s">
        <v>103</v>
      </c>
      <c r="C81" s="15">
        <v>1616.6</v>
      </c>
      <c r="D81" s="16">
        <v>43.667000000000002</v>
      </c>
      <c r="E81" s="16">
        <v>47.59</v>
      </c>
      <c r="F81" s="16">
        <v>49.664000000000001</v>
      </c>
      <c r="G81" s="16">
        <v>14.99</v>
      </c>
      <c r="H81" s="16">
        <f t="shared" ref="H81:H91" si="4">(6*D81+E81+F81)/8</f>
        <v>44.906999999999996</v>
      </c>
      <c r="I81" s="5"/>
      <c r="J81" s="15">
        <v>1231.1093000000001</v>
      </c>
      <c r="K81" s="16">
        <v>45.253700000000002</v>
      </c>
      <c r="L81" s="16">
        <v>51.4191</v>
      </c>
      <c r="M81" s="16">
        <v>52.011600000000001</v>
      </c>
      <c r="N81" s="16">
        <v>12.487500000000001</v>
      </c>
      <c r="O81" s="16">
        <f t="shared" ref="O81:O91" si="5">(6*K81+L81+M81)/8</f>
        <v>46.8691125</v>
      </c>
      <c r="P81" s="7"/>
      <c r="Q81" s="8">
        <f>bdrate(C81:C84,D81:D84,J81:J84,K81:K84)</f>
        <v>-0.52362131399615541</v>
      </c>
      <c r="R81" s="8">
        <f>bdrate(C81:C84,E81:E84,J81:J84,L81:L84)</f>
        <v>-0.73544186160900382</v>
      </c>
      <c r="S81" s="8">
        <f>bdrate(C81:C84,F81:F84,J81:J84,M81:M84)</f>
        <v>-0.68524230169239586</v>
      </c>
      <c r="T81" s="25">
        <f>bdrate(C81:C84,H81:H84,J81:J84,O81:O84)</f>
        <v>-0.56986214826261938</v>
      </c>
      <c r="U81" s="28">
        <f t="shared" si="3"/>
        <v>-0.16694462975316873</v>
      </c>
    </row>
    <row r="82" spans="1:21" x14ac:dyDescent="0.25">
      <c r="A82" s="9" t="s">
        <v>78</v>
      </c>
      <c r="B82" s="9"/>
      <c r="C82" s="17">
        <v>1079.52</v>
      </c>
      <c r="D82" s="18">
        <v>41.301000000000002</v>
      </c>
      <c r="E82" s="18">
        <v>46.073999999999998</v>
      </c>
      <c r="F82" s="18">
        <v>48.02</v>
      </c>
      <c r="G82" s="18">
        <v>16.71</v>
      </c>
      <c r="H82" s="18">
        <f t="shared" si="4"/>
        <v>42.737499999999997</v>
      </c>
      <c r="I82" s="5"/>
      <c r="J82" s="17">
        <v>829.37639999999999</v>
      </c>
      <c r="K82" s="18">
        <v>43.456800000000001</v>
      </c>
      <c r="L82" s="18">
        <v>50.102200000000003</v>
      </c>
      <c r="M82" s="18">
        <v>50.781999999999996</v>
      </c>
      <c r="N82" s="18">
        <v>14.2803</v>
      </c>
      <c r="O82" s="18">
        <f t="shared" si="5"/>
        <v>45.203125</v>
      </c>
      <c r="P82" s="7"/>
      <c r="Q82" s="10"/>
      <c r="R82" s="11"/>
      <c r="S82" s="11"/>
      <c r="T82" s="26"/>
      <c r="U82" s="28">
        <f t="shared" si="3"/>
        <v>-0.1454039497307002</v>
      </c>
    </row>
    <row r="83" spans="1:21" x14ac:dyDescent="0.25">
      <c r="B83" s="9"/>
      <c r="C83" s="17">
        <v>657.8</v>
      </c>
      <c r="D83" s="18">
        <v>38.439</v>
      </c>
      <c r="E83" s="18">
        <v>43.75</v>
      </c>
      <c r="F83" s="18">
        <v>45.807000000000002</v>
      </c>
      <c r="G83" s="18">
        <v>18.98</v>
      </c>
      <c r="H83" s="18">
        <f t="shared" si="4"/>
        <v>40.023875000000004</v>
      </c>
      <c r="I83" s="5"/>
      <c r="J83" s="17">
        <v>504.50009999999997</v>
      </c>
      <c r="K83" s="18">
        <v>41.1661</v>
      </c>
      <c r="L83" s="18">
        <v>48.382100000000001</v>
      </c>
      <c r="M83" s="18">
        <v>49.408700000000003</v>
      </c>
      <c r="N83" s="18">
        <v>16.886299999999999</v>
      </c>
      <c r="O83" s="18">
        <f t="shared" si="5"/>
        <v>43.098424999999999</v>
      </c>
      <c r="P83" s="7"/>
      <c r="Q83" s="10"/>
      <c r="R83" s="11"/>
      <c r="S83" s="11"/>
      <c r="T83" s="26"/>
      <c r="U83" s="28">
        <f t="shared" si="3"/>
        <v>-0.11031085353003171</v>
      </c>
    </row>
    <row r="84" spans="1:21" ht="16.5" thickBot="1" x14ac:dyDescent="0.3">
      <c r="B84" s="12"/>
      <c r="C84" s="19">
        <v>310.77</v>
      </c>
      <c r="D84" s="20">
        <v>33.451000000000001</v>
      </c>
      <c r="E84" s="20">
        <v>40.622</v>
      </c>
      <c r="F84" s="20">
        <v>43.107999999999997</v>
      </c>
      <c r="G84" s="20">
        <v>23.41</v>
      </c>
      <c r="H84" s="20">
        <f t="shared" si="4"/>
        <v>35.554500000000004</v>
      </c>
      <c r="I84" s="5"/>
      <c r="J84" s="19">
        <v>256.33769999999998</v>
      </c>
      <c r="K84" s="20">
        <v>37.751899999999999</v>
      </c>
      <c r="L84" s="20">
        <v>45.474699999999999</v>
      </c>
      <c r="M84" s="20">
        <v>46.966999999999999</v>
      </c>
      <c r="N84" s="20">
        <v>22.117100000000001</v>
      </c>
      <c r="O84" s="20">
        <f t="shared" si="5"/>
        <v>39.869137499999994</v>
      </c>
      <c r="P84" s="7"/>
      <c r="Q84" s="13"/>
      <c r="R84" s="14"/>
      <c r="S84" s="14"/>
      <c r="T84" s="27"/>
      <c r="U84" s="28">
        <f t="shared" si="3"/>
        <v>-5.5228534814181954E-2</v>
      </c>
    </row>
    <row r="85" spans="1:21" x14ac:dyDescent="0.25">
      <c r="B85" s="6" t="s">
        <v>104</v>
      </c>
      <c r="C85" s="15">
        <v>1989.03</v>
      </c>
      <c r="D85" s="16">
        <v>55.28</v>
      </c>
      <c r="E85" s="16">
        <v>55.456000000000003</v>
      </c>
      <c r="F85" s="16">
        <v>55.783999999999999</v>
      </c>
      <c r="G85" s="16">
        <v>47.42</v>
      </c>
      <c r="H85" s="16">
        <f t="shared" si="4"/>
        <v>55.365000000000002</v>
      </c>
      <c r="I85" s="5"/>
      <c r="J85" s="15">
        <v>1420.54</v>
      </c>
      <c r="K85" s="16">
        <v>53.315199999999997</v>
      </c>
      <c r="L85" s="16">
        <v>54.150100000000002</v>
      </c>
      <c r="M85" s="16">
        <v>54.751399999999997</v>
      </c>
      <c r="N85" s="16">
        <v>22.619900000000001</v>
      </c>
      <c r="O85" s="16">
        <f t="shared" si="5"/>
        <v>53.599087499999996</v>
      </c>
      <c r="P85" s="7"/>
      <c r="Q85" s="8">
        <f>bdrate(C85:C88,D85:D88,J85:J88,K85:K88)</f>
        <v>-0.12470078628514236</v>
      </c>
      <c r="R85" s="8">
        <f>bdrate(C85:C88,E85:E88,J85:J88,L85:L88)</f>
        <v>-0.28067664602398357</v>
      </c>
      <c r="S85" s="8">
        <f>bdrate(C85:C88,F85:F88,J85:J88,M85:M88)</f>
        <v>-0.28511310932632683</v>
      </c>
      <c r="T85" s="25">
        <f>bdrate(C85:C88,H85:H88,J85:J88,O85:O88)</f>
        <v>-0.16497980954109659</v>
      </c>
      <c r="U85" s="28">
        <f t="shared" si="3"/>
        <v>-0.52298819063686208</v>
      </c>
    </row>
    <row r="86" spans="1:21" x14ac:dyDescent="0.25">
      <c r="B86" s="9"/>
      <c r="C86" s="17">
        <v>1327.85</v>
      </c>
      <c r="D86" s="18">
        <v>52.584000000000003</v>
      </c>
      <c r="E86" s="18">
        <v>52.914000000000001</v>
      </c>
      <c r="F86" s="18">
        <v>53.337000000000003</v>
      </c>
      <c r="G86" s="18">
        <v>50.54</v>
      </c>
      <c r="H86" s="18">
        <f t="shared" si="4"/>
        <v>52.719374999999999</v>
      </c>
      <c r="I86" s="5"/>
      <c r="J86" s="17">
        <v>975.63670000000002</v>
      </c>
      <c r="K86" s="18">
        <v>51.463799999999999</v>
      </c>
      <c r="L86" s="18">
        <v>52.640099999999997</v>
      </c>
      <c r="M86" s="18">
        <v>53.167000000000002</v>
      </c>
      <c r="N86" s="18">
        <v>29.8537</v>
      </c>
      <c r="O86" s="18">
        <f t="shared" si="5"/>
        <v>51.823737500000007</v>
      </c>
      <c r="P86" s="7"/>
      <c r="Q86" s="10"/>
      <c r="R86" s="11"/>
      <c r="S86" s="11"/>
      <c r="T86" s="26"/>
      <c r="U86" s="28">
        <f t="shared" si="3"/>
        <v>-0.40930550059358922</v>
      </c>
    </row>
    <row r="87" spans="1:21" x14ac:dyDescent="0.25">
      <c r="B87" s="9"/>
      <c r="C87" s="17">
        <v>809.55</v>
      </c>
      <c r="D87" s="18">
        <v>49.506999999999998</v>
      </c>
      <c r="E87" s="18">
        <v>49.93</v>
      </c>
      <c r="F87" s="18">
        <v>50.466999999999999</v>
      </c>
      <c r="G87" s="18">
        <v>54.02</v>
      </c>
      <c r="H87" s="18">
        <f t="shared" si="4"/>
        <v>49.679874999999996</v>
      </c>
      <c r="I87" s="5"/>
      <c r="J87" s="17">
        <v>606.89970000000005</v>
      </c>
      <c r="K87" s="18">
        <v>48.678699999999999</v>
      </c>
      <c r="L87" s="18">
        <v>50.359499999999997</v>
      </c>
      <c r="M87" s="18">
        <v>50.886800000000001</v>
      </c>
      <c r="N87" s="18">
        <v>39.447699999999998</v>
      </c>
      <c r="O87" s="18">
        <f t="shared" si="5"/>
        <v>49.164812499999996</v>
      </c>
      <c r="P87" s="7"/>
      <c r="Q87" s="10"/>
      <c r="R87" s="11"/>
      <c r="S87" s="11"/>
      <c r="T87" s="26"/>
      <c r="U87" s="28">
        <f t="shared" si="3"/>
        <v>-0.26975749722325071</v>
      </c>
    </row>
    <row r="88" spans="1:21" ht="16.5" thickBot="1" x14ac:dyDescent="0.3">
      <c r="B88" s="12"/>
      <c r="C88" s="19">
        <v>383.15</v>
      </c>
      <c r="D88" s="20">
        <v>44.932000000000002</v>
      </c>
      <c r="E88" s="20">
        <v>45.573</v>
      </c>
      <c r="F88" s="20">
        <v>46.009</v>
      </c>
      <c r="G88" s="20">
        <v>59.94</v>
      </c>
      <c r="H88" s="20">
        <f t="shared" si="4"/>
        <v>45.146749999999997</v>
      </c>
      <c r="I88" s="5"/>
      <c r="J88" s="19">
        <v>312.48239999999998</v>
      </c>
      <c r="K88" s="20">
        <v>44.327399999999997</v>
      </c>
      <c r="L88" s="20">
        <v>46.6389</v>
      </c>
      <c r="M88" s="20">
        <v>47.181600000000003</v>
      </c>
      <c r="N88" s="20">
        <v>50.942399999999999</v>
      </c>
      <c r="O88" s="20">
        <f t="shared" si="5"/>
        <v>44.973112499999992</v>
      </c>
      <c r="P88" s="7"/>
      <c r="Q88" s="13"/>
      <c r="R88" s="14"/>
      <c r="S88" s="14"/>
      <c r="T88" s="27"/>
      <c r="U88" s="28">
        <f t="shared" si="3"/>
        <v>-0.15011011011011008</v>
      </c>
    </row>
    <row r="89" spans="1:21" x14ac:dyDescent="0.25">
      <c r="B89" s="6" t="s">
        <v>105</v>
      </c>
      <c r="C89" s="15">
        <v>2167.04</v>
      </c>
      <c r="D89" s="16">
        <v>44.707000000000001</v>
      </c>
      <c r="E89" s="16">
        <v>46.164000000000001</v>
      </c>
      <c r="F89" s="16">
        <v>46.643999999999998</v>
      </c>
      <c r="G89" s="16">
        <v>18.25</v>
      </c>
      <c r="H89" s="16">
        <f t="shared" si="4"/>
        <v>45.131250000000001</v>
      </c>
      <c r="I89" s="5"/>
      <c r="J89" s="15">
        <v>1481.7474999999999</v>
      </c>
      <c r="K89" s="16">
        <v>44.142899999999997</v>
      </c>
      <c r="L89" s="16">
        <v>46.592700000000001</v>
      </c>
      <c r="M89" s="16">
        <v>47.010199999999998</v>
      </c>
      <c r="N89" s="16">
        <v>14.1212</v>
      </c>
      <c r="O89" s="16">
        <f t="shared" si="5"/>
        <v>44.807537499999995</v>
      </c>
      <c r="P89" s="7"/>
      <c r="Q89" s="8">
        <f>bdrate(C89:C92,D89:D92,J89:J92,K89:K92)</f>
        <v>-0.32648194077000081</v>
      </c>
      <c r="R89" s="8">
        <f>bdrate(C89:C92,E89:E92,J89:J92,L89:L92)</f>
        <v>-0.46615346589905726</v>
      </c>
      <c r="S89" s="8">
        <f>bdrate(C89:C92,F89:F92,J89:J92,M89:M92)</f>
        <v>-0.44909039971367715</v>
      </c>
      <c r="T89" s="25">
        <f>bdrate(C89:C92,H89:H92,J89:J92,O89:O92)</f>
        <v>-0.35228503349536688</v>
      </c>
      <c r="U89" s="28">
        <f t="shared" si="3"/>
        <v>-0.22623561643835616</v>
      </c>
    </row>
    <row r="90" spans="1:21" x14ac:dyDescent="0.25">
      <c r="B90" s="9"/>
      <c r="C90" s="17">
        <v>1445.91</v>
      </c>
      <c r="D90" s="18">
        <v>42.463000000000001</v>
      </c>
      <c r="E90" s="18">
        <v>44.387</v>
      </c>
      <c r="F90" s="18">
        <v>44.884999999999998</v>
      </c>
      <c r="G90" s="18">
        <v>20.190000000000001</v>
      </c>
      <c r="H90" s="18">
        <f t="shared" si="4"/>
        <v>43.006250000000001</v>
      </c>
      <c r="I90" s="5"/>
      <c r="J90" s="17">
        <v>992.36869999999999</v>
      </c>
      <c r="K90" s="18">
        <v>42.279000000000003</v>
      </c>
      <c r="L90" s="18">
        <v>45.220999999999997</v>
      </c>
      <c r="M90" s="18">
        <v>45.605699999999999</v>
      </c>
      <c r="N90" s="18">
        <v>17.244700000000002</v>
      </c>
      <c r="O90" s="18">
        <f t="shared" si="5"/>
        <v>43.062587500000006</v>
      </c>
      <c r="P90" s="7"/>
      <c r="Q90" s="10"/>
      <c r="R90" s="11"/>
      <c r="S90" s="11"/>
      <c r="T90" s="26"/>
      <c r="U90" s="28">
        <f t="shared" si="3"/>
        <v>-0.14587914809311536</v>
      </c>
    </row>
    <row r="91" spans="1:21" x14ac:dyDescent="0.25">
      <c r="B91" s="9"/>
      <c r="C91" s="17">
        <v>881.88</v>
      </c>
      <c r="D91" s="18">
        <v>39.579000000000001</v>
      </c>
      <c r="E91" s="18">
        <v>42.368000000000002</v>
      </c>
      <c r="F91" s="18">
        <v>42.887999999999998</v>
      </c>
      <c r="G91" s="18">
        <v>23.34</v>
      </c>
      <c r="H91" s="18">
        <f t="shared" si="4"/>
        <v>40.341249999999995</v>
      </c>
      <c r="I91" s="5"/>
      <c r="J91" s="17">
        <v>598.9692</v>
      </c>
      <c r="K91" s="18">
        <v>39.693399999999997</v>
      </c>
      <c r="L91" s="18">
        <v>43.382399999999997</v>
      </c>
      <c r="M91" s="18">
        <v>43.760199999999998</v>
      </c>
      <c r="N91" s="18">
        <v>21.550999999999998</v>
      </c>
      <c r="O91" s="18">
        <f t="shared" si="5"/>
        <v>40.662875</v>
      </c>
      <c r="P91" s="7"/>
      <c r="Q91" s="10"/>
      <c r="R91" s="11"/>
      <c r="S91" s="11"/>
      <c r="T91" s="26"/>
      <c r="U91" s="28">
        <f t="shared" si="3"/>
        <v>-7.6649528706084033E-2</v>
      </c>
    </row>
    <row r="92" spans="1:21" ht="16.5" thickBot="1" x14ac:dyDescent="0.3">
      <c r="B92" s="12"/>
      <c r="C92" s="19">
        <v>420.12</v>
      </c>
      <c r="D92" s="20">
        <v>34.965000000000003</v>
      </c>
      <c r="E92" s="20">
        <v>39.478000000000002</v>
      </c>
      <c r="F92" s="20">
        <v>40.055999999999997</v>
      </c>
      <c r="G92" s="20">
        <v>28.72</v>
      </c>
      <c r="H92" s="20">
        <f t="shared" ref="H92:H124" si="6">(6*D92+E92+F92)/8</f>
        <v>36.165500000000002</v>
      </c>
      <c r="I92" s="5"/>
      <c r="J92" s="19">
        <v>303.0231</v>
      </c>
      <c r="K92" s="20">
        <v>36.060899999999997</v>
      </c>
      <c r="L92" s="20">
        <v>40.968499999999999</v>
      </c>
      <c r="M92" s="20">
        <v>41.396999999999998</v>
      </c>
      <c r="N92" s="20">
        <v>27.232700000000001</v>
      </c>
      <c r="O92" s="20">
        <f t="shared" ref="O92:O124" si="7">(6*K92+L92+M92)/8</f>
        <v>37.341362499999995</v>
      </c>
      <c r="P92" s="7"/>
      <c r="Q92" s="13"/>
      <c r="R92" s="14"/>
      <c r="S92" s="14"/>
      <c r="T92" s="27"/>
      <c r="U92" s="28">
        <f t="shared" ref="U92:U124" si="8">(N92-G92)/G92</f>
        <v>-5.1786211699164267E-2</v>
      </c>
    </row>
    <row r="93" spans="1:21" x14ac:dyDescent="0.25">
      <c r="B93" s="6" t="s">
        <v>106</v>
      </c>
      <c r="C93" s="29">
        <v>2055.91</v>
      </c>
      <c r="D93" s="30">
        <v>40.713000000000001</v>
      </c>
      <c r="E93" s="30">
        <v>44.478999999999999</v>
      </c>
      <c r="F93" s="30">
        <v>44.473999999999997</v>
      </c>
      <c r="G93" s="16">
        <v>14.97</v>
      </c>
      <c r="H93" s="16">
        <f t="shared" si="6"/>
        <v>41.653874999999999</v>
      </c>
      <c r="I93" s="5"/>
      <c r="J93" s="29">
        <v>1499.4864</v>
      </c>
      <c r="K93" s="30">
        <v>40.0182</v>
      </c>
      <c r="L93" s="30">
        <v>44.713999999999999</v>
      </c>
      <c r="M93" s="30">
        <v>44.706699999999998</v>
      </c>
      <c r="N93" s="16">
        <v>12.8376</v>
      </c>
      <c r="O93" s="16">
        <f t="shared" si="7"/>
        <v>41.1912375</v>
      </c>
      <c r="P93" s="7"/>
      <c r="Q93" s="8">
        <f>bdrate(C93:C96,D93:D96,J93:J96,K93:K96)</f>
        <v>-0.26771883908818828</v>
      </c>
      <c r="R93" s="8">
        <f>bdrate(C93:C96,E93:E96,J93:J96,L93:L96)</f>
        <v>-0.41834350358545003</v>
      </c>
      <c r="S93" s="8">
        <f>bdrate(C93:C96,F93:F96,J93:J96,M93:M96)</f>
        <v>-0.41413594657934982</v>
      </c>
      <c r="T93" s="25">
        <f>bdrate(C93:C96,H93:H96,J93:J96,O93:O96)</f>
        <v>-0.29563625347627442</v>
      </c>
      <c r="U93" s="28">
        <f t="shared" si="8"/>
        <v>-0.14244488977955916</v>
      </c>
    </row>
    <row r="94" spans="1:21" x14ac:dyDescent="0.25">
      <c r="B94" s="9"/>
      <c r="C94" s="31">
        <v>1376.14</v>
      </c>
      <c r="D94" s="32">
        <v>38.582999999999998</v>
      </c>
      <c r="E94" s="32">
        <v>42.929000000000002</v>
      </c>
      <c r="F94" s="32">
        <v>42.926000000000002</v>
      </c>
      <c r="G94" s="18">
        <v>16.45</v>
      </c>
      <c r="H94" s="18">
        <f t="shared" si="6"/>
        <v>39.669125000000001</v>
      </c>
      <c r="I94" s="5"/>
      <c r="J94" s="31">
        <v>1000.5469000000001</v>
      </c>
      <c r="K94" s="32">
        <v>38.17</v>
      </c>
      <c r="L94" s="32">
        <v>43.481499999999997</v>
      </c>
      <c r="M94" s="32">
        <v>43.437899999999999</v>
      </c>
      <c r="N94" s="18">
        <v>15.737</v>
      </c>
      <c r="O94" s="18">
        <f t="shared" si="7"/>
        <v>39.492425000000004</v>
      </c>
      <c r="P94" s="7"/>
      <c r="Q94" s="10"/>
      <c r="R94" s="11"/>
      <c r="S94" s="11"/>
      <c r="T94" s="26"/>
      <c r="U94" s="28">
        <f t="shared" si="8"/>
        <v>-4.3343465045592659E-2</v>
      </c>
    </row>
    <row r="95" spans="1:21" x14ac:dyDescent="0.25">
      <c r="B95" s="9"/>
      <c r="C95" s="31">
        <v>841.9</v>
      </c>
      <c r="D95" s="32">
        <v>35.981999999999999</v>
      </c>
      <c r="E95" s="32">
        <v>41.234999999999999</v>
      </c>
      <c r="F95" s="32">
        <v>41.19</v>
      </c>
      <c r="G95" s="18">
        <v>19.14</v>
      </c>
      <c r="H95" s="18">
        <f t="shared" si="6"/>
        <v>37.289625000000001</v>
      </c>
      <c r="I95" s="5"/>
      <c r="J95" s="31">
        <v>600.48040000000003</v>
      </c>
      <c r="K95" s="32">
        <v>35.8889</v>
      </c>
      <c r="L95" s="32">
        <v>41.982999999999997</v>
      </c>
      <c r="M95" s="32">
        <v>41.936</v>
      </c>
      <c r="N95" s="18">
        <v>18.990100000000002</v>
      </c>
      <c r="O95" s="18">
        <f t="shared" si="7"/>
        <v>37.406549999999996</v>
      </c>
      <c r="P95" s="7"/>
      <c r="Q95" s="10"/>
      <c r="R95" s="11"/>
      <c r="S95" s="11"/>
      <c r="T95" s="26"/>
      <c r="U95" s="28">
        <f t="shared" si="8"/>
        <v>-7.8317659352141484E-3</v>
      </c>
    </row>
    <row r="96" spans="1:21" ht="16.5" thickBot="1" x14ac:dyDescent="0.3">
      <c r="B96" s="12"/>
      <c r="C96" s="33">
        <v>403.1</v>
      </c>
      <c r="D96" s="34">
        <v>31.728999999999999</v>
      </c>
      <c r="E96" s="34">
        <v>38.923000000000002</v>
      </c>
      <c r="F96" s="34">
        <v>38.771000000000001</v>
      </c>
      <c r="G96" s="20">
        <v>23.31</v>
      </c>
      <c r="H96" s="20">
        <f t="shared" si="6"/>
        <v>33.508499999999998</v>
      </c>
      <c r="I96" s="5"/>
      <c r="J96" s="33">
        <v>301.80450000000002</v>
      </c>
      <c r="K96" s="34">
        <v>32.931199999999997</v>
      </c>
      <c r="L96" s="34">
        <v>40.172499999999999</v>
      </c>
      <c r="M96" s="34">
        <v>40.088099999999997</v>
      </c>
      <c r="N96" s="20">
        <v>24.4771</v>
      </c>
      <c r="O96" s="20">
        <f t="shared" si="7"/>
        <v>34.730975000000001</v>
      </c>
      <c r="P96" s="7"/>
      <c r="Q96" s="13"/>
      <c r="R96" s="14"/>
      <c r="S96" s="14"/>
      <c r="T96" s="27"/>
      <c r="U96" s="28">
        <f t="shared" si="8"/>
        <v>5.0068640068640133E-2</v>
      </c>
    </row>
    <row r="97" spans="2:21" x14ac:dyDescent="0.25">
      <c r="B97" s="6" t="s">
        <v>107</v>
      </c>
      <c r="C97" s="15">
        <v>2119.3200000000002</v>
      </c>
      <c r="D97" s="16">
        <v>39.137999999999998</v>
      </c>
      <c r="E97" s="16">
        <v>42.082999999999998</v>
      </c>
      <c r="F97" s="16">
        <v>42.621000000000002</v>
      </c>
      <c r="G97" s="16">
        <v>18.73</v>
      </c>
      <c r="H97" s="16">
        <f t="shared" si="6"/>
        <v>39.941499999999991</v>
      </c>
      <c r="I97" s="5"/>
      <c r="J97" s="15">
        <v>1509.9623999999999</v>
      </c>
      <c r="K97" s="16">
        <v>38.204999999999998</v>
      </c>
      <c r="L97" s="16">
        <v>43.0672</v>
      </c>
      <c r="M97" s="16">
        <v>43.542700000000004</v>
      </c>
      <c r="N97" s="16">
        <v>13.9168</v>
      </c>
      <c r="O97" s="16">
        <f t="shared" si="7"/>
        <v>39.4799875</v>
      </c>
      <c r="P97" s="7"/>
      <c r="Q97" s="8">
        <f>bdrate(C97:C100,D97:D100,J97:J100,K97:K100)</f>
        <v>-0.23589969325081406</v>
      </c>
      <c r="R97" s="8">
        <f>bdrate(C97:C100,E97:E100,J97:J100,L97:L100)</f>
        <v>-0.5273251694905281</v>
      </c>
      <c r="S97" s="8">
        <f>bdrate(C97:C100,F97:F100,J97:J100,M97:M100)</f>
        <v>-0.52049413182075432</v>
      </c>
      <c r="T97" s="25">
        <f>bdrate(C97:C100,H97:H100,J97:J100,O97:O100)</f>
        <v>-0.29532277760974612</v>
      </c>
      <c r="U97" s="28">
        <f t="shared" si="8"/>
        <v>-0.25697810998398291</v>
      </c>
    </row>
    <row r="98" spans="2:21" x14ac:dyDescent="0.25">
      <c r="B98" s="9"/>
      <c r="C98" s="17">
        <v>1415.06</v>
      </c>
      <c r="D98" s="18">
        <v>37.014000000000003</v>
      </c>
      <c r="E98" s="18">
        <v>40.470999999999997</v>
      </c>
      <c r="F98" s="18">
        <v>41.098999999999997</v>
      </c>
      <c r="G98" s="18">
        <v>20.65</v>
      </c>
      <c r="H98" s="18">
        <f t="shared" si="6"/>
        <v>37.95675</v>
      </c>
      <c r="I98" s="5"/>
      <c r="J98" s="17">
        <v>1007.6187</v>
      </c>
      <c r="K98" s="18">
        <v>36.338200000000001</v>
      </c>
      <c r="L98" s="18">
        <v>41.774799999999999</v>
      </c>
      <c r="M98" s="18">
        <v>42.326999999999998</v>
      </c>
      <c r="N98" s="18">
        <v>16.180800000000001</v>
      </c>
      <c r="O98" s="18">
        <f t="shared" si="7"/>
        <v>37.766374999999996</v>
      </c>
      <c r="P98" s="7"/>
      <c r="Q98" s="10"/>
      <c r="R98" s="11"/>
      <c r="S98" s="11"/>
      <c r="T98" s="26"/>
      <c r="U98" s="28">
        <f t="shared" si="8"/>
        <v>-0.21642615012106525</v>
      </c>
    </row>
    <row r="99" spans="2:21" x14ac:dyDescent="0.25">
      <c r="B99" s="9"/>
      <c r="C99" s="17">
        <v>859.21</v>
      </c>
      <c r="D99" s="18">
        <v>34.445</v>
      </c>
      <c r="E99" s="18">
        <v>38.731000000000002</v>
      </c>
      <c r="F99" s="18">
        <v>39.479999999999997</v>
      </c>
      <c r="G99" s="18">
        <v>22.99</v>
      </c>
      <c r="H99" s="18">
        <f t="shared" si="6"/>
        <v>35.610125000000004</v>
      </c>
      <c r="I99" s="5"/>
      <c r="J99" s="17">
        <v>605.06079999999997</v>
      </c>
      <c r="K99" s="18">
        <v>34.069899999999997</v>
      </c>
      <c r="L99" s="18">
        <v>40.1297</v>
      </c>
      <c r="M99" s="18">
        <v>40.734000000000002</v>
      </c>
      <c r="N99" s="18">
        <v>19.320799999999998</v>
      </c>
      <c r="O99" s="18">
        <f t="shared" si="7"/>
        <v>35.660387499999999</v>
      </c>
      <c r="P99" s="7"/>
      <c r="Q99" s="10"/>
      <c r="R99" s="11"/>
      <c r="S99" s="11"/>
      <c r="T99" s="26"/>
      <c r="U99" s="28">
        <f t="shared" si="8"/>
        <v>-0.15959982601130929</v>
      </c>
    </row>
    <row r="100" spans="2:21" ht="16.5" thickBot="1" x14ac:dyDescent="0.3">
      <c r="B100" s="12"/>
      <c r="C100" s="19">
        <v>404.4</v>
      </c>
      <c r="D100" s="20">
        <v>30.300999999999998</v>
      </c>
      <c r="E100" s="20">
        <v>36.323999999999998</v>
      </c>
      <c r="F100" s="20">
        <v>37.220999999999997</v>
      </c>
      <c r="G100" s="20">
        <v>27.37</v>
      </c>
      <c r="H100" s="20">
        <f t="shared" si="6"/>
        <v>31.918875</v>
      </c>
      <c r="I100" s="5"/>
      <c r="J100" s="19">
        <v>303.52440000000001</v>
      </c>
      <c r="K100" s="20">
        <v>30.9529</v>
      </c>
      <c r="L100" s="20">
        <v>37.965600000000002</v>
      </c>
      <c r="M100" s="20">
        <v>38.68</v>
      </c>
      <c r="N100" s="20">
        <v>24.786899999999999</v>
      </c>
      <c r="O100" s="20">
        <f t="shared" si="7"/>
        <v>32.795375</v>
      </c>
      <c r="P100" s="7"/>
      <c r="Q100" s="13"/>
      <c r="R100" s="14"/>
      <c r="S100" s="14"/>
      <c r="T100" s="27"/>
      <c r="U100" s="28">
        <f t="shared" si="8"/>
        <v>-9.43770551698941E-2</v>
      </c>
    </row>
    <row r="101" spans="2:21" x14ac:dyDescent="0.25">
      <c r="B101" s="6" t="s">
        <v>108</v>
      </c>
      <c r="C101" s="15">
        <v>2109.5</v>
      </c>
      <c r="D101" s="16">
        <v>38.912999999999997</v>
      </c>
      <c r="E101" s="16">
        <v>43.835999999999999</v>
      </c>
      <c r="F101" s="16">
        <v>45.503</v>
      </c>
      <c r="G101" s="16">
        <v>13.01</v>
      </c>
      <c r="H101" s="16">
        <f t="shared" si="6"/>
        <v>40.352124999999994</v>
      </c>
      <c r="I101" s="5"/>
      <c r="J101" s="15">
        <v>1510.2895000000001</v>
      </c>
      <c r="K101" s="16">
        <v>38.092700000000001</v>
      </c>
      <c r="L101" s="16">
        <v>44.1601</v>
      </c>
      <c r="M101" s="16">
        <v>45.662199999999999</v>
      </c>
      <c r="N101" s="16">
        <v>13.239800000000001</v>
      </c>
      <c r="O101" s="16">
        <f t="shared" si="7"/>
        <v>39.797312499999997</v>
      </c>
      <c r="P101" s="7"/>
      <c r="Q101" s="8">
        <f>bdrate(C101:C104,D101:D104,J101:J104,K101:K104)</f>
        <v>-0.25586528428392352</v>
      </c>
      <c r="R101" s="8">
        <f>bdrate(C101:C104,E101:E104,J101:J104,L101:L104)</f>
        <v>-0.50467814949535461</v>
      </c>
      <c r="S101" s="8">
        <f>bdrate(C101:C104,F101:F104,J101:J104,M101:M104)</f>
        <v>-0.44698400498227853</v>
      </c>
      <c r="T101" s="25">
        <f>bdrate(C101:C104,H101:H104,J101:J104,O101:O104)</f>
        <v>-0.30364944233888125</v>
      </c>
      <c r="U101" s="28">
        <f t="shared" si="8"/>
        <v>1.7663335895465097E-2</v>
      </c>
    </row>
    <row r="102" spans="2:21" x14ac:dyDescent="0.25">
      <c r="B102" s="9"/>
      <c r="C102" s="17">
        <v>1408.34</v>
      </c>
      <c r="D102" s="18">
        <v>37.189</v>
      </c>
      <c r="E102" s="18">
        <v>42.551000000000002</v>
      </c>
      <c r="F102" s="18">
        <v>44.252000000000002</v>
      </c>
      <c r="G102" s="18">
        <v>14.95</v>
      </c>
      <c r="H102" s="18">
        <f t="shared" si="6"/>
        <v>38.742125000000001</v>
      </c>
      <c r="I102" s="5"/>
      <c r="J102" s="17">
        <v>1008.2012999999999</v>
      </c>
      <c r="K102" s="18">
        <v>36.644100000000002</v>
      </c>
      <c r="L102" s="18">
        <v>43.216299999999997</v>
      </c>
      <c r="M102" s="18">
        <v>44.665399999999998</v>
      </c>
      <c r="N102" s="18">
        <v>15.582000000000001</v>
      </c>
      <c r="O102" s="18">
        <f t="shared" si="7"/>
        <v>38.468287499999995</v>
      </c>
      <c r="P102" s="7"/>
      <c r="Q102" s="10"/>
      <c r="R102" s="11"/>
      <c r="S102" s="11"/>
      <c r="T102" s="26"/>
      <c r="U102" s="28">
        <f t="shared" si="8"/>
        <v>4.2274247491638897E-2</v>
      </c>
    </row>
    <row r="103" spans="2:21" x14ac:dyDescent="0.25">
      <c r="B103" s="9"/>
      <c r="C103" s="17">
        <v>857.22</v>
      </c>
      <c r="D103" s="18">
        <v>35.094000000000001</v>
      </c>
      <c r="E103" s="18">
        <v>41.088000000000001</v>
      </c>
      <c r="F103" s="18">
        <v>42.686</v>
      </c>
      <c r="G103" s="18">
        <v>17.39</v>
      </c>
      <c r="H103" s="18">
        <f t="shared" si="6"/>
        <v>36.792250000000003</v>
      </c>
      <c r="I103" s="5"/>
      <c r="J103" s="17">
        <v>604.59730000000002</v>
      </c>
      <c r="K103" s="18">
        <v>34.9985</v>
      </c>
      <c r="L103" s="18">
        <v>42.191400000000002</v>
      </c>
      <c r="M103" s="18">
        <v>43.527999999999999</v>
      </c>
      <c r="N103" s="18">
        <v>19.005800000000001</v>
      </c>
      <c r="O103" s="18">
        <f t="shared" si="7"/>
        <v>36.963799999999999</v>
      </c>
      <c r="P103" s="7"/>
      <c r="Q103" s="10"/>
      <c r="R103" s="11"/>
      <c r="S103" s="11"/>
      <c r="T103" s="26"/>
      <c r="U103" s="28">
        <f t="shared" si="8"/>
        <v>9.2915468660149519E-2</v>
      </c>
    </row>
    <row r="104" spans="2:21" ht="16.5" thickBot="1" x14ac:dyDescent="0.3">
      <c r="B104" s="12"/>
      <c r="C104" s="19">
        <v>404.92</v>
      </c>
      <c r="D104" s="20">
        <v>32.170999999999999</v>
      </c>
      <c r="E104" s="20">
        <v>39.128999999999998</v>
      </c>
      <c r="F104" s="20">
        <v>40.213000000000001</v>
      </c>
      <c r="G104" s="20">
        <v>22.27</v>
      </c>
      <c r="H104" s="20">
        <f t="shared" si="6"/>
        <v>34.045999999999999</v>
      </c>
      <c r="I104" s="5"/>
      <c r="J104" s="19">
        <v>300.5188</v>
      </c>
      <c r="K104" s="20">
        <v>32.883299999999998</v>
      </c>
      <c r="L104" s="20">
        <v>40.826300000000003</v>
      </c>
      <c r="M104" s="20">
        <v>42.002200000000002</v>
      </c>
      <c r="N104" s="20">
        <v>24.597200000000001</v>
      </c>
      <c r="O104" s="20">
        <f t="shared" si="7"/>
        <v>35.016037500000003</v>
      </c>
      <c r="P104" s="7"/>
      <c r="Q104" s="13"/>
      <c r="R104" s="14"/>
      <c r="S104" s="14"/>
      <c r="T104" s="27"/>
      <c r="U104" s="28">
        <f t="shared" si="8"/>
        <v>0.10449932644813656</v>
      </c>
    </row>
    <row r="105" spans="2:21" x14ac:dyDescent="0.25">
      <c r="B105" s="6" t="s">
        <v>109</v>
      </c>
      <c r="C105" s="15">
        <v>2220.44</v>
      </c>
      <c r="D105" s="16">
        <v>49.820999999999998</v>
      </c>
      <c r="E105" s="16">
        <v>53.89</v>
      </c>
      <c r="F105" s="16">
        <v>55.170999999999999</v>
      </c>
      <c r="G105" s="16">
        <v>17.11</v>
      </c>
      <c r="H105" s="16">
        <f t="shared" si="6"/>
        <v>50.998374999999996</v>
      </c>
      <c r="I105" s="5"/>
      <c r="J105" s="15">
        <v>1496.7476999999999</v>
      </c>
      <c r="K105" s="16">
        <v>49.448799999999999</v>
      </c>
      <c r="L105" s="16">
        <v>54.354399999999998</v>
      </c>
      <c r="M105" s="16">
        <v>55.7181</v>
      </c>
      <c r="N105" s="16">
        <v>16.457899999999999</v>
      </c>
      <c r="O105" s="16">
        <f t="shared" si="7"/>
        <v>50.845662499999996</v>
      </c>
      <c r="P105" s="7"/>
      <c r="Q105" s="8">
        <f>bdrate(C105:C108,D105:D108,J105:J108,K105:K108)</f>
        <v>-0.42276312406677197</v>
      </c>
      <c r="R105" s="8">
        <f>bdrate(C105:C108,E105:E108,J105:J108,L105:L108)</f>
        <v>-0.54905830522948929</v>
      </c>
      <c r="S105" s="8">
        <f>bdrate(C105:C108,F105:F108,J105:J108,M105:M108)</f>
        <v>-0.55651401681667501</v>
      </c>
      <c r="T105" s="25">
        <f>bdrate(C105:C108,H105:H108,J105:J108,O105:O108)</f>
        <v>-0.45376278791982261</v>
      </c>
      <c r="U105" s="28">
        <f t="shared" si="8"/>
        <v>-3.8112215078901272E-2</v>
      </c>
    </row>
    <row r="106" spans="2:21" x14ac:dyDescent="0.25">
      <c r="B106" s="9"/>
      <c r="C106" s="17">
        <v>1472.45</v>
      </c>
      <c r="D106" s="18">
        <v>47.597000000000001</v>
      </c>
      <c r="E106" s="18">
        <v>51.649000000000001</v>
      </c>
      <c r="F106" s="18">
        <v>53.097000000000001</v>
      </c>
      <c r="G106" s="18">
        <v>19.41</v>
      </c>
      <c r="H106" s="18">
        <f t="shared" si="6"/>
        <v>48.790999999999997</v>
      </c>
      <c r="I106" s="5"/>
      <c r="J106" s="17">
        <v>1003.4499</v>
      </c>
      <c r="K106" s="18">
        <v>47.867400000000004</v>
      </c>
      <c r="L106" s="18">
        <v>52.963700000000003</v>
      </c>
      <c r="M106" s="18">
        <v>54.437600000000003</v>
      </c>
      <c r="N106" s="18">
        <v>19.316700000000001</v>
      </c>
      <c r="O106" s="18">
        <f t="shared" si="7"/>
        <v>49.325712500000009</v>
      </c>
      <c r="P106" s="7"/>
      <c r="Q106" s="10"/>
      <c r="R106" s="11"/>
      <c r="S106" s="11"/>
      <c r="T106" s="26"/>
      <c r="U106" s="28">
        <f t="shared" si="8"/>
        <v>-4.8068006182379842E-3</v>
      </c>
    </row>
    <row r="107" spans="2:21" x14ac:dyDescent="0.25">
      <c r="B107" s="9"/>
      <c r="C107" s="17">
        <v>885.09</v>
      </c>
      <c r="D107" s="18">
        <v>44.737000000000002</v>
      </c>
      <c r="E107" s="18">
        <v>49.061</v>
      </c>
      <c r="F107" s="18">
        <v>50.625999999999998</v>
      </c>
      <c r="G107" s="18">
        <v>23.58</v>
      </c>
      <c r="H107" s="18">
        <f t="shared" si="6"/>
        <v>46.013624999999998</v>
      </c>
      <c r="I107" s="5"/>
      <c r="J107" s="17">
        <v>601.31110000000001</v>
      </c>
      <c r="K107" s="18">
        <v>45.884099999999997</v>
      </c>
      <c r="L107" s="18">
        <v>51.249600000000001</v>
      </c>
      <c r="M107" s="18">
        <v>52.7515</v>
      </c>
      <c r="N107" s="18">
        <v>23.4056</v>
      </c>
      <c r="O107" s="18">
        <f t="shared" si="7"/>
        <v>47.4132125</v>
      </c>
      <c r="P107" s="7"/>
      <c r="Q107" s="10"/>
      <c r="R107" s="11"/>
      <c r="S107" s="11"/>
      <c r="T107" s="26"/>
      <c r="U107" s="28">
        <f t="shared" si="8"/>
        <v>-7.3960983884647398E-3</v>
      </c>
    </row>
    <row r="108" spans="2:21" ht="16.5" thickBot="1" x14ac:dyDescent="0.3">
      <c r="B108" s="12"/>
      <c r="C108" s="19">
        <v>420.01</v>
      </c>
      <c r="D108" s="20">
        <v>41.67</v>
      </c>
      <c r="E108" s="20">
        <v>45.960999999999999</v>
      </c>
      <c r="F108" s="20">
        <v>47.51</v>
      </c>
      <c r="G108" s="20">
        <v>32.950000000000003</v>
      </c>
      <c r="H108" s="20">
        <f t="shared" si="6"/>
        <v>42.936374999999998</v>
      </c>
      <c r="I108" s="5"/>
      <c r="J108" s="19">
        <v>302.33839999999998</v>
      </c>
      <c r="K108" s="20">
        <v>43.067900000000002</v>
      </c>
      <c r="L108" s="20">
        <v>48.777900000000002</v>
      </c>
      <c r="M108" s="20">
        <v>50.268900000000002</v>
      </c>
      <c r="N108" s="20">
        <v>30.686599999999999</v>
      </c>
      <c r="O108" s="20">
        <f t="shared" si="7"/>
        <v>44.681775000000002</v>
      </c>
      <c r="P108" s="7"/>
      <c r="Q108" s="13"/>
      <c r="R108" s="14"/>
      <c r="S108" s="14"/>
      <c r="T108" s="27"/>
      <c r="U108" s="28">
        <f t="shared" si="8"/>
        <v>-6.8691957511381005E-2</v>
      </c>
    </row>
    <row r="109" spans="2:21" x14ac:dyDescent="0.25">
      <c r="B109" s="6" t="s">
        <v>110</v>
      </c>
      <c r="C109" s="15">
        <v>2047.68</v>
      </c>
      <c r="D109" s="16">
        <v>33.523000000000003</v>
      </c>
      <c r="E109" s="16">
        <v>41.225000000000001</v>
      </c>
      <c r="F109" s="16">
        <v>40.53</v>
      </c>
      <c r="G109" s="16">
        <v>11.5</v>
      </c>
      <c r="H109" s="16">
        <f t="shared" si="6"/>
        <v>35.361625000000004</v>
      </c>
      <c r="I109" s="5"/>
      <c r="J109" s="15">
        <v>1496.1071999999999</v>
      </c>
      <c r="K109" s="16">
        <v>33.0715</v>
      </c>
      <c r="L109" s="16">
        <v>41.473500000000001</v>
      </c>
      <c r="M109" s="16">
        <v>40.865600000000001</v>
      </c>
      <c r="N109" s="16">
        <v>9.0589999999999993</v>
      </c>
      <c r="O109" s="16">
        <f t="shared" si="7"/>
        <v>35.096012500000001</v>
      </c>
      <c r="P109" s="7"/>
      <c r="Q109" s="8">
        <f>bdrate(C109:C112,D109:D112,J109:J112,K109:K112)</f>
        <v>-0.32342806250605061</v>
      </c>
      <c r="R109" s="8">
        <f>bdrate(C109:C112,E109:E112,J109:J112,L109:L112)</f>
        <v>-0.4495885081853388</v>
      </c>
      <c r="S109" s="8">
        <f>bdrate(C109:C112,F109:F112,J109:J112,M109:M112)</f>
        <v>-0.47326733889363781</v>
      </c>
      <c r="T109" s="25">
        <f>bdrate(C109:C112,H109:H112,J109:J112,O109:O112)</f>
        <v>-0.34670703151496463</v>
      </c>
      <c r="U109" s="28">
        <f t="shared" si="8"/>
        <v>-0.21226086956521745</v>
      </c>
    </row>
    <row r="110" spans="2:21" x14ac:dyDescent="0.25">
      <c r="B110" s="9"/>
      <c r="C110" s="17">
        <v>1367.9</v>
      </c>
      <c r="D110" s="18">
        <v>31.545000000000002</v>
      </c>
      <c r="E110" s="18">
        <v>40.036000000000001</v>
      </c>
      <c r="F110" s="18">
        <v>39.268999999999998</v>
      </c>
      <c r="G110" s="18">
        <v>13.07</v>
      </c>
      <c r="H110" s="18">
        <f t="shared" si="6"/>
        <v>33.571874999999999</v>
      </c>
      <c r="I110" s="5"/>
      <c r="J110" s="17">
        <v>994.04750000000001</v>
      </c>
      <c r="K110" s="18">
        <v>31.399699999999999</v>
      </c>
      <c r="L110" s="18">
        <v>40.608199999999997</v>
      </c>
      <c r="M110" s="18">
        <v>39.981299999999997</v>
      </c>
      <c r="N110" s="18">
        <v>10.585699999999999</v>
      </c>
      <c r="O110" s="18">
        <f t="shared" si="7"/>
        <v>33.623462499999995</v>
      </c>
      <c r="P110" s="7"/>
      <c r="Q110" s="10"/>
      <c r="R110" s="11"/>
      <c r="S110" s="11"/>
      <c r="T110" s="26"/>
      <c r="U110" s="28">
        <f t="shared" si="8"/>
        <v>-0.19007651109410872</v>
      </c>
    </row>
    <row r="111" spans="2:21" x14ac:dyDescent="0.25">
      <c r="B111" s="9"/>
      <c r="C111" s="17">
        <v>829.37</v>
      </c>
      <c r="D111" s="18">
        <v>28.815999999999999</v>
      </c>
      <c r="E111" s="18">
        <v>38.554000000000002</v>
      </c>
      <c r="F111" s="18">
        <v>37.756</v>
      </c>
      <c r="G111" s="18">
        <v>15.17</v>
      </c>
      <c r="H111" s="18">
        <f t="shared" si="6"/>
        <v>31.150749999999999</v>
      </c>
      <c r="I111" s="5"/>
      <c r="J111" s="17">
        <v>596.07950000000005</v>
      </c>
      <c r="K111" s="18">
        <v>29.263000000000002</v>
      </c>
      <c r="L111" s="18">
        <v>39.409700000000001</v>
      </c>
      <c r="M111" s="18">
        <v>38.756700000000002</v>
      </c>
      <c r="N111" s="18">
        <v>12.7469</v>
      </c>
      <c r="O111" s="18">
        <f t="shared" si="7"/>
        <v>31.718050000000002</v>
      </c>
      <c r="P111" s="7"/>
      <c r="Q111" s="10"/>
      <c r="R111" s="11"/>
      <c r="S111" s="11"/>
      <c r="T111" s="26"/>
      <c r="U111" s="28">
        <f t="shared" si="8"/>
        <v>-0.15972972972972971</v>
      </c>
    </row>
    <row r="112" spans="2:21" ht="16.5" thickBot="1" x14ac:dyDescent="0.3">
      <c r="B112" s="12"/>
      <c r="C112" s="19">
        <v>391.41</v>
      </c>
      <c r="D112" s="20">
        <v>24.550999999999998</v>
      </c>
      <c r="E112" s="20">
        <v>36.103999999999999</v>
      </c>
      <c r="F112" s="20">
        <v>35.395000000000003</v>
      </c>
      <c r="G112" s="20">
        <v>19.2</v>
      </c>
      <c r="H112" s="20">
        <f t="shared" si="6"/>
        <v>27.350624999999997</v>
      </c>
      <c r="I112" s="5"/>
      <c r="J112" s="19">
        <v>298.79689999999999</v>
      </c>
      <c r="K112" s="20">
        <v>26.541</v>
      </c>
      <c r="L112" s="20">
        <v>37.438000000000002</v>
      </c>
      <c r="M112" s="20">
        <v>36.787100000000002</v>
      </c>
      <c r="N112" s="20">
        <v>16.396699999999999</v>
      </c>
      <c r="O112" s="20">
        <f t="shared" si="7"/>
        <v>29.183887500000004</v>
      </c>
      <c r="P112" s="7"/>
      <c r="Q112" s="13"/>
      <c r="R112" s="14"/>
      <c r="S112" s="14"/>
      <c r="T112" s="27"/>
      <c r="U112" s="28">
        <f t="shared" si="8"/>
        <v>-0.14600520833333336</v>
      </c>
    </row>
    <row r="113" spans="2:21" x14ac:dyDescent="0.25">
      <c r="B113" s="6" t="s">
        <v>111</v>
      </c>
      <c r="C113" s="15">
        <v>2336.44</v>
      </c>
      <c r="D113" s="16">
        <v>48.421999999999997</v>
      </c>
      <c r="E113" s="16">
        <v>48.661000000000001</v>
      </c>
      <c r="F113" s="16">
        <v>48.398000000000003</v>
      </c>
      <c r="G113" s="16">
        <v>20.72</v>
      </c>
      <c r="H113" s="16">
        <f t="shared" si="6"/>
        <v>48.448875000000001</v>
      </c>
      <c r="I113" s="5"/>
      <c r="J113" s="15">
        <v>1422.4167</v>
      </c>
      <c r="K113" s="16">
        <v>46.758899999999997</v>
      </c>
      <c r="L113" s="16">
        <v>48.134099999999997</v>
      </c>
      <c r="M113" s="16">
        <v>48.070900000000002</v>
      </c>
      <c r="N113" s="16">
        <v>11.793100000000001</v>
      </c>
      <c r="O113" s="16">
        <f t="shared" si="7"/>
        <v>47.094799999999999</v>
      </c>
      <c r="P113" s="7"/>
      <c r="Q113" s="8">
        <f>bdrate(C113:C116,D113:D116,J113:J116,K113:K116)</f>
        <v>-0.23331719074874657</v>
      </c>
      <c r="R113" s="8">
        <f>bdrate(C113:C116,E113:E116,J113:J116,L113:L116)</f>
        <v>-0.3885497302581512</v>
      </c>
      <c r="S113" s="8">
        <f>bdrate(C113:C116,F113:F116,J113:J116,M113:M116)</f>
        <v>-0.40879994777510165</v>
      </c>
      <c r="T113" s="25">
        <f>bdrate(C113:C116,H113:H116,J113:J116,O113:O116)</f>
        <v>-0.27247822165920144</v>
      </c>
      <c r="U113" s="28">
        <f t="shared" si="8"/>
        <v>-0.430834942084942</v>
      </c>
    </row>
    <row r="114" spans="2:21" x14ac:dyDescent="0.25">
      <c r="B114" s="9"/>
      <c r="C114" s="17">
        <v>1549.62</v>
      </c>
      <c r="D114" s="18">
        <v>46.4</v>
      </c>
      <c r="E114" s="18">
        <v>46.792999999999999</v>
      </c>
      <c r="F114" s="18">
        <v>46.540999999999997</v>
      </c>
      <c r="G114" s="18">
        <v>23.2</v>
      </c>
      <c r="H114" s="18">
        <f t="shared" si="6"/>
        <v>46.466749999999998</v>
      </c>
      <c r="I114" s="5"/>
      <c r="J114" s="17">
        <v>957.26649999999995</v>
      </c>
      <c r="K114" s="18">
        <v>45.1357</v>
      </c>
      <c r="L114" s="18">
        <v>46.744399999999999</v>
      </c>
      <c r="M114" s="18">
        <v>46.662500000000001</v>
      </c>
      <c r="N114" s="18">
        <v>16.176100000000002</v>
      </c>
      <c r="O114" s="18">
        <f t="shared" si="7"/>
        <v>45.527637500000004</v>
      </c>
      <c r="P114" s="7"/>
      <c r="Q114" s="10"/>
      <c r="R114" s="11"/>
      <c r="S114" s="11"/>
      <c r="T114" s="26"/>
      <c r="U114" s="28">
        <f t="shared" si="8"/>
        <v>-0.30275431034482747</v>
      </c>
    </row>
    <row r="115" spans="2:21" x14ac:dyDescent="0.25">
      <c r="B115" s="9"/>
      <c r="C115" s="17">
        <v>931.45</v>
      </c>
      <c r="D115" s="18">
        <v>43.557000000000002</v>
      </c>
      <c r="E115" s="18">
        <v>44.316000000000003</v>
      </c>
      <c r="F115" s="18">
        <v>43.991999999999997</v>
      </c>
      <c r="G115" s="18">
        <v>26.74</v>
      </c>
      <c r="H115" s="18">
        <f t="shared" si="6"/>
        <v>43.706250000000004</v>
      </c>
      <c r="I115" s="5"/>
      <c r="J115" s="17">
        <v>594.76210000000003</v>
      </c>
      <c r="K115" s="18">
        <v>42.392200000000003</v>
      </c>
      <c r="L115" s="18">
        <v>44.580599999999997</v>
      </c>
      <c r="M115" s="18">
        <v>44.404600000000002</v>
      </c>
      <c r="N115" s="18">
        <v>21.6479</v>
      </c>
      <c r="O115" s="18">
        <f t="shared" si="7"/>
        <v>42.917300000000004</v>
      </c>
      <c r="P115" s="7"/>
      <c r="Q115" s="10"/>
      <c r="R115" s="11"/>
      <c r="S115" s="11"/>
      <c r="T115" s="26"/>
      <c r="U115" s="28">
        <f t="shared" si="8"/>
        <v>-0.19043006731488402</v>
      </c>
    </row>
    <row r="116" spans="2:21" ht="16.5" thickBot="1" x14ac:dyDescent="0.3">
      <c r="B116" s="12"/>
      <c r="C116" s="19">
        <v>432.54</v>
      </c>
      <c r="D116" s="20">
        <v>38.171999999999997</v>
      </c>
      <c r="E116" s="20">
        <v>40.213000000000001</v>
      </c>
      <c r="F116" s="20">
        <v>39.738999999999997</v>
      </c>
      <c r="G116" s="20">
        <v>32.36</v>
      </c>
      <c r="H116" s="20">
        <f t="shared" si="6"/>
        <v>38.622999999999998</v>
      </c>
      <c r="I116" s="5"/>
      <c r="J116" s="19">
        <v>303.74369999999999</v>
      </c>
      <c r="K116" s="20">
        <v>38.0229</v>
      </c>
      <c r="L116" s="20">
        <v>41.206099999999999</v>
      </c>
      <c r="M116" s="20">
        <v>41.040199999999999</v>
      </c>
      <c r="N116" s="20">
        <v>27.944700000000001</v>
      </c>
      <c r="O116" s="20">
        <f t="shared" si="7"/>
        <v>38.797962499999997</v>
      </c>
      <c r="P116" s="7"/>
      <c r="Q116" s="13"/>
      <c r="R116" s="14"/>
      <c r="S116" s="14"/>
      <c r="T116" s="27"/>
      <c r="U116" s="28">
        <f t="shared" si="8"/>
        <v>-0.13644313967861552</v>
      </c>
    </row>
    <row r="117" spans="2:21" x14ac:dyDescent="0.25">
      <c r="B117" s="6" t="s">
        <v>112</v>
      </c>
      <c r="C117" s="15">
        <v>2702.46</v>
      </c>
      <c r="D117" s="16">
        <v>50.112000000000002</v>
      </c>
      <c r="E117" s="16">
        <v>51.209000000000003</v>
      </c>
      <c r="F117" s="16">
        <v>51.442</v>
      </c>
      <c r="G117" s="16">
        <v>22.11</v>
      </c>
      <c r="H117" s="16">
        <f t="shared" si="6"/>
        <v>50.415375000000004</v>
      </c>
      <c r="I117" s="5"/>
      <c r="J117" s="15">
        <v>1414.8475000000001</v>
      </c>
      <c r="K117" s="16">
        <v>47.031700000000001</v>
      </c>
      <c r="L117" s="16">
        <v>49.980600000000003</v>
      </c>
      <c r="M117" s="16">
        <v>50.106699999999996</v>
      </c>
      <c r="N117" s="16">
        <v>11.757099999999999</v>
      </c>
      <c r="O117" s="16">
        <f t="shared" si="7"/>
        <v>47.784687499999997</v>
      </c>
      <c r="P117" s="7"/>
      <c r="Q117" s="8">
        <f>bdrate(C117:C120,D117:D120,J117:J120,K117:K120)</f>
        <v>-0.33828190924153811</v>
      </c>
      <c r="R117" s="8">
        <f>bdrate(C117:C120,E117:E120,J117:J120,L117:L120)</f>
        <v>-0.48591733171365892</v>
      </c>
      <c r="S117" s="8">
        <f>bdrate(C117:C120,F117:F120,J117:J120,M117:M120)</f>
        <v>-0.48602119915738196</v>
      </c>
      <c r="T117" s="25">
        <f>bdrate(C117:C120,H117:H120,J117:J120,O117:O120)</f>
        <v>-0.37489973568072688</v>
      </c>
      <c r="U117" s="28">
        <f t="shared" si="8"/>
        <v>-0.46824513794663047</v>
      </c>
    </row>
    <row r="118" spans="2:21" x14ac:dyDescent="0.25">
      <c r="B118" s="9"/>
      <c r="C118" s="17">
        <v>1788.4</v>
      </c>
      <c r="D118" s="18">
        <v>46.965000000000003</v>
      </c>
      <c r="E118" s="18">
        <v>48.4</v>
      </c>
      <c r="F118" s="18">
        <v>48.652999999999999</v>
      </c>
      <c r="G118" s="18">
        <v>24.87</v>
      </c>
      <c r="H118" s="18">
        <f t="shared" si="6"/>
        <v>47.355375000000002</v>
      </c>
      <c r="I118" s="5"/>
      <c r="J118" s="17">
        <v>976.02710000000002</v>
      </c>
      <c r="K118" s="18">
        <v>45.921500000000002</v>
      </c>
      <c r="L118" s="18">
        <v>49.133600000000001</v>
      </c>
      <c r="M118" s="18">
        <v>49.265700000000002</v>
      </c>
      <c r="N118" s="18">
        <v>13.715</v>
      </c>
      <c r="O118" s="18">
        <f t="shared" si="7"/>
        <v>46.741037499999997</v>
      </c>
      <c r="P118" s="7"/>
      <c r="Q118" s="10"/>
      <c r="R118" s="11"/>
      <c r="S118" s="11"/>
      <c r="T118" s="26"/>
      <c r="U118" s="28">
        <f t="shared" si="8"/>
        <v>-0.44853236831523929</v>
      </c>
    </row>
    <row r="119" spans="2:21" x14ac:dyDescent="0.25">
      <c r="B119" s="9"/>
      <c r="C119" s="17">
        <v>1073.45</v>
      </c>
      <c r="D119" s="18">
        <v>43.706000000000003</v>
      </c>
      <c r="E119" s="18">
        <v>45.569000000000003</v>
      </c>
      <c r="F119" s="18">
        <v>45.796999999999997</v>
      </c>
      <c r="G119" s="18">
        <v>27.92</v>
      </c>
      <c r="H119" s="18">
        <f t="shared" si="6"/>
        <v>44.200249999999997</v>
      </c>
      <c r="I119" s="5"/>
      <c r="J119" s="17">
        <v>637.94910000000004</v>
      </c>
      <c r="K119" s="18">
        <v>43.123199999999997</v>
      </c>
      <c r="L119" s="18">
        <v>46.406999999999996</v>
      </c>
      <c r="M119" s="18">
        <v>46.686300000000003</v>
      </c>
      <c r="N119" s="18">
        <v>14.161099999999999</v>
      </c>
      <c r="O119" s="18">
        <f t="shared" si="7"/>
        <v>43.979062499999998</v>
      </c>
      <c r="P119" s="7"/>
      <c r="Q119" s="10"/>
      <c r="R119" s="11"/>
      <c r="S119" s="11"/>
      <c r="T119" s="26"/>
      <c r="U119" s="28">
        <f t="shared" si="8"/>
        <v>-0.49279727793696282</v>
      </c>
    </row>
    <row r="120" spans="2:21" ht="16.5" thickBot="1" x14ac:dyDescent="0.3">
      <c r="B120" s="12"/>
      <c r="C120" s="19">
        <v>500.25</v>
      </c>
      <c r="D120" s="20">
        <v>38.872999999999998</v>
      </c>
      <c r="E120" s="20">
        <v>41.488</v>
      </c>
      <c r="F120" s="20">
        <v>41.747999999999998</v>
      </c>
      <c r="G120" s="20">
        <v>33.85</v>
      </c>
      <c r="H120" s="20">
        <f t="shared" si="6"/>
        <v>39.559249999999999</v>
      </c>
      <c r="I120" s="5"/>
      <c r="J120" s="19">
        <v>359.91629999999998</v>
      </c>
      <c r="K120" s="20">
        <v>39.039099999999998</v>
      </c>
      <c r="L120" s="20">
        <v>42.818899999999999</v>
      </c>
      <c r="M120" s="20">
        <v>43.103299999999997</v>
      </c>
      <c r="N120" s="20">
        <v>23.2348</v>
      </c>
      <c r="O120" s="20">
        <f t="shared" si="7"/>
        <v>40.019599999999997</v>
      </c>
      <c r="P120" s="7"/>
      <c r="Q120" s="13"/>
      <c r="R120" s="14"/>
      <c r="S120" s="14"/>
      <c r="T120" s="27"/>
      <c r="U120" s="28">
        <f t="shared" si="8"/>
        <v>-0.31359527326440179</v>
      </c>
    </row>
    <row r="121" spans="2:21" x14ac:dyDescent="0.25">
      <c r="B121" s="6" t="s">
        <v>113</v>
      </c>
      <c r="C121" s="29">
        <v>2141.15</v>
      </c>
      <c r="D121" s="30">
        <v>34.564</v>
      </c>
      <c r="E121" s="30">
        <v>37.655999999999999</v>
      </c>
      <c r="F121" s="30">
        <v>36.590000000000003</v>
      </c>
      <c r="G121" s="16">
        <v>14.62</v>
      </c>
      <c r="H121" s="16">
        <f t="shared" si="6"/>
        <v>35.203749999999999</v>
      </c>
      <c r="I121" s="5"/>
      <c r="J121" s="29">
        <v>1512.6177</v>
      </c>
      <c r="K121" s="30">
        <v>33.371499999999997</v>
      </c>
      <c r="L121" s="30">
        <v>37.816499999999998</v>
      </c>
      <c r="M121" s="30">
        <v>36.673000000000002</v>
      </c>
      <c r="N121" s="16">
        <v>10.8393</v>
      </c>
      <c r="O121" s="16">
        <f t="shared" si="7"/>
        <v>34.339812499999994</v>
      </c>
      <c r="P121" s="7"/>
      <c r="Q121" s="8">
        <f>bdrate(C121:C124,D121:D124,J121:J124,K121:K124)</f>
        <v>-0.22904924562945905</v>
      </c>
      <c r="R121" s="8">
        <f>bdrate(C121:C124,E121:E124,J121:J124,L121:L124)</f>
        <v>-0.41627931899615178</v>
      </c>
      <c r="S121" s="8">
        <f>bdrate(C121:C124,F121:F124,J121:J124,M121:M124)</f>
        <v>-0.39652971620092825</v>
      </c>
      <c r="T121" s="25">
        <f>bdrate(C121:C124,H121:H124,J121:J124,O121:O124)</f>
        <v>-0.25958544832563568</v>
      </c>
      <c r="U121" s="28">
        <f t="shared" si="8"/>
        <v>-0.25859781121751024</v>
      </c>
    </row>
    <row r="122" spans="2:21" x14ac:dyDescent="0.25">
      <c r="B122" s="9"/>
      <c r="C122" s="31">
        <v>1419.43</v>
      </c>
      <c r="D122" s="32">
        <v>32.372999999999998</v>
      </c>
      <c r="E122" s="32">
        <v>36.356999999999999</v>
      </c>
      <c r="F122" s="32">
        <v>35.222999999999999</v>
      </c>
      <c r="G122" s="18">
        <v>16.25</v>
      </c>
      <c r="H122" s="18">
        <f t="shared" si="6"/>
        <v>33.227249999999998</v>
      </c>
      <c r="I122" s="5"/>
      <c r="J122" s="31">
        <v>1009.3217</v>
      </c>
      <c r="K122" s="32">
        <v>31.5001</v>
      </c>
      <c r="L122" s="32">
        <v>36.7776</v>
      </c>
      <c r="M122" s="32">
        <v>35.569200000000002</v>
      </c>
      <c r="N122" s="18">
        <v>12.4848</v>
      </c>
      <c r="O122" s="18">
        <f t="shared" si="7"/>
        <v>32.668424999999999</v>
      </c>
      <c r="P122" s="7"/>
      <c r="Q122" s="10"/>
      <c r="R122" s="11"/>
      <c r="S122" s="11"/>
      <c r="T122" s="26"/>
      <c r="U122" s="28">
        <f t="shared" si="8"/>
        <v>-0.2317046153846154</v>
      </c>
    </row>
    <row r="123" spans="2:21" x14ac:dyDescent="0.25">
      <c r="B123" s="9"/>
      <c r="C123" s="31">
        <v>855.96</v>
      </c>
      <c r="D123" s="32">
        <v>29.655000000000001</v>
      </c>
      <c r="E123" s="32">
        <v>34.947000000000003</v>
      </c>
      <c r="F123" s="32">
        <v>33.718000000000004</v>
      </c>
      <c r="G123" s="18">
        <v>18.66</v>
      </c>
      <c r="H123" s="18">
        <f t="shared" si="6"/>
        <v>30.824375000000003</v>
      </c>
      <c r="I123" s="5"/>
      <c r="J123" s="31">
        <v>606.07399999999996</v>
      </c>
      <c r="K123" s="32">
        <v>29.284300000000002</v>
      </c>
      <c r="L123" s="32">
        <v>35.514400000000002</v>
      </c>
      <c r="M123" s="32">
        <v>34.234299999999998</v>
      </c>
      <c r="N123" s="18">
        <v>14.312200000000001</v>
      </c>
      <c r="O123" s="18">
        <f t="shared" si="7"/>
        <v>30.681812499999999</v>
      </c>
      <c r="P123" s="7"/>
      <c r="Q123" s="10"/>
      <c r="R123" s="11"/>
      <c r="S123" s="11"/>
      <c r="T123" s="26"/>
      <c r="U123" s="28">
        <f t="shared" si="8"/>
        <v>-0.23300107181136118</v>
      </c>
    </row>
    <row r="124" spans="2:21" ht="16.5" thickBot="1" x14ac:dyDescent="0.3">
      <c r="B124" s="12"/>
      <c r="C124" s="33">
        <v>398.36</v>
      </c>
      <c r="D124" s="34">
        <v>25.606000000000002</v>
      </c>
      <c r="E124" s="34">
        <v>32.972999999999999</v>
      </c>
      <c r="F124" s="34">
        <v>31.568999999999999</v>
      </c>
      <c r="G124" s="20">
        <v>23.42</v>
      </c>
      <c r="H124" s="20">
        <f t="shared" si="6"/>
        <v>27.272250000000003</v>
      </c>
      <c r="I124" s="5"/>
      <c r="J124" s="33">
        <v>303.81549999999999</v>
      </c>
      <c r="K124" s="34">
        <v>26.890599999999999</v>
      </c>
      <c r="L124" s="34">
        <v>33.975200000000001</v>
      </c>
      <c r="M124" s="34">
        <v>32.566499999999998</v>
      </c>
      <c r="N124" s="20">
        <v>19.487300000000001</v>
      </c>
      <c r="O124" s="20">
        <f t="shared" si="7"/>
        <v>28.485662499999997</v>
      </c>
      <c r="P124" s="7"/>
      <c r="Q124" s="13"/>
      <c r="R124" s="14"/>
      <c r="S124" s="14"/>
      <c r="T124" s="27"/>
      <c r="U124" s="28">
        <f t="shared" si="8"/>
        <v>-0.1679205807002562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-0.33715518430053154</v>
      </c>
      <c r="R125" s="21">
        <f>AVERAGE(R9:R124)</f>
        <v>-0.56304157536850741</v>
      </c>
      <c r="S125" s="21">
        <f>AVERAGE(S9:S124)</f>
        <v>-0.56202451882290227</v>
      </c>
      <c r="T125" s="21">
        <f>AVERAGE(T9:T124)</f>
        <v>-0.38329495005794001</v>
      </c>
      <c r="U125" s="21">
        <f>AVERAGE(U9:U124)</f>
        <v>-0.1353036328138793</v>
      </c>
    </row>
    <row r="127" spans="2:21" s="35" customFormat="1" ht="15.75" customHeight="1" x14ac:dyDescent="0.25">
      <c r="B127" s="58" t="s">
        <v>29</v>
      </c>
      <c r="C127" s="60" t="s">
        <v>147</v>
      </c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2"/>
    </row>
    <row r="128" spans="2:21" s="35" customFormat="1" x14ac:dyDescent="0.25">
      <c r="B128" s="59"/>
      <c r="C128" s="63"/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5"/>
    </row>
    <row r="129" spans="1:21" ht="16.5" customHeight="1" thickBot="1" x14ac:dyDescent="0.3">
      <c r="C129" s="66" t="s">
        <v>82</v>
      </c>
      <c r="D129" s="67"/>
      <c r="E129" s="67"/>
      <c r="F129" s="67"/>
      <c r="G129" s="67"/>
      <c r="H129" s="67"/>
      <c r="I129" s="5"/>
      <c r="J129" s="66" t="s">
        <v>140</v>
      </c>
      <c r="K129" s="67"/>
      <c r="L129" s="67"/>
      <c r="M129" s="67"/>
      <c r="N129" s="67"/>
      <c r="O129" s="67"/>
      <c r="Q129" s="66" t="s">
        <v>7</v>
      </c>
      <c r="R129" s="67"/>
      <c r="S129" s="68"/>
      <c r="T129" s="36"/>
      <c r="U129" s="69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9"/>
    </row>
    <row r="131" spans="1:21" x14ac:dyDescent="0.25">
      <c r="A131" s="6" t="s">
        <v>35</v>
      </c>
      <c r="B131" s="6" t="s">
        <v>46</v>
      </c>
      <c r="C131" s="15">
        <v>5814.4</v>
      </c>
      <c r="D131" s="16">
        <v>37.981999999999999</v>
      </c>
      <c r="E131" s="16">
        <v>39.220999999999997</v>
      </c>
      <c r="F131" s="16">
        <v>41.649000000000001</v>
      </c>
      <c r="G131" s="16">
        <v>11.74</v>
      </c>
      <c r="H131" s="16">
        <f t="shared" ref="H131:H202" si="9">(6*D131+E131+F131)/8</f>
        <v>38.59525</v>
      </c>
      <c r="I131" s="5"/>
      <c r="J131" s="15">
        <v>4144.1103999999996</v>
      </c>
      <c r="K131" s="16">
        <v>38.522100000000002</v>
      </c>
      <c r="L131" s="16">
        <v>40.194400000000002</v>
      </c>
      <c r="M131" s="16">
        <v>42.975499999999997</v>
      </c>
      <c r="N131" s="16">
        <v>11.194000000000001</v>
      </c>
      <c r="O131" s="16">
        <f t="shared" ref="O131:O202" si="10">(6*K131+L131+M131)/8</f>
        <v>39.287812500000001</v>
      </c>
      <c r="P131" s="7"/>
      <c r="Q131" s="8">
        <f>bdrate(C131:C134,D131:D134,J131:J134,K131:K134)</f>
        <v>-0.43434840208239667</v>
      </c>
      <c r="R131" s="8">
        <f>bdrate(C131:C134,E131:E134,J131:J134,L131:L134)</f>
        <v>-0.621795661570129</v>
      </c>
      <c r="S131" s="8">
        <f>bdrate(C131:C134,F131:F134,J131:J134,M131:M134)</f>
        <v>-0.61761872697856401</v>
      </c>
      <c r="T131" s="25">
        <f>bdrate(C131:C134,H131:H134,J131:J134,O131:O134)</f>
        <v>-0.46494858080155832</v>
      </c>
      <c r="U131" s="28">
        <f t="shared" ref="U131:U194" si="11">(N131-G131)/G131</f>
        <v>-4.6507666098807444E-2</v>
      </c>
    </row>
    <row r="132" spans="1:21" x14ac:dyDescent="0.25">
      <c r="A132" s="9" t="s">
        <v>36</v>
      </c>
      <c r="B132" s="9"/>
      <c r="C132" s="17">
        <v>4291.3</v>
      </c>
      <c r="D132" s="18">
        <v>37.018000000000001</v>
      </c>
      <c r="E132" s="18">
        <v>38.741999999999997</v>
      </c>
      <c r="F132" s="18">
        <v>41.134999999999998</v>
      </c>
      <c r="G132" s="18">
        <v>12.96</v>
      </c>
      <c r="H132" s="18">
        <f t="shared" si="9"/>
        <v>37.748125000000002</v>
      </c>
      <c r="I132" s="5"/>
      <c r="J132" s="17">
        <v>3015.5551999999998</v>
      </c>
      <c r="K132" s="18">
        <v>37.569499999999998</v>
      </c>
      <c r="L132" s="18">
        <v>39.734200000000001</v>
      </c>
      <c r="M132" s="18">
        <v>42.335900000000002</v>
      </c>
      <c r="N132" s="18">
        <v>13.619</v>
      </c>
      <c r="O132" s="18">
        <f t="shared" si="10"/>
        <v>38.435887499999993</v>
      </c>
      <c r="P132" s="7"/>
      <c r="Q132" s="10"/>
      <c r="R132" s="11"/>
      <c r="S132" s="11"/>
      <c r="T132" s="26"/>
      <c r="U132" s="28">
        <f t="shared" si="11"/>
        <v>5.084876543209868E-2</v>
      </c>
    </row>
    <row r="133" spans="1:21" x14ac:dyDescent="0.25">
      <c r="B133" s="9"/>
      <c r="C133" s="17">
        <v>2817.53</v>
      </c>
      <c r="D133" s="18">
        <v>35.475000000000001</v>
      </c>
      <c r="E133" s="18">
        <v>38.042000000000002</v>
      </c>
      <c r="F133" s="18">
        <v>40.386000000000003</v>
      </c>
      <c r="G133" s="18">
        <v>13.91</v>
      </c>
      <c r="H133" s="18">
        <f t="shared" si="9"/>
        <v>36.409750000000003</v>
      </c>
      <c r="I133" s="5"/>
      <c r="J133" s="17">
        <v>1971.6496</v>
      </c>
      <c r="K133" s="18">
        <v>36.197400000000002</v>
      </c>
      <c r="L133" s="18">
        <v>39.078899999999997</v>
      </c>
      <c r="M133" s="18">
        <v>41.525700000000001</v>
      </c>
      <c r="N133" s="18">
        <v>15.5844</v>
      </c>
      <c r="O133" s="18">
        <f t="shared" si="10"/>
        <v>37.223624999999998</v>
      </c>
      <c r="P133" s="7"/>
      <c r="Q133" s="10"/>
      <c r="R133" s="11"/>
      <c r="S133" s="11"/>
      <c r="T133" s="26"/>
      <c r="U133" s="28">
        <f t="shared" si="11"/>
        <v>0.12037383177570096</v>
      </c>
    </row>
    <row r="134" spans="1:21" ht="16.5" thickBot="1" x14ac:dyDescent="0.3">
      <c r="B134" s="12"/>
      <c r="C134" s="19">
        <v>1397.86</v>
      </c>
      <c r="D134" s="20">
        <v>32.298000000000002</v>
      </c>
      <c r="E134" s="20">
        <v>36.923999999999999</v>
      </c>
      <c r="F134" s="20">
        <v>39.241999999999997</v>
      </c>
      <c r="G134" s="20">
        <v>14.7</v>
      </c>
      <c r="H134" s="20">
        <f t="shared" si="9"/>
        <v>33.744250000000001</v>
      </c>
      <c r="I134" s="5"/>
      <c r="J134" s="19">
        <v>913.04160000000002</v>
      </c>
      <c r="K134" s="20">
        <v>33.439799999999998</v>
      </c>
      <c r="L134" s="20">
        <v>37.7286</v>
      </c>
      <c r="M134" s="20">
        <v>40.002600000000001</v>
      </c>
      <c r="N134" s="20">
        <v>21.0379</v>
      </c>
      <c r="O134" s="20">
        <f t="shared" si="10"/>
        <v>34.796250000000001</v>
      </c>
      <c r="P134" s="7"/>
      <c r="Q134" s="13"/>
      <c r="R134" s="14"/>
      <c r="S134" s="14"/>
      <c r="T134" s="27"/>
      <c r="U134" s="28">
        <f t="shared" si="11"/>
        <v>0.43114965986394566</v>
      </c>
    </row>
    <row r="135" spans="1:21" x14ac:dyDescent="0.25">
      <c r="B135" s="6" t="s">
        <v>47</v>
      </c>
      <c r="C135" s="15">
        <v>6839.46</v>
      </c>
      <c r="D135" s="16">
        <v>30.146999999999998</v>
      </c>
      <c r="E135" s="16">
        <v>39.950000000000003</v>
      </c>
      <c r="F135" s="16">
        <v>40.662999999999997</v>
      </c>
      <c r="G135" s="16">
        <v>9.14</v>
      </c>
      <c r="H135" s="16">
        <f t="shared" si="9"/>
        <v>32.686875000000001</v>
      </c>
      <c r="I135" s="5"/>
      <c r="J135" s="15">
        <v>4161.4639999999999</v>
      </c>
      <c r="K135" s="16">
        <v>29.911300000000001</v>
      </c>
      <c r="L135" s="16">
        <v>40.8566</v>
      </c>
      <c r="M135" s="16">
        <v>41.639899999999997</v>
      </c>
      <c r="N135" s="16">
        <v>8.7971000000000004</v>
      </c>
      <c r="O135" s="16">
        <f t="shared" si="10"/>
        <v>32.745537500000005</v>
      </c>
      <c r="P135" s="7"/>
      <c r="Q135" s="8">
        <f>bdrate(C135:C138,D135:D138,J135:J138,K135:K138)</f>
        <v>-0.40583195570143937</v>
      </c>
      <c r="R135" s="8">
        <f>bdrate(C135:C138,E135:E138,J135:J138,L135:L138)</f>
        <v>-0.58414720129793396</v>
      </c>
      <c r="S135" s="8">
        <f>bdrate(C135:C138,F135:F138,J135:J138,M135:M138)</f>
        <v>-0.65063396097992277</v>
      </c>
      <c r="T135" s="25">
        <f>bdrate(C135:C138,H135:H138,J135:J138,O135:O138)</f>
        <v>-0.43796896358294068</v>
      </c>
      <c r="U135" s="28">
        <f t="shared" si="11"/>
        <v>-3.7516411378555818E-2</v>
      </c>
    </row>
    <row r="136" spans="1:21" x14ac:dyDescent="0.25">
      <c r="B136" s="9"/>
      <c r="C136" s="17">
        <v>5144.6400000000003</v>
      </c>
      <c r="D136" s="18">
        <v>28.654</v>
      </c>
      <c r="E136" s="18">
        <v>39.453000000000003</v>
      </c>
      <c r="F136" s="18">
        <v>40.198</v>
      </c>
      <c r="G136" s="18">
        <v>10.11</v>
      </c>
      <c r="H136" s="18">
        <f t="shared" si="9"/>
        <v>31.446875000000002</v>
      </c>
      <c r="I136" s="5"/>
      <c r="J136" s="17">
        <v>3058.1776</v>
      </c>
      <c r="K136" s="18">
        <v>28.514299999999999</v>
      </c>
      <c r="L136" s="18">
        <v>40.326300000000003</v>
      </c>
      <c r="M136" s="18">
        <v>41.231099999999998</v>
      </c>
      <c r="N136" s="18">
        <v>10.2187</v>
      </c>
      <c r="O136" s="18">
        <f t="shared" si="10"/>
        <v>31.580400000000001</v>
      </c>
      <c r="P136" s="7"/>
      <c r="Q136" s="10"/>
      <c r="R136" s="11"/>
      <c r="S136" s="11"/>
      <c r="T136" s="26"/>
      <c r="U136" s="28">
        <f t="shared" si="11"/>
        <v>1.0751730959446161E-2</v>
      </c>
    </row>
    <row r="137" spans="1:21" x14ac:dyDescent="0.25">
      <c r="B137" s="9"/>
      <c r="C137" s="17">
        <v>3429</v>
      </c>
      <c r="D137" s="18">
        <v>26.683</v>
      </c>
      <c r="E137" s="18">
        <v>38.826999999999998</v>
      </c>
      <c r="F137" s="18">
        <v>39.573999999999998</v>
      </c>
      <c r="G137" s="18">
        <v>11.15</v>
      </c>
      <c r="H137" s="18">
        <f t="shared" si="9"/>
        <v>29.812375000000003</v>
      </c>
      <c r="I137" s="5"/>
      <c r="J137" s="17">
        <v>2060.1583999999998</v>
      </c>
      <c r="K137" s="18">
        <v>26.821200000000001</v>
      </c>
      <c r="L137" s="18">
        <v>39.5548</v>
      </c>
      <c r="M137" s="18">
        <v>40.5794</v>
      </c>
      <c r="N137" s="18">
        <v>11.812900000000001</v>
      </c>
      <c r="O137" s="18">
        <f t="shared" si="10"/>
        <v>30.132674999999999</v>
      </c>
      <c r="P137" s="7"/>
      <c r="Q137" s="10"/>
      <c r="R137" s="11"/>
      <c r="S137" s="11"/>
      <c r="T137" s="26"/>
      <c r="U137" s="28">
        <f t="shared" si="11"/>
        <v>5.9452914798206323E-2</v>
      </c>
    </row>
    <row r="138" spans="1:21" ht="16.5" thickBot="1" x14ac:dyDescent="0.3">
      <c r="B138" s="12"/>
      <c r="C138" s="19">
        <v>1654.94</v>
      </c>
      <c r="D138" s="20">
        <v>23.427</v>
      </c>
      <c r="E138" s="20">
        <v>37.423000000000002</v>
      </c>
      <c r="F138" s="20">
        <v>38.295999999999999</v>
      </c>
      <c r="G138" s="20">
        <v>12.42</v>
      </c>
      <c r="H138" s="20">
        <f t="shared" si="9"/>
        <v>27.035125000000001</v>
      </c>
      <c r="I138" s="5"/>
      <c r="J138" s="19">
        <v>1421.3807999999999</v>
      </c>
      <c r="K138" s="20">
        <v>25.6584</v>
      </c>
      <c r="L138" s="20">
        <v>38.467199999999998</v>
      </c>
      <c r="M138" s="20">
        <v>39.587299999999999</v>
      </c>
      <c r="N138" s="20">
        <v>12.718299999999999</v>
      </c>
      <c r="O138" s="20">
        <f t="shared" si="10"/>
        <v>29.000612499999999</v>
      </c>
      <c r="P138" s="7"/>
      <c r="Q138" s="13"/>
      <c r="R138" s="14"/>
      <c r="S138" s="14"/>
      <c r="T138" s="27"/>
      <c r="U138" s="28">
        <f t="shared" si="11"/>
        <v>2.40177133655394E-2</v>
      </c>
    </row>
    <row r="139" spans="1:21" x14ac:dyDescent="0.25">
      <c r="A139" s="6" t="s">
        <v>37</v>
      </c>
      <c r="B139" s="6" t="s">
        <v>48</v>
      </c>
      <c r="C139" s="15">
        <v>3037.23</v>
      </c>
      <c r="D139" s="16">
        <v>39.088000000000001</v>
      </c>
      <c r="E139" s="16">
        <v>41.853999999999999</v>
      </c>
      <c r="F139" s="16">
        <v>42.98</v>
      </c>
      <c r="G139" s="16">
        <v>18.649999999999999</v>
      </c>
      <c r="H139" s="16">
        <f t="shared" si="9"/>
        <v>39.920250000000003</v>
      </c>
      <c r="I139" s="5"/>
      <c r="J139" s="15">
        <v>2369.7759999999998</v>
      </c>
      <c r="K139" s="16">
        <v>39.383000000000003</v>
      </c>
      <c r="L139" s="16">
        <v>42.3703</v>
      </c>
      <c r="M139" s="16">
        <v>44.068899999999999</v>
      </c>
      <c r="N139" s="16">
        <v>19.795400000000001</v>
      </c>
      <c r="O139" s="16">
        <f t="shared" si="10"/>
        <v>40.342149999999997</v>
      </c>
      <c r="P139" s="7"/>
      <c r="Q139" s="8">
        <f>bdrate(C139:C142,D139:D142,J139:J142,K139:K142)</f>
        <v>-0.37351257878199162</v>
      </c>
      <c r="R139" s="8">
        <f>bdrate(C139:C142,E139:E142,J139:J142,L139:L142)</f>
        <v>-0.52006504052310887</v>
      </c>
      <c r="S139" s="8">
        <f>bdrate(C139:C142,F139:F142,J139:J142,M139:M142)</f>
        <v>-0.59329073680380218</v>
      </c>
      <c r="T139" s="25">
        <f>bdrate(C139:C142,H139:H142,J139:J142,O139:O142)</f>
        <v>-0.40364250416406255</v>
      </c>
      <c r="U139" s="28">
        <f t="shared" si="11"/>
        <v>6.1415549597855348E-2</v>
      </c>
    </row>
    <row r="140" spans="1:21" x14ac:dyDescent="0.25">
      <c r="A140" s="9" t="s">
        <v>38</v>
      </c>
      <c r="B140" s="9"/>
      <c r="C140" s="17">
        <v>1995.7</v>
      </c>
      <c r="D140" s="18">
        <v>37.64</v>
      </c>
      <c r="E140" s="18">
        <v>41.094999999999999</v>
      </c>
      <c r="F140" s="18">
        <v>42.12</v>
      </c>
      <c r="G140" s="18">
        <v>21.22</v>
      </c>
      <c r="H140" s="18">
        <f t="shared" si="9"/>
        <v>38.631875000000001</v>
      </c>
      <c r="I140" s="5"/>
      <c r="J140" s="17">
        <v>1574.0144</v>
      </c>
      <c r="K140" s="18">
        <v>38.231499999999997</v>
      </c>
      <c r="L140" s="18">
        <v>41.813000000000002</v>
      </c>
      <c r="M140" s="18">
        <v>43.308300000000003</v>
      </c>
      <c r="N140" s="18">
        <v>24.2669</v>
      </c>
      <c r="O140" s="18">
        <f t="shared" si="10"/>
        <v>39.313787500000004</v>
      </c>
      <c r="P140" s="7"/>
      <c r="Q140" s="10"/>
      <c r="R140" s="11"/>
      <c r="S140" s="11"/>
      <c r="T140" s="26"/>
      <c r="U140" s="28">
        <f t="shared" si="11"/>
        <v>0.14358623939679552</v>
      </c>
    </row>
    <row r="141" spans="1:21" x14ac:dyDescent="0.25">
      <c r="B141" s="9"/>
      <c r="C141" s="17">
        <v>1233.77</v>
      </c>
      <c r="D141" s="18">
        <v>35.718000000000004</v>
      </c>
      <c r="E141" s="18">
        <v>40.301000000000002</v>
      </c>
      <c r="F141" s="18">
        <v>41.212000000000003</v>
      </c>
      <c r="G141" s="18">
        <v>23.85</v>
      </c>
      <c r="H141" s="18">
        <f t="shared" si="9"/>
        <v>36.977625000000003</v>
      </c>
      <c r="I141" s="5"/>
      <c r="J141" s="17">
        <v>966.81600000000003</v>
      </c>
      <c r="K141" s="18">
        <v>36.686100000000003</v>
      </c>
      <c r="L141" s="18">
        <v>41.112000000000002</v>
      </c>
      <c r="M141" s="18">
        <v>42.415799999999997</v>
      </c>
      <c r="N141" s="18">
        <v>29.873000000000001</v>
      </c>
      <c r="O141" s="18">
        <f t="shared" si="10"/>
        <v>37.955550000000002</v>
      </c>
      <c r="P141" s="7"/>
      <c r="Q141" s="10"/>
      <c r="R141" s="11"/>
      <c r="S141" s="11"/>
      <c r="T141" s="26"/>
      <c r="U141" s="28">
        <f t="shared" si="11"/>
        <v>0.25253668763102721</v>
      </c>
    </row>
    <row r="142" spans="1:21" ht="16.5" thickBot="1" x14ac:dyDescent="0.3">
      <c r="B142" s="12"/>
      <c r="C142" s="19">
        <v>736.2</v>
      </c>
      <c r="D142" s="20">
        <v>33.401000000000003</v>
      </c>
      <c r="E142" s="20">
        <v>39.384999999999998</v>
      </c>
      <c r="F142" s="20">
        <v>40.356000000000002</v>
      </c>
      <c r="G142" s="20">
        <v>26.66</v>
      </c>
      <c r="H142" s="20">
        <f t="shared" si="9"/>
        <v>35.018374999999999</v>
      </c>
      <c r="I142" s="5"/>
      <c r="J142" s="19">
        <v>564.33839999999998</v>
      </c>
      <c r="K142" s="20">
        <v>34.907400000000003</v>
      </c>
      <c r="L142" s="20">
        <v>40.404600000000002</v>
      </c>
      <c r="M142" s="20">
        <v>41.639800000000001</v>
      </c>
      <c r="N142" s="20">
        <v>36.714100000000002</v>
      </c>
      <c r="O142" s="20">
        <f t="shared" si="10"/>
        <v>36.436100000000003</v>
      </c>
      <c r="P142" s="7"/>
      <c r="Q142" s="13"/>
      <c r="R142" s="14"/>
      <c r="S142" s="14"/>
      <c r="T142" s="27"/>
      <c r="U142" s="28">
        <f t="shared" si="11"/>
        <v>0.37712303075768949</v>
      </c>
    </row>
    <row r="143" spans="1:21" x14ac:dyDescent="0.25">
      <c r="B143" s="6" t="s">
        <v>49</v>
      </c>
      <c r="C143" s="15">
        <v>3436.03</v>
      </c>
      <c r="D143" s="16">
        <v>36.549999999999997</v>
      </c>
      <c r="E143" s="16">
        <v>39.44</v>
      </c>
      <c r="F143" s="16">
        <v>40.624000000000002</v>
      </c>
      <c r="G143" s="16">
        <v>20.03</v>
      </c>
      <c r="H143" s="16">
        <f t="shared" si="9"/>
        <v>37.420500000000004</v>
      </c>
      <c r="I143" s="5"/>
      <c r="J143" s="15">
        <v>2544.7912000000001</v>
      </c>
      <c r="K143" s="16">
        <v>36.5914</v>
      </c>
      <c r="L143" s="16">
        <v>40.836799999999997</v>
      </c>
      <c r="M143" s="16">
        <v>42.196300000000001</v>
      </c>
      <c r="N143" s="16">
        <v>18.8947</v>
      </c>
      <c r="O143" s="16">
        <f t="shared" si="10"/>
        <v>37.822687500000001</v>
      </c>
      <c r="P143" s="7"/>
      <c r="Q143" s="8">
        <f>bdrate(C143:C146,D143:D146,J143:J146,K143:K146)</f>
        <v>-0.33028229640252371</v>
      </c>
      <c r="R143" s="8">
        <f>bdrate(C143:C146,E143:E146,J143:J146,L143:L146)</f>
        <v>-0.63673990662896141</v>
      </c>
      <c r="S143" s="8">
        <f>bdrate(C143:C146,F143:F146,J143:J146,M143:M146)</f>
        <v>-0.63471929355793555</v>
      </c>
      <c r="T143" s="25">
        <f>bdrate(C143:C146,H143:H146,J143:J146,O143:O146)</f>
        <v>-0.38901243605394931</v>
      </c>
      <c r="U143" s="28">
        <f t="shared" si="11"/>
        <v>-5.6679980029955106E-2</v>
      </c>
    </row>
    <row r="144" spans="1:21" x14ac:dyDescent="0.25">
      <c r="B144" s="9"/>
      <c r="C144" s="17">
        <v>2263.19</v>
      </c>
      <c r="D144" s="18">
        <v>35.164999999999999</v>
      </c>
      <c r="E144" s="18">
        <v>38.698</v>
      </c>
      <c r="F144" s="18">
        <v>39.985999999999997</v>
      </c>
      <c r="G144" s="18">
        <v>22.89</v>
      </c>
      <c r="H144" s="18">
        <f t="shared" si="9"/>
        <v>36.209250000000004</v>
      </c>
      <c r="I144" s="5"/>
      <c r="J144" s="17">
        <v>1662.116</v>
      </c>
      <c r="K144" s="18">
        <v>35.352699999999999</v>
      </c>
      <c r="L144" s="18">
        <v>40.025199999999998</v>
      </c>
      <c r="M144" s="18">
        <v>41.254800000000003</v>
      </c>
      <c r="N144" s="18">
        <v>22.894200000000001</v>
      </c>
      <c r="O144" s="18">
        <f t="shared" si="10"/>
        <v>36.674524999999996</v>
      </c>
      <c r="P144" s="7"/>
      <c r="Q144" s="10"/>
      <c r="R144" s="11"/>
      <c r="S144" s="11"/>
      <c r="T144" s="26"/>
      <c r="U144" s="28">
        <f t="shared" si="11"/>
        <v>1.8348623853214809E-4</v>
      </c>
    </row>
    <row r="145" spans="1:21" x14ac:dyDescent="0.25">
      <c r="B145" s="9"/>
      <c r="C145" s="17">
        <v>1408.27</v>
      </c>
      <c r="D145" s="18">
        <v>33.475000000000001</v>
      </c>
      <c r="E145" s="18">
        <v>37.924999999999997</v>
      </c>
      <c r="F145" s="18">
        <v>39.350999999999999</v>
      </c>
      <c r="G145" s="18">
        <v>25.14</v>
      </c>
      <c r="H145" s="18">
        <f t="shared" si="9"/>
        <v>34.765750000000004</v>
      </c>
      <c r="I145" s="5"/>
      <c r="J145" s="17">
        <v>1029.7736</v>
      </c>
      <c r="K145" s="18">
        <v>33.863599999999998</v>
      </c>
      <c r="L145" s="18">
        <v>39.133299999999998</v>
      </c>
      <c r="M145" s="18">
        <v>40.359299999999998</v>
      </c>
      <c r="N145" s="18">
        <v>28.175599999999999</v>
      </c>
      <c r="O145" s="18">
        <f t="shared" si="10"/>
        <v>35.334274999999998</v>
      </c>
      <c r="P145" s="7"/>
      <c r="Q145" s="10"/>
      <c r="R145" s="11"/>
      <c r="S145" s="11"/>
      <c r="T145" s="26"/>
      <c r="U145" s="28">
        <f t="shared" si="11"/>
        <v>0.12074781225139215</v>
      </c>
    </row>
    <row r="146" spans="1:21" ht="16.5" thickBot="1" x14ac:dyDescent="0.3">
      <c r="B146" s="12"/>
      <c r="C146" s="19">
        <v>839.46</v>
      </c>
      <c r="D146" s="20">
        <v>31.591999999999999</v>
      </c>
      <c r="E146" s="20">
        <v>37.174999999999997</v>
      </c>
      <c r="F146" s="20">
        <v>38.746000000000002</v>
      </c>
      <c r="G146" s="20">
        <v>27.37</v>
      </c>
      <c r="H146" s="20">
        <f t="shared" si="9"/>
        <v>33.184124999999995</v>
      </c>
      <c r="I146" s="5"/>
      <c r="J146" s="19">
        <v>618.62159999999994</v>
      </c>
      <c r="K146" s="20">
        <v>32.278500000000001</v>
      </c>
      <c r="L146" s="20">
        <v>38.1342</v>
      </c>
      <c r="M146" s="20">
        <v>39.500999999999998</v>
      </c>
      <c r="N146" s="20">
        <v>34.266100000000002</v>
      </c>
      <c r="O146" s="20">
        <f t="shared" si="10"/>
        <v>33.913274999999999</v>
      </c>
      <c r="P146" s="7"/>
      <c r="Q146" s="13"/>
      <c r="R146" s="14"/>
      <c r="S146" s="14"/>
      <c r="T146" s="27"/>
      <c r="U146" s="28">
        <f t="shared" si="11"/>
        <v>0.25195834855681404</v>
      </c>
    </row>
    <row r="147" spans="1:21" x14ac:dyDescent="0.25">
      <c r="B147" s="6" t="s">
        <v>50</v>
      </c>
      <c r="C147" s="15">
        <v>3527.68</v>
      </c>
      <c r="D147" s="16">
        <v>34.64</v>
      </c>
      <c r="E147" s="16">
        <v>38.149000000000001</v>
      </c>
      <c r="F147" s="16">
        <v>39.862000000000002</v>
      </c>
      <c r="G147" s="16">
        <v>24.62</v>
      </c>
      <c r="H147" s="16">
        <f t="shared" si="9"/>
        <v>35.731375</v>
      </c>
      <c r="I147" s="5"/>
      <c r="J147" s="15">
        <v>2408.6543999999999</v>
      </c>
      <c r="K147" s="16">
        <v>34.863300000000002</v>
      </c>
      <c r="L147" s="16">
        <v>38.607999999999997</v>
      </c>
      <c r="M147" s="16">
        <v>41.192100000000003</v>
      </c>
      <c r="N147" s="16">
        <v>27.7454</v>
      </c>
      <c r="O147" s="16">
        <f t="shared" si="10"/>
        <v>36.122487499999998</v>
      </c>
      <c r="P147" s="7"/>
      <c r="Q147" s="8">
        <f>bdrate(C147:C150,D147:D150,J147:J150,K147:K150)</f>
        <v>-0.43611305105938913</v>
      </c>
      <c r="R147" s="8">
        <f>bdrate(C147:C150,E147:E150,J147:J150,L147:L150)</f>
        <v>-0.64529182458018486</v>
      </c>
      <c r="S147" s="8">
        <f>bdrate(C147:C150,F147:F150,J147:J150,M147:M150)</f>
        <v>-0.66868478589162261</v>
      </c>
      <c r="T147" s="25">
        <f>bdrate(C147:C150,H147:H150,J147:J150,O147:O150)</f>
        <v>-0.47405623207451686</v>
      </c>
      <c r="U147" s="28">
        <f t="shared" si="11"/>
        <v>0.12694557270511775</v>
      </c>
    </row>
    <row r="148" spans="1:21" x14ac:dyDescent="0.25">
      <c r="B148" s="9"/>
      <c r="C148" s="17">
        <v>2352.4699999999998</v>
      </c>
      <c r="D148" s="18">
        <v>33.226999999999997</v>
      </c>
      <c r="E148" s="18">
        <v>37.581000000000003</v>
      </c>
      <c r="F148" s="18">
        <v>38.969000000000001</v>
      </c>
      <c r="G148" s="18">
        <v>27.35</v>
      </c>
      <c r="H148" s="18">
        <f t="shared" si="9"/>
        <v>34.488999999999997</v>
      </c>
      <c r="I148" s="5"/>
      <c r="J148" s="17">
        <v>1606.7224000000001</v>
      </c>
      <c r="K148" s="18">
        <v>33.726999999999997</v>
      </c>
      <c r="L148" s="18">
        <v>38.240499999999997</v>
      </c>
      <c r="M148" s="18">
        <v>40.393999999999998</v>
      </c>
      <c r="N148" s="18">
        <v>33.5976</v>
      </c>
      <c r="O148" s="18">
        <f t="shared" si="10"/>
        <v>35.124562499999996</v>
      </c>
      <c r="P148" s="7"/>
      <c r="Q148" s="10"/>
      <c r="R148" s="11"/>
      <c r="S148" s="11"/>
      <c r="T148" s="26"/>
      <c r="U148" s="28">
        <f t="shared" si="11"/>
        <v>0.2284314442413162</v>
      </c>
    </row>
    <row r="149" spans="1:21" x14ac:dyDescent="0.25">
      <c r="B149" s="9"/>
      <c r="C149" s="17">
        <v>1463.87</v>
      </c>
      <c r="D149" s="18">
        <v>31.395</v>
      </c>
      <c r="E149" s="18">
        <v>36.923000000000002</v>
      </c>
      <c r="F149" s="18">
        <v>37.832999999999998</v>
      </c>
      <c r="G149" s="18">
        <v>29.76</v>
      </c>
      <c r="H149" s="18">
        <f t="shared" si="9"/>
        <v>32.890749999999997</v>
      </c>
      <c r="I149" s="5"/>
      <c r="J149" s="17">
        <v>999.46</v>
      </c>
      <c r="K149" s="18">
        <v>32.203299999999999</v>
      </c>
      <c r="L149" s="18">
        <v>37.8202</v>
      </c>
      <c r="M149" s="18">
        <v>39.489400000000003</v>
      </c>
      <c r="N149" s="18">
        <v>40.610799999999998</v>
      </c>
      <c r="O149" s="18">
        <f t="shared" si="10"/>
        <v>33.816175000000001</v>
      </c>
      <c r="P149" s="7"/>
      <c r="Q149" s="10"/>
      <c r="R149" s="11"/>
      <c r="S149" s="11"/>
      <c r="T149" s="26"/>
      <c r="U149" s="28">
        <f t="shared" si="11"/>
        <v>0.36461021505376329</v>
      </c>
    </row>
    <row r="150" spans="1:21" ht="16.5" thickBot="1" x14ac:dyDescent="0.3">
      <c r="B150" s="12"/>
      <c r="C150" s="19">
        <v>882.69</v>
      </c>
      <c r="D150" s="20">
        <v>29.251000000000001</v>
      </c>
      <c r="E150" s="20">
        <v>36.220999999999997</v>
      </c>
      <c r="F150" s="20">
        <v>36.76</v>
      </c>
      <c r="G150" s="20">
        <v>30.44</v>
      </c>
      <c r="H150" s="20">
        <f t="shared" si="9"/>
        <v>31.060874999999999</v>
      </c>
      <c r="I150" s="5"/>
      <c r="J150" s="19">
        <v>591.36320000000001</v>
      </c>
      <c r="K150" s="20">
        <v>30.4682</v>
      </c>
      <c r="L150" s="20">
        <v>37.155700000000003</v>
      </c>
      <c r="M150" s="20">
        <v>38.3904</v>
      </c>
      <c r="N150" s="20">
        <v>49.534399999999998</v>
      </c>
      <c r="O150" s="20">
        <f t="shared" si="10"/>
        <v>32.2944125</v>
      </c>
      <c r="P150" s="7"/>
      <c r="Q150" s="13"/>
      <c r="R150" s="14"/>
      <c r="S150" s="14"/>
      <c r="T150" s="27"/>
      <c r="U150" s="28">
        <f t="shared" si="11"/>
        <v>0.62727989487516411</v>
      </c>
    </row>
    <row r="151" spans="1:21" x14ac:dyDescent="0.25">
      <c r="B151" s="6" t="s">
        <v>51</v>
      </c>
      <c r="C151" s="29">
        <v>3575.71</v>
      </c>
      <c r="D151" s="30">
        <v>34.281999999999996</v>
      </c>
      <c r="E151" s="30">
        <v>39.92</v>
      </c>
      <c r="F151" s="30">
        <v>39.619999999999997</v>
      </c>
      <c r="G151" s="16">
        <v>21.67</v>
      </c>
      <c r="H151" s="16">
        <f t="shared" si="9"/>
        <v>35.653999999999996</v>
      </c>
      <c r="I151" s="5"/>
      <c r="J151" s="29">
        <v>2443.4423999999999</v>
      </c>
      <c r="K151" s="30">
        <v>34.589300000000001</v>
      </c>
      <c r="L151" s="30">
        <v>41.152200000000001</v>
      </c>
      <c r="M151" s="30">
        <v>40.897100000000002</v>
      </c>
      <c r="N151" s="16">
        <v>23.393999999999998</v>
      </c>
      <c r="O151" s="16">
        <f t="shared" si="10"/>
        <v>36.198137500000001</v>
      </c>
      <c r="P151" s="7"/>
      <c r="Q151" s="8">
        <f>bdrate(C151:C154,D151:D154,J151:J154,K151:K154)</f>
        <v>-0.4621125952503855</v>
      </c>
      <c r="R151" s="8">
        <f>bdrate(C151:C154,E151:E154,J151:J154,L151:L154)</f>
        <v>-0.70093676529308124</v>
      </c>
      <c r="S151" s="8">
        <f>bdrate(C151:C154,F151:F154,J151:J154,M151:M154)</f>
        <v>-0.63098036597556306</v>
      </c>
      <c r="T151" s="25">
        <f>bdrate(C151:C154,H151:H154,J151:J154,O151:O154)</f>
        <v>-0.5007471284260101</v>
      </c>
      <c r="U151" s="28">
        <f t="shared" si="11"/>
        <v>7.9556991232117971E-2</v>
      </c>
    </row>
    <row r="152" spans="1:21" x14ac:dyDescent="0.25">
      <c r="B152" s="9"/>
      <c r="C152" s="31">
        <v>2378.0500000000002</v>
      </c>
      <c r="D152" s="32">
        <v>32.619999999999997</v>
      </c>
      <c r="E152" s="32">
        <v>39.075000000000003</v>
      </c>
      <c r="F152" s="32">
        <v>38.512999999999998</v>
      </c>
      <c r="G152" s="18">
        <v>25.04</v>
      </c>
      <c r="H152" s="18">
        <f t="shared" si="9"/>
        <v>34.163499999999992</v>
      </c>
      <c r="I152" s="5"/>
      <c r="J152" s="31">
        <v>1626.9232</v>
      </c>
      <c r="K152" s="32">
        <v>33.280500000000004</v>
      </c>
      <c r="L152" s="32">
        <v>40.505299999999998</v>
      </c>
      <c r="M152" s="32">
        <v>39.987400000000001</v>
      </c>
      <c r="N152" s="18">
        <v>26.910699999999999</v>
      </c>
      <c r="O152" s="18">
        <f t="shared" si="10"/>
        <v>35.021962500000001</v>
      </c>
      <c r="P152" s="7"/>
      <c r="Q152" s="10"/>
      <c r="R152" s="11"/>
      <c r="S152" s="11"/>
      <c r="T152" s="26"/>
      <c r="U152" s="28">
        <f t="shared" si="11"/>
        <v>7.4708466453674099E-2</v>
      </c>
    </row>
    <row r="153" spans="1:21" x14ac:dyDescent="0.25">
      <c r="B153" s="9"/>
      <c r="C153" s="31">
        <v>1473.32</v>
      </c>
      <c r="D153" s="32">
        <v>30.318999999999999</v>
      </c>
      <c r="E153" s="32">
        <v>38.033999999999999</v>
      </c>
      <c r="F153" s="32">
        <v>37.125999999999998</v>
      </c>
      <c r="G153" s="18">
        <v>27.61</v>
      </c>
      <c r="H153" s="18">
        <f t="shared" si="9"/>
        <v>32.134249999999994</v>
      </c>
      <c r="I153" s="5"/>
      <c r="J153" s="31">
        <v>1012.8088</v>
      </c>
      <c r="K153" s="32">
        <v>31.639900000000001</v>
      </c>
      <c r="L153" s="32">
        <v>39.775199999999998</v>
      </c>
      <c r="M153" s="32">
        <v>38.910499999999999</v>
      </c>
      <c r="N153" s="18">
        <v>32.737499999999997</v>
      </c>
      <c r="O153" s="18">
        <f t="shared" si="10"/>
        <v>33.565637500000001</v>
      </c>
      <c r="P153" s="7"/>
      <c r="Q153" s="10"/>
      <c r="R153" s="11"/>
      <c r="S153" s="11"/>
      <c r="T153" s="26"/>
      <c r="U153" s="28">
        <f t="shared" si="11"/>
        <v>0.18571169865990575</v>
      </c>
    </row>
    <row r="154" spans="1:21" ht="16.5" thickBot="1" x14ac:dyDescent="0.3">
      <c r="B154" s="12"/>
      <c r="C154" s="33">
        <v>882.97</v>
      </c>
      <c r="D154" s="34">
        <v>27.428000000000001</v>
      </c>
      <c r="E154" s="34">
        <v>36.886000000000003</v>
      </c>
      <c r="F154" s="34">
        <v>35.284999999999997</v>
      </c>
      <c r="G154" s="20">
        <v>28.31</v>
      </c>
      <c r="H154" s="20">
        <f t="shared" si="9"/>
        <v>29.592375000000001</v>
      </c>
      <c r="I154" s="5"/>
      <c r="J154" s="33">
        <v>605.67359999999996</v>
      </c>
      <c r="K154" s="34">
        <v>29.816500000000001</v>
      </c>
      <c r="L154" s="34">
        <v>38.729799999999997</v>
      </c>
      <c r="M154" s="34">
        <v>37.469700000000003</v>
      </c>
      <c r="N154" s="20">
        <v>39.704599999999999</v>
      </c>
      <c r="O154" s="20">
        <f t="shared" si="10"/>
        <v>31.8873125</v>
      </c>
      <c r="P154" s="7"/>
      <c r="Q154" s="13"/>
      <c r="R154" s="14"/>
      <c r="S154" s="14"/>
      <c r="T154" s="27"/>
      <c r="U154" s="28">
        <f t="shared" si="11"/>
        <v>0.40249381843871429</v>
      </c>
    </row>
    <row r="155" spans="1:21" x14ac:dyDescent="0.25">
      <c r="B155" s="6" t="s">
        <v>52</v>
      </c>
      <c r="C155" s="15">
        <v>3604.69</v>
      </c>
      <c r="D155" s="16">
        <v>33.375999999999998</v>
      </c>
      <c r="E155" s="16">
        <v>39.079000000000001</v>
      </c>
      <c r="F155" s="16">
        <v>41.796999999999997</v>
      </c>
      <c r="G155" s="16">
        <v>26.78</v>
      </c>
      <c r="H155" s="16">
        <f t="shared" si="9"/>
        <v>35.141499999999994</v>
      </c>
      <c r="I155" s="5"/>
      <c r="J155" s="15">
        <v>2419.6648</v>
      </c>
      <c r="K155" s="16">
        <v>33.992699999999999</v>
      </c>
      <c r="L155" s="16">
        <v>40.392299999999999</v>
      </c>
      <c r="M155" s="16">
        <v>42.814399999999999</v>
      </c>
      <c r="N155" s="16">
        <v>24.762699999999999</v>
      </c>
      <c r="O155" s="16">
        <f t="shared" si="10"/>
        <v>35.895362499999997</v>
      </c>
      <c r="P155" s="7"/>
      <c r="Q155" s="8">
        <f>bdrate(C155:C158,D155:D158,J155:J158,K155:K158)</f>
        <v>-0.56875036786472388</v>
      </c>
      <c r="R155" s="8">
        <f>bdrate(C155:C158,E155:E158,J155:J158,L155:L158)</f>
        <v>-0.76085139406797986</v>
      </c>
      <c r="S155" s="8">
        <f>bdrate(C155:C158,F155:F158,J155:J158,M155:M158)</f>
        <v>-0.73752634659544081</v>
      </c>
      <c r="T155" s="25">
        <f>bdrate(C155:C158,H155:H158,J155:J158,O155:O158)</f>
        <v>-0.59755830007941912</v>
      </c>
      <c r="U155" s="28">
        <f t="shared" si="11"/>
        <v>-7.5328603435399641E-2</v>
      </c>
    </row>
    <row r="156" spans="1:21" x14ac:dyDescent="0.25">
      <c r="B156" s="9"/>
      <c r="C156" s="17">
        <v>2376.98</v>
      </c>
      <c r="D156" s="18">
        <v>32.459000000000003</v>
      </c>
      <c r="E156" s="18">
        <v>38.597999999999999</v>
      </c>
      <c r="F156" s="18">
        <v>41.276000000000003</v>
      </c>
      <c r="G156" s="18">
        <v>29.25</v>
      </c>
      <c r="H156" s="18">
        <f t="shared" si="9"/>
        <v>34.328500000000005</v>
      </c>
      <c r="I156" s="5"/>
      <c r="J156" s="17">
        <v>1585.144</v>
      </c>
      <c r="K156" s="18">
        <v>33.328499999999998</v>
      </c>
      <c r="L156" s="18">
        <v>39.914000000000001</v>
      </c>
      <c r="M156" s="18">
        <v>42.397799999999997</v>
      </c>
      <c r="N156" s="18">
        <v>29.883500000000002</v>
      </c>
      <c r="O156" s="18">
        <f t="shared" si="10"/>
        <v>35.285350000000001</v>
      </c>
      <c r="P156" s="7"/>
      <c r="Q156" s="10"/>
      <c r="R156" s="11"/>
      <c r="S156" s="11"/>
      <c r="T156" s="26"/>
      <c r="U156" s="28">
        <f t="shared" si="11"/>
        <v>2.1658119658119708E-2</v>
      </c>
    </row>
    <row r="157" spans="1:21" x14ac:dyDescent="0.25">
      <c r="B157" s="9"/>
      <c r="C157" s="17">
        <v>1466.57</v>
      </c>
      <c r="D157" s="18">
        <v>31.047000000000001</v>
      </c>
      <c r="E157" s="18">
        <v>38.087000000000003</v>
      </c>
      <c r="F157" s="18">
        <v>40.877000000000002</v>
      </c>
      <c r="G157" s="18">
        <v>30.67</v>
      </c>
      <c r="H157" s="18">
        <f t="shared" si="9"/>
        <v>33.155750000000005</v>
      </c>
      <c r="I157" s="5"/>
      <c r="J157" s="17">
        <v>987.2328</v>
      </c>
      <c r="K157" s="18">
        <v>32.335099999999997</v>
      </c>
      <c r="L157" s="18">
        <v>39.224200000000003</v>
      </c>
      <c r="M157" s="18">
        <v>41.779400000000003</v>
      </c>
      <c r="N157" s="18">
        <v>36.075000000000003</v>
      </c>
      <c r="O157" s="18">
        <f t="shared" si="10"/>
        <v>34.376774999999995</v>
      </c>
      <c r="P157" s="7"/>
      <c r="Q157" s="10"/>
      <c r="R157" s="11"/>
      <c r="S157" s="11"/>
      <c r="T157" s="26"/>
      <c r="U157" s="28">
        <f t="shared" si="11"/>
        <v>0.17623084447342682</v>
      </c>
    </row>
    <row r="158" spans="1:21" ht="16.5" thickBot="1" x14ac:dyDescent="0.3">
      <c r="B158" s="12"/>
      <c r="C158" s="19">
        <v>862.06</v>
      </c>
      <c r="D158" s="20">
        <v>29.076000000000001</v>
      </c>
      <c r="E158" s="20">
        <v>37.462000000000003</v>
      </c>
      <c r="F158" s="20">
        <v>39.981000000000002</v>
      </c>
      <c r="G158" s="20">
        <v>31.42</v>
      </c>
      <c r="H158" s="20">
        <f t="shared" si="9"/>
        <v>31.487375</v>
      </c>
      <c r="I158" s="5"/>
      <c r="J158" s="19">
        <v>582.75120000000004</v>
      </c>
      <c r="K158" s="20">
        <v>30.9209</v>
      </c>
      <c r="L158" s="20">
        <v>38.650399999999998</v>
      </c>
      <c r="M158" s="20">
        <v>41.248899999999999</v>
      </c>
      <c r="N158" s="20">
        <v>45.826000000000001</v>
      </c>
      <c r="O158" s="20">
        <f t="shared" si="10"/>
        <v>33.178087499999997</v>
      </c>
      <c r="P158" s="7"/>
      <c r="Q158" s="13"/>
      <c r="R158" s="14"/>
      <c r="S158" s="14"/>
      <c r="T158" s="27"/>
      <c r="U158" s="28">
        <f t="shared" si="11"/>
        <v>0.45849777211966891</v>
      </c>
    </row>
    <row r="159" spans="1:21" x14ac:dyDescent="0.25">
      <c r="A159" s="6" t="s">
        <v>39</v>
      </c>
      <c r="B159" s="6" t="s">
        <v>53</v>
      </c>
      <c r="C159" s="15">
        <v>1546.65</v>
      </c>
      <c r="D159" s="16">
        <v>35.35</v>
      </c>
      <c r="E159" s="16">
        <v>38.74</v>
      </c>
      <c r="F159" s="16">
        <v>38.683999999999997</v>
      </c>
      <c r="G159" s="16">
        <v>103.03</v>
      </c>
      <c r="H159" s="16">
        <f t="shared" si="9"/>
        <v>36.1905</v>
      </c>
      <c r="I159" s="5"/>
      <c r="J159" s="15">
        <v>1213.7840000000001</v>
      </c>
      <c r="K159" s="16">
        <v>36.590600000000002</v>
      </c>
      <c r="L159" s="16">
        <v>40.962400000000002</v>
      </c>
      <c r="M159" s="16">
        <v>40.972700000000003</v>
      </c>
      <c r="N159" s="16">
        <v>76.417500000000004</v>
      </c>
      <c r="O159" s="16">
        <f t="shared" si="10"/>
        <v>37.6848375</v>
      </c>
      <c r="P159" s="7"/>
      <c r="Q159" s="8">
        <f>bdrate(C159:C162,D159:D162,J159:J162,K159:K162)</f>
        <v>-0.40011056185528415</v>
      </c>
      <c r="R159" s="8">
        <f>bdrate(C159:C162,E159:E162,J159:J162,L159:L162)</f>
        <v>-0.64484307639625693</v>
      </c>
      <c r="S159" s="8">
        <f>bdrate(C159:C162,F159:F162,J159:J162,M159:M162)</f>
        <v>-0.60825207979660667</v>
      </c>
      <c r="T159" s="25">
        <f>bdrate(C159:C162,H159:H162,J159:J162,O159:O162)</f>
        <v>-0.45254284211868789</v>
      </c>
      <c r="U159" s="28">
        <f t="shared" si="11"/>
        <v>-0.25829855381927591</v>
      </c>
    </row>
    <row r="160" spans="1:21" x14ac:dyDescent="0.25">
      <c r="A160" s="9" t="s">
        <v>40</v>
      </c>
      <c r="B160" s="9"/>
      <c r="C160" s="17">
        <v>1046.5999999999999</v>
      </c>
      <c r="D160" s="18">
        <v>33.822000000000003</v>
      </c>
      <c r="E160" s="18">
        <v>37.537999999999997</v>
      </c>
      <c r="F160" s="18">
        <v>37.378</v>
      </c>
      <c r="G160" s="18">
        <v>117.81</v>
      </c>
      <c r="H160" s="18">
        <f t="shared" si="9"/>
        <v>34.731000000000002</v>
      </c>
      <c r="I160" s="5"/>
      <c r="J160" s="17">
        <v>807.08720000000005</v>
      </c>
      <c r="K160" s="18">
        <v>34.828000000000003</v>
      </c>
      <c r="L160" s="18">
        <v>39.708399999999997</v>
      </c>
      <c r="M160" s="18">
        <v>39.510300000000001</v>
      </c>
      <c r="N160" s="18">
        <v>89.015500000000003</v>
      </c>
      <c r="O160" s="18">
        <f t="shared" si="10"/>
        <v>36.023337499999997</v>
      </c>
      <c r="P160" s="7"/>
      <c r="Q160" s="10"/>
      <c r="R160" s="11"/>
      <c r="S160" s="11"/>
      <c r="T160" s="26"/>
      <c r="U160" s="28">
        <f t="shared" si="11"/>
        <v>-0.24441473559120616</v>
      </c>
    </row>
    <row r="161" spans="1:21" x14ac:dyDescent="0.25">
      <c r="B161" s="9"/>
      <c r="C161" s="17">
        <v>645.12</v>
      </c>
      <c r="D161" s="18">
        <v>31.861999999999998</v>
      </c>
      <c r="E161" s="18">
        <v>36.212000000000003</v>
      </c>
      <c r="F161" s="18">
        <v>35.890999999999998</v>
      </c>
      <c r="G161" s="18">
        <v>134.66</v>
      </c>
      <c r="H161" s="18">
        <f t="shared" si="9"/>
        <v>32.909375000000004</v>
      </c>
      <c r="I161" s="5"/>
      <c r="J161" s="17">
        <v>502.71440000000001</v>
      </c>
      <c r="K161" s="18">
        <v>32.887999999999998</v>
      </c>
      <c r="L161" s="18">
        <v>38.402900000000002</v>
      </c>
      <c r="M161" s="18">
        <v>38.016100000000002</v>
      </c>
      <c r="N161" s="18">
        <v>103.6699</v>
      </c>
      <c r="O161" s="18">
        <f t="shared" si="10"/>
        <v>34.218374999999995</v>
      </c>
      <c r="P161" s="7"/>
      <c r="Q161" s="10"/>
      <c r="R161" s="11"/>
      <c r="S161" s="11"/>
      <c r="T161" s="26"/>
      <c r="U161" s="28">
        <f t="shared" si="11"/>
        <v>-0.23013589781672358</v>
      </c>
    </row>
    <row r="162" spans="1:21" ht="16.5" thickBot="1" x14ac:dyDescent="0.3">
      <c r="B162" s="12"/>
      <c r="C162" s="19">
        <v>395.82</v>
      </c>
      <c r="D162" s="20">
        <v>29.736000000000001</v>
      </c>
      <c r="E162" s="20">
        <v>35.024000000000001</v>
      </c>
      <c r="F162" s="20">
        <v>34.515000000000001</v>
      </c>
      <c r="G162" s="20">
        <v>157.13</v>
      </c>
      <c r="H162" s="20">
        <f t="shared" si="9"/>
        <v>30.994374999999998</v>
      </c>
      <c r="I162" s="5"/>
      <c r="J162" s="19">
        <v>298.29199999999997</v>
      </c>
      <c r="K162" s="20">
        <v>30.8874</v>
      </c>
      <c r="L162" s="20">
        <v>36.963000000000001</v>
      </c>
      <c r="M162" s="20">
        <v>36.453400000000002</v>
      </c>
      <c r="N162" s="20">
        <v>125.1878</v>
      </c>
      <c r="O162" s="20">
        <f t="shared" si="10"/>
        <v>32.342599999999997</v>
      </c>
      <c r="P162" s="7"/>
      <c r="Q162" s="13"/>
      <c r="R162" s="14"/>
      <c r="S162" s="14"/>
      <c r="T162" s="27"/>
      <c r="U162" s="28">
        <f t="shared" si="11"/>
        <v>-0.20328517787819003</v>
      </c>
    </row>
    <row r="163" spans="1:21" x14ac:dyDescent="0.25">
      <c r="B163" s="6" t="s">
        <v>54</v>
      </c>
      <c r="C163" s="15">
        <v>1560.66</v>
      </c>
      <c r="D163" s="16">
        <v>35.69</v>
      </c>
      <c r="E163" s="16">
        <v>40.106999999999999</v>
      </c>
      <c r="F163" s="16">
        <v>40.924999999999997</v>
      </c>
      <c r="G163" s="16">
        <v>116.19</v>
      </c>
      <c r="H163" s="16">
        <f t="shared" si="9"/>
        <v>36.896499999999996</v>
      </c>
      <c r="I163" s="5"/>
      <c r="J163" s="15">
        <v>1211.7768000000001</v>
      </c>
      <c r="K163" s="16">
        <v>36.023800000000001</v>
      </c>
      <c r="L163" s="16">
        <v>41.661200000000001</v>
      </c>
      <c r="M163" s="16">
        <v>42.646900000000002</v>
      </c>
      <c r="N163" s="16">
        <v>83.798900000000003</v>
      </c>
      <c r="O163" s="16">
        <f t="shared" si="10"/>
        <v>37.556362500000006</v>
      </c>
      <c r="P163" s="7"/>
      <c r="Q163" s="8">
        <f>bdrate(C163:C166,D163:D166,J163:J166,K163:K166)</f>
        <v>-0.35632120381390697</v>
      </c>
      <c r="R163" s="8">
        <f>bdrate(C163:C166,E163:E166,J163:J166,L163:L166)</f>
        <v>-0.6017715097662103</v>
      </c>
      <c r="S163" s="8">
        <f>bdrate(C163:C166,F163:F166,J163:J166,M163:M166)</f>
        <v>-0.59293651547983672</v>
      </c>
      <c r="T163" s="25">
        <f>bdrate(C163:C166,H163:H166,J163:J166,O163:O166)</f>
        <v>-0.4015698538738518</v>
      </c>
      <c r="U163" s="28">
        <f t="shared" si="11"/>
        <v>-0.27877700318443926</v>
      </c>
    </row>
    <row r="164" spans="1:21" x14ac:dyDescent="0.25">
      <c r="B164" s="9"/>
      <c r="C164" s="17">
        <v>1057.33</v>
      </c>
      <c r="D164" s="18">
        <v>33.972000000000001</v>
      </c>
      <c r="E164" s="18">
        <v>39.234000000000002</v>
      </c>
      <c r="F164" s="18">
        <v>39.94</v>
      </c>
      <c r="G164" s="18">
        <v>128.21</v>
      </c>
      <c r="H164" s="18">
        <f t="shared" si="9"/>
        <v>35.375749999999996</v>
      </c>
      <c r="I164" s="5"/>
      <c r="J164" s="17">
        <v>806.55039999999997</v>
      </c>
      <c r="K164" s="18">
        <v>34.507100000000001</v>
      </c>
      <c r="L164" s="18">
        <v>40.688200000000002</v>
      </c>
      <c r="M164" s="18">
        <v>41.536000000000001</v>
      </c>
      <c r="N164" s="18">
        <v>97.118799999999993</v>
      </c>
      <c r="O164" s="18">
        <f t="shared" si="10"/>
        <v>36.158349999999999</v>
      </c>
      <c r="P164" s="7"/>
      <c r="Q164" s="10"/>
      <c r="R164" s="11"/>
      <c r="S164" s="11"/>
      <c r="T164" s="26"/>
      <c r="U164" s="28">
        <f t="shared" si="11"/>
        <v>-0.2425021449184932</v>
      </c>
    </row>
    <row r="165" spans="1:21" x14ac:dyDescent="0.25">
      <c r="B165" s="9"/>
      <c r="C165" s="17">
        <v>654.32000000000005</v>
      </c>
      <c r="D165" s="18">
        <v>31.731999999999999</v>
      </c>
      <c r="E165" s="18">
        <v>38.225999999999999</v>
      </c>
      <c r="F165" s="18">
        <v>38.857999999999997</v>
      </c>
      <c r="G165" s="18">
        <v>139.34</v>
      </c>
      <c r="H165" s="18">
        <f t="shared" si="9"/>
        <v>33.4345</v>
      </c>
      <c r="I165" s="5"/>
      <c r="J165" s="17">
        <v>503.95920000000001</v>
      </c>
      <c r="K165" s="18">
        <v>32.668100000000003</v>
      </c>
      <c r="L165" s="18">
        <v>39.637500000000003</v>
      </c>
      <c r="M165" s="18">
        <v>40.353000000000002</v>
      </c>
      <c r="N165" s="18">
        <v>115.85250000000001</v>
      </c>
      <c r="O165" s="18">
        <f t="shared" si="10"/>
        <v>34.4998875</v>
      </c>
      <c r="P165" s="7"/>
      <c r="Q165" s="10"/>
      <c r="R165" s="11"/>
      <c r="S165" s="11"/>
      <c r="T165" s="26"/>
      <c r="U165" s="28">
        <f t="shared" si="11"/>
        <v>-0.16856250897086261</v>
      </c>
    </row>
    <row r="166" spans="1:21" ht="16.5" thickBot="1" x14ac:dyDescent="0.3">
      <c r="B166" s="12"/>
      <c r="C166" s="19">
        <v>404.56</v>
      </c>
      <c r="D166" s="20">
        <v>29.382999999999999</v>
      </c>
      <c r="E166" s="20">
        <v>37.311</v>
      </c>
      <c r="F166" s="20">
        <v>37.735999999999997</v>
      </c>
      <c r="G166" s="20">
        <v>154.47999999999999</v>
      </c>
      <c r="H166" s="20">
        <f t="shared" si="9"/>
        <v>31.418125</v>
      </c>
      <c r="I166" s="5"/>
      <c r="J166" s="19">
        <v>303.59039999999999</v>
      </c>
      <c r="K166" s="20">
        <v>30.608899999999998</v>
      </c>
      <c r="L166" s="20">
        <v>38.517699999999998</v>
      </c>
      <c r="M166" s="20">
        <v>39.084099999999999</v>
      </c>
      <c r="N166" s="20">
        <v>136.8613</v>
      </c>
      <c r="O166" s="20">
        <f t="shared" si="10"/>
        <v>32.656899999999993</v>
      </c>
      <c r="P166" s="7"/>
      <c r="Q166" s="13"/>
      <c r="R166" s="14"/>
      <c r="S166" s="14"/>
      <c r="T166" s="27"/>
      <c r="U166" s="28">
        <f t="shared" si="11"/>
        <v>-0.11405165717244944</v>
      </c>
    </row>
    <row r="167" spans="1:21" x14ac:dyDescent="0.25">
      <c r="B167" s="6" t="s">
        <v>55</v>
      </c>
      <c r="C167" s="15">
        <v>1423.31</v>
      </c>
      <c r="D167" s="16">
        <v>30.140999999999998</v>
      </c>
      <c r="E167" s="16">
        <v>35.822000000000003</v>
      </c>
      <c r="F167" s="16">
        <v>36.536000000000001</v>
      </c>
      <c r="G167" s="16">
        <v>104.08</v>
      </c>
      <c r="H167" s="16">
        <f t="shared" si="9"/>
        <v>31.650500000000001</v>
      </c>
      <c r="I167" s="5"/>
      <c r="J167" s="15">
        <v>1199.4528</v>
      </c>
      <c r="K167" s="16">
        <v>30.982600000000001</v>
      </c>
      <c r="L167" s="16">
        <v>37.644399999999997</v>
      </c>
      <c r="M167" s="16">
        <v>38.508000000000003</v>
      </c>
      <c r="N167" s="16">
        <v>71.839100000000002</v>
      </c>
      <c r="O167" s="16">
        <f t="shared" si="10"/>
        <v>32.756</v>
      </c>
      <c r="P167" s="7"/>
      <c r="Q167" s="8">
        <f>bdrate(C167:C170,D167:D170,J167:J170,K167:K170)</f>
        <v>-0.37579899038397568</v>
      </c>
      <c r="R167" s="8">
        <f>bdrate(C167:C170,E167:E170,J167:J170,L167:L170)</f>
        <v>-0.65571525734561287</v>
      </c>
      <c r="S167" s="8">
        <f>bdrate(C167:C170,F167:F170,J167:J170,M167:M170)</f>
        <v>-0.6574077810809269</v>
      </c>
      <c r="T167" s="25">
        <f>bdrate(C167:C170,H167:H170,J167:J170,O167:O170)</f>
        <v>-0.42713075732794969</v>
      </c>
      <c r="U167" s="28">
        <f t="shared" si="11"/>
        <v>-0.30977036894696386</v>
      </c>
    </row>
    <row r="168" spans="1:21" x14ac:dyDescent="0.25">
      <c r="B168" s="9"/>
      <c r="C168" s="17">
        <v>963.68</v>
      </c>
      <c r="D168" s="18">
        <v>28.721</v>
      </c>
      <c r="E168" s="18">
        <v>35.216999999999999</v>
      </c>
      <c r="F168" s="18">
        <v>35.948</v>
      </c>
      <c r="G168" s="18">
        <v>114.47</v>
      </c>
      <c r="H168" s="18">
        <f t="shared" si="9"/>
        <v>30.436375000000002</v>
      </c>
      <c r="I168" s="5"/>
      <c r="J168" s="17">
        <v>800.01120000000003</v>
      </c>
      <c r="K168" s="18">
        <v>29.6067</v>
      </c>
      <c r="L168" s="18">
        <v>36.7669</v>
      </c>
      <c r="M168" s="18">
        <v>37.57</v>
      </c>
      <c r="N168" s="18">
        <v>82.399500000000003</v>
      </c>
      <c r="O168" s="18">
        <f t="shared" si="10"/>
        <v>31.497137499999997</v>
      </c>
      <c r="P168" s="7"/>
      <c r="Q168" s="10"/>
      <c r="R168" s="11"/>
      <c r="S168" s="11"/>
      <c r="T168" s="26"/>
      <c r="U168" s="28">
        <f t="shared" si="11"/>
        <v>-0.28016510876212103</v>
      </c>
    </row>
    <row r="169" spans="1:21" x14ac:dyDescent="0.25">
      <c r="B169" s="9"/>
      <c r="C169" s="17">
        <v>599.53</v>
      </c>
      <c r="D169" s="18">
        <v>27.123000000000001</v>
      </c>
      <c r="E169" s="18">
        <v>34.595999999999997</v>
      </c>
      <c r="F169" s="18">
        <v>35.319000000000003</v>
      </c>
      <c r="G169" s="18">
        <v>127.19</v>
      </c>
      <c r="H169" s="18">
        <f t="shared" si="9"/>
        <v>29.081625000000003</v>
      </c>
      <c r="I169" s="5"/>
      <c r="J169" s="17">
        <v>504.72480000000002</v>
      </c>
      <c r="K169" s="18">
        <v>28.151800000000001</v>
      </c>
      <c r="L169" s="18">
        <v>35.908900000000003</v>
      </c>
      <c r="M169" s="18">
        <v>36.677</v>
      </c>
      <c r="N169" s="18">
        <v>100.4823</v>
      </c>
      <c r="O169" s="18">
        <f t="shared" si="10"/>
        <v>30.187087500000001</v>
      </c>
      <c r="P169" s="7"/>
      <c r="Q169" s="10"/>
      <c r="R169" s="11"/>
      <c r="S169" s="11"/>
      <c r="T169" s="26"/>
      <c r="U169" s="28">
        <f t="shared" si="11"/>
        <v>-0.20998270304269206</v>
      </c>
    </row>
    <row r="170" spans="1:21" ht="16.5" thickBot="1" x14ac:dyDescent="0.3">
      <c r="B170" s="12"/>
      <c r="C170" s="19">
        <v>370.78</v>
      </c>
      <c r="D170" s="20">
        <v>25.596</v>
      </c>
      <c r="E170" s="20">
        <v>34.052999999999997</v>
      </c>
      <c r="F170" s="20">
        <v>34.753999999999998</v>
      </c>
      <c r="G170" s="20">
        <v>138.05000000000001</v>
      </c>
      <c r="H170" s="20">
        <f t="shared" si="9"/>
        <v>27.797874999999998</v>
      </c>
      <c r="I170" s="5"/>
      <c r="J170" s="19">
        <v>305.16399999999999</v>
      </c>
      <c r="K170" s="20">
        <v>26.611000000000001</v>
      </c>
      <c r="L170" s="20">
        <v>35.055999999999997</v>
      </c>
      <c r="M170" s="20">
        <v>35.767000000000003</v>
      </c>
      <c r="N170" s="20">
        <v>122.3391</v>
      </c>
      <c r="O170" s="20">
        <f t="shared" si="10"/>
        <v>28.811124999999997</v>
      </c>
      <c r="P170" s="7"/>
      <c r="Q170" s="13"/>
      <c r="R170" s="14"/>
      <c r="S170" s="14"/>
      <c r="T170" s="27"/>
      <c r="U170" s="28">
        <f t="shared" si="11"/>
        <v>-0.11380586743933363</v>
      </c>
    </row>
    <row r="171" spans="1:21" x14ac:dyDescent="0.25">
      <c r="B171" s="6" t="s">
        <v>56</v>
      </c>
      <c r="C171" s="15">
        <v>1426</v>
      </c>
      <c r="D171" s="16">
        <v>33.356000000000002</v>
      </c>
      <c r="E171" s="16">
        <v>36.948999999999998</v>
      </c>
      <c r="F171" s="16">
        <v>38.651000000000003</v>
      </c>
      <c r="G171" s="16">
        <v>68.180000000000007</v>
      </c>
      <c r="H171" s="16">
        <f t="shared" si="9"/>
        <v>34.467000000000006</v>
      </c>
      <c r="I171" s="5"/>
      <c r="J171" s="15">
        <v>1190.8</v>
      </c>
      <c r="K171" s="16">
        <v>32.995899999999999</v>
      </c>
      <c r="L171" s="16">
        <v>37.771799999999999</v>
      </c>
      <c r="M171" s="16">
        <v>39.369100000000003</v>
      </c>
      <c r="N171" s="16">
        <v>55.576099999999997</v>
      </c>
      <c r="O171" s="16">
        <f t="shared" si="10"/>
        <v>34.389537499999996</v>
      </c>
      <c r="P171" s="7"/>
      <c r="Q171" s="8">
        <f>bdrate(C171:C174,D171:D174,J171:J174,K171:K174)</f>
        <v>-0.15352524264050005</v>
      </c>
      <c r="R171" s="8">
        <f>bdrate(C171:C174,E171:E174,J171:J174,L171:L174)</f>
        <v>-0.4500422628379529</v>
      </c>
      <c r="S171" s="8">
        <f>bdrate(C171:C174,F171:F174,J171:J174,M171:M174)</f>
        <v>-0.44805074288406765</v>
      </c>
      <c r="T171" s="25">
        <f>bdrate(C171:C174,H171:H174,J171:J174,O171:O174)</f>
        <v>-0.20369959760564316</v>
      </c>
      <c r="U171" s="28">
        <f t="shared" si="11"/>
        <v>-0.18486212965679097</v>
      </c>
    </row>
    <row r="172" spans="1:21" x14ac:dyDescent="0.25">
      <c r="B172" s="9"/>
      <c r="C172" s="17">
        <v>978.26</v>
      </c>
      <c r="D172" s="18">
        <v>31.814</v>
      </c>
      <c r="E172" s="18">
        <v>36.152000000000001</v>
      </c>
      <c r="F172" s="18">
        <v>37.828000000000003</v>
      </c>
      <c r="G172" s="18">
        <v>81.5</v>
      </c>
      <c r="H172" s="18">
        <f t="shared" si="9"/>
        <v>33.108000000000004</v>
      </c>
      <c r="I172" s="5"/>
      <c r="J172" s="17">
        <v>792.78399999999999</v>
      </c>
      <c r="K172" s="18">
        <v>31.4724</v>
      </c>
      <c r="L172" s="18">
        <v>36.898699999999998</v>
      </c>
      <c r="M172" s="18">
        <v>38.523299999999999</v>
      </c>
      <c r="N172" s="18">
        <v>63.465200000000003</v>
      </c>
      <c r="O172" s="18">
        <f t="shared" si="10"/>
        <v>33.032049999999998</v>
      </c>
      <c r="P172" s="7"/>
      <c r="Q172" s="10"/>
      <c r="R172" s="11"/>
      <c r="S172" s="11"/>
      <c r="T172" s="26"/>
      <c r="U172" s="28">
        <f t="shared" si="11"/>
        <v>-0.22128588957055212</v>
      </c>
    </row>
    <row r="173" spans="1:21" x14ac:dyDescent="0.25">
      <c r="B173" s="9"/>
      <c r="C173" s="17">
        <v>612.36</v>
      </c>
      <c r="D173" s="18">
        <v>29.907</v>
      </c>
      <c r="E173" s="18">
        <v>35.246000000000002</v>
      </c>
      <c r="F173" s="18">
        <v>36.822000000000003</v>
      </c>
      <c r="G173" s="18">
        <v>91.13</v>
      </c>
      <c r="H173" s="18">
        <f t="shared" si="9"/>
        <v>31.438750000000002</v>
      </c>
      <c r="I173" s="5"/>
      <c r="J173" s="17">
        <v>496.42160000000001</v>
      </c>
      <c r="K173" s="18">
        <v>29.815799999999999</v>
      </c>
      <c r="L173" s="18">
        <v>35.985399999999998</v>
      </c>
      <c r="M173" s="18">
        <v>37.644500000000001</v>
      </c>
      <c r="N173" s="18">
        <v>73.964500000000001</v>
      </c>
      <c r="O173" s="18">
        <f t="shared" si="10"/>
        <v>31.565587499999999</v>
      </c>
      <c r="P173" s="7"/>
      <c r="Q173" s="10"/>
      <c r="R173" s="11"/>
      <c r="S173" s="11"/>
      <c r="T173" s="26"/>
      <c r="U173" s="28">
        <f t="shared" si="11"/>
        <v>-0.1883627784483704</v>
      </c>
    </row>
    <row r="174" spans="1:21" ht="16.5" thickBot="1" x14ac:dyDescent="0.3">
      <c r="B174" s="12"/>
      <c r="C174" s="19">
        <v>380.91</v>
      </c>
      <c r="D174" s="20">
        <v>28.027000000000001</v>
      </c>
      <c r="E174" s="20">
        <v>34.296999999999997</v>
      </c>
      <c r="F174" s="20">
        <v>35.688000000000002</v>
      </c>
      <c r="G174" s="20">
        <v>105.67</v>
      </c>
      <c r="H174" s="20">
        <f t="shared" si="9"/>
        <v>29.768374999999999</v>
      </c>
      <c r="I174" s="5"/>
      <c r="J174" s="19">
        <v>296.66640000000001</v>
      </c>
      <c r="K174" s="20">
        <v>28.171500000000002</v>
      </c>
      <c r="L174" s="20">
        <v>35.116799999999998</v>
      </c>
      <c r="M174" s="20">
        <v>36.773299999999999</v>
      </c>
      <c r="N174" s="20">
        <v>89.847300000000004</v>
      </c>
      <c r="O174" s="20">
        <f t="shared" si="10"/>
        <v>30.114887500000002</v>
      </c>
      <c r="P174" s="7"/>
      <c r="Q174" s="13"/>
      <c r="R174" s="14"/>
      <c r="S174" s="14"/>
      <c r="T174" s="27"/>
      <c r="U174" s="28">
        <f t="shared" si="11"/>
        <v>-0.1497369168165042</v>
      </c>
    </row>
    <row r="175" spans="1:21" x14ac:dyDescent="0.25">
      <c r="A175" s="6" t="s">
        <v>41</v>
      </c>
      <c r="B175" s="6" t="s">
        <v>57</v>
      </c>
      <c r="C175" s="15">
        <v>851.86</v>
      </c>
      <c r="D175" s="16">
        <v>36.134999999999998</v>
      </c>
      <c r="E175" s="16">
        <v>39.966999999999999</v>
      </c>
      <c r="F175" s="16">
        <v>38.753999999999998</v>
      </c>
      <c r="G175" s="16">
        <v>323.62</v>
      </c>
      <c r="H175" s="16">
        <f t="shared" si="9"/>
        <v>36.941375000000001</v>
      </c>
      <c r="I175" s="5"/>
      <c r="J175" s="15">
        <v>601.71040000000005</v>
      </c>
      <c r="K175" s="16">
        <v>35.1768</v>
      </c>
      <c r="L175" s="16">
        <v>40.9011</v>
      </c>
      <c r="M175" s="16">
        <v>39.289499999999997</v>
      </c>
      <c r="N175" s="16">
        <v>209.46799999999999</v>
      </c>
      <c r="O175" s="16">
        <f t="shared" si="10"/>
        <v>36.406424999999999</v>
      </c>
      <c r="P175" s="7"/>
      <c r="Q175" s="8">
        <f>bdrate(C175:C178,D175:D178,J175:J178,K175:K178)</f>
        <v>-0.18305826835482009</v>
      </c>
      <c r="R175" s="8">
        <f>bdrate(C175:C178,E175:E178,J175:J178,L175:L178)</f>
        <v>-0.51362011002525643</v>
      </c>
      <c r="S175" s="8">
        <f>bdrate(C175:C178,F175:F178,J175:J178,M175:M178)</f>
        <v>-0.44236231938693982</v>
      </c>
      <c r="T175" s="25">
        <f>bdrate(C175:C178,H175:H178,J175:J178,O175:O178)</f>
        <v>-0.23947984393868527</v>
      </c>
      <c r="U175" s="28">
        <f t="shared" si="11"/>
        <v>-0.35273468883258147</v>
      </c>
    </row>
    <row r="176" spans="1:21" x14ac:dyDescent="0.25">
      <c r="A176" s="9" t="s">
        <v>42</v>
      </c>
      <c r="B176" s="9"/>
      <c r="C176" s="17">
        <v>533.16</v>
      </c>
      <c r="D176" s="18">
        <v>33.820999999999998</v>
      </c>
      <c r="E176" s="18">
        <v>38.627000000000002</v>
      </c>
      <c r="F176" s="18">
        <v>37.176000000000002</v>
      </c>
      <c r="G176" s="18">
        <v>359.97</v>
      </c>
      <c r="H176" s="18">
        <f t="shared" si="9"/>
        <v>34.841124999999998</v>
      </c>
      <c r="I176" s="5"/>
      <c r="J176" s="17">
        <v>400.9776</v>
      </c>
      <c r="K176" s="18">
        <v>33.2789</v>
      </c>
      <c r="L176" s="18">
        <v>39.737000000000002</v>
      </c>
      <c r="M176" s="18">
        <v>37.980600000000003</v>
      </c>
      <c r="N176" s="18">
        <v>240.9639</v>
      </c>
      <c r="O176" s="18">
        <f t="shared" si="10"/>
        <v>34.673875000000002</v>
      </c>
      <c r="P176" s="7"/>
      <c r="Q176" s="10"/>
      <c r="R176" s="11"/>
      <c r="S176" s="11"/>
      <c r="T176" s="26"/>
      <c r="U176" s="28">
        <f t="shared" si="11"/>
        <v>-0.33060005000416709</v>
      </c>
    </row>
    <row r="177" spans="1:21" x14ac:dyDescent="0.25">
      <c r="B177" s="9"/>
      <c r="C177" s="17">
        <v>321.87</v>
      </c>
      <c r="D177" s="18">
        <v>31.475000000000001</v>
      </c>
      <c r="E177" s="18">
        <v>37.459000000000003</v>
      </c>
      <c r="F177" s="18">
        <v>35.716000000000001</v>
      </c>
      <c r="G177" s="18">
        <v>410.85</v>
      </c>
      <c r="H177" s="18">
        <f t="shared" si="9"/>
        <v>32.753125000000004</v>
      </c>
      <c r="I177" s="5"/>
      <c r="J177" s="17">
        <v>250.7192</v>
      </c>
      <c r="K177" s="18">
        <v>31.277000000000001</v>
      </c>
      <c r="L177" s="18">
        <v>38.565199999999997</v>
      </c>
      <c r="M177" s="18">
        <v>36.7209</v>
      </c>
      <c r="N177" s="18">
        <v>283.60750000000002</v>
      </c>
      <c r="O177" s="18">
        <f t="shared" si="10"/>
        <v>32.868512500000001</v>
      </c>
      <c r="P177" s="7"/>
      <c r="Q177" s="10"/>
      <c r="R177" s="11"/>
      <c r="S177" s="11"/>
      <c r="T177" s="26"/>
      <c r="U177" s="28">
        <f t="shared" si="11"/>
        <v>-0.30970548862115127</v>
      </c>
    </row>
    <row r="178" spans="1:21" ht="16.5" thickBot="1" x14ac:dyDescent="0.3">
      <c r="B178" s="12"/>
      <c r="C178" s="19">
        <v>162.19</v>
      </c>
      <c r="D178" s="20">
        <v>28.434000000000001</v>
      </c>
      <c r="E178" s="20">
        <v>36.078000000000003</v>
      </c>
      <c r="F178" s="20">
        <v>33.973999999999997</v>
      </c>
      <c r="G178" s="20">
        <v>517.05999999999995</v>
      </c>
      <c r="H178" s="20">
        <f t="shared" si="9"/>
        <v>30.082000000000001</v>
      </c>
      <c r="I178" s="5"/>
      <c r="J178" s="19">
        <v>120.3432</v>
      </c>
      <c r="K178" s="20">
        <v>28.348199999999999</v>
      </c>
      <c r="L178" s="20">
        <v>36.933999999999997</v>
      </c>
      <c r="M178" s="20">
        <v>34.747399999999999</v>
      </c>
      <c r="N178" s="20">
        <v>368.45979999999997</v>
      </c>
      <c r="O178" s="20">
        <f t="shared" si="10"/>
        <v>30.221325</v>
      </c>
      <c r="P178" s="7"/>
      <c r="Q178" s="13"/>
      <c r="R178" s="14"/>
      <c r="S178" s="14"/>
      <c r="T178" s="27"/>
      <c r="U178" s="28">
        <f t="shared" si="11"/>
        <v>-0.287394499671218</v>
      </c>
    </row>
    <row r="179" spans="1:21" x14ac:dyDescent="0.25">
      <c r="B179" s="6" t="s">
        <v>58</v>
      </c>
      <c r="C179" s="15">
        <v>739.63</v>
      </c>
      <c r="D179" s="16">
        <v>32.991</v>
      </c>
      <c r="E179" s="16">
        <v>39.744</v>
      </c>
      <c r="F179" s="16">
        <v>40.487000000000002</v>
      </c>
      <c r="G179" s="16">
        <v>422.54</v>
      </c>
      <c r="H179" s="16">
        <f t="shared" si="9"/>
        <v>34.772125000000003</v>
      </c>
      <c r="I179" s="5"/>
      <c r="J179" s="15">
        <v>597.61360000000002</v>
      </c>
      <c r="K179" s="16">
        <v>34.133200000000002</v>
      </c>
      <c r="L179" s="16">
        <v>42.073599999999999</v>
      </c>
      <c r="M179" s="16">
        <v>43.0398</v>
      </c>
      <c r="N179" s="16">
        <v>244.99799999999999</v>
      </c>
      <c r="O179" s="16">
        <f t="shared" si="10"/>
        <v>36.239075</v>
      </c>
      <c r="P179" s="7"/>
      <c r="Q179" s="8">
        <f>bdrate(C179:C182,D179:D182,J179:J182,K179:K182)</f>
        <v>-0.45601484635708289</v>
      </c>
      <c r="R179" s="8">
        <f>bdrate(C179:C182,E179:E182,J179:J182,L179:L182)</f>
        <v>-0.70489173894323276</v>
      </c>
      <c r="S179" s="8">
        <f>bdrate(C179:C182,F179:F182,J179:J182,M179:M182)</f>
        <v>-0.72909612440736637</v>
      </c>
      <c r="T179" s="25">
        <f>bdrate(C179:C182,H179:H182,J179:J182,O179:O182)</f>
        <v>-0.50255407693387366</v>
      </c>
      <c r="U179" s="28">
        <f t="shared" si="11"/>
        <v>-0.42017797131632512</v>
      </c>
    </row>
    <row r="180" spans="1:21" x14ac:dyDescent="0.25">
      <c r="B180" s="9"/>
      <c r="C180" s="17">
        <v>455.57</v>
      </c>
      <c r="D180" s="18">
        <v>31.262</v>
      </c>
      <c r="E180" s="18">
        <v>39.164000000000001</v>
      </c>
      <c r="F180" s="18">
        <v>39.744</v>
      </c>
      <c r="G180" s="18">
        <v>475.06</v>
      </c>
      <c r="H180" s="18">
        <f t="shared" si="9"/>
        <v>33.31</v>
      </c>
      <c r="I180" s="5"/>
      <c r="J180" s="17">
        <v>397.21199999999999</v>
      </c>
      <c r="K180" s="18">
        <v>32.797199999999997</v>
      </c>
      <c r="L180" s="18">
        <v>41.141599999999997</v>
      </c>
      <c r="M180" s="18">
        <v>42.005400000000002</v>
      </c>
      <c r="N180" s="18">
        <v>300.60120000000001</v>
      </c>
      <c r="O180" s="18">
        <f t="shared" si="10"/>
        <v>34.991274999999995</v>
      </c>
      <c r="P180" s="7"/>
      <c r="Q180" s="10"/>
      <c r="R180" s="11"/>
      <c r="S180" s="11"/>
      <c r="T180" s="26"/>
      <c r="U180" s="28">
        <f t="shared" si="11"/>
        <v>-0.36723529659411441</v>
      </c>
    </row>
    <row r="181" spans="1:21" x14ac:dyDescent="0.25">
      <c r="B181" s="9"/>
      <c r="C181" s="17">
        <v>271.16000000000003</v>
      </c>
      <c r="D181" s="18">
        <v>29.393999999999998</v>
      </c>
      <c r="E181" s="18">
        <v>38.628</v>
      </c>
      <c r="F181" s="18">
        <v>38.911999999999999</v>
      </c>
      <c r="G181" s="18">
        <v>526.78</v>
      </c>
      <c r="H181" s="18">
        <f t="shared" si="9"/>
        <v>31.737999999999996</v>
      </c>
      <c r="I181" s="5"/>
      <c r="J181" s="17">
        <v>248.4144</v>
      </c>
      <c r="K181" s="18">
        <v>31.261700000000001</v>
      </c>
      <c r="L181" s="18">
        <v>40.136099999999999</v>
      </c>
      <c r="M181" s="18">
        <v>40.9985</v>
      </c>
      <c r="N181" s="18">
        <v>359.49669999999998</v>
      </c>
      <c r="O181" s="18">
        <f t="shared" si="10"/>
        <v>33.588099999999997</v>
      </c>
      <c r="P181" s="7"/>
      <c r="Q181" s="10"/>
      <c r="R181" s="11"/>
      <c r="S181" s="11"/>
      <c r="T181" s="26"/>
      <c r="U181" s="28">
        <f t="shared" si="11"/>
        <v>-0.31755818368199251</v>
      </c>
    </row>
    <row r="182" spans="1:21" ht="16.5" thickBot="1" x14ac:dyDescent="0.3">
      <c r="B182" s="12"/>
      <c r="C182" s="19">
        <v>134.53</v>
      </c>
      <c r="D182" s="20">
        <v>26.808</v>
      </c>
      <c r="E182" s="20">
        <v>37.975999999999999</v>
      </c>
      <c r="F182" s="20">
        <v>38.085999999999999</v>
      </c>
      <c r="G182" s="20">
        <v>601.20000000000005</v>
      </c>
      <c r="H182" s="20">
        <f t="shared" si="9"/>
        <v>29.613750000000003</v>
      </c>
      <c r="I182" s="5"/>
      <c r="J182" s="19">
        <v>118.76560000000001</v>
      </c>
      <c r="K182" s="20">
        <v>28.7119</v>
      </c>
      <c r="L182" s="20">
        <v>38.924199999999999</v>
      </c>
      <c r="M182" s="20">
        <v>39.628</v>
      </c>
      <c r="N182" s="20">
        <v>493.01560000000001</v>
      </c>
      <c r="O182" s="20">
        <f t="shared" si="10"/>
        <v>31.35295</v>
      </c>
      <c r="P182" s="7"/>
      <c r="Q182" s="13"/>
      <c r="R182" s="14"/>
      <c r="S182" s="14"/>
      <c r="T182" s="27"/>
      <c r="U182" s="28">
        <f t="shared" si="11"/>
        <v>-0.17994743845642056</v>
      </c>
    </row>
    <row r="183" spans="1:21" x14ac:dyDescent="0.25">
      <c r="B183" s="6" t="s">
        <v>59</v>
      </c>
      <c r="C183" s="29">
        <v>828.37</v>
      </c>
      <c r="D183" s="30">
        <v>34.066000000000003</v>
      </c>
      <c r="E183" s="30">
        <v>37.494</v>
      </c>
      <c r="F183" s="30">
        <v>37.981000000000002</v>
      </c>
      <c r="G183" s="16">
        <v>360.23</v>
      </c>
      <c r="H183" s="16">
        <f t="shared" si="9"/>
        <v>34.983875000000005</v>
      </c>
      <c r="I183" s="5"/>
      <c r="J183" s="29">
        <v>595.93600000000004</v>
      </c>
      <c r="K183" s="30">
        <v>33.4512</v>
      </c>
      <c r="L183" s="30">
        <v>38.905900000000003</v>
      </c>
      <c r="M183" s="30">
        <v>39.772100000000002</v>
      </c>
      <c r="N183" s="16">
        <v>233.97290000000001</v>
      </c>
      <c r="O183" s="16">
        <f t="shared" si="10"/>
        <v>34.92315</v>
      </c>
      <c r="P183" s="7"/>
      <c r="Q183" s="8">
        <f>bdrate(C183:C186,D183:D186,J183:J186,K183:K186)</f>
        <v>-0.22320745803736464</v>
      </c>
      <c r="R183" s="8">
        <f>bdrate(C183:C186,E183:E186,J183:J186,L183:L186)</f>
        <v>-0.61087585188299687</v>
      </c>
      <c r="S183" s="8">
        <f>bdrate(C183:C186,F183:F186,J183:J186,M183:M186)</f>
        <v>-0.66005804000013168</v>
      </c>
      <c r="T183" s="25">
        <f>bdrate(C183:C186,H183:H186,J183:J186,O183:O186)</f>
        <v>-0.30903097615511699</v>
      </c>
      <c r="U183" s="28">
        <f t="shared" si="11"/>
        <v>-0.35049024234516835</v>
      </c>
    </row>
    <row r="184" spans="1:21" x14ac:dyDescent="0.25">
      <c r="B184" s="9"/>
      <c r="C184" s="31">
        <v>516.80999999999995</v>
      </c>
      <c r="D184" s="32">
        <v>32.106999999999999</v>
      </c>
      <c r="E184" s="32">
        <v>36.287999999999997</v>
      </c>
      <c r="F184" s="32">
        <v>36.756</v>
      </c>
      <c r="G184" s="18">
        <v>400.64</v>
      </c>
      <c r="H184" s="18">
        <f t="shared" si="9"/>
        <v>33.210750000000004</v>
      </c>
      <c r="I184" s="5"/>
      <c r="J184" s="31">
        <v>395.93360000000001</v>
      </c>
      <c r="K184" s="32">
        <v>31.919</v>
      </c>
      <c r="L184" s="32">
        <v>37.852499999999999</v>
      </c>
      <c r="M184" s="32">
        <v>38.649799999999999</v>
      </c>
      <c r="N184" s="18">
        <v>269.25150000000002</v>
      </c>
      <c r="O184" s="18">
        <f t="shared" si="10"/>
        <v>33.5020375</v>
      </c>
      <c r="P184" s="7"/>
      <c r="Q184" s="10"/>
      <c r="R184" s="11"/>
      <c r="S184" s="11"/>
      <c r="T184" s="26"/>
      <c r="U184" s="28">
        <f t="shared" si="11"/>
        <v>-0.32794653554313091</v>
      </c>
    </row>
    <row r="185" spans="1:21" x14ac:dyDescent="0.25">
      <c r="B185" s="9"/>
      <c r="C185" s="31">
        <v>307.88</v>
      </c>
      <c r="D185" s="32">
        <v>30.084</v>
      </c>
      <c r="E185" s="32">
        <v>35.283999999999999</v>
      </c>
      <c r="F185" s="32">
        <v>35.798999999999999</v>
      </c>
      <c r="G185" s="18">
        <v>438.98</v>
      </c>
      <c r="H185" s="18">
        <f t="shared" si="9"/>
        <v>31.448374999999999</v>
      </c>
      <c r="I185" s="5"/>
      <c r="J185" s="31">
        <v>248.48240000000001</v>
      </c>
      <c r="K185" s="32">
        <v>30.2729</v>
      </c>
      <c r="L185" s="32">
        <v>36.778399999999998</v>
      </c>
      <c r="M185" s="32">
        <v>37.561100000000003</v>
      </c>
      <c r="N185" s="18">
        <v>327.0111</v>
      </c>
      <c r="O185" s="18">
        <f t="shared" si="10"/>
        <v>31.997112500000004</v>
      </c>
      <c r="P185" s="7"/>
      <c r="Q185" s="10"/>
      <c r="R185" s="11"/>
      <c r="S185" s="11"/>
      <c r="T185" s="26"/>
      <c r="U185" s="28">
        <f t="shared" si="11"/>
        <v>-0.25506606223518158</v>
      </c>
    </row>
    <row r="186" spans="1:21" ht="16.5" thickBot="1" x14ac:dyDescent="0.3">
      <c r="B186" s="12"/>
      <c r="C186" s="33">
        <v>151.54</v>
      </c>
      <c r="D186" s="34">
        <v>27.582000000000001</v>
      </c>
      <c r="E186" s="34">
        <v>34.128</v>
      </c>
      <c r="F186" s="34">
        <v>34.709000000000003</v>
      </c>
      <c r="G186" s="20">
        <v>508.65</v>
      </c>
      <c r="H186" s="20">
        <f t="shared" si="9"/>
        <v>29.291125000000001</v>
      </c>
      <c r="I186" s="5"/>
      <c r="J186" s="33">
        <v>119.44799999999999</v>
      </c>
      <c r="K186" s="34">
        <v>27.844000000000001</v>
      </c>
      <c r="L186" s="34">
        <v>35.276800000000001</v>
      </c>
      <c r="M186" s="34">
        <v>36.0017</v>
      </c>
      <c r="N186" s="20">
        <v>433.2756</v>
      </c>
      <c r="O186" s="20">
        <f t="shared" si="10"/>
        <v>29.792812500000004</v>
      </c>
      <c r="P186" s="7"/>
      <c r="Q186" s="13"/>
      <c r="R186" s="14"/>
      <c r="S186" s="14"/>
      <c r="T186" s="27"/>
      <c r="U186" s="28">
        <f t="shared" si="11"/>
        <v>-0.14818519610734293</v>
      </c>
    </row>
    <row r="187" spans="1:21" x14ac:dyDescent="0.25">
      <c r="B187" s="6" t="s">
        <v>60</v>
      </c>
      <c r="C187" s="15">
        <v>762.7</v>
      </c>
      <c r="D187" s="16">
        <v>35.814999999999998</v>
      </c>
      <c r="E187" s="16">
        <v>37.94</v>
      </c>
      <c r="F187" s="16">
        <v>39.094000000000001</v>
      </c>
      <c r="G187" s="16">
        <v>243.11</v>
      </c>
      <c r="H187" s="16">
        <f t="shared" si="9"/>
        <v>36.490499999999997</v>
      </c>
      <c r="I187" s="5"/>
      <c r="J187" s="15">
        <v>588.24239999999998</v>
      </c>
      <c r="K187" s="16">
        <v>34.526800000000001</v>
      </c>
      <c r="L187" s="16">
        <v>38.69</v>
      </c>
      <c r="M187" s="16">
        <v>39.835099999999997</v>
      </c>
      <c r="N187" s="16">
        <v>142.45009999999999</v>
      </c>
      <c r="O187" s="16">
        <f t="shared" si="10"/>
        <v>35.7107375</v>
      </c>
      <c r="P187" s="7"/>
      <c r="Q187" s="8">
        <f>bdrate(C187:C190,D187:D190,J187:J190,K187:K190)</f>
        <v>-3.8819466013435666E-2</v>
      </c>
      <c r="R187" s="8">
        <f>bdrate(C187:C190,E187:E190,J187:J190,L187:L190)</f>
        <v>-0.43395572750444811</v>
      </c>
      <c r="S187" s="8">
        <f>bdrate(C187:C190,F187:F190,J187:J190,M187:M190)</f>
        <v>-0.43651678532120819</v>
      </c>
      <c r="T187" s="25">
        <f>bdrate(C187:C190,H187:H190,J187:J190,O187:O190)</f>
        <v>-0.11919530651463783</v>
      </c>
      <c r="U187" s="28">
        <f t="shared" si="11"/>
        <v>-0.41405084118300367</v>
      </c>
    </row>
    <row r="188" spans="1:21" x14ac:dyDescent="0.25">
      <c r="B188" s="9"/>
      <c r="C188" s="17">
        <v>478.29</v>
      </c>
      <c r="D188" s="18">
        <v>33.497</v>
      </c>
      <c r="E188" s="18">
        <v>36.630000000000003</v>
      </c>
      <c r="F188" s="18">
        <v>37.777000000000001</v>
      </c>
      <c r="G188" s="18">
        <v>274.73</v>
      </c>
      <c r="H188" s="18">
        <f t="shared" si="9"/>
        <v>34.423625000000001</v>
      </c>
      <c r="I188" s="5"/>
      <c r="J188" s="17">
        <v>390.63839999999999</v>
      </c>
      <c r="K188" s="18">
        <v>32.5717</v>
      </c>
      <c r="L188" s="18">
        <v>37.523299999999999</v>
      </c>
      <c r="M188" s="18">
        <v>38.689799999999998</v>
      </c>
      <c r="N188" s="18">
        <v>168.63409999999999</v>
      </c>
      <c r="O188" s="18">
        <f t="shared" si="10"/>
        <v>33.955412500000001</v>
      </c>
      <c r="P188" s="7"/>
      <c r="Q188" s="10"/>
      <c r="R188" s="11"/>
      <c r="S188" s="11"/>
      <c r="T188" s="26"/>
      <c r="U188" s="28">
        <f t="shared" si="11"/>
        <v>-0.38618243366214111</v>
      </c>
    </row>
    <row r="189" spans="1:21" x14ac:dyDescent="0.25">
      <c r="B189" s="9"/>
      <c r="C189" s="17">
        <v>288.69</v>
      </c>
      <c r="D189" s="18">
        <v>31.2</v>
      </c>
      <c r="E189" s="18">
        <v>35.377000000000002</v>
      </c>
      <c r="F189" s="18">
        <v>36.503</v>
      </c>
      <c r="G189" s="18">
        <v>309.92</v>
      </c>
      <c r="H189" s="18">
        <f t="shared" si="9"/>
        <v>32.384999999999998</v>
      </c>
      <c r="I189" s="5"/>
      <c r="J189" s="17">
        <v>245.31200000000001</v>
      </c>
      <c r="K189" s="18">
        <v>30.718499999999999</v>
      </c>
      <c r="L189" s="18">
        <v>36.339700000000001</v>
      </c>
      <c r="M189" s="18">
        <v>37.498800000000003</v>
      </c>
      <c r="N189" s="18">
        <v>202.42910000000001</v>
      </c>
      <c r="O189" s="18">
        <f t="shared" si="10"/>
        <v>32.268687499999999</v>
      </c>
      <c r="P189" s="7"/>
      <c r="Q189" s="10"/>
      <c r="R189" s="11"/>
      <c r="S189" s="11"/>
      <c r="T189" s="26"/>
      <c r="U189" s="28">
        <f t="shared" si="11"/>
        <v>-0.34683434434692828</v>
      </c>
    </row>
    <row r="190" spans="1:21" ht="16.5" thickBot="1" x14ac:dyDescent="0.3">
      <c r="B190" s="12"/>
      <c r="C190" s="19">
        <v>144.69</v>
      </c>
      <c r="D190" s="20">
        <v>28.382000000000001</v>
      </c>
      <c r="E190" s="20">
        <v>33.959000000000003</v>
      </c>
      <c r="F190" s="20">
        <v>34.923999999999999</v>
      </c>
      <c r="G190" s="20">
        <v>376.88</v>
      </c>
      <c r="H190" s="20">
        <f t="shared" si="9"/>
        <v>29.896875000000001</v>
      </c>
      <c r="I190" s="5"/>
      <c r="J190" s="19">
        <v>117.66</v>
      </c>
      <c r="K190" s="20">
        <v>28.078499999999998</v>
      </c>
      <c r="L190" s="20">
        <v>34.860900000000001</v>
      </c>
      <c r="M190" s="20">
        <v>35.96</v>
      </c>
      <c r="N190" s="20">
        <v>267.14159999999998</v>
      </c>
      <c r="O190" s="20">
        <f t="shared" si="10"/>
        <v>29.911487500000003</v>
      </c>
      <c r="P190" s="7"/>
      <c r="Q190" s="13"/>
      <c r="R190" s="14"/>
      <c r="S190" s="14"/>
      <c r="T190" s="27"/>
      <c r="U190" s="28">
        <f t="shared" si="11"/>
        <v>-0.29117597113139465</v>
      </c>
    </row>
    <row r="191" spans="1:21" x14ac:dyDescent="0.25">
      <c r="A191" s="6" t="s">
        <v>43</v>
      </c>
      <c r="B191" s="6" t="s">
        <v>61</v>
      </c>
      <c r="C191" s="15">
        <v>1918.21</v>
      </c>
      <c r="D191" s="16">
        <v>41.551000000000002</v>
      </c>
      <c r="E191" s="16">
        <v>45.18</v>
      </c>
      <c r="F191" s="16">
        <v>46.383000000000003</v>
      </c>
      <c r="G191" s="16">
        <v>74.25</v>
      </c>
      <c r="H191" s="16">
        <f t="shared" si="9"/>
        <v>42.608624999999996</v>
      </c>
      <c r="I191" s="5"/>
      <c r="J191" s="15">
        <v>1500.9344000000001</v>
      </c>
      <c r="K191" s="16">
        <v>41.893000000000001</v>
      </c>
      <c r="L191" s="16">
        <v>46.505000000000003</v>
      </c>
      <c r="M191" s="16">
        <v>47.790100000000002</v>
      </c>
      <c r="N191" s="16">
        <v>58.519500000000001</v>
      </c>
      <c r="O191" s="16">
        <f t="shared" si="10"/>
        <v>43.206637499999999</v>
      </c>
      <c r="P191" s="7"/>
      <c r="Q191" s="8">
        <f>bdrate(C191:C194,D191:D194,J191:J194,K191:K194)</f>
        <v>-0.33799184676026184</v>
      </c>
      <c r="R191" s="8">
        <f>bdrate(C191:C194,E191:E194,J191:J194,L191:L194)</f>
        <v>-0.58401462983572572</v>
      </c>
      <c r="S191" s="8">
        <f>bdrate(C191:C194,F191:F194,J191:J194,M191:M194)</f>
        <v>-0.58272726732842695</v>
      </c>
      <c r="T191" s="25">
        <f>bdrate(C191:C194,H191:H194,J191:J194,O191:O194)</f>
        <v>-0.39532874281980612</v>
      </c>
      <c r="U191" s="28">
        <f t="shared" si="11"/>
        <v>-0.21185858585858586</v>
      </c>
    </row>
    <row r="192" spans="1:21" x14ac:dyDescent="0.25">
      <c r="A192" s="9" t="s">
        <v>44</v>
      </c>
      <c r="B192" s="9"/>
      <c r="C192" s="17">
        <v>1247.21</v>
      </c>
      <c r="D192" s="18">
        <v>40.399000000000001</v>
      </c>
      <c r="E192" s="18">
        <v>43.988999999999997</v>
      </c>
      <c r="F192" s="18">
        <v>45.113999999999997</v>
      </c>
      <c r="G192" s="18">
        <v>76.459999999999994</v>
      </c>
      <c r="H192" s="18">
        <f t="shared" si="9"/>
        <v>41.437124999999995</v>
      </c>
      <c r="I192" s="5"/>
      <c r="J192" s="17">
        <v>995.35919999999999</v>
      </c>
      <c r="K192" s="18">
        <v>40.898899999999998</v>
      </c>
      <c r="L192" s="18">
        <v>45.712200000000003</v>
      </c>
      <c r="M192" s="18">
        <v>46.932499999999997</v>
      </c>
      <c r="N192" s="18">
        <v>71.352099999999993</v>
      </c>
      <c r="O192" s="18">
        <f t="shared" si="10"/>
        <v>42.254762499999998</v>
      </c>
      <c r="P192" s="7"/>
      <c r="Q192" s="10"/>
      <c r="R192" s="11"/>
      <c r="S192" s="11"/>
      <c r="T192" s="26"/>
      <c r="U192" s="28">
        <f t="shared" si="11"/>
        <v>-6.6804865289040033E-2</v>
      </c>
    </row>
    <row r="193" spans="1:21" x14ac:dyDescent="0.25">
      <c r="B193" s="9"/>
      <c r="C193" s="17">
        <v>738.94</v>
      </c>
      <c r="D193" s="18">
        <v>38.371000000000002</v>
      </c>
      <c r="E193" s="18">
        <v>42.436999999999998</v>
      </c>
      <c r="F193" s="18">
        <v>43.633000000000003</v>
      </c>
      <c r="G193" s="18">
        <v>79.13</v>
      </c>
      <c r="H193" s="18">
        <f t="shared" si="9"/>
        <v>39.536999999999999</v>
      </c>
      <c r="I193" s="5"/>
      <c r="J193" s="17">
        <v>592.80240000000003</v>
      </c>
      <c r="K193" s="18">
        <v>39.127200000000002</v>
      </c>
      <c r="L193" s="18">
        <v>44.331899999999997</v>
      </c>
      <c r="M193" s="18">
        <v>45.475200000000001</v>
      </c>
      <c r="N193" s="18">
        <v>89.445400000000006</v>
      </c>
      <c r="O193" s="18">
        <f t="shared" si="10"/>
        <v>40.571287499999997</v>
      </c>
      <c r="P193" s="7"/>
      <c r="Q193" s="10"/>
      <c r="R193" s="11"/>
      <c r="S193" s="11"/>
      <c r="T193" s="26"/>
      <c r="U193" s="28">
        <f t="shared" si="11"/>
        <v>0.13036016681410353</v>
      </c>
    </row>
    <row r="194" spans="1:21" ht="16.5" thickBot="1" x14ac:dyDescent="0.3">
      <c r="B194" s="12"/>
      <c r="C194" s="19">
        <v>339.34</v>
      </c>
      <c r="D194" s="20">
        <v>34.149000000000001</v>
      </c>
      <c r="E194" s="20">
        <v>40.261000000000003</v>
      </c>
      <c r="F194" s="20">
        <v>41.284999999999997</v>
      </c>
      <c r="G194" s="20">
        <v>78.650000000000006</v>
      </c>
      <c r="H194" s="20">
        <f t="shared" si="9"/>
        <v>35.805</v>
      </c>
      <c r="I194" s="5"/>
      <c r="J194" s="19">
        <v>290.90320000000003</v>
      </c>
      <c r="K194" s="20">
        <v>35.993699999999997</v>
      </c>
      <c r="L194" s="20">
        <v>42.328299999999999</v>
      </c>
      <c r="M194" s="20">
        <v>43.505899999999997</v>
      </c>
      <c r="N194" s="20">
        <v>119.8083</v>
      </c>
      <c r="O194" s="20">
        <f t="shared" si="10"/>
        <v>37.724550000000001</v>
      </c>
      <c r="P194" s="7"/>
      <c r="Q194" s="13"/>
      <c r="R194" s="14"/>
      <c r="S194" s="14"/>
      <c r="T194" s="27"/>
      <c r="U194" s="28">
        <f t="shared" si="11"/>
        <v>0.52330959949141764</v>
      </c>
    </row>
    <row r="195" spans="1:21" x14ac:dyDescent="0.25">
      <c r="B195" s="6" t="s">
        <v>62</v>
      </c>
      <c r="C195" s="15">
        <v>1971.13</v>
      </c>
      <c r="D195" s="16">
        <v>42.453000000000003</v>
      </c>
      <c r="E195" s="16">
        <v>46.963999999999999</v>
      </c>
      <c r="F195" s="16">
        <v>47.430999999999997</v>
      </c>
      <c r="G195" s="16">
        <v>71.489999999999995</v>
      </c>
      <c r="H195" s="16">
        <f t="shared" si="9"/>
        <v>43.639125</v>
      </c>
      <c r="I195" s="5"/>
      <c r="J195" s="15">
        <v>1503.8072</v>
      </c>
      <c r="K195" s="16">
        <v>42.911499999999997</v>
      </c>
      <c r="L195" s="16">
        <v>48.325899999999997</v>
      </c>
      <c r="M195" s="16">
        <v>49.055500000000002</v>
      </c>
      <c r="N195" s="16">
        <v>65.638300000000001</v>
      </c>
      <c r="O195" s="16">
        <f t="shared" si="10"/>
        <v>44.356299999999997</v>
      </c>
      <c r="P195" s="7"/>
      <c r="Q195" s="8">
        <f>bdrate(C195:C198,D195:D198,J195:J198,K195:K198)</f>
        <v>-0.53016745649274477</v>
      </c>
      <c r="R195" s="8">
        <f>bdrate(C195:C198,E195:E198,J195:J198,L195:L198)</f>
        <v>-0.74127881221562542</v>
      </c>
      <c r="S195" s="8">
        <f>bdrate(C195:C198,F195:F198,J195:J198,M195:M198)</f>
        <v>-0.77631319134816312</v>
      </c>
      <c r="T195" s="25">
        <f>bdrate(C195:C198,H195:H198,J195:J198,O195:O198)</f>
        <v>-0.6072511021322502</v>
      </c>
      <c r="U195" s="28">
        <f t="shared" ref="U195:U213" si="12">(N195-G195)/G195</f>
        <v>-8.1853406070779053E-2</v>
      </c>
    </row>
    <row r="196" spans="1:21" x14ac:dyDescent="0.25">
      <c r="B196" s="9"/>
      <c r="C196" s="17">
        <v>1296</v>
      </c>
      <c r="D196" s="18">
        <v>41.817</v>
      </c>
      <c r="E196" s="18">
        <v>46.097000000000001</v>
      </c>
      <c r="F196" s="18">
        <v>46.375</v>
      </c>
      <c r="G196" s="18">
        <v>72.84</v>
      </c>
      <c r="H196" s="18">
        <f t="shared" si="9"/>
        <v>42.921749999999996</v>
      </c>
      <c r="I196" s="5"/>
      <c r="J196" s="17">
        <v>997.6952</v>
      </c>
      <c r="K196" s="18">
        <v>42.476199999999999</v>
      </c>
      <c r="L196" s="18">
        <v>47.988</v>
      </c>
      <c r="M196" s="18">
        <v>48.668999999999997</v>
      </c>
      <c r="N196" s="18">
        <v>79.797799999999995</v>
      </c>
      <c r="O196" s="18">
        <f t="shared" si="10"/>
        <v>43.939274999999995</v>
      </c>
      <c r="P196" s="7"/>
      <c r="Q196" s="10"/>
      <c r="R196" s="11"/>
      <c r="S196" s="11"/>
      <c r="T196" s="26"/>
      <c r="U196" s="28">
        <f t="shared" si="12"/>
        <v>9.5521691378363416E-2</v>
      </c>
    </row>
    <row r="197" spans="1:21" x14ac:dyDescent="0.25">
      <c r="B197" s="9"/>
      <c r="C197" s="17">
        <v>759.55</v>
      </c>
      <c r="D197" s="18">
        <v>40.652999999999999</v>
      </c>
      <c r="E197" s="18">
        <v>44.777999999999999</v>
      </c>
      <c r="F197" s="18">
        <v>45.128</v>
      </c>
      <c r="G197" s="18">
        <v>72.98</v>
      </c>
      <c r="H197" s="18">
        <f t="shared" si="9"/>
        <v>41.728000000000002</v>
      </c>
      <c r="I197" s="5"/>
      <c r="J197" s="17">
        <v>573.7328</v>
      </c>
      <c r="K197" s="18">
        <v>41.686700000000002</v>
      </c>
      <c r="L197" s="18">
        <v>47.2166</v>
      </c>
      <c r="M197" s="18">
        <v>47.929299999999998</v>
      </c>
      <c r="N197" s="18">
        <v>100.6711</v>
      </c>
      <c r="O197" s="18">
        <f t="shared" si="10"/>
        <v>43.158262500000006</v>
      </c>
      <c r="P197" s="7"/>
      <c r="Q197" s="10"/>
      <c r="R197" s="11"/>
      <c r="S197" s="11"/>
      <c r="T197" s="26"/>
      <c r="U197" s="28">
        <f t="shared" si="12"/>
        <v>0.37943409153192642</v>
      </c>
    </row>
    <row r="198" spans="1:21" ht="16.5" thickBot="1" x14ac:dyDescent="0.3">
      <c r="B198" s="12"/>
      <c r="C198" s="19">
        <v>333.92</v>
      </c>
      <c r="D198" s="20">
        <v>37.771999999999998</v>
      </c>
      <c r="E198" s="20">
        <v>42.143999999999998</v>
      </c>
      <c r="F198" s="20">
        <v>43.281999999999996</v>
      </c>
      <c r="G198" s="20">
        <v>75.86</v>
      </c>
      <c r="H198" s="20">
        <f t="shared" si="9"/>
        <v>39.007249999999999</v>
      </c>
      <c r="I198" s="5"/>
      <c r="J198" s="19">
        <v>274.1576</v>
      </c>
      <c r="K198" s="20">
        <v>39.909199999999998</v>
      </c>
      <c r="L198" s="20">
        <v>45.464100000000002</v>
      </c>
      <c r="M198" s="20">
        <v>46.025799999999997</v>
      </c>
      <c r="N198" s="20">
        <v>132.8904</v>
      </c>
      <c r="O198" s="20">
        <f t="shared" si="10"/>
        <v>41.368137500000003</v>
      </c>
      <c r="P198" s="7"/>
      <c r="Q198" s="13"/>
      <c r="R198" s="14"/>
      <c r="S198" s="14"/>
      <c r="T198" s="27"/>
      <c r="U198" s="28">
        <f t="shared" si="12"/>
        <v>0.75178486686000523</v>
      </c>
    </row>
    <row r="199" spans="1:21" x14ac:dyDescent="0.25">
      <c r="B199" s="6" t="s">
        <v>63</v>
      </c>
      <c r="C199" s="15">
        <v>2052.06</v>
      </c>
      <c r="D199" s="16">
        <v>42.545000000000002</v>
      </c>
      <c r="E199" s="16">
        <v>46.331000000000003</v>
      </c>
      <c r="F199" s="16">
        <v>46.933999999999997</v>
      </c>
      <c r="G199" s="16">
        <v>67.72</v>
      </c>
      <c r="H199" s="16">
        <f t="shared" si="9"/>
        <v>43.566874999999996</v>
      </c>
      <c r="I199" s="5"/>
      <c r="J199" s="15">
        <v>1537.8032000000001</v>
      </c>
      <c r="K199" s="16">
        <v>42.845100000000002</v>
      </c>
      <c r="L199" s="16">
        <v>47.521099999999997</v>
      </c>
      <c r="M199" s="16">
        <v>48.446399999999997</v>
      </c>
      <c r="N199" s="16">
        <v>60.8581</v>
      </c>
      <c r="O199" s="16">
        <f t="shared" si="10"/>
        <v>44.129762499999998</v>
      </c>
      <c r="P199" s="7"/>
      <c r="Q199" s="8">
        <f>bdrate(C199:C202,D199:D202,J199:J202,K199:K202)</f>
        <v>-0.40821502120896569</v>
      </c>
      <c r="R199" s="8">
        <f>bdrate(C199:C202,E199:E202,J199:J202,L199:L202)</f>
        <v>-0.65301095039955448</v>
      </c>
      <c r="S199" s="8">
        <f>bdrate(C199:C202,F199:F202,J199:J202,M199:M202)</f>
        <v>-0.67330134467475844</v>
      </c>
      <c r="T199" s="25">
        <f>bdrate(C199:C202,H199:H202,J199:J202,O199:O202)</f>
        <v>-0.4816271784559879</v>
      </c>
      <c r="U199" s="28">
        <f t="shared" si="12"/>
        <v>-0.10132752510336679</v>
      </c>
    </row>
    <row r="200" spans="1:21" x14ac:dyDescent="0.25">
      <c r="B200" s="9"/>
      <c r="C200" s="17">
        <v>1353.78</v>
      </c>
      <c r="D200" s="18">
        <v>41.692</v>
      </c>
      <c r="E200" s="18">
        <v>45.226999999999997</v>
      </c>
      <c r="F200" s="18">
        <v>45.95</v>
      </c>
      <c r="G200" s="18">
        <v>69.8</v>
      </c>
      <c r="H200" s="18">
        <f t="shared" si="9"/>
        <v>42.666124999999994</v>
      </c>
      <c r="I200" s="5"/>
      <c r="J200" s="17">
        <v>1021.1824</v>
      </c>
      <c r="K200" s="18">
        <v>42.1248</v>
      </c>
      <c r="L200" s="18">
        <v>46.905700000000003</v>
      </c>
      <c r="M200" s="18">
        <v>47.781599999999997</v>
      </c>
      <c r="N200" s="18">
        <v>75.566800000000001</v>
      </c>
      <c r="O200" s="18">
        <f t="shared" si="10"/>
        <v>43.429512500000001</v>
      </c>
      <c r="P200" s="7"/>
      <c r="Q200" s="10"/>
      <c r="R200" s="11"/>
      <c r="S200" s="11"/>
      <c r="T200" s="26"/>
      <c r="U200" s="28">
        <f t="shared" si="12"/>
        <v>8.2618911174785148E-2</v>
      </c>
    </row>
    <row r="201" spans="1:21" x14ac:dyDescent="0.25">
      <c r="B201" s="9"/>
      <c r="C201" s="17">
        <v>805.58</v>
      </c>
      <c r="D201" s="18">
        <v>40.133000000000003</v>
      </c>
      <c r="E201" s="18">
        <v>43.53</v>
      </c>
      <c r="F201" s="18">
        <v>44.326999999999998</v>
      </c>
      <c r="G201" s="18">
        <v>72.3</v>
      </c>
      <c r="H201" s="18">
        <f t="shared" si="9"/>
        <v>41.081874999999997</v>
      </c>
      <c r="I201" s="5"/>
      <c r="J201" s="17">
        <v>602.55280000000005</v>
      </c>
      <c r="K201" s="18">
        <v>40.854700000000001</v>
      </c>
      <c r="L201" s="18">
        <v>45.785299999999999</v>
      </c>
      <c r="M201" s="18">
        <v>46.647500000000001</v>
      </c>
      <c r="N201" s="18">
        <v>95.663300000000007</v>
      </c>
      <c r="O201" s="18">
        <f t="shared" si="10"/>
        <v>42.195124999999997</v>
      </c>
      <c r="P201" s="7"/>
      <c r="Q201" s="10"/>
      <c r="R201" s="11"/>
      <c r="S201" s="11"/>
      <c r="T201" s="26"/>
      <c r="U201" s="28">
        <f t="shared" si="12"/>
        <v>0.32314384508990335</v>
      </c>
    </row>
    <row r="202" spans="1:21" ht="16.5" thickBot="1" x14ac:dyDescent="0.3">
      <c r="B202" s="12"/>
      <c r="C202" s="19">
        <v>365.94</v>
      </c>
      <c r="D202" s="20">
        <v>36.488</v>
      </c>
      <c r="E202" s="20">
        <v>41.045000000000002</v>
      </c>
      <c r="F202" s="20">
        <v>41.7</v>
      </c>
      <c r="G202" s="20">
        <v>73.819999999999993</v>
      </c>
      <c r="H202" s="20">
        <f t="shared" si="9"/>
        <v>37.709125</v>
      </c>
      <c r="I202" s="5"/>
      <c r="J202" s="19">
        <v>294.56639999999999</v>
      </c>
      <c r="K202" s="20">
        <v>38.435699999999997</v>
      </c>
      <c r="L202" s="20">
        <v>43.9985</v>
      </c>
      <c r="M202" s="20">
        <v>44.878300000000003</v>
      </c>
      <c r="N202" s="20">
        <v>127.7683</v>
      </c>
      <c r="O202" s="20">
        <f t="shared" si="10"/>
        <v>39.936374999999998</v>
      </c>
      <c r="P202" s="7"/>
      <c r="Q202" s="13"/>
      <c r="R202" s="14"/>
      <c r="S202" s="14"/>
      <c r="T202" s="27"/>
      <c r="U202" s="28">
        <f t="shared" si="12"/>
        <v>0.73080872392305618</v>
      </c>
    </row>
    <row r="203" spans="1:21" x14ac:dyDescent="0.25">
      <c r="A203" s="6" t="s">
        <v>102</v>
      </c>
      <c r="B203" s="6" t="s">
        <v>103</v>
      </c>
      <c r="C203" s="15">
        <v>1615.79</v>
      </c>
      <c r="D203" s="16">
        <v>43.624000000000002</v>
      </c>
      <c r="E203" s="16">
        <v>47.610999999999997</v>
      </c>
      <c r="F203" s="16">
        <v>49.646000000000001</v>
      </c>
      <c r="G203" s="16">
        <v>47.99</v>
      </c>
      <c r="H203" s="16">
        <f t="shared" ref="H203:H213" si="13">(6*D203+E203+F203)/8</f>
        <v>44.875125000000004</v>
      </c>
      <c r="I203" s="5"/>
      <c r="J203" s="15">
        <v>1231.8549</v>
      </c>
      <c r="K203" s="16">
        <v>45.126600000000003</v>
      </c>
      <c r="L203" s="16">
        <v>51.3232</v>
      </c>
      <c r="M203" s="16">
        <v>51.901800000000001</v>
      </c>
      <c r="N203" s="16">
        <v>42.107199999999999</v>
      </c>
      <c r="O203" s="16">
        <f t="shared" ref="O203:O213" si="14">(6*K203+L203+M203)/8</f>
        <v>46.748075</v>
      </c>
      <c r="P203" s="7"/>
      <c r="Q203" s="8">
        <f>bdrate(C203:C206,D203:D206,J203:J206,K203:K206)</f>
        <v>-0.50158344409428324</v>
      </c>
      <c r="R203" s="8">
        <f>bdrate(C203:C206,E203:E206,J203:J206,L203:L206)</f>
        <v>-0.72853834342740331</v>
      </c>
      <c r="S203" s="8">
        <f>bdrate(C203:C206,F203:F206,J203:J206,M203:M206)</f>
        <v>-0.65132498463732647</v>
      </c>
      <c r="T203" s="25">
        <f>bdrate(C203:C206,H203:H206,J203:J206,O203:O206)</f>
        <v>-0.54670418768231732</v>
      </c>
      <c r="U203" s="28">
        <f t="shared" si="12"/>
        <v>-0.12258387163992504</v>
      </c>
    </row>
    <row r="204" spans="1:21" x14ac:dyDescent="0.25">
      <c r="A204" s="9" t="s">
        <v>78</v>
      </c>
      <c r="B204" s="9"/>
      <c r="C204" s="17">
        <v>1079.49</v>
      </c>
      <c r="D204" s="18">
        <v>41.354999999999997</v>
      </c>
      <c r="E204" s="18">
        <v>45.817</v>
      </c>
      <c r="F204" s="18">
        <v>48.06</v>
      </c>
      <c r="G204" s="18">
        <v>52.68</v>
      </c>
      <c r="H204" s="18">
        <f t="shared" si="13"/>
        <v>42.750875000000001</v>
      </c>
      <c r="I204" s="5"/>
      <c r="J204" s="17">
        <v>830.35320000000002</v>
      </c>
      <c r="K204" s="18">
        <v>43.430100000000003</v>
      </c>
      <c r="L204" s="18">
        <v>50.055399999999999</v>
      </c>
      <c r="M204" s="18">
        <v>50.724499999999999</v>
      </c>
      <c r="N204" s="18">
        <v>48.197899999999997</v>
      </c>
      <c r="O204" s="18">
        <f t="shared" si="14"/>
        <v>45.1700625</v>
      </c>
      <c r="P204" s="7"/>
      <c r="Q204" s="10"/>
      <c r="R204" s="11"/>
      <c r="S204" s="11"/>
      <c r="T204" s="26"/>
      <c r="U204" s="28">
        <f t="shared" si="12"/>
        <v>-8.5081624905087375E-2</v>
      </c>
    </row>
    <row r="205" spans="1:21" x14ac:dyDescent="0.25">
      <c r="B205" s="9"/>
      <c r="C205" s="17">
        <v>657.08</v>
      </c>
      <c r="D205" s="18">
        <v>38.271000000000001</v>
      </c>
      <c r="E205" s="18">
        <v>43.723999999999997</v>
      </c>
      <c r="F205" s="18">
        <v>45.773000000000003</v>
      </c>
      <c r="G205" s="18">
        <v>59.42</v>
      </c>
      <c r="H205" s="18">
        <f t="shared" si="13"/>
        <v>39.890375000000006</v>
      </c>
      <c r="I205" s="5"/>
      <c r="J205" s="17">
        <v>506.67630000000003</v>
      </c>
      <c r="K205" s="18">
        <v>40.855400000000003</v>
      </c>
      <c r="L205" s="18">
        <v>48.154800000000002</v>
      </c>
      <c r="M205" s="18">
        <v>49.096200000000003</v>
      </c>
      <c r="N205" s="18">
        <v>57.005299999999998</v>
      </c>
      <c r="O205" s="18">
        <f t="shared" si="14"/>
        <v>42.797925000000006</v>
      </c>
      <c r="P205" s="7"/>
      <c r="Q205" s="10"/>
      <c r="R205" s="11"/>
      <c r="S205" s="11"/>
      <c r="T205" s="26"/>
      <c r="U205" s="28">
        <f t="shared" si="12"/>
        <v>-4.0637832379670204E-2</v>
      </c>
    </row>
    <row r="206" spans="1:21" ht="16.5" thickBot="1" x14ac:dyDescent="0.3">
      <c r="B206" s="12"/>
      <c r="C206" s="19">
        <v>310.81</v>
      </c>
      <c r="D206" s="20">
        <v>33.408000000000001</v>
      </c>
      <c r="E206" s="20">
        <v>40.578000000000003</v>
      </c>
      <c r="F206" s="20">
        <v>43.143999999999998</v>
      </c>
      <c r="G206" s="20">
        <v>70.27</v>
      </c>
      <c r="H206" s="20">
        <f t="shared" si="13"/>
        <v>35.521250000000002</v>
      </c>
      <c r="I206" s="5"/>
      <c r="J206" s="19">
        <v>257.43360000000001</v>
      </c>
      <c r="K206" s="20">
        <v>37.416800000000002</v>
      </c>
      <c r="L206" s="20">
        <v>45.239100000000001</v>
      </c>
      <c r="M206" s="20">
        <v>46.624699999999997</v>
      </c>
      <c r="N206" s="20">
        <v>74.104600000000005</v>
      </c>
      <c r="O206" s="20">
        <f t="shared" si="14"/>
        <v>39.545575000000007</v>
      </c>
      <c r="P206" s="7"/>
      <c r="Q206" s="13"/>
      <c r="R206" s="14"/>
      <c r="S206" s="14"/>
      <c r="T206" s="27"/>
      <c r="U206" s="28">
        <f t="shared" si="12"/>
        <v>5.4569517575067727E-2</v>
      </c>
    </row>
    <row r="207" spans="1:21" x14ac:dyDescent="0.25">
      <c r="B207" s="6" t="s">
        <v>104</v>
      </c>
      <c r="C207" s="15">
        <v>1991.58</v>
      </c>
      <c r="D207" s="16">
        <v>55.21</v>
      </c>
      <c r="E207" s="16">
        <v>55.4</v>
      </c>
      <c r="F207" s="16">
        <v>55.731000000000002</v>
      </c>
      <c r="G207" s="16">
        <v>140.54</v>
      </c>
      <c r="H207" s="16">
        <f t="shared" si="13"/>
        <v>55.298874999999995</v>
      </c>
      <c r="I207" s="5"/>
      <c r="J207" s="15">
        <v>1430.1007</v>
      </c>
      <c r="K207" s="16">
        <v>53.299199999999999</v>
      </c>
      <c r="L207" s="16">
        <v>54.11</v>
      </c>
      <c r="M207" s="16">
        <v>54.691000000000003</v>
      </c>
      <c r="N207" s="16">
        <v>72.786100000000005</v>
      </c>
      <c r="O207" s="16">
        <f t="shared" si="14"/>
        <v>53.574525000000008</v>
      </c>
      <c r="P207" s="7"/>
      <c r="Q207" s="8">
        <f>bdrate(C207:C210,D207:D210,J207:J210,K207:K210)</f>
        <v>-0.10771155282396194</v>
      </c>
      <c r="R207" s="8">
        <f>bdrate(C207:C210,E207:E210,J207:J210,L207:L210)</f>
        <v>-0.25916410939029655</v>
      </c>
      <c r="S207" s="8">
        <f>bdrate(C207:C210,F207:F210,J207:J210,M207:M210)</f>
        <v>-0.26496435534613738</v>
      </c>
      <c r="T207" s="25">
        <f>bdrate(C207:C210,H207:H210,J207:J210,O207:O210)</f>
        <v>-0.14652490276086827</v>
      </c>
      <c r="U207" s="28">
        <f t="shared" si="12"/>
        <v>-0.48209691191119958</v>
      </c>
    </row>
    <row r="208" spans="1:21" x14ac:dyDescent="0.25">
      <c r="B208" s="9"/>
      <c r="C208" s="17">
        <v>1329.24</v>
      </c>
      <c r="D208" s="18">
        <v>52.530999999999999</v>
      </c>
      <c r="E208" s="18">
        <v>52.851999999999997</v>
      </c>
      <c r="F208" s="18">
        <v>53.281999999999996</v>
      </c>
      <c r="G208" s="18">
        <v>150.41</v>
      </c>
      <c r="H208" s="18">
        <f t="shared" si="13"/>
        <v>52.664999999999992</v>
      </c>
      <c r="I208" s="5"/>
      <c r="J208" s="17">
        <v>972.46720000000005</v>
      </c>
      <c r="K208" s="18">
        <v>51.258499999999998</v>
      </c>
      <c r="L208" s="18">
        <v>52.432499999999997</v>
      </c>
      <c r="M208" s="18">
        <v>52.991300000000003</v>
      </c>
      <c r="N208" s="18">
        <v>91.3566</v>
      </c>
      <c r="O208" s="18">
        <f t="shared" si="14"/>
        <v>51.621850000000002</v>
      </c>
      <c r="P208" s="7"/>
      <c r="Q208" s="10"/>
      <c r="R208" s="11"/>
      <c r="S208" s="11"/>
      <c r="T208" s="26"/>
      <c r="U208" s="28">
        <f t="shared" si="12"/>
        <v>-0.39261618243467855</v>
      </c>
    </row>
    <row r="209" spans="2:21" x14ac:dyDescent="0.25">
      <c r="B209" s="9"/>
      <c r="C209" s="17">
        <v>810.33</v>
      </c>
      <c r="D209" s="18">
        <v>49.460999999999999</v>
      </c>
      <c r="E209" s="18">
        <v>49.896999999999998</v>
      </c>
      <c r="F209" s="18">
        <v>50.436999999999998</v>
      </c>
      <c r="G209" s="18">
        <v>159.15</v>
      </c>
      <c r="H209" s="18">
        <f t="shared" si="13"/>
        <v>49.637499999999996</v>
      </c>
      <c r="I209" s="5"/>
      <c r="J209" s="17">
        <v>602.63930000000005</v>
      </c>
      <c r="K209" s="18">
        <v>48.465299999999999</v>
      </c>
      <c r="L209" s="18">
        <v>50.078800000000001</v>
      </c>
      <c r="M209" s="18">
        <v>50.642000000000003</v>
      </c>
      <c r="N209" s="18">
        <v>115.9644</v>
      </c>
      <c r="O209" s="18">
        <f t="shared" si="14"/>
        <v>48.939074999999995</v>
      </c>
      <c r="P209" s="7"/>
      <c r="Q209" s="10"/>
      <c r="R209" s="11"/>
      <c r="S209" s="11"/>
      <c r="T209" s="26"/>
      <c r="U209" s="28">
        <f t="shared" si="12"/>
        <v>-0.27135155513666359</v>
      </c>
    </row>
    <row r="210" spans="2:21" ht="16.5" thickBot="1" x14ac:dyDescent="0.3">
      <c r="B210" s="12"/>
      <c r="C210" s="19">
        <v>383.32</v>
      </c>
      <c r="D210" s="20">
        <v>44.905999999999999</v>
      </c>
      <c r="E210" s="20">
        <v>45.512999999999998</v>
      </c>
      <c r="F210" s="20">
        <v>46.091000000000001</v>
      </c>
      <c r="G210" s="20">
        <v>169.92</v>
      </c>
      <c r="H210" s="20">
        <f t="shared" si="13"/>
        <v>45.129999999999995</v>
      </c>
      <c r="I210" s="5"/>
      <c r="J210" s="19">
        <v>308.18439999999998</v>
      </c>
      <c r="K210" s="20">
        <v>44.090400000000002</v>
      </c>
      <c r="L210" s="20">
        <v>46.372199999999999</v>
      </c>
      <c r="M210" s="20">
        <v>46.907600000000002</v>
      </c>
      <c r="N210" s="20">
        <v>147.5531</v>
      </c>
      <c r="O210" s="20">
        <f t="shared" si="14"/>
        <v>44.727775000000008</v>
      </c>
      <c r="P210" s="7"/>
      <c r="Q210" s="13"/>
      <c r="R210" s="14"/>
      <c r="S210" s="14"/>
      <c r="T210" s="27"/>
      <c r="U210" s="28">
        <f t="shared" si="12"/>
        <v>-0.13163194444444437</v>
      </c>
    </row>
    <row r="211" spans="2:21" x14ac:dyDescent="0.25">
      <c r="B211" s="6" t="s">
        <v>105</v>
      </c>
      <c r="C211" s="15">
        <v>2167.06</v>
      </c>
      <c r="D211" s="16">
        <v>44.674999999999997</v>
      </c>
      <c r="E211" s="16">
        <v>46.131</v>
      </c>
      <c r="F211" s="16">
        <v>46.588999999999999</v>
      </c>
      <c r="G211" s="16">
        <v>56.2</v>
      </c>
      <c r="H211" s="16">
        <f t="shared" si="13"/>
        <v>45.096249999999991</v>
      </c>
      <c r="I211" s="5"/>
      <c r="J211" s="15">
        <v>1489.8068000000001</v>
      </c>
      <c r="K211" s="16">
        <v>44.106699999999996</v>
      </c>
      <c r="L211" s="16">
        <v>46.586599999999997</v>
      </c>
      <c r="M211" s="16">
        <v>47.005099999999999</v>
      </c>
      <c r="N211" s="16">
        <v>45.476399999999998</v>
      </c>
      <c r="O211" s="16">
        <f t="shared" si="14"/>
        <v>44.778987499999999</v>
      </c>
      <c r="P211" s="7"/>
      <c r="Q211" s="8">
        <f>bdrate(C211:C214,D211:D214,J211:J214,K211:K214)</f>
        <v>-0.31642792292126043</v>
      </c>
      <c r="R211" s="8">
        <f>bdrate(C211:C214,E211:E214,J211:J214,L211:L214)</f>
        <v>-0.45540425566707377</v>
      </c>
      <c r="S211" s="8">
        <f>bdrate(C211:C214,F211:F214,J211:J214,M211:M214)</f>
        <v>-0.44245466601930461</v>
      </c>
      <c r="T211" s="25">
        <f>bdrate(C211:C214,H211:H214,J211:J214,O211:O214)</f>
        <v>-0.34256493676148425</v>
      </c>
      <c r="U211" s="28">
        <f t="shared" si="12"/>
        <v>-0.19081138790035596</v>
      </c>
    </row>
    <row r="212" spans="2:21" x14ac:dyDescent="0.25">
      <c r="B212" s="9"/>
      <c r="C212" s="17">
        <v>1445.54</v>
      </c>
      <c r="D212" s="18">
        <v>42.420999999999999</v>
      </c>
      <c r="E212" s="18">
        <v>44.356999999999999</v>
      </c>
      <c r="F212" s="18">
        <v>44.84</v>
      </c>
      <c r="G212" s="18">
        <v>62.03</v>
      </c>
      <c r="H212" s="18">
        <f t="shared" si="13"/>
        <v>42.965375000000009</v>
      </c>
      <c r="I212" s="5"/>
      <c r="J212" s="17">
        <v>991.63959999999997</v>
      </c>
      <c r="K212" s="18">
        <v>42.217300000000002</v>
      </c>
      <c r="L212" s="18">
        <v>45.168599999999998</v>
      </c>
      <c r="M212" s="18">
        <v>45.56</v>
      </c>
      <c r="N212" s="18">
        <v>55.022300000000001</v>
      </c>
      <c r="O212" s="18">
        <f t="shared" si="14"/>
        <v>43.004049999999999</v>
      </c>
      <c r="P212" s="7"/>
      <c r="Q212" s="10"/>
      <c r="R212" s="11"/>
      <c r="S212" s="11"/>
      <c r="T212" s="26"/>
      <c r="U212" s="28">
        <f t="shared" si="12"/>
        <v>-0.11297275511849104</v>
      </c>
    </row>
    <row r="213" spans="2:21" x14ac:dyDescent="0.25">
      <c r="B213" s="9"/>
      <c r="C213" s="17">
        <v>881.32</v>
      </c>
      <c r="D213" s="18">
        <v>39.506999999999998</v>
      </c>
      <c r="E213" s="18">
        <v>42.307000000000002</v>
      </c>
      <c r="F213" s="18">
        <v>42.798999999999999</v>
      </c>
      <c r="G213" s="18">
        <v>68.56</v>
      </c>
      <c r="H213" s="18">
        <f t="shared" si="13"/>
        <v>40.268499999999996</v>
      </c>
      <c r="I213" s="5"/>
      <c r="J213" s="17">
        <v>598.48069999999996</v>
      </c>
      <c r="K213" s="18">
        <v>39.475700000000003</v>
      </c>
      <c r="L213" s="18">
        <v>43.201099999999997</v>
      </c>
      <c r="M213" s="18">
        <v>43.601700000000001</v>
      </c>
      <c r="N213" s="18">
        <v>66.696299999999994</v>
      </c>
      <c r="O213" s="18">
        <f t="shared" si="14"/>
        <v>40.457124999999998</v>
      </c>
      <c r="P213" s="7"/>
      <c r="Q213" s="10"/>
      <c r="R213" s="11"/>
      <c r="S213" s="11"/>
      <c r="T213" s="26"/>
      <c r="U213" s="28">
        <f t="shared" si="12"/>
        <v>-2.7183488914819261E-2</v>
      </c>
    </row>
    <row r="214" spans="2:21" ht="16.5" thickBot="1" x14ac:dyDescent="0.3">
      <c r="B214" s="12"/>
      <c r="C214" s="19">
        <v>419.87</v>
      </c>
      <c r="D214" s="20">
        <v>34.887</v>
      </c>
      <c r="E214" s="20">
        <v>39.420999999999999</v>
      </c>
      <c r="F214" s="20">
        <v>40.015999999999998</v>
      </c>
      <c r="G214" s="20">
        <v>76.92</v>
      </c>
      <c r="H214" s="20">
        <f t="shared" ref="H214:H246" si="15">(6*D214+E214+F214)/8</f>
        <v>36.094875000000002</v>
      </c>
      <c r="I214" s="5"/>
      <c r="J214" s="19">
        <v>302.18689999999998</v>
      </c>
      <c r="K214" s="20">
        <v>35.943899999999999</v>
      </c>
      <c r="L214" s="20">
        <v>40.881799999999998</v>
      </c>
      <c r="M214" s="20">
        <v>41.267699999999998</v>
      </c>
      <c r="N214" s="20">
        <v>82.413799999999995</v>
      </c>
      <c r="O214" s="20">
        <f t="shared" ref="O214:O246" si="16">(6*K214+L214+M214)/8</f>
        <v>37.226612500000002</v>
      </c>
      <c r="P214" s="7"/>
      <c r="Q214" s="13"/>
      <c r="R214" s="14"/>
      <c r="S214" s="14"/>
      <c r="T214" s="27"/>
      <c r="U214" s="28">
        <f t="shared" ref="U214:U246" si="17">(N214-G214)/G214</f>
        <v>7.1422256890275523E-2</v>
      </c>
    </row>
    <row r="215" spans="2:21" x14ac:dyDescent="0.25">
      <c r="B215" s="6" t="s">
        <v>106</v>
      </c>
      <c r="C215" s="29">
        <v>2059.64</v>
      </c>
      <c r="D215" s="30">
        <v>40.668999999999997</v>
      </c>
      <c r="E215" s="30">
        <v>44.439</v>
      </c>
      <c r="F215" s="30">
        <v>44.460999999999999</v>
      </c>
      <c r="G215" s="16">
        <v>46.2</v>
      </c>
      <c r="H215" s="16">
        <f t="shared" si="15"/>
        <v>41.614249999999998</v>
      </c>
      <c r="I215" s="5"/>
      <c r="J215" s="29">
        <v>1496.3993</v>
      </c>
      <c r="K215" s="30">
        <v>39.995600000000003</v>
      </c>
      <c r="L215" s="30">
        <v>44.706400000000002</v>
      </c>
      <c r="M215" s="30">
        <v>44.686399999999999</v>
      </c>
      <c r="N215" s="16">
        <v>44.362299999999998</v>
      </c>
      <c r="O215" s="16">
        <f t="shared" si="16"/>
        <v>41.170800000000007</v>
      </c>
      <c r="P215" s="7"/>
      <c r="Q215" s="8">
        <f>bdrate(C215:C218,D215:D218,J215:J218,K215:K218)</f>
        <v>-0.26701931525707878</v>
      </c>
      <c r="R215" s="8">
        <f>bdrate(C215:C218,E215:E218,J215:J218,L215:L218)</f>
        <v>-0.42204008807751159</v>
      </c>
      <c r="S215" s="8">
        <f>bdrate(C215:C218,F215:F218,J215:J218,M215:M218)</f>
        <v>-0.41280722945342863</v>
      </c>
      <c r="T215" s="25">
        <f>bdrate(C215:C218,H215:H218,J215:J218,O215:O218)</f>
        <v>-0.29526035251945515</v>
      </c>
      <c r="U215" s="28">
        <f t="shared" si="17"/>
        <v>-3.977705627705639E-2</v>
      </c>
    </row>
    <row r="216" spans="2:21" x14ac:dyDescent="0.25">
      <c r="B216" s="9"/>
      <c r="C216" s="31">
        <v>1379.53</v>
      </c>
      <c r="D216" s="32">
        <v>38.518999999999998</v>
      </c>
      <c r="E216" s="32">
        <v>42.902999999999999</v>
      </c>
      <c r="F216" s="32">
        <v>42.904000000000003</v>
      </c>
      <c r="G216" s="18">
        <v>52.18</v>
      </c>
      <c r="H216" s="18">
        <f t="shared" si="15"/>
        <v>39.615124999999999</v>
      </c>
      <c r="I216" s="5"/>
      <c r="J216" s="31">
        <v>997.77480000000003</v>
      </c>
      <c r="K216" s="32">
        <v>38.115900000000003</v>
      </c>
      <c r="L216" s="32">
        <v>43.462699999999998</v>
      </c>
      <c r="M216" s="32">
        <v>43.401800000000001</v>
      </c>
      <c r="N216" s="18">
        <v>52.469000000000001</v>
      </c>
      <c r="O216" s="18">
        <f t="shared" si="16"/>
        <v>39.444987499999996</v>
      </c>
      <c r="P216" s="7"/>
      <c r="Q216" s="10"/>
      <c r="R216" s="11"/>
      <c r="S216" s="11"/>
      <c r="T216" s="26"/>
      <c r="U216" s="28">
        <f t="shared" si="17"/>
        <v>5.5385205059410017E-3</v>
      </c>
    </row>
    <row r="217" spans="2:21" x14ac:dyDescent="0.25">
      <c r="B217" s="9"/>
      <c r="C217" s="31">
        <v>843.61</v>
      </c>
      <c r="D217" s="32">
        <v>35.921999999999997</v>
      </c>
      <c r="E217" s="32">
        <v>41.201999999999998</v>
      </c>
      <c r="F217" s="32">
        <v>41.168999999999997</v>
      </c>
      <c r="G217" s="18">
        <v>57.26</v>
      </c>
      <c r="H217" s="18">
        <f t="shared" si="15"/>
        <v>37.237874999999995</v>
      </c>
      <c r="I217" s="5"/>
      <c r="J217" s="31">
        <v>598.56150000000002</v>
      </c>
      <c r="K217" s="32">
        <v>35.7806</v>
      </c>
      <c r="L217" s="32">
        <v>41.966999999999999</v>
      </c>
      <c r="M217" s="32">
        <v>41.8949</v>
      </c>
      <c r="N217" s="18">
        <v>62.402500000000003</v>
      </c>
      <c r="O217" s="18">
        <f t="shared" si="16"/>
        <v>37.318187500000001</v>
      </c>
      <c r="P217" s="7"/>
      <c r="Q217" s="10"/>
      <c r="R217" s="11"/>
      <c r="S217" s="11"/>
      <c r="T217" s="26"/>
      <c r="U217" s="28">
        <f t="shared" si="17"/>
        <v>8.98096402375132E-2</v>
      </c>
    </row>
    <row r="218" spans="2:21" ht="16.5" thickBot="1" x14ac:dyDescent="0.3">
      <c r="B218" s="12"/>
      <c r="C218" s="33">
        <v>403.79</v>
      </c>
      <c r="D218" s="34">
        <v>31.684999999999999</v>
      </c>
      <c r="E218" s="34">
        <v>38.914000000000001</v>
      </c>
      <c r="F218" s="34">
        <v>38.774000000000001</v>
      </c>
      <c r="G218" s="20">
        <v>65.67</v>
      </c>
      <c r="H218" s="20">
        <f t="shared" si="15"/>
        <v>33.47475</v>
      </c>
      <c r="I218" s="5"/>
      <c r="J218" s="33">
        <v>299.94189999999998</v>
      </c>
      <c r="K218" s="34">
        <v>32.731499999999997</v>
      </c>
      <c r="L218" s="34">
        <v>40.030299999999997</v>
      </c>
      <c r="M218" s="34">
        <v>39.976300000000002</v>
      </c>
      <c r="N218" s="20">
        <v>79.6143</v>
      </c>
      <c r="O218" s="20">
        <f t="shared" si="16"/>
        <v>34.549449999999993</v>
      </c>
      <c r="P218" s="7"/>
      <c r="Q218" s="13"/>
      <c r="R218" s="14"/>
      <c r="S218" s="14"/>
      <c r="T218" s="27"/>
      <c r="U218" s="28">
        <f t="shared" si="17"/>
        <v>0.21233896756509818</v>
      </c>
    </row>
    <row r="219" spans="2:21" x14ac:dyDescent="0.25">
      <c r="B219" s="6" t="s">
        <v>107</v>
      </c>
      <c r="C219" s="15">
        <v>2119.83</v>
      </c>
      <c r="D219" s="16">
        <v>39.121000000000002</v>
      </c>
      <c r="E219" s="16">
        <v>42.069000000000003</v>
      </c>
      <c r="F219" s="16">
        <v>42.610999999999997</v>
      </c>
      <c r="G219" s="16">
        <v>56.86</v>
      </c>
      <c r="H219" s="16">
        <f t="shared" si="15"/>
        <v>39.925750000000001</v>
      </c>
      <c r="I219" s="5"/>
      <c r="J219" s="15">
        <v>1511.1850999999999</v>
      </c>
      <c r="K219" s="16">
        <v>38.144799999999996</v>
      </c>
      <c r="L219" s="16">
        <v>43.070999999999998</v>
      </c>
      <c r="M219" s="16">
        <v>43.566000000000003</v>
      </c>
      <c r="N219" s="16">
        <v>46.675699999999999</v>
      </c>
      <c r="O219" s="16">
        <f t="shared" si="16"/>
        <v>39.438225000000003</v>
      </c>
      <c r="P219" s="7"/>
      <c r="Q219" s="8">
        <f>bdrate(C219:C222,D219:D222,J219:J222,K219:K222)</f>
        <v>-0.21195238374969616</v>
      </c>
      <c r="R219" s="8">
        <f>bdrate(C219:C222,E219:E222,J219:J222,L219:L222)</f>
        <v>-0.50804652818212093</v>
      </c>
      <c r="S219" s="8">
        <f>bdrate(C219:C222,F219:F222,J219:J222,M219:M222)</f>
        <v>-0.50120644161380357</v>
      </c>
      <c r="T219" s="25">
        <f>bdrate(C219:C222,H219:H222,J219:J222,O219:O222)</f>
        <v>-0.27279682974083719</v>
      </c>
      <c r="U219" s="28">
        <f t="shared" si="17"/>
        <v>-0.17911185367569471</v>
      </c>
    </row>
    <row r="220" spans="2:21" x14ac:dyDescent="0.25">
      <c r="B220" s="9"/>
      <c r="C220" s="17">
        <v>1415.04</v>
      </c>
      <c r="D220" s="18">
        <v>36.985999999999997</v>
      </c>
      <c r="E220" s="18">
        <v>40.456000000000003</v>
      </c>
      <c r="F220" s="18">
        <v>41.091000000000001</v>
      </c>
      <c r="G220" s="18">
        <v>63.6</v>
      </c>
      <c r="H220" s="18">
        <f t="shared" si="15"/>
        <v>37.932875000000003</v>
      </c>
      <c r="I220" s="5"/>
      <c r="J220" s="17">
        <v>1008.7264</v>
      </c>
      <c r="K220" s="18">
        <v>36.212800000000001</v>
      </c>
      <c r="L220" s="18">
        <v>41.728000000000002</v>
      </c>
      <c r="M220" s="18">
        <v>42.292999999999999</v>
      </c>
      <c r="N220" s="18">
        <v>54.086500000000001</v>
      </c>
      <c r="O220" s="18">
        <f t="shared" si="16"/>
        <v>37.662224999999999</v>
      </c>
      <c r="P220" s="7"/>
      <c r="Q220" s="10"/>
      <c r="R220" s="11"/>
      <c r="S220" s="11"/>
      <c r="T220" s="26"/>
      <c r="U220" s="28">
        <f t="shared" si="17"/>
        <v>-0.14958333333333335</v>
      </c>
    </row>
    <row r="221" spans="2:21" x14ac:dyDescent="0.25">
      <c r="B221" s="9"/>
      <c r="C221" s="17">
        <v>859.67</v>
      </c>
      <c r="D221" s="18">
        <v>34.423999999999999</v>
      </c>
      <c r="E221" s="18">
        <v>38.725999999999999</v>
      </c>
      <c r="F221" s="18">
        <v>39.478999999999999</v>
      </c>
      <c r="G221" s="18">
        <v>70.48</v>
      </c>
      <c r="H221" s="18">
        <f t="shared" si="15"/>
        <v>35.593624999999996</v>
      </c>
      <c r="I221" s="5"/>
      <c r="J221" s="17">
        <v>604.99090000000001</v>
      </c>
      <c r="K221" s="18">
        <v>33.848300000000002</v>
      </c>
      <c r="L221" s="18">
        <v>39.9529</v>
      </c>
      <c r="M221" s="18">
        <v>40.566899999999997</v>
      </c>
      <c r="N221" s="18">
        <v>62.523899999999998</v>
      </c>
      <c r="O221" s="18">
        <f t="shared" si="16"/>
        <v>35.4512</v>
      </c>
      <c r="P221" s="7"/>
      <c r="Q221" s="10"/>
      <c r="R221" s="11"/>
      <c r="S221" s="11"/>
      <c r="T221" s="26"/>
      <c r="U221" s="28">
        <f t="shared" si="17"/>
        <v>-0.11288450624290587</v>
      </c>
    </row>
    <row r="222" spans="2:21" ht="16.5" thickBot="1" x14ac:dyDescent="0.3">
      <c r="B222" s="12"/>
      <c r="C222" s="19">
        <v>404.65</v>
      </c>
      <c r="D222" s="20">
        <v>30.288</v>
      </c>
      <c r="E222" s="20">
        <v>36.317</v>
      </c>
      <c r="F222" s="20">
        <v>37.226999999999997</v>
      </c>
      <c r="G222" s="20">
        <v>78.599999999999994</v>
      </c>
      <c r="H222" s="20">
        <f t="shared" si="15"/>
        <v>31.909000000000002</v>
      </c>
      <c r="I222" s="5"/>
      <c r="J222" s="19">
        <v>303.09050000000002</v>
      </c>
      <c r="K222" s="20">
        <v>30.701000000000001</v>
      </c>
      <c r="L222" s="20">
        <v>37.796300000000002</v>
      </c>
      <c r="M222" s="20">
        <v>38.542200000000001</v>
      </c>
      <c r="N222" s="20">
        <v>81.201800000000006</v>
      </c>
      <c r="O222" s="20">
        <f t="shared" si="16"/>
        <v>32.568062500000003</v>
      </c>
      <c r="P222" s="7"/>
      <c r="Q222" s="13"/>
      <c r="R222" s="14"/>
      <c r="S222" s="14"/>
      <c r="T222" s="27"/>
      <c r="U222" s="28">
        <f t="shared" si="17"/>
        <v>3.310178117048361E-2</v>
      </c>
    </row>
    <row r="223" spans="2:21" x14ac:dyDescent="0.25">
      <c r="B223" s="6" t="s">
        <v>108</v>
      </c>
      <c r="C223" s="15">
        <v>2112.44</v>
      </c>
      <c r="D223" s="16">
        <v>38.883000000000003</v>
      </c>
      <c r="E223" s="16">
        <v>43.802</v>
      </c>
      <c r="F223" s="16">
        <v>45.482999999999997</v>
      </c>
      <c r="G223" s="16">
        <v>41.92</v>
      </c>
      <c r="H223" s="16">
        <f t="shared" si="15"/>
        <v>40.322875000000003</v>
      </c>
      <c r="I223" s="5"/>
      <c r="J223" s="15">
        <v>1517.2655999999999</v>
      </c>
      <c r="K223" s="16">
        <v>38.009099999999997</v>
      </c>
      <c r="L223" s="16">
        <v>44.114400000000003</v>
      </c>
      <c r="M223" s="16">
        <v>45.616199999999999</v>
      </c>
      <c r="N223" s="16">
        <v>42.651000000000003</v>
      </c>
      <c r="O223" s="16">
        <f t="shared" si="16"/>
        <v>39.723149999999997</v>
      </c>
      <c r="P223" s="7"/>
      <c r="Q223" s="8">
        <f>bdrate(C223:C226,D223:D226,J223:J226,K223:K226)</f>
        <v>-0.24394621860664001</v>
      </c>
      <c r="R223" s="8">
        <f>bdrate(C223:C226,E223:E226,J223:J226,L223:L226)</f>
        <v>-0.50461170140827238</v>
      </c>
      <c r="S223" s="8">
        <f>bdrate(C223:C226,F223:F226,J223:J226,M223:M226)</f>
        <v>-0.43966375662415902</v>
      </c>
      <c r="T223" s="25">
        <f>bdrate(C223:C226,H223:H226,J223:J226,O223:O226)</f>
        <v>-0.2940433680554162</v>
      </c>
      <c r="U223" s="28">
        <f t="shared" si="17"/>
        <v>1.7437977099236678E-2</v>
      </c>
    </row>
    <row r="224" spans="2:21" x14ac:dyDescent="0.25">
      <c r="B224" s="9"/>
      <c r="C224" s="17">
        <v>1409.76</v>
      </c>
      <c r="D224" s="18">
        <v>37.155000000000001</v>
      </c>
      <c r="E224" s="18">
        <v>42.518999999999998</v>
      </c>
      <c r="F224" s="18">
        <v>44.232999999999997</v>
      </c>
      <c r="G224" s="18">
        <v>48.2</v>
      </c>
      <c r="H224" s="18">
        <f t="shared" si="15"/>
        <v>38.710250000000002</v>
      </c>
      <c r="I224" s="5"/>
      <c r="J224" s="17">
        <v>1007.9016</v>
      </c>
      <c r="K224" s="18">
        <v>36.581000000000003</v>
      </c>
      <c r="L224" s="18">
        <v>43.204999999999998</v>
      </c>
      <c r="M224" s="18">
        <v>44.628300000000003</v>
      </c>
      <c r="N224" s="18">
        <v>51.212000000000003</v>
      </c>
      <c r="O224" s="18">
        <f t="shared" si="16"/>
        <v>38.414912500000007</v>
      </c>
      <c r="P224" s="7"/>
      <c r="Q224" s="10"/>
      <c r="R224" s="11"/>
      <c r="S224" s="11"/>
      <c r="T224" s="26"/>
      <c r="U224" s="28">
        <f t="shared" si="17"/>
        <v>6.24896265560166E-2</v>
      </c>
    </row>
    <row r="225" spans="2:21" x14ac:dyDescent="0.25">
      <c r="B225" s="9"/>
      <c r="C225" s="17">
        <v>858.33</v>
      </c>
      <c r="D225" s="18">
        <v>35.063000000000002</v>
      </c>
      <c r="E225" s="18">
        <v>41.052</v>
      </c>
      <c r="F225" s="18">
        <v>42.661999999999999</v>
      </c>
      <c r="G225" s="18">
        <v>52.42</v>
      </c>
      <c r="H225" s="18">
        <f t="shared" si="15"/>
        <v>36.761499999999998</v>
      </c>
      <c r="I225" s="5"/>
      <c r="J225" s="17">
        <v>602.82330000000002</v>
      </c>
      <c r="K225" s="18">
        <v>34.877099999999999</v>
      </c>
      <c r="L225" s="18">
        <v>42.136400000000002</v>
      </c>
      <c r="M225" s="18">
        <v>43.450600000000001</v>
      </c>
      <c r="N225" s="18">
        <v>62.1633</v>
      </c>
      <c r="O225" s="18">
        <f t="shared" si="16"/>
        <v>36.856200000000001</v>
      </c>
      <c r="P225" s="7"/>
      <c r="Q225" s="10"/>
      <c r="R225" s="11"/>
      <c r="S225" s="11"/>
      <c r="T225" s="26"/>
      <c r="U225" s="28">
        <f t="shared" si="17"/>
        <v>0.18586989698588322</v>
      </c>
    </row>
    <row r="226" spans="2:21" ht="16.5" thickBot="1" x14ac:dyDescent="0.3">
      <c r="B226" s="12"/>
      <c r="C226" s="19">
        <v>404.8</v>
      </c>
      <c r="D226" s="20">
        <v>32.143000000000001</v>
      </c>
      <c r="E226" s="20">
        <v>39.106000000000002</v>
      </c>
      <c r="F226" s="20">
        <v>40.192</v>
      </c>
      <c r="G226" s="20">
        <v>65.67</v>
      </c>
      <c r="H226" s="20">
        <f t="shared" si="15"/>
        <v>34.019500000000001</v>
      </c>
      <c r="I226" s="5"/>
      <c r="J226" s="19">
        <v>300.61720000000003</v>
      </c>
      <c r="K226" s="20">
        <v>32.707999999999998</v>
      </c>
      <c r="L226" s="20">
        <v>40.744900000000001</v>
      </c>
      <c r="M226" s="20">
        <v>41.881399999999999</v>
      </c>
      <c r="N226" s="20">
        <v>79.960899999999995</v>
      </c>
      <c r="O226" s="20">
        <f t="shared" si="16"/>
        <v>34.859287500000001</v>
      </c>
      <c r="P226" s="7"/>
      <c r="Q226" s="13"/>
      <c r="R226" s="14"/>
      <c r="S226" s="14"/>
      <c r="T226" s="27"/>
      <c r="U226" s="28">
        <f t="shared" si="17"/>
        <v>0.21761687223998771</v>
      </c>
    </row>
    <row r="227" spans="2:21" x14ac:dyDescent="0.25">
      <c r="B227" s="6" t="s">
        <v>109</v>
      </c>
      <c r="C227" s="15">
        <v>2220.81</v>
      </c>
      <c r="D227" s="16">
        <v>49.82</v>
      </c>
      <c r="E227" s="16">
        <v>53.857999999999997</v>
      </c>
      <c r="F227" s="16">
        <v>55.15</v>
      </c>
      <c r="G227" s="16">
        <v>54.81</v>
      </c>
      <c r="H227" s="16">
        <f t="shared" si="15"/>
        <v>50.991</v>
      </c>
      <c r="I227" s="5"/>
      <c r="J227" s="15">
        <v>1499.7262000000001</v>
      </c>
      <c r="K227" s="16">
        <v>49.398800000000001</v>
      </c>
      <c r="L227" s="16">
        <v>54.319099999999999</v>
      </c>
      <c r="M227" s="16">
        <v>55.715600000000002</v>
      </c>
      <c r="N227" s="16">
        <v>54.755699999999997</v>
      </c>
      <c r="O227" s="16">
        <f t="shared" si="16"/>
        <v>50.803437500000001</v>
      </c>
      <c r="P227" s="7"/>
      <c r="Q227" s="8">
        <f>bdrate(C227:C230,D227:D230,J227:J230,K227:K230)</f>
        <v>-0.41133966579171177</v>
      </c>
      <c r="R227" s="8">
        <f>bdrate(C227:C230,E227:E230,J227:J230,L227:L230)</f>
        <v>-0.54754125399767362</v>
      </c>
      <c r="S227" s="8">
        <f>bdrate(C227:C230,F227:F230,J227:J230,M227:M230)</f>
        <v>-0.55482071806806532</v>
      </c>
      <c r="T227" s="25">
        <f>bdrate(C227:C230,H227:H230,J227:J230,O227:O230)</f>
        <v>-0.44530012274021757</v>
      </c>
      <c r="U227" s="28">
        <f t="shared" si="17"/>
        <v>-9.9069512862625243E-4</v>
      </c>
    </row>
    <row r="228" spans="2:21" x14ac:dyDescent="0.25">
      <c r="B228" s="9"/>
      <c r="C228" s="17">
        <v>1473.01</v>
      </c>
      <c r="D228" s="18">
        <v>47.576000000000001</v>
      </c>
      <c r="E228" s="18">
        <v>51.625</v>
      </c>
      <c r="F228" s="18">
        <v>53.072000000000003</v>
      </c>
      <c r="G228" s="18">
        <v>61.96</v>
      </c>
      <c r="H228" s="18">
        <f t="shared" si="15"/>
        <v>48.769125000000003</v>
      </c>
      <c r="I228" s="5"/>
      <c r="J228" s="17">
        <v>999.64120000000003</v>
      </c>
      <c r="K228" s="18">
        <v>47.771900000000002</v>
      </c>
      <c r="L228" s="18">
        <v>52.92</v>
      </c>
      <c r="M228" s="18">
        <v>54.392600000000002</v>
      </c>
      <c r="N228" s="18">
        <v>63.432200000000002</v>
      </c>
      <c r="O228" s="18">
        <f t="shared" si="16"/>
        <v>49.243000000000002</v>
      </c>
      <c r="P228" s="7"/>
      <c r="Q228" s="10"/>
      <c r="R228" s="11"/>
      <c r="S228" s="11"/>
      <c r="T228" s="26"/>
      <c r="U228" s="28">
        <f t="shared" si="17"/>
        <v>2.3760490639122028E-2</v>
      </c>
    </row>
    <row r="229" spans="2:21" x14ac:dyDescent="0.25">
      <c r="B229" s="9"/>
      <c r="C229" s="17">
        <v>885.61</v>
      </c>
      <c r="D229" s="18">
        <v>44.707999999999998</v>
      </c>
      <c r="E229" s="18">
        <v>49.021999999999998</v>
      </c>
      <c r="F229" s="18">
        <v>50.585000000000001</v>
      </c>
      <c r="G229" s="18">
        <v>71.09</v>
      </c>
      <c r="H229" s="18">
        <f t="shared" si="15"/>
        <v>45.981874999999995</v>
      </c>
      <c r="I229" s="5"/>
      <c r="J229" s="17">
        <v>601.67089999999996</v>
      </c>
      <c r="K229" s="18">
        <v>45.759900000000002</v>
      </c>
      <c r="L229" s="18">
        <v>51.201300000000003</v>
      </c>
      <c r="M229" s="18">
        <v>52.713900000000002</v>
      </c>
      <c r="N229" s="18">
        <v>76.312899999999999</v>
      </c>
      <c r="O229" s="18">
        <f t="shared" si="16"/>
        <v>47.309325000000001</v>
      </c>
      <c r="P229" s="7"/>
      <c r="Q229" s="10"/>
      <c r="R229" s="11"/>
      <c r="S229" s="11"/>
      <c r="T229" s="26"/>
      <c r="U229" s="28">
        <f t="shared" si="17"/>
        <v>7.3468842312561483E-2</v>
      </c>
    </row>
    <row r="230" spans="2:21" ht="16.5" thickBot="1" x14ac:dyDescent="0.3">
      <c r="B230" s="12"/>
      <c r="C230" s="19">
        <v>419.88</v>
      </c>
      <c r="D230" s="20">
        <v>41.664000000000001</v>
      </c>
      <c r="E230" s="20">
        <v>45.957000000000001</v>
      </c>
      <c r="F230" s="20">
        <v>47.497</v>
      </c>
      <c r="G230" s="20">
        <v>77.5</v>
      </c>
      <c r="H230" s="20">
        <f t="shared" si="15"/>
        <v>42.929750000000006</v>
      </c>
      <c r="I230" s="5"/>
      <c r="J230" s="19">
        <v>301.61900000000003</v>
      </c>
      <c r="K230" s="20">
        <v>42.8202</v>
      </c>
      <c r="L230" s="20">
        <v>48.621299999999998</v>
      </c>
      <c r="M230" s="20">
        <v>50.081800000000001</v>
      </c>
      <c r="N230" s="20">
        <v>98.791899999999998</v>
      </c>
      <c r="O230" s="20">
        <f t="shared" si="16"/>
        <v>44.453037500000001</v>
      </c>
      <c r="P230" s="7"/>
      <c r="Q230" s="13"/>
      <c r="R230" s="14"/>
      <c r="S230" s="14"/>
      <c r="T230" s="27"/>
      <c r="U230" s="28">
        <f t="shared" si="17"/>
        <v>0.27473419354838707</v>
      </c>
    </row>
    <row r="231" spans="2:21" x14ac:dyDescent="0.25">
      <c r="B231" s="6" t="s">
        <v>110</v>
      </c>
      <c r="C231" s="15">
        <v>2047.95</v>
      </c>
      <c r="D231" s="16">
        <v>33.484000000000002</v>
      </c>
      <c r="E231" s="16">
        <v>41.206000000000003</v>
      </c>
      <c r="F231" s="16">
        <v>40.517000000000003</v>
      </c>
      <c r="G231" s="16">
        <v>36.47</v>
      </c>
      <c r="H231" s="16">
        <f t="shared" si="15"/>
        <v>35.328375000000001</v>
      </c>
      <c r="I231" s="5"/>
      <c r="J231" s="15">
        <v>1493.694</v>
      </c>
      <c r="K231" s="16">
        <v>33.014099999999999</v>
      </c>
      <c r="L231" s="16">
        <v>41.479399999999998</v>
      </c>
      <c r="M231" s="16">
        <v>40.860399999999998</v>
      </c>
      <c r="N231" s="16">
        <v>31.327200000000001</v>
      </c>
      <c r="O231" s="16">
        <f t="shared" si="16"/>
        <v>35.053049999999999</v>
      </c>
      <c r="P231" s="7"/>
      <c r="Q231" s="8">
        <f>bdrate(C231:C234,D231:D234,J231:J234,K231:K234)</f>
        <v>-0.31720707018762817</v>
      </c>
      <c r="R231" s="8">
        <f>bdrate(C231:C234,E231:E234,J231:J234,L231:L234)</f>
        <v>-0.44179511428285478</v>
      </c>
      <c r="S231" s="8">
        <f>bdrate(C231:C234,F231:F234,J231:J234,M231:M234)</f>
        <v>-0.46431028156905974</v>
      </c>
      <c r="T231" s="25">
        <f>bdrate(C231:C234,H231:H234,J231:J234,O231:O234)</f>
        <v>-0.34029835855615531</v>
      </c>
      <c r="U231" s="28">
        <f t="shared" si="17"/>
        <v>-0.14101453249245949</v>
      </c>
    </row>
    <row r="232" spans="2:21" x14ac:dyDescent="0.25">
      <c r="B232" s="9"/>
      <c r="C232" s="17">
        <v>1366.86</v>
      </c>
      <c r="D232" s="18">
        <v>31.495999999999999</v>
      </c>
      <c r="E232" s="18">
        <v>40.012999999999998</v>
      </c>
      <c r="F232" s="18">
        <v>39.247</v>
      </c>
      <c r="G232" s="18">
        <v>41.76</v>
      </c>
      <c r="H232" s="18">
        <f t="shared" si="15"/>
        <v>33.529499999999999</v>
      </c>
      <c r="I232" s="5"/>
      <c r="J232" s="17">
        <v>993.8768</v>
      </c>
      <c r="K232" s="18">
        <v>31.328199999999999</v>
      </c>
      <c r="L232" s="18">
        <v>40.585599999999999</v>
      </c>
      <c r="M232" s="18">
        <v>39.965299999999999</v>
      </c>
      <c r="N232" s="18">
        <v>36.244300000000003</v>
      </c>
      <c r="O232" s="18">
        <f t="shared" si="16"/>
        <v>33.565012500000002</v>
      </c>
      <c r="P232" s="7"/>
      <c r="Q232" s="10"/>
      <c r="R232" s="11"/>
      <c r="S232" s="11"/>
      <c r="T232" s="26"/>
      <c r="U232" s="28">
        <f t="shared" si="17"/>
        <v>-0.13208093869731791</v>
      </c>
    </row>
    <row r="233" spans="2:21" x14ac:dyDescent="0.25">
      <c r="B233" s="9"/>
      <c r="C233" s="17">
        <v>829.17</v>
      </c>
      <c r="D233" s="18">
        <v>28.768999999999998</v>
      </c>
      <c r="E233" s="18">
        <v>38.526000000000003</v>
      </c>
      <c r="F233" s="18">
        <v>37.75</v>
      </c>
      <c r="G233" s="18">
        <v>47.4</v>
      </c>
      <c r="H233" s="18">
        <f t="shared" si="15"/>
        <v>31.111249999999998</v>
      </c>
      <c r="I233" s="5"/>
      <c r="J233" s="17">
        <v>596.47850000000005</v>
      </c>
      <c r="K233" s="18">
        <v>29.161799999999999</v>
      </c>
      <c r="L233" s="18">
        <v>39.339199999999998</v>
      </c>
      <c r="M233" s="18">
        <v>38.690899999999999</v>
      </c>
      <c r="N233" s="18">
        <v>43.804099999999998</v>
      </c>
      <c r="O233" s="18">
        <f t="shared" si="16"/>
        <v>31.6251125</v>
      </c>
      <c r="P233" s="7"/>
      <c r="Q233" s="10"/>
      <c r="R233" s="11"/>
      <c r="S233" s="11"/>
      <c r="T233" s="26"/>
      <c r="U233" s="28">
        <f t="shared" si="17"/>
        <v>-7.5862869198312241E-2</v>
      </c>
    </row>
    <row r="234" spans="2:21" ht="16.5" thickBot="1" x14ac:dyDescent="0.3">
      <c r="B234" s="12"/>
      <c r="C234" s="19">
        <v>391.77</v>
      </c>
      <c r="D234" s="20">
        <v>24.53</v>
      </c>
      <c r="E234" s="20">
        <v>36.052999999999997</v>
      </c>
      <c r="F234" s="20">
        <v>35.360999999999997</v>
      </c>
      <c r="G234" s="20">
        <v>57.23</v>
      </c>
      <c r="H234" s="20">
        <f t="shared" si="15"/>
        <v>27.324249999999999</v>
      </c>
      <c r="I234" s="5"/>
      <c r="J234" s="19">
        <v>298.90129999999999</v>
      </c>
      <c r="K234" s="20">
        <v>26.395800000000001</v>
      </c>
      <c r="L234" s="20">
        <v>37.316600000000001</v>
      </c>
      <c r="M234" s="20">
        <v>36.671399999999998</v>
      </c>
      <c r="N234" s="20">
        <v>56.067799999999998</v>
      </c>
      <c r="O234" s="20">
        <f t="shared" si="16"/>
        <v>29.045349999999999</v>
      </c>
      <c r="P234" s="7"/>
      <c r="Q234" s="13"/>
      <c r="R234" s="14"/>
      <c r="S234" s="14"/>
      <c r="T234" s="27"/>
      <c r="U234" s="28">
        <f t="shared" si="17"/>
        <v>-2.0307531015201795E-2</v>
      </c>
    </row>
    <row r="235" spans="2:21" x14ac:dyDescent="0.25">
      <c r="B235" s="6" t="s">
        <v>111</v>
      </c>
      <c r="C235" s="15">
        <v>2340.1999999999998</v>
      </c>
      <c r="D235" s="16">
        <v>48.357999999999997</v>
      </c>
      <c r="E235" s="16">
        <v>48.604999999999997</v>
      </c>
      <c r="F235" s="16">
        <v>48.338000000000001</v>
      </c>
      <c r="G235" s="16">
        <v>65.7</v>
      </c>
      <c r="H235" s="16">
        <f t="shared" si="15"/>
        <v>48.386375000000001</v>
      </c>
      <c r="I235" s="5"/>
      <c r="J235" s="15">
        <v>1416.1552999999999</v>
      </c>
      <c r="K235" s="16">
        <v>46.703499999999998</v>
      </c>
      <c r="L235" s="16">
        <v>48.072099999999999</v>
      </c>
      <c r="M235" s="16">
        <v>47.998399999999997</v>
      </c>
      <c r="N235" s="16">
        <v>39.046399999999998</v>
      </c>
      <c r="O235" s="16">
        <f t="shared" si="16"/>
        <v>47.036437499999998</v>
      </c>
      <c r="P235" s="7"/>
      <c r="Q235" s="8">
        <f>bdrate(C235:C238,D235:D238,J235:J238,K235:K238)</f>
        <v>-0.22104618627501471</v>
      </c>
      <c r="R235" s="8">
        <f>bdrate(C235:C238,E235:E238,J235:J238,L235:L238)</f>
        <v>-0.38094856011461098</v>
      </c>
      <c r="S235" s="8">
        <f>bdrate(C235:C238,F235:F238,J235:J238,M235:M238)</f>
        <v>-0.40018696189785219</v>
      </c>
      <c r="T235" s="25">
        <f>bdrate(C235:C238,H235:H238,J235:J238,O235:O238)</f>
        <v>-0.26161916062030455</v>
      </c>
      <c r="U235" s="28">
        <f t="shared" si="17"/>
        <v>-0.40568645357686456</v>
      </c>
    </row>
    <row r="236" spans="2:21" x14ac:dyDescent="0.25">
      <c r="B236" s="9"/>
      <c r="C236" s="17">
        <v>1551.74</v>
      </c>
      <c r="D236" s="18">
        <v>46.351999999999997</v>
      </c>
      <c r="E236" s="18">
        <v>46.755000000000003</v>
      </c>
      <c r="F236" s="18">
        <v>46.503</v>
      </c>
      <c r="G236" s="18">
        <v>73.67</v>
      </c>
      <c r="H236" s="18">
        <f t="shared" si="15"/>
        <v>46.421249999999993</v>
      </c>
      <c r="I236" s="5"/>
      <c r="J236" s="17">
        <v>959.63109999999995</v>
      </c>
      <c r="K236" s="18">
        <v>45.084699999999998</v>
      </c>
      <c r="L236" s="18">
        <v>46.705500000000001</v>
      </c>
      <c r="M236" s="18">
        <v>46.614600000000003</v>
      </c>
      <c r="N236" s="18">
        <v>52.902299999999997</v>
      </c>
      <c r="O236" s="18">
        <f t="shared" si="16"/>
        <v>45.478537500000002</v>
      </c>
      <c r="P236" s="7"/>
      <c r="Q236" s="10"/>
      <c r="R236" s="11"/>
      <c r="S236" s="11"/>
      <c r="T236" s="26"/>
      <c r="U236" s="28">
        <f t="shared" si="17"/>
        <v>-0.28190172390389578</v>
      </c>
    </row>
    <row r="237" spans="2:21" x14ac:dyDescent="0.25">
      <c r="B237" s="9"/>
      <c r="C237" s="17">
        <v>933.26</v>
      </c>
      <c r="D237" s="18">
        <v>43.531999999999996</v>
      </c>
      <c r="E237" s="18">
        <v>44.284999999999997</v>
      </c>
      <c r="F237" s="18">
        <v>43.948999999999998</v>
      </c>
      <c r="G237" s="18">
        <v>82.89</v>
      </c>
      <c r="H237" s="18">
        <f t="shared" si="15"/>
        <v>43.678249999999998</v>
      </c>
      <c r="I237" s="5"/>
      <c r="J237" s="17">
        <v>594.36149999999998</v>
      </c>
      <c r="K237" s="18">
        <v>42.2395</v>
      </c>
      <c r="L237" s="18">
        <v>44.472299999999997</v>
      </c>
      <c r="M237" s="18">
        <v>44.2849</v>
      </c>
      <c r="N237" s="18">
        <v>69.034300000000002</v>
      </c>
      <c r="O237" s="18">
        <f t="shared" si="16"/>
        <v>42.774275000000003</v>
      </c>
      <c r="P237" s="7"/>
      <c r="Q237" s="10"/>
      <c r="R237" s="11"/>
      <c r="S237" s="11"/>
      <c r="T237" s="26"/>
      <c r="U237" s="28">
        <f t="shared" si="17"/>
        <v>-0.16715767885148991</v>
      </c>
    </row>
    <row r="238" spans="2:21" ht="16.5" thickBot="1" x14ac:dyDescent="0.3">
      <c r="B238" s="12"/>
      <c r="C238" s="19">
        <v>432.99</v>
      </c>
      <c r="D238" s="20">
        <v>38.152999999999999</v>
      </c>
      <c r="E238" s="20">
        <v>40.173000000000002</v>
      </c>
      <c r="F238" s="20">
        <v>39.768999999999998</v>
      </c>
      <c r="G238" s="20">
        <v>94.8</v>
      </c>
      <c r="H238" s="20">
        <f t="shared" si="15"/>
        <v>38.607500000000002</v>
      </c>
      <c r="I238" s="5"/>
      <c r="J238" s="19">
        <v>303.9479</v>
      </c>
      <c r="K238" s="20">
        <v>37.789099999999998</v>
      </c>
      <c r="L238" s="20">
        <v>40.985999999999997</v>
      </c>
      <c r="M238" s="20">
        <v>40.788899999999998</v>
      </c>
      <c r="N238" s="20">
        <v>87.869200000000006</v>
      </c>
      <c r="O238" s="20">
        <f t="shared" si="16"/>
        <v>38.5636875</v>
      </c>
      <c r="P238" s="7"/>
      <c r="Q238" s="13"/>
      <c r="R238" s="14"/>
      <c r="S238" s="14"/>
      <c r="T238" s="27"/>
      <c r="U238" s="28">
        <f t="shared" si="17"/>
        <v>-7.3109704641350109E-2</v>
      </c>
    </row>
    <row r="239" spans="2:21" x14ac:dyDescent="0.25">
      <c r="B239" s="6" t="s">
        <v>112</v>
      </c>
      <c r="C239" s="15">
        <v>2747.68</v>
      </c>
      <c r="D239" s="16">
        <v>50.146000000000001</v>
      </c>
      <c r="E239" s="16">
        <v>51.232999999999997</v>
      </c>
      <c r="F239" s="16">
        <v>51.466000000000001</v>
      </c>
      <c r="G239" s="16">
        <v>70.53</v>
      </c>
      <c r="H239" s="16">
        <f t="shared" si="15"/>
        <v>50.446874999999999</v>
      </c>
      <c r="I239" s="5"/>
      <c r="J239" s="15">
        <v>1422.7367999999999</v>
      </c>
      <c r="K239" s="16">
        <v>47.011000000000003</v>
      </c>
      <c r="L239" s="16">
        <v>49.972999999999999</v>
      </c>
      <c r="M239" s="16">
        <v>50.0989</v>
      </c>
      <c r="N239" s="16">
        <v>38.902900000000002</v>
      </c>
      <c r="O239" s="16">
        <f t="shared" si="16"/>
        <v>47.767237500000007</v>
      </c>
      <c r="P239" s="7"/>
      <c r="Q239" s="8">
        <f>bdrate(C239:C242,D239:D242,J239:J242,K239:K242)</f>
        <v>-0.3036727300460399</v>
      </c>
      <c r="R239" s="8">
        <f>bdrate(C239:C242,E239:E242,J239:J242,L239:L242)</f>
        <v>-0.45375693120040628</v>
      </c>
      <c r="S239" s="8">
        <f>bdrate(C239:C242,F239:F242,J239:J242,M239:M242)</f>
        <v>-0.45551960659395019</v>
      </c>
      <c r="T239" s="25">
        <f>bdrate(C239:C242,H239:H242,J239:J242,O239:O242)</f>
        <v>-0.33996379470116045</v>
      </c>
      <c r="U239" s="28">
        <f t="shared" si="17"/>
        <v>-0.44842053027080675</v>
      </c>
    </row>
    <row r="240" spans="2:21" x14ac:dyDescent="0.25">
      <c r="B240" s="9"/>
      <c r="C240" s="17">
        <v>1820.76</v>
      </c>
      <c r="D240" s="18">
        <v>46.973999999999997</v>
      </c>
      <c r="E240" s="18">
        <v>48.406999999999996</v>
      </c>
      <c r="F240" s="18">
        <v>48.655999999999999</v>
      </c>
      <c r="G240" s="18">
        <v>77.739999999999995</v>
      </c>
      <c r="H240" s="18">
        <f t="shared" si="15"/>
        <v>47.363374999999998</v>
      </c>
      <c r="I240" s="5"/>
      <c r="J240" s="17">
        <v>978.53989999999999</v>
      </c>
      <c r="K240" s="18">
        <v>45.6935</v>
      </c>
      <c r="L240" s="18">
        <v>48.877699999999997</v>
      </c>
      <c r="M240" s="18">
        <v>49.0441</v>
      </c>
      <c r="N240" s="18">
        <v>46.582599999999999</v>
      </c>
      <c r="O240" s="18">
        <f t="shared" si="16"/>
        <v>46.510350000000003</v>
      </c>
      <c r="P240" s="7"/>
      <c r="Q240" s="10"/>
      <c r="R240" s="11"/>
      <c r="S240" s="11"/>
      <c r="T240" s="26"/>
      <c r="U240" s="28">
        <f t="shared" si="17"/>
        <v>-0.40078981219449444</v>
      </c>
    </row>
    <row r="241" spans="2:21" x14ac:dyDescent="0.25">
      <c r="B241" s="9"/>
      <c r="C241" s="17">
        <v>1087.9000000000001</v>
      </c>
      <c r="D241" s="18">
        <v>43.737000000000002</v>
      </c>
      <c r="E241" s="18">
        <v>45.598999999999997</v>
      </c>
      <c r="F241" s="18">
        <v>45.823</v>
      </c>
      <c r="G241" s="18">
        <v>86.76</v>
      </c>
      <c r="H241" s="18">
        <f t="shared" si="15"/>
        <v>44.230499999999999</v>
      </c>
      <c r="I241" s="5"/>
      <c r="J241" s="17">
        <v>639.05229999999995</v>
      </c>
      <c r="K241" s="18">
        <v>42.685699999999997</v>
      </c>
      <c r="L241" s="18">
        <v>45.984200000000001</v>
      </c>
      <c r="M241" s="18">
        <v>46.285200000000003</v>
      </c>
      <c r="N241" s="18">
        <v>47.6342</v>
      </c>
      <c r="O241" s="18">
        <f t="shared" si="16"/>
        <v>43.54795</v>
      </c>
      <c r="P241" s="7"/>
      <c r="Q241" s="10"/>
      <c r="R241" s="11"/>
      <c r="S241" s="11"/>
      <c r="T241" s="26"/>
      <c r="U241" s="28">
        <f t="shared" si="17"/>
        <v>-0.45096588289534351</v>
      </c>
    </row>
    <row r="242" spans="2:21" ht="16.5" thickBot="1" x14ac:dyDescent="0.3">
      <c r="B242" s="12"/>
      <c r="C242" s="19">
        <v>503.91</v>
      </c>
      <c r="D242" s="20">
        <v>38.951999999999998</v>
      </c>
      <c r="E242" s="20">
        <v>41.558999999999997</v>
      </c>
      <c r="F242" s="20">
        <v>41.82</v>
      </c>
      <c r="G242" s="20">
        <v>100.86</v>
      </c>
      <c r="H242" s="20">
        <f t="shared" si="15"/>
        <v>39.636374999999994</v>
      </c>
      <c r="I242" s="5"/>
      <c r="J242" s="19">
        <v>352.22280000000001</v>
      </c>
      <c r="K242" s="20">
        <v>38.477800000000002</v>
      </c>
      <c r="L242" s="20">
        <v>42.278100000000002</v>
      </c>
      <c r="M242" s="20">
        <v>42.555900000000001</v>
      </c>
      <c r="N242" s="20">
        <v>79.677700000000002</v>
      </c>
      <c r="O242" s="20">
        <f t="shared" si="16"/>
        <v>39.462600000000002</v>
      </c>
      <c r="P242" s="7"/>
      <c r="Q242" s="13"/>
      <c r="R242" s="14"/>
      <c r="S242" s="14"/>
      <c r="T242" s="27"/>
      <c r="U242" s="28">
        <f t="shared" si="17"/>
        <v>-0.21001685504659923</v>
      </c>
    </row>
    <row r="243" spans="2:21" x14ac:dyDescent="0.25">
      <c r="B243" s="6" t="s">
        <v>113</v>
      </c>
      <c r="C243" s="29">
        <v>2140.59</v>
      </c>
      <c r="D243" s="30">
        <v>34.529000000000003</v>
      </c>
      <c r="E243" s="30">
        <v>37.640999999999998</v>
      </c>
      <c r="F243" s="30">
        <v>36.581000000000003</v>
      </c>
      <c r="G243" s="16">
        <v>47.11</v>
      </c>
      <c r="H243" s="16">
        <f t="shared" si="15"/>
        <v>35.174500000000002</v>
      </c>
      <c r="I243" s="5"/>
      <c r="J243" s="29">
        <v>1514.2923000000001</v>
      </c>
      <c r="K243" s="30">
        <v>33.278300000000002</v>
      </c>
      <c r="L243" s="30">
        <v>37.775199999999998</v>
      </c>
      <c r="M243" s="30">
        <v>36.616900000000001</v>
      </c>
      <c r="N243" s="16">
        <v>36.913200000000003</v>
      </c>
      <c r="O243" s="16">
        <f t="shared" si="16"/>
        <v>34.257737499999998</v>
      </c>
      <c r="P243" s="7"/>
      <c r="Q243" s="8">
        <f>bdrate(C243:C246,D243:D246,J243:J246,K243:K246)</f>
        <v>-0.21966165297890172</v>
      </c>
      <c r="R243" s="8">
        <f>bdrate(C243:C246,E243:E246,J243:J246,L243:L246)</f>
        <v>-0.40279692165951975</v>
      </c>
      <c r="S243" s="8">
        <f>bdrate(C243:C246,F243:F246,J243:J246,M243:M246)</f>
        <v>-0.38089335550620074</v>
      </c>
      <c r="T243" s="25">
        <f>bdrate(C243:C246,H243:H246,J243:J246,O243:O246)</f>
        <v>-0.24936749285284143</v>
      </c>
      <c r="U243" s="28">
        <f t="shared" si="17"/>
        <v>-0.21644661430694112</v>
      </c>
    </row>
    <row r="244" spans="2:21" x14ac:dyDescent="0.25">
      <c r="B244" s="9"/>
      <c r="C244" s="31">
        <v>1419.35</v>
      </c>
      <c r="D244" s="32">
        <v>32.334000000000003</v>
      </c>
      <c r="E244" s="32">
        <v>36.341000000000001</v>
      </c>
      <c r="F244" s="32">
        <v>35.204999999999998</v>
      </c>
      <c r="G244" s="18">
        <v>51.99</v>
      </c>
      <c r="H244" s="18">
        <f t="shared" si="15"/>
        <v>33.193750000000001</v>
      </c>
      <c r="I244" s="5"/>
      <c r="J244" s="31">
        <v>1008.8763</v>
      </c>
      <c r="K244" s="32">
        <v>31.414200000000001</v>
      </c>
      <c r="L244" s="32">
        <v>36.701099999999997</v>
      </c>
      <c r="M244" s="32">
        <v>35.4955</v>
      </c>
      <c r="N244" s="18">
        <v>42.184199999999997</v>
      </c>
      <c r="O244" s="18">
        <f t="shared" si="16"/>
        <v>32.585225000000001</v>
      </c>
      <c r="P244" s="7"/>
      <c r="Q244" s="10"/>
      <c r="R244" s="11"/>
      <c r="S244" s="11"/>
      <c r="T244" s="26"/>
      <c r="U244" s="28">
        <f t="shared" si="17"/>
        <v>-0.18860934795152923</v>
      </c>
    </row>
    <row r="245" spans="2:21" x14ac:dyDescent="0.25">
      <c r="B245" s="9"/>
      <c r="C245" s="31">
        <v>856.1</v>
      </c>
      <c r="D245" s="32">
        <v>29.61</v>
      </c>
      <c r="E245" s="32">
        <v>34.93</v>
      </c>
      <c r="F245" s="32">
        <v>33.698999999999998</v>
      </c>
      <c r="G245" s="18">
        <v>58.04</v>
      </c>
      <c r="H245" s="18">
        <f t="shared" si="15"/>
        <v>30.786124999999998</v>
      </c>
      <c r="I245" s="5"/>
      <c r="J245" s="31">
        <v>605.36590000000001</v>
      </c>
      <c r="K245" s="32">
        <v>29.164200000000001</v>
      </c>
      <c r="L245" s="32">
        <v>35.447800000000001</v>
      </c>
      <c r="M245" s="32">
        <v>34.144799999999996</v>
      </c>
      <c r="N245" s="18">
        <v>50.807299999999998</v>
      </c>
      <c r="O245" s="18">
        <f t="shared" si="16"/>
        <v>30.572225000000003</v>
      </c>
      <c r="P245" s="7"/>
      <c r="Q245" s="10"/>
      <c r="R245" s="11"/>
      <c r="S245" s="11"/>
      <c r="T245" s="26"/>
      <c r="U245" s="28">
        <f t="shared" si="17"/>
        <v>-0.12461578221915923</v>
      </c>
    </row>
    <row r="246" spans="2:21" ht="16.5" thickBot="1" x14ac:dyDescent="0.3">
      <c r="B246" s="12"/>
      <c r="C246" s="33">
        <v>398.34</v>
      </c>
      <c r="D246" s="34">
        <v>25.57</v>
      </c>
      <c r="E246" s="34">
        <v>32.936</v>
      </c>
      <c r="F246" s="34">
        <v>31.547000000000001</v>
      </c>
      <c r="G246" s="20">
        <v>69.34</v>
      </c>
      <c r="H246" s="20">
        <f t="shared" si="15"/>
        <v>27.237875000000003</v>
      </c>
      <c r="I246" s="5"/>
      <c r="J246" s="33">
        <v>304.57920000000001</v>
      </c>
      <c r="K246" s="34">
        <v>26.711500000000001</v>
      </c>
      <c r="L246" s="34">
        <v>33.826799999999999</v>
      </c>
      <c r="M246" s="34">
        <v>32.410699999999999</v>
      </c>
      <c r="N246" s="20">
        <v>63.854700000000001</v>
      </c>
      <c r="O246" s="20">
        <f t="shared" si="16"/>
        <v>28.313312499999999</v>
      </c>
      <c r="P246" s="7"/>
      <c r="Q246" s="13"/>
      <c r="R246" s="14"/>
      <c r="S246" s="14"/>
      <c r="T246" s="27"/>
      <c r="U246" s="28">
        <f t="shared" si="17"/>
        <v>-7.9107297375252406E-2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-0.33088792247563475</v>
      </c>
      <c r="R247" s="21">
        <f>AVERAGE(R131:R246)</f>
        <v>-0.55753419063868959</v>
      </c>
      <c r="S247" s="21">
        <f>AVERAGE(S131:S246)</f>
        <v>-0.5554699574420886</v>
      </c>
      <c r="T247" s="21">
        <f>AVERAGE(T131:T246)</f>
        <v>-0.37730303207068983</v>
      </c>
      <c r="U247" s="21">
        <f>AVERAGE(U131:U246)</f>
        <v>-5.1096199956780358E-2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849" priority="453" operator="greaterThan">
      <formula>0.03</formula>
    </cfRule>
    <cfRule type="cellIs" dxfId="848" priority="454" stopIfTrue="1" operator="lessThan">
      <formula>-0.03</formula>
    </cfRule>
  </conditionalFormatting>
  <conditionalFormatting sqref="Q33:T36">
    <cfRule type="cellIs" dxfId="847" priority="451" operator="greaterThan">
      <formula>0.03</formula>
    </cfRule>
    <cfRule type="cellIs" dxfId="846" priority="452" stopIfTrue="1" operator="lessThan">
      <formula>-0.03</formula>
    </cfRule>
  </conditionalFormatting>
  <conditionalFormatting sqref="Q46:T48 Q62:T64">
    <cfRule type="cellIs" dxfId="845" priority="449" operator="greaterThan">
      <formula>0.03</formula>
    </cfRule>
    <cfRule type="cellIs" dxfId="844" priority="450" stopIfTrue="1" operator="lessThan">
      <formula>-0.03</formula>
    </cfRule>
  </conditionalFormatting>
  <conditionalFormatting sqref="Q50:T52 Q54:T56 Q58:T60">
    <cfRule type="cellIs" dxfId="843" priority="447" operator="greaterThan">
      <formula>0.03</formula>
    </cfRule>
    <cfRule type="cellIs" dxfId="842" priority="448" stopIfTrue="1" operator="lessThan">
      <formula>-0.03</formula>
    </cfRule>
  </conditionalFormatting>
  <conditionalFormatting sqref="Q70:T72 Q74:T76">
    <cfRule type="cellIs" dxfId="841" priority="445" operator="greaterThan">
      <formula>0.03</formula>
    </cfRule>
    <cfRule type="cellIs" dxfId="840" priority="446" stopIfTrue="1" operator="lessThan">
      <formula>-0.03</formula>
    </cfRule>
  </conditionalFormatting>
  <conditionalFormatting sqref="Q66:T68">
    <cfRule type="cellIs" dxfId="839" priority="443" operator="greaterThan">
      <formula>0.03</formula>
    </cfRule>
    <cfRule type="cellIs" dxfId="838" priority="444" stopIfTrue="1" operator="lessThan">
      <formula>-0.03</formula>
    </cfRule>
  </conditionalFormatting>
  <conditionalFormatting sqref="Q78:T80">
    <cfRule type="cellIs" dxfId="837" priority="441" operator="greaterThan">
      <formula>0.03</formula>
    </cfRule>
    <cfRule type="cellIs" dxfId="836" priority="442" stopIfTrue="1" operator="lessThan">
      <formula>-0.03</formula>
    </cfRule>
  </conditionalFormatting>
  <conditionalFormatting sqref="Q21:T28">
    <cfRule type="cellIs" dxfId="835" priority="423" operator="greaterThan">
      <formula>0.03</formula>
    </cfRule>
    <cfRule type="cellIs" dxfId="834" priority="424" stopIfTrue="1" operator="lessThan">
      <formula>-0.03</formula>
    </cfRule>
  </conditionalFormatting>
  <conditionalFormatting sqref="Q151:T154 Q159:T166 Q131:T142">
    <cfRule type="cellIs" dxfId="833" priority="419" operator="greaterThan">
      <formula>0.03</formula>
    </cfRule>
    <cfRule type="cellIs" dxfId="832" priority="420" stopIfTrue="1" operator="lessThan">
      <formula>-0.03</formula>
    </cfRule>
  </conditionalFormatting>
  <conditionalFormatting sqref="Q155:T158">
    <cfRule type="cellIs" dxfId="831" priority="417" operator="greaterThan">
      <formula>0.03</formula>
    </cfRule>
    <cfRule type="cellIs" dxfId="830" priority="418" stopIfTrue="1" operator="lessThan">
      <formula>-0.03</formula>
    </cfRule>
  </conditionalFormatting>
  <conditionalFormatting sqref="Q167:T170 Q183:T186">
    <cfRule type="cellIs" dxfId="829" priority="415" operator="greaterThan">
      <formula>0.03</formula>
    </cfRule>
    <cfRule type="cellIs" dxfId="828" priority="416" stopIfTrue="1" operator="lessThan">
      <formula>-0.03</formula>
    </cfRule>
  </conditionalFormatting>
  <conditionalFormatting sqref="Q171:T182">
    <cfRule type="cellIs" dxfId="827" priority="413" operator="greaterThan">
      <formula>0.03</formula>
    </cfRule>
    <cfRule type="cellIs" dxfId="826" priority="414" stopIfTrue="1" operator="lessThan">
      <formula>-0.03</formula>
    </cfRule>
  </conditionalFormatting>
  <conditionalFormatting sqref="Q191:T198">
    <cfRule type="cellIs" dxfId="825" priority="411" operator="greaterThan">
      <formula>0.03</formula>
    </cfRule>
    <cfRule type="cellIs" dxfId="824" priority="412" stopIfTrue="1" operator="lessThan">
      <formula>-0.03</formula>
    </cfRule>
  </conditionalFormatting>
  <conditionalFormatting sqref="Q187:T190">
    <cfRule type="cellIs" dxfId="823" priority="409" operator="greaterThan">
      <formula>0.03</formula>
    </cfRule>
    <cfRule type="cellIs" dxfId="822" priority="410" stopIfTrue="1" operator="lessThan">
      <formula>-0.03</formula>
    </cfRule>
  </conditionalFormatting>
  <conditionalFormatting sqref="Q199:T202">
    <cfRule type="cellIs" dxfId="821" priority="407" operator="greaterThan">
      <formula>0.03</formula>
    </cfRule>
    <cfRule type="cellIs" dxfId="820" priority="408" stopIfTrue="1" operator="lessThan">
      <formula>-0.03</formula>
    </cfRule>
  </conditionalFormatting>
  <conditionalFormatting sqref="Q143:T150">
    <cfRule type="cellIs" dxfId="819" priority="405" operator="greaterThan">
      <formula>0.03</formula>
    </cfRule>
    <cfRule type="cellIs" dxfId="818" priority="406" stopIfTrue="1" operator="lessThan">
      <formula>-0.03</formula>
    </cfRule>
  </conditionalFormatting>
  <conditionalFormatting sqref="Q45:T45">
    <cfRule type="cellIs" dxfId="817" priority="403" operator="greaterThan">
      <formula>0.03</formula>
    </cfRule>
    <cfRule type="cellIs" dxfId="816" priority="404" stopIfTrue="1" operator="lessThan">
      <formula>-0.03</formula>
    </cfRule>
  </conditionalFormatting>
  <conditionalFormatting sqref="Q49:T49">
    <cfRule type="cellIs" dxfId="815" priority="401" operator="greaterThan">
      <formula>0.03</formula>
    </cfRule>
    <cfRule type="cellIs" dxfId="814" priority="402" stopIfTrue="1" operator="lessThan">
      <formula>-0.03</formula>
    </cfRule>
  </conditionalFormatting>
  <conditionalFormatting sqref="Q53:T53">
    <cfRule type="cellIs" dxfId="813" priority="399" operator="greaterThan">
      <formula>0.03</formula>
    </cfRule>
    <cfRule type="cellIs" dxfId="812" priority="400" stopIfTrue="1" operator="lessThan">
      <formula>-0.03</formula>
    </cfRule>
  </conditionalFormatting>
  <conditionalFormatting sqref="Q57:T57">
    <cfRule type="cellIs" dxfId="811" priority="397" operator="greaterThan">
      <formula>0.03</formula>
    </cfRule>
    <cfRule type="cellIs" dxfId="810" priority="398" stopIfTrue="1" operator="lessThan">
      <formula>-0.03</formula>
    </cfRule>
  </conditionalFormatting>
  <conditionalFormatting sqref="Q61:T61">
    <cfRule type="cellIs" dxfId="809" priority="395" operator="greaterThan">
      <formula>0.03</formula>
    </cfRule>
    <cfRule type="cellIs" dxfId="808" priority="396" stopIfTrue="1" operator="lessThan">
      <formula>-0.03</formula>
    </cfRule>
  </conditionalFormatting>
  <conditionalFormatting sqref="Q65:T65">
    <cfRule type="cellIs" dxfId="807" priority="393" operator="greaterThan">
      <formula>0.03</formula>
    </cfRule>
    <cfRule type="cellIs" dxfId="806" priority="394" stopIfTrue="1" operator="lessThan">
      <formula>-0.03</formula>
    </cfRule>
  </conditionalFormatting>
  <conditionalFormatting sqref="Q69:T69">
    <cfRule type="cellIs" dxfId="805" priority="391" operator="greaterThan">
      <formula>0.03</formula>
    </cfRule>
    <cfRule type="cellIs" dxfId="804" priority="392" stopIfTrue="1" operator="lessThan">
      <formula>-0.03</formula>
    </cfRule>
  </conditionalFormatting>
  <conditionalFormatting sqref="Q73:T73">
    <cfRule type="cellIs" dxfId="803" priority="389" operator="greaterThan">
      <formula>0.03</formula>
    </cfRule>
    <cfRule type="cellIs" dxfId="802" priority="390" stopIfTrue="1" operator="lessThan">
      <formula>-0.03</formula>
    </cfRule>
  </conditionalFormatting>
  <conditionalFormatting sqref="Q77:T77">
    <cfRule type="cellIs" dxfId="801" priority="387" operator="greaterThan">
      <formula>0.03</formula>
    </cfRule>
    <cfRule type="cellIs" dxfId="800" priority="388" stopIfTrue="1" operator="lessThan">
      <formula>-0.03</formula>
    </cfRule>
  </conditionalFormatting>
  <conditionalFormatting sqref="Q117:T117">
    <cfRule type="cellIs" dxfId="799" priority="99" operator="greaterThan">
      <formula>0.03</formula>
    </cfRule>
    <cfRule type="cellIs" dxfId="798" priority="100" stopIfTrue="1" operator="lessThan">
      <formula>-0.03</formula>
    </cfRule>
  </conditionalFormatting>
  <conditionalFormatting sqref="Q93:T96 Q101:T108 Q81:T84">
    <cfRule type="cellIs" dxfId="797" priority="113" operator="greaterThan">
      <formula>0.03</formula>
    </cfRule>
    <cfRule type="cellIs" dxfId="796" priority="114" stopIfTrue="1" operator="lessThan">
      <formula>-0.03</formula>
    </cfRule>
  </conditionalFormatting>
  <conditionalFormatting sqref="Q97:T100">
    <cfRule type="cellIs" dxfId="795" priority="111" operator="greaterThan">
      <formula>0.03</formula>
    </cfRule>
    <cfRule type="cellIs" dxfId="794" priority="112" stopIfTrue="1" operator="lessThan">
      <formula>-0.03</formula>
    </cfRule>
  </conditionalFormatting>
  <conditionalFormatting sqref="Q110:T112 Q122:T124">
    <cfRule type="cellIs" dxfId="793" priority="109" operator="greaterThan">
      <formula>0.03</formula>
    </cfRule>
    <cfRule type="cellIs" dxfId="792" priority="110" stopIfTrue="1" operator="lessThan">
      <formula>-0.03</formula>
    </cfRule>
  </conditionalFormatting>
  <conditionalFormatting sqref="Q114:T116 Q118:T120">
    <cfRule type="cellIs" dxfId="791" priority="107" operator="greaterThan">
      <formula>0.03</formula>
    </cfRule>
    <cfRule type="cellIs" dxfId="790" priority="108" stopIfTrue="1" operator="lessThan">
      <formula>-0.03</formula>
    </cfRule>
  </conditionalFormatting>
  <conditionalFormatting sqref="Q85:T92">
    <cfRule type="cellIs" dxfId="789" priority="105" operator="greaterThan">
      <formula>0.03</formula>
    </cfRule>
    <cfRule type="cellIs" dxfId="788" priority="106" stopIfTrue="1" operator="lessThan">
      <formula>-0.03</formula>
    </cfRule>
  </conditionalFormatting>
  <conditionalFormatting sqref="Q109:T109">
    <cfRule type="cellIs" dxfId="787" priority="103" operator="greaterThan">
      <formula>0.03</formula>
    </cfRule>
    <cfRule type="cellIs" dxfId="786" priority="104" stopIfTrue="1" operator="lessThan">
      <formula>-0.03</formula>
    </cfRule>
  </conditionalFormatting>
  <conditionalFormatting sqref="Q113:T113">
    <cfRule type="cellIs" dxfId="785" priority="101" operator="greaterThan">
      <formula>0.03</formula>
    </cfRule>
    <cfRule type="cellIs" dxfId="784" priority="102" stopIfTrue="1" operator="lessThan">
      <formula>-0.03</formula>
    </cfRule>
  </conditionalFormatting>
  <conditionalFormatting sqref="Q121:T121">
    <cfRule type="cellIs" dxfId="783" priority="97" operator="greaterThan">
      <formula>0.03</formula>
    </cfRule>
    <cfRule type="cellIs" dxfId="782" priority="98" stopIfTrue="1" operator="lessThan">
      <formula>-0.03</formula>
    </cfRule>
  </conditionalFormatting>
  <conditionalFormatting sqref="Q239:T239">
    <cfRule type="cellIs" dxfId="781" priority="33" operator="greaterThan">
      <formula>0.03</formula>
    </cfRule>
    <cfRule type="cellIs" dxfId="780" priority="34" stopIfTrue="1" operator="lessThan">
      <formula>-0.03</formula>
    </cfRule>
  </conditionalFormatting>
  <conditionalFormatting sqref="Q215:T218 Q223:T230 Q203:T206">
    <cfRule type="cellIs" dxfId="779" priority="47" operator="greaterThan">
      <formula>0.03</formula>
    </cfRule>
    <cfRule type="cellIs" dxfId="778" priority="48" stopIfTrue="1" operator="lessThan">
      <formula>-0.03</formula>
    </cfRule>
  </conditionalFormatting>
  <conditionalFormatting sqref="Q219:T222">
    <cfRule type="cellIs" dxfId="777" priority="45" operator="greaterThan">
      <formula>0.03</formula>
    </cfRule>
    <cfRule type="cellIs" dxfId="776" priority="46" stopIfTrue="1" operator="lessThan">
      <formula>-0.03</formula>
    </cfRule>
  </conditionalFormatting>
  <conditionalFormatting sqref="Q232:T234 Q244:T246">
    <cfRule type="cellIs" dxfId="775" priority="43" operator="greaterThan">
      <formula>0.03</formula>
    </cfRule>
    <cfRule type="cellIs" dxfId="774" priority="44" stopIfTrue="1" operator="lessThan">
      <formula>-0.03</formula>
    </cfRule>
  </conditionalFormatting>
  <conditionalFormatting sqref="Q236:T238 Q240:T242">
    <cfRule type="cellIs" dxfId="773" priority="41" operator="greaterThan">
      <formula>0.03</formula>
    </cfRule>
    <cfRule type="cellIs" dxfId="772" priority="42" stopIfTrue="1" operator="lessThan">
      <formula>-0.03</formula>
    </cfRule>
  </conditionalFormatting>
  <conditionalFormatting sqref="Q207:T214">
    <cfRule type="cellIs" dxfId="771" priority="39" operator="greaterThan">
      <formula>0.03</formula>
    </cfRule>
    <cfRule type="cellIs" dxfId="770" priority="40" stopIfTrue="1" operator="lessThan">
      <formula>-0.03</formula>
    </cfRule>
  </conditionalFormatting>
  <conditionalFormatting sqref="Q231:T231">
    <cfRule type="cellIs" dxfId="769" priority="37" operator="greaterThan">
      <formula>0.03</formula>
    </cfRule>
    <cfRule type="cellIs" dxfId="768" priority="38" stopIfTrue="1" operator="lessThan">
      <formula>-0.03</formula>
    </cfRule>
  </conditionalFormatting>
  <conditionalFormatting sqref="Q235:T235">
    <cfRule type="cellIs" dxfId="767" priority="35" operator="greaterThan">
      <formula>0.03</formula>
    </cfRule>
    <cfRule type="cellIs" dxfId="766" priority="36" stopIfTrue="1" operator="lessThan">
      <formula>-0.03</formula>
    </cfRule>
  </conditionalFormatting>
  <conditionalFormatting sqref="Q243:T243">
    <cfRule type="cellIs" dxfId="765" priority="31" operator="greaterThan">
      <formula>0.03</formula>
    </cfRule>
    <cfRule type="cellIs" dxfId="764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99</v>
      </c>
    </row>
    <row r="2" spans="1:21" x14ac:dyDescent="0.25">
      <c r="A2" t="s">
        <v>86</v>
      </c>
    </row>
    <row r="3" spans="1:21" x14ac:dyDescent="0.25">
      <c r="A3" t="s">
        <v>91</v>
      </c>
    </row>
    <row r="4" spans="1:21" x14ac:dyDescent="0.25">
      <c r="A4" t="s">
        <v>85</v>
      </c>
    </row>
    <row r="5" spans="1:21" s="35" customFormat="1" ht="15.75" customHeight="1" x14ac:dyDescent="0.25">
      <c r="B5" s="58" t="s">
        <v>29</v>
      </c>
      <c r="C5" s="60" t="s">
        <v>145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2"/>
    </row>
    <row r="6" spans="1:21" s="35" customFormat="1" x14ac:dyDescent="0.25">
      <c r="B6" s="59"/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5"/>
    </row>
    <row r="7" spans="1:21" ht="16.5" customHeight="1" thickBot="1" x14ac:dyDescent="0.3">
      <c r="C7" s="66" t="s">
        <v>81</v>
      </c>
      <c r="D7" s="67"/>
      <c r="E7" s="67"/>
      <c r="F7" s="67"/>
      <c r="G7" s="67"/>
      <c r="H7" s="67"/>
      <c r="I7" s="5"/>
      <c r="J7" s="66" t="s">
        <v>136</v>
      </c>
      <c r="K7" s="67"/>
      <c r="L7" s="67"/>
      <c r="M7" s="67"/>
      <c r="N7" s="67"/>
      <c r="O7" s="67"/>
      <c r="Q7" s="66" t="s">
        <v>7</v>
      </c>
      <c r="R7" s="67"/>
      <c r="S7" s="68"/>
      <c r="T7" s="36"/>
      <c r="U7" s="6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9"/>
    </row>
    <row r="9" spans="1:21" x14ac:dyDescent="0.25">
      <c r="A9" s="6" t="s">
        <v>35</v>
      </c>
      <c r="B9" s="6" t="s">
        <v>46</v>
      </c>
      <c r="C9" s="15">
        <v>5622.82</v>
      </c>
      <c r="D9" s="16">
        <v>38.622999999999998</v>
      </c>
      <c r="E9" s="16">
        <v>39.718000000000004</v>
      </c>
      <c r="F9" s="16">
        <v>42.183</v>
      </c>
      <c r="G9" s="16">
        <v>0.96</v>
      </c>
      <c r="H9" s="16">
        <f t="shared" ref="H9:H80" si="0">(6*D9+E9+F9)/8</f>
        <v>39.204875000000001</v>
      </c>
      <c r="I9" s="5"/>
      <c r="J9" s="15">
        <v>4099.2608</v>
      </c>
      <c r="K9" s="16">
        <v>38.763800000000003</v>
      </c>
      <c r="L9" s="16">
        <v>40.285899999999998</v>
      </c>
      <c r="M9" s="16">
        <v>43.0764</v>
      </c>
      <c r="N9" s="16">
        <v>1.7606999999999999</v>
      </c>
      <c r="O9" s="16">
        <f t="shared" ref="O9:O80" si="1">(6*K9+L9+M9)/8</f>
        <v>39.493137499999996</v>
      </c>
      <c r="P9" s="7"/>
      <c r="Q9" s="8">
        <f>bdrate(C9:C12,D9:D12,J9:J12,K9:K12)</f>
        <v>-0.36258692073759058</v>
      </c>
      <c r="R9" s="8">
        <f>bdrate(C9:C12,E9:E12,J9:J12,L9:L12)</f>
        <v>-0.52615090857713587</v>
      </c>
      <c r="S9" s="8">
        <f>bdrate(C9:C12,F9:F12,J9:J12,M9:M12)</f>
        <v>-0.53058141997889985</v>
      </c>
      <c r="T9" s="25">
        <f>bdrate(C9:C12,H9:H12,J9:J12,O9:O12)</f>
        <v>-0.38999569584045113</v>
      </c>
      <c r="U9" s="28">
        <f t="shared" ref="U9:U72" si="2">(N9-G9)/G9</f>
        <v>0.83406250000000004</v>
      </c>
    </row>
    <row r="10" spans="1:21" x14ac:dyDescent="0.25">
      <c r="A10" s="9" t="s">
        <v>36</v>
      </c>
      <c r="B10" s="9"/>
      <c r="C10" s="17">
        <v>4145.47</v>
      </c>
      <c r="D10" s="18">
        <v>37.618000000000002</v>
      </c>
      <c r="E10" s="18">
        <v>39.162999999999997</v>
      </c>
      <c r="F10" s="18">
        <v>41.582999999999998</v>
      </c>
      <c r="G10" s="18">
        <v>1.02</v>
      </c>
      <c r="H10" s="18">
        <f t="shared" si="0"/>
        <v>38.306750000000008</v>
      </c>
      <c r="I10" s="5"/>
      <c r="J10" s="17">
        <v>3002.8624</v>
      </c>
      <c r="K10" s="18">
        <v>37.816299999999998</v>
      </c>
      <c r="L10" s="18">
        <v>39.824800000000003</v>
      </c>
      <c r="M10" s="18">
        <v>42.427799999999998</v>
      </c>
      <c r="N10" s="18">
        <v>2.1141999999999999</v>
      </c>
      <c r="O10" s="18">
        <f t="shared" si="1"/>
        <v>38.643799999999999</v>
      </c>
      <c r="P10" s="7"/>
      <c r="Q10" s="10"/>
      <c r="R10" s="11"/>
      <c r="S10" s="11"/>
      <c r="T10" s="26"/>
      <c r="U10" s="28">
        <f t="shared" si="2"/>
        <v>1.0727450980392155</v>
      </c>
    </row>
    <row r="11" spans="1:21" x14ac:dyDescent="0.25">
      <c r="B11" s="9"/>
      <c r="C11" s="17">
        <v>2710.45</v>
      </c>
      <c r="D11" s="18">
        <v>36.003999999999998</v>
      </c>
      <c r="E11" s="18">
        <v>38.366</v>
      </c>
      <c r="F11" s="18">
        <v>40.707999999999998</v>
      </c>
      <c r="G11" s="18">
        <v>1.1399999999999999</v>
      </c>
      <c r="H11" s="18">
        <f t="shared" si="0"/>
        <v>36.887249999999995</v>
      </c>
      <c r="I11" s="5"/>
      <c r="J11" s="17">
        <v>1971.7760000000001</v>
      </c>
      <c r="K11" s="18">
        <v>36.442500000000003</v>
      </c>
      <c r="L11" s="18">
        <v>39.150100000000002</v>
      </c>
      <c r="M11" s="18">
        <v>41.607900000000001</v>
      </c>
      <c r="N11" s="18">
        <v>2.6621000000000001</v>
      </c>
      <c r="O11" s="18">
        <f t="shared" si="1"/>
        <v>37.426625000000001</v>
      </c>
      <c r="P11" s="7"/>
      <c r="Q11" s="10"/>
      <c r="R11" s="11"/>
      <c r="S11" s="11"/>
      <c r="T11" s="26"/>
      <c r="U11" s="28">
        <f t="shared" si="2"/>
        <v>1.3351754385964916</v>
      </c>
    </row>
    <row r="12" spans="1:21" ht="16.5" thickBot="1" x14ac:dyDescent="0.3">
      <c r="B12" s="12"/>
      <c r="C12" s="19">
        <v>1343.83</v>
      </c>
      <c r="D12" s="20">
        <v>32.639000000000003</v>
      </c>
      <c r="E12" s="20">
        <v>37.106000000000002</v>
      </c>
      <c r="F12" s="20">
        <v>39.368000000000002</v>
      </c>
      <c r="G12" s="20">
        <v>1.42</v>
      </c>
      <c r="H12" s="20">
        <f t="shared" si="0"/>
        <v>34.038499999999999</v>
      </c>
      <c r="I12" s="5"/>
      <c r="J12" s="19">
        <v>904.94399999999996</v>
      </c>
      <c r="K12" s="20">
        <v>33.603999999999999</v>
      </c>
      <c r="L12" s="20">
        <v>37.743200000000002</v>
      </c>
      <c r="M12" s="20">
        <v>40.010399999999997</v>
      </c>
      <c r="N12" s="20">
        <v>4.1969000000000003</v>
      </c>
      <c r="O12" s="20">
        <f t="shared" si="1"/>
        <v>34.922199999999997</v>
      </c>
      <c r="P12" s="7"/>
      <c r="Q12" s="13"/>
      <c r="R12" s="14"/>
      <c r="S12" s="14"/>
      <c r="T12" s="27"/>
      <c r="U12" s="28">
        <f t="shared" si="2"/>
        <v>1.9555633802816905</v>
      </c>
    </row>
    <row r="13" spans="1:21" x14ac:dyDescent="0.25">
      <c r="B13" s="6" t="s">
        <v>47</v>
      </c>
      <c r="C13" s="15">
        <v>6793.03</v>
      </c>
      <c r="D13" s="16">
        <v>30.728999999999999</v>
      </c>
      <c r="E13" s="16">
        <v>40.478999999999999</v>
      </c>
      <c r="F13" s="16">
        <v>41.115000000000002</v>
      </c>
      <c r="G13" s="16">
        <v>0.88</v>
      </c>
      <c r="H13" s="16">
        <f t="shared" si="0"/>
        <v>33.246000000000002</v>
      </c>
      <c r="I13" s="5"/>
      <c r="J13" s="15">
        <v>4112.32</v>
      </c>
      <c r="K13" s="16">
        <v>30.174299999999999</v>
      </c>
      <c r="L13" s="16">
        <v>41.105699999999999</v>
      </c>
      <c r="M13" s="16">
        <v>41.896099999999997</v>
      </c>
      <c r="N13" s="16">
        <v>1.2716000000000001</v>
      </c>
      <c r="O13" s="16">
        <f t="shared" si="1"/>
        <v>33.005949999999999</v>
      </c>
      <c r="P13" s="7"/>
      <c r="Q13" s="8">
        <f>bdrate(C13:C16,D13:D16,J13:J16,K13:K16)</f>
        <v>-0.38101730880171714</v>
      </c>
      <c r="R13" s="8">
        <f>bdrate(C13:C16,E13:E16,J13:J16,L13:L16)</f>
        <v>-0.53781285312439653</v>
      </c>
      <c r="S13" s="8">
        <f>bdrate(C13:C16,F13:F16,J13:J16,M13:M16)</f>
        <v>-0.61786932464255551</v>
      </c>
      <c r="T13" s="25">
        <f>bdrate(C13:C16,H13:H16,J13:J16,O13:O16)</f>
        <v>-0.40947023390720361</v>
      </c>
      <c r="U13" s="28">
        <f t="shared" si="2"/>
        <v>0.44500000000000006</v>
      </c>
    </row>
    <row r="14" spans="1:21" x14ac:dyDescent="0.25">
      <c r="B14" s="9"/>
      <c r="C14" s="17">
        <v>5113.3</v>
      </c>
      <c r="D14" s="18">
        <v>29.216999999999999</v>
      </c>
      <c r="E14" s="18">
        <v>39.908999999999999</v>
      </c>
      <c r="F14" s="18">
        <v>40.615000000000002</v>
      </c>
      <c r="G14" s="18">
        <v>0.97</v>
      </c>
      <c r="H14" s="18">
        <f t="shared" si="0"/>
        <v>31.978249999999999</v>
      </c>
      <c r="I14" s="5"/>
      <c r="J14" s="17">
        <v>3067.4144000000001</v>
      </c>
      <c r="K14" s="18">
        <v>28.848500000000001</v>
      </c>
      <c r="L14" s="18">
        <v>40.563299999999998</v>
      </c>
      <c r="M14" s="18">
        <v>41.465000000000003</v>
      </c>
      <c r="N14" s="18">
        <v>1.4921</v>
      </c>
      <c r="O14" s="18">
        <f t="shared" si="1"/>
        <v>31.889912500000001</v>
      </c>
      <c r="P14" s="7"/>
      <c r="Q14" s="10"/>
      <c r="R14" s="11"/>
      <c r="S14" s="11"/>
      <c r="T14" s="26"/>
      <c r="U14" s="28">
        <f t="shared" si="2"/>
        <v>0.53824742268041237</v>
      </c>
    </row>
    <row r="15" spans="1:21" x14ac:dyDescent="0.25">
      <c r="B15" s="9"/>
      <c r="C15" s="17">
        <v>3411.17</v>
      </c>
      <c r="D15" s="18">
        <v>27.119</v>
      </c>
      <c r="E15" s="18">
        <v>39.146000000000001</v>
      </c>
      <c r="F15" s="18">
        <v>39.886000000000003</v>
      </c>
      <c r="G15" s="18">
        <v>1.1200000000000001</v>
      </c>
      <c r="H15" s="18">
        <f t="shared" si="0"/>
        <v>30.218250000000001</v>
      </c>
      <c r="I15" s="5"/>
      <c r="J15" s="17">
        <v>2059.1743999999999</v>
      </c>
      <c r="K15" s="18">
        <v>27.0932</v>
      </c>
      <c r="L15" s="18">
        <v>39.745800000000003</v>
      </c>
      <c r="M15" s="18">
        <v>40.804400000000001</v>
      </c>
      <c r="N15" s="18">
        <v>1.8976</v>
      </c>
      <c r="O15" s="18">
        <f t="shared" si="1"/>
        <v>30.388674999999999</v>
      </c>
      <c r="P15" s="7"/>
      <c r="Q15" s="10"/>
      <c r="R15" s="11"/>
      <c r="S15" s="11"/>
      <c r="T15" s="26"/>
      <c r="U15" s="28">
        <f t="shared" si="2"/>
        <v>0.69428571428571406</v>
      </c>
    </row>
    <row r="16" spans="1:21" ht="16.5" thickBot="1" x14ac:dyDescent="0.3">
      <c r="B16" s="12"/>
      <c r="C16" s="19">
        <v>1705.07</v>
      </c>
      <c r="D16" s="20">
        <v>23.632000000000001</v>
      </c>
      <c r="E16" s="20">
        <v>37.802</v>
      </c>
      <c r="F16" s="20">
        <v>38.508000000000003</v>
      </c>
      <c r="G16" s="20">
        <v>1.34</v>
      </c>
      <c r="H16" s="20">
        <f t="shared" si="0"/>
        <v>27.26275</v>
      </c>
      <c r="I16" s="5"/>
      <c r="J16" s="19">
        <v>1390.3568</v>
      </c>
      <c r="K16" s="20">
        <v>25.843900000000001</v>
      </c>
      <c r="L16" s="20">
        <v>38.586199999999998</v>
      </c>
      <c r="M16" s="20">
        <v>39.775100000000002</v>
      </c>
      <c r="N16" s="20">
        <v>2.2018</v>
      </c>
      <c r="O16" s="20">
        <f t="shared" si="1"/>
        <v>29.1780875</v>
      </c>
      <c r="P16" s="7"/>
      <c r="Q16" s="13"/>
      <c r="R16" s="14"/>
      <c r="S16" s="14"/>
      <c r="T16" s="27"/>
      <c r="U16" s="28">
        <f t="shared" si="2"/>
        <v>0.64313432835820883</v>
      </c>
    </row>
    <row r="17" spans="1:21" x14ac:dyDescent="0.25">
      <c r="A17" s="6" t="s">
        <v>37</v>
      </c>
      <c r="B17" s="6" t="s">
        <v>48</v>
      </c>
      <c r="C17" s="15">
        <v>3004.57</v>
      </c>
      <c r="D17" s="16">
        <v>39.319000000000003</v>
      </c>
      <c r="E17" s="16">
        <v>42</v>
      </c>
      <c r="F17" s="16">
        <v>43.152000000000001</v>
      </c>
      <c r="G17" s="16">
        <v>1.29</v>
      </c>
      <c r="H17" s="16">
        <f t="shared" si="0"/>
        <v>40.133249999999997</v>
      </c>
      <c r="I17" s="5"/>
      <c r="J17" s="15">
        <v>2368.3184000000001</v>
      </c>
      <c r="K17" s="16">
        <v>39.581200000000003</v>
      </c>
      <c r="L17" s="16">
        <v>42.519300000000001</v>
      </c>
      <c r="M17" s="16">
        <v>44.275100000000002</v>
      </c>
      <c r="N17" s="16">
        <v>2.2452000000000001</v>
      </c>
      <c r="O17" s="16">
        <f t="shared" si="1"/>
        <v>40.535200000000003</v>
      </c>
      <c r="P17" s="7"/>
      <c r="Q17" s="8">
        <f>bdrate(C17:C20,D17:D20,J17:J20,K17:K20)</f>
        <v>-0.35744311674981566</v>
      </c>
      <c r="R17" s="8">
        <f>bdrate(C17:C20,E17:E20,J17:J20,L17:L20)</f>
        <v>-0.50674880725502147</v>
      </c>
      <c r="S17" s="8">
        <f>bdrate(C17:C20,F17:F20,J17:J20,M17:M20)</f>
        <v>-0.58815358615677149</v>
      </c>
      <c r="T17" s="25">
        <f>bdrate(C17:C20,H17:H20,J17:J20,O17:O20)</f>
        <v>-0.38954692237117927</v>
      </c>
      <c r="U17" s="28">
        <f t="shared" si="2"/>
        <v>0.74046511627906975</v>
      </c>
    </row>
    <row r="18" spans="1:21" x14ac:dyDescent="0.25">
      <c r="A18" s="9" t="s">
        <v>38</v>
      </c>
      <c r="B18" s="9"/>
      <c r="C18" s="17">
        <v>1973.12</v>
      </c>
      <c r="D18" s="18">
        <v>37.905000000000001</v>
      </c>
      <c r="E18" s="18">
        <v>41.256</v>
      </c>
      <c r="F18" s="18">
        <v>42.262</v>
      </c>
      <c r="G18" s="18">
        <v>1.5</v>
      </c>
      <c r="H18" s="18">
        <f t="shared" si="0"/>
        <v>38.868500000000004</v>
      </c>
      <c r="I18" s="5"/>
      <c r="J18" s="17">
        <v>1568.9007999999999</v>
      </c>
      <c r="K18" s="18">
        <v>38.454999999999998</v>
      </c>
      <c r="L18" s="18">
        <v>41.940800000000003</v>
      </c>
      <c r="M18" s="18">
        <v>43.462000000000003</v>
      </c>
      <c r="N18" s="18">
        <v>2.8279999999999998</v>
      </c>
      <c r="O18" s="18">
        <f t="shared" si="1"/>
        <v>39.516599999999997</v>
      </c>
      <c r="P18" s="7"/>
      <c r="Q18" s="10"/>
      <c r="R18" s="11"/>
      <c r="S18" s="11"/>
      <c r="T18" s="26"/>
      <c r="U18" s="28">
        <f t="shared" si="2"/>
        <v>0.88533333333333319</v>
      </c>
    </row>
    <row r="19" spans="1:21" x14ac:dyDescent="0.25">
      <c r="B19" s="9"/>
      <c r="C19" s="17">
        <v>1222.5</v>
      </c>
      <c r="D19" s="18">
        <v>36.020000000000003</v>
      </c>
      <c r="E19" s="18">
        <v>40.414999999999999</v>
      </c>
      <c r="F19" s="18">
        <v>41.338999999999999</v>
      </c>
      <c r="G19" s="18">
        <v>1.7</v>
      </c>
      <c r="H19" s="18">
        <f t="shared" si="0"/>
        <v>37.234250000000003</v>
      </c>
      <c r="I19" s="5"/>
      <c r="J19" s="17">
        <v>972.62800000000004</v>
      </c>
      <c r="K19" s="18">
        <v>36.921500000000002</v>
      </c>
      <c r="L19" s="18">
        <v>41.252000000000002</v>
      </c>
      <c r="M19" s="18">
        <v>42.585700000000003</v>
      </c>
      <c r="N19" s="18">
        <v>3.7816999999999998</v>
      </c>
      <c r="O19" s="18">
        <f t="shared" si="1"/>
        <v>38.170837500000005</v>
      </c>
      <c r="P19" s="7"/>
      <c r="Q19" s="10"/>
      <c r="R19" s="11"/>
      <c r="S19" s="11"/>
      <c r="T19" s="26"/>
      <c r="U19" s="28">
        <f t="shared" si="2"/>
        <v>1.2245294117647056</v>
      </c>
    </row>
    <row r="20" spans="1:21" ht="16.5" thickBot="1" x14ac:dyDescent="0.3">
      <c r="B20" s="12"/>
      <c r="C20" s="19">
        <v>727.36</v>
      </c>
      <c r="D20" s="20">
        <v>33.637</v>
      </c>
      <c r="E20" s="20">
        <v>39.509</v>
      </c>
      <c r="F20" s="20">
        <v>40.515999999999998</v>
      </c>
      <c r="G20" s="20">
        <v>2.11</v>
      </c>
      <c r="H20" s="20">
        <f t="shared" si="0"/>
        <v>35.230875000000005</v>
      </c>
      <c r="I20" s="5"/>
      <c r="J20" s="19">
        <v>566.28160000000003</v>
      </c>
      <c r="K20" s="20">
        <v>35.105899999999998</v>
      </c>
      <c r="L20" s="20">
        <v>40.471800000000002</v>
      </c>
      <c r="M20" s="20">
        <v>41.7333</v>
      </c>
      <c r="N20" s="20">
        <v>5.1315999999999997</v>
      </c>
      <c r="O20" s="20">
        <f t="shared" si="1"/>
        <v>36.605062500000003</v>
      </c>
      <c r="P20" s="7"/>
      <c r="Q20" s="13"/>
      <c r="R20" s="14"/>
      <c r="S20" s="14"/>
      <c r="T20" s="27"/>
      <c r="U20" s="28">
        <f t="shared" si="2"/>
        <v>1.4320379146919431</v>
      </c>
    </row>
    <row r="21" spans="1:21" x14ac:dyDescent="0.25">
      <c r="B21" s="6" t="s">
        <v>49</v>
      </c>
      <c r="C21" s="15">
        <v>3378.89</v>
      </c>
      <c r="D21" s="16">
        <v>36.969000000000001</v>
      </c>
      <c r="E21" s="16">
        <v>39.76</v>
      </c>
      <c r="F21" s="16">
        <v>40.902999999999999</v>
      </c>
      <c r="G21" s="16">
        <v>1.25</v>
      </c>
      <c r="H21" s="16">
        <f t="shared" si="0"/>
        <v>37.809625000000004</v>
      </c>
      <c r="I21" s="5"/>
      <c r="J21" s="15">
        <v>2552.0344</v>
      </c>
      <c r="K21" s="16">
        <v>36.871899999999997</v>
      </c>
      <c r="L21" s="16">
        <v>40.9895</v>
      </c>
      <c r="M21" s="16">
        <v>42.372999999999998</v>
      </c>
      <c r="N21" s="16">
        <v>2.5280999999999998</v>
      </c>
      <c r="O21" s="16">
        <f t="shared" si="1"/>
        <v>38.074237499999995</v>
      </c>
      <c r="P21" s="7"/>
      <c r="Q21" s="8">
        <f>bdrate(C21:C24,D21:D24,J21:J24,K21:K24)</f>
        <v>-0.28225371743298378</v>
      </c>
      <c r="R21" s="8">
        <f>bdrate(C21:C24,E21:E24,J21:J24,L21:L24)</f>
        <v>-0.59759265669584916</v>
      </c>
      <c r="S21" s="8">
        <f>bdrate(C21:C24,F21:F24,J21:J24,M21:M24)</f>
        <v>-0.60213422931679184</v>
      </c>
      <c r="T21" s="25">
        <f>bdrate(C21:C24,H21:H24,J21:J24,O21:O24)</f>
        <v>-0.34389290779525838</v>
      </c>
      <c r="U21" s="28">
        <f t="shared" si="2"/>
        <v>1.0224799999999998</v>
      </c>
    </row>
    <row r="22" spans="1:21" x14ac:dyDescent="0.25">
      <c r="B22" s="9"/>
      <c r="C22" s="17">
        <v>2231.5</v>
      </c>
      <c r="D22" s="18">
        <v>35.576000000000001</v>
      </c>
      <c r="E22" s="18">
        <v>38.917000000000002</v>
      </c>
      <c r="F22" s="18">
        <v>40.170999999999999</v>
      </c>
      <c r="G22" s="18">
        <v>1.38</v>
      </c>
      <c r="H22" s="18">
        <f t="shared" si="0"/>
        <v>36.568000000000005</v>
      </c>
      <c r="I22" s="5"/>
      <c r="J22" s="17">
        <v>1659.8696</v>
      </c>
      <c r="K22" s="18">
        <v>35.568199999999997</v>
      </c>
      <c r="L22" s="18">
        <v>40.1267</v>
      </c>
      <c r="M22" s="18">
        <v>41.3825</v>
      </c>
      <c r="N22" s="18">
        <v>3.2176999999999998</v>
      </c>
      <c r="O22" s="18">
        <f t="shared" si="1"/>
        <v>36.864800000000002</v>
      </c>
      <c r="P22" s="7"/>
      <c r="Q22" s="10"/>
      <c r="R22" s="11"/>
      <c r="S22" s="11"/>
      <c r="T22" s="26"/>
      <c r="U22" s="28">
        <f t="shared" si="2"/>
        <v>1.3316666666666668</v>
      </c>
    </row>
    <row r="23" spans="1:21" x14ac:dyDescent="0.25">
      <c r="B23" s="9"/>
      <c r="C23" s="17">
        <v>1390.47</v>
      </c>
      <c r="D23" s="18">
        <v>33.869</v>
      </c>
      <c r="E23" s="18">
        <v>38.054000000000002</v>
      </c>
      <c r="F23" s="18">
        <v>39.435000000000002</v>
      </c>
      <c r="G23" s="18">
        <v>1.5</v>
      </c>
      <c r="H23" s="18">
        <f t="shared" si="0"/>
        <v>35.087874999999997</v>
      </c>
      <c r="I23" s="5"/>
      <c r="J23" s="17">
        <v>1030.2264</v>
      </c>
      <c r="K23" s="18">
        <v>34.054600000000001</v>
      </c>
      <c r="L23" s="18">
        <v>39.190300000000001</v>
      </c>
      <c r="M23" s="18">
        <v>40.4392</v>
      </c>
      <c r="N23" s="18">
        <v>4.1906999999999996</v>
      </c>
      <c r="O23" s="18">
        <f t="shared" si="1"/>
        <v>35.494637500000003</v>
      </c>
      <c r="P23" s="7"/>
      <c r="Q23" s="10"/>
      <c r="R23" s="11"/>
      <c r="S23" s="11"/>
      <c r="T23" s="26"/>
      <c r="U23" s="28">
        <f t="shared" si="2"/>
        <v>1.7937999999999998</v>
      </c>
    </row>
    <row r="24" spans="1:21" ht="16.5" thickBot="1" x14ac:dyDescent="0.3">
      <c r="B24" s="12"/>
      <c r="C24" s="19">
        <v>827.22</v>
      </c>
      <c r="D24" s="20">
        <v>31.937999999999999</v>
      </c>
      <c r="E24" s="20">
        <v>37.253999999999998</v>
      </c>
      <c r="F24" s="20">
        <v>38.802</v>
      </c>
      <c r="G24" s="20">
        <v>1.77</v>
      </c>
      <c r="H24" s="20">
        <f t="shared" si="0"/>
        <v>33.460499999999996</v>
      </c>
      <c r="I24" s="5"/>
      <c r="J24" s="19">
        <v>613.66240000000005</v>
      </c>
      <c r="K24" s="20">
        <v>32.447499999999998</v>
      </c>
      <c r="L24" s="20">
        <v>38.203499999999998</v>
      </c>
      <c r="M24" s="20">
        <v>39.537100000000002</v>
      </c>
      <c r="N24" s="20">
        <v>5.6638999999999999</v>
      </c>
      <c r="O24" s="20">
        <f t="shared" si="1"/>
        <v>34.053199999999997</v>
      </c>
      <c r="P24" s="7"/>
      <c r="Q24" s="13"/>
      <c r="R24" s="14"/>
      <c r="S24" s="14"/>
      <c r="T24" s="27"/>
      <c r="U24" s="28">
        <f t="shared" si="2"/>
        <v>2.1999435028248588</v>
      </c>
    </row>
    <row r="25" spans="1:21" x14ac:dyDescent="0.25">
      <c r="B25" s="6" t="s">
        <v>50</v>
      </c>
      <c r="C25" s="15">
        <v>3514.85</v>
      </c>
      <c r="D25" s="16">
        <v>35.061</v>
      </c>
      <c r="E25" s="16">
        <v>38.317</v>
      </c>
      <c r="F25" s="16">
        <v>40.133000000000003</v>
      </c>
      <c r="G25" s="16">
        <v>1.59</v>
      </c>
      <c r="H25" s="16">
        <f t="shared" si="0"/>
        <v>36.101999999999997</v>
      </c>
      <c r="I25" s="5"/>
      <c r="J25" s="15">
        <v>2408.7192</v>
      </c>
      <c r="K25" s="16">
        <v>35.136000000000003</v>
      </c>
      <c r="L25" s="16">
        <v>38.702800000000003</v>
      </c>
      <c r="M25" s="16">
        <v>41.369199999999999</v>
      </c>
      <c r="N25" s="16">
        <v>3.5143</v>
      </c>
      <c r="O25" s="16">
        <f t="shared" si="1"/>
        <v>36.361000000000004</v>
      </c>
      <c r="P25" s="7"/>
      <c r="Q25" s="8">
        <f>bdrate(C25:C28,D25:D28,J25:J28,K25:K28)</f>
        <v>-0.4155470144491018</v>
      </c>
      <c r="R25" s="8">
        <f>bdrate(C25:C28,E25:E28,J25:J28,L25:L28)</f>
        <v>-0.61408743416198242</v>
      </c>
      <c r="S25" s="8">
        <f>bdrate(C25:C28,F25:F28,J25:J28,M25:M28)</f>
        <v>-0.65216405958389978</v>
      </c>
      <c r="T25" s="25">
        <f>bdrate(C25:C28,H25:H28,J25:J28,O25:O28)</f>
        <v>-0.45370442762244767</v>
      </c>
      <c r="U25" s="28">
        <f t="shared" si="2"/>
        <v>1.2102515723270439</v>
      </c>
    </row>
    <row r="26" spans="1:21" x14ac:dyDescent="0.25">
      <c r="B26" s="9"/>
      <c r="C26" s="17">
        <v>2336.27</v>
      </c>
      <c r="D26" s="18">
        <v>33.634999999999998</v>
      </c>
      <c r="E26" s="18">
        <v>37.726999999999997</v>
      </c>
      <c r="F26" s="18">
        <v>39.143000000000001</v>
      </c>
      <c r="G26" s="18">
        <v>1.82</v>
      </c>
      <c r="H26" s="18">
        <f t="shared" si="0"/>
        <v>34.835000000000001</v>
      </c>
      <c r="I26" s="5"/>
      <c r="J26" s="17">
        <v>1600.8768</v>
      </c>
      <c r="K26" s="18">
        <v>34.012099999999997</v>
      </c>
      <c r="L26" s="18">
        <v>38.330199999999998</v>
      </c>
      <c r="M26" s="18">
        <v>40.548699999999997</v>
      </c>
      <c r="N26" s="18">
        <v>4.4386000000000001</v>
      </c>
      <c r="O26" s="18">
        <f t="shared" si="1"/>
        <v>35.368937499999994</v>
      </c>
      <c r="P26" s="7"/>
      <c r="Q26" s="10"/>
      <c r="R26" s="11"/>
      <c r="S26" s="11"/>
      <c r="T26" s="26"/>
      <c r="U26" s="28">
        <f t="shared" si="2"/>
        <v>1.4387912087912087</v>
      </c>
    </row>
    <row r="27" spans="1:21" x14ac:dyDescent="0.25">
      <c r="B27" s="9"/>
      <c r="C27" s="17">
        <v>1466.47</v>
      </c>
      <c r="D27" s="18">
        <v>31.771999999999998</v>
      </c>
      <c r="E27" s="18">
        <v>37.054000000000002</v>
      </c>
      <c r="F27" s="18">
        <v>38.017000000000003</v>
      </c>
      <c r="G27" s="18">
        <v>2.2200000000000002</v>
      </c>
      <c r="H27" s="18">
        <f t="shared" si="0"/>
        <v>33.212875000000004</v>
      </c>
      <c r="I27" s="5"/>
      <c r="J27" s="17">
        <v>996.90319999999997</v>
      </c>
      <c r="K27" s="18">
        <v>32.4771</v>
      </c>
      <c r="L27" s="18">
        <v>37.871000000000002</v>
      </c>
      <c r="M27" s="18">
        <v>39.592599999999997</v>
      </c>
      <c r="N27" s="18">
        <v>5.8270999999999997</v>
      </c>
      <c r="O27" s="18">
        <f t="shared" si="1"/>
        <v>34.040774999999996</v>
      </c>
      <c r="P27" s="7"/>
      <c r="Q27" s="10"/>
      <c r="R27" s="11"/>
      <c r="S27" s="11"/>
      <c r="T27" s="26"/>
      <c r="U27" s="28">
        <f t="shared" si="2"/>
        <v>1.6248198198198194</v>
      </c>
    </row>
    <row r="28" spans="1:21" ht="16.5" thickBot="1" x14ac:dyDescent="0.3">
      <c r="B28" s="12"/>
      <c r="C28" s="19">
        <v>873.55</v>
      </c>
      <c r="D28" s="20">
        <v>29.507000000000001</v>
      </c>
      <c r="E28" s="20">
        <v>36.35</v>
      </c>
      <c r="F28" s="20">
        <v>36.948999999999998</v>
      </c>
      <c r="G28" s="20">
        <v>2.87</v>
      </c>
      <c r="H28" s="20">
        <f t="shared" si="0"/>
        <v>31.292625000000001</v>
      </c>
      <c r="I28" s="5"/>
      <c r="J28" s="19">
        <v>591.71839999999997</v>
      </c>
      <c r="K28" s="20">
        <v>30.704799999999999</v>
      </c>
      <c r="L28" s="20">
        <v>37.216299999999997</v>
      </c>
      <c r="M28" s="20">
        <v>38.502699999999997</v>
      </c>
      <c r="N28" s="20">
        <v>8.1471999999999998</v>
      </c>
      <c r="O28" s="20">
        <f t="shared" si="1"/>
        <v>32.493474999999997</v>
      </c>
      <c r="P28" s="7"/>
      <c r="Q28" s="13"/>
      <c r="R28" s="14"/>
      <c r="S28" s="14"/>
      <c r="T28" s="27"/>
      <c r="U28" s="28">
        <f t="shared" si="2"/>
        <v>1.8387456445993029</v>
      </c>
    </row>
    <row r="29" spans="1:21" x14ac:dyDescent="0.25">
      <c r="B29" s="6" t="s">
        <v>51</v>
      </c>
      <c r="C29" s="29">
        <v>3574.93</v>
      </c>
      <c r="D29" s="30">
        <v>34.622999999999998</v>
      </c>
      <c r="E29" s="30">
        <v>40.091999999999999</v>
      </c>
      <c r="F29" s="30">
        <v>39.825000000000003</v>
      </c>
      <c r="G29" s="16">
        <v>1.29</v>
      </c>
      <c r="H29" s="16">
        <f t="shared" si="0"/>
        <v>35.956874999999997</v>
      </c>
      <c r="I29" s="5"/>
      <c r="J29" s="29">
        <v>2443.0016000000001</v>
      </c>
      <c r="K29" s="30">
        <v>34.912100000000002</v>
      </c>
      <c r="L29" s="30">
        <v>41.365299999999998</v>
      </c>
      <c r="M29" s="30">
        <v>41.161499999999997</v>
      </c>
      <c r="N29" s="16">
        <v>2.9864999999999999</v>
      </c>
      <c r="O29" s="16">
        <f t="shared" si="1"/>
        <v>36.499924999999998</v>
      </c>
      <c r="P29" s="7"/>
      <c r="Q29" s="8">
        <f>bdrate(C29:C32,D29:D32,J29:J32,K29:K32)</f>
        <v>-0.46225607947739655</v>
      </c>
      <c r="R29" s="8">
        <f>bdrate(C29:C32,E29:E32,J29:J32,L29:L32)</f>
        <v>-0.70799964552740713</v>
      </c>
      <c r="S29" s="8">
        <f>bdrate(C29:C32,F29:F32,J29:J32,M29:M32)</f>
        <v>-0.63691822020649913</v>
      </c>
      <c r="T29" s="25">
        <f>bdrate(C29:C32,H29:H32,J29:J32,O29:O32)</f>
        <v>-0.50228863962435077</v>
      </c>
      <c r="U29" s="28">
        <f t="shared" si="2"/>
        <v>1.3151162790697672</v>
      </c>
    </row>
    <row r="30" spans="1:21" x14ac:dyDescent="0.25">
      <c r="B30" s="9"/>
      <c r="C30" s="31">
        <v>2379.0100000000002</v>
      </c>
      <c r="D30" s="32">
        <v>32.954000000000001</v>
      </c>
      <c r="E30" s="32">
        <v>39.212000000000003</v>
      </c>
      <c r="F30" s="32">
        <v>38.728000000000002</v>
      </c>
      <c r="G30" s="18">
        <v>1.65</v>
      </c>
      <c r="H30" s="18">
        <f t="shared" si="0"/>
        <v>34.457999999999998</v>
      </c>
      <c r="I30" s="5"/>
      <c r="J30" s="31">
        <v>1630.2048</v>
      </c>
      <c r="K30" s="32">
        <v>33.607799999999997</v>
      </c>
      <c r="L30" s="32">
        <v>40.706000000000003</v>
      </c>
      <c r="M30" s="32">
        <v>40.238799999999998</v>
      </c>
      <c r="N30" s="18">
        <v>3.7635999999999998</v>
      </c>
      <c r="O30" s="18">
        <f t="shared" si="1"/>
        <v>35.323949999999996</v>
      </c>
      <c r="P30" s="7"/>
      <c r="Q30" s="10"/>
      <c r="R30" s="11"/>
      <c r="S30" s="11"/>
      <c r="T30" s="26"/>
      <c r="U30" s="28">
        <f t="shared" si="2"/>
        <v>1.2809696969696971</v>
      </c>
    </row>
    <row r="31" spans="1:21" x14ac:dyDescent="0.25">
      <c r="B31" s="9"/>
      <c r="C31" s="31">
        <v>1472.17</v>
      </c>
      <c r="D31" s="32">
        <v>30.582000000000001</v>
      </c>
      <c r="E31" s="32">
        <v>38.143999999999998</v>
      </c>
      <c r="F31" s="32">
        <v>37.326999999999998</v>
      </c>
      <c r="G31" s="18">
        <v>2.2599999999999998</v>
      </c>
      <c r="H31" s="18">
        <f t="shared" si="0"/>
        <v>32.370375000000003</v>
      </c>
      <c r="I31" s="5"/>
      <c r="J31" s="31">
        <v>1015.04</v>
      </c>
      <c r="K31" s="32">
        <v>31.970199999999998</v>
      </c>
      <c r="L31" s="32">
        <v>39.972299999999997</v>
      </c>
      <c r="M31" s="32">
        <v>39.179299999999998</v>
      </c>
      <c r="N31" s="18">
        <v>4.8948</v>
      </c>
      <c r="O31" s="18">
        <f t="shared" si="1"/>
        <v>33.871599999999994</v>
      </c>
      <c r="P31" s="7"/>
      <c r="Q31" s="10"/>
      <c r="R31" s="11"/>
      <c r="S31" s="11"/>
      <c r="T31" s="26"/>
      <c r="U31" s="28">
        <f t="shared" si="2"/>
        <v>1.165840707964602</v>
      </c>
    </row>
    <row r="32" spans="1:21" ht="16.5" thickBot="1" x14ac:dyDescent="0.3">
      <c r="B32" s="12"/>
      <c r="C32" s="33">
        <v>877.26</v>
      </c>
      <c r="D32" s="34">
        <v>27.506</v>
      </c>
      <c r="E32" s="34">
        <v>37.002000000000002</v>
      </c>
      <c r="F32" s="34">
        <v>35.36</v>
      </c>
      <c r="G32" s="20">
        <v>3.19</v>
      </c>
      <c r="H32" s="20">
        <f t="shared" si="0"/>
        <v>29.674750000000003</v>
      </c>
      <c r="I32" s="5"/>
      <c r="J32" s="33">
        <v>607.69759999999997</v>
      </c>
      <c r="K32" s="34">
        <v>30.119800000000001</v>
      </c>
      <c r="L32" s="34">
        <v>38.945</v>
      </c>
      <c r="M32" s="34">
        <v>37.7057</v>
      </c>
      <c r="N32" s="20">
        <v>6.8822999999999999</v>
      </c>
      <c r="O32" s="20">
        <f t="shared" si="1"/>
        <v>32.171187500000002</v>
      </c>
      <c r="P32" s="7"/>
      <c r="Q32" s="13"/>
      <c r="R32" s="14"/>
      <c r="S32" s="14"/>
      <c r="T32" s="27"/>
      <c r="U32" s="28">
        <f t="shared" si="2"/>
        <v>1.157460815047022</v>
      </c>
    </row>
    <row r="33" spans="1:21" x14ac:dyDescent="0.25">
      <c r="B33" s="6" t="s">
        <v>52</v>
      </c>
      <c r="C33" s="15">
        <v>3536.44</v>
      </c>
      <c r="D33" s="16">
        <v>33.85</v>
      </c>
      <c r="E33" s="16">
        <v>39.384</v>
      </c>
      <c r="F33" s="16">
        <v>42.061</v>
      </c>
      <c r="G33" s="16">
        <v>1.34</v>
      </c>
      <c r="H33" s="16">
        <f t="shared" si="0"/>
        <v>35.568125000000002</v>
      </c>
      <c r="I33" s="5"/>
      <c r="J33" s="15">
        <v>2395.8760000000002</v>
      </c>
      <c r="K33" s="16">
        <v>34.136600000000001</v>
      </c>
      <c r="L33" s="16">
        <v>40.463299999999997</v>
      </c>
      <c r="M33" s="16">
        <v>42.886400000000002</v>
      </c>
      <c r="N33" s="16">
        <v>4.2222999999999997</v>
      </c>
      <c r="O33" s="16">
        <f t="shared" si="1"/>
        <v>36.021162500000003</v>
      </c>
      <c r="P33" s="7"/>
      <c r="Q33" s="8">
        <f>bdrate(C33:C36,D33:D36,J33:J36,K33:K36)</f>
        <v>-0.47273874302727403</v>
      </c>
      <c r="R33" s="8">
        <f>bdrate(C33:C36,E33:E36,J33:J36,L33:L36)</f>
        <v>-0.69114543105470383</v>
      </c>
      <c r="S33" s="8">
        <f>bdrate(C33:C36,F33:F36,J33:J36,M33:M36)</f>
        <v>-0.66386126121317157</v>
      </c>
      <c r="T33" s="25">
        <f>bdrate(C33:C36,H33:H36,J33:J36,O33:O36)</f>
        <v>-0.50777224491833728</v>
      </c>
      <c r="U33" s="28">
        <f t="shared" si="2"/>
        <v>2.1509701492537312</v>
      </c>
    </row>
    <row r="34" spans="1:21" x14ac:dyDescent="0.25">
      <c r="B34" s="9"/>
      <c r="C34" s="17">
        <v>2320.04</v>
      </c>
      <c r="D34" s="18">
        <v>33.058</v>
      </c>
      <c r="E34" s="18">
        <v>38.942999999999998</v>
      </c>
      <c r="F34" s="18">
        <v>41.609000000000002</v>
      </c>
      <c r="G34" s="18">
        <v>1.52</v>
      </c>
      <c r="H34" s="18">
        <f t="shared" si="0"/>
        <v>34.862499999999997</v>
      </c>
      <c r="I34" s="5"/>
      <c r="J34" s="17">
        <v>1587.4472000000001</v>
      </c>
      <c r="K34" s="18">
        <v>33.495699999999999</v>
      </c>
      <c r="L34" s="18">
        <v>40.004199999999997</v>
      </c>
      <c r="M34" s="18">
        <v>42.485300000000002</v>
      </c>
      <c r="N34" s="18">
        <v>5.4828000000000001</v>
      </c>
      <c r="O34" s="18">
        <f t="shared" si="1"/>
        <v>35.432962500000002</v>
      </c>
      <c r="P34" s="7"/>
      <c r="Q34" s="10"/>
      <c r="R34" s="11"/>
      <c r="S34" s="11"/>
      <c r="T34" s="26"/>
      <c r="U34" s="28">
        <f t="shared" si="2"/>
        <v>2.6071052631578948</v>
      </c>
    </row>
    <row r="35" spans="1:21" x14ac:dyDescent="0.25">
      <c r="B35" s="9"/>
      <c r="C35" s="17">
        <v>1423.44</v>
      </c>
      <c r="D35" s="18">
        <v>31.736999999999998</v>
      </c>
      <c r="E35" s="18">
        <v>38.427999999999997</v>
      </c>
      <c r="F35" s="18">
        <v>41.097000000000001</v>
      </c>
      <c r="G35" s="18">
        <v>1.83</v>
      </c>
      <c r="H35" s="18">
        <f t="shared" si="0"/>
        <v>33.743375</v>
      </c>
      <c r="I35" s="5"/>
      <c r="J35" s="17">
        <v>982.6576</v>
      </c>
      <c r="K35" s="18">
        <v>32.504600000000003</v>
      </c>
      <c r="L35" s="18">
        <v>39.290799999999997</v>
      </c>
      <c r="M35" s="18">
        <v>41.845300000000002</v>
      </c>
      <c r="N35" s="18">
        <v>7.5666000000000002</v>
      </c>
      <c r="O35" s="18">
        <f t="shared" si="1"/>
        <v>34.520462500000001</v>
      </c>
      <c r="P35" s="7"/>
      <c r="Q35" s="10"/>
      <c r="R35" s="11"/>
      <c r="S35" s="11"/>
      <c r="T35" s="26"/>
      <c r="U35" s="28">
        <f t="shared" si="2"/>
        <v>3.1347540983606557</v>
      </c>
    </row>
    <row r="36" spans="1:21" ht="16.5" thickBot="1" x14ac:dyDescent="0.3">
      <c r="B36" s="12"/>
      <c r="C36" s="19">
        <v>834.23</v>
      </c>
      <c r="D36" s="20">
        <v>29.638999999999999</v>
      </c>
      <c r="E36" s="20">
        <v>37.734000000000002</v>
      </c>
      <c r="F36" s="20">
        <v>40.295999999999999</v>
      </c>
      <c r="G36" s="20">
        <v>2.2799999999999998</v>
      </c>
      <c r="H36" s="20">
        <f t="shared" si="0"/>
        <v>31.983000000000001</v>
      </c>
      <c r="I36" s="5"/>
      <c r="J36" s="19">
        <v>583.45119999999997</v>
      </c>
      <c r="K36" s="20">
        <v>31.111899999999999</v>
      </c>
      <c r="L36" s="20">
        <v>38.728099999999998</v>
      </c>
      <c r="M36" s="20">
        <v>41.338099999999997</v>
      </c>
      <c r="N36" s="20">
        <v>10.548299999999999</v>
      </c>
      <c r="O36" s="20">
        <f t="shared" si="1"/>
        <v>33.342199999999998</v>
      </c>
      <c r="P36" s="7"/>
      <c r="Q36" s="13"/>
      <c r="R36" s="14"/>
      <c r="S36" s="14"/>
      <c r="T36" s="27"/>
      <c r="U36" s="28">
        <f t="shared" si="2"/>
        <v>3.626447368421053</v>
      </c>
    </row>
    <row r="37" spans="1:21" x14ac:dyDescent="0.25">
      <c r="A37" s="6" t="s">
        <v>39</v>
      </c>
      <c r="B37" s="6" t="s">
        <v>53</v>
      </c>
      <c r="C37" s="15">
        <v>1544.87</v>
      </c>
      <c r="D37" s="16">
        <v>35.991999999999997</v>
      </c>
      <c r="E37" s="16">
        <v>39.396000000000001</v>
      </c>
      <c r="F37" s="16">
        <v>39.319000000000003</v>
      </c>
      <c r="G37" s="16">
        <v>6.89</v>
      </c>
      <c r="H37" s="16">
        <f t="shared" si="0"/>
        <v>36.833375000000004</v>
      </c>
      <c r="I37" s="5"/>
      <c r="J37" s="15">
        <v>1197.1528000000001</v>
      </c>
      <c r="K37" s="16">
        <v>37.040500000000002</v>
      </c>
      <c r="L37" s="16">
        <v>41.2361</v>
      </c>
      <c r="M37" s="16">
        <v>41.243000000000002</v>
      </c>
      <c r="N37" s="16">
        <v>8.7073</v>
      </c>
      <c r="O37" s="16">
        <f t="shared" si="1"/>
        <v>38.090262500000001</v>
      </c>
      <c r="P37" s="7"/>
      <c r="Q37" s="8">
        <f>bdrate(C37:C40,D37:D40,J37:J40,K37:K40)</f>
        <v>-0.36782227500524523</v>
      </c>
      <c r="R37" s="8">
        <f>bdrate(C37:C40,E37:E40,J37:J40,L37:L40)</f>
        <v>-0.59546960195379628</v>
      </c>
      <c r="S37" s="8">
        <f>bdrate(C37:C40,F37:F40,J37:J40,M37:M40)</f>
        <v>-0.57199281500846866</v>
      </c>
      <c r="T37" s="25">
        <f>bdrate(C37:C40,H37:H40,J37:J40,O37:O40)</f>
        <v>-0.4178204965801865</v>
      </c>
      <c r="U37" s="28">
        <f t="shared" si="2"/>
        <v>0.26375907111756175</v>
      </c>
    </row>
    <row r="38" spans="1:21" x14ac:dyDescent="0.25">
      <c r="A38" s="9" t="s">
        <v>40</v>
      </c>
      <c r="B38" s="9"/>
      <c r="C38" s="17">
        <v>1047.28</v>
      </c>
      <c r="D38" s="18">
        <v>34.429000000000002</v>
      </c>
      <c r="E38" s="18">
        <v>38.017000000000003</v>
      </c>
      <c r="F38" s="18">
        <v>37.841000000000001</v>
      </c>
      <c r="G38" s="18">
        <v>7.85</v>
      </c>
      <c r="H38" s="18">
        <f t="shared" si="0"/>
        <v>35.304000000000002</v>
      </c>
      <c r="I38" s="5"/>
      <c r="J38" s="17">
        <v>796.34320000000002</v>
      </c>
      <c r="K38" s="18">
        <v>35.191000000000003</v>
      </c>
      <c r="L38" s="18">
        <v>39.869</v>
      </c>
      <c r="M38" s="18">
        <v>39.702599999999997</v>
      </c>
      <c r="N38" s="18">
        <v>10.5396</v>
      </c>
      <c r="O38" s="18">
        <f t="shared" si="1"/>
        <v>36.339700000000001</v>
      </c>
      <c r="P38" s="7"/>
      <c r="Q38" s="10"/>
      <c r="R38" s="11"/>
      <c r="S38" s="11"/>
      <c r="T38" s="26"/>
      <c r="U38" s="28">
        <f t="shared" si="2"/>
        <v>0.34262420382165615</v>
      </c>
    </row>
    <row r="39" spans="1:21" x14ac:dyDescent="0.25">
      <c r="B39" s="9"/>
      <c r="C39" s="17">
        <v>644.08000000000004</v>
      </c>
      <c r="D39" s="18">
        <v>32.392000000000003</v>
      </c>
      <c r="E39" s="18">
        <v>36.527000000000001</v>
      </c>
      <c r="F39" s="18">
        <v>36.218000000000004</v>
      </c>
      <c r="G39" s="18">
        <v>9.33</v>
      </c>
      <c r="H39" s="18">
        <f t="shared" si="0"/>
        <v>33.387125000000005</v>
      </c>
      <c r="I39" s="5"/>
      <c r="J39" s="17">
        <v>502.52480000000003</v>
      </c>
      <c r="K39" s="18">
        <v>33.2303</v>
      </c>
      <c r="L39" s="18">
        <v>38.5411</v>
      </c>
      <c r="M39" s="18">
        <v>38.244399999999999</v>
      </c>
      <c r="N39" s="18">
        <v>13.489800000000001</v>
      </c>
      <c r="O39" s="18">
        <f t="shared" si="1"/>
        <v>34.520912500000001</v>
      </c>
      <c r="P39" s="7"/>
      <c r="Q39" s="10"/>
      <c r="R39" s="11"/>
      <c r="S39" s="11"/>
      <c r="T39" s="26"/>
      <c r="U39" s="28">
        <f t="shared" si="2"/>
        <v>0.44585209003215442</v>
      </c>
    </row>
    <row r="40" spans="1:21" ht="16.5" thickBot="1" x14ac:dyDescent="0.3">
      <c r="B40" s="12"/>
      <c r="C40" s="19">
        <v>394.93</v>
      </c>
      <c r="D40" s="20">
        <v>30.12</v>
      </c>
      <c r="E40" s="20">
        <v>35.286000000000001</v>
      </c>
      <c r="F40" s="20">
        <v>34.82</v>
      </c>
      <c r="G40" s="20">
        <v>12.35</v>
      </c>
      <c r="H40" s="20">
        <f t="shared" si="0"/>
        <v>31.353249999999999</v>
      </c>
      <c r="I40" s="5"/>
      <c r="J40" s="19">
        <v>300.45280000000002</v>
      </c>
      <c r="K40" s="20">
        <v>31.186</v>
      </c>
      <c r="L40" s="20">
        <v>37.161900000000003</v>
      </c>
      <c r="M40" s="20">
        <v>36.6111</v>
      </c>
      <c r="N40" s="20">
        <v>18.200299999999999</v>
      </c>
      <c r="O40" s="20">
        <f t="shared" si="1"/>
        <v>32.611125000000001</v>
      </c>
      <c r="P40" s="7"/>
      <c r="Q40" s="13"/>
      <c r="R40" s="14"/>
      <c r="S40" s="14"/>
      <c r="T40" s="27"/>
      <c r="U40" s="28">
        <f t="shared" si="2"/>
        <v>0.47370850202429143</v>
      </c>
    </row>
    <row r="41" spans="1:21" x14ac:dyDescent="0.25">
      <c r="B41" s="6" t="s">
        <v>54</v>
      </c>
      <c r="C41" s="15">
        <v>1575.73</v>
      </c>
      <c r="D41" s="16">
        <v>36.189</v>
      </c>
      <c r="E41" s="16">
        <v>40.359000000000002</v>
      </c>
      <c r="F41" s="16">
        <v>41.207000000000001</v>
      </c>
      <c r="G41" s="16">
        <v>7.59</v>
      </c>
      <c r="H41" s="16">
        <f t="shared" si="0"/>
        <v>37.337499999999999</v>
      </c>
      <c r="I41" s="5"/>
      <c r="J41" s="15">
        <v>1209.6848</v>
      </c>
      <c r="K41" s="16">
        <v>36.393500000000003</v>
      </c>
      <c r="L41" s="16">
        <v>41.838700000000003</v>
      </c>
      <c r="M41" s="16">
        <v>42.907400000000003</v>
      </c>
      <c r="N41" s="16">
        <v>10.7668</v>
      </c>
      <c r="O41" s="16">
        <f t="shared" si="1"/>
        <v>37.8883875</v>
      </c>
      <c r="P41" s="7"/>
      <c r="Q41" s="8">
        <f>bdrate(C41:C44,D41:D44,J41:J44,K41:K44)</f>
        <v>-0.33020755220689779</v>
      </c>
      <c r="R41" s="8">
        <f>bdrate(C41:C44,E41:E44,J41:J44,L41:L44)</f>
        <v>-0.59329171468818598</v>
      </c>
      <c r="S41" s="8">
        <f>bdrate(C41:C44,F41:F44,J41:J44,M41:M44)</f>
        <v>-0.58867390269401998</v>
      </c>
      <c r="T41" s="25">
        <f>bdrate(C41:C44,H41:H44,J41:J44,O41:O44)</f>
        <v>-0.38148843142149202</v>
      </c>
      <c r="U41" s="28">
        <f t="shared" si="2"/>
        <v>0.41855072463768117</v>
      </c>
    </row>
    <row r="42" spans="1:21" x14ac:dyDescent="0.25">
      <c r="B42" s="9"/>
      <c r="C42" s="17">
        <v>1068.0899999999999</v>
      </c>
      <c r="D42" s="18">
        <v>34.51</v>
      </c>
      <c r="E42" s="18">
        <v>39.432000000000002</v>
      </c>
      <c r="F42" s="18">
        <v>40.192999999999998</v>
      </c>
      <c r="G42" s="18">
        <v>8.2799999999999994</v>
      </c>
      <c r="H42" s="18">
        <f t="shared" si="0"/>
        <v>35.835625</v>
      </c>
      <c r="I42" s="5"/>
      <c r="J42" s="17">
        <v>806.21280000000002</v>
      </c>
      <c r="K42" s="18">
        <v>34.846299999999999</v>
      </c>
      <c r="L42" s="18">
        <v>40.941299999999998</v>
      </c>
      <c r="M42" s="18">
        <v>41.834899999999998</v>
      </c>
      <c r="N42" s="18">
        <v>13.5664</v>
      </c>
      <c r="O42" s="18">
        <f t="shared" si="1"/>
        <v>36.481749999999998</v>
      </c>
      <c r="P42" s="7"/>
      <c r="Q42" s="10"/>
      <c r="R42" s="11"/>
      <c r="S42" s="11"/>
      <c r="T42" s="26"/>
      <c r="U42" s="28">
        <f t="shared" si="2"/>
        <v>0.63845410628019339</v>
      </c>
    </row>
    <row r="43" spans="1:21" x14ac:dyDescent="0.25">
      <c r="B43" s="9"/>
      <c r="C43" s="17">
        <v>660</v>
      </c>
      <c r="D43" s="18">
        <v>32.274999999999999</v>
      </c>
      <c r="E43" s="18">
        <v>38.350999999999999</v>
      </c>
      <c r="F43" s="18">
        <v>39.006</v>
      </c>
      <c r="G43" s="18">
        <v>9.3699999999999992</v>
      </c>
      <c r="H43" s="18">
        <f t="shared" si="0"/>
        <v>33.875874999999994</v>
      </c>
      <c r="I43" s="5"/>
      <c r="J43" s="17">
        <v>504.78160000000003</v>
      </c>
      <c r="K43" s="18">
        <v>32.986199999999997</v>
      </c>
      <c r="L43" s="18">
        <v>39.779499999999999</v>
      </c>
      <c r="M43" s="18">
        <v>40.536700000000003</v>
      </c>
      <c r="N43" s="18">
        <v>17.331499999999998</v>
      </c>
      <c r="O43" s="18">
        <f t="shared" si="1"/>
        <v>34.779174999999995</v>
      </c>
      <c r="P43" s="7"/>
      <c r="Q43" s="10"/>
      <c r="R43" s="11"/>
      <c r="S43" s="11"/>
      <c r="T43" s="26"/>
      <c r="U43" s="28">
        <f t="shared" si="2"/>
        <v>0.84967982924226249</v>
      </c>
    </row>
    <row r="44" spans="1:21" ht="16.5" thickBot="1" x14ac:dyDescent="0.3">
      <c r="B44" s="12"/>
      <c r="C44" s="19">
        <v>405.9</v>
      </c>
      <c r="D44" s="20">
        <v>29.831</v>
      </c>
      <c r="E44" s="20">
        <v>37.381999999999998</v>
      </c>
      <c r="F44" s="20">
        <v>37.957999999999998</v>
      </c>
      <c r="G44" s="20">
        <v>10.82</v>
      </c>
      <c r="H44" s="20">
        <f t="shared" si="0"/>
        <v>31.790749999999999</v>
      </c>
      <c r="I44" s="5"/>
      <c r="J44" s="19">
        <v>304.38639999999998</v>
      </c>
      <c r="K44" s="20">
        <v>30.870200000000001</v>
      </c>
      <c r="L44" s="20">
        <v>38.6267</v>
      </c>
      <c r="M44" s="20">
        <v>39.301299999999998</v>
      </c>
      <c r="N44" s="20">
        <v>22.976199999999999</v>
      </c>
      <c r="O44" s="20">
        <f t="shared" si="1"/>
        <v>32.893650000000001</v>
      </c>
      <c r="P44" s="7"/>
      <c r="Q44" s="13"/>
      <c r="R44" s="14"/>
      <c r="S44" s="14"/>
      <c r="T44" s="27"/>
      <c r="U44" s="28">
        <f t="shared" si="2"/>
        <v>1.1234935304990756</v>
      </c>
    </row>
    <row r="45" spans="1:21" x14ac:dyDescent="0.25">
      <c r="B45" s="6" t="s">
        <v>55</v>
      </c>
      <c r="C45" s="15">
        <v>1414.66</v>
      </c>
      <c r="D45" s="16">
        <v>30.631</v>
      </c>
      <c r="E45" s="16">
        <v>36.012999999999998</v>
      </c>
      <c r="F45" s="16">
        <v>36.722000000000001</v>
      </c>
      <c r="G45" s="16">
        <v>6.08</v>
      </c>
      <c r="H45" s="16">
        <f t="shared" si="0"/>
        <v>32.065125000000002</v>
      </c>
      <c r="I45" s="5"/>
      <c r="J45" s="15">
        <v>1189.5808</v>
      </c>
      <c r="K45" s="16">
        <v>31.3001</v>
      </c>
      <c r="L45" s="16">
        <v>37.764000000000003</v>
      </c>
      <c r="M45" s="16">
        <v>38.6342</v>
      </c>
      <c r="N45" s="16">
        <v>11.148300000000001</v>
      </c>
      <c r="O45" s="16">
        <f t="shared" si="1"/>
        <v>33.024850000000001</v>
      </c>
      <c r="P45" s="7"/>
      <c r="Q45" s="8">
        <f>bdrate(C45:C48,D45:D48,J45:J48,K45:K48)</f>
        <v>-0.34173968810677235</v>
      </c>
      <c r="R45" s="8">
        <f>bdrate(C45:C48,E45:E48,J45:J48,L45:L48)</f>
        <v>-0.64976197121450086</v>
      </c>
      <c r="S45" s="8">
        <f>bdrate(C45:C48,F45:F48,J45:J48,M45:M48)</f>
        <v>-0.65438649118698078</v>
      </c>
      <c r="T45" s="25">
        <f>bdrate(C45:C48,H45:H48,J45:J48,O45:O48)</f>
        <v>-0.39856676054244411</v>
      </c>
      <c r="U45" s="28">
        <f t="shared" si="2"/>
        <v>0.83360197368421063</v>
      </c>
    </row>
    <row r="46" spans="1:21" x14ac:dyDescent="0.25">
      <c r="B46" s="9"/>
      <c r="C46" s="17">
        <v>961.17</v>
      </c>
      <c r="D46" s="18">
        <v>29.16</v>
      </c>
      <c r="E46" s="18">
        <v>35.340000000000003</v>
      </c>
      <c r="F46" s="18">
        <v>36.076000000000001</v>
      </c>
      <c r="G46" s="18">
        <v>6.57</v>
      </c>
      <c r="H46" s="18">
        <f t="shared" si="0"/>
        <v>30.797000000000001</v>
      </c>
      <c r="I46" s="5"/>
      <c r="J46" s="17">
        <v>795.58240000000001</v>
      </c>
      <c r="K46" s="18">
        <v>29.895600000000002</v>
      </c>
      <c r="L46" s="18">
        <v>36.891100000000002</v>
      </c>
      <c r="M46" s="18">
        <v>37.688800000000001</v>
      </c>
      <c r="N46" s="18">
        <v>14.033099999999999</v>
      </c>
      <c r="O46" s="18">
        <f t="shared" si="1"/>
        <v>31.744187500000002</v>
      </c>
      <c r="P46" s="7"/>
      <c r="Q46" s="10"/>
      <c r="R46" s="11"/>
      <c r="S46" s="11"/>
      <c r="T46" s="26"/>
      <c r="U46" s="28">
        <f t="shared" si="2"/>
        <v>1.1359360730593606</v>
      </c>
    </row>
    <row r="47" spans="1:21" x14ac:dyDescent="0.25">
      <c r="B47" s="9"/>
      <c r="C47" s="17">
        <v>597.21</v>
      </c>
      <c r="D47" s="18">
        <v>27.486000000000001</v>
      </c>
      <c r="E47" s="18">
        <v>34.679000000000002</v>
      </c>
      <c r="F47" s="18">
        <v>35.415999999999997</v>
      </c>
      <c r="G47" s="18">
        <v>7.2</v>
      </c>
      <c r="H47" s="18">
        <f t="shared" si="0"/>
        <v>29.376374999999999</v>
      </c>
      <c r="I47" s="5"/>
      <c r="J47" s="17">
        <v>502.98079999999999</v>
      </c>
      <c r="K47" s="18">
        <v>28.37</v>
      </c>
      <c r="L47" s="18">
        <v>36.040399999999998</v>
      </c>
      <c r="M47" s="18">
        <v>36.820399999999999</v>
      </c>
      <c r="N47" s="18">
        <v>18.248799999999999</v>
      </c>
      <c r="O47" s="18">
        <f t="shared" si="1"/>
        <v>30.385100000000001</v>
      </c>
      <c r="P47" s="7"/>
      <c r="Q47" s="10"/>
      <c r="R47" s="11"/>
      <c r="S47" s="11"/>
      <c r="T47" s="26"/>
      <c r="U47" s="28">
        <f t="shared" si="2"/>
        <v>1.5345555555555555</v>
      </c>
    </row>
    <row r="48" spans="1:21" ht="16.5" thickBot="1" x14ac:dyDescent="0.3">
      <c r="B48" s="12"/>
      <c r="C48" s="19">
        <v>368.91</v>
      </c>
      <c r="D48" s="20">
        <v>25.834</v>
      </c>
      <c r="E48" s="20">
        <v>34.118000000000002</v>
      </c>
      <c r="F48" s="20">
        <v>34.854999999999997</v>
      </c>
      <c r="G48" s="20">
        <v>7.91</v>
      </c>
      <c r="H48" s="20">
        <f t="shared" si="0"/>
        <v>27.997124999999997</v>
      </c>
      <c r="I48" s="5"/>
      <c r="J48" s="19">
        <v>304.56</v>
      </c>
      <c r="K48" s="20">
        <v>26.8096</v>
      </c>
      <c r="L48" s="20">
        <v>35.1569</v>
      </c>
      <c r="M48" s="20">
        <v>35.881300000000003</v>
      </c>
      <c r="N48" s="20">
        <v>24.2624</v>
      </c>
      <c r="O48" s="20">
        <f t="shared" si="1"/>
        <v>28.986975000000001</v>
      </c>
      <c r="P48" s="7"/>
      <c r="Q48" s="13"/>
      <c r="R48" s="14"/>
      <c r="S48" s="14"/>
      <c r="T48" s="27"/>
      <c r="U48" s="28">
        <f t="shared" si="2"/>
        <v>2.0673072060682678</v>
      </c>
    </row>
    <row r="49" spans="1:21" x14ac:dyDescent="0.25">
      <c r="B49" s="6" t="s">
        <v>56</v>
      </c>
      <c r="C49" s="15">
        <v>1417.43</v>
      </c>
      <c r="D49" s="16">
        <v>33.695999999999998</v>
      </c>
      <c r="E49" s="16">
        <v>37.109000000000002</v>
      </c>
      <c r="F49" s="16">
        <v>38.881</v>
      </c>
      <c r="G49" s="16">
        <v>4.91</v>
      </c>
      <c r="H49" s="16">
        <f t="shared" si="0"/>
        <v>34.77075</v>
      </c>
      <c r="I49" s="5"/>
      <c r="J49" s="15">
        <v>1191.3040000000001</v>
      </c>
      <c r="K49" s="16">
        <v>33.563099999999999</v>
      </c>
      <c r="L49" s="16">
        <v>38.156500000000001</v>
      </c>
      <c r="M49" s="16">
        <v>39.7849</v>
      </c>
      <c r="N49" s="16">
        <v>6.4855</v>
      </c>
      <c r="O49" s="16">
        <f t="shared" si="1"/>
        <v>34.914999999999999</v>
      </c>
      <c r="P49" s="7"/>
      <c r="Q49" s="8">
        <f>bdrate(C49:C52,D49:D52,J49:J52,K49:K52)</f>
        <v>-0.16866727513851365</v>
      </c>
      <c r="R49" s="8">
        <f>bdrate(C49:C52,E49:E52,J49:J52,L49:L52)</f>
        <v>-0.4768103735089807</v>
      </c>
      <c r="S49" s="8">
        <f>bdrate(C49:C52,F49:F52,J49:J52,M49:M52)</f>
        <v>-0.46385916186699105</v>
      </c>
      <c r="T49" s="25">
        <f>bdrate(C49:C52,H49:H52,J49:J52,O49:O52)</f>
        <v>-0.22064086794549476</v>
      </c>
      <c r="U49" s="28">
        <f t="shared" si="2"/>
        <v>0.32087576374745413</v>
      </c>
    </row>
    <row r="50" spans="1:21" x14ac:dyDescent="0.25">
      <c r="B50" s="9"/>
      <c r="C50" s="17">
        <v>971.44</v>
      </c>
      <c r="D50" s="18">
        <v>32.177999999999997</v>
      </c>
      <c r="E50" s="18">
        <v>36.316000000000003</v>
      </c>
      <c r="F50" s="18">
        <v>38.064999999999998</v>
      </c>
      <c r="G50" s="18">
        <v>5.5</v>
      </c>
      <c r="H50" s="18">
        <f t="shared" si="0"/>
        <v>33.431124999999994</v>
      </c>
      <c r="I50" s="5"/>
      <c r="J50" s="17">
        <v>794.98720000000003</v>
      </c>
      <c r="K50" s="18">
        <v>31.980599999999999</v>
      </c>
      <c r="L50" s="18">
        <v>37.217500000000001</v>
      </c>
      <c r="M50" s="18">
        <v>38.896000000000001</v>
      </c>
      <c r="N50" s="18">
        <v>7.9196999999999997</v>
      </c>
      <c r="O50" s="18">
        <f t="shared" si="1"/>
        <v>33.499637499999999</v>
      </c>
      <c r="P50" s="7"/>
      <c r="Q50" s="10"/>
      <c r="R50" s="11"/>
      <c r="S50" s="11"/>
      <c r="T50" s="26"/>
      <c r="U50" s="28">
        <f t="shared" si="2"/>
        <v>0.43994545454545447</v>
      </c>
    </row>
    <row r="51" spans="1:21" x14ac:dyDescent="0.25">
      <c r="B51" s="9"/>
      <c r="C51" s="17">
        <v>609.12</v>
      </c>
      <c r="D51" s="18">
        <v>30.292999999999999</v>
      </c>
      <c r="E51" s="18">
        <v>35.451999999999998</v>
      </c>
      <c r="F51" s="18">
        <v>37.152999999999999</v>
      </c>
      <c r="G51" s="18">
        <v>6.15</v>
      </c>
      <c r="H51" s="18">
        <f t="shared" si="0"/>
        <v>31.795374999999996</v>
      </c>
      <c r="I51" s="5"/>
      <c r="J51" s="17">
        <v>495.76960000000003</v>
      </c>
      <c r="K51" s="18">
        <v>30.247900000000001</v>
      </c>
      <c r="L51" s="18">
        <v>36.283299999999997</v>
      </c>
      <c r="M51" s="18">
        <v>37.975499999999997</v>
      </c>
      <c r="N51" s="18">
        <v>10</v>
      </c>
      <c r="O51" s="18">
        <f t="shared" si="1"/>
        <v>31.968274999999998</v>
      </c>
      <c r="P51" s="7"/>
      <c r="Q51" s="10"/>
      <c r="R51" s="11"/>
      <c r="S51" s="11"/>
      <c r="T51" s="26"/>
      <c r="U51" s="28">
        <f t="shared" si="2"/>
        <v>0.62601626016260148</v>
      </c>
    </row>
    <row r="52" spans="1:21" ht="16.5" thickBot="1" x14ac:dyDescent="0.3">
      <c r="B52" s="12"/>
      <c r="C52" s="19">
        <v>380.4</v>
      </c>
      <c r="D52" s="20">
        <v>28.36</v>
      </c>
      <c r="E52" s="20">
        <v>34.587000000000003</v>
      </c>
      <c r="F52" s="20">
        <v>36.134</v>
      </c>
      <c r="G52" s="20">
        <v>7.34</v>
      </c>
      <c r="H52" s="20">
        <f t="shared" si="0"/>
        <v>30.110125000000004</v>
      </c>
      <c r="I52" s="5"/>
      <c r="J52" s="19">
        <v>295.7688</v>
      </c>
      <c r="K52" s="20">
        <v>28.506799999999998</v>
      </c>
      <c r="L52" s="20">
        <v>35.310299999999998</v>
      </c>
      <c r="M52" s="20">
        <v>37.017200000000003</v>
      </c>
      <c r="N52" s="20">
        <v>13.2996</v>
      </c>
      <c r="O52" s="20">
        <f t="shared" si="1"/>
        <v>30.421037499999997</v>
      </c>
      <c r="P52" s="7"/>
      <c r="Q52" s="13"/>
      <c r="R52" s="14"/>
      <c r="S52" s="14"/>
      <c r="T52" s="27"/>
      <c r="U52" s="28">
        <f t="shared" si="2"/>
        <v>0.81193460490463221</v>
      </c>
    </row>
    <row r="53" spans="1:21" x14ac:dyDescent="0.25">
      <c r="A53" s="6" t="s">
        <v>41</v>
      </c>
      <c r="B53" s="6" t="s">
        <v>57</v>
      </c>
      <c r="C53" s="15">
        <v>845.97</v>
      </c>
      <c r="D53" s="16">
        <v>36.514000000000003</v>
      </c>
      <c r="E53" s="16">
        <v>40.103999999999999</v>
      </c>
      <c r="F53" s="16">
        <v>38.972999999999999</v>
      </c>
      <c r="G53" s="16">
        <v>23.71</v>
      </c>
      <c r="H53" s="16">
        <f t="shared" si="0"/>
        <v>37.270125</v>
      </c>
      <c r="I53" s="5"/>
      <c r="J53" s="15">
        <v>603.78560000000004</v>
      </c>
      <c r="K53" s="16">
        <v>35.822699999999998</v>
      </c>
      <c r="L53" s="16">
        <v>41.358600000000003</v>
      </c>
      <c r="M53" s="16">
        <v>39.760199999999998</v>
      </c>
      <c r="N53" s="16">
        <v>23.158899999999999</v>
      </c>
      <c r="O53" s="16">
        <f t="shared" si="1"/>
        <v>37.006875000000001</v>
      </c>
      <c r="P53" s="7"/>
      <c r="Q53" s="8">
        <f>bdrate(C53:C56,D53:D56,J53:J56,K53:K56)</f>
        <v>-0.20263342874965407</v>
      </c>
      <c r="R53" s="8">
        <f>bdrate(C53:C56,E53:E56,J53:J56,L53:L56)</f>
        <v>-0.56243133825897207</v>
      </c>
      <c r="S53" s="8">
        <f>bdrate(C53:C56,F53:F56,J53:J56,M53:M56)</f>
        <v>-0.46241620687849472</v>
      </c>
      <c r="T53" s="25">
        <f>bdrate(C53:C56,H53:H56,J53:J56,O53:O56)</f>
        <v>-0.26282198722186523</v>
      </c>
      <c r="U53" s="28">
        <f t="shared" si="2"/>
        <v>-2.3243357233234993E-2</v>
      </c>
    </row>
    <row r="54" spans="1:21" x14ac:dyDescent="0.25">
      <c r="A54" s="9" t="s">
        <v>42</v>
      </c>
      <c r="B54" s="9"/>
      <c r="C54" s="17">
        <v>531.1</v>
      </c>
      <c r="D54" s="18">
        <v>34.186</v>
      </c>
      <c r="E54" s="18">
        <v>38.706000000000003</v>
      </c>
      <c r="F54" s="18">
        <v>37.377000000000002</v>
      </c>
      <c r="G54" s="18">
        <v>25.38</v>
      </c>
      <c r="H54" s="18">
        <f t="shared" si="0"/>
        <v>35.149875000000002</v>
      </c>
      <c r="I54" s="5"/>
      <c r="J54" s="17">
        <v>402.73039999999997</v>
      </c>
      <c r="K54" s="18">
        <v>33.862499999999997</v>
      </c>
      <c r="L54" s="18">
        <v>40.167299999999997</v>
      </c>
      <c r="M54" s="18">
        <v>38.408299999999997</v>
      </c>
      <c r="N54" s="18">
        <v>27.841200000000001</v>
      </c>
      <c r="O54" s="18">
        <f t="shared" si="1"/>
        <v>35.218824999999995</v>
      </c>
      <c r="P54" s="7"/>
      <c r="Q54" s="10"/>
      <c r="R54" s="11"/>
      <c r="S54" s="11"/>
      <c r="T54" s="26"/>
      <c r="U54" s="28">
        <f t="shared" si="2"/>
        <v>9.6973995271867675E-2</v>
      </c>
    </row>
    <row r="55" spans="1:21" x14ac:dyDescent="0.25">
      <c r="B55" s="9"/>
      <c r="C55" s="17">
        <v>320.13</v>
      </c>
      <c r="D55" s="18">
        <v>31.803999999999998</v>
      </c>
      <c r="E55" s="18">
        <v>37.476999999999997</v>
      </c>
      <c r="F55" s="18">
        <v>35.921999999999997</v>
      </c>
      <c r="G55" s="18">
        <v>28.75</v>
      </c>
      <c r="H55" s="18">
        <f t="shared" si="0"/>
        <v>33.027874999999995</v>
      </c>
      <c r="I55" s="5"/>
      <c r="J55" s="17">
        <v>250.5384</v>
      </c>
      <c r="K55" s="18">
        <v>31.695900000000002</v>
      </c>
      <c r="L55" s="18">
        <v>38.9193</v>
      </c>
      <c r="M55" s="18">
        <v>37.031500000000001</v>
      </c>
      <c r="N55" s="18">
        <v>34.497</v>
      </c>
      <c r="O55" s="18">
        <f t="shared" si="1"/>
        <v>33.265775000000005</v>
      </c>
      <c r="P55" s="7"/>
      <c r="Q55" s="10"/>
      <c r="R55" s="11"/>
      <c r="S55" s="11"/>
      <c r="T55" s="26"/>
      <c r="U55" s="28">
        <f t="shared" si="2"/>
        <v>0.19989565217391303</v>
      </c>
    </row>
    <row r="56" spans="1:21" ht="16.5" thickBot="1" x14ac:dyDescent="0.3">
      <c r="B56" s="12"/>
      <c r="C56" s="19">
        <v>160.91999999999999</v>
      </c>
      <c r="D56" s="20">
        <v>28.69</v>
      </c>
      <c r="E56" s="20">
        <v>36.125</v>
      </c>
      <c r="F56" s="20">
        <v>34.186</v>
      </c>
      <c r="G56" s="20">
        <v>38.520000000000003</v>
      </c>
      <c r="H56" s="20">
        <f t="shared" si="0"/>
        <v>30.306375000000003</v>
      </c>
      <c r="I56" s="5"/>
      <c r="J56" s="19">
        <v>120.56480000000001</v>
      </c>
      <c r="K56" s="20">
        <v>28.673999999999999</v>
      </c>
      <c r="L56" s="20">
        <v>37.180700000000002</v>
      </c>
      <c r="M56" s="20">
        <v>34.991599999999998</v>
      </c>
      <c r="N56" s="20">
        <v>50.241199999999999</v>
      </c>
      <c r="O56" s="20">
        <f t="shared" si="1"/>
        <v>30.527037499999999</v>
      </c>
      <c r="P56" s="7"/>
      <c r="Q56" s="13"/>
      <c r="R56" s="14"/>
      <c r="S56" s="14"/>
      <c r="T56" s="27"/>
      <c r="U56" s="28">
        <f t="shared" si="2"/>
        <v>0.30428868120456892</v>
      </c>
    </row>
    <row r="57" spans="1:21" x14ac:dyDescent="0.25">
      <c r="B57" s="6" t="s">
        <v>58</v>
      </c>
      <c r="C57" s="15">
        <v>742.15</v>
      </c>
      <c r="D57" s="16">
        <v>33.451999999999998</v>
      </c>
      <c r="E57" s="16">
        <v>39.929000000000002</v>
      </c>
      <c r="F57" s="16">
        <v>40.741999999999997</v>
      </c>
      <c r="G57" s="16">
        <v>23.82</v>
      </c>
      <c r="H57" s="16">
        <f t="shared" si="0"/>
        <v>35.172874999999998</v>
      </c>
      <c r="I57" s="5"/>
      <c r="J57" s="15">
        <v>596.64400000000001</v>
      </c>
      <c r="K57" s="16">
        <v>34.643999999999998</v>
      </c>
      <c r="L57" s="16">
        <v>42.262599999999999</v>
      </c>
      <c r="M57" s="16">
        <v>43.2376</v>
      </c>
      <c r="N57" s="16">
        <v>32.815600000000003</v>
      </c>
      <c r="O57" s="16">
        <f t="shared" si="1"/>
        <v>36.670524999999998</v>
      </c>
      <c r="P57" s="7"/>
      <c r="Q57" s="8">
        <f>bdrate(C57:C60,D57:D60,J57:J60,K57:K60)</f>
        <v>-0.44293249598533313</v>
      </c>
      <c r="R57" s="8">
        <f>bdrate(C57:C60,E57:E60,J57:J60,L57:L60)</f>
        <v>-0.68576719732215463</v>
      </c>
      <c r="S57" s="8">
        <f>bdrate(C57:C60,F57:F60,J57:J60,M57:M60)</f>
        <v>-0.72095014392779111</v>
      </c>
      <c r="T57" s="25">
        <f>bdrate(C57:C60,H57:H60,J57:J60,O57:O60)</f>
        <v>-0.49164410811835468</v>
      </c>
      <c r="U57" s="28">
        <f t="shared" si="2"/>
        <v>0.3776490344248532</v>
      </c>
    </row>
    <row r="58" spans="1:21" x14ac:dyDescent="0.25">
      <c r="B58" s="9"/>
      <c r="C58" s="17">
        <v>456.71</v>
      </c>
      <c r="D58" s="18">
        <v>31.706</v>
      </c>
      <c r="E58" s="18">
        <v>39.268000000000001</v>
      </c>
      <c r="F58" s="18">
        <v>39.863</v>
      </c>
      <c r="G58" s="18">
        <v>26.33</v>
      </c>
      <c r="H58" s="18">
        <f t="shared" si="0"/>
        <v>33.670874999999995</v>
      </c>
      <c r="I58" s="5"/>
      <c r="J58" s="17">
        <v>397.42959999999999</v>
      </c>
      <c r="K58" s="18">
        <v>33.235599999999998</v>
      </c>
      <c r="L58" s="18">
        <v>41.387900000000002</v>
      </c>
      <c r="M58" s="18">
        <v>42.327800000000003</v>
      </c>
      <c r="N58" s="18">
        <v>42.357900000000001</v>
      </c>
      <c r="O58" s="18">
        <f t="shared" si="1"/>
        <v>35.3911625</v>
      </c>
      <c r="P58" s="7"/>
      <c r="Q58" s="10"/>
      <c r="R58" s="11"/>
      <c r="S58" s="11"/>
      <c r="T58" s="26"/>
      <c r="U58" s="28">
        <f t="shared" si="2"/>
        <v>0.60873148499810115</v>
      </c>
    </row>
    <row r="59" spans="1:21" x14ac:dyDescent="0.25">
      <c r="B59" s="9"/>
      <c r="C59" s="17">
        <v>270.95</v>
      </c>
      <c r="D59" s="18">
        <v>29.797000000000001</v>
      </c>
      <c r="E59" s="18">
        <v>38.715000000000003</v>
      </c>
      <c r="F59" s="18">
        <v>38.966000000000001</v>
      </c>
      <c r="G59" s="18">
        <v>31.76</v>
      </c>
      <c r="H59" s="18">
        <f t="shared" si="0"/>
        <v>32.057875000000003</v>
      </c>
      <c r="I59" s="5"/>
      <c r="J59" s="17">
        <v>248.1592</v>
      </c>
      <c r="K59" s="18">
        <v>31.6159</v>
      </c>
      <c r="L59" s="18">
        <v>40.303800000000003</v>
      </c>
      <c r="M59" s="18">
        <v>41.168199999999999</v>
      </c>
      <c r="N59" s="18">
        <v>57.9206</v>
      </c>
      <c r="O59" s="18">
        <f t="shared" si="1"/>
        <v>33.895924999999998</v>
      </c>
      <c r="P59" s="7"/>
      <c r="Q59" s="10"/>
      <c r="R59" s="11"/>
      <c r="S59" s="11"/>
      <c r="T59" s="26"/>
      <c r="U59" s="28">
        <f t="shared" si="2"/>
        <v>0.82369647355163722</v>
      </c>
    </row>
    <row r="60" spans="1:21" ht="16.5" thickBot="1" x14ac:dyDescent="0.3">
      <c r="B60" s="12"/>
      <c r="C60" s="19">
        <v>134</v>
      </c>
      <c r="D60" s="20">
        <v>27.085999999999999</v>
      </c>
      <c r="E60" s="20">
        <v>38.061</v>
      </c>
      <c r="F60" s="20">
        <v>38.066000000000003</v>
      </c>
      <c r="G60" s="20">
        <v>39.25</v>
      </c>
      <c r="H60" s="20">
        <f t="shared" si="0"/>
        <v>29.830375</v>
      </c>
      <c r="I60" s="5"/>
      <c r="J60" s="19">
        <v>118.5744</v>
      </c>
      <c r="K60" s="20">
        <v>28.945599999999999</v>
      </c>
      <c r="L60" s="20">
        <v>38.875500000000002</v>
      </c>
      <c r="M60" s="20">
        <v>39.717700000000001</v>
      </c>
      <c r="N60" s="20">
        <v>96.400999999999996</v>
      </c>
      <c r="O60" s="20">
        <f t="shared" si="1"/>
        <v>31.533350000000002</v>
      </c>
      <c r="P60" s="7"/>
      <c r="Q60" s="13"/>
      <c r="R60" s="14"/>
      <c r="S60" s="14"/>
      <c r="T60" s="27"/>
      <c r="U60" s="28">
        <f t="shared" si="2"/>
        <v>1.456076433121019</v>
      </c>
    </row>
    <row r="61" spans="1:21" x14ac:dyDescent="0.25">
      <c r="B61" s="6" t="s">
        <v>59</v>
      </c>
      <c r="C61" s="29">
        <v>826.78</v>
      </c>
      <c r="D61" s="30">
        <v>34.514000000000003</v>
      </c>
      <c r="E61" s="30">
        <v>38.015999999999998</v>
      </c>
      <c r="F61" s="30">
        <v>38.503999999999998</v>
      </c>
      <c r="G61" s="16">
        <v>25.06</v>
      </c>
      <c r="H61" s="16">
        <f t="shared" si="0"/>
        <v>35.450499999999998</v>
      </c>
      <c r="I61" s="5"/>
      <c r="J61" s="29">
        <v>593.57920000000001</v>
      </c>
      <c r="K61" s="30">
        <v>34.018300000000004</v>
      </c>
      <c r="L61" s="30">
        <v>39.155799999999999</v>
      </c>
      <c r="M61" s="30">
        <v>40.06</v>
      </c>
      <c r="N61" s="16">
        <v>26.466200000000001</v>
      </c>
      <c r="O61" s="16">
        <f t="shared" si="1"/>
        <v>35.415700000000001</v>
      </c>
      <c r="P61" s="7"/>
      <c r="Q61" s="8">
        <f>bdrate(C61:C64,D61:D64,J61:J64,K61:K64)</f>
        <v>-0.22354992435774323</v>
      </c>
      <c r="R61" s="8">
        <f>bdrate(C61:C64,E61:E64,J61:J64,L61:L64)</f>
        <v>-0.55977316351915207</v>
      </c>
      <c r="S61" s="8">
        <f>bdrate(C61:C64,F61:F64,J61:J64,M61:M64)</f>
        <v>-0.61480403085573787</v>
      </c>
      <c r="T61" s="25">
        <f>bdrate(C61:C64,H61:H64,J61:J64,O61:O64)</f>
        <v>-0.30103504606431952</v>
      </c>
      <c r="U61" s="28">
        <f t="shared" si="2"/>
        <v>5.6113328012769435E-2</v>
      </c>
    </row>
    <row r="62" spans="1:21" x14ac:dyDescent="0.25">
      <c r="B62" s="9"/>
      <c r="C62" s="31">
        <v>516.29999999999995</v>
      </c>
      <c r="D62" s="32">
        <v>32.564999999999998</v>
      </c>
      <c r="E62" s="32">
        <v>36.643000000000001</v>
      </c>
      <c r="F62" s="32">
        <v>37.115000000000002</v>
      </c>
      <c r="G62" s="18">
        <v>26.25</v>
      </c>
      <c r="H62" s="18">
        <f t="shared" si="0"/>
        <v>33.643499999999996</v>
      </c>
      <c r="I62" s="5"/>
      <c r="J62" s="31">
        <v>396.44479999999999</v>
      </c>
      <c r="K62" s="32">
        <v>32.433999999999997</v>
      </c>
      <c r="L62" s="32">
        <v>38.040399999999998</v>
      </c>
      <c r="M62" s="32">
        <v>38.904000000000003</v>
      </c>
      <c r="N62" s="18">
        <v>33.0426</v>
      </c>
      <c r="O62" s="18">
        <f t="shared" si="1"/>
        <v>33.943550000000002</v>
      </c>
      <c r="P62" s="7"/>
      <c r="Q62" s="10"/>
      <c r="R62" s="11"/>
      <c r="S62" s="11"/>
      <c r="T62" s="26"/>
      <c r="U62" s="28">
        <f t="shared" si="2"/>
        <v>0.25876571428571427</v>
      </c>
    </row>
    <row r="63" spans="1:21" x14ac:dyDescent="0.25">
      <c r="B63" s="9"/>
      <c r="C63" s="31">
        <v>308.33</v>
      </c>
      <c r="D63" s="32">
        <v>30.518999999999998</v>
      </c>
      <c r="E63" s="32">
        <v>35.512999999999998</v>
      </c>
      <c r="F63" s="32">
        <v>35.988</v>
      </c>
      <c r="G63" s="18">
        <v>27.72</v>
      </c>
      <c r="H63" s="18">
        <f t="shared" si="0"/>
        <v>31.826874999999998</v>
      </c>
      <c r="I63" s="5"/>
      <c r="J63" s="31">
        <v>247.1464</v>
      </c>
      <c r="K63" s="32">
        <v>30.671500000000002</v>
      </c>
      <c r="L63" s="32">
        <v>36.85</v>
      </c>
      <c r="M63" s="32">
        <v>37.647599999999997</v>
      </c>
      <c r="N63" s="18">
        <v>41.142099999999999</v>
      </c>
      <c r="O63" s="18">
        <f t="shared" si="1"/>
        <v>32.315824999999997</v>
      </c>
      <c r="P63" s="7"/>
      <c r="Q63" s="10"/>
      <c r="R63" s="11"/>
      <c r="S63" s="11"/>
      <c r="T63" s="26"/>
      <c r="U63" s="28">
        <f t="shared" si="2"/>
        <v>0.48420274170274175</v>
      </c>
    </row>
    <row r="64" spans="1:21" ht="16.5" thickBot="1" x14ac:dyDescent="0.3">
      <c r="B64" s="12"/>
      <c r="C64" s="33">
        <v>151.91999999999999</v>
      </c>
      <c r="D64" s="34">
        <v>27.96</v>
      </c>
      <c r="E64" s="34">
        <v>34.265999999999998</v>
      </c>
      <c r="F64" s="34">
        <v>34.805</v>
      </c>
      <c r="G64" s="20">
        <v>31.18</v>
      </c>
      <c r="H64" s="20">
        <f t="shared" si="0"/>
        <v>29.603874999999999</v>
      </c>
      <c r="I64" s="5"/>
      <c r="J64" s="33">
        <v>118.71599999999999</v>
      </c>
      <c r="K64" s="34">
        <v>28.1081</v>
      </c>
      <c r="L64" s="34">
        <v>35.345300000000002</v>
      </c>
      <c r="M64" s="34">
        <v>36.090699999999998</v>
      </c>
      <c r="N64" s="20">
        <v>61.515700000000002</v>
      </c>
      <c r="O64" s="20">
        <f t="shared" si="1"/>
        <v>30.010574999999999</v>
      </c>
      <c r="P64" s="7"/>
      <c r="Q64" s="13"/>
      <c r="R64" s="14"/>
      <c r="S64" s="14"/>
      <c r="T64" s="27"/>
      <c r="U64" s="28">
        <f t="shared" si="2"/>
        <v>0.9729217447081463</v>
      </c>
    </row>
    <row r="65" spans="1:21" x14ac:dyDescent="0.25">
      <c r="B65" s="6" t="s">
        <v>60</v>
      </c>
      <c r="C65" s="15">
        <v>756.32</v>
      </c>
      <c r="D65" s="16">
        <v>36.183</v>
      </c>
      <c r="E65" s="16">
        <v>38.198</v>
      </c>
      <c r="F65" s="16">
        <v>39.402999999999999</v>
      </c>
      <c r="G65" s="16">
        <v>20.07</v>
      </c>
      <c r="H65" s="16">
        <f t="shared" si="0"/>
        <v>36.837375000000002</v>
      </c>
      <c r="I65" s="5"/>
      <c r="J65" s="15">
        <v>588.50080000000003</v>
      </c>
      <c r="K65" s="16">
        <v>35.313499999999998</v>
      </c>
      <c r="L65" s="16">
        <v>39.195399999999999</v>
      </c>
      <c r="M65" s="16">
        <v>40.370199999999997</v>
      </c>
      <c r="N65" s="16">
        <v>14.4809</v>
      </c>
      <c r="O65" s="16">
        <f t="shared" si="1"/>
        <v>36.430824999999999</v>
      </c>
      <c r="P65" s="7"/>
      <c r="Q65" s="8">
        <f>bdrate(C65:C68,D65:D68,J65:J68,K65:K68)</f>
        <v>-8.3248342871018455E-2</v>
      </c>
      <c r="R65" s="8">
        <f>bdrate(C65:C68,E65:E68,J65:J68,L65:L68)</f>
        <v>-0.46158943902842198</v>
      </c>
      <c r="S65" s="8">
        <f>bdrate(C65:C68,F65:F68,J65:J68,M65:M68)</f>
        <v>-0.45909539603377392</v>
      </c>
      <c r="T65" s="25">
        <f>bdrate(C65:C68,H65:H68,J65:J68,O65:O68)</f>
        <v>-0.15860785043627756</v>
      </c>
      <c r="U65" s="28">
        <f t="shared" si="2"/>
        <v>-0.27848031888390634</v>
      </c>
    </row>
    <row r="66" spans="1:21" x14ac:dyDescent="0.25">
      <c r="B66" s="9"/>
      <c r="C66" s="17">
        <v>477.54</v>
      </c>
      <c r="D66" s="18">
        <v>33.884</v>
      </c>
      <c r="E66" s="18">
        <v>36.795999999999999</v>
      </c>
      <c r="F66" s="18">
        <v>38.024999999999999</v>
      </c>
      <c r="G66" s="18">
        <v>21.78</v>
      </c>
      <c r="H66" s="18">
        <f t="shared" si="0"/>
        <v>34.765625</v>
      </c>
      <c r="I66" s="5"/>
      <c r="J66" s="17">
        <v>392.9864</v>
      </c>
      <c r="K66" s="18">
        <v>33.302900000000001</v>
      </c>
      <c r="L66" s="18">
        <v>37.956699999999998</v>
      </c>
      <c r="M66" s="18">
        <v>39.154899999999998</v>
      </c>
      <c r="N66" s="18">
        <v>17.822099999999999</v>
      </c>
      <c r="O66" s="18">
        <f t="shared" si="1"/>
        <v>34.616125000000004</v>
      </c>
      <c r="P66" s="7"/>
      <c r="Q66" s="10"/>
      <c r="R66" s="11"/>
      <c r="S66" s="11"/>
      <c r="T66" s="26"/>
      <c r="U66" s="28">
        <f t="shared" si="2"/>
        <v>-0.18172176308539953</v>
      </c>
    </row>
    <row r="67" spans="1:21" x14ac:dyDescent="0.25">
      <c r="B67" s="9"/>
      <c r="C67" s="17">
        <v>287.33</v>
      </c>
      <c r="D67" s="18">
        <v>31.568000000000001</v>
      </c>
      <c r="E67" s="18">
        <v>35.572000000000003</v>
      </c>
      <c r="F67" s="18">
        <v>36.72</v>
      </c>
      <c r="G67" s="18">
        <v>23.03</v>
      </c>
      <c r="H67" s="18">
        <f t="shared" si="0"/>
        <v>32.712500000000006</v>
      </c>
      <c r="I67" s="5"/>
      <c r="J67" s="17">
        <v>243.72479999999999</v>
      </c>
      <c r="K67" s="18">
        <v>31.2058</v>
      </c>
      <c r="L67" s="18">
        <v>36.648000000000003</v>
      </c>
      <c r="M67" s="18">
        <v>37.8444</v>
      </c>
      <c r="N67" s="18">
        <v>22.4131</v>
      </c>
      <c r="O67" s="18">
        <f t="shared" si="1"/>
        <v>32.715899999999998</v>
      </c>
      <c r="P67" s="7"/>
      <c r="Q67" s="10"/>
      <c r="R67" s="11"/>
      <c r="S67" s="11"/>
      <c r="T67" s="26"/>
      <c r="U67" s="28">
        <f t="shared" si="2"/>
        <v>-2.6786799826313552E-2</v>
      </c>
    </row>
    <row r="68" spans="1:21" ht="16.5" thickBot="1" x14ac:dyDescent="0.3">
      <c r="B68" s="12"/>
      <c r="C68" s="19">
        <v>143.91</v>
      </c>
      <c r="D68" s="20">
        <v>28.667000000000002</v>
      </c>
      <c r="E68" s="20">
        <v>34.151000000000003</v>
      </c>
      <c r="F68" s="20">
        <v>35.201000000000001</v>
      </c>
      <c r="G68" s="20">
        <v>27.39</v>
      </c>
      <c r="H68" s="20">
        <f t="shared" si="0"/>
        <v>30.169250000000002</v>
      </c>
      <c r="I68" s="5"/>
      <c r="J68" s="19">
        <v>117.41679999999999</v>
      </c>
      <c r="K68" s="20">
        <v>28.444199999999999</v>
      </c>
      <c r="L68" s="20">
        <v>35.081800000000001</v>
      </c>
      <c r="M68" s="20">
        <v>36.211100000000002</v>
      </c>
      <c r="N68" s="20">
        <v>32.985199999999999</v>
      </c>
      <c r="O68" s="20">
        <f t="shared" si="1"/>
        <v>30.2447625</v>
      </c>
      <c r="P68" s="7"/>
      <c r="Q68" s="13"/>
      <c r="R68" s="14"/>
      <c r="S68" s="14"/>
      <c r="T68" s="27"/>
      <c r="U68" s="28">
        <f t="shared" si="2"/>
        <v>0.20427893391748808</v>
      </c>
    </row>
    <row r="69" spans="1:21" x14ac:dyDescent="0.25">
      <c r="A69" s="6" t="s">
        <v>43</v>
      </c>
      <c r="B69" s="6" t="s">
        <v>61</v>
      </c>
      <c r="C69" s="15">
        <v>1887.59</v>
      </c>
      <c r="D69" s="16">
        <v>41.951999999999998</v>
      </c>
      <c r="E69" s="16">
        <v>45.7</v>
      </c>
      <c r="F69" s="16">
        <v>46.78</v>
      </c>
      <c r="G69" s="16">
        <v>4.6900000000000004</v>
      </c>
      <c r="H69" s="16">
        <f t="shared" si="0"/>
        <v>43.024000000000001</v>
      </c>
      <c r="I69" s="5"/>
      <c r="J69" s="15">
        <v>1503.8055999999999</v>
      </c>
      <c r="K69" s="16">
        <v>42.113900000000001</v>
      </c>
      <c r="L69" s="16">
        <v>46.678100000000001</v>
      </c>
      <c r="M69" s="16">
        <v>47.959099999999999</v>
      </c>
      <c r="N69" s="16">
        <v>7.7229999999999999</v>
      </c>
      <c r="O69" s="16">
        <f t="shared" si="1"/>
        <v>43.415074999999995</v>
      </c>
      <c r="P69" s="7"/>
      <c r="Q69" s="8">
        <f>bdrate(C69:C72,D69:D72,J69:J72,K69:K72)</f>
        <v>-0.29843297502678101</v>
      </c>
      <c r="R69" s="8">
        <f>bdrate(C69:C72,E69:E72,J69:J72,L69:L72)</f>
        <v>-0.52411692460726256</v>
      </c>
      <c r="S69" s="8">
        <f>bdrate(C69:C72,F69:F72,J69:J72,M69:M72)</f>
        <v>-0.52520330438323881</v>
      </c>
      <c r="T69" s="25">
        <f>bdrate(C69:C72,H69:H72,J69:J72,O69:O72)</f>
        <v>-0.35189368484518624</v>
      </c>
      <c r="U69" s="28">
        <f t="shared" si="2"/>
        <v>0.64669509594882713</v>
      </c>
    </row>
    <row r="70" spans="1:21" x14ac:dyDescent="0.25">
      <c r="A70" s="9" t="s">
        <v>44</v>
      </c>
      <c r="B70" s="9"/>
      <c r="C70" s="17">
        <v>1224.32</v>
      </c>
      <c r="D70" s="18">
        <v>40.816000000000003</v>
      </c>
      <c r="E70" s="18">
        <v>44.472000000000001</v>
      </c>
      <c r="F70" s="18">
        <v>45.689</v>
      </c>
      <c r="G70" s="18">
        <v>5.37</v>
      </c>
      <c r="H70" s="18">
        <f t="shared" si="0"/>
        <v>41.882125000000002</v>
      </c>
      <c r="I70" s="5"/>
      <c r="J70" s="17">
        <v>995.2296</v>
      </c>
      <c r="K70" s="18">
        <v>41.1372</v>
      </c>
      <c r="L70" s="18">
        <v>45.842300000000002</v>
      </c>
      <c r="M70" s="18">
        <v>47.064599999999999</v>
      </c>
      <c r="N70" s="18">
        <v>9.9475999999999996</v>
      </c>
      <c r="O70" s="18">
        <f t="shared" si="1"/>
        <v>42.466262499999999</v>
      </c>
      <c r="P70" s="7"/>
      <c r="Q70" s="10"/>
      <c r="R70" s="11"/>
      <c r="S70" s="11"/>
      <c r="T70" s="26"/>
      <c r="U70" s="28">
        <f t="shared" si="2"/>
        <v>0.8524394785847299</v>
      </c>
    </row>
    <row r="71" spans="1:21" x14ac:dyDescent="0.25">
      <c r="B71" s="9"/>
      <c r="C71" s="17">
        <v>722.73</v>
      </c>
      <c r="D71" s="18">
        <v>38.771000000000001</v>
      </c>
      <c r="E71" s="18">
        <v>42.78</v>
      </c>
      <c r="F71" s="18">
        <v>43.933</v>
      </c>
      <c r="G71" s="18">
        <v>6.17</v>
      </c>
      <c r="H71" s="18">
        <f t="shared" si="0"/>
        <v>39.917375</v>
      </c>
      <c r="I71" s="5"/>
      <c r="J71" s="17">
        <v>589.45920000000001</v>
      </c>
      <c r="K71" s="18">
        <v>39.386099999999999</v>
      </c>
      <c r="L71" s="18">
        <v>44.441200000000002</v>
      </c>
      <c r="M71" s="18">
        <v>45.628500000000003</v>
      </c>
      <c r="N71" s="18">
        <v>13.6243</v>
      </c>
      <c r="O71" s="18">
        <f t="shared" si="1"/>
        <v>40.798287500000001</v>
      </c>
      <c r="P71" s="7"/>
      <c r="Q71" s="10"/>
      <c r="R71" s="11"/>
      <c r="S71" s="11"/>
      <c r="T71" s="26"/>
      <c r="U71" s="28">
        <f t="shared" si="2"/>
        <v>1.2081523500810374</v>
      </c>
    </row>
    <row r="72" spans="1:21" ht="16.5" thickBot="1" x14ac:dyDescent="0.3">
      <c r="B72" s="12"/>
      <c r="C72" s="19">
        <v>333.16</v>
      </c>
      <c r="D72" s="20">
        <v>34.585000000000001</v>
      </c>
      <c r="E72" s="20">
        <v>40.518000000000001</v>
      </c>
      <c r="F72" s="20">
        <v>41.816000000000003</v>
      </c>
      <c r="G72" s="20">
        <v>8.0500000000000007</v>
      </c>
      <c r="H72" s="20">
        <f t="shared" si="0"/>
        <v>36.230499999999999</v>
      </c>
      <c r="I72" s="5"/>
      <c r="J72" s="19">
        <v>289.69760000000002</v>
      </c>
      <c r="K72" s="20">
        <v>36.228700000000003</v>
      </c>
      <c r="L72" s="20">
        <v>42.3964</v>
      </c>
      <c r="M72" s="20">
        <v>43.536999999999999</v>
      </c>
      <c r="N72" s="20">
        <v>20.992999999999999</v>
      </c>
      <c r="O72" s="20">
        <f t="shared" si="1"/>
        <v>37.913199999999996</v>
      </c>
      <c r="P72" s="7"/>
      <c r="Q72" s="13"/>
      <c r="R72" s="14"/>
      <c r="S72" s="14"/>
      <c r="T72" s="27"/>
      <c r="U72" s="28">
        <f t="shared" si="2"/>
        <v>1.6078260869565213</v>
      </c>
    </row>
    <row r="73" spans="1:21" x14ac:dyDescent="0.25">
      <c r="B73" s="6" t="s">
        <v>62</v>
      </c>
      <c r="C73" s="15">
        <v>1951.7</v>
      </c>
      <c r="D73" s="16">
        <v>42.759</v>
      </c>
      <c r="E73" s="16">
        <v>47.667000000000002</v>
      </c>
      <c r="F73" s="16">
        <v>48.173000000000002</v>
      </c>
      <c r="G73" s="16">
        <v>3.78</v>
      </c>
      <c r="H73" s="16">
        <f t="shared" si="0"/>
        <v>44.049250000000001</v>
      </c>
      <c r="I73" s="5"/>
      <c r="J73" s="15">
        <v>1506.76</v>
      </c>
      <c r="K73" s="16">
        <v>43.055199999999999</v>
      </c>
      <c r="L73" s="16">
        <v>48.497100000000003</v>
      </c>
      <c r="M73" s="16">
        <v>49.2209</v>
      </c>
      <c r="N73" s="16">
        <v>8.8721999999999994</v>
      </c>
      <c r="O73" s="16">
        <f t="shared" si="1"/>
        <v>44.506149999999991</v>
      </c>
      <c r="P73" s="7"/>
      <c r="Q73" s="8">
        <f>bdrate(C73:C76,D73:D76,J73:J76,K73:K76)</f>
        <v>-0.47225003314108993</v>
      </c>
      <c r="R73" s="8">
        <f>bdrate(C73:C76,E73:E76,J73:J76,L73:L76)</f>
        <v>-0.65786208342421504</v>
      </c>
      <c r="S73" s="8">
        <f>bdrate(C73:C76,F73:F76,J73:J76,M73:M76)</f>
        <v>-0.68185384246656655</v>
      </c>
      <c r="T73" s="25">
        <f>bdrate(C73:C76,H73:H76,J73:J76,O73:O76)</f>
        <v>-0.5341347344594678</v>
      </c>
      <c r="U73" s="28">
        <f t="shared" ref="U73:U91" si="3">(N73-G73)/G73</f>
        <v>1.3471428571428572</v>
      </c>
    </row>
    <row r="74" spans="1:21" x14ac:dyDescent="0.25">
      <c r="B74" s="9"/>
      <c r="C74" s="17">
        <v>1277</v>
      </c>
      <c r="D74" s="18">
        <v>42.146999999999998</v>
      </c>
      <c r="E74" s="18">
        <v>46.826999999999998</v>
      </c>
      <c r="F74" s="18">
        <v>47.212000000000003</v>
      </c>
      <c r="G74" s="18">
        <v>4.28</v>
      </c>
      <c r="H74" s="18">
        <f t="shared" si="0"/>
        <v>43.365124999999999</v>
      </c>
      <c r="I74" s="5"/>
      <c r="J74" s="17">
        <v>996.56079999999997</v>
      </c>
      <c r="K74" s="18">
        <v>42.637900000000002</v>
      </c>
      <c r="L74" s="18">
        <v>48.125100000000003</v>
      </c>
      <c r="M74" s="18">
        <v>48.822699999999998</v>
      </c>
      <c r="N74" s="18">
        <v>11.116099999999999</v>
      </c>
      <c r="O74" s="18">
        <f t="shared" si="1"/>
        <v>44.096899999999998</v>
      </c>
      <c r="P74" s="7"/>
      <c r="Q74" s="10"/>
      <c r="R74" s="11"/>
      <c r="S74" s="11"/>
      <c r="T74" s="26"/>
      <c r="U74" s="28">
        <f t="shared" si="3"/>
        <v>1.5972196261682241</v>
      </c>
    </row>
    <row r="75" spans="1:21" x14ac:dyDescent="0.25">
      <c r="B75" s="9"/>
      <c r="C75" s="17">
        <v>748.88</v>
      </c>
      <c r="D75" s="18">
        <v>41.098999999999997</v>
      </c>
      <c r="E75" s="18">
        <v>45.554000000000002</v>
      </c>
      <c r="F75" s="18">
        <v>46.17</v>
      </c>
      <c r="G75" s="18">
        <v>4.84</v>
      </c>
      <c r="H75" s="18">
        <f t="shared" si="0"/>
        <v>42.289750000000005</v>
      </c>
      <c r="I75" s="5"/>
      <c r="J75" s="17">
        <v>577.11680000000001</v>
      </c>
      <c r="K75" s="18">
        <v>41.8827</v>
      </c>
      <c r="L75" s="18">
        <v>47.3842</v>
      </c>
      <c r="M75" s="18">
        <v>48.054200000000002</v>
      </c>
      <c r="N75" s="18">
        <v>15.2979</v>
      </c>
      <c r="O75" s="18">
        <f t="shared" si="1"/>
        <v>43.341825</v>
      </c>
      <c r="P75" s="7"/>
      <c r="Q75" s="10"/>
      <c r="R75" s="11"/>
      <c r="S75" s="11"/>
      <c r="T75" s="26"/>
      <c r="U75" s="28">
        <f t="shared" si="3"/>
        <v>2.1607231404958678</v>
      </c>
    </row>
    <row r="76" spans="1:21" ht="16.5" thickBot="1" x14ac:dyDescent="0.3">
      <c r="B76" s="12"/>
      <c r="C76" s="19">
        <v>327.55</v>
      </c>
      <c r="D76" s="20">
        <v>38.435000000000002</v>
      </c>
      <c r="E76" s="20">
        <v>42.954999999999998</v>
      </c>
      <c r="F76" s="20">
        <v>43.749000000000002</v>
      </c>
      <c r="G76" s="20">
        <v>6.47</v>
      </c>
      <c r="H76" s="20">
        <f t="shared" si="0"/>
        <v>39.664250000000003</v>
      </c>
      <c r="I76" s="5"/>
      <c r="J76" s="19">
        <v>275.27199999999999</v>
      </c>
      <c r="K76" s="20">
        <v>40.0959</v>
      </c>
      <c r="L76" s="20">
        <v>45.586300000000001</v>
      </c>
      <c r="M76" s="20">
        <v>46.101700000000001</v>
      </c>
      <c r="N76" s="20">
        <v>24.0077</v>
      </c>
      <c r="O76" s="20">
        <f t="shared" si="1"/>
        <v>41.532924999999999</v>
      </c>
      <c r="P76" s="7"/>
      <c r="Q76" s="13"/>
      <c r="R76" s="14"/>
      <c r="S76" s="14"/>
      <c r="T76" s="27"/>
      <c r="U76" s="28">
        <f t="shared" si="3"/>
        <v>2.7106182380216386</v>
      </c>
    </row>
    <row r="77" spans="1:21" x14ac:dyDescent="0.25">
      <c r="B77" s="6" t="s">
        <v>63</v>
      </c>
      <c r="C77" s="15">
        <v>2031.3</v>
      </c>
      <c r="D77" s="16">
        <v>42.835000000000001</v>
      </c>
      <c r="E77" s="16">
        <v>46.857999999999997</v>
      </c>
      <c r="F77" s="16">
        <v>47.567999999999998</v>
      </c>
      <c r="G77" s="16">
        <v>3.96</v>
      </c>
      <c r="H77" s="16">
        <f t="shared" si="0"/>
        <v>43.929499999999997</v>
      </c>
      <c r="I77" s="5"/>
      <c r="J77" s="15">
        <v>1542.9903999999999</v>
      </c>
      <c r="K77" s="16">
        <v>43.010399999999997</v>
      </c>
      <c r="L77" s="16">
        <v>47.687899999999999</v>
      </c>
      <c r="M77" s="16">
        <v>48.612499999999997</v>
      </c>
      <c r="N77" s="16">
        <v>7.9236000000000004</v>
      </c>
      <c r="O77" s="16">
        <f t="shared" si="1"/>
        <v>44.295349999999999</v>
      </c>
      <c r="P77" s="7"/>
      <c r="Q77" s="8">
        <f>bdrate(C77:C80,D77:D80,J77:J80,K77:K80)</f>
        <v>-0.38955264806625722</v>
      </c>
      <c r="R77" s="8">
        <f>bdrate(C77:C80,E77:E80,J77:J80,L77:L80)</f>
        <v>-0.57473261319404445</v>
      </c>
      <c r="S77" s="8">
        <f>bdrate(C77:C80,F77:F80,J77:J80,M77:M80)</f>
        <v>-0.62149805014934068</v>
      </c>
      <c r="T77" s="25">
        <f>bdrate(C77:C80,H77:H80,J77:J80,O77:O80)</f>
        <v>-0.44825965292463343</v>
      </c>
      <c r="U77" s="28">
        <f t="shared" si="3"/>
        <v>1.000909090909091</v>
      </c>
    </row>
    <row r="78" spans="1:21" x14ac:dyDescent="0.25">
      <c r="B78" s="9"/>
      <c r="C78" s="17">
        <v>1335.94</v>
      </c>
      <c r="D78" s="18">
        <v>41.963999999999999</v>
      </c>
      <c r="E78" s="18">
        <v>45.905000000000001</v>
      </c>
      <c r="F78" s="18">
        <v>46.459000000000003</v>
      </c>
      <c r="G78" s="18">
        <v>4.51</v>
      </c>
      <c r="H78" s="18">
        <f t="shared" si="0"/>
        <v>43.018499999999996</v>
      </c>
      <c r="I78" s="5"/>
      <c r="J78" s="17">
        <v>1024.3896</v>
      </c>
      <c r="K78" s="18">
        <v>42.331699999999998</v>
      </c>
      <c r="L78" s="18">
        <v>47.112000000000002</v>
      </c>
      <c r="M78" s="18">
        <v>48.020200000000003</v>
      </c>
      <c r="N78" s="18">
        <v>9.9580000000000002</v>
      </c>
      <c r="O78" s="18">
        <f t="shared" si="1"/>
        <v>43.640299999999996</v>
      </c>
      <c r="P78" s="7"/>
      <c r="Q78" s="10"/>
      <c r="R78" s="11"/>
      <c r="S78" s="11"/>
      <c r="T78" s="26"/>
      <c r="U78" s="28">
        <f t="shared" si="3"/>
        <v>1.2079822616407985</v>
      </c>
    </row>
    <row r="79" spans="1:21" x14ac:dyDescent="0.25">
      <c r="B79" s="9"/>
      <c r="C79" s="17">
        <v>793.89</v>
      </c>
      <c r="D79" s="18">
        <v>40.365000000000002</v>
      </c>
      <c r="E79" s="18">
        <v>44.247</v>
      </c>
      <c r="F79" s="18">
        <v>44.668999999999997</v>
      </c>
      <c r="G79" s="18">
        <v>5.26</v>
      </c>
      <c r="H79" s="18">
        <f t="shared" si="0"/>
        <v>41.388249999999999</v>
      </c>
      <c r="I79" s="5"/>
      <c r="J79" s="17">
        <v>600.98400000000004</v>
      </c>
      <c r="K79" s="18">
        <v>41.052199999999999</v>
      </c>
      <c r="L79" s="18">
        <v>45.918199999999999</v>
      </c>
      <c r="M79" s="18">
        <v>46.799799999999998</v>
      </c>
      <c r="N79" s="18">
        <v>13.6144</v>
      </c>
      <c r="O79" s="18">
        <f t="shared" si="1"/>
        <v>42.378900000000002</v>
      </c>
      <c r="P79" s="7"/>
      <c r="Q79" s="10"/>
      <c r="R79" s="11"/>
      <c r="S79" s="11"/>
      <c r="T79" s="26"/>
      <c r="U79" s="28">
        <f t="shared" si="3"/>
        <v>1.5882889733840304</v>
      </c>
    </row>
    <row r="80" spans="1:21" ht="16.5" thickBot="1" x14ac:dyDescent="0.3">
      <c r="B80" s="12"/>
      <c r="C80" s="19">
        <v>361.34</v>
      </c>
      <c r="D80" s="20">
        <v>36.673999999999999</v>
      </c>
      <c r="E80" s="20">
        <v>41.587000000000003</v>
      </c>
      <c r="F80" s="20">
        <v>42.232999999999997</v>
      </c>
      <c r="G80" s="20">
        <v>7.48</v>
      </c>
      <c r="H80" s="20">
        <f t="shared" si="0"/>
        <v>37.982999999999997</v>
      </c>
      <c r="I80" s="5"/>
      <c r="J80" s="19">
        <v>293.536</v>
      </c>
      <c r="K80" s="20">
        <v>38.618200000000002</v>
      </c>
      <c r="L80" s="20">
        <v>44.138100000000001</v>
      </c>
      <c r="M80" s="20">
        <v>44.995699999999999</v>
      </c>
      <c r="N80" s="20">
        <v>21.631</v>
      </c>
      <c r="O80" s="20">
        <f t="shared" si="1"/>
        <v>40.105375000000002</v>
      </c>
      <c r="P80" s="7"/>
      <c r="Q80" s="13"/>
      <c r="R80" s="14"/>
      <c r="S80" s="14"/>
      <c r="T80" s="27"/>
      <c r="U80" s="28">
        <f t="shared" si="3"/>
        <v>1.891844919786096</v>
      </c>
    </row>
    <row r="81" spans="1:21" x14ac:dyDescent="0.25">
      <c r="A81" s="6" t="s">
        <v>102</v>
      </c>
      <c r="B81" s="6" t="s">
        <v>103</v>
      </c>
      <c r="C81" s="15">
        <v>1620.32</v>
      </c>
      <c r="D81" s="16">
        <v>44.247</v>
      </c>
      <c r="E81" s="16">
        <v>48.183</v>
      </c>
      <c r="F81" s="16">
        <v>50.152999999999999</v>
      </c>
      <c r="G81" s="16">
        <v>3.67</v>
      </c>
      <c r="H81" s="16">
        <f t="shared" ref="H81:H91" si="4">(6*D81+E81+F81)/8</f>
        <v>45.477249999999998</v>
      </c>
      <c r="I81" s="5"/>
      <c r="J81" s="15">
        <v>1228.7022999999999</v>
      </c>
      <c r="K81" s="16">
        <v>45.713900000000002</v>
      </c>
      <c r="L81" s="16">
        <v>51.793900000000001</v>
      </c>
      <c r="M81" s="16">
        <v>52.390099999999997</v>
      </c>
      <c r="N81" s="16">
        <v>4.4560000000000004</v>
      </c>
      <c r="O81" s="16">
        <f t="shared" ref="O81:O91" si="5">(6*K81+L81+M81)/8</f>
        <v>47.308425000000007</v>
      </c>
      <c r="P81" s="7"/>
      <c r="Q81" s="8">
        <f>bdrate(C81:C84,D81:D84,J81:J84,K81:K84)</f>
        <v>-0.49381648586745186</v>
      </c>
      <c r="R81" s="8">
        <f>bdrate(C81:C84,E81:E84,J81:J84,L81:L84)</f>
        <v>-0.71625570685495465</v>
      </c>
      <c r="S81" s="8">
        <f>bdrate(C81:C84,F81:F84,J81:J84,M81:M84)</f>
        <v>-0.65107212475624265</v>
      </c>
      <c r="T81" s="25">
        <f>bdrate(C81:C84,H81:H84,J81:J84,O81:O84)</f>
        <v>-0.54332436284398256</v>
      </c>
      <c r="U81" s="28">
        <f t="shared" si="3"/>
        <v>0.21416893732970041</v>
      </c>
    </row>
    <row r="82" spans="1:21" x14ac:dyDescent="0.25">
      <c r="A82" s="9" t="s">
        <v>78</v>
      </c>
      <c r="B82" s="9"/>
      <c r="C82" s="17">
        <v>1082.06</v>
      </c>
      <c r="D82" s="18">
        <v>42.042999999999999</v>
      </c>
      <c r="E82" s="18">
        <v>46.414000000000001</v>
      </c>
      <c r="F82" s="18">
        <v>48.561</v>
      </c>
      <c r="G82" s="18">
        <v>4.07</v>
      </c>
      <c r="H82" s="18">
        <f t="shared" si="4"/>
        <v>43.404124999999993</v>
      </c>
      <c r="I82" s="5"/>
      <c r="J82" s="17">
        <v>828.15729999999996</v>
      </c>
      <c r="K82" s="18">
        <v>44.011000000000003</v>
      </c>
      <c r="L82" s="18">
        <v>50.5809</v>
      </c>
      <c r="M82" s="18">
        <v>51.166800000000002</v>
      </c>
      <c r="N82" s="18">
        <v>5.4252000000000002</v>
      </c>
      <c r="O82" s="18">
        <f t="shared" si="5"/>
        <v>45.726712500000005</v>
      </c>
      <c r="P82" s="7"/>
      <c r="Q82" s="10"/>
      <c r="R82" s="11"/>
      <c r="S82" s="11"/>
      <c r="T82" s="26"/>
      <c r="U82" s="28">
        <f t="shared" si="3"/>
        <v>0.33297297297297296</v>
      </c>
    </row>
    <row r="83" spans="1:21" x14ac:dyDescent="0.25">
      <c r="B83" s="9"/>
      <c r="C83" s="17">
        <v>658.89</v>
      </c>
      <c r="D83" s="18">
        <v>39.149000000000001</v>
      </c>
      <c r="E83" s="18">
        <v>43.7</v>
      </c>
      <c r="F83" s="18">
        <v>45.872</v>
      </c>
      <c r="G83" s="18">
        <v>4.74</v>
      </c>
      <c r="H83" s="18">
        <f t="shared" si="4"/>
        <v>40.558250000000001</v>
      </c>
      <c r="I83" s="5"/>
      <c r="J83" s="17">
        <v>504.45240000000001</v>
      </c>
      <c r="K83" s="18">
        <v>41.5092</v>
      </c>
      <c r="L83" s="18">
        <v>48.548900000000003</v>
      </c>
      <c r="M83" s="18">
        <v>49.550600000000003</v>
      </c>
      <c r="N83" s="18">
        <v>7.0355999999999996</v>
      </c>
      <c r="O83" s="18">
        <f t="shared" si="5"/>
        <v>43.394337500000006</v>
      </c>
      <c r="P83" s="7"/>
      <c r="Q83" s="10"/>
      <c r="R83" s="11"/>
      <c r="S83" s="11"/>
      <c r="T83" s="26"/>
      <c r="U83" s="28">
        <f t="shared" si="3"/>
        <v>0.48430379746835428</v>
      </c>
    </row>
    <row r="84" spans="1:21" ht="16.5" thickBot="1" x14ac:dyDescent="0.3">
      <c r="B84" s="12"/>
      <c r="C84" s="19">
        <v>311.18</v>
      </c>
      <c r="D84" s="20">
        <v>34.170999999999999</v>
      </c>
      <c r="E84" s="20">
        <v>41</v>
      </c>
      <c r="F84" s="20">
        <v>42.695</v>
      </c>
      <c r="G84" s="20">
        <v>6.94</v>
      </c>
      <c r="H84" s="20">
        <f t="shared" si="4"/>
        <v>36.090125</v>
      </c>
      <c r="I84" s="5"/>
      <c r="J84" s="19">
        <v>257.93729999999999</v>
      </c>
      <c r="K84" s="20">
        <v>37.988599999999998</v>
      </c>
      <c r="L84" s="20">
        <v>45.655700000000003</v>
      </c>
      <c r="M84" s="20">
        <v>47.074199999999998</v>
      </c>
      <c r="N84" s="20">
        <v>10.5847</v>
      </c>
      <c r="O84" s="20">
        <f t="shared" si="5"/>
        <v>40.082687500000006</v>
      </c>
      <c r="P84" s="7"/>
      <c r="Q84" s="13"/>
      <c r="R84" s="14"/>
      <c r="S84" s="14"/>
      <c r="T84" s="27"/>
      <c r="U84" s="28">
        <f t="shared" si="3"/>
        <v>0.52517291066282412</v>
      </c>
    </row>
    <row r="85" spans="1:21" x14ac:dyDescent="0.25">
      <c r="B85" s="6" t="s">
        <v>104</v>
      </c>
      <c r="C85" s="15">
        <v>1996.65</v>
      </c>
      <c r="D85" s="16">
        <v>56.838999999999999</v>
      </c>
      <c r="E85" s="16">
        <v>57.008000000000003</v>
      </c>
      <c r="F85" s="16">
        <v>57.325000000000003</v>
      </c>
      <c r="G85" s="16">
        <v>13.46</v>
      </c>
      <c r="H85" s="16">
        <f t="shared" si="4"/>
        <v>56.920874999999995</v>
      </c>
      <c r="I85" s="5"/>
      <c r="J85" s="15">
        <v>1400.2001</v>
      </c>
      <c r="K85" s="16">
        <v>53.811799999999998</v>
      </c>
      <c r="L85" s="16">
        <v>54.6205</v>
      </c>
      <c r="M85" s="16">
        <v>55.241100000000003</v>
      </c>
      <c r="N85" s="16">
        <v>11.867900000000001</v>
      </c>
      <c r="O85" s="16">
        <f t="shared" si="5"/>
        <v>54.091549999999998</v>
      </c>
      <c r="P85" s="7"/>
      <c r="Q85" s="8">
        <f>bdrate(C85:C88,D85:D88,J85:J88,K85:K88)</f>
        <v>-9.3902844736426516E-4</v>
      </c>
      <c r="R85" s="8">
        <f>bdrate(C85:C88,E85:E88,J85:J88,L85:L88)</f>
        <v>-0.12575793579093597</v>
      </c>
      <c r="S85" s="8">
        <f>bdrate(C85:C88,F85:F88,J85:J88,M85:M88)</f>
        <v>-0.14189540433693548</v>
      </c>
      <c r="T85" s="25">
        <f>bdrate(C85:C88,H85:H88,J85:J88,O85:O88)</f>
        <v>-3.3420968272581342E-2</v>
      </c>
      <c r="U85" s="28">
        <f t="shared" si="3"/>
        <v>-0.11828380386329868</v>
      </c>
    </row>
    <row r="86" spans="1:21" x14ac:dyDescent="0.25">
      <c r="B86" s="9"/>
      <c r="C86" s="17">
        <v>1332.49</v>
      </c>
      <c r="D86" s="18">
        <v>54.116</v>
      </c>
      <c r="E86" s="18">
        <v>54.459000000000003</v>
      </c>
      <c r="F86" s="18">
        <v>54.853000000000002</v>
      </c>
      <c r="G86" s="18">
        <v>14.26</v>
      </c>
      <c r="H86" s="18">
        <f t="shared" si="4"/>
        <v>54.251000000000005</v>
      </c>
      <c r="I86" s="5"/>
      <c r="J86" s="17">
        <v>966.50519999999995</v>
      </c>
      <c r="K86" s="18">
        <v>51.916499999999999</v>
      </c>
      <c r="L86" s="18">
        <v>52.958599999999997</v>
      </c>
      <c r="M86" s="18">
        <v>53.519199999999998</v>
      </c>
      <c r="N86" s="18">
        <v>13.5725</v>
      </c>
      <c r="O86" s="18">
        <f t="shared" si="5"/>
        <v>52.247100000000003</v>
      </c>
      <c r="P86" s="7"/>
      <c r="Q86" s="10"/>
      <c r="R86" s="11"/>
      <c r="S86" s="11"/>
      <c r="T86" s="26"/>
      <c r="U86" s="28">
        <f t="shared" si="3"/>
        <v>-4.821178120617111E-2</v>
      </c>
    </row>
    <row r="87" spans="1:21" x14ac:dyDescent="0.25">
      <c r="B87" s="9"/>
      <c r="C87" s="17">
        <v>811.97</v>
      </c>
      <c r="D87" s="18">
        <v>50.962000000000003</v>
      </c>
      <c r="E87" s="18">
        <v>51.476999999999997</v>
      </c>
      <c r="F87" s="18">
        <v>51.923999999999999</v>
      </c>
      <c r="G87" s="18">
        <v>14.99</v>
      </c>
      <c r="H87" s="18">
        <f t="shared" si="4"/>
        <v>51.146625</v>
      </c>
      <c r="I87" s="5"/>
      <c r="J87" s="17">
        <v>601.02639999999997</v>
      </c>
      <c r="K87" s="18">
        <v>49.275700000000001</v>
      </c>
      <c r="L87" s="18">
        <v>50.653700000000001</v>
      </c>
      <c r="M87" s="18">
        <v>51.206499999999998</v>
      </c>
      <c r="N87" s="18">
        <v>16.420100000000001</v>
      </c>
      <c r="O87" s="18">
        <f t="shared" si="5"/>
        <v>49.689300000000003</v>
      </c>
      <c r="P87" s="7"/>
      <c r="Q87" s="10"/>
      <c r="R87" s="11"/>
      <c r="S87" s="11"/>
      <c r="T87" s="26"/>
      <c r="U87" s="28">
        <f t="shared" si="3"/>
        <v>9.5403602401601145E-2</v>
      </c>
    </row>
    <row r="88" spans="1:21" ht="16.5" thickBot="1" x14ac:dyDescent="0.3">
      <c r="B88" s="12"/>
      <c r="C88" s="19">
        <v>384.04</v>
      </c>
      <c r="D88" s="20">
        <v>46.277000000000001</v>
      </c>
      <c r="E88" s="20">
        <v>46.938000000000002</v>
      </c>
      <c r="F88" s="20">
        <v>47.405000000000001</v>
      </c>
      <c r="G88" s="20">
        <v>16.78</v>
      </c>
      <c r="H88" s="20">
        <f t="shared" si="4"/>
        <v>46.500624999999999</v>
      </c>
      <c r="I88" s="5"/>
      <c r="J88" s="19">
        <v>309.03050000000002</v>
      </c>
      <c r="K88" s="20">
        <v>44.7547</v>
      </c>
      <c r="L88" s="20">
        <v>46.761899999999997</v>
      </c>
      <c r="M88" s="20">
        <v>47.3125</v>
      </c>
      <c r="N88" s="20">
        <v>22.771599999999999</v>
      </c>
      <c r="O88" s="20">
        <f t="shared" si="5"/>
        <v>45.325324999999992</v>
      </c>
      <c r="P88" s="7"/>
      <c r="Q88" s="13"/>
      <c r="R88" s="14"/>
      <c r="S88" s="14"/>
      <c r="T88" s="27"/>
      <c r="U88" s="28">
        <f t="shared" si="3"/>
        <v>0.35706793802145398</v>
      </c>
    </row>
    <row r="89" spans="1:21" x14ac:dyDescent="0.25">
      <c r="B89" s="6" t="s">
        <v>105</v>
      </c>
      <c r="C89" s="15">
        <v>2177.31</v>
      </c>
      <c r="D89" s="16">
        <v>45.502000000000002</v>
      </c>
      <c r="E89" s="16">
        <v>46.862000000000002</v>
      </c>
      <c r="F89" s="16">
        <v>47.338000000000001</v>
      </c>
      <c r="G89" s="16">
        <v>3.97</v>
      </c>
      <c r="H89" s="16">
        <f t="shared" si="4"/>
        <v>45.901500000000006</v>
      </c>
      <c r="I89" s="5"/>
      <c r="J89" s="15">
        <v>1486.4960000000001</v>
      </c>
      <c r="K89" s="16">
        <v>44.836100000000002</v>
      </c>
      <c r="L89" s="16">
        <v>47.089300000000001</v>
      </c>
      <c r="M89" s="16">
        <v>47.526899999999998</v>
      </c>
      <c r="N89" s="16">
        <v>5.3743999999999996</v>
      </c>
      <c r="O89" s="16">
        <f t="shared" si="5"/>
        <v>45.454100000000004</v>
      </c>
      <c r="P89" s="7"/>
      <c r="Q89" s="8">
        <f>bdrate(C89:C92,D89:D92,J89:J92,K89:K92)</f>
        <v>-0.30553476949431757</v>
      </c>
      <c r="R89" s="8">
        <f>bdrate(C89:C92,E89:E92,J89:J92,L89:L92)</f>
        <v>-0.42399952835497468</v>
      </c>
      <c r="S89" s="8">
        <f>bdrate(C89:C92,F89:F92,J89:J92,M89:M92)</f>
        <v>-0.41400145874825478</v>
      </c>
      <c r="T89" s="25">
        <f>bdrate(C89:C92,H89:H92,J89:J92,O89:O92)</f>
        <v>-0.32831499270002196</v>
      </c>
      <c r="U89" s="28">
        <f t="shared" si="3"/>
        <v>0.35375314861460944</v>
      </c>
    </row>
    <row r="90" spans="1:21" x14ac:dyDescent="0.25">
      <c r="B90" s="9"/>
      <c r="C90" s="17">
        <v>1454.14</v>
      </c>
      <c r="D90" s="18">
        <v>43.277999999999999</v>
      </c>
      <c r="E90" s="18">
        <v>45.067</v>
      </c>
      <c r="F90" s="18">
        <v>45.561</v>
      </c>
      <c r="G90" s="18">
        <v>4.3899999999999997</v>
      </c>
      <c r="H90" s="18">
        <f t="shared" si="4"/>
        <v>43.786999999999999</v>
      </c>
      <c r="I90" s="5"/>
      <c r="J90" s="17">
        <v>995.26369999999997</v>
      </c>
      <c r="K90" s="18">
        <v>42.912799999999997</v>
      </c>
      <c r="L90" s="18">
        <v>45.616500000000002</v>
      </c>
      <c r="M90" s="18">
        <v>46.030799999999999</v>
      </c>
      <c r="N90" s="18">
        <v>6.5255000000000001</v>
      </c>
      <c r="O90" s="18">
        <f t="shared" si="5"/>
        <v>43.6405125</v>
      </c>
      <c r="P90" s="7"/>
      <c r="Q90" s="10"/>
      <c r="R90" s="11"/>
      <c r="S90" s="11"/>
      <c r="T90" s="26"/>
      <c r="U90" s="28">
        <f t="shared" si="3"/>
        <v>0.48644646924829171</v>
      </c>
    </row>
    <row r="91" spans="1:21" x14ac:dyDescent="0.25">
      <c r="B91" s="9"/>
      <c r="C91" s="17">
        <v>885.01</v>
      </c>
      <c r="D91" s="18">
        <v>40.332999999999998</v>
      </c>
      <c r="E91" s="18">
        <v>42.901000000000003</v>
      </c>
      <c r="F91" s="18">
        <v>43.384999999999998</v>
      </c>
      <c r="G91" s="18">
        <v>5.0599999999999996</v>
      </c>
      <c r="H91" s="18">
        <f t="shared" si="4"/>
        <v>41.035499999999999</v>
      </c>
      <c r="I91" s="5"/>
      <c r="J91" s="17">
        <v>598.33870000000002</v>
      </c>
      <c r="K91" s="18">
        <v>40.203400000000002</v>
      </c>
      <c r="L91" s="18">
        <v>43.621899999999997</v>
      </c>
      <c r="M91" s="18">
        <v>44.042700000000004</v>
      </c>
      <c r="N91" s="18">
        <v>8.3666</v>
      </c>
      <c r="O91" s="18">
        <f t="shared" si="5"/>
        <v>41.110625000000006</v>
      </c>
      <c r="P91" s="7"/>
      <c r="Q91" s="10"/>
      <c r="R91" s="11"/>
      <c r="S91" s="11"/>
      <c r="T91" s="26"/>
      <c r="U91" s="28">
        <f t="shared" si="3"/>
        <v>0.6534782608695654</v>
      </c>
    </row>
    <row r="92" spans="1:21" ht="16.5" thickBot="1" x14ac:dyDescent="0.3">
      <c r="B92" s="12"/>
      <c r="C92" s="19">
        <v>421.55</v>
      </c>
      <c r="D92" s="20">
        <v>35.576999999999998</v>
      </c>
      <c r="E92" s="20">
        <v>39.954000000000001</v>
      </c>
      <c r="F92" s="20">
        <v>40.468000000000004</v>
      </c>
      <c r="G92" s="20">
        <v>6.84</v>
      </c>
      <c r="H92" s="20">
        <f t="shared" ref="H92:H124" si="6">(6*D92+E92+F92)/8</f>
        <v>36.735500000000002</v>
      </c>
      <c r="I92" s="5"/>
      <c r="J92" s="19">
        <v>300.01159999999999</v>
      </c>
      <c r="K92" s="20">
        <v>36.468200000000003</v>
      </c>
      <c r="L92" s="20">
        <v>41.165700000000001</v>
      </c>
      <c r="M92" s="20">
        <v>41.581899999999997</v>
      </c>
      <c r="N92" s="20">
        <v>12.023999999999999</v>
      </c>
      <c r="O92" s="20">
        <f t="shared" ref="O92:O124" si="7">(6*K92+L92+M92)/8</f>
        <v>37.694600000000008</v>
      </c>
      <c r="P92" s="7"/>
      <c r="Q92" s="13"/>
      <c r="R92" s="14"/>
      <c r="S92" s="14"/>
      <c r="T92" s="27"/>
      <c r="U92" s="28">
        <f t="shared" ref="U92:U124" si="8">(N92-G92)/G92</f>
        <v>0.75789473684210518</v>
      </c>
    </row>
    <row r="93" spans="1:21" x14ac:dyDescent="0.25">
      <c r="B93" s="6" t="s">
        <v>106</v>
      </c>
      <c r="C93" s="29">
        <v>2059.5500000000002</v>
      </c>
      <c r="D93" s="30">
        <v>41.055</v>
      </c>
      <c r="E93" s="30">
        <v>44.685000000000002</v>
      </c>
      <c r="F93" s="30">
        <v>44.716000000000001</v>
      </c>
      <c r="G93" s="16">
        <v>3.28</v>
      </c>
      <c r="H93" s="16">
        <f t="shared" si="6"/>
        <v>41.966374999999999</v>
      </c>
      <c r="I93" s="5"/>
      <c r="J93" s="29">
        <v>1495.5361</v>
      </c>
      <c r="K93" s="30">
        <v>40.617199999999997</v>
      </c>
      <c r="L93" s="30">
        <v>45.162999999999997</v>
      </c>
      <c r="M93" s="30">
        <v>45.132599999999996</v>
      </c>
      <c r="N93" s="16">
        <v>4.7397</v>
      </c>
      <c r="O93" s="16">
        <f t="shared" si="7"/>
        <v>41.749849999999995</v>
      </c>
      <c r="P93" s="7"/>
      <c r="Q93" s="8">
        <f>bdrate(C93:C96,D93:D96,J93:J96,K93:K96)</f>
        <v>-0.289976949481762</v>
      </c>
      <c r="R93" s="8">
        <f>bdrate(C93:C96,E93:E96,J93:J96,L93:L96)</f>
        <v>-0.44029474120871914</v>
      </c>
      <c r="S93" s="8">
        <f>bdrate(C93:C96,F93:F96,J93:J96,M93:M96)</f>
        <v>-0.4364741603901181</v>
      </c>
      <c r="T93" s="25">
        <f>bdrate(C93:C96,H93:H96,J93:J96,O93:O96)</f>
        <v>-0.3177016609728146</v>
      </c>
      <c r="U93" s="28">
        <f t="shared" si="8"/>
        <v>0.44503048780487814</v>
      </c>
    </row>
    <row r="94" spans="1:21" x14ac:dyDescent="0.25">
      <c r="B94" s="9"/>
      <c r="C94" s="31">
        <v>1379.48</v>
      </c>
      <c r="D94" s="32">
        <v>38.908999999999999</v>
      </c>
      <c r="E94" s="32">
        <v>43.125</v>
      </c>
      <c r="F94" s="32">
        <v>43.161999999999999</v>
      </c>
      <c r="G94" s="18">
        <v>3.61</v>
      </c>
      <c r="H94" s="18">
        <f t="shared" si="6"/>
        <v>39.967624999999998</v>
      </c>
      <c r="I94" s="5"/>
      <c r="J94" s="31">
        <v>997.44209999999998</v>
      </c>
      <c r="K94" s="32">
        <v>38.691299999999998</v>
      </c>
      <c r="L94" s="32">
        <v>43.839100000000002</v>
      </c>
      <c r="M94" s="32">
        <v>43.826099999999997</v>
      </c>
      <c r="N94" s="18">
        <v>5.7915999999999999</v>
      </c>
      <c r="O94" s="18">
        <f t="shared" si="7"/>
        <v>39.976624999999999</v>
      </c>
      <c r="P94" s="7"/>
      <c r="Q94" s="10"/>
      <c r="R94" s="11"/>
      <c r="S94" s="11"/>
      <c r="T94" s="26"/>
      <c r="U94" s="28">
        <f t="shared" si="8"/>
        <v>0.60432132963988916</v>
      </c>
    </row>
    <row r="95" spans="1:21" x14ac:dyDescent="0.25">
      <c r="B95" s="9"/>
      <c r="C95" s="31">
        <v>843.75</v>
      </c>
      <c r="D95" s="32">
        <v>36.277999999999999</v>
      </c>
      <c r="E95" s="32">
        <v>41.384</v>
      </c>
      <c r="F95" s="32">
        <v>41.34</v>
      </c>
      <c r="G95" s="18">
        <v>4.1900000000000004</v>
      </c>
      <c r="H95" s="18">
        <f t="shared" si="6"/>
        <v>37.549000000000007</v>
      </c>
      <c r="I95" s="5"/>
      <c r="J95" s="31">
        <v>598.2441</v>
      </c>
      <c r="K95" s="32">
        <v>36.289200000000001</v>
      </c>
      <c r="L95" s="32">
        <v>42.221899999999998</v>
      </c>
      <c r="M95" s="32">
        <v>42.210700000000003</v>
      </c>
      <c r="N95" s="18">
        <v>7.5045000000000002</v>
      </c>
      <c r="O95" s="18">
        <f t="shared" si="7"/>
        <v>37.770975000000007</v>
      </c>
      <c r="P95" s="7"/>
      <c r="Q95" s="10"/>
      <c r="R95" s="11"/>
      <c r="S95" s="11"/>
      <c r="T95" s="26"/>
      <c r="U95" s="28">
        <f t="shared" si="8"/>
        <v>0.79105011933174207</v>
      </c>
    </row>
    <row r="96" spans="1:21" ht="16.5" thickBot="1" x14ac:dyDescent="0.3">
      <c r="B96" s="12"/>
      <c r="C96" s="33">
        <v>404</v>
      </c>
      <c r="D96" s="34">
        <v>31.927</v>
      </c>
      <c r="E96" s="34">
        <v>39.094999999999999</v>
      </c>
      <c r="F96" s="34">
        <v>38.917999999999999</v>
      </c>
      <c r="G96" s="20">
        <v>5.72</v>
      </c>
      <c r="H96" s="20">
        <f t="shared" si="6"/>
        <v>33.696874999999999</v>
      </c>
      <c r="I96" s="5"/>
      <c r="J96" s="33">
        <v>299.39960000000002</v>
      </c>
      <c r="K96" s="34">
        <v>33.155999999999999</v>
      </c>
      <c r="L96" s="34">
        <v>40.353900000000003</v>
      </c>
      <c r="M96" s="34">
        <v>40.226999999999997</v>
      </c>
      <c r="N96" s="20">
        <v>11.042</v>
      </c>
      <c r="O96" s="20">
        <f t="shared" si="7"/>
        <v>34.939612499999996</v>
      </c>
      <c r="P96" s="7"/>
      <c r="Q96" s="13"/>
      <c r="R96" s="14"/>
      <c r="S96" s="14"/>
      <c r="T96" s="27"/>
      <c r="U96" s="28">
        <f t="shared" si="8"/>
        <v>0.93041958041958051</v>
      </c>
    </row>
    <row r="97" spans="2:21" x14ac:dyDescent="0.25">
      <c r="B97" s="6" t="s">
        <v>107</v>
      </c>
      <c r="C97" s="15">
        <v>2120.34</v>
      </c>
      <c r="D97" s="16">
        <v>39.633000000000003</v>
      </c>
      <c r="E97" s="16">
        <v>42.581000000000003</v>
      </c>
      <c r="F97" s="16">
        <v>43.098999999999997</v>
      </c>
      <c r="G97" s="16">
        <v>4.6399999999999997</v>
      </c>
      <c r="H97" s="16">
        <f t="shared" si="6"/>
        <v>40.434750000000001</v>
      </c>
      <c r="I97" s="5"/>
      <c r="J97" s="15">
        <v>1508.2043000000001</v>
      </c>
      <c r="K97" s="16">
        <v>38.907200000000003</v>
      </c>
      <c r="L97" s="16">
        <v>43.643999999999998</v>
      </c>
      <c r="M97" s="16">
        <v>44.1357</v>
      </c>
      <c r="N97" s="16">
        <v>5.9320000000000004</v>
      </c>
      <c r="O97" s="16">
        <f t="shared" si="7"/>
        <v>40.152862499999998</v>
      </c>
      <c r="P97" s="7"/>
      <c r="Q97" s="8">
        <f>bdrate(C97:C100,D97:D100,J97:J100,K97:K100)</f>
        <v>-0.23040234285027639</v>
      </c>
      <c r="R97" s="8">
        <f>bdrate(C97:C100,E97:E100,J97:J100,L97:L100)</f>
        <v>-0.50666279635596312</v>
      </c>
      <c r="S97" s="8">
        <f>bdrate(C97:C100,F97:F100,J97:J100,M97:M100)</f>
        <v>-0.50397185712384829</v>
      </c>
      <c r="T97" s="25">
        <f>bdrate(C97:C100,H97:H100,J97:J100,O97:O100)</f>
        <v>-0.2890230204365799</v>
      </c>
      <c r="U97" s="28">
        <f t="shared" si="8"/>
        <v>0.27844827586206916</v>
      </c>
    </row>
    <row r="98" spans="2:21" x14ac:dyDescent="0.25">
      <c r="B98" s="9"/>
      <c r="C98" s="17">
        <v>1415.07</v>
      </c>
      <c r="D98" s="18">
        <v>37.509</v>
      </c>
      <c r="E98" s="18">
        <v>40.909999999999997</v>
      </c>
      <c r="F98" s="18">
        <v>41.505000000000003</v>
      </c>
      <c r="G98" s="18">
        <v>5.08</v>
      </c>
      <c r="H98" s="18">
        <f t="shared" si="6"/>
        <v>38.433624999999999</v>
      </c>
      <c r="I98" s="5"/>
      <c r="J98" s="17">
        <v>1013.1001</v>
      </c>
      <c r="K98" s="18">
        <v>36.970399999999998</v>
      </c>
      <c r="L98" s="18">
        <v>42.222000000000001</v>
      </c>
      <c r="M98" s="18">
        <v>42.766100000000002</v>
      </c>
      <c r="N98" s="18">
        <v>7.2717999999999998</v>
      </c>
      <c r="O98" s="18">
        <f t="shared" si="7"/>
        <v>38.351312499999999</v>
      </c>
      <c r="P98" s="7"/>
      <c r="Q98" s="10"/>
      <c r="R98" s="11"/>
      <c r="S98" s="11"/>
      <c r="T98" s="26"/>
      <c r="U98" s="28">
        <f t="shared" si="8"/>
        <v>0.43145669291338579</v>
      </c>
    </row>
    <row r="99" spans="2:21" x14ac:dyDescent="0.25">
      <c r="B99" s="9"/>
      <c r="C99" s="17">
        <v>859.8</v>
      </c>
      <c r="D99" s="18">
        <v>34.945</v>
      </c>
      <c r="E99" s="18">
        <v>39.087000000000003</v>
      </c>
      <c r="F99" s="18">
        <v>39.777000000000001</v>
      </c>
      <c r="G99" s="18">
        <v>5.74</v>
      </c>
      <c r="H99" s="18">
        <f t="shared" si="6"/>
        <v>36.066749999999999</v>
      </c>
      <c r="I99" s="5"/>
      <c r="J99" s="17">
        <v>603.18190000000004</v>
      </c>
      <c r="K99" s="18">
        <v>34.458500000000001</v>
      </c>
      <c r="L99" s="18">
        <v>40.369799999999998</v>
      </c>
      <c r="M99" s="18">
        <v>40.967100000000002</v>
      </c>
      <c r="N99" s="18">
        <v>9.2996999999999996</v>
      </c>
      <c r="O99" s="18">
        <f t="shared" si="7"/>
        <v>36.010987499999999</v>
      </c>
      <c r="P99" s="7"/>
      <c r="Q99" s="10"/>
      <c r="R99" s="11"/>
      <c r="S99" s="11"/>
      <c r="T99" s="26"/>
      <c r="U99" s="28">
        <f t="shared" si="8"/>
        <v>0.62015679442508698</v>
      </c>
    </row>
    <row r="100" spans="2:21" ht="16.5" thickBot="1" x14ac:dyDescent="0.3">
      <c r="B100" s="12"/>
      <c r="C100" s="19">
        <v>404.35</v>
      </c>
      <c r="D100" s="20">
        <v>30.773</v>
      </c>
      <c r="E100" s="20">
        <v>36.533000000000001</v>
      </c>
      <c r="F100" s="20">
        <v>37.462000000000003</v>
      </c>
      <c r="G100" s="20">
        <v>7.01</v>
      </c>
      <c r="H100" s="20">
        <f t="shared" si="6"/>
        <v>32.329124999999998</v>
      </c>
      <c r="I100" s="5"/>
      <c r="J100" s="19">
        <v>304.89749999999998</v>
      </c>
      <c r="K100" s="20">
        <v>31.139900000000001</v>
      </c>
      <c r="L100" s="20">
        <v>38.103499999999997</v>
      </c>
      <c r="M100" s="20">
        <v>38.825000000000003</v>
      </c>
      <c r="N100" s="20">
        <v>13.138400000000001</v>
      </c>
      <c r="O100" s="20">
        <f t="shared" si="7"/>
        <v>32.9709875</v>
      </c>
      <c r="P100" s="7"/>
      <c r="Q100" s="13"/>
      <c r="R100" s="14"/>
      <c r="S100" s="14"/>
      <c r="T100" s="27"/>
      <c r="U100" s="28">
        <f t="shared" si="8"/>
        <v>0.87423680456490749</v>
      </c>
    </row>
    <row r="101" spans="2:21" x14ac:dyDescent="0.25">
      <c r="B101" s="6" t="s">
        <v>108</v>
      </c>
      <c r="C101" s="15">
        <v>2110.44</v>
      </c>
      <c r="D101" s="16">
        <v>39.244999999999997</v>
      </c>
      <c r="E101" s="16">
        <v>44.183999999999997</v>
      </c>
      <c r="F101" s="16">
        <v>45.889000000000003</v>
      </c>
      <c r="G101" s="16">
        <v>2.56</v>
      </c>
      <c r="H101" s="16">
        <f t="shared" si="6"/>
        <v>40.692875000000001</v>
      </c>
      <c r="I101" s="5"/>
      <c r="J101" s="15">
        <v>1510.1267</v>
      </c>
      <c r="K101" s="16">
        <v>38.584899999999998</v>
      </c>
      <c r="L101" s="16">
        <v>44.537799999999997</v>
      </c>
      <c r="M101" s="16">
        <v>46.1036</v>
      </c>
      <c r="N101" s="16">
        <v>4.2763</v>
      </c>
      <c r="O101" s="16">
        <f t="shared" si="7"/>
        <v>40.26885</v>
      </c>
      <c r="P101" s="7"/>
      <c r="Q101" s="8">
        <f>bdrate(C101:C104,D101:D104,J101:J104,K101:K104)</f>
        <v>-0.26587097460738007</v>
      </c>
      <c r="R101" s="8">
        <f>bdrate(C101:C104,E101:E104,J101:J104,L101:L104)</f>
        <v>-0.49901038157501076</v>
      </c>
      <c r="S101" s="8">
        <f>bdrate(C101:C104,F101:F104,J101:J104,M101:M104)</f>
        <v>-0.44192353572060117</v>
      </c>
      <c r="T101" s="25">
        <f>bdrate(C101:C104,H101:H104,J101:J104,O101:O104)</f>
        <v>-0.30899768687357188</v>
      </c>
      <c r="U101" s="28">
        <f t="shared" si="8"/>
        <v>0.67042968749999998</v>
      </c>
    </row>
    <row r="102" spans="2:21" x14ac:dyDescent="0.25">
      <c r="B102" s="9"/>
      <c r="C102" s="17">
        <v>1407.27</v>
      </c>
      <c r="D102" s="18">
        <v>37.517000000000003</v>
      </c>
      <c r="E102" s="18">
        <v>42.936</v>
      </c>
      <c r="F102" s="18">
        <v>44.677</v>
      </c>
      <c r="G102" s="18">
        <v>2.82</v>
      </c>
      <c r="H102" s="18">
        <f t="shared" si="6"/>
        <v>39.089375000000004</v>
      </c>
      <c r="I102" s="5"/>
      <c r="J102" s="17">
        <v>1008.1327</v>
      </c>
      <c r="K102" s="18">
        <v>37.139699999999998</v>
      </c>
      <c r="L102" s="18">
        <v>43.645600000000002</v>
      </c>
      <c r="M102" s="18">
        <v>45.148800000000001</v>
      </c>
      <c r="N102" s="18">
        <v>5.3044000000000002</v>
      </c>
      <c r="O102" s="18">
        <f t="shared" si="7"/>
        <v>38.954074999999996</v>
      </c>
      <c r="P102" s="7"/>
      <c r="Q102" s="10"/>
      <c r="R102" s="11"/>
      <c r="S102" s="11"/>
      <c r="T102" s="26"/>
      <c r="U102" s="28">
        <f t="shared" si="8"/>
        <v>0.88099290780141859</v>
      </c>
    </row>
    <row r="103" spans="2:21" x14ac:dyDescent="0.25">
      <c r="B103" s="9"/>
      <c r="C103" s="17">
        <v>856.99</v>
      </c>
      <c r="D103" s="18">
        <v>35.414000000000001</v>
      </c>
      <c r="E103" s="18">
        <v>41.484000000000002</v>
      </c>
      <c r="F103" s="18">
        <v>43.143000000000001</v>
      </c>
      <c r="G103" s="18">
        <v>3.31</v>
      </c>
      <c r="H103" s="18">
        <f t="shared" si="6"/>
        <v>37.138874999999999</v>
      </c>
      <c r="I103" s="5"/>
      <c r="J103" s="17">
        <v>603.03689999999995</v>
      </c>
      <c r="K103" s="18">
        <v>35.320599999999999</v>
      </c>
      <c r="L103" s="18">
        <v>42.502499999999998</v>
      </c>
      <c r="M103" s="18">
        <v>43.890300000000003</v>
      </c>
      <c r="N103" s="18">
        <v>7.0399000000000003</v>
      </c>
      <c r="O103" s="18">
        <f t="shared" si="7"/>
        <v>37.289549999999998</v>
      </c>
      <c r="P103" s="7"/>
      <c r="Q103" s="10"/>
      <c r="R103" s="11"/>
      <c r="S103" s="11"/>
      <c r="T103" s="26"/>
      <c r="U103" s="28">
        <f t="shared" si="8"/>
        <v>1.1268580060422961</v>
      </c>
    </row>
    <row r="104" spans="2:21" ht="16.5" thickBot="1" x14ac:dyDescent="0.3">
      <c r="B104" s="12"/>
      <c r="C104" s="19">
        <v>405.34</v>
      </c>
      <c r="D104" s="20">
        <v>32.451000000000001</v>
      </c>
      <c r="E104" s="20">
        <v>39.512999999999998</v>
      </c>
      <c r="F104" s="20">
        <v>40.703000000000003</v>
      </c>
      <c r="G104" s="20">
        <v>4.8499999999999996</v>
      </c>
      <c r="H104" s="20">
        <f t="shared" si="6"/>
        <v>34.365250000000003</v>
      </c>
      <c r="I104" s="5"/>
      <c r="J104" s="19">
        <v>300.48649999999998</v>
      </c>
      <c r="K104" s="20">
        <v>33.031500000000001</v>
      </c>
      <c r="L104" s="20">
        <v>41.017200000000003</v>
      </c>
      <c r="M104" s="20">
        <v>42.216200000000001</v>
      </c>
      <c r="N104" s="20">
        <v>10.4857</v>
      </c>
      <c r="O104" s="20">
        <f t="shared" si="7"/>
        <v>35.177800000000005</v>
      </c>
      <c r="P104" s="7"/>
      <c r="Q104" s="13"/>
      <c r="R104" s="14"/>
      <c r="S104" s="14"/>
      <c r="T104" s="27"/>
      <c r="U104" s="28">
        <f t="shared" si="8"/>
        <v>1.1620000000000001</v>
      </c>
    </row>
    <row r="105" spans="2:21" x14ac:dyDescent="0.25">
      <c r="B105" s="6" t="s">
        <v>109</v>
      </c>
      <c r="C105" s="15">
        <v>2229.42</v>
      </c>
      <c r="D105" s="16">
        <v>51.084000000000003</v>
      </c>
      <c r="E105" s="16">
        <v>54.875999999999998</v>
      </c>
      <c r="F105" s="16">
        <v>56.128999999999998</v>
      </c>
      <c r="G105" s="16">
        <v>4.29</v>
      </c>
      <c r="H105" s="16">
        <f t="shared" si="6"/>
        <v>52.188625000000002</v>
      </c>
      <c r="I105" s="5"/>
      <c r="J105" s="15">
        <v>1491.7997</v>
      </c>
      <c r="K105" s="16">
        <v>50.652500000000003</v>
      </c>
      <c r="L105" s="16">
        <v>55.351900000000001</v>
      </c>
      <c r="M105" s="16">
        <v>56.7119</v>
      </c>
      <c r="N105" s="16">
        <v>5.3391000000000002</v>
      </c>
      <c r="O105" s="16">
        <f t="shared" si="7"/>
        <v>51.997350000000004</v>
      </c>
      <c r="P105" s="7"/>
      <c r="Q105" s="8">
        <f>bdrate(C105:C108,D105:D108,J105:J108,K105:K108)</f>
        <v>-0.40950252865417225</v>
      </c>
      <c r="R105" s="8">
        <f>bdrate(C105:C108,E105:E108,J105:J108,L105:L108)</f>
        <v>-0.55029245527665349</v>
      </c>
      <c r="S105" s="8">
        <f>bdrate(C105:C108,F105:F108,J105:J108,M105:M108)</f>
        <v>-0.55965479683488351</v>
      </c>
      <c r="T105" s="25">
        <f>bdrate(C105:C108,H105:H108,J105:J108,O105:O108)</f>
        <v>-0.44421827823838</v>
      </c>
      <c r="U105" s="28">
        <f t="shared" si="8"/>
        <v>0.24454545454545457</v>
      </c>
    </row>
    <row r="106" spans="2:21" x14ac:dyDescent="0.25">
      <c r="B106" s="9"/>
      <c r="C106" s="17">
        <v>1480.16</v>
      </c>
      <c r="D106" s="18">
        <v>48.956000000000003</v>
      </c>
      <c r="E106" s="18">
        <v>52.713999999999999</v>
      </c>
      <c r="F106" s="18">
        <v>54.143999999999998</v>
      </c>
      <c r="G106" s="18">
        <v>4.6900000000000004</v>
      </c>
      <c r="H106" s="18">
        <f t="shared" si="6"/>
        <v>50.074249999999999</v>
      </c>
      <c r="I106" s="5"/>
      <c r="J106" s="17">
        <v>997.84460000000001</v>
      </c>
      <c r="K106" s="18">
        <v>49.0154</v>
      </c>
      <c r="L106" s="18">
        <v>53.944400000000002</v>
      </c>
      <c r="M106" s="18">
        <v>55.403300000000002</v>
      </c>
      <c r="N106" s="18">
        <v>6.6272000000000002</v>
      </c>
      <c r="O106" s="18">
        <f t="shared" si="7"/>
        <v>50.430012499999997</v>
      </c>
      <c r="P106" s="7"/>
      <c r="Q106" s="10"/>
      <c r="R106" s="11"/>
      <c r="S106" s="11"/>
      <c r="T106" s="26"/>
      <c r="U106" s="28">
        <f t="shared" si="8"/>
        <v>0.41304904051172703</v>
      </c>
    </row>
    <row r="107" spans="2:21" x14ac:dyDescent="0.25">
      <c r="B107" s="9"/>
      <c r="C107" s="17">
        <v>889.1</v>
      </c>
      <c r="D107" s="18">
        <v>45.826000000000001</v>
      </c>
      <c r="E107" s="18">
        <v>49.845999999999997</v>
      </c>
      <c r="F107" s="18">
        <v>51.372</v>
      </c>
      <c r="G107" s="18">
        <v>5.5</v>
      </c>
      <c r="H107" s="18">
        <f t="shared" si="6"/>
        <v>47.021750000000004</v>
      </c>
      <c r="I107" s="5"/>
      <c r="J107" s="17">
        <v>601.25990000000002</v>
      </c>
      <c r="K107" s="18">
        <v>46.875500000000002</v>
      </c>
      <c r="L107" s="18">
        <v>52.209899999999998</v>
      </c>
      <c r="M107" s="18">
        <v>53.711399999999998</v>
      </c>
      <c r="N107" s="18">
        <v>8.9413</v>
      </c>
      <c r="O107" s="18">
        <f t="shared" si="7"/>
        <v>48.396787500000002</v>
      </c>
      <c r="P107" s="7"/>
      <c r="Q107" s="10"/>
      <c r="R107" s="11"/>
      <c r="S107" s="11"/>
      <c r="T107" s="26"/>
      <c r="U107" s="28">
        <f t="shared" si="8"/>
        <v>0.62569090909090908</v>
      </c>
    </row>
    <row r="108" spans="2:21" ht="16.5" thickBot="1" x14ac:dyDescent="0.3">
      <c r="B108" s="12"/>
      <c r="C108" s="19">
        <v>416.78</v>
      </c>
      <c r="D108" s="20">
        <v>41.904000000000003</v>
      </c>
      <c r="E108" s="20">
        <v>46.194000000000003</v>
      </c>
      <c r="F108" s="20">
        <v>47.773000000000003</v>
      </c>
      <c r="G108" s="20">
        <v>7.89</v>
      </c>
      <c r="H108" s="20">
        <f t="shared" si="6"/>
        <v>43.17387500000001</v>
      </c>
      <c r="I108" s="5"/>
      <c r="J108" s="19">
        <v>301.21679999999998</v>
      </c>
      <c r="K108" s="20">
        <v>43.742100000000001</v>
      </c>
      <c r="L108" s="20">
        <v>49.4681</v>
      </c>
      <c r="M108" s="20">
        <v>50.973599999999998</v>
      </c>
      <c r="N108" s="20">
        <v>13.847099999999999</v>
      </c>
      <c r="O108" s="20">
        <f t="shared" si="7"/>
        <v>45.361787499999998</v>
      </c>
      <c r="P108" s="7"/>
      <c r="Q108" s="13"/>
      <c r="R108" s="14"/>
      <c r="S108" s="14"/>
      <c r="T108" s="27"/>
      <c r="U108" s="28">
        <f t="shared" si="8"/>
        <v>0.75501901140684413</v>
      </c>
    </row>
    <row r="109" spans="2:21" x14ac:dyDescent="0.25">
      <c r="B109" s="6" t="s">
        <v>110</v>
      </c>
      <c r="C109" s="15">
        <v>2049.9499999999998</v>
      </c>
      <c r="D109" s="16">
        <v>34.015000000000001</v>
      </c>
      <c r="E109" s="16">
        <v>41.473999999999997</v>
      </c>
      <c r="F109" s="16">
        <v>40.817</v>
      </c>
      <c r="G109" s="16">
        <v>3.11</v>
      </c>
      <c r="H109" s="16">
        <f t="shared" si="6"/>
        <v>35.797624999999996</v>
      </c>
      <c r="I109" s="5"/>
      <c r="J109" s="15">
        <v>1495.3823</v>
      </c>
      <c r="K109" s="16">
        <v>33.614899999999999</v>
      </c>
      <c r="L109" s="16">
        <v>41.906199999999998</v>
      </c>
      <c r="M109" s="16">
        <v>41.347099999999998</v>
      </c>
      <c r="N109" s="16">
        <v>3.7317</v>
      </c>
      <c r="O109" s="16">
        <f t="shared" si="7"/>
        <v>35.6178375</v>
      </c>
      <c r="P109" s="7"/>
      <c r="Q109" s="8">
        <f>bdrate(C109:C112,D109:D112,J109:J112,K109:K112)</f>
        <v>-0.30327142729034751</v>
      </c>
      <c r="R109" s="8">
        <f>bdrate(C109:C112,E109:E112,J109:J112,L109:L112)</f>
        <v>-0.45232238838080829</v>
      </c>
      <c r="S109" s="8">
        <f>bdrate(C109:C112,F109:F112,J109:J112,M109:M112)</f>
        <v>-0.47852546537573981</v>
      </c>
      <c r="T109" s="25">
        <f>bdrate(C109:C112,H109:H112,J109:J112,O109:O112)</f>
        <v>-0.33078704069061071</v>
      </c>
      <c r="U109" s="28">
        <f t="shared" si="8"/>
        <v>0.19990353697749202</v>
      </c>
    </row>
    <row r="110" spans="2:21" x14ac:dyDescent="0.25">
      <c r="B110" s="9"/>
      <c r="C110" s="17">
        <v>1367.27</v>
      </c>
      <c r="D110" s="18">
        <v>32.131</v>
      </c>
      <c r="E110" s="18">
        <v>40.332000000000001</v>
      </c>
      <c r="F110" s="18">
        <v>39.621000000000002</v>
      </c>
      <c r="G110" s="18">
        <v>3.5</v>
      </c>
      <c r="H110" s="18">
        <f t="shared" si="6"/>
        <v>34.092374999999997</v>
      </c>
      <c r="I110" s="5"/>
      <c r="J110" s="17">
        <v>996.35519999999997</v>
      </c>
      <c r="K110" s="18">
        <v>31.936900000000001</v>
      </c>
      <c r="L110" s="18">
        <v>40.9786</v>
      </c>
      <c r="M110" s="18">
        <v>40.418700000000001</v>
      </c>
      <c r="N110" s="18">
        <v>4.5670999999999999</v>
      </c>
      <c r="O110" s="18">
        <f t="shared" si="7"/>
        <v>34.127337499999996</v>
      </c>
      <c r="P110" s="7"/>
      <c r="Q110" s="10"/>
      <c r="R110" s="11"/>
      <c r="S110" s="11"/>
      <c r="T110" s="26"/>
      <c r="U110" s="28">
        <f t="shared" si="8"/>
        <v>0.30488571428571426</v>
      </c>
    </row>
    <row r="111" spans="2:21" x14ac:dyDescent="0.25">
      <c r="B111" s="9"/>
      <c r="C111" s="17">
        <v>829.69</v>
      </c>
      <c r="D111" s="18">
        <v>29.518999999999998</v>
      </c>
      <c r="E111" s="18">
        <v>38.927999999999997</v>
      </c>
      <c r="F111" s="18">
        <v>38.149000000000001</v>
      </c>
      <c r="G111" s="18">
        <v>4.3</v>
      </c>
      <c r="H111" s="18">
        <f t="shared" si="6"/>
        <v>31.773874999999997</v>
      </c>
      <c r="I111" s="5"/>
      <c r="J111" s="17">
        <v>597.09230000000002</v>
      </c>
      <c r="K111" s="18">
        <v>29.74</v>
      </c>
      <c r="L111" s="18">
        <v>39.758899999999997</v>
      </c>
      <c r="M111" s="18">
        <v>39.151499999999999</v>
      </c>
      <c r="N111" s="18">
        <v>6.0392000000000001</v>
      </c>
      <c r="O111" s="18">
        <f t="shared" si="7"/>
        <v>32.168799999999997</v>
      </c>
      <c r="P111" s="7"/>
      <c r="Q111" s="10"/>
      <c r="R111" s="11"/>
      <c r="S111" s="11"/>
      <c r="T111" s="26"/>
      <c r="U111" s="28">
        <f t="shared" si="8"/>
        <v>0.40446511627906984</v>
      </c>
    </row>
    <row r="112" spans="2:21" ht="16.5" thickBot="1" x14ac:dyDescent="0.3">
      <c r="B112" s="12"/>
      <c r="C112" s="19">
        <v>391.47</v>
      </c>
      <c r="D112" s="20">
        <v>25.073</v>
      </c>
      <c r="E112" s="20">
        <v>36.648000000000003</v>
      </c>
      <c r="F112" s="20">
        <v>35.99</v>
      </c>
      <c r="G112" s="20">
        <v>5.99</v>
      </c>
      <c r="H112" s="20">
        <f t="shared" si="6"/>
        <v>27.884499999999999</v>
      </c>
      <c r="I112" s="5"/>
      <c r="J112" s="19">
        <v>298.68869999999998</v>
      </c>
      <c r="K112" s="20">
        <v>26.844100000000001</v>
      </c>
      <c r="L112" s="20">
        <v>37.709499999999998</v>
      </c>
      <c r="M112" s="20">
        <v>37.090800000000002</v>
      </c>
      <c r="N112" s="20">
        <v>9.1549999999999994</v>
      </c>
      <c r="O112" s="20">
        <f t="shared" si="7"/>
        <v>29.483112500000001</v>
      </c>
      <c r="P112" s="7"/>
      <c r="Q112" s="13"/>
      <c r="R112" s="14"/>
      <c r="S112" s="14"/>
      <c r="T112" s="27"/>
      <c r="U112" s="28">
        <f t="shared" si="8"/>
        <v>0.52838063439065097</v>
      </c>
    </row>
    <row r="113" spans="2:21" x14ac:dyDescent="0.25">
      <c r="B113" s="6" t="s">
        <v>111</v>
      </c>
      <c r="C113" s="15">
        <v>2340.2399999999998</v>
      </c>
      <c r="D113" s="16">
        <v>49.494</v>
      </c>
      <c r="E113" s="16">
        <v>49.683</v>
      </c>
      <c r="F113" s="16">
        <v>49.488999999999997</v>
      </c>
      <c r="G113" s="16">
        <v>5.44</v>
      </c>
      <c r="H113" s="16">
        <f t="shared" si="6"/>
        <v>49.516999999999996</v>
      </c>
      <c r="I113" s="5"/>
      <c r="J113" s="15">
        <v>1406.7319</v>
      </c>
      <c r="K113" s="16">
        <v>47.424300000000002</v>
      </c>
      <c r="L113" s="16">
        <v>48.649799999999999</v>
      </c>
      <c r="M113" s="16">
        <v>48.560499999999998</v>
      </c>
      <c r="N113" s="16">
        <v>5.7065999999999999</v>
      </c>
      <c r="O113" s="16">
        <f t="shared" si="7"/>
        <v>47.7195125</v>
      </c>
      <c r="P113" s="7"/>
      <c r="Q113" s="8">
        <f>bdrate(C113:C116,D113:D116,J113:J116,K113:K116)</f>
        <v>-0.20143051778345</v>
      </c>
      <c r="R113" s="8">
        <f>bdrate(C113:C116,E113:E116,J113:J116,L113:L116)</f>
        <v>-0.34371320813518236</v>
      </c>
      <c r="S113" s="8">
        <f>bdrate(C113:C116,F113:F116,J113:J116,M113:M116)</f>
        <v>-0.36217447701701733</v>
      </c>
      <c r="T113" s="25">
        <f>bdrate(C113:C116,H113:H116,J113:J116,O113:O116)</f>
        <v>-0.23806300802086711</v>
      </c>
      <c r="U113" s="28">
        <f t="shared" si="8"/>
        <v>4.9007352941176377E-2</v>
      </c>
    </row>
    <row r="114" spans="2:21" x14ac:dyDescent="0.25">
      <c r="B114" s="9"/>
      <c r="C114" s="17">
        <v>1545.03</v>
      </c>
      <c r="D114" s="18">
        <v>47.451000000000001</v>
      </c>
      <c r="E114" s="18">
        <v>47.780999999999999</v>
      </c>
      <c r="F114" s="18">
        <v>47.555</v>
      </c>
      <c r="G114" s="18">
        <v>5.87</v>
      </c>
      <c r="H114" s="18">
        <f t="shared" si="6"/>
        <v>47.505250000000004</v>
      </c>
      <c r="I114" s="5"/>
      <c r="J114" s="17">
        <v>949.64200000000005</v>
      </c>
      <c r="K114" s="18">
        <v>45.889800000000001</v>
      </c>
      <c r="L114" s="18">
        <v>47.252699999999997</v>
      </c>
      <c r="M114" s="18">
        <v>47.166699999999999</v>
      </c>
      <c r="N114" s="18">
        <v>6.9394999999999998</v>
      </c>
      <c r="O114" s="18">
        <f t="shared" si="7"/>
        <v>46.219774999999998</v>
      </c>
      <c r="P114" s="7"/>
      <c r="Q114" s="10"/>
      <c r="R114" s="11"/>
      <c r="S114" s="11"/>
      <c r="T114" s="26"/>
      <c r="U114" s="28">
        <f t="shared" si="8"/>
        <v>0.18219761499148204</v>
      </c>
    </row>
    <row r="115" spans="2:21" x14ac:dyDescent="0.25">
      <c r="B115" s="9"/>
      <c r="C115" s="17">
        <v>925.48</v>
      </c>
      <c r="D115" s="18">
        <v>44.607999999999997</v>
      </c>
      <c r="E115" s="18">
        <v>45.192</v>
      </c>
      <c r="F115" s="18">
        <v>44.9</v>
      </c>
      <c r="G115" s="18">
        <v>6.68</v>
      </c>
      <c r="H115" s="18">
        <f t="shared" si="6"/>
        <v>44.717499999999994</v>
      </c>
      <c r="I115" s="5"/>
      <c r="J115" s="17">
        <v>592.67110000000002</v>
      </c>
      <c r="K115" s="18">
        <v>43.287700000000001</v>
      </c>
      <c r="L115" s="18">
        <v>45.1753</v>
      </c>
      <c r="M115" s="18">
        <v>45.032800000000002</v>
      </c>
      <c r="N115" s="18">
        <v>8.9811999999999994</v>
      </c>
      <c r="O115" s="18">
        <f t="shared" si="7"/>
        <v>43.741787500000001</v>
      </c>
      <c r="P115" s="7"/>
      <c r="Q115" s="10"/>
      <c r="R115" s="11"/>
      <c r="S115" s="11"/>
      <c r="T115" s="26"/>
      <c r="U115" s="28">
        <f t="shared" si="8"/>
        <v>0.34449101796407183</v>
      </c>
    </row>
    <row r="116" spans="2:21" ht="16.5" thickBot="1" x14ac:dyDescent="0.3">
      <c r="B116" s="12"/>
      <c r="C116" s="19">
        <v>427.84</v>
      </c>
      <c r="D116" s="20">
        <v>39.24</v>
      </c>
      <c r="E116" s="20">
        <v>40.947000000000003</v>
      </c>
      <c r="F116" s="20">
        <v>40.58</v>
      </c>
      <c r="G116" s="20">
        <v>8.6999999999999993</v>
      </c>
      <c r="H116" s="20">
        <f t="shared" si="6"/>
        <v>39.620874999999998</v>
      </c>
      <c r="I116" s="5"/>
      <c r="J116" s="19">
        <v>301.85489999999999</v>
      </c>
      <c r="K116" s="20">
        <v>38.679299999999998</v>
      </c>
      <c r="L116" s="20">
        <v>41.566600000000001</v>
      </c>
      <c r="M116" s="20">
        <v>41.366700000000002</v>
      </c>
      <c r="N116" s="20">
        <v>12.932600000000001</v>
      </c>
      <c r="O116" s="20">
        <f t="shared" si="7"/>
        <v>39.376137499999999</v>
      </c>
      <c r="P116" s="7"/>
      <c r="Q116" s="13"/>
      <c r="R116" s="14"/>
      <c r="S116" s="14"/>
      <c r="T116" s="27"/>
      <c r="U116" s="28">
        <f t="shared" si="8"/>
        <v>0.48650574712643702</v>
      </c>
    </row>
    <row r="117" spans="2:21" x14ac:dyDescent="0.25">
      <c r="B117" s="6" t="s">
        <v>112</v>
      </c>
      <c r="C117" s="15">
        <v>2764.84</v>
      </c>
      <c r="D117" s="16">
        <v>51.796999999999997</v>
      </c>
      <c r="E117" s="16">
        <v>52.8</v>
      </c>
      <c r="F117" s="16">
        <v>53.061</v>
      </c>
      <c r="G117" s="16">
        <v>5.53</v>
      </c>
      <c r="H117" s="16">
        <f t="shared" si="6"/>
        <v>52.080374999999997</v>
      </c>
      <c r="I117" s="5"/>
      <c r="J117" s="15">
        <v>1415.3512000000001</v>
      </c>
      <c r="K117" s="16">
        <v>47.597299999999997</v>
      </c>
      <c r="L117" s="16">
        <v>50.241999999999997</v>
      </c>
      <c r="M117" s="16">
        <v>50.308</v>
      </c>
      <c r="N117" s="16">
        <v>7.4608999999999996</v>
      </c>
      <c r="O117" s="16">
        <f t="shared" si="7"/>
        <v>48.266725000000001</v>
      </c>
      <c r="P117" s="7"/>
      <c r="Q117" s="8">
        <f>bdrate(C117:C120,D117:D120,J117:J120,K117:K120)</f>
        <v>-0.27727657993859933</v>
      </c>
      <c r="R117" s="8">
        <f>bdrate(C117:C120,E117:E120,J117:J120,L117:L120)</f>
        <v>-0.39032830507002914</v>
      </c>
      <c r="S117" s="8">
        <f>bdrate(C117:C120,F117:F120,J117:J120,M117:M120)</f>
        <v>-0.3874209014748814</v>
      </c>
      <c r="T117" s="25">
        <f>bdrate(C117:C120,H117:H120,J117:J120,O117:O120)</f>
        <v>-0.30365687145146059</v>
      </c>
      <c r="U117" s="28">
        <f t="shared" si="8"/>
        <v>0.34916817359855323</v>
      </c>
    </row>
    <row r="118" spans="2:21" x14ac:dyDescent="0.25">
      <c r="B118" s="9"/>
      <c r="C118" s="17">
        <v>1827.95</v>
      </c>
      <c r="D118" s="18">
        <v>48.256999999999998</v>
      </c>
      <c r="E118" s="18">
        <v>49.637999999999998</v>
      </c>
      <c r="F118" s="18">
        <v>49.902000000000001</v>
      </c>
      <c r="G118" s="18">
        <v>5.73</v>
      </c>
      <c r="H118" s="18">
        <f t="shared" si="6"/>
        <v>48.635249999999992</v>
      </c>
      <c r="I118" s="5"/>
      <c r="J118" s="17">
        <v>978.75279999999998</v>
      </c>
      <c r="K118" s="18">
        <v>46.340800000000002</v>
      </c>
      <c r="L118" s="18">
        <v>49.228299999999997</v>
      </c>
      <c r="M118" s="18">
        <v>49.307000000000002</v>
      </c>
      <c r="N118" s="18">
        <v>9.0632000000000001</v>
      </c>
      <c r="O118" s="18">
        <f t="shared" si="7"/>
        <v>47.072512500000002</v>
      </c>
      <c r="P118" s="7"/>
      <c r="Q118" s="10"/>
      <c r="R118" s="11"/>
      <c r="S118" s="11"/>
      <c r="T118" s="26"/>
      <c r="U118" s="28">
        <f t="shared" si="8"/>
        <v>0.58171029668411856</v>
      </c>
    </row>
    <row r="119" spans="2:21" x14ac:dyDescent="0.25">
      <c r="B119" s="9"/>
      <c r="C119" s="17">
        <v>1086.1300000000001</v>
      </c>
      <c r="D119" s="18">
        <v>44.64</v>
      </c>
      <c r="E119" s="18">
        <v>46.613</v>
      </c>
      <c r="F119" s="18">
        <v>46.85</v>
      </c>
      <c r="G119" s="18">
        <v>6.3</v>
      </c>
      <c r="H119" s="18">
        <f t="shared" si="6"/>
        <v>45.162875000000007</v>
      </c>
      <c r="I119" s="5"/>
      <c r="J119" s="17">
        <v>638.64589999999998</v>
      </c>
      <c r="K119" s="18">
        <v>43.264099999999999</v>
      </c>
      <c r="L119" s="18">
        <v>46.32</v>
      </c>
      <c r="M119" s="18">
        <v>46.593499999999999</v>
      </c>
      <c r="N119" s="18">
        <v>11.0266</v>
      </c>
      <c r="O119" s="18">
        <f t="shared" si="7"/>
        <v>44.062262500000003</v>
      </c>
      <c r="P119" s="7"/>
      <c r="Q119" s="10"/>
      <c r="R119" s="11"/>
      <c r="S119" s="11"/>
      <c r="T119" s="26"/>
      <c r="U119" s="28">
        <f t="shared" si="8"/>
        <v>0.75025396825396828</v>
      </c>
    </row>
    <row r="120" spans="2:21" ht="16.5" thickBot="1" x14ac:dyDescent="0.3">
      <c r="B120" s="12"/>
      <c r="C120" s="19">
        <v>499.74</v>
      </c>
      <c r="D120" s="20">
        <v>39.415999999999997</v>
      </c>
      <c r="E120" s="20">
        <v>41.968000000000004</v>
      </c>
      <c r="F120" s="20">
        <v>42.232999999999997</v>
      </c>
      <c r="G120" s="20">
        <v>7.82</v>
      </c>
      <c r="H120" s="20">
        <f t="shared" si="6"/>
        <v>40.087125</v>
      </c>
      <c r="I120" s="5"/>
      <c r="J120" s="19">
        <v>355.84809999999999</v>
      </c>
      <c r="K120" s="20">
        <v>39.1282</v>
      </c>
      <c r="L120" s="20">
        <v>42.715800000000002</v>
      </c>
      <c r="M120" s="20">
        <v>43.0075</v>
      </c>
      <c r="N120" s="20">
        <v>16.697700000000001</v>
      </c>
      <c r="O120" s="20">
        <f t="shared" si="7"/>
        <v>40.061562500000001</v>
      </c>
      <c r="P120" s="7"/>
      <c r="Q120" s="13"/>
      <c r="R120" s="14"/>
      <c r="S120" s="14"/>
      <c r="T120" s="27"/>
      <c r="U120" s="28">
        <f t="shared" si="8"/>
        <v>1.1352557544757034</v>
      </c>
    </row>
    <row r="121" spans="2:21" x14ac:dyDescent="0.25">
      <c r="B121" s="6" t="s">
        <v>113</v>
      </c>
      <c r="C121" s="29">
        <v>2128.41</v>
      </c>
      <c r="D121" s="30">
        <v>35.081000000000003</v>
      </c>
      <c r="E121" s="30">
        <v>37.988</v>
      </c>
      <c r="F121" s="30">
        <v>36.933999999999997</v>
      </c>
      <c r="G121" s="16">
        <v>3.58</v>
      </c>
      <c r="H121" s="16">
        <f t="shared" si="6"/>
        <v>35.676000000000002</v>
      </c>
      <c r="I121" s="5"/>
      <c r="J121" s="29">
        <v>1510.8924999999999</v>
      </c>
      <c r="K121" s="30">
        <v>33.819699999999997</v>
      </c>
      <c r="L121" s="30">
        <v>38.052500000000002</v>
      </c>
      <c r="M121" s="30">
        <v>36.892600000000002</v>
      </c>
      <c r="N121" s="16">
        <v>4.6623000000000001</v>
      </c>
      <c r="O121" s="16">
        <f t="shared" si="7"/>
        <v>34.732912499999998</v>
      </c>
      <c r="P121" s="7"/>
      <c r="Q121" s="8">
        <f>bdrate(C121:C124,D121:D124,J121:J124,K121:K124)</f>
        <v>-0.20444507601129236</v>
      </c>
      <c r="R121" s="8">
        <f>bdrate(C121:C124,E121:E124,J121:J124,L121:L124)</f>
        <v>-0.38789543299285745</v>
      </c>
      <c r="S121" s="8">
        <f>bdrate(C121:C124,F121:F124,J121:J124,M121:M124)</f>
        <v>-0.3635230200747841</v>
      </c>
      <c r="T121" s="25">
        <f>bdrate(C121:C124,H121:H124,J121:J124,O121:O124)</f>
        <v>-0.23390208425232439</v>
      </c>
      <c r="U121" s="28">
        <f t="shared" si="8"/>
        <v>0.30231843575418993</v>
      </c>
    </row>
    <row r="122" spans="2:21" x14ac:dyDescent="0.25">
      <c r="B122" s="9"/>
      <c r="C122" s="31">
        <v>1414.09</v>
      </c>
      <c r="D122" s="32">
        <v>32.915999999999997</v>
      </c>
      <c r="E122" s="32">
        <v>36.658000000000001</v>
      </c>
      <c r="F122" s="32">
        <v>35.533999999999999</v>
      </c>
      <c r="G122" s="18">
        <v>4.0199999999999996</v>
      </c>
      <c r="H122" s="18">
        <f t="shared" si="6"/>
        <v>33.710999999999999</v>
      </c>
      <c r="I122" s="5"/>
      <c r="J122" s="31">
        <v>1010.2969000000001</v>
      </c>
      <c r="K122" s="32">
        <v>31.912299999999998</v>
      </c>
      <c r="L122" s="32">
        <v>36.9739</v>
      </c>
      <c r="M122" s="32">
        <v>35.758499999999998</v>
      </c>
      <c r="N122" s="18">
        <v>5.5972999999999997</v>
      </c>
      <c r="O122" s="18">
        <f t="shared" si="7"/>
        <v>33.025774999999996</v>
      </c>
      <c r="P122" s="7"/>
      <c r="Q122" s="10"/>
      <c r="R122" s="11"/>
      <c r="S122" s="11"/>
      <c r="T122" s="26"/>
      <c r="U122" s="28">
        <f t="shared" si="8"/>
        <v>0.39236318407960208</v>
      </c>
    </row>
    <row r="123" spans="2:21" x14ac:dyDescent="0.25">
      <c r="B123" s="9"/>
      <c r="C123" s="31">
        <v>850.96</v>
      </c>
      <c r="D123" s="32">
        <v>30.146999999999998</v>
      </c>
      <c r="E123" s="32">
        <v>35.182000000000002</v>
      </c>
      <c r="F123" s="32">
        <v>33.988</v>
      </c>
      <c r="G123" s="18">
        <v>4.76</v>
      </c>
      <c r="H123" s="18">
        <f t="shared" si="6"/>
        <v>31.256500000000003</v>
      </c>
      <c r="I123" s="5"/>
      <c r="J123" s="31">
        <v>606.30809999999997</v>
      </c>
      <c r="K123" s="32">
        <v>29.618300000000001</v>
      </c>
      <c r="L123" s="32">
        <v>35.691099999999999</v>
      </c>
      <c r="M123" s="32">
        <v>34.405299999999997</v>
      </c>
      <c r="N123" s="18">
        <v>7.2439999999999998</v>
      </c>
      <c r="O123" s="18">
        <f t="shared" si="7"/>
        <v>30.975774999999999</v>
      </c>
      <c r="P123" s="7"/>
      <c r="Q123" s="10"/>
      <c r="R123" s="11"/>
      <c r="S123" s="11"/>
      <c r="T123" s="26"/>
      <c r="U123" s="28">
        <f t="shared" si="8"/>
        <v>0.52184873949579835</v>
      </c>
    </row>
    <row r="124" spans="2:21" ht="16.5" thickBot="1" x14ac:dyDescent="0.3">
      <c r="B124" s="12"/>
      <c r="C124" s="33">
        <v>395.29</v>
      </c>
      <c r="D124" s="34">
        <v>25.971</v>
      </c>
      <c r="E124" s="34">
        <v>33.334000000000003</v>
      </c>
      <c r="F124" s="34">
        <v>31.94</v>
      </c>
      <c r="G124" s="20">
        <v>6.64</v>
      </c>
      <c r="H124" s="20">
        <f t="shared" si="6"/>
        <v>27.637499999999999</v>
      </c>
      <c r="I124" s="5"/>
      <c r="J124" s="33">
        <v>304.53050000000002</v>
      </c>
      <c r="K124" s="34">
        <v>27.017800000000001</v>
      </c>
      <c r="L124" s="34">
        <v>34.025300000000001</v>
      </c>
      <c r="M124" s="34">
        <v>32.612499999999997</v>
      </c>
      <c r="N124" s="20">
        <v>10.4818</v>
      </c>
      <c r="O124" s="20">
        <f t="shared" si="7"/>
        <v>28.593075000000006</v>
      </c>
      <c r="P124" s="7"/>
      <c r="Q124" s="13"/>
      <c r="R124" s="14"/>
      <c r="S124" s="14"/>
      <c r="T124" s="27"/>
      <c r="U124" s="28">
        <f t="shared" si="8"/>
        <v>0.57858433734939763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-0.31163262826750349</v>
      </c>
      <c r="R125" s="21">
        <f>AVERAGE(R9:R124)</f>
        <v>-0.52964403576249219</v>
      </c>
      <c r="S125" s="21">
        <f>AVERAGE(S9:S124)</f>
        <v>-0.53093284994494128</v>
      </c>
      <c r="T125" s="21">
        <f>AVERAGE(T9:T124)</f>
        <v>-0.35637912646179809</v>
      </c>
      <c r="U125" s="21">
        <f>AVERAGE(U9:U124)</f>
        <v>0.84688321908879172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763" priority="337" operator="greaterThan">
      <formula>0.03</formula>
    </cfRule>
    <cfRule type="cellIs" dxfId="762" priority="338" stopIfTrue="1" operator="lessThan">
      <formula>-0.03</formula>
    </cfRule>
  </conditionalFormatting>
  <conditionalFormatting sqref="Q33:T36">
    <cfRule type="cellIs" dxfId="761" priority="335" operator="greaterThan">
      <formula>0.03</formula>
    </cfRule>
    <cfRule type="cellIs" dxfId="760" priority="336" stopIfTrue="1" operator="lessThan">
      <formula>-0.03</formula>
    </cfRule>
  </conditionalFormatting>
  <conditionalFormatting sqref="Q45:T48 Q61:T64">
    <cfRule type="cellIs" dxfId="759" priority="333" operator="greaterThan">
      <formula>0.03</formula>
    </cfRule>
    <cfRule type="cellIs" dxfId="758" priority="334" stopIfTrue="1" operator="lessThan">
      <formula>-0.03</formula>
    </cfRule>
  </conditionalFormatting>
  <conditionalFormatting sqref="Q49:T60">
    <cfRule type="cellIs" dxfId="757" priority="331" operator="greaterThan">
      <formula>0.03</formula>
    </cfRule>
    <cfRule type="cellIs" dxfId="756" priority="332" stopIfTrue="1" operator="lessThan">
      <formula>-0.03</formula>
    </cfRule>
  </conditionalFormatting>
  <conditionalFormatting sqref="Q69:T76">
    <cfRule type="cellIs" dxfId="755" priority="329" operator="greaterThan">
      <formula>0.03</formula>
    </cfRule>
    <cfRule type="cellIs" dxfId="754" priority="330" stopIfTrue="1" operator="lessThan">
      <formula>-0.03</formula>
    </cfRule>
  </conditionalFormatting>
  <conditionalFormatting sqref="Q65:T68">
    <cfRule type="cellIs" dxfId="753" priority="327" operator="greaterThan">
      <formula>0.03</formula>
    </cfRule>
    <cfRule type="cellIs" dxfId="752" priority="328" stopIfTrue="1" operator="lessThan">
      <formula>-0.03</formula>
    </cfRule>
  </conditionalFormatting>
  <conditionalFormatting sqref="Q77:T80">
    <cfRule type="cellIs" dxfId="751" priority="325" operator="greaterThan">
      <formula>0.03</formula>
    </cfRule>
    <cfRule type="cellIs" dxfId="750" priority="326" stopIfTrue="1" operator="lessThan">
      <formula>-0.03</formula>
    </cfRule>
  </conditionalFormatting>
  <conditionalFormatting sqref="Q21:T28">
    <cfRule type="cellIs" dxfId="749" priority="323" operator="greaterThan">
      <formula>0.03</formula>
    </cfRule>
    <cfRule type="cellIs" dxfId="748" priority="324" stopIfTrue="1" operator="lessThan">
      <formula>-0.03</formula>
    </cfRule>
  </conditionalFormatting>
  <conditionalFormatting sqref="Q117:T117">
    <cfRule type="cellIs" dxfId="747" priority="33" operator="greaterThan">
      <formula>0.03</formula>
    </cfRule>
    <cfRule type="cellIs" dxfId="746" priority="34" stopIfTrue="1" operator="lessThan">
      <formula>-0.03</formula>
    </cfRule>
  </conditionalFormatting>
  <conditionalFormatting sqref="Q93:T96 Q101:T108 Q81:T84">
    <cfRule type="cellIs" dxfId="745" priority="47" operator="greaterThan">
      <formula>0.03</formula>
    </cfRule>
    <cfRule type="cellIs" dxfId="744" priority="48" stopIfTrue="1" operator="lessThan">
      <formula>-0.03</formula>
    </cfRule>
  </conditionalFormatting>
  <conditionalFormatting sqref="Q97:T100">
    <cfRule type="cellIs" dxfId="743" priority="45" operator="greaterThan">
      <formula>0.03</formula>
    </cfRule>
    <cfRule type="cellIs" dxfId="742" priority="46" stopIfTrue="1" operator="lessThan">
      <formula>-0.03</formula>
    </cfRule>
  </conditionalFormatting>
  <conditionalFormatting sqref="Q110:T112 Q122:T124">
    <cfRule type="cellIs" dxfId="741" priority="43" operator="greaterThan">
      <formula>0.03</formula>
    </cfRule>
    <cfRule type="cellIs" dxfId="740" priority="44" stopIfTrue="1" operator="lessThan">
      <formula>-0.03</formula>
    </cfRule>
  </conditionalFormatting>
  <conditionalFormatting sqref="Q114:T116 Q118:T120">
    <cfRule type="cellIs" dxfId="739" priority="41" operator="greaterThan">
      <formula>0.03</formula>
    </cfRule>
    <cfRule type="cellIs" dxfId="738" priority="42" stopIfTrue="1" operator="lessThan">
      <formula>-0.03</formula>
    </cfRule>
  </conditionalFormatting>
  <conditionalFormatting sqref="Q85:T92">
    <cfRule type="cellIs" dxfId="737" priority="39" operator="greaterThan">
      <formula>0.03</formula>
    </cfRule>
    <cfRule type="cellIs" dxfId="736" priority="40" stopIfTrue="1" operator="lessThan">
      <formula>-0.03</formula>
    </cfRule>
  </conditionalFormatting>
  <conditionalFormatting sqref="Q109:T109">
    <cfRule type="cellIs" dxfId="735" priority="37" operator="greaterThan">
      <formula>0.03</formula>
    </cfRule>
    <cfRule type="cellIs" dxfId="734" priority="38" stopIfTrue="1" operator="lessThan">
      <formula>-0.03</formula>
    </cfRule>
  </conditionalFormatting>
  <conditionalFormatting sqref="Q113:T113">
    <cfRule type="cellIs" dxfId="733" priority="35" operator="greaterThan">
      <formula>0.03</formula>
    </cfRule>
    <cfRule type="cellIs" dxfId="732" priority="36" stopIfTrue="1" operator="lessThan">
      <formula>-0.03</formula>
    </cfRule>
  </conditionalFormatting>
  <conditionalFormatting sqref="Q121:T121">
    <cfRule type="cellIs" dxfId="731" priority="31" operator="greaterThan">
      <formula>0.03</formula>
    </cfRule>
    <cfRule type="cellIs" dxfId="730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158</v>
      </c>
    </row>
    <row r="2" spans="1:21" x14ac:dyDescent="0.25">
      <c r="A2" t="s">
        <v>86</v>
      </c>
    </row>
    <row r="3" spans="1:21" x14ac:dyDescent="0.25">
      <c r="A3" t="s">
        <v>151</v>
      </c>
    </row>
    <row r="4" spans="1:21" x14ac:dyDescent="0.25">
      <c r="A4" t="s">
        <v>85</v>
      </c>
    </row>
    <row r="5" spans="1:21" s="35" customFormat="1" ht="15.75" customHeight="1" x14ac:dyDescent="0.25">
      <c r="B5" s="58" t="s">
        <v>29</v>
      </c>
      <c r="C5" s="60" t="s">
        <v>190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2"/>
    </row>
    <row r="6" spans="1:21" s="35" customFormat="1" x14ac:dyDescent="0.25">
      <c r="B6" s="59"/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5"/>
    </row>
    <row r="7" spans="1:21" ht="16.5" customHeight="1" thickBot="1" x14ac:dyDescent="0.3">
      <c r="C7" s="66" t="s">
        <v>66</v>
      </c>
      <c r="D7" s="67"/>
      <c r="E7" s="67"/>
      <c r="F7" s="67"/>
      <c r="G7" s="67"/>
      <c r="H7" s="67"/>
      <c r="I7" s="5"/>
      <c r="J7" s="66" t="s">
        <v>154</v>
      </c>
      <c r="K7" s="67"/>
      <c r="L7" s="67"/>
      <c r="M7" s="67"/>
      <c r="N7" s="67"/>
      <c r="O7" s="67"/>
      <c r="Q7" s="66" t="s">
        <v>7</v>
      </c>
      <c r="R7" s="67"/>
      <c r="S7" s="68"/>
      <c r="T7" s="36"/>
      <c r="U7" s="6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9"/>
    </row>
    <row r="9" spans="1:21" x14ac:dyDescent="0.25">
      <c r="A9" s="6" t="s">
        <v>35</v>
      </c>
      <c r="B9" s="6" t="s">
        <v>46</v>
      </c>
      <c r="C9" s="15">
        <v>3857.66</v>
      </c>
      <c r="D9" s="16">
        <v>36.154000000000003</v>
      </c>
      <c r="E9" s="16">
        <v>38.130000000000003</v>
      </c>
      <c r="F9" s="16">
        <v>40.404000000000003</v>
      </c>
      <c r="G9" s="16">
        <v>8.99</v>
      </c>
      <c r="H9" s="16">
        <f t="shared" ref="H9:H80" si="0">(6*D9+E9+F9)/8</f>
        <v>36.932250000000003</v>
      </c>
      <c r="I9" s="5"/>
      <c r="J9" s="15">
        <v>4029.4960000000001</v>
      </c>
      <c r="K9" s="16">
        <v>37.590299999999999</v>
      </c>
      <c r="L9" s="16">
        <v>39.3748</v>
      </c>
      <c r="M9" s="16">
        <v>41.844299999999997</v>
      </c>
      <c r="N9" s="16">
        <v>22.57</v>
      </c>
      <c r="O9" s="16">
        <f t="shared" ref="O9:O80" si="1">(6*K9+L9+M9)/8</f>
        <v>38.345112499999999</v>
      </c>
      <c r="P9" s="7"/>
      <c r="Q9" s="8">
        <f>bdrate(C9:C12,D9:D12,J9:J12,K9:K12)</f>
        <v>-0.22625814636878461</v>
      </c>
      <c r="R9" s="8">
        <f>bdrate(C9:C12,E9:E12,J9:J12,L9:L12)</f>
        <v>-0.471034717443372</v>
      </c>
      <c r="S9" s="8">
        <f>bdrate(C9:C12,F9:F12,J9:J12,M9:M12)</f>
        <v>-0.44667841063129321</v>
      </c>
      <c r="T9" s="25">
        <f>bdrate(C9:C12,H9:H12,J9:J12,O9:O12)</f>
        <v>-0.25837012008544491</v>
      </c>
      <c r="U9" s="28">
        <f t="shared" ref="U9:U72" si="2">(N9-G9)/G9</f>
        <v>1.510567296996663</v>
      </c>
    </row>
    <row r="10" spans="1:21" x14ac:dyDescent="0.25">
      <c r="A10" s="9" t="s">
        <v>36</v>
      </c>
      <c r="B10" s="9"/>
      <c r="C10" s="17">
        <v>2859.39</v>
      </c>
      <c r="D10" s="18">
        <v>35.261000000000003</v>
      </c>
      <c r="E10" s="18">
        <v>37.652999999999999</v>
      </c>
      <c r="F10" s="18">
        <v>39.957999999999998</v>
      </c>
      <c r="G10" s="18">
        <v>11.41</v>
      </c>
      <c r="H10" s="18">
        <f t="shared" si="0"/>
        <v>36.147125000000003</v>
      </c>
      <c r="I10" s="5"/>
      <c r="J10" s="17">
        <v>2920.2991999999999</v>
      </c>
      <c r="K10" s="18">
        <v>36.589599999999997</v>
      </c>
      <c r="L10" s="18">
        <v>38.804299999999998</v>
      </c>
      <c r="M10" s="18">
        <v>41.152200000000001</v>
      </c>
      <c r="N10" s="18">
        <v>25.848700000000001</v>
      </c>
      <c r="O10" s="18">
        <f t="shared" si="1"/>
        <v>37.4367625</v>
      </c>
      <c r="P10" s="7"/>
      <c r="Q10" s="10"/>
      <c r="R10" s="11"/>
      <c r="S10" s="11"/>
      <c r="T10" s="26"/>
      <c r="U10" s="28">
        <f t="shared" si="2"/>
        <v>1.2654425942156005</v>
      </c>
    </row>
    <row r="11" spans="1:21" x14ac:dyDescent="0.25">
      <c r="B11" s="9"/>
      <c r="C11" s="17">
        <v>1882.88</v>
      </c>
      <c r="D11" s="18">
        <v>34.024000000000001</v>
      </c>
      <c r="E11" s="18">
        <v>37.143000000000001</v>
      </c>
      <c r="F11" s="18">
        <v>39.444000000000003</v>
      </c>
      <c r="G11" s="18">
        <v>13.68</v>
      </c>
      <c r="H11" s="18">
        <f t="shared" si="0"/>
        <v>35.091374999999999</v>
      </c>
      <c r="I11" s="5"/>
      <c r="J11" s="17">
        <v>1933.7103999999999</v>
      </c>
      <c r="K11" s="18">
        <v>35.058599999999998</v>
      </c>
      <c r="L11" s="18">
        <v>38.155999999999999</v>
      </c>
      <c r="M11" s="18">
        <v>40.447400000000002</v>
      </c>
      <c r="N11" s="18">
        <v>30.048100000000002</v>
      </c>
      <c r="O11" s="18">
        <f t="shared" si="1"/>
        <v>36.119374999999998</v>
      </c>
      <c r="P11" s="7"/>
      <c r="Q11" s="10"/>
      <c r="R11" s="11"/>
      <c r="S11" s="11"/>
      <c r="T11" s="26"/>
      <c r="U11" s="28">
        <f t="shared" si="2"/>
        <v>1.1964985380116961</v>
      </c>
    </row>
    <row r="12" spans="1:21" ht="16.5" thickBot="1" x14ac:dyDescent="0.3">
      <c r="B12" s="12"/>
      <c r="C12" s="19">
        <v>886.87</v>
      </c>
      <c r="D12" s="20">
        <v>31.638000000000002</v>
      </c>
      <c r="E12" s="20">
        <v>36.494</v>
      </c>
      <c r="F12" s="20">
        <v>38.743000000000002</v>
      </c>
      <c r="G12" s="20">
        <v>15.24</v>
      </c>
      <c r="H12" s="20">
        <f t="shared" si="0"/>
        <v>33.133125</v>
      </c>
      <c r="I12" s="5"/>
      <c r="J12" s="19">
        <v>919.44320000000005</v>
      </c>
      <c r="K12" s="20">
        <v>32.147399999999998</v>
      </c>
      <c r="L12" s="20">
        <v>36.871200000000002</v>
      </c>
      <c r="M12" s="20">
        <v>39.082299999999996</v>
      </c>
      <c r="N12" s="20">
        <v>39.082900000000002</v>
      </c>
      <c r="O12" s="20">
        <f t="shared" si="1"/>
        <v>33.604737499999992</v>
      </c>
      <c r="P12" s="7"/>
      <c r="Q12" s="13"/>
      <c r="R12" s="14"/>
      <c r="S12" s="14"/>
      <c r="T12" s="27"/>
      <c r="U12" s="28">
        <f t="shared" si="2"/>
        <v>1.5644947506561679</v>
      </c>
    </row>
    <row r="13" spans="1:21" x14ac:dyDescent="0.25">
      <c r="B13" s="6" t="s">
        <v>47</v>
      </c>
      <c r="C13" s="15">
        <v>4091.06</v>
      </c>
      <c r="D13" s="16">
        <v>28.952000000000002</v>
      </c>
      <c r="E13" s="16">
        <v>38.279000000000003</v>
      </c>
      <c r="F13" s="16">
        <v>39.305</v>
      </c>
      <c r="G13" s="16">
        <v>7.35</v>
      </c>
      <c r="H13" s="16">
        <f t="shared" si="0"/>
        <v>31.412000000000003</v>
      </c>
      <c r="I13" s="5"/>
      <c r="J13" s="15">
        <v>4059.6352000000002</v>
      </c>
      <c r="K13" s="16">
        <v>29.1127</v>
      </c>
      <c r="L13" s="16">
        <v>39.244700000000002</v>
      </c>
      <c r="M13" s="16">
        <v>40.198399999999999</v>
      </c>
      <c r="N13" s="16">
        <v>16.607600000000001</v>
      </c>
      <c r="O13" s="16">
        <f t="shared" si="1"/>
        <v>31.764912499999998</v>
      </c>
      <c r="P13" s="7"/>
      <c r="Q13" s="8">
        <f>bdrate(C13:C16,D13:D16,J13:J16,K13:K16)</f>
        <v>4.8897395692963919E-3</v>
      </c>
      <c r="R13" s="8">
        <f>bdrate(C13:C16,E13:E16,J13:J16,L13:L16)</f>
        <v>-0.41338211687016979</v>
      </c>
      <c r="S13" s="8">
        <f>bdrate(C13:C16,F13:F16,J13:J16,M13:M16)</f>
        <v>-0.44395323321335223</v>
      </c>
      <c r="T13" s="25">
        <f>bdrate(C13:C16,H13:H16,J13:J16,O13:O16)</f>
        <v>-7.0876569948175705E-2</v>
      </c>
      <c r="U13" s="28">
        <f t="shared" si="2"/>
        <v>1.2595374149659868</v>
      </c>
    </row>
    <row r="14" spans="1:21" x14ac:dyDescent="0.25">
      <c r="B14" s="9"/>
      <c r="C14" s="17">
        <v>3041.3</v>
      </c>
      <c r="D14" s="18">
        <v>27.774000000000001</v>
      </c>
      <c r="E14" s="18">
        <v>37.781999999999996</v>
      </c>
      <c r="F14" s="18">
        <v>38.831000000000003</v>
      </c>
      <c r="G14" s="18">
        <v>8.58</v>
      </c>
      <c r="H14" s="18">
        <f t="shared" si="0"/>
        <v>30.407125000000001</v>
      </c>
      <c r="I14" s="5"/>
      <c r="J14" s="17">
        <v>3034.3152</v>
      </c>
      <c r="K14" s="18">
        <v>27.769600000000001</v>
      </c>
      <c r="L14" s="18">
        <v>38.767699999999998</v>
      </c>
      <c r="M14" s="18">
        <v>39.786900000000003</v>
      </c>
      <c r="N14" s="18">
        <v>19.7837</v>
      </c>
      <c r="O14" s="18">
        <f t="shared" si="1"/>
        <v>30.646525</v>
      </c>
      <c r="P14" s="7"/>
      <c r="Q14" s="10"/>
      <c r="R14" s="11"/>
      <c r="S14" s="11"/>
      <c r="T14" s="26"/>
      <c r="U14" s="28">
        <f t="shared" si="2"/>
        <v>1.3057925407925408</v>
      </c>
    </row>
    <row r="15" spans="1:21" x14ac:dyDescent="0.25">
      <c r="B15" s="9"/>
      <c r="C15" s="17">
        <v>2013.28</v>
      </c>
      <c r="D15" s="18">
        <v>26.129000000000001</v>
      </c>
      <c r="E15" s="18">
        <v>36.71</v>
      </c>
      <c r="F15" s="18">
        <v>37.887999999999998</v>
      </c>
      <c r="G15" s="18">
        <v>9.91</v>
      </c>
      <c r="H15" s="18">
        <f t="shared" si="0"/>
        <v>28.921500000000002</v>
      </c>
      <c r="I15" s="5"/>
      <c r="J15" s="17">
        <v>2017.9903999999999</v>
      </c>
      <c r="K15" s="18">
        <v>25.97</v>
      </c>
      <c r="L15" s="18">
        <v>38.030799999999999</v>
      </c>
      <c r="M15" s="18">
        <v>39.1828</v>
      </c>
      <c r="N15" s="18">
        <v>25.303599999999999</v>
      </c>
      <c r="O15" s="18">
        <f t="shared" si="1"/>
        <v>29.129199999999997</v>
      </c>
      <c r="P15" s="7"/>
      <c r="Q15" s="10"/>
      <c r="R15" s="11"/>
      <c r="S15" s="11"/>
      <c r="T15" s="26"/>
      <c r="U15" s="28">
        <f t="shared" si="2"/>
        <v>1.5533400605449041</v>
      </c>
    </row>
    <row r="16" spans="1:21" ht="16.5" thickBot="1" x14ac:dyDescent="0.3">
      <c r="B16" s="12"/>
      <c r="C16" s="19">
        <v>1023.1</v>
      </c>
      <c r="D16" s="20">
        <v>23.209</v>
      </c>
      <c r="E16" s="20">
        <v>35.368000000000002</v>
      </c>
      <c r="F16" s="20">
        <v>36.598999999999997</v>
      </c>
      <c r="G16" s="20">
        <v>12.87</v>
      </c>
      <c r="H16" s="20">
        <f t="shared" si="0"/>
        <v>26.402624999999997</v>
      </c>
      <c r="I16" s="5"/>
      <c r="J16" s="19">
        <v>1125.5488</v>
      </c>
      <c r="K16" s="20">
        <v>23.934999999999999</v>
      </c>
      <c r="L16" s="20">
        <v>36.505000000000003</v>
      </c>
      <c r="M16" s="20">
        <v>37.7532</v>
      </c>
      <c r="N16" s="20">
        <v>32.161200000000001</v>
      </c>
      <c r="O16" s="20">
        <f t="shared" si="1"/>
        <v>27.233524999999997</v>
      </c>
      <c r="P16" s="7"/>
      <c r="Q16" s="13"/>
      <c r="R16" s="14"/>
      <c r="S16" s="14"/>
      <c r="T16" s="27"/>
      <c r="U16" s="28">
        <f t="shared" si="2"/>
        <v>1.4989277389277393</v>
      </c>
    </row>
    <row r="17" spans="1:21" x14ac:dyDescent="0.25">
      <c r="A17" s="6" t="s">
        <v>37</v>
      </c>
      <c r="B17" s="6" t="s">
        <v>48</v>
      </c>
      <c r="C17" s="15">
        <v>2020.19</v>
      </c>
      <c r="D17" s="16">
        <v>38.427</v>
      </c>
      <c r="E17" s="16">
        <v>41.067</v>
      </c>
      <c r="F17" s="16">
        <v>42.21</v>
      </c>
      <c r="G17" s="16">
        <v>15.32</v>
      </c>
      <c r="H17" s="16">
        <f t="shared" si="0"/>
        <v>39.229875</v>
      </c>
      <c r="I17" s="5"/>
      <c r="J17" s="15">
        <v>2377.8719999999998</v>
      </c>
      <c r="K17" s="16">
        <v>38.938099999999999</v>
      </c>
      <c r="L17" s="16">
        <v>41.838700000000003</v>
      </c>
      <c r="M17" s="16">
        <v>43.180399999999999</v>
      </c>
      <c r="N17" s="16">
        <v>44.851399999999998</v>
      </c>
      <c r="O17" s="16">
        <f t="shared" si="1"/>
        <v>39.830962500000005</v>
      </c>
      <c r="P17" s="7"/>
      <c r="Q17" s="8">
        <f>bdrate(C17:C20,D17:D20,J17:J20,K17:K20)</f>
        <v>-1.2682621385597947E-2</v>
      </c>
      <c r="R17" s="8">
        <f>bdrate(C17:C20,E17:E20,J17:J20,L17:L20)</f>
        <v>-0.33251216971151476</v>
      </c>
      <c r="S17" s="8">
        <f>bdrate(C17:C20,F17:F20,J17:J20,M17:M20)</f>
        <v>-0.34742508455877275</v>
      </c>
      <c r="T17" s="25">
        <f>bdrate(C17:C20,H17:H20,J17:J20,O17:O20)</f>
        <v>-6.7186187326464641E-2</v>
      </c>
      <c r="U17" s="28">
        <f t="shared" si="2"/>
        <v>1.9276370757180155</v>
      </c>
    </row>
    <row r="18" spans="1:21" x14ac:dyDescent="0.25">
      <c r="A18" s="9" t="s">
        <v>38</v>
      </c>
      <c r="B18" s="9"/>
      <c r="C18" s="17">
        <v>1320.52</v>
      </c>
      <c r="D18" s="18">
        <v>37.113</v>
      </c>
      <c r="E18" s="18">
        <v>40.229999999999997</v>
      </c>
      <c r="F18" s="18">
        <v>41.363999999999997</v>
      </c>
      <c r="G18" s="18">
        <v>17.809999999999999</v>
      </c>
      <c r="H18" s="18">
        <f t="shared" si="0"/>
        <v>38.033999999999999</v>
      </c>
      <c r="I18" s="5"/>
      <c r="J18" s="17">
        <v>1571.3248000000001</v>
      </c>
      <c r="K18" s="18">
        <v>37.702300000000001</v>
      </c>
      <c r="L18" s="18">
        <v>41.188200000000002</v>
      </c>
      <c r="M18" s="18">
        <v>42.417099999999998</v>
      </c>
      <c r="N18" s="18">
        <v>50.114800000000002</v>
      </c>
      <c r="O18" s="18">
        <f t="shared" si="1"/>
        <v>38.727387499999999</v>
      </c>
      <c r="P18" s="7"/>
      <c r="Q18" s="10"/>
      <c r="R18" s="11"/>
      <c r="S18" s="11"/>
      <c r="T18" s="26"/>
      <c r="U18" s="28">
        <f t="shared" si="2"/>
        <v>1.8138573834924201</v>
      </c>
    </row>
    <row r="19" spans="1:21" x14ac:dyDescent="0.25">
      <c r="B19" s="9"/>
      <c r="C19" s="17">
        <v>807.94</v>
      </c>
      <c r="D19" s="18">
        <v>35.459000000000003</v>
      </c>
      <c r="E19" s="18">
        <v>39.409999999999997</v>
      </c>
      <c r="F19" s="18">
        <v>40.652999999999999</v>
      </c>
      <c r="G19" s="18">
        <v>18.97</v>
      </c>
      <c r="H19" s="18">
        <f t="shared" si="0"/>
        <v>36.602125000000001</v>
      </c>
      <c r="I19" s="5"/>
      <c r="J19" s="17">
        <v>960.69439999999997</v>
      </c>
      <c r="K19" s="18">
        <v>36.087600000000002</v>
      </c>
      <c r="L19" s="18">
        <v>40.366999999999997</v>
      </c>
      <c r="M19" s="18">
        <v>41.5379</v>
      </c>
      <c r="N19" s="18">
        <v>58.953600000000002</v>
      </c>
      <c r="O19" s="18">
        <f t="shared" si="1"/>
        <v>37.303812499999999</v>
      </c>
      <c r="P19" s="7"/>
      <c r="Q19" s="10"/>
      <c r="R19" s="11"/>
      <c r="S19" s="11"/>
      <c r="T19" s="26"/>
      <c r="U19" s="28">
        <f t="shared" si="2"/>
        <v>2.1077279915656302</v>
      </c>
    </row>
    <row r="20" spans="1:21" ht="16.5" thickBot="1" x14ac:dyDescent="0.3">
      <c r="B20" s="12"/>
      <c r="C20" s="19">
        <v>480.24</v>
      </c>
      <c r="D20" s="20">
        <v>33.645000000000003</v>
      </c>
      <c r="E20" s="20">
        <v>38.622999999999998</v>
      </c>
      <c r="F20" s="20">
        <v>40.037999999999997</v>
      </c>
      <c r="G20" s="20">
        <v>24.34</v>
      </c>
      <c r="H20" s="20">
        <f t="shared" si="0"/>
        <v>35.066375000000001</v>
      </c>
      <c r="I20" s="5"/>
      <c r="J20" s="19">
        <v>555.34079999999994</v>
      </c>
      <c r="K20" s="20">
        <v>34.224499999999999</v>
      </c>
      <c r="L20" s="20">
        <v>39.620899999999999</v>
      </c>
      <c r="M20" s="20">
        <v>40.822400000000002</v>
      </c>
      <c r="N20" s="20">
        <v>69.605599999999995</v>
      </c>
      <c r="O20" s="20">
        <f t="shared" si="1"/>
        <v>35.7237875</v>
      </c>
      <c r="P20" s="7"/>
      <c r="Q20" s="13"/>
      <c r="R20" s="14"/>
      <c r="S20" s="14"/>
      <c r="T20" s="27"/>
      <c r="U20" s="28">
        <f t="shared" si="2"/>
        <v>1.8597206244864417</v>
      </c>
    </row>
    <row r="21" spans="1:21" x14ac:dyDescent="0.25">
      <c r="B21" s="6" t="s">
        <v>49</v>
      </c>
      <c r="C21" s="15">
        <v>2295.88</v>
      </c>
      <c r="D21" s="16">
        <v>34.701999999999998</v>
      </c>
      <c r="E21" s="16">
        <v>38.478999999999999</v>
      </c>
      <c r="F21" s="16">
        <v>39.643999999999998</v>
      </c>
      <c r="G21" s="16">
        <v>17.95</v>
      </c>
      <c r="H21" s="16">
        <f t="shared" si="0"/>
        <v>35.791874999999997</v>
      </c>
      <c r="I21" s="5"/>
      <c r="J21" s="15">
        <v>2448.8975999999998</v>
      </c>
      <c r="K21" s="16">
        <v>35.759599999999999</v>
      </c>
      <c r="L21" s="16">
        <v>39.803199999999997</v>
      </c>
      <c r="M21" s="16">
        <v>41.0413</v>
      </c>
      <c r="N21" s="16">
        <v>39.447699999999998</v>
      </c>
      <c r="O21" s="16">
        <f t="shared" si="1"/>
        <v>36.925262499999995</v>
      </c>
      <c r="P21" s="7"/>
      <c r="Q21" s="8">
        <f>bdrate(C21:C24,D21:D24,J21:J24,K21:K24)</f>
        <v>-0.20844187927861513</v>
      </c>
      <c r="R21" s="8">
        <f>bdrate(C21:C24,E21:E24,J21:J24,L21:L24)</f>
        <v>-0.49423764605585263</v>
      </c>
      <c r="S21" s="8">
        <f>bdrate(C21:C24,F21:F24,J21:J24,M21:M24)</f>
        <v>-0.51149923096417638</v>
      </c>
      <c r="T21" s="25">
        <f>bdrate(C21:C24,H21:H24,J21:J24,O21:O24)</f>
        <v>-0.26122228131126235</v>
      </c>
      <c r="U21" s="28">
        <f t="shared" si="2"/>
        <v>1.1976434540389971</v>
      </c>
    </row>
    <row r="22" spans="1:21" x14ac:dyDescent="0.25">
      <c r="B22" s="9"/>
      <c r="C22" s="17">
        <v>1522.38</v>
      </c>
      <c r="D22" s="18">
        <v>33.531999999999996</v>
      </c>
      <c r="E22" s="18">
        <v>37.683</v>
      </c>
      <c r="F22" s="18">
        <v>39.064999999999998</v>
      </c>
      <c r="G22" s="18">
        <v>20.46</v>
      </c>
      <c r="H22" s="18">
        <f t="shared" si="0"/>
        <v>34.742499999999993</v>
      </c>
      <c r="I22" s="5"/>
      <c r="J22" s="17">
        <v>1660.8055999999999</v>
      </c>
      <c r="K22" s="18">
        <v>34.524999999999999</v>
      </c>
      <c r="L22" s="18">
        <v>39.068300000000001</v>
      </c>
      <c r="M22" s="18">
        <v>40.295499999999997</v>
      </c>
      <c r="N22" s="18">
        <v>46.341000000000001</v>
      </c>
      <c r="O22" s="18">
        <f t="shared" si="1"/>
        <v>35.814224999999993</v>
      </c>
      <c r="P22" s="7"/>
      <c r="Q22" s="10"/>
      <c r="R22" s="11"/>
      <c r="S22" s="11"/>
      <c r="T22" s="26"/>
      <c r="U22" s="28">
        <f t="shared" si="2"/>
        <v>1.2649560117302052</v>
      </c>
    </row>
    <row r="23" spans="1:21" x14ac:dyDescent="0.25">
      <c r="B23" s="9"/>
      <c r="C23" s="17">
        <v>950.08</v>
      </c>
      <c r="D23" s="18">
        <v>32.231000000000002</v>
      </c>
      <c r="E23" s="18">
        <v>36.929000000000002</v>
      </c>
      <c r="F23" s="18">
        <v>38.554000000000002</v>
      </c>
      <c r="G23" s="18">
        <v>24.42</v>
      </c>
      <c r="H23" s="18">
        <f t="shared" si="0"/>
        <v>33.608625000000004</v>
      </c>
      <c r="I23" s="5"/>
      <c r="J23" s="17">
        <v>1008.4968</v>
      </c>
      <c r="K23" s="18">
        <v>33.053600000000003</v>
      </c>
      <c r="L23" s="18">
        <v>38.178699999999999</v>
      </c>
      <c r="M23" s="18">
        <v>39.489100000000001</v>
      </c>
      <c r="N23" s="18">
        <v>55.749099999999999</v>
      </c>
      <c r="O23" s="18">
        <f t="shared" si="1"/>
        <v>34.498674999999999</v>
      </c>
      <c r="P23" s="7"/>
      <c r="Q23" s="10"/>
      <c r="R23" s="11"/>
      <c r="S23" s="11"/>
      <c r="T23" s="26"/>
      <c r="U23" s="28">
        <f t="shared" si="2"/>
        <v>1.2829279279279278</v>
      </c>
    </row>
    <row r="24" spans="1:21" ht="16.5" thickBot="1" x14ac:dyDescent="0.3">
      <c r="B24" s="12"/>
      <c r="C24" s="19">
        <v>564.26</v>
      </c>
      <c r="D24" s="20">
        <v>30.81</v>
      </c>
      <c r="E24" s="20">
        <v>36.201999999999998</v>
      </c>
      <c r="F24" s="20">
        <v>38.063000000000002</v>
      </c>
      <c r="G24" s="20">
        <v>26.9</v>
      </c>
      <c r="H24" s="20">
        <f t="shared" si="0"/>
        <v>32.390625</v>
      </c>
      <c r="I24" s="5"/>
      <c r="J24" s="19">
        <v>594.7568</v>
      </c>
      <c r="K24" s="20">
        <v>31.453700000000001</v>
      </c>
      <c r="L24" s="20">
        <v>37.2453</v>
      </c>
      <c r="M24" s="20">
        <v>38.777900000000002</v>
      </c>
      <c r="N24" s="20">
        <v>66.889600000000002</v>
      </c>
      <c r="O24" s="20">
        <f t="shared" si="1"/>
        <v>33.093175000000002</v>
      </c>
      <c r="P24" s="7"/>
      <c r="Q24" s="13"/>
      <c r="R24" s="14"/>
      <c r="S24" s="14"/>
      <c r="T24" s="27"/>
      <c r="U24" s="28">
        <f t="shared" si="2"/>
        <v>1.4866022304832716</v>
      </c>
    </row>
    <row r="25" spans="1:21" x14ac:dyDescent="0.25">
      <c r="B25" s="6" t="s">
        <v>50</v>
      </c>
      <c r="C25" s="15">
        <v>2390.2800000000002</v>
      </c>
      <c r="D25" s="16">
        <v>32.920999999999999</v>
      </c>
      <c r="E25" s="16">
        <v>37.292000000000002</v>
      </c>
      <c r="F25" s="16">
        <v>38.625999999999998</v>
      </c>
      <c r="G25" s="16">
        <v>20.73</v>
      </c>
      <c r="H25" s="16">
        <f t="shared" si="0"/>
        <v>34.180500000000002</v>
      </c>
      <c r="I25" s="5"/>
      <c r="J25" s="15">
        <v>2413.4504000000002</v>
      </c>
      <c r="K25" s="16">
        <v>33.847000000000001</v>
      </c>
      <c r="L25" s="16">
        <v>38.037599999999998</v>
      </c>
      <c r="M25" s="16">
        <v>40.003300000000003</v>
      </c>
      <c r="N25" s="16">
        <v>54.048200000000001</v>
      </c>
      <c r="O25" s="16">
        <f t="shared" si="1"/>
        <v>35.140362500000002</v>
      </c>
      <c r="P25" s="7"/>
      <c r="Q25" s="8">
        <f>bdrate(C25:C28,D25:D28,J25:J28,K25:K28)</f>
        <v>-0.14174438957770774</v>
      </c>
      <c r="R25" s="8">
        <f>bdrate(C25:C28,E25:E28,J25:J28,L25:L28)</f>
        <v>-0.43915796711855848</v>
      </c>
      <c r="S25" s="8">
        <f>bdrate(C25:C28,F25:F28,J25:J28,M25:M28)</f>
        <v>-0.42318166221623743</v>
      </c>
      <c r="T25" s="25">
        <f>bdrate(C25:C28,H25:H28,J25:J28,O25:O28)</f>
        <v>-0.19324145790530323</v>
      </c>
      <c r="U25" s="28">
        <f t="shared" si="2"/>
        <v>1.6072455378678245</v>
      </c>
    </row>
    <row r="26" spans="1:21" x14ac:dyDescent="0.25">
      <c r="B26" s="9"/>
      <c r="C26" s="17">
        <v>1583.21</v>
      </c>
      <c r="D26" s="18">
        <v>31.888000000000002</v>
      </c>
      <c r="E26" s="18">
        <v>36.875999999999998</v>
      </c>
      <c r="F26" s="18">
        <v>37.972000000000001</v>
      </c>
      <c r="G26" s="18">
        <v>25.16</v>
      </c>
      <c r="H26" s="18">
        <f t="shared" si="0"/>
        <v>33.271999999999998</v>
      </c>
      <c r="I26" s="5"/>
      <c r="J26" s="17">
        <v>1606.8920000000001</v>
      </c>
      <c r="K26" s="18">
        <v>32.633299999999998</v>
      </c>
      <c r="L26" s="18">
        <v>37.612699999999997</v>
      </c>
      <c r="M26" s="18">
        <v>39.197499999999998</v>
      </c>
      <c r="N26" s="18">
        <v>64.491200000000006</v>
      </c>
      <c r="O26" s="18">
        <f t="shared" si="1"/>
        <v>34.076250000000002</v>
      </c>
      <c r="P26" s="7"/>
      <c r="Q26" s="10"/>
      <c r="R26" s="11"/>
      <c r="S26" s="11"/>
      <c r="T26" s="26"/>
      <c r="U26" s="28">
        <f t="shared" si="2"/>
        <v>1.5632432432432437</v>
      </c>
    </row>
    <row r="27" spans="1:21" x14ac:dyDescent="0.25">
      <c r="B27" s="9"/>
      <c r="C27" s="17">
        <v>978.4</v>
      </c>
      <c r="D27" s="18">
        <v>30.614000000000001</v>
      </c>
      <c r="E27" s="18">
        <v>36.335000000000001</v>
      </c>
      <c r="F27" s="18">
        <v>37.1</v>
      </c>
      <c r="G27" s="18">
        <v>24.71</v>
      </c>
      <c r="H27" s="18">
        <f t="shared" si="0"/>
        <v>32.139875000000004</v>
      </c>
      <c r="I27" s="5"/>
      <c r="J27" s="17">
        <v>996.41520000000003</v>
      </c>
      <c r="K27" s="18">
        <v>31.043399999999998</v>
      </c>
      <c r="L27" s="18">
        <v>37.027200000000001</v>
      </c>
      <c r="M27" s="18">
        <v>38.160400000000003</v>
      </c>
      <c r="N27" s="18">
        <v>76.499399999999994</v>
      </c>
      <c r="O27" s="18">
        <f t="shared" si="1"/>
        <v>32.680999999999997</v>
      </c>
      <c r="P27" s="7"/>
      <c r="Q27" s="10"/>
      <c r="R27" s="11"/>
      <c r="S27" s="11"/>
      <c r="T27" s="26"/>
      <c r="U27" s="28">
        <f t="shared" si="2"/>
        <v>2.0958883043302303</v>
      </c>
    </row>
    <row r="28" spans="1:21" ht="16.5" thickBot="1" x14ac:dyDescent="0.3">
      <c r="B28" s="12"/>
      <c r="C28" s="19">
        <v>575.30999999999995</v>
      </c>
      <c r="D28" s="20">
        <v>29.02</v>
      </c>
      <c r="E28" s="20">
        <v>35.506999999999998</v>
      </c>
      <c r="F28" s="20">
        <v>35.840000000000003</v>
      </c>
      <c r="G28" s="20">
        <v>27.42</v>
      </c>
      <c r="H28" s="20">
        <f t="shared" si="0"/>
        <v>30.683375000000002</v>
      </c>
      <c r="I28" s="5"/>
      <c r="J28" s="19">
        <v>598.73680000000002</v>
      </c>
      <c r="K28" s="20">
        <v>29.253399999999999</v>
      </c>
      <c r="L28" s="20">
        <v>36.366799999999998</v>
      </c>
      <c r="M28" s="20">
        <v>37.097900000000003</v>
      </c>
      <c r="N28" s="20">
        <v>91.058099999999996</v>
      </c>
      <c r="O28" s="20">
        <f t="shared" si="1"/>
        <v>31.123137500000002</v>
      </c>
      <c r="P28" s="7"/>
      <c r="Q28" s="13"/>
      <c r="R28" s="14"/>
      <c r="S28" s="14"/>
      <c r="T28" s="27"/>
      <c r="U28" s="28">
        <f t="shared" si="2"/>
        <v>2.3208643326039384</v>
      </c>
    </row>
    <row r="29" spans="1:21" x14ac:dyDescent="0.25">
      <c r="B29" s="6" t="s">
        <v>51</v>
      </c>
      <c r="C29" s="29">
        <v>2401</v>
      </c>
      <c r="D29" s="30">
        <v>33.546999999999997</v>
      </c>
      <c r="E29" s="30">
        <v>39.5</v>
      </c>
      <c r="F29" s="30">
        <v>38.985999999999997</v>
      </c>
      <c r="G29" s="16">
        <v>18.850000000000001</v>
      </c>
      <c r="H29" s="16">
        <f t="shared" si="0"/>
        <v>34.970999999999997</v>
      </c>
      <c r="I29" s="5"/>
      <c r="J29" s="29">
        <v>2418.5551999999998</v>
      </c>
      <c r="K29" s="30">
        <v>33.8232</v>
      </c>
      <c r="L29" s="30">
        <v>40.194200000000002</v>
      </c>
      <c r="M29" s="30">
        <v>39.772199999999998</v>
      </c>
      <c r="N29" s="16">
        <v>46.996899999999997</v>
      </c>
      <c r="O29" s="16">
        <f t="shared" si="1"/>
        <v>35.363199999999999</v>
      </c>
      <c r="P29" s="7"/>
      <c r="Q29" s="8">
        <f>bdrate(C29:C32,D29:D32,J29:J32,K29:K32)</f>
        <v>-2.8163970722098086E-2</v>
      </c>
      <c r="R29" s="8">
        <f>bdrate(C29:C32,E29:E32,J29:J32,L29:L32)</f>
        <v>-0.23815999598335447</v>
      </c>
      <c r="S29" s="8">
        <f>bdrate(C29:C32,F29:F32,J29:J32,M29:M32)</f>
        <v>-0.26284301932528031</v>
      </c>
      <c r="T29" s="25">
        <f>bdrate(C29:C32,H29:H32,J29:J32,O29:O32)</f>
        <v>-7.6862222465920449E-2</v>
      </c>
      <c r="U29" s="28">
        <f t="shared" si="2"/>
        <v>1.4932042440318298</v>
      </c>
    </row>
    <row r="30" spans="1:21" x14ac:dyDescent="0.25">
      <c r="B30" s="9"/>
      <c r="C30" s="31">
        <v>1592.54</v>
      </c>
      <c r="D30" s="32">
        <v>32.220999999999997</v>
      </c>
      <c r="E30" s="32">
        <v>38.695999999999998</v>
      </c>
      <c r="F30" s="32">
        <v>37.953000000000003</v>
      </c>
      <c r="G30" s="18">
        <v>21.3</v>
      </c>
      <c r="H30" s="18">
        <f t="shared" si="0"/>
        <v>33.746874999999996</v>
      </c>
      <c r="I30" s="5"/>
      <c r="J30" s="31">
        <v>1609.5024000000001</v>
      </c>
      <c r="K30" s="32">
        <v>32.430300000000003</v>
      </c>
      <c r="L30" s="32">
        <v>39.422699999999999</v>
      </c>
      <c r="M30" s="32">
        <v>38.804200000000002</v>
      </c>
      <c r="N30" s="18">
        <v>55.352600000000002</v>
      </c>
      <c r="O30" s="18">
        <f t="shared" si="1"/>
        <v>34.101087499999998</v>
      </c>
      <c r="P30" s="7"/>
      <c r="Q30" s="10"/>
      <c r="R30" s="11"/>
      <c r="S30" s="11"/>
      <c r="T30" s="26"/>
      <c r="U30" s="28">
        <f t="shared" si="2"/>
        <v>1.598713615023474</v>
      </c>
    </row>
    <row r="31" spans="1:21" x14ac:dyDescent="0.25">
      <c r="B31" s="9"/>
      <c r="C31" s="31">
        <v>986.69</v>
      </c>
      <c r="D31" s="32">
        <v>30.59</v>
      </c>
      <c r="E31" s="32">
        <v>37.795999999999999</v>
      </c>
      <c r="F31" s="32">
        <v>36.676000000000002</v>
      </c>
      <c r="G31" s="18">
        <v>24.04</v>
      </c>
      <c r="H31" s="18">
        <f t="shared" si="0"/>
        <v>32.2515</v>
      </c>
      <c r="I31" s="5"/>
      <c r="J31" s="31">
        <v>1002.9544</v>
      </c>
      <c r="K31" s="32">
        <v>30.689</v>
      </c>
      <c r="L31" s="32">
        <v>38.393099999999997</v>
      </c>
      <c r="M31" s="32">
        <v>37.579599999999999</v>
      </c>
      <c r="N31" s="18">
        <v>66.225200000000001</v>
      </c>
      <c r="O31" s="18">
        <f t="shared" si="1"/>
        <v>32.513337500000006</v>
      </c>
      <c r="P31" s="7"/>
      <c r="Q31" s="10"/>
      <c r="R31" s="11"/>
      <c r="S31" s="11"/>
      <c r="T31" s="26"/>
      <c r="U31" s="28">
        <f t="shared" si="2"/>
        <v>1.7547920133111483</v>
      </c>
    </row>
    <row r="32" spans="1:21" ht="16.5" thickBot="1" x14ac:dyDescent="0.3">
      <c r="B32" s="12"/>
      <c r="C32" s="33">
        <v>588.29999999999995</v>
      </c>
      <c r="D32" s="34">
        <v>28.725000000000001</v>
      </c>
      <c r="E32" s="34">
        <v>36.012999999999998</v>
      </c>
      <c r="F32" s="34">
        <v>34.893999999999998</v>
      </c>
      <c r="G32" s="20">
        <v>26.91</v>
      </c>
      <c r="H32" s="20">
        <f t="shared" si="0"/>
        <v>30.407125000000004</v>
      </c>
      <c r="I32" s="5"/>
      <c r="J32" s="33">
        <v>591.7704</v>
      </c>
      <c r="K32" s="34">
        <v>28.765999999999998</v>
      </c>
      <c r="L32" s="34">
        <v>36.895899999999997</v>
      </c>
      <c r="M32" s="34">
        <v>35.898899999999998</v>
      </c>
      <c r="N32" s="20">
        <v>79.3399</v>
      </c>
      <c r="O32" s="20">
        <f t="shared" si="1"/>
        <v>30.673849999999998</v>
      </c>
      <c r="P32" s="7"/>
      <c r="Q32" s="13"/>
      <c r="R32" s="14"/>
      <c r="S32" s="14"/>
      <c r="T32" s="27"/>
      <c r="U32" s="28">
        <f t="shared" si="2"/>
        <v>1.948342623560015</v>
      </c>
    </row>
    <row r="33" spans="1:21" x14ac:dyDescent="0.25">
      <c r="B33" s="6" t="s">
        <v>52</v>
      </c>
      <c r="C33" s="15">
        <v>2393.4499999999998</v>
      </c>
      <c r="D33" s="16">
        <v>31.86</v>
      </c>
      <c r="E33" s="16">
        <v>38.426000000000002</v>
      </c>
      <c r="F33" s="16">
        <v>41.128</v>
      </c>
      <c r="G33" s="16">
        <v>25.37</v>
      </c>
      <c r="H33" s="16">
        <f t="shared" si="0"/>
        <v>33.83925</v>
      </c>
      <c r="I33" s="5"/>
      <c r="J33" s="15">
        <v>2436.4088000000002</v>
      </c>
      <c r="K33" s="16">
        <v>33.3889</v>
      </c>
      <c r="L33" s="16">
        <v>39.698599999999999</v>
      </c>
      <c r="M33" s="16">
        <v>42.202399999999997</v>
      </c>
      <c r="N33" s="16">
        <v>59.814599999999999</v>
      </c>
      <c r="O33" s="16">
        <f t="shared" si="1"/>
        <v>35.279299999999999</v>
      </c>
      <c r="P33" s="7"/>
      <c r="Q33" s="8">
        <f>bdrate(C33:C36,D33:D36,J33:J36,K33:K36)</f>
        <v>-0.4822272350165655</v>
      </c>
      <c r="R33" s="8">
        <f>bdrate(C33:C36,E33:E36,J33:J36,L33:L36)</f>
        <v>-0.61856746610831492</v>
      </c>
      <c r="S33" s="8">
        <f>bdrate(C33:C36,F33:F36,J33:J36,M33:M36)</f>
        <v>-0.53256541776376776</v>
      </c>
      <c r="T33" s="25">
        <f>bdrate(C33:C36,H33:H36,J33:J36,O33:O36)</f>
        <v>-0.49345200228974906</v>
      </c>
      <c r="U33" s="28">
        <f t="shared" si="2"/>
        <v>1.3576901852581786</v>
      </c>
    </row>
    <row r="34" spans="1:21" x14ac:dyDescent="0.25">
      <c r="B34" s="9"/>
      <c r="C34" s="17">
        <v>1572.72</v>
      </c>
      <c r="D34" s="18">
        <v>30.983000000000001</v>
      </c>
      <c r="E34" s="18">
        <v>38.063000000000002</v>
      </c>
      <c r="F34" s="18">
        <v>40.795999999999999</v>
      </c>
      <c r="G34" s="18">
        <v>28.72</v>
      </c>
      <c r="H34" s="18">
        <f t="shared" si="0"/>
        <v>33.094625000000001</v>
      </c>
      <c r="I34" s="5"/>
      <c r="J34" s="17">
        <v>1631.26</v>
      </c>
      <c r="K34" s="18">
        <v>32.683</v>
      </c>
      <c r="L34" s="18">
        <v>39.252699999999997</v>
      </c>
      <c r="M34" s="18">
        <v>41.816400000000002</v>
      </c>
      <c r="N34" s="18">
        <v>68.563599999999994</v>
      </c>
      <c r="O34" s="18">
        <f t="shared" si="1"/>
        <v>34.645887500000001</v>
      </c>
      <c r="P34" s="7"/>
      <c r="Q34" s="10"/>
      <c r="R34" s="11"/>
      <c r="S34" s="11"/>
      <c r="T34" s="26"/>
      <c r="U34" s="28">
        <f t="shared" si="2"/>
        <v>1.3873119777158773</v>
      </c>
    </row>
    <row r="35" spans="1:21" x14ac:dyDescent="0.25">
      <c r="B35" s="9"/>
      <c r="C35" s="17">
        <v>942.97</v>
      </c>
      <c r="D35" s="18">
        <v>29.69</v>
      </c>
      <c r="E35" s="18">
        <v>37.567999999999998</v>
      </c>
      <c r="F35" s="18">
        <v>40.378999999999998</v>
      </c>
      <c r="G35" s="18">
        <v>31.63</v>
      </c>
      <c r="H35" s="18">
        <f t="shared" si="0"/>
        <v>32.010875000000006</v>
      </c>
      <c r="I35" s="5"/>
      <c r="J35" s="17">
        <v>1032.8072</v>
      </c>
      <c r="K35" s="18">
        <v>31.594999999999999</v>
      </c>
      <c r="L35" s="18">
        <v>38.5916</v>
      </c>
      <c r="M35" s="18">
        <v>41.145800000000001</v>
      </c>
      <c r="N35" s="18">
        <v>78.328999999999994</v>
      </c>
      <c r="O35" s="18">
        <f t="shared" si="1"/>
        <v>33.663424999999997</v>
      </c>
      <c r="P35" s="7"/>
      <c r="Q35" s="10"/>
      <c r="R35" s="11"/>
      <c r="S35" s="11"/>
      <c r="T35" s="26"/>
      <c r="U35" s="28">
        <f t="shared" si="2"/>
        <v>1.4764147960796712</v>
      </c>
    </row>
    <row r="36" spans="1:21" ht="16.5" thickBot="1" x14ac:dyDescent="0.3">
      <c r="B36" s="12"/>
      <c r="C36" s="19">
        <v>497.87</v>
      </c>
      <c r="D36" s="20">
        <v>27.187999999999999</v>
      </c>
      <c r="E36" s="20">
        <v>36.585999999999999</v>
      </c>
      <c r="F36" s="20">
        <v>39.475000000000001</v>
      </c>
      <c r="G36" s="20">
        <v>32.590000000000003</v>
      </c>
      <c r="H36" s="20">
        <f t="shared" si="0"/>
        <v>29.898624999999999</v>
      </c>
      <c r="I36" s="5"/>
      <c r="J36" s="19">
        <v>600.8152</v>
      </c>
      <c r="K36" s="20">
        <v>30.109100000000002</v>
      </c>
      <c r="L36" s="20">
        <v>38.059199999999997</v>
      </c>
      <c r="M36" s="20">
        <v>40.585000000000001</v>
      </c>
      <c r="N36" s="20">
        <v>88.823099999999997</v>
      </c>
      <c r="O36" s="20">
        <f t="shared" si="1"/>
        <v>32.412350000000004</v>
      </c>
      <c r="P36" s="7"/>
      <c r="Q36" s="13"/>
      <c r="R36" s="14"/>
      <c r="S36" s="14"/>
      <c r="T36" s="27"/>
      <c r="U36" s="28">
        <f t="shared" si="2"/>
        <v>1.725471003375268</v>
      </c>
    </row>
    <row r="37" spans="1:21" x14ac:dyDescent="0.25">
      <c r="A37" s="6" t="s">
        <v>39</v>
      </c>
      <c r="B37" s="6" t="s">
        <v>53</v>
      </c>
      <c r="C37" s="15">
        <v>1223.3900000000001</v>
      </c>
      <c r="D37" s="16">
        <v>33.704000000000001</v>
      </c>
      <c r="E37" s="16">
        <v>37.445999999999998</v>
      </c>
      <c r="F37" s="16">
        <v>37.22</v>
      </c>
      <c r="G37" s="16">
        <v>65.55</v>
      </c>
      <c r="H37" s="16">
        <f t="shared" si="0"/>
        <v>34.611249999999998</v>
      </c>
      <c r="I37" s="5"/>
      <c r="J37" s="15">
        <v>1215.8016</v>
      </c>
      <c r="K37" s="16">
        <v>34.738599999999998</v>
      </c>
      <c r="L37" s="16">
        <v>38.869599999999998</v>
      </c>
      <c r="M37" s="16">
        <v>38.650700000000001</v>
      </c>
      <c r="N37" s="16">
        <v>176.11840000000001</v>
      </c>
      <c r="O37" s="16">
        <f t="shared" si="1"/>
        <v>35.743987500000003</v>
      </c>
      <c r="P37" s="7"/>
      <c r="Q37" s="8">
        <f>bdrate(C37:C40,D37:D40,J37:J40,K37:K40)</f>
        <v>-0.18623378764099374</v>
      </c>
      <c r="R37" s="8">
        <f>bdrate(C37:C40,E37:E40,J37:J40,L37:L40)</f>
        <v>-0.3547902530680983</v>
      </c>
      <c r="S37" s="8">
        <f>bdrate(C37:C40,F37:F40,J37:J40,M37:M40)</f>
        <v>-0.32389229442457812</v>
      </c>
      <c r="T37" s="25">
        <f>bdrate(C37:C40,H37:H40,J37:J40,O37:O40)</f>
        <v>-0.217936123942302</v>
      </c>
      <c r="U37" s="28">
        <f t="shared" si="2"/>
        <v>1.6867795575896265</v>
      </c>
    </row>
    <row r="38" spans="1:21" x14ac:dyDescent="0.25">
      <c r="A38" s="9" t="s">
        <v>40</v>
      </c>
      <c r="B38" s="9"/>
      <c r="C38" s="17">
        <v>814.55</v>
      </c>
      <c r="D38" s="18">
        <v>32.316000000000003</v>
      </c>
      <c r="E38" s="18">
        <v>36.503</v>
      </c>
      <c r="F38" s="18">
        <v>36.128999999999998</v>
      </c>
      <c r="G38" s="18">
        <v>73.86</v>
      </c>
      <c r="H38" s="18">
        <f t="shared" si="0"/>
        <v>33.316000000000003</v>
      </c>
      <c r="I38" s="5"/>
      <c r="J38" s="17">
        <v>810.94240000000002</v>
      </c>
      <c r="K38" s="18">
        <v>33.227600000000002</v>
      </c>
      <c r="L38" s="18">
        <v>37.7104</v>
      </c>
      <c r="M38" s="18">
        <v>37.335799999999999</v>
      </c>
      <c r="N38" s="18">
        <v>209.46799999999999</v>
      </c>
      <c r="O38" s="18">
        <f t="shared" si="1"/>
        <v>34.301475000000003</v>
      </c>
      <c r="P38" s="7"/>
      <c r="Q38" s="10"/>
      <c r="R38" s="11"/>
      <c r="S38" s="11"/>
      <c r="T38" s="26"/>
      <c r="U38" s="28">
        <f t="shared" si="2"/>
        <v>1.8360140806932035</v>
      </c>
    </row>
    <row r="39" spans="1:21" x14ac:dyDescent="0.25">
      <c r="B39" s="9"/>
      <c r="C39" s="17">
        <v>505.79</v>
      </c>
      <c r="D39" s="18">
        <v>30.802</v>
      </c>
      <c r="E39" s="18">
        <v>35.579000000000001</v>
      </c>
      <c r="F39" s="18">
        <v>35.045000000000002</v>
      </c>
      <c r="G39" s="18">
        <v>84.12</v>
      </c>
      <c r="H39" s="18">
        <f t="shared" si="0"/>
        <v>31.929500000000004</v>
      </c>
      <c r="I39" s="5"/>
      <c r="J39" s="17">
        <v>506.82080000000002</v>
      </c>
      <c r="K39" s="18">
        <v>31.4499</v>
      </c>
      <c r="L39" s="18">
        <v>36.472099999999998</v>
      </c>
      <c r="M39" s="18">
        <v>35.965600000000002</v>
      </c>
      <c r="N39" s="18">
        <v>256.41030000000001</v>
      </c>
      <c r="O39" s="18">
        <f t="shared" si="1"/>
        <v>32.642137499999997</v>
      </c>
      <c r="P39" s="7"/>
      <c r="Q39" s="10"/>
      <c r="R39" s="11"/>
      <c r="S39" s="11"/>
      <c r="T39" s="26"/>
      <c r="U39" s="28">
        <f t="shared" si="2"/>
        <v>2.0481490727532097</v>
      </c>
    </row>
    <row r="40" spans="1:21" ht="16.5" thickBot="1" x14ac:dyDescent="0.3">
      <c r="B40" s="12"/>
      <c r="C40" s="19">
        <v>300.69</v>
      </c>
      <c r="D40" s="20">
        <v>29.253</v>
      </c>
      <c r="E40" s="20">
        <v>34.545000000000002</v>
      </c>
      <c r="F40" s="20">
        <v>33.808999999999997</v>
      </c>
      <c r="G40" s="20">
        <v>96.82</v>
      </c>
      <c r="H40" s="20">
        <f t="shared" si="0"/>
        <v>30.483999999999998</v>
      </c>
      <c r="I40" s="5"/>
      <c r="J40" s="19">
        <v>303.77999999999997</v>
      </c>
      <c r="K40" s="20">
        <v>29.547999999999998</v>
      </c>
      <c r="L40" s="20">
        <v>35.250900000000001</v>
      </c>
      <c r="M40" s="20">
        <v>34.581099999999999</v>
      </c>
      <c r="N40" s="20">
        <v>320.51280000000003</v>
      </c>
      <c r="O40" s="20">
        <f t="shared" si="1"/>
        <v>30.889999999999997</v>
      </c>
      <c r="P40" s="7"/>
      <c r="Q40" s="13"/>
      <c r="R40" s="14"/>
      <c r="S40" s="14"/>
      <c r="T40" s="27"/>
      <c r="U40" s="28">
        <f t="shared" si="2"/>
        <v>2.3103986779590997</v>
      </c>
    </row>
    <row r="41" spans="1:21" x14ac:dyDescent="0.25">
      <c r="B41" s="6" t="s">
        <v>54</v>
      </c>
      <c r="C41" s="15">
        <v>1230.0999999999999</v>
      </c>
      <c r="D41" s="16">
        <v>33.517000000000003</v>
      </c>
      <c r="E41" s="16">
        <v>38.883000000000003</v>
      </c>
      <c r="F41" s="16">
        <v>39.709000000000003</v>
      </c>
      <c r="G41" s="16">
        <v>77.39</v>
      </c>
      <c r="H41" s="16">
        <f t="shared" si="0"/>
        <v>34.961750000000009</v>
      </c>
      <c r="I41" s="5"/>
      <c r="J41" s="15">
        <v>1246.9192</v>
      </c>
      <c r="K41" s="16">
        <v>34.919899999999998</v>
      </c>
      <c r="L41" s="16">
        <v>40.342700000000001</v>
      </c>
      <c r="M41" s="16">
        <v>41.158700000000003</v>
      </c>
      <c r="N41" s="16">
        <v>182.31540000000001</v>
      </c>
      <c r="O41" s="16">
        <f t="shared" si="1"/>
        <v>36.377600000000001</v>
      </c>
      <c r="P41" s="7"/>
      <c r="Q41" s="8">
        <f>bdrate(C41:C44,D41:D44,J41:J44,K41:K44)</f>
        <v>-0.25552352766337372</v>
      </c>
      <c r="R41" s="8">
        <f>bdrate(C41:C44,E41:E44,J41:J44,L41:L44)</f>
        <v>-0.48103061958429882</v>
      </c>
      <c r="S41" s="8">
        <f>bdrate(C41:C44,F41:F44,J41:J44,M41:M44)</f>
        <v>-0.4357086466291118</v>
      </c>
      <c r="T41" s="25">
        <f>bdrate(C41:C44,H41:H44,J41:J44,O41:O44)</f>
        <v>-0.29481974615692685</v>
      </c>
      <c r="U41" s="28">
        <f t="shared" si="2"/>
        <v>1.3558004910195116</v>
      </c>
    </row>
    <row r="42" spans="1:21" x14ac:dyDescent="0.25">
      <c r="B42" s="9"/>
      <c r="C42" s="17">
        <v>817.97</v>
      </c>
      <c r="D42" s="18">
        <v>32.079000000000001</v>
      </c>
      <c r="E42" s="18">
        <v>37.996000000000002</v>
      </c>
      <c r="F42" s="18">
        <v>38.713999999999999</v>
      </c>
      <c r="G42" s="18">
        <v>86.43</v>
      </c>
      <c r="H42" s="18">
        <f t="shared" si="0"/>
        <v>33.647999999999996</v>
      </c>
      <c r="I42" s="5"/>
      <c r="J42" s="17">
        <v>830.7</v>
      </c>
      <c r="K42" s="18">
        <v>33.3658</v>
      </c>
      <c r="L42" s="18">
        <v>39.429299999999998</v>
      </c>
      <c r="M42" s="18">
        <v>40.156500000000001</v>
      </c>
      <c r="N42" s="18">
        <v>217.23390000000001</v>
      </c>
      <c r="O42" s="18">
        <f t="shared" si="1"/>
        <v>34.972574999999999</v>
      </c>
      <c r="P42" s="7"/>
      <c r="Q42" s="10"/>
      <c r="R42" s="11"/>
      <c r="S42" s="11"/>
      <c r="T42" s="26"/>
      <c r="U42" s="28">
        <f t="shared" si="2"/>
        <v>1.5134085387018394</v>
      </c>
    </row>
    <row r="43" spans="1:21" x14ac:dyDescent="0.25">
      <c r="B43" s="9"/>
      <c r="C43" s="17">
        <v>509.54</v>
      </c>
      <c r="D43" s="18">
        <v>30.443999999999999</v>
      </c>
      <c r="E43" s="18">
        <v>37.031999999999996</v>
      </c>
      <c r="F43" s="18">
        <v>37.581000000000003</v>
      </c>
      <c r="G43" s="18">
        <v>97.37</v>
      </c>
      <c r="H43" s="18">
        <f t="shared" si="0"/>
        <v>32.159624999999998</v>
      </c>
      <c r="I43" s="5"/>
      <c r="J43" s="17">
        <v>518.66</v>
      </c>
      <c r="K43" s="18">
        <v>31.542100000000001</v>
      </c>
      <c r="L43" s="18">
        <v>38.4313</v>
      </c>
      <c r="M43" s="18">
        <v>38.979100000000003</v>
      </c>
      <c r="N43" s="18">
        <v>258.17559999999997</v>
      </c>
      <c r="O43" s="18">
        <f t="shared" si="1"/>
        <v>33.332875000000001</v>
      </c>
      <c r="P43" s="7"/>
      <c r="Q43" s="10"/>
      <c r="R43" s="11"/>
      <c r="S43" s="11"/>
      <c r="T43" s="26"/>
      <c r="U43" s="28">
        <f t="shared" si="2"/>
        <v>1.6514901920509393</v>
      </c>
    </row>
    <row r="44" spans="1:21" ht="16.5" thickBot="1" x14ac:dyDescent="0.3">
      <c r="B44" s="12"/>
      <c r="C44" s="19">
        <v>301.95</v>
      </c>
      <c r="D44" s="20">
        <v>28.59</v>
      </c>
      <c r="E44" s="20">
        <v>35.853000000000002</v>
      </c>
      <c r="F44" s="20">
        <v>36.268000000000001</v>
      </c>
      <c r="G44" s="20">
        <v>109.89</v>
      </c>
      <c r="H44" s="20">
        <f t="shared" si="0"/>
        <v>30.457625</v>
      </c>
      <c r="I44" s="5"/>
      <c r="J44" s="19">
        <v>311.02480000000003</v>
      </c>
      <c r="K44" s="20">
        <v>29.495799999999999</v>
      </c>
      <c r="L44" s="20">
        <v>37.344000000000001</v>
      </c>
      <c r="M44" s="20">
        <v>37.823700000000002</v>
      </c>
      <c r="N44" s="20">
        <v>328.58710000000002</v>
      </c>
      <c r="O44" s="20">
        <f t="shared" si="1"/>
        <v>31.517812499999998</v>
      </c>
      <c r="P44" s="7"/>
      <c r="Q44" s="13"/>
      <c r="R44" s="14"/>
      <c r="S44" s="14"/>
      <c r="T44" s="27"/>
      <c r="U44" s="28">
        <f t="shared" si="2"/>
        <v>1.9901456001456004</v>
      </c>
    </row>
    <row r="45" spans="1:21" x14ac:dyDescent="0.25">
      <c r="B45" s="6" t="s">
        <v>55</v>
      </c>
      <c r="C45" s="15">
        <v>1096.5999999999999</v>
      </c>
      <c r="D45" s="16">
        <v>28.033000000000001</v>
      </c>
      <c r="E45" s="16">
        <v>34.576000000000001</v>
      </c>
      <c r="F45" s="16">
        <v>35.366999999999997</v>
      </c>
      <c r="G45" s="16">
        <v>75.78</v>
      </c>
      <c r="H45" s="16">
        <f t="shared" si="0"/>
        <v>29.767624999999999</v>
      </c>
      <c r="I45" s="5"/>
      <c r="J45" s="15">
        <v>1227.0512000000001</v>
      </c>
      <c r="K45" s="16">
        <v>30.008299999999998</v>
      </c>
      <c r="L45" s="16">
        <v>36.568100000000001</v>
      </c>
      <c r="M45" s="16">
        <v>37.356900000000003</v>
      </c>
      <c r="N45" s="16">
        <v>163.559</v>
      </c>
      <c r="O45" s="16">
        <f t="shared" si="1"/>
        <v>31.746850000000002</v>
      </c>
      <c r="P45" s="7"/>
      <c r="Q45" s="8">
        <f>bdrate(C45:C48,D45:D48,J45:J48,K45:K48)</f>
        <v>-0.39335723111713083</v>
      </c>
      <c r="R45" s="8">
        <f>bdrate(C45:C48,E45:E48,J45:J48,L45:L48)</f>
        <v>-0.62341614689709401</v>
      </c>
      <c r="S45" s="8">
        <f>bdrate(C45:C48,F45:F48,J45:J48,M45:M48)</f>
        <v>-0.59808568239287418</v>
      </c>
      <c r="T45" s="25">
        <f>bdrate(C45:C48,H45:H48,J45:J48,O45:O48)</f>
        <v>-0.43212743363244888</v>
      </c>
      <c r="U45" s="28">
        <f t="shared" si="2"/>
        <v>1.1583399313803113</v>
      </c>
    </row>
    <row r="46" spans="1:21" x14ac:dyDescent="0.25">
      <c r="B46" s="9"/>
      <c r="C46" s="17">
        <v>729.95</v>
      </c>
      <c r="D46" s="18">
        <v>26.817</v>
      </c>
      <c r="E46" s="18">
        <v>34.018000000000001</v>
      </c>
      <c r="F46" s="18">
        <v>34.814999999999998</v>
      </c>
      <c r="G46" s="18">
        <v>85.47</v>
      </c>
      <c r="H46" s="18">
        <f t="shared" si="0"/>
        <v>28.716874999999998</v>
      </c>
      <c r="I46" s="5"/>
      <c r="J46" s="17">
        <v>816.68240000000003</v>
      </c>
      <c r="K46" s="18">
        <v>28.689699999999998</v>
      </c>
      <c r="L46" s="18">
        <v>35.790100000000002</v>
      </c>
      <c r="M46" s="18">
        <v>36.533499999999997</v>
      </c>
      <c r="N46" s="18">
        <v>201.5316</v>
      </c>
      <c r="O46" s="18">
        <f t="shared" si="1"/>
        <v>30.557724999999998</v>
      </c>
      <c r="P46" s="7"/>
      <c r="Q46" s="10"/>
      <c r="R46" s="11"/>
      <c r="S46" s="11"/>
      <c r="T46" s="26"/>
      <c r="U46" s="28">
        <f t="shared" si="2"/>
        <v>1.357922077922078</v>
      </c>
    </row>
    <row r="47" spans="1:21" x14ac:dyDescent="0.25">
      <c r="B47" s="9"/>
      <c r="C47" s="17">
        <v>452.39</v>
      </c>
      <c r="D47" s="18">
        <v>25.504999999999999</v>
      </c>
      <c r="E47" s="18">
        <v>33.320999999999998</v>
      </c>
      <c r="F47" s="18">
        <v>34.189</v>
      </c>
      <c r="G47" s="18">
        <v>96.82</v>
      </c>
      <c r="H47" s="18">
        <f t="shared" si="0"/>
        <v>27.567499999999999</v>
      </c>
      <c r="I47" s="5"/>
      <c r="J47" s="17">
        <v>514.57039999999995</v>
      </c>
      <c r="K47" s="18">
        <v>27.2775</v>
      </c>
      <c r="L47" s="18">
        <v>34.973199999999999</v>
      </c>
      <c r="M47" s="18">
        <v>35.7074</v>
      </c>
      <c r="N47" s="18">
        <v>246.54830000000001</v>
      </c>
      <c r="O47" s="18">
        <f t="shared" si="1"/>
        <v>29.293199999999999</v>
      </c>
      <c r="P47" s="7"/>
      <c r="Q47" s="10"/>
      <c r="R47" s="11"/>
      <c r="S47" s="11"/>
      <c r="T47" s="26"/>
      <c r="U47" s="28">
        <f t="shared" si="2"/>
        <v>1.5464604420574264</v>
      </c>
    </row>
    <row r="48" spans="1:21" ht="16.5" thickBot="1" x14ac:dyDescent="0.3">
      <c r="B48" s="12"/>
      <c r="C48" s="19">
        <v>263.56</v>
      </c>
      <c r="D48" s="20">
        <v>23.991</v>
      </c>
      <c r="E48" s="20">
        <v>32.43</v>
      </c>
      <c r="F48" s="20">
        <v>33.298999999999999</v>
      </c>
      <c r="G48" s="20">
        <v>110.13</v>
      </c>
      <c r="H48" s="20">
        <f t="shared" si="0"/>
        <v>26.209375000000001</v>
      </c>
      <c r="I48" s="5"/>
      <c r="J48" s="19">
        <v>308.55680000000001</v>
      </c>
      <c r="K48" s="20">
        <v>25.763400000000001</v>
      </c>
      <c r="L48" s="20">
        <v>34.154899999999998</v>
      </c>
      <c r="M48" s="20">
        <v>34.826900000000002</v>
      </c>
      <c r="N48" s="20">
        <v>311.1388</v>
      </c>
      <c r="O48" s="20">
        <f t="shared" si="1"/>
        <v>27.945274999999999</v>
      </c>
      <c r="P48" s="7"/>
      <c r="Q48" s="13"/>
      <c r="R48" s="14"/>
      <c r="S48" s="14"/>
      <c r="T48" s="27"/>
      <c r="U48" s="28">
        <f t="shared" si="2"/>
        <v>1.8251956778352858</v>
      </c>
    </row>
    <row r="49" spans="1:21" x14ac:dyDescent="0.25">
      <c r="B49" s="6" t="s">
        <v>56</v>
      </c>
      <c r="C49" s="15">
        <v>1116.45</v>
      </c>
      <c r="D49" s="16">
        <v>31.451000000000001</v>
      </c>
      <c r="E49" s="16">
        <v>36.024000000000001</v>
      </c>
      <c r="F49" s="16">
        <v>37.664000000000001</v>
      </c>
      <c r="G49" s="16">
        <v>50.61</v>
      </c>
      <c r="H49" s="16">
        <f t="shared" si="0"/>
        <v>32.799250000000001</v>
      </c>
      <c r="I49" s="5"/>
      <c r="J49" s="15">
        <v>1213.8688</v>
      </c>
      <c r="K49" s="16">
        <v>32.029699999999998</v>
      </c>
      <c r="L49" s="16">
        <v>36.6633</v>
      </c>
      <c r="M49" s="16">
        <v>38.245100000000001</v>
      </c>
      <c r="N49" s="16">
        <v>115.8301</v>
      </c>
      <c r="O49" s="16">
        <f t="shared" si="1"/>
        <v>33.385824999999997</v>
      </c>
      <c r="P49" s="7"/>
      <c r="Q49" s="8">
        <f>bdrate(C49:C52,D49:D52,J49:J52,K49:K52)</f>
        <v>-6.006627945150278E-3</v>
      </c>
      <c r="R49" s="8">
        <f>bdrate(C49:C52,E49:E52,J49:J52,L49:L52)</f>
        <v>-0.19756347390598927</v>
      </c>
      <c r="S49" s="8">
        <f>bdrate(C49:C52,F49:F52,J49:J52,M49:M52)</f>
        <v>-0.18254047990635958</v>
      </c>
      <c r="T49" s="25">
        <f>bdrate(C49:C52,H49:H52,J49:J52,O49:O52)</f>
        <v>-3.8813831171155777E-2</v>
      </c>
      <c r="U49" s="28">
        <f t="shared" si="2"/>
        <v>1.2886801027464929</v>
      </c>
    </row>
    <row r="50" spans="1:21" x14ac:dyDescent="0.25">
      <c r="B50" s="9"/>
      <c r="C50" s="17">
        <v>754.26</v>
      </c>
      <c r="D50" s="18">
        <v>30.184999999999999</v>
      </c>
      <c r="E50" s="18">
        <v>35.295000000000002</v>
      </c>
      <c r="F50" s="18">
        <v>36.901000000000003</v>
      </c>
      <c r="G50" s="18">
        <v>56.56</v>
      </c>
      <c r="H50" s="18">
        <f t="shared" si="0"/>
        <v>31.663249999999998</v>
      </c>
      <c r="I50" s="5"/>
      <c r="J50" s="17">
        <v>810.23919999999998</v>
      </c>
      <c r="K50" s="18">
        <v>30.5623</v>
      </c>
      <c r="L50" s="18">
        <v>35.83</v>
      </c>
      <c r="M50" s="18">
        <v>37.379300000000001</v>
      </c>
      <c r="N50" s="18">
        <v>141.37610000000001</v>
      </c>
      <c r="O50" s="18">
        <f t="shared" si="1"/>
        <v>32.0728875</v>
      </c>
      <c r="P50" s="7"/>
      <c r="Q50" s="10"/>
      <c r="R50" s="11"/>
      <c r="S50" s="11"/>
      <c r="T50" s="26"/>
      <c r="U50" s="28">
        <f t="shared" si="2"/>
        <v>1.4995774398868458</v>
      </c>
    </row>
    <row r="51" spans="1:21" x14ac:dyDescent="0.25">
      <c r="B51" s="9"/>
      <c r="C51" s="17">
        <v>480.03</v>
      </c>
      <c r="D51" s="18">
        <v>28.843</v>
      </c>
      <c r="E51" s="18">
        <v>34.456000000000003</v>
      </c>
      <c r="F51" s="18">
        <v>35.933</v>
      </c>
      <c r="G51" s="18">
        <v>64.099999999999994</v>
      </c>
      <c r="H51" s="18">
        <f t="shared" si="0"/>
        <v>30.430875</v>
      </c>
      <c r="I51" s="5"/>
      <c r="J51" s="17">
        <v>504.98</v>
      </c>
      <c r="K51" s="18">
        <v>28.965399999999999</v>
      </c>
      <c r="L51" s="18">
        <v>34.961599999999997</v>
      </c>
      <c r="M51" s="18">
        <v>36.486199999999997</v>
      </c>
      <c r="N51" s="18">
        <v>174.8252</v>
      </c>
      <c r="O51" s="18">
        <f t="shared" si="1"/>
        <v>30.655024999999998</v>
      </c>
      <c r="P51" s="7"/>
      <c r="Q51" s="10"/>
      <c r="R51" s="11"/>
      <c r="S51" s="11"/>
      <c r="T51" s="26"/>
      <c r="U51" s="28">
        <f t="shared" si="2"/>
        <v>1.7273822152886118</v>
      </c>
    </row>
    <row r="52" spans="1:21" ht="16.5" thickBot="1" x14ac:dyDescent="0.3">
      <c r="B52" s="12"/>
      <c r="C52" s="19">
        <v>290.83999999999997</v>
      </c>
      <c r="D52" s="20">
        <v>27.518000000000001</v>
      </c>
      <c r="E52" s="20">
        <v>33.552999999999997</v>
      </c>
      <c r="F52" s="20">
        <v>34.889000000000003</v>
      </c>
      <c r="G52" s="20">
        <v>73.959999999999994</v>
      </c>
      <c r="H52" s="20">
        <f t="shared" si="0"/>
        <v>29.193750000000001</v>
      </c>
      <c r="I52" s="5"/>
      <c r="J52" s="19">
        <v>302.53039999999999</v>
      </c>
      <c r="K52" s="20">
        <v>27.364899999999999</v>
      </c>
      <c r="L52" s="20">
        <v>34.018500000000003</v>
      </c>
      <c r="M52" s="20">
        <v>35.464100000000002</v>
      </c>
      <c r="N52" s="20">
        <v>228.833</v>
      </c>
      <c r="O52" s="20">
        <f t="shared" si="1"/>
        <v>29.209</v>
      </c>
      <c r="P52" s="7"/>
      <c r="Q52" s="13"/>
      <c r="R52" s="14"/>
      <c r="S52" s="14"/>
      <c r="T52" s="27"/>
      <c r="U52" s="28">
        <f t="shared" si="2"/>
        <v>2.0940102758247701</v>
      </c>
    </row>
    <row r="53" spans="1:21" x14ac:dyDescent="0.25">
      <c r="A53" s="6" t="s">
        <v>41</v>
      </c>
      <c r="B53" s="6" t="s">
        <v>57</v>
      </c>
      <c r="C53" s="15">
        <v>639.05999999999995</v>
      </c>
      <c r="D53" s="16">
        <v>33.51</v>
      </c>
      <c r="E53" s="16">
        <v>38.473999999999997</v>
      </c>
      <c r="F53" s="16">
        <v>37.188000000000002</v>
      </c>
      <c r="G53" s="16">
        <v>201.53</v>
      </c>
      <c r="H53" s="16">
        <f t="shared" si="0"/>
        <v>34.590249999999997</v>
      </c>
      <c r="I53" s="5"/>
      <c r="J53" s="15">
        <v>607.11440000000005</v>
      </c>
      <c r="K53" s="16">
        <v>34.029499999999999</v>
      </c>
      <c r="L53" s="16">
        <v>39.392699999999998</v>
      </c>
      <c r="M53" s="16">
        <v>37.852400000000003</v>
      </c>
      <c r="N53" s="16">
        <v>451.6712</v>
      </c>
      <c r="O53" s="16">
        <f t="shared" si="1"/>
        <v>35.1777625</v>
      </c>
      <c r="P53" s="7"/>
      <c r="Q53" s="8">
        <f>bdrate(C53:C56,D53:D56,J53:J56,K53:K56)</f>
        <v>-6.7987827513556254E-2</v>
      </c>
      <c r="R53" s="8">
        <f>bdrate(C53:C56,E53:E56,J53:J56,L53:L56)</f>
        <v>-0.32845793884911223</v>
      </c>
      <c r="S53" s="8">
        <f>bdrate(C53:C56,F53:F56,J53:J56,M53:M56)</f>
        <v>-0.24155748810099842</v>
      </c>
      <c r="T53" s="25">
        <f>bdrate(C53:C56,H53:H56,J53:J56,O53:O56)</f>
        <v>-0.10751709630978756</v>
      </c>
      <c r="U53" s="28">
        <f t="shared" si="2"/>
        <v>1.241210737855406</v>
      </c>
    </row>
    <row r="54" spans="1:21" x14ac:dyDescent="0.25">
      <c r="A54" s="9" t="s">
        <v>42</v>
      </c>
      <c r="B54" s="9"/>
      <c r="C54" s="17">
        <v>429.22</v>
      </c>
      <c r="D54" s="18">
        <v>31.97</v>
      </c>
      <c r="E54" s="18">
        <v>37.472999999999999</v>
      </c>
      <c r="F54" s="18">
        <v>36.043999999999997</v>
      </c>
      <c r="G54" s="18">
        <v>224.11</v>
      </c>
      <c r="H54" s="18">
        <f t="shared" si="0"/>
        <v>33.167124999999999</v>
      </c>
      <c r="I54" s="5"/>
      <c r="J54" s="17">
        <v>404.60079999999999</v>
      </c>
      <c r="K54" s="18">
        <v>32.252499999999998</v>
      </c>
      <c r="L54" s="18">
        <v>38.273099999999999</v>
      </c>
      <c r="M54" s="18">
        <v>36.603700000000003</v>
      </c>
      <c r="N54" s="18">
        <v>561.79780000000005</v>
      </c>
      <c r="O54" s="18">
        <f t="shared" si="1"/>
        <v>33.548974999999999</v>
      </c>
      <c r="P54" s="7"/>
      <c r="Q54" s="10"/>
      <c r="R54" s="11"/>
      <c r="S54" s="11"/>
      <c r="T54" s="26"/>
      <c r="U54" s="28">
        <f t="shared" si="2"/>
        <v>1.5067948775155058</v>
      </c>
    </row>
    <row r="55" spans="1:21" x14ac:dyDescent="0.25">
      <c r="B55" s="9"/>
      <c r="C55" s="17">
        <v>268.95999999999998</v>
      </c>
      <c r="D55" s="18">
        <v>30.349</v>
      </c>
      <c r="E55" s="18">
        <v>36.515000000000001</v>
      </c>
      <c r="F55" s="18">
        <v>34.854999999999997</v>
      </c>
      <c r="G55" s="18">
        <v>256.41000000000003</v>
      </c>
      <c r="H55" s="18">
        <f t="shared" si="0"/>
        <v>31.682999999999996</v>
      </c>
      <c r="I55" s="5"/>
      <c r="J55" s="17">
        <v>254.6448</v>
      </c>
      <c r="K55" s="18">
        <v>30.362300000000001</v>
      </c>
      <c r="L55" s="18">
        <v>37.235500000000002</v>
      </c>
      <c r="M55" s="18">
        <v>35.429400000000001</v>
      </c>
      <c r="N55" s="18">
        <v>654.45029999999997</v>
      </c>
      <c r="O55" s="18">
        <f t="shared" si="1"/>
        <v>31.854837500000002</v>
      </c>
      <c r="P55" s="7"/>
      <c r="Q55" s="10"/>
      <c r="R55" s="11"/>
      <c r="S55" s="11"/>
      <c r="T55" s="26"/>
      <c r="U55" s="28">
        <f t="shared" si="2"/>
        <v>1.5523587223587221</v>
      </c>
    </row>
    <row r="56" spans="1:21" ht="16.5" thickBot="1" x14ac:dyDescent="0.3">
      <c r="B56" s="12"/>
      <c r="C56" s="19">
        <v>128.41999999999999</v>
      </c>
      <c r="D56" s="20">
        <v>28</v>
      </c>
      <c r="E56" s="20">
        <v>35.084000000000003</v>
      </c>
      <c r="F56" s="20">
        <v>32.978999999999999</v>
      </c>
      <c r="G56" s="20">
        <v>311.33</v>
      </c>
      <c r="H56" s="20">
        <f t="shared" si="0"/>
        <v>29.507874999999999</v>
      </c>
      <c r="I56" s="5"/>
      <c r="J56" s="19">
        <v>122.768</v>
      </c>
      <c r="K56" s="20">
        <v>27.646100000000001</v>
      </c>
      <c r="L56" s="20">
        <v>35.734900000000003</v>
      </c>
      <c r="M56" s="20">
        <v>33.594299999999997</v>
      </c>
      <c r="N56" s="20">
        <v>943.39620000000002</v>
      </c>
      <c r="O56" s="20">
        <f t="shared" si="1"/>
        <v>29.400725000000001</v>
      </c>
      <c r="P56" s="7"/>
      <c r="Q56" s="13"/>
      <c r="R56" s="14"/>
      <c r="S56" s="14"/>
      <c r="T56" s="27"/>
      <c r="U56" s="28">
        <f t="shared" si="2"/>
        <v>2.0302129573121768</v>
      </c>
    </row>
    <row r="57" spans="1:21" x14ac:dyDescent="0.25">
      <c r="B57" s="6" t="s">
        <v>58</v>
      </c>
      <c r="C57" s="15">
        <v>556.13</v>
      </c>
      <c r="D57" s="16">
        <v>30.18</v>
      </c>
      <c r="E57" s="16">
        <v>38.613</v>
      </c>
      <c r="F57" s="16">
        <v>39.31</v>
      </c>
      <c r="G57" s="16">
        <v>312.83</v>
      </c>
      <c r="H57" s="16">
        <f t="shared" si="0"/>
        <v>32.375374999999998</v>
      </c>
      <c r="I57" s="5"/>
      <c r="J57" s="15">
        <v>605.17280000000005</v>
      </c>
      <c r="K57" s="16">
        <v>33.258800000000001</v>
      </c>
      <c r="L57" s="16">
        <v>41.142600000000002</v>
      </c>
      <c r="M57" s="16">
        <v>41.867100000000001</v>
      </c>
      <c r="N57" s="16">
        <v>534.28319999999997</v>
      </c>
      <c r="O57" s="16">
        <f t="shared" si="1"/>
        <v>35.3203125</v>
      </c>
      <c r="P57" s="7"/>
      <c r="Q57" s="8">
        <f>bdrate(C57:C60,D57:D60,J57:J60,K57:K60)</f>
        <v>-0.57755860147262394</v>
      </c>
      <c r="R57" s="8">
        <f>bdrate(C57:C60,E57:E60,J57:J60,L57:L60)</f>
        <v>-0.66579462258589428</v>
      </c>
      <c r="S57" s="8">
        <f>bdrate(C57:C60,F57:F60,J57:J60,M57:M60)</f>
        <v>-0.63467738774206217</v>
      </c>
      <c r="T57" s="25">
        <f>bdrate(C57:C60,H57:H60,J57:J60,O57:O60)</f>
        <v>-0.58809052870668177</v>
      </c>
      <c r="U57" s="28">
        <f t="shared" si="2"/>
        <v>0.70790269475433942</v>
      </c>
    </row>
    <row r="58" spans="1:21" x14ac:dyDescent="0.25">
      <c r="B58" s="9"/>
      <c r="C58" s="17">
        <v>367.45</v>
      </c>
      <c r="D58" s="18">
        <v>28.838999999999999</v>
      </c>
      <c r="E58" s="18">
        <v>38.183</v>
      </c>
      <c r="F58" s="18">
        <v>38.762999999999998</v>
      </c>
      <c r="G58" s="18">
        <v>359.5</v>
      </c>
      <c r="H58" s="18">
        <f t="shared" si="0"/>
        <v>31.247499999999999</v>
      </c>
      <c r="I58" s="5"/>
      <c r="J58" s="17">
        <v>402.33199999999999</v>
      </c>
      <c r="K58" s="18">
        <v>31.974</v>
      </c>
      <c r="L58" s="18">
        <v>40.319400000000002</v>
      </c>
      <c r="M58" s="18">
        <v>41.051000000000002</v>
      </c>
      <c r="N58" s="18">
        <v>686.49890000000005</v>
      </c>
      <c r="O58" s="18">
        <f t="shared" si="1"/>
        <v>34.151800000000001</v>
      </c>
      <c r="P58" s="7"/>
      <c r="Q58" s="10"/>
      <c r="R58" s="11"/>
      <c r="S58" s="11"/>
      <c r="T58" s="26"/>
      <c r="U58" s="28">
        <f t="shared" si="2"/>
        <v>0.90959360222531305</v>
      </c>
    </row>
    <row r="59" spans="1:21" x14ac:dyDescent="0.25">
      <c r="B59" s="9"/>
      <c r="C59" s="17">
        <v>229.47</v>
      </c>
      <c r="D59" s="18">
        <v>27.422999999999998</v>
      </c>
      <c r="E59" s="18">
        <v>37.771000000000001</v>
      </c>
      <c r="F59" s="18">
        <v>38.325000000000003</v>
      </c>
      <c r="G59" s="18">
        <v>392.41</v>
      </c>
      <c r="H59" s="18">
        <f t="shared" si="0"/>
        <v>30.079249999999995</v>
      </c>
      <c r="I59" s="5"/>
      <c r="J59" s="17">
        <v>252.79759999999999</v>
      </c>
      <c r="K59" s="18">
        <v>30.471399999999999</v>
      </c>
      <c r="L59" s="18">
        <v>39.327399999999997</v>
      </c>
      <c r="M59" s="18">
        <v>40.0015</v>
      </c>
      <c r="N59" s="18">
        <v>801.06809999999996</v>
      </c>
      <c r="O59" s="18">
        <f t="shared" si="1"/>
        <v>32.769662500000003</v>
      </c>
      <c r="P59" s="7"/>
      <c r="Q59" s="10"/>
      <c r="R59" s="11"/>
      <c r="S59" s="11"/>
      <c r="T59" s="26"/>
      <c r="U59" s="28">
        <f t="shared" si="2"/>
        <v>1.0414059274738154</v>
      </c>
    </row>
    <row r="60" spans="1:21" ht="16.5" thickBot="1" x14ac:dyDescent="0.3">
      <c r="B60" s="12"/>
      <c r="C60" s="19">
        <v>106.01</v>
      </c>
      <c r="D60" s="20">
        <v>25.094999999999999</v>
      </c>
      <c r="E60" s="20">
        <v>37.063000000000002</v>
      </c>
      <c r="F60" s="20">
        <v>37.323</v>
      </c>
      <c r="G60" s="20">
        <v>447.09</v>
      </c>
      <c r="H60" s="20">
        <f t="shared" si="0"/>
        <v>28.119499999999999</v>
      </c>
      <c r="I60" s="5"/>
      <c r="J60" s="19">
        <v>121.3056</v>
      </c>
      <c r="K60" s="20">
        <v>27.986699999999999</v>
      </c>
      <c r="L60" s="20">
        <v>38.073900000000002</v>
      </c>
      <c r="M60" s="20">
        <v>38.497399999999999</v>
      </c>
      <c r="N60" s="20">
        <v>1132.0754999999999</v>
      </c>
      <c r="O60" s="20">
        <f t="shared" si="1"/>
        <v>30.5614375</v>
      </c>
      <c r="P60" s="7"/>
      <c r="Q60" s="13"/>
      <c r="R60" s="14"/>
      <c r="S60" s="14"/>
      <c r="T60" s="27"/>
      <c r="U60" s="28">
        <f t="shared" si="2"/>
        <v>1.5320975642488091</v>
      </c>
    </row>
    <row r="61" spans="1:21" x14ac:dyDescent="0.25">
      <c r="B61" s="6" t="s">
        <v>59</v>
      </c>
      <c r="C61" s="29">
        <v>641.41</v>
      </c>
      <c r="D61" s="30">
        <v>31.187000000000001</v>
      </c>
      <c r="E61" s="30">
        <v>35.997999999999998</v>
      </c>
      <c r="F61" s="30">
        <v>36.554000000000002</v>
      </c>
      <c r="G61" s="16">
        <v>248.39</v>
      </c>
      <c r="H61" s="16">
        <f t="shared" si="0"/>
        <v>32.459249999999997</v>
      </c>
      <c r="I61" s="5"/>
      <c r="J61" s="29">
        <v>642.33040000000005</v>
      </c>
      <c r="K61" s="30">
        <v>32.861600000000003</v>
      </c>
      <c r="L61" s="30">
        <v>37.895800000000001</v>
      </c>
      <c r="M61" s="30">
        <v>38.674900000000001</v>
      </c>
      <c r="N61" s="16">
        <v>493.09660000000002</v>
      </c>
      <c r="O61" s="16">
        <f t="shared" si="1"/>
        <v>34.217537499999999</v>
      </c>
      <c r="P61" s="7"/>
      <c r="Q61" s="8">
        <f>bdrate(C61:C64,D61:D64,J61:J64,K61:K64)</f>
        <v>-0.34624572847760826</v>
      </c>
      <c r="R61" s="8">
        <f>bdrate(C61:C64,E61:E64,J61:J64,L61:L64)</f>
        <v>-0.56239479119449731</v>
      </c>
      <c r="S61" s="8">
        <f>bdrate(C61:C64,F61:F64,J61:J64,M61:M64)</f>
        <v>-0.59185806754517156</v>
      </c>
      <c r="T61" s="25">
        <f>bdrate(C61:C64,H61:H64,J61:J64,O61:O64)</f>
        <v>-0.39441507535693532</v>
      </c>
      <c r="U61" s="28">
        <f t="shared" si="2"/>
        <v>0.98517090059986334</v>
      </c>
    </row>
    <row r="62" spans="1:21" x14ac:dyDescent="0.25">
      <c r="B62" s="9"/>
      <c r="C62" s="31">
        <v>425.85</v>
      </c>
      <c r="D62" s="32">
        <v>29.783999999999999</v>
      </c>
      <c r="E62" s="32">
        <v>35.03</v>
      </c>
      <c r="F62" s="32">
        <v>35.570999999999998</v>
      </c>
      <c r="G62" s="18">
        <v>278.70999999999998</v>
      </c>
      <c r="H62" s="18">
        <f t="shared" si="0"/>
        <v>31.163125000000001</v>
      </c>
      <c r="I62" s="5"/>
      <c r="J62" s="31">
        <v>426.70639999999997</v>
      </c>
      <c r="K62" s="32">
        <v>31.338899999999999</v>
      </c>
      <c r="L62" s="32">
        <v>36.9373</v>
      </c>
      <c r="M62" s="32">
        <v>37.652099999999997</v>
      </c>
      <c r="N62" s="18">
        <v>604.59490000000005</v>
      </c>
      <c r="O62" s="18">
        <f t="shared" si="1"/>
        <v>32.827849999999998</v>
      </c>
      <c r="P62" s="7"/>
      <c r="Q62" s="10"/>
      <c r="R62" s="11"/>
      <c r="S62" s="11"/>
      <c r="T62" s="26"/>
      <c r="U62" s="28">
        <f t="shared" si="2"/>
        <v>1.1692615980768544</v>
      </c>
    </row>
    <row r="63" spans="1:21" x14ac:dyDescent="0.25">
      <c r="B63" s="9"/>
      <c r="C63" s="31">
        <v>264.64999999999998</v>
      </c>
      <c r="D63" s="32">
        <v>28.318000000000001</v>
      </c>
      <c r="E63" s="32">
        <v>34.161000000000001</v>
      </c>
      <c r="F63" s="32">
        <v>34.718000000000004</v>
      </c>
      <c r="G63" s="18">
        <v>311.14</v>
      </c>
      <c r="H63" s="18">
        <f t="shared" si="0"/>
        <v>29.848375000000004</v>
      </c>
      <c r="I63" s="5"/>
      <c r="J63" s="31">
        <v>266.38639999999998</v>
      </c>
      <c r="K63" s="32">
        <v>29.674099999999999</v>
      </c>
      <c r="L63" s="32">
        <v>35.839300000000001</v>
      </c>
      <c r="M63" s="32">
        <v>36.508600000000001</v>
      </c>
      <c r="N63" s="18">
        <v>745.15650000000005</v>
      </c>
      <c r="O63" s="18">
        <f t="shared" si="1"/>
        <v>31.299062500000002</v>
      </c>
      <c r="P63" s="7"/>
      <c r="Q63" s="10"/>
      <c r="R63" s="11"/>
      <c r="S63" s="11"/>
      <c r="T63" s="26"/>
      <c r="U63" s="28">
        <f t="shared" si="2"/>
        <v>1.3949235071029122</v>
      </c>
    </row>
    <row r="64" spans="1:21" ht="16.5" thickBot="1" x14ac:dyDescent="0.3">
      <c r="B64" s="12"/>
      <c r="C64" s="33">
        <v>124.87</v>
      </c>
      <c r="D64" s="34">
        <v>26.242999999999999</v>
      </c>
      <c r="E64" s="34">
        <v>32.799999999999997</v>
      </c>
      <c r="F64" s="34">
        <v>33.417999999999999</v>
      </c>
      <c r="G64" s="20">
        <v>372.58</v>
      </c>
      <c r="H64" s="20">
        <f t="shared" si="0"/>
        <v>27.959499999999998</v>
      </c>
      <c r="I64" s="5"/>
      <c r="J64" s="33">
        <v>130.17519999999999</v>
      </c>
      <c r="K64" s="34">
        <v>27.388300000000001</v>
      </c>
      <c r="L64" s="34">
        <v>34.308900000000001</v>
      </c>
      <c r="M64" s="34">
        <v>35.034599999999998</v>
      </c>
      <c r="N64" s="20">
        <v>1068.3761</v>
      </c>
      <c r="O64" s="20">
        <f t="shared" si="1"/>
        <v>29.209162499999998</v>
      </c>
      <c r="P64" s="7"/>
      <c r="Q64" s="13"/>
      <c r="R64" s="14"/>
      <c r="S64" s="14"/>
      <c r="T64" s="27"/>
      <c r="U64" s="28">
        <f t="shared" si="2"/>
        <v>1.8675079177626284</v>
      </c>
    </row>
    <row r="65" spans="1:21" x14ac:dyDescent="0.25">
      <c r="B65" s="6" t="s">
        <v>60</v>
      </c>
      <c r="C65" s="15">
        <v>582.86</v>
      </c>
      <c r="D65" s="16">
        <v>32.643999999999998</v>
      </c>
      <c r="E65" s="16">
        <v>36.655000000000001</v>
      </c>
      <c r="F65" s="16">
        <v>37.756999999999998</v>
      </c>
      <c r="G65" s="16">
        <v>165.75</v>
      </c>
      <c r="H65" s="16">
        <f t="shared" si="0"/>
        <v>33.784499999999994</v>
      </c>
      <c r="I65" s="5"/>
      <c r="J65" s="15">
        <v>609.8048</v>
      </c>
      <c r="K65" s="16">
        <v>33.411999999999999</v>
      </c>
      <c r="L65" s="16">
        <v>37.405000000000001</v>
      </c>
      <c r="M65" s="16">
        <v>38.474600000000002</v>
      </c>
      <c r="N65" s="16">
        <v>337.07870000000003</v>
      </c>
      <c r="O65" s="16">
        <f t="shared" si="1"/>
        <v>34.543949999999995</v>
      </c>
      <c r="P65" s="7"/>
      <c r="Q65" s="8">
        <f>bdrate(C65:C68,D65:D68,J65:J68,K65:K68)</f>
        <v>-5.9217578714340191E-2</v>
      </c>
      <c r="R65" s="8">
        <f>bdrate(C65:C68,E65:E68,J65:J68,L65:L68)</f>
        <v>-0.22884459510605015</v>
      </c>
      <c r="S65" s="8">
        <f>bdrate(C65:C68,F65:F68,J65:J68,M65:M68)</f>
        <v>-0.23848768105048657</v>
      </c>
      <c r="T65" s="25">
        <f>bdrate(C65:C68,H65:H68,J65:J68,O65:O68)</f>
        <v>-9.5961019125057168E-2</v>
      </c>
      <c r="U65" s="28">
        <f t="shared" si="2"/>
        <v>1.033657315233786</v>
      </c>
    </row>
    <row r="66" spans="1:21" x14ac:dyDescent="0.25">
      <c r="B66" s="9"/>
      <c r="C66" s="17">
        <v>390.46</v>
      </c>
      <c r="D66" s="18">
        <v>31.132000000000001</v>
      </c>
      <c r="E66" s="18">
        <v>35.609000000000002</v>
      </c>
      <c r="F66" s="18">
        <v>36.652000000000001</v>
      </c>
      <c r="G66" s="18">
        <v>179.75</v>
      </c>
      <c r="H66" s="18">
        <f t="shared" si="0"/>
        <v>32.381625</v>
      </c>
      <c r="I66" s="5"/>
      <c r="J66" s="17">
        <v>404.41680000000002</v>
      </c>
      <c r="K66" s="18">
        <v>31.671700000000001</v>
      </c>
      <c r="L66" s="18">
        <v>36.359699999999997</v>
      </c>
      <c r="M66" s="18">
        <v>37.435499999999998</v>
      </c>
      <c r="N66" s="18">
        <v>427.35039999999998</v>
      </c>
      <c r="O66" s="18">
        <f t="shared" si="1"/>
        <v>32.978175</v>
      </c>
      <c r="P66" s="7"/>
      <c r="Q66" s="10"/>
      <c r="R66" s="11"/>
      <c r="S66" s="11"/>
      <c r="T66" s="26"/>
      <c r="U66" s="28">
        <f t="shared" si="2"/>
        <v>1.3774709318497913</v>
      </c>
    </row>
    <row r="67" spans="1:21" x14ac:dyDescent="0.25">
      <c r="B67" s="9"/>
      <c r="C67" s="17">
        <v>245.46</v>
      </c>
      <c r="D67" s="18">
        <v>29.599</v>
      </c>
      <c r="E67" s="18">
        <v>34.603999999999999</v>
      </c>
      <c r="F67" s="18">
        <v>35.564</v>
      </c>
      <c r="G67" s="18">
        <v>206.9</v>
      </c>
      <c r="H67" s="18">
        <f t="shared" si="0"/>
        <v>30.970249999999997</v>
      </c>
      <c r="I67" s="5"/>
      <c r="J67" s="17">
        <v>252.7544</v>
      </c>
      <c r="K67" s="18">
        <v>29.877700000000001</v>
      </c>
      <c r="L67" s="18">
        <v>35.194099999999999</v>
      </c>
      <c r="M67" s="18">
        <v>36.2453</v>
      </c>
      <c r="N67" s="18">
        <v>505.90219999999999</v>
      </c>
      <c r="O67" s="18">
        <f t="shared" si="1"/>
        <v>31.338200000000001</v>
      </c>
      <c r="P67" s="7"/>
      <c r="Q67" s="10"/>
      <c r="R67" s="11"/>
      <c r="S67" s="11"/>
      <c r="T67" s="26"/>
      <c r="U67" s="28">
        <f t="shared" si="2"/>
        <v>1.4451532141130981</v>
      </c>
    </row>
    <row r="68" spans="1:21" ht="16.5" thickBot="1" x14ac:dyDescent="0.3">
      <c r="B68" s="12"/>
      <c r="C68" s="19">
        <v>117.94</v>
      </c>
      <c r="D68" s="20">
        <v>27.460999999999999</v>
      </c>
      <c r="E68" s="20">
        <v>32.972000000000001</v>
      </c>
      <c r="F68" s="20">
        <v>33.832999999999998</v>
      </c>
      <c r="G68" s="20">
        <v>256.41000000000003</v>
      </c>
      <c r="H68" s="20">
        <f t="shared" si="0"/>
        <v>28.946375</v>
      </c>
      <c r="I68" s="5"/>
      <c r="J68" s="19">
        <v>121.724</v>
      </c>
      <c r="K68" s="20">
        <v>27.463799999999999</v>
      </c>
      <c r="L68" s="20">
        <v>33.731499999999997</v>
      </c>
      <c r="M68" s="20">
        <v>34.6708</v>
      </c>
      <c r="N68" s="20">
        <v>740.74069999999995</v>
      </c>
      <c r="O68" s="20">
        <f t="shared" si="1"/>
        <v>29.148137499999997</v>
      </c>
      <c r="P68" s="7"/>
      <c r="Q68" s="13"/>
      <c r="R68" s="14"/>
      <c r="S68" s="14"/>
      <c r="T68" s="27"/>
      <c r="U68" s="28">
        <f t="shared" si="2"/>
        <v>1.8888916188916185</v>
      </c>
    </row>
    <row r="69" spans="1:21" x14ac:dyDescent="0.25">
      <c r="A69" s="6" t="s">
        <v>43</v>
      </c>
      <c r="B69" s="6" t="s">
        <v>61</v>
      </c>
      <c r="C69" s="15">
        <v>1389.93</v>
      </c>
      <c r="D69" s="16">
        <v>39.808999999999997</v>
      </c>
      <c r="E69" s="16">
        <v>44.103000000000002</v>
      </c>
      <c r="F69" s="16">
        <v>45.277000000000001</v>
      </c>
      <c r="G69" s="16">
        <v>53.42</v>
      </c>
      <c r="H69" s="16">
        <f t="shared" si="0"/>
        <v>41.029249999999998</v>
      </c>
      <c r="I69" s="5"/>
      <c r="J69" s="15">
        <v>1498.5655999999999</v>
      </c>
      <c r="K69" s="16">
        <v>41.147399999999998</v>
      </c>
      <c r="L69" s="16">
        <v>45.509399999999999</v>
      </c>
      <c r="M69" s="16">
        <v>46.708599999999997</v>
      </c>
      <c r="N69" s="16">
        <v>141.37610000000001</v>
      </c>
      <c r="O69" s="16">
        <f t="shared" si="1"/>
        <v>42.387799999999991</v>
      </c>
      <c r="P69" s="7"/>
      <c r="Q69" s="8">
        <f>bdrate(C69:C72,D69:D72,J69:J72,K69:K72)</f>
        <v>-0.27926952091865997</v>
      </c>
      <c r="R69" s="8">
        <f>bdrate(C69:C72,E69:E72,J69:J72,L69:L72)</f>
        <v>-0.3821929715428809</v>
      </c>
      <c r="S69" s="8">
        <f>bdrate(C69:C72,F69:F72,J69:J72,M69:M72)</f>
        <v>-0.3637464144275665</v>
      </c>
      <c r="T69" s="25">
        <f>bdrate(C69:C72,H69:H72,J69:J72,O69:O72)</f>
        <v>-0.2956459530827541</v>
      </c>
      <c r="U69" s="28">
        <f t="shared" si="2"/>
        <v>1.6465013103706478</v>
      </c>
    </row>
    <row r="70" spans="1:21" x14ac:dyDescent="0.25">
      <c r="A70" s="9" t="s">
        <v>44</v>
      </c>
      <c r="B70" s="9"/>
      <c r="C70" s="17">
        <v>917.35</v>
      </c>
      <c r="D70" s="18">
        <v>38.454000000000001</v>
      </c>
      <c r="E70" s="18">
        <v>43.052999999999997</v>
      </c>
      <c r="F70" s="18">
        <v>44.213999999999999</v>
      </c>
      <c r="G70" s="18">
        <v>56.64</v>
      </c>
      <c r="H70" s="18">
        <f t="shared" si="0"/>
        <v>39.748874999999998</v>
      </c>
      <c r="I70" s="5"/>
      <c r="J70" s="17">
        <v>984.48879999999997</v>
      </c>
      <c r="K70" s="18">
        <v>40.036900000000003</v>
      </c>
      <c r="L70" s="18">
        <v>44.619199999999999</v>
      </c>
      <c r="M70" s="18">
        <v>45.7821</v>
      </c>
      <c r="N70" s="18">
        <v>160.25640000000001</v>
      </c>
      <c r="O70" s="18">
        <f t="shared" si="1"/>
        <v>41.327837500000001</v>
      </c>
      <c r="P70" s="7"/>
      <c r="Q70" s="10"/>
      <c r="R70" s="11"/>
      <c r="S70" s="11"/>
      <c r="T70" s="26"/>
      <c r="U70" s="28">
        <f t="shared" si="2"/>
        <v>1.8293855932203391</v>
      </c>
    </row>
    <row r="71" spans="1:21" x14ac:dyDescent="0.25">
      <c r="B71" s="9"/>
      <c r="C71" s="17">
        <v>544.66</v>
      </c>
      <c r="D71" s="18">
        <v>36.58</v>
      </c>
      <c r="E71" s="18">
        <v>42.073</v>
      </c>
      <c r="F71" s="18">
        <v>43.143000000000001</v>
      </c>
      <c r="G71" s="18">
        <v>64.53</v>
      </c>
      <c r="H71" s="18">
        <f t="shared" si="0"/>
        <v>38.087000000000003</v>
      </c>
      <c r="I71" s="5"/>
      <c r="J71" s="17">
        <v>575.08799999999997</v>
      </c>
      <c r="K71" s="18">
        <v>38.105200000000004</v>
      </c>
      <c r="L71" s="18">
        <v>43.235799999999998</v>
      </c>
      <c r="M71" s="18">
        <v>44.288800000000002</v>
      </c>
      <c r="N71" s="18">
        <v>183.15020000000001</v>
      </c>
      <c r="O71" s="18">
        <f t="shared" si="1"/>
        <v>39.519475</v>
      </c>
      <c r="P71" s="7"/>
      <c r="Q71" s="10"/>
      <c r="R71" s="11"/>
      <c r="S71" s="11"/>
      <c r="T71" s="26"/>
      <c r="U71" s="28">
        <f t="shared" si="2"/>
        <v>1.8382178831551217</v>
      </c>
    </row>
    <row r="72" spans="1:21" ht="16.5" thickBot="1" x14ac:dyDescent="0.3">
      <c r="B72" s="12"/>
      <c r="C72" s="19">
        <v>259.68</v>
      </c>
      <c r="D72" s="20">
        <v>34.432000000000002</v>
      </c>
      <c r="E72" s="20">
        <v>41.05</v>
      </c>
      <c r="F72" s="20">
        <v>41.984000000000002</v>
      </c>
      <c r="G72" s="20">
        <v>85.85</v>
      </c>
      <c r="H72" s="20">
        <f t="shared" si="0"/>
        <v>36.203249999999997</v>
      </c>
      <c r="I72" s="5"/>
      <c r="J72" s="19">
        <v>282.00880000000001</v>
      </c>
      <c r="K72" s="20">
        <v>34.999099999999999</v>
      </c>
      <c r="L72" s="20">
        <v>41.478299999999997</v>
      </c>
      <c r="M72" s="20">
        <v>42.502699999999997</v>
      </c>
      <c r="N72" s="20">
        <v>222.30459999999999</v>
      </c>
      <c r="O72" s="20">
        <f t="shared" si="1"/>
        <v>36.746949999999998</v>
      </c>
      <c r="P72" s="7"/>
      <c r="Q72" s="13"/>
      <c r="R72" s="14"/>
      <c r="S72" s="14"/>
      <c r="T72" s="27"/>
      <c r="U72" s="28">
        <f t="shared" si="2"/>
        <v>1.5894536983110077</v>
      </c>
    </row>
    <row r="73" spans="1:21" x14ac:dyDescent="0.25">
      <c r="B73" s="6" t="s">
        <v>62</v>
      </c>
      <c r="C73" s="15">
        <v>1436.16</v>
      </c>
      <c r="D73" s="16">
        <v>41.62</v>
      </c>
      <c r="E73" s="16">
        <v>46.527000000000001</v>
      </c>
      <c r="F73" s="16">
        <v>47.133000000000003</v>
      </c>
      <c r="G73" s="16">
        <v>55.03</v>
      </c>
      <c r="H73" s="16">
        <f t="shared" si="0"/>
        <v>42.922499999999992</v>
      </c>
      <c r="I73" s="5"/>
      <c r="J73" s="15">
        <v>1488.0216</v>
      </c>
      <c r="K73" s="16">
        <v>42.498800000000003</v>
      </c>
      <c r="L73" s="16">
        <v>47.5901</v>
      </c>
      <c r="M73" s="16">
        <v>48.219299999999997</v>
      </c>
      <c r="N73" s="16">
        <v>155.0788</v>
      </c>
      <c r="O73" s="16">
        <f t="shared" si="1"/>
        <v>43.850274999999996</v>
      </c>
      <c r="P73" s="7"/>
      <c r="Q73" s="8">
        <f>bdrate(C73:C76,D73:D76,J73:J76,K73:K76)</f>
        <v>-0.39641862232522906</v>
      </c>
      <c r="R73" s="8">
        <f>bdrate(C73:C76,E73:E76,J73:J76,L73:L76)</f>
        <v>-0.48382129758718173</v>
      </c>
      <c r="S73" s="8">
        <f>bdrate(C73:C76,F73:F76,J73:J76,M73:M76)</f>
        <v>-0.51059698321151692</v>
      </c>
      <c r="T73" s="25">
        <f>bdrate(C73:C76,H73:H76,J73:J76,O73:O76)</f>
        <v>-0.42280167406051861</v>
      </c>
      <c r="U73" s="28">
        <f t="shared" ref="U73:U124" si="3">(N73-G73)/G73</f>
        <v>1.8180774123205523</v>
      </c>
    </row>
    <row r="74" spans="1:21" x14ac:dyDescent="0.25">
      <c r="B74" s="9"/>
      <c r="C74" s="17">
        <v>950.67</v>
      </c>
      <c r="D74" s="18">
        <v>40.945999999999998</v>
      </c>
      <c r="E74" s="18">
        <v>45.841999999999999</v>
      </c>
      <c r="F74" s="18">
        <v>46.405999999999999</v>
      </c>
      <c r="G74" s="18">
        <v>61.14</v>
      </c>
      <c r="H74" s="18">
        <f t="shared" si="0"/>
        <v>42.240499999999997</v>
      </c>
      <c r="I74" s="5"/>
      <c r="J74" s="17">
        <v>978.94560000000001</v>
      </c>
      <c r="K74" s="18">
        <v>41.936199999999999</v>
      </c>
      <c r="L74" s="18">
        <v>47.138100000000001</v>
      </c>
      <c r="M74" s="18">
        <v>47.7821</v>
      </c>
      <c r="N74" s="18">
        <v>182.26</v>
      </c>
      <c r="O74" s="18">
        <f t="shared" si="1"/>
        <v>43.317174999999999</v>
      </c>
      <c r="P74" s="7"/>
      <c r="Q74" s="10"/>
      <c r="R74" s="11"/>
      <c r="S74" s="11"/>
      <c r="T74" s="26"/>
      <c r="U74" s="28">
        <f t="shared" si="3"/>
        <v>1.9810271508014392</v>
      </c>
    </row>
    <row r="75" spans="1:21" x14ac:dyDescent="0.25">
      <c r="B75" s="9"/>
      <c r="C75" s="17">
        <v>562.48</v>
      </c>
      <c r="D75" s="18">
        <v>39.950000000000003</v>
      </c>
      <c r="E75" s="18">
        <v>44.927999999999997</v>
      </c>
      <c r="F75" s="18">
        <v>45.381999999999998</v>
      </c>
      <c r="G75" s="18">
        <v>77.540000000000006</v>
      </c>
      <c r="H75" s="18">
        <f t="shared" si="0"/>
        <v>41.251250000000006</v>
      </c>
      <c r="I75" s="5"/>
      <c r="J75" s="17">
        <v>581.29200000000003</v>
      </c>
      <c r="K75" s="18">
        <v>41.063499999999998</v>
      </c>
      <c r="L75" s="18">
        <v>46.297600000000003</v>
      </c>
      <c r="M75" s="18">
        <v>46.933900000000001</v>
      </c>
      <c r="N75" s="18">
        <v>202.42910000000001</v>
      </c>
      <c r="O75" s="18">
        <f t="shared" si="1"/>
        <v>42.451562499999994</v>
      </c>
      <c r="P75" s="7"/>
      <c r="Q75" s="10"/>
      <c r="R75" s="11"/>
      <c r="S75" s="11"/>
      <c r="T75" s="26"/>
      <c r="U75" s="28">
        <f t="shared" si="3"/>
        <v>1.6106409595047715</v>
      </c>
    </row>
    <row r="76" spans="1:21" ht="16.5" thickBot="1" x14ac:dyDescent="0.3">
      <c r="B76" s="12"/>
      <c r="C76" s="19">
        <v>269.95999999999998</v>
      </c>
      <c r="D76" s="20">
        <v>38.088000000000001</v>
      </c>
      <c r="E76" s="20">
        <v>43.744999999999997</v>
      </c>
      <c r="F76" s="20">
        <v>44.005000000000003</v>
      </c>
      <c r="G76" s="20">
        <v>87.81</v>
      </c>
      <c r="H76" s="20">
        <f t="shared" si="0"/>
        <v>39.534750000000003</v>
      </c>
      <c r="I76" s="5"/>
      <c r="J76" s="19">
        <v>282.16239999999999</v>
      </c>
      <c r="K76" s="20">
        <v>39.276600000000002</v>
      </c>
      <c r="L76" s="20">
        <v>44.545099999999998</v>
      </c>
      <c r="M76" s="20">
        <v>45.156799999999997</v>
      </c>
      <c r="N76" s="20">
        <v>234.4666</v>
      </c>
      <c r="O76" s="20">
        <f t="shared" si="1"/>
        <v>40.670187499999997</v>
      </c>
      <c r="P76" s="7"/>
      <c r="Q76" s="13"/>
      <c r="R76" s="14"/>
      <c r="S76" s="14"/>
      <c r="T76" s="27"/>
      <c r="U76" s="28">
        <f t="shared" si="3"/>
        <v>1.6701582963216033</v>
      </c>
    </row>
    <row r="77" spans="1:21" x14ac:dyDescent="0.25">
      <c r="B77" s="6" t="s">
        <v>63</v>
      </c>
      <c r="C77" s="15">
        <v>1506.51</v>
      </c>
      <c r="D77" s="16">
        <v>41.381999999999998</v>
      </c>
      <c r="E77" s="16">
        <v>45.531999999999996</v>
      </c>
      <c r="F77" s="16">
        <v>46.335000000000001</v>
      </c>
      <c r="G77" s="16">
        <v>50.74</v>
      </c>
      <c r="H77" s="16">
        <f t="shared" si="0"/>
        <v>42.519874999999992</v>
      </c>
      <c r="I77" s="5"/>
      <c r="J77" s="15">
        <v>1532.9408000000001</v>
      </c>
      <c r="K77" s="16">
        <v>42.372199999999999</v>
      </c>
      <c r="L77" s="16">
        <v>46.6648</v>
      </c>
      <c r="M77" s="16">
        <v>47.5501</v>
      </c>
      <c r="N77" s="16">
        <v>136.89250000000001</v>
      </c>
      <c r="O77" s="16">
        <f t="shared" si="1"/>
        <v>43.556012500000001</v>
      </c>
      <c r="P77" s="7"/>
      <c r="Q77" s="8">
        <f>bdrate(C77:C80,D77:D80,J77:J80,K77:K80)</f>
        <v>-0.34015540702699121</v>
      </c>
      <c r="R77" s="8">
        <f>bdrate(C77:C80,E77:E80,J77:J80,L77:L80)</f>
        <v>-0.39585726223786943</v>
      </c>
      <c r="S77" s="8">
        <f>bdrate(C77:C80,F77:F80,J77:J80,M77:M80)</f>
        <v>-0.36708000525768381</v>
      </c>
      <c r="T77" s="25">
        <f>bdrate(C77:C80,H77:H80,J77:J80,O77:O80)</f>
        <v>-0.34932219379573193</v>
      </c>
      <c r="U77" s="28">
        <f t="shared" si="3"/>
        <v>1.6979207725660228</v>
      </c>
    </row>
    <row r="78" spans="1:21" x14ac:dyDescent="0.25">
      <c r="B78" s="9"/>
      <c r="C78" s="17">
        <v>997.43</v>
      </c>
      <c r="D78" s="18">
        <v>40.338000000000001</v>
      </c>
      <c r="E78" s="18">
        <v>44.648000000000003</v>
      </c>
      <c r="F78" s="18">
        <v>45.463000000000001</v>
      </c>
      <c r="G78" s="18">
        <v>56.56</v>
      </c>
      <c r="H78" s="18">
        <f t="shared" si="0"/>
        <v>41.517375000000008</v>
      </c>
      <c r="I78" s="5"/>
      <c r="J78" s="17">
        <v>1016.84</v>
      </c>
      <c r="K78" s="18">
        <v>41.548999999999999</v>
      </c>
      <c r="L78" s="18">
        <v>45.914999999999999</v>
      </c>
      <c r="M78" s="18">
        <v>46.767400000000002</v>
      </c>
      <c r="N78" s="18">
        <v>158.89830000000001</v>
      </c>
      <c r="O78" s="18">
        <f t="shared" si="1"/>
        <v>42.747050000000002</v>
      </c>
      <c r="P78" s="7"/>
      <c r="Q78" s="10"/>
      <c r="R78" s="11"/>
      <c r="S78" s="11"/>
      <c r="T78" s="26"/>
      <c r="U78" s="28">
        <f t="shared" si="3"/>
        <v>1.8093758840169731</v>
      </c>
    </row>
    <row r="79" spans="1:21" x14ac:dyDescent="0.25">
      <c r="B79" s="9"/>
      <c r="C79" s="17">
        <v>592.64</v>
      </c>
      <c r="D79" s="18">
        <v>38.78</v>
      </c>
      <c r="E79" s="18">
        <v>43.375999999999998</v>
      </c>
      <c r="F79" s="18">
        <v>44.317999999999998</v>
      </c>
      <c r="G79" s="18">
        <v>71.349999999999994</v>
      </c>
      <c r="H79" s="18">
        <f t="shared" si="0"/>
        <v>40.046749999999996</v>
      </c>
      <c r="I79" s="5"/>
      <c r="J79" s="17">
        <v>605.97919999999999</v>
      </c>
      <c r="K79" s="18">
        <v>40.194099999999999</v>
      </c>
      <c r="L79" s="18">
        <v>44.752400000000002</v>
      </c>
      <c r="M79" s="18">
        <v>45.529899999999998</v>
      </c>
      <c r="N79" s="18">
        <v>178.89089999999999</v>
      </c>
      <c r="O79" s="18">
        <f t="shared" si="1"/>
        <v>41.430862500000003</v>
      </c>
      <c r="P79" s="7"/>
      <c r="Q79" s="10"/>
      <c r="R79" s="11"/>
      <c r="S79" s="11"/>
      <c r="T79" s="26"/>
      <c r="U79" s="28">
        <f t="shared" si="3"/>
        <v>1.5072305536089698</v>
      </c>
    </row>
    <row r="80" spans="1:21" ht="16.5" thickBot="1" x14ac:dyDescent="0.3">
      <c r="B80" s="12"/>
      <c r="C80" s="19">
        <v>286.72000000000003</v>
      </c>
      <c r="D80" s="20">
        <v>36.561999999999998</v>
      </c>
      <c r="E80" s="20">
        <v>42.082999999999998</v>
      </c>
      <c r="F80" s="20">
        <v>43.018999999999998</v>
      </c>
      <c r="G80" s="20">
        <v>82.71</v>
      </c>
      <c r="H80" s="20">
        <f t="shared" si="0"/>
        <v>38.059249999999999</v>
      </c>
      <c r="I80" s="5"/>
      <c r="J80" s="19">
        <v>294.91039999999998</v>
      </c>
      <c r="K80" s="20">
        <v>37.561</v>
      </c>
      <c r="L80" s="20">
        <v>42.656100000000002</v>
      </c>
      <c r="M80" s="20">
        <v>43.444800000000001</v>
      </c>
      <c r="N80" s="20">
        <v>216.06049999999999</v>
      </c>
      <c r="O80" s="20">
        <f t="shared" si="1"/>
        <v>38.933362499999994</v>
      </c>
      <c r="P80" s="7"/>
      <c r="Q80" s="13"/>
      <c r="R80" s="14"/>
      <c r="S80" s="14"/>
      <c r="T80" s="27"/>
      <c r="U80" s="28">
        <f t="shared" si="3"/>
        <v>1.6122657477934956</v>
      </c>
    </row>
    <row r="81" spans="1:21" x14ac:dyDescent="0.25">
      <c r="A81" s="6" t="s">
        <v>102</v>
      </c>
      <c r="B81" s="6" t="s">
        <v>103</v>
      </c>
      <c r="C81" s="29">
        <v>1209.01</v>
      </c>
      <c r="D81" s="30">
        <v>41.692</v>
      </c>
      <c r="E81" s="30">
        <v>47.286000000000001</v>
      </c>
      <c r="F81" s="30">
        <v>48.220999999999997</v>
      </c>
      <c r="G81" s="16">
        <v>34.630000000000003</v>
      </c>
      <c r="H81" s="16">
        <f t="shared" ref="H81:H124" si="4">(6*D81+E81+F81)/8</f>
        <v>43.207374999999999</v>
      </c>
      <c r="I81" s="5"/>
      <c r="J81" s="15">
        <v>1297.0123000000001</v>
      </c>
      <c r="K81" s="16">
        <v>42.966299999999997</v>
      </c>
      <c r="L81" s="16">
        <v>48.245100000000001</v>
      </c>
      <c r="M81" s="16">
        <v>49.566600000000001</v>
      </c>
      <c r="N81" s="16">
        <v>85.340400000000002</v>
      </c>
      <c r="O81" s="16">
        <f t="shared" ref="O81:O124" si="5">(6*K81+L81+M81)/8</f>
        <v>44.451187499999996</v>
      </c>
      <c r="P81" s="7"/>
      <c r="Q81" s="8">
        <f>bdrate(C81:C84,D81:D84,J81:J84,K81:K84)</f>
        <v>-0.25660917462088739</v>
      </c>
      <c r="R81" s="8">
        <f>bdrate(C81:C84,E81:E84,J81:J84,L81:L84)</f>
        <v>-0.35905620079595502</v>
      </c>
      <c r="S81" s="8">
        <f>bdrate(C81:C84,F81:F84,J81:J84,M81:M84)</f>
        <v>-0.35787356415801819</v>
      </c>
      <c r="T81" s="25">
        <f>bdrate(C81:C84,H81:H84,J81:J84,O81:O84)</f>
        <v>-0.27885243401051574</v>
      </c>
      <c r="U81" s="28">
        <f t="shared" si="3"/>
        <v>1.4643488304937915</v>
      </c>
    </row>
    <row r="82" spans="1:21" x14ac:dyDescent="0.25">
      <c r="A82" s="9" t="s">
        <v>78</v>
      </c>
      <c r="B82" s="9"/>
      <c r="C82" s="31">
        <v>808.92</v>
      </c>
      <c r="D82" s="32">
        <v>39.585999999999999</v>
      </c>
      <c r="E82" s="32">
        <v>45.71</v>
      </c>
      <c r="F82" s="32">
        <v>46.779000000000003</v>
      </c>
      <c r="G82" s="18">
        <v>37.93</v>
      </c>
      <c r="H82" s="18">
        <f t="shared" si="4"/>
        <v>41.250624999999999</v>
      </c>
      <c r="I82" s="5"/>
      <c r="J82" s="17">
        <v>893.04309999999998</v>
      </c>
      <c r="K82" s="18">
        <v>41.528100000000002</v>
      </c>
      <c r="L82" s="18">
        <v>47.725900000000003</v>
      </c>
      <c r="M82" s="18">
        <v>48.490699999999997</v>
      </c>
      <c r="N82" s="18">
        <v>101.1293</v>
      </c>
      <c r="O82" s="18">
        <f t="shared" si="5"/>
        <v>43.173150000000007</v>
      </c>
      <c r="P82" s="7"/>
      <c r="Q82" s="10"/>
      <c r="R82" s="11"/>
      <c r="S82" s="11"/>
      <c r="T82" s="26"/>
      <c r="U82" s="28">
        <f t="shared" si="3"/>
        <v>1.6662088056947009</v>
      </c>
    </row>
    <row r="83" spans="1:21" x14ac:dyDescent="0.25">
      <c r="B83" s="9"/>
      <c r="C83" s="31">
        <v>490.42</v>
      </c>
      <c r="D83" s="32">
        <v>37.491</v>
      </c>
      <c r="E83" s="32">
        <v>43.927999999999997</v>
      </c>
      <c r="F83" s="32">
        <v>45.097999999999999</v>
      </c>
      <c r="G83" s="18">
        <v>43.36</v>
      </c>
      <c r="H83" s="18">
        <f t="shared" si="4"/>
        <v>39.246500000000005</v>
      </c>
      <c r="I83" s="5"/>
      <c r="J83" s="17">
        <v>554.93050000000005</v>
      </c>
      <c r="K83" s="18">
        <v>39.2639</v>
      </c>
      <c r="L83" s="18">
        <v>45.9895</v>
      </c>
      <c r="M83" s="18">
        <v>46.940600000000003</v>
      </c>
      <c r="N83" s="18">
        <v>122.6242</v>
      </c>
      <c r="O83" s="18">
        <f t="shared" si="5"/>
        <v>41.064187500000003</v>
      </c>
      <c r="P83" s="7"/>
      <c r="Q83" s="10"/>
      <c r="R83" s="11"/>
      <c r="S83" s="11"/>
      <c r="T83" s="26"/>
      <c r="U83" s="28">
        <f t="shared" si="3"/>
        <v>1.82804889298893</v>
      </c>
    </row>
    <row r="84" spans="1:21" ht="16.5" thickBot="1" x14ac:dyDescent="0.3">
      <c r="B84" s="12"/>
      <c r="C84" s="33">
        <v>249.38</v>
      </c>
      <c r="D84" s="34">
        <v>34.552</v>
      </c>
      <c r="E84" s="34">
        <v>41.731000000000002</v>
      </c>
      <c r="F84" s="34">
        <v>42.889000000000003</v>
      </c>
      <c r="G84" s="20">
        <v>51.72</v>
      </c>
      <c r="H84" s="20">
        <f t="shared" si="4"/>
        <v>36.491500000000002</v>
      </c>
      <c r="I84" s="5"/>
      <c r="J84" s="19">
        <v>288.1576</v>
      </c>
      <c r="K84" s="20">
        <v>36.491199999999999</v>
      </c>
      <c r="L84" s="20">
        <v>43.479300000000002</v>
      </c>
      <c r="M84" s="20">
        <v>45.069499999999998</v>
      </c>
      <c r="N84" s="20">
        <v>158.9264</v>
      </c>
      <c r="O84" s="20">
        <f t="shared" si="5"/>
        <v>38.437000000000005</v>
      </c>
      <c r="P84" s="7"/>
      <c r="Q84" s="13"/>
      <c r="R84" s="14"/>
      <c r="S84" s="14"/>
      <c r="T84" s="27"/>
      <c r="U84" s="28">
        <f t="shared" si="3"/>
        <v>2.0728228924980665</v>
      </c>
    </row>
    <row r="85" spans="1:21" x14ac:dyDescent="0.25">
      <c r="B85" s="6" t="s">
        <v>104</v>
      </c>
      <c r="C85" s="15">
        <v>1476</v>
      </c>
      <c r="D85" s="16">
        <v>48.845999999999997</v>
      </c>
      <c r="E85" s="16">
        <v>49.991</v>
      </c>
      <c r="F85" s="16">
        <v>50.442</v>
      </c>
      <c r="G85" s="16">
        <v>58.87</v>
      </c>
      <c r="H85" s="16">
        <f t="shared" si="4"/>
        <v>49.188624999999995</v>
      </c>
      <c r="I85" s="5"/>
      <c r="J85" s="15">
        <v>1445.0987</v>
      </c>
      <c r="K85" s="16">
        <v>51.581299999999999</v>
      </c>
      <c r="L85" s="16">
        <v>52.011499999999998</v>
      </c>
      <c r="M85" s="16">
        <v>52.457000000000001</v>
      </c>
      <c r="N85" s="16">
        <v>141.0548</v>
      </c>
      <c r="O85" s="16">
        <f t="shared" si="5"/>
        <v>51.7445375</v>
      </c>
      <c r="P85" s="7"/>
      <c r="Q85" s="8">
        <f>bdrate(C85:C88,D85:D88,J85:J88,K85:K88)</f>
        <v>-0.41464783143705219</v>
      </c>
      <c r="R85" s="8">
        <f>bdrate(C85:C88,E85:E88,J85:J88,L85:L88)</f>
        <v>-0.39146238071175388</v>
      </c>
      <c r="S85" s="8">
        <f>bdrate(C85:C88,F85:F88,J85:J88,M85:M88)</f>
        <v>-0.39046460358112767</v>
      </c>
      <c r="T85" s="25">
        <f>bdrate(C85:C88,H85:H88,J85:J88,O85:O88)</f>
        <v>-0.40938595719432813</v>
      </c>
      <c r="U85" s="28">
        <f t="shared" si="3"/>
        <v>1.3960387294037711</v>
      </c>
    </row>
    <row r="86" spans="1:21" x14ac:dyDescent="0.25">
      <c r="B86" s="9"/>
      <c r="C86" s="17">
        <v>982.36</v>
      </c>
      <c r="D86" s="18">
        <v>46.203000000000003</v>
      </c>
      <c r="E86" s="18">
        <v>47.573</v>
      </c>
      <c r="F86" s="18">
        <v>48.113</v>
      </c>
      <c r="G86" s="18">
        <v>68.03</v>
      </c>
      <c r="H86" s="18">
        <f t="shared" si="4"/>
        <v>46.613</v>
      </c>
      <c r="I86" s="5"/>
      <c r="J86" s="17">
        <v>979.55330000000004</v>
      </c>
      <c r="K86" s="18">
        <v>49.526699999999998</v>
      </c>
      <c r="L86" s="18">
        <v>50.252099999999999</v>
      </c>
      <c r="M86" s="18">
        <v>50.743600000000001</v>
      </c>
      <c r="N86" s="18">
        <v>170.42230000000001</v>
      </c>
      <c r="O86" s="18">
        <f t="shared" si="5"/>
        <v>49.769487499999997</v>
      </c>
      <c r="P86" s="7"/>
      <c r="Q86" s="10"/>
      <c r="R86" s="11"/>
      <c r="S86" s="11"/>
      <c r="T86" s="26"/>
      <c r="U86" s="28">
        <f t="shared" si="3"/>
        <v>1.5051051006908718</v>
      </c>
    </row>
    <row r="87" spans="1:21" x14ac:dyDescent="0.25">
      <c r="B87" s="9"/>
      <c r="C87" s="17">
        <v>591.54999999999995</v>
      </c>
      <c r="D87" s="18">
        <v>43.290999999999997</v>
      </c>
      <c r="E87" s="18">
        <v>44.972999999999999</v>
      </c>
      <c r="F87" s="18">
        <v>45.5</v>
      </c>
      <c r="G87" s="18">
        <v>71.760000000000005</v>
      </c>
      <c r="H87" s="18">
        <f t="shared" si="4"/>
        <v>43.777374999999999</v>
      </c>
      <c r="I87" s="5"/>
      <c r="J87" s="17">
        <v>593.93110000000001</v>
      </c>
      <c r="K87" s="18">
        <v>46.429400000000001</v>
      </c>
      <c r="L87" s="18">
        <v>47.578699999999998</v>
      </c>
      <c r="M87" s="18">
        <v>48.105499999999999</v>
      </c>
      <c r="N87" s="18">
        <v>200.3339</v>
      </c>
      <c r="O87" s="18">
        <f t="shared" si="5"/>
        <v>46.782575000000008</v>
      </c>
      <c r="P87" s="7"/>
      <c r="Q87" s="10"/>
      <c r="R87" s="11"/>
      <c r="S87" s="11"/>
      <c r="T87" s="26"/>
      <c r="U87" s="28">
        <f t="shared" si="3"/>
        <v>1.7917210144927531</v>
      </c>
    </row>
    <row r="88" spans="1:21" ht="16.5" thickBot="1" x14ac:dyDescent="0.3">
      <c r="B88" s="12"/>
      <c r="C88" s="19">
        <v>294.92</v>
      </c>
      <c r="D88" s="20">
        <v>39.771999999999998</v>
      </c>
      <c r="E88" s="20">
        <v>41.905000000000001</v>
      </c>
      <c r="F88" s="20">
        <v>42.493000000000002</v>
      </c>
      <c r="G88" s="20">
        <v>70.44</v>
      </c>
      <c r="H88" s="20">
        <f t="shared" si="4"/>
        <v>40.378750000000004</v>
      </c>
      <c r="I88" s="5"/>
      <c r="J88" s="19">
        <v>303.09440000000001</v>
      </c>
      <c r="K88" s="20">
        <v>42.491599999999998</v>
      </c>
      <c r="L88" s="20">
        <v>44.092599999999997</v>
      </c>
      <c r="M88" s="20">
        <v>44.575200000000002</v>
      </c>
      <c r="N88" s="20">
        <v>223.63030000000001</v>
      </c>
      <c r="O88" s="20">
        <f t="shared" si="5"/>
        <v>42.952174999999997</v>
      </c>
      <c r="P88" s="7"/>
      <c r="Q88" s="13"/>
      <c r="R88" s="14"/>
      <c r="S88" s="14"/>
      <c r="T88" s="27"/>
      <c r="U88" s="28">
        <f t="shared" si="3"/>
        <v>2.1747629187961386</v>
      </c>
    </row>
    <row r="89" spans="1:21" x14ac:dyDescent="0.25">
      <c r="B89" s="6" t="s">
        <v>105</v>
      </c>
      <c r="C89" s="15">
        <v>1552.4</v>
      </c>
      <c r="D89" s="16">
        <v>40.667000000000002</v>
      </c>
      <c r="E89" s="16">
        <v>43.362000000000002</v>
      </c>
      <c r="F89" s="16">
        <v>43.866999999999997</v>
      </c>
      <c r="G89" s="16">
        <v>43.71</v>
      </c>
      <c r="H89" s="16">
        <f t="shared" si="4"/>
        <v>41.403875000000006</v>
      </c>
      <c r="I89" s="5"/>
      <c r="J89" s="15">
        <v>1498.4142999999999</v>
      </c>
      <c r="K89" s="16">
        <v>42.252200000000002</v>
      </c>
      <c r="L89" s="16">
        <v>44.558500000000002</v>
      </c>
      <c r="M89" s="16">
        <v>44.980200000000004</v>
      </c>
      <c r="N89" s="16">
        <v>105.56570000000001</v>
      </c>
      <c r="O89" s="16">
        <f t="shared" si="5"/>
        <v>42.881487500000006</v>
      </c>
      <c r="P89" s="7"/>
      <c r="Q89" s="8">
        <f>bdrate(C89:C92,D89:D92,J89:J92,K89:K92)</f>
        <v>-0.29525527313422584</v>
      </c>
      <c r="R89" s="8">
        <f>bdrate(C89:C92,E89:E92,J89:J92,L89:L92)</f>
        <v>-0.30964321597383604</v>
      </c>
      <c r="S89" s="8">
        <f>bdrate(C89:C92,F89:F92,J89:J92,M89:M92)</f>
        <v>-0.29669187391071283</v>
      </c>
      <c r="T89" s="25">
        <f>bdrate(C89:C92,H89:H92,J89:J92,O89:O92)</f>
        <v>-0.29681744266740728</v>
      </c>
      <c r="U89" s="28">
        <f t="shared" si="3"/>
        <v>1.4151384122626403</v>
      </c>
    </row>
    <row r="90" spans="1:21" x14ac:dyDescent="0.25">
      <c r="B90" s="9"/>
      <c r="C90" s="17">
        <v>1033.94</v>
      </c>
      <c r="D90" s="18">
        <v>38.677</v>
      </c>
      <c r="E90" s="18">
        <v>41.887999999999998</v>
      </c>
      <c r="F90" s="18">
        <v>42.401000000000003</v>
      </c>
      <c r="G90" s="18">
        <v>48.56</v>
      </c>
      <c r="H90" s="18">
        <f t="shared" si="4"/>
        <v>39.543875</v>
      </c>
      <c r="I90" s="5"/>
      <c r="J90" s="17">
        <v>997.88810000000001</v>
      </c>
      <c r="K90" s="18">
        <v>40.285200000000003</v>
      </c>
      <c r="L90" s="18">
        <v>43.129100000000001</v>
      </c>
      <c r="M90" s="18">
        <v>43.564700000000002</v>
      </c>
      <c r="N90" s="18">
        <v>123.8049</v>
      </c>
      <c r="O90" s="18">
        <f t="shared" si="5"/>
        <v>41.050625000000004</v>
      </c>
      <c r="P90" s="7"/>
      <c r="Q90" s="10"/>
      <c r="R90" s="11"/>
      <c r="S90" s="11"/>
      <c r="T90" s="26"/>
      <c r="U90" s="28">
        <f t="shared" si="3"/>
        <v>1.5495242998352554</v>
      </c>
    </row>
    <row r="91" spans="1:21" x14ac:dyDescent="0.25">
      <c r="B91" s="9"/>
      <c r="C91" s="17">
        <v>623.16</v>
      </c>
      <c r="D91" s="18">
        <v>36.075000000000003</v>
      </c>
      <c r="E91" s="18">
        <v>40.198999999999998</v>
      </c>
      <c r="F91" s="18">
        <v>40.722000000000001</v>
      </c>
      <c r="G91" s="18">
        <v>54.43</v>
      </c>
      <c r="H91" s="18">
        <f t="shared" si="4"/>
        <v>37.171374999999998</v>
      </c>
      <c r="I91" s="5"/>
      <c r="J91" s="17">
        <v>599.61289999999997</v>
      </c>
      <c r="K91" s="18">
        <v>37.678699999999999</v>
      </c>
      <c r="L91" s="18">
        <v>41.2821</v>
      </c>
      <c r="M91" s="18">
        <v>41.7331</v>
      </c>
      <c r="N91" s="18">
        <v>146.0565</v>
      </c>
      <c r="O91" s="18">
        <f t="shared" si="5"/>
        <v>38.635925</v>
      </c>
      <c r="P91" s="7"/>
      <c r="Q91" s="10"/>
      <c r="R91" s="11"/>
      <c r="S91" s="11"/>
      <c r="T91" s="26"/>
      <c r="U91" s="28">
        <f t="shared" si="3"/>
        <v>1.6833823259232039</v>
      </c>
    </row>
    <row r="92" spans="1:21" ht="16.5" thickBot="1" x14ac:dyDescent="0.3">
      <c r="B92" s="12"/>
      <c r="C92" s="19">
        <v>313.12</v>
      </c>
      <c r="D92" s="20">
        <v>32.835000000000001</v>
      </c>
      <c r="E92" s="20">
        <v>37.765000000000001</v>
      </c>
      <c r="F92" s="20">
        <v>38.286999999999999</v>
      </c>
      <c r="G92" s="20">
        <v>63.64</v>
      </c>
      <c r="H92" s="20">
        <f t="shared" si="4"/>
        <v>34.132749999999994</v>
      </c>
      <c r="I92" s="5"/>
      <c r="J92" s="19">
        <v>303.58839999999998</v>
      </c>
      <c r="K92" s="20">
        <v>34.1768</v>
      </c>
      <c r="L92" s="20">
        <v>39.036900000000003</v>
      </c>
      <c r="M92" s="20">
        <v>39.5092</v>
      </c>
      <c r="N92" s="20">
        <v>176.43600000000001</v>
      </c>
      <c r="O92" s="20">
        <f t="shared" si="5"/>
        <v>35.450862499999999</v>
      </c>
      <c r="P92" s="7"/>
      <c r="Q92" s="13"/>
      <c r="R92" s="14"/>
      <c r="S92" s="14"/>
      <c r="T92" s="27"/>
      <c r="U92" s="28">
        <f t="shared" si="3"/>
        <v>1.7724072910119422</v>
      </c>
    </row>
    <row r="93" spans="1:21" x14ac:dyDescent="0.25">
      <c r="B93" s="6" t="s">
        <v>106</v>
      </c>
      <c r="C93" s="15">
        <v>1376.1</v>
      </c>
      <c r="D93" s="16">
        <v>37.389000000000003</v>
      </c>
      <c r="E93" s="16">
        <v>42.19</v>
      </c>
      <c r="F93" s="16">
        <v>42.204999999999998</v>
      </c>
      <c r="G93" s="16">
        <v>37.090000000000003</v>
      </c>
      <c r="H93" s="16">
        <f t="shared" si="4"/>
        <v>38.591124999999998</v>
      </c>
      <c r="I93" s="5"/>
      <c r="J93" s="29">
        <v>1504.2053000000001</v>
      </c>
      <c r="K93" s="30">
        <v>38.651200000000003</v>
      </c>
      <c r="L93" s="30">
        <v>43.203400000000002</v>
      </c>
      <c r="M93" s="30">
        <v>43.1599</v>
      </c>
      <c r="N93" s="16">
        <v>90.497699999999995</v>
      </c>
      <c r="O93" s="16">
        <f t="shared" si="5"/>
        <v>39.783812500000003</v>
      </c>
      <c r="P93" s="7"/>
      <c r="Q93" s="8">
        <f>bdrate(C93:C96,D93:D96,J93:J96,K93:K96)</f>
        <v>-0.12179187552009263</v>
      </c>
      <c r="R93" s="8">
        <f>bdrate(C93:C96,E93:E96,J93:J96,L93:L96)</f>
        <v>-0.24830448181256992</v>
      </c>
      <c r="S93" s="8">
        <f>bdrate(C93:C96,F93:F96,J93:J96,M93:M96)</f>
        <v>-0.23597049441434459</v>
      </c>
      <c r="T93" s="25">
        <f>bdrate(C93:C96,H93:H96,J93:J96,O93:O96)</f>
        <v>-0.14686851890564612</v>
      </c>
      <c r="U93" s="28">
        <f t="shared" si="3"/>
        <v>1.439948773254246</v>
      </c>
    </row>
    <row r="94" spans="1:21" x14ac:dyDescent="0.25">
      <c r="B94" s="9"/>
      <c r="C94" s="17">
        <v>912.69</v>
      </c>
      <c r="D94" s="18">
        <v>35.709000000000003</v>
      </c>
      <c r="E94" s="18">
        <v>40.94</v>
      </c>
      <c r="F94" s="18">
        <v>40.929000000000002</v>
      </c>
      <c r="G94" s="18">
        <v>41.66</v>
      </c>
      <c r="H94" s="18">
        <f t="shared" si="4"/>
        <v>37.015375000000006</v>
      </c>
      <c r="I94" s="5"/>
      <c r="J94" s="31">
        <v>1003.2865</v>
      </c>
      <c r="K94" s="32">
        <v>36.845399999999998</v>
      </c>
      <c r="L94" s="32">
        <v>42.031100000000002</v>
      </c>
      <c r="M94" s="32">
        <v>42.008000000000003</v>
      </c>
      <c r="N94" s="18">
        <v>105.36790000000001</v>
      </c>
      <c r="O94" s="18">
        <f t="shared" si="5"/>
        <v>38.138937499999997</v>
      </c>
      <c r="P94" s="7"/>
      <c r="Q94" s="10"/>
      <c r="R94" s="11"/>
      <c r="S94" s="11"/>
      <c r="T94" s="26"/>
      <c r="U94" s="28">
        <f t="shared" si="3"/>
        <v>1.5292342774843979</v>
      </c>
    </row>
    <row r="95" spans="1:21" x14ac:dyDescent="0.25">
      <c r="B95" s="9"/>
      <c r="C95" s="17">
        <v>546.53</v>
      </c>
      <c r="D95" s="18">
        <v>33.695999999999998</v>
      </c>
      <c r="E95" s="18">
        <v>39.444000000000003</v>
      </c>
      <c r="F95" s="18">
        <v>39.439</v>
      </c>
      <c r="G95" s="18">
        <v>47.35</v>
      </c>
      <c r="H95" s="18">
        <f t="shared" si="4"/>
        <v>35.132375000000003</v>
      </c>
      <c r="I95" s="5"/>
      <c r="J95" s="31">
        <v>601.46529999999996</v>
      </c>
      <c r="K95" s="32">
        <v>34.594000000000001</v>
      </c>
      <c r="L95" s="32">
        <v>40.530099999999997</v>
      </c>
      <c r="M95" s="32">
        <v>40.492100000000001</v>
      </c>
      <c r="N95" s="18">
        <v>125.971</v>
      </c>
      <c r="O95" s="18">
        <f t="shared" si="5"/>
        <v>36.073275000000002</v>
      </c>
      <c r="P95" s="7"/>
      <c r="Q95" s="10"/>
      <c r="R95" s="11"/>
      <c r="S95" s="11"/>
      <c r="T95" s="26"/>
      <c r="U95" s="28">
        <f t="shared" si="3"/>
        <v>1.6604223864836327</v>
      </c>
    </row>
    <row r="96" spans="1:21" ht="16.5" thickBot="1" x14ac:dyDescent="0.3">
      <c r="B96" s="12"/>
      <c r="C96" s="19">
        <v>272.52</v>
      </c>
      <c r="D96" s="20">
        <v>30.957000000000001</v>
      </c>
      <c r="E96" s="20">
        <v>37.386000000000003</v>
      </c>
      <c r="F96" s="20">
        <v>37.381999999999998</v>
      </c>
      <c r="G96" s="20">
        <v>56.15</v>
      </c>
      <c r="H96" s="20">
        <f t="shared" si="4"/>
        <v>32.563749999999999</v>
      </c>
      <c r="I96" s="5"/>
      <c r="J96" s="33">
        <v>301.3415</v>
      </c>
      <c r="K96" s="34">
        <v>31.586200000000002</v>
      </c>
      <c r="L96" s="34">
        <v>38.663400000000003</v>
      </c>
      <c r="M96" s="34">
        <v>38.535299999999999</v>
      </c>
      <c r="N96" s="20">
        <v>160.48500000000001</v>
      </c>
      <c r="O96" s="20">
        <f t="shared" si="5"/>
        <v>33.339487499999997</v>
      </c>
      <c r="P96" s="7"/>
      <c r="Q96" s="13"/>
      <c r="R96" s="14"/>
      <c r="S96" s="14"/>
      <c r="T96" s="27"/>
      <c r="U96" s="28">
        <f t="shared" si="3"/>
        <v>1.8581478183437223</v>
      </c>
    </row>
    <row r="97" spans="2:21" x14ac:dyDescent="0.25">
      <c r="B97" s="6" t="s">
        <v>107</v>
      </c>
      <c r="C97" s="29">
        <v>1533.02</v>
      </c>
      <c r="D97" s="30">
        <v>34.432000000000002</v>
      </c>
      <c r="E97" s="30">
        <v>39.052</v>
      </c>
      <c r="F97" s="30">
        <v>39.604999999999997</v>
      </c>
      <c r="G97" s="16">
        <v>42.3</v>
      </c>
      <c r="H97" s="16">
        <f t="shared" si="4"/>
        <v>35.656125000000003</v>
      </c>
      <c r="I97" s="5"/>
      <c r="J97" s="15">
        <v>1499.6541</v>
      </c>
      <c r="K97" s="16">
        <v>36.516599999999997</v>
      </c>
      <c r="L97" s="16">
        <v>41.095700000000001</v>
      </c>
      <c r="M97" s="16">
        <v>41.677</v>
      </c>
      <c r="N97" s="16">
        <v>92.975200000000001</v>
      </c>
      <c r="O97" s="16">
        <f t="shared" si="5"/>
        <v>37.734037499999999</v>
      </c>
      <c r="P97" s="7"/>
      <c r="Q97" s="8">
        <f>bdrate(C97:C100,D97:D100,J97:J100,K97:K100)</f>
        <v>-0.32247130052260353</v>
      </c>
      <c r="R97" s="8">
        <f>bdrate(C97:C100,E97:E100,J97:J100,L97:L100)</f>
        <v>-0.46602299491562427</v>
      </c>
      <c r="S97" s="8">
        <f>bdrate(C97:C100,F97:F100,J97:J100,M97:M100)</f>
        <v>-0.48370057994149196</v>
      </c>
      <c r="T97" s="25">
        <f>bdrate(C97:C100,H97:H100,J97:J100,O97:O100)</f>
        <v>-0.35348011378735367</v>
      </c>
      <c r="U97" s="28">
        <f t="shared" si="3"/>
        <v>1.1979952718676126</v>
      </c>
    </row>
    <row r="98" spans="2:21" x14ac:dyDescent="0.25">
      <c r="B98" s="9"/>
      <c r="C98" s="31">
        <v>1020.5</v>
      </c>
      <c r="D98" s="32">
        <v>32.759</v>
      </c>
      <c r="E98" s="32">
        <v>37.75</v>
      </c>
      <c r="F98" s="32">
        <v>38.344999999999999</v>
      </c>
      <c r="G98" s="18">
        <v>45.32</v>
      </c>
      <c r="H98" s="18">
        <f t="shared" si="4"/>
        <v>34.081125</v>
      </c>
      <c r="I98" s="5"/>
      <c r="J98" s="17">
        <v>1004.3579999999999</v>
      </c>
      <c r="K98" s="18">
        <v>34.579300000000003</v>
      </c>
      <c r="L98" s="18">
        <v>39.7241</v>
      </c>
      <c r="M98" s="18">
        <v>40.366700000000002</v>
      </c>
      <c r="N98" s="18">
        <v>108.3424</v>
      </c>
      <c r="O98" s="18">
        <f t="shared" si="5"/>
        <v>35.945824999999999</v>
      </c>
      <c r="P98" s="7"/>
      <c r="Q98" s="10"/>
      <c r="R98" s="11"/>
      <c r="S98" s="11"/>
      <c r="T98" s="26"/>
      <c r="U98" s="28">
        <f t="shared" si="3"/>
        <v>1.3906090026478375</v>
      </c>
    </row>
    <row r="99" spans="2:21" x14ac:dyDescent="0.25">
      <c r="B99" s="9"/>
      <c r="C99" s="31">
        <v>614.19000000000005</v>
      </c>
      <c r="D99" s="32">
        <v>30.745999999999999</v>
      </c>
      <c r="E99" s="32">
        <v>36.380000000000003</v>
      </c>
      <c r="F99" s="32">
        <v>37.027000000000001</v>
      </c>
      <c r="G99" s="18">
        <v>56.28</v>
      </c>
      <c r="H99" s="18">
        <f t="shared" si="4"/>
        <v>32.235374999999998</v>
      </c>
      <c r="I99" s="5"/>
      <c r="J99" s="17">
        <v>596.53210000000001</v>
      </c>
      <c r="K99" s="18">
        <v>32.252099999999999</v>
      </c>
      <c r="L99" s="18">
        <v>38.072499999999998</v>
      </c>
      <c r="M99" s="18">
        <v>38.748600000000003</v>
      </c>
      <c r="N99" s="18">
        <v>128.63570000000001</v>
      </c>
      <c r="O99" s="18">
        <f t="shared" si="5"/>
        <v>33.791712499999996</v>
      </c>
      <c r="P99" s="7"/>
      <c r="Q99" s="10"/>
      <c r="R99" s="11"/>
      <c r="S99" s="11"/>
      <c r="T99" s="26"/>
      <c r="U99" s="28">
        <f t="shared" si="3"/>
        <v>1.2856378820184793</v>
      </c>
    </row>
    <row r="100" spans="2:21" ht="16.5" thickBot="1" x14ac:dyDescent="0.3">
      <c r="B100" s="12"/>
      <c r="C100" s="33">
        <v>305.81</v>
      </c>
      <c r="D100" s="34">
        <v>28.033000000000001</v>
      </c>
      <c r="E100" s="34">
        <v>34.566000000000003</v>
      </c>
      <c r="F100" s="34">
        <v>35.390999999999998</v>
      </c>
      <c r="G100" s="20">
        <v>65.52</v>
      </c>
      <c r="H100" s="20">
        <f t="shared" si="4"/>
        <v>29.769375</v>
      </c>
      <c r="I100" s="5"/>
      <c r="J100" s="19">
        <v>298.45960000000002</v>
      </c>
      <c r="K100" s="20">
        <v>29.102499999999999</v>
      </c>
      <c r="L100" s="20">
        <v>36.029600000000002</v>
      </c>
      <c r="M100" s="20">
        <v>36.783499999999997</v>
      </c>
      <c r="N100" s="20">
        <v>163.20609999999999</v>
      </c>
      <c r="O100" s="20">
        <f t="shared" si="5"/>
        <v>30.928512500000004</v>
      </c>
      <c r="P100" s="7"/>
      <c r="Q100" s="13"/>
      <c r="R100" s="14"/>
      <c r="S100" s="14"/>
      <c r="T100" s="27"/>
      <c r="U100" s="28">
        <f t="shared" si="3"/>
        <v>1.4909355921855922</v>
      </c>
    </row>
    <row r="101" spans="2:21" x14ac:dyDescent="0.25">
      <c r="B101" s="6" t="s">
        <v>108</v>
      </c>
      <c r="C101" s="15">
        <v>1491.58</v>
      </c>
      <c r="D101" s="16">
        <v>36.084000000000003</v>
      </c>
      <c r="E101" s="16">
        <v>41.704000000000001</v>
      </c>
      <c r="F101" s="16">
        <v>43.116</v>
      </c>
      <c r="G101" s="16">
        <v>32.83</v>
      </c>
      <c r="H101" s="16">
        <f t="shared" si="4"/>
        <v>37.665500000000002</v>
      </c>
      <c r="I101" s="5"/>
      <c r="J101" s="15">
        <v>1506.2828</v>
      </c>
      <c r="K101" s="16">
        <v>36.7498</v>
      </c>
      <c r="L101" s="16">
        <v>42.664400000000001</v>
      </c>
      <c r="M101" s="16">
        <v>44.059800000000003</v>
      </c>
      <c r="N101" s="16">
        <v>89.512200000000007</v>
      </c>
      <c r="O101" s="16">
        <f t="shared" si="5"/>
        <v>38.402875000000002</v>
      </c>
      <c r="P101" s="7"/>
      <c r="Q101" s="8">
        <f>bdrate(C101:C104,D101:D104,J101:J104,K101:K104)</f>
        <v>-0.16522897090040312</v>
      </c>
      <c r="R101" s="8">
        <f>bdrate(C101:C104,E101:E104,J101:J104,L101:L104)</f>
        <v>-0.41204057290013107</v>
      </c>
      <c r="S101" s="8">
        <f>bdrate(C101:C104,F101:F104,J101:J104,M101:M104)</f>
        <v>-0.38194615576030355</v>
      </c>
      <c r="T101" s="25">
        <f>bdrate(C101:C104,H101:H104,J101:J104,O101:O104)</f>
        <v>-0.21820435011596573</v>
      </c>
      <c r="U101" s="28">
        <f t="shared" si="3"/>
        <v>1.7265367042339328</v>
      </c>
    </row>
    <row r="102" spans="2:21" x14ac:dyDescent="0.25">
      <c r="B102" s="9"/>
      <c r="C102" s="17">
        <v>999.28</v>
      </c>
      <c r="D102" s="18">
        <v>34.784999999999997</v>
      </c>
      <c r="E102" s="18">
        <v>40.701999999999998</v>
      </c>
      <c r="F102" s="18">
        <v>41.926000000000002</v>
      </c>
      <c r="G102" s="18">
        <v>37.69</v>
      </c>
      <c r="H102" s="18">
        <f t="shared" si="4"/>
        <v>36.417249999999996</v>
      </c>
      <c r="I102" s="5"/>
      <c r="J102" s="17">
        <v>1003.1169</v>
      </c>
      <c r="K102" s="18">
        <v>35.420699999999997</v>
      </c>
      <c r="L102" s="18">
        <v>41.831699999999998</v>
      </c>
      <c r="M102" s="18">
        <v>43.085299999999997</v>
      </c>
      <c r="N102" s="18">
        <v>104.7974</v>
      </c>
      <c r="O102" s="18">
        <f t="shared" si="5"/>
        <v>37.180149999999998</v>
      </c>
      <c r="P102" s="7"/>
      <c r="Q102" s="10"/>
      <c r="R102" s="11"/>
      <c r="S102" s="11"/>
      <c r="T102" s="26"/>
      <c r="U102" s="28">
        <f t="shared" si="3"/>
        <v>1.7805094189440172</v>
      </c>
    </row>
    <row r="103" spans="2:21" x14ac:dyDescent="0.25">
      <c r="B103" s="9"/>
      <c r="C103" s="17">
        <v>601.41999999999996</v>
      </c>
      <c r="D103" s="18">
        <v>33.225999999999999</v>
      </c>
      <c r="E103" s="18">
        <v>39.548999999999999</v>
      </c>
      <c r="F103" s="18">
        <v>40.561999999999998</v>
      </c>
      <c r="G103" s="18">
        <v>42.75</v>
      </c>
      <c r="H103" s="18">
        <f t="shared" si="4"/>
        <v>34.933374999999998</v>
      </c>
      <c r="I103" s="5"/>
      <c r="J103" s="17">
        <v>604.11749999999995</v>
      </c>
      <c r="K103" s="18">
        <v>33.756799999999998</v>
      </c>
      <c r="L103" s="18">
        <v>40.750300000000003</v>
      </c>
      <c r="M103" s="18">
        <v>41.864800000000002</v>
      </c>
      <c r="N103" s="18">
        <v>124.4727</v>
      </c>
      <c r="O103" s="18">
        <f t="shared" si="5"/>
        <v>35.644487499999997</v>
      </c>
      <c r="P103" s="7"/>
      <c r="Q103" s="10"/>
      <c r="R103" s="11"/>
      <c r="S103" s="11"/>
      <c r="T103" s="26"/>
      <c r="U103" s="28">
        <f t="shared" si="3"/>
        <v>1.911642105263158</v>
      </c>
    </row>
    <row r="104" spans="2:21" ht="16.5" thickBot="1" x14ac:dyDescent="0.3">
      <c r="B104" s="12"/>
      <c r="C104" s="19">
        <v>305.91000000000003</v>
      </c>
      <c r="D104" s="20">
        <v>31.289000000000001</v>
      </c>
      <c r="E104" s="20">
        <v>38.255000000000003</v>
      </c>
      <c r="F104" s="20">
        <v>38.984999999999999</v>
      </c>
      <c r="G104" s="20">
        <v>52.38</v>
      </c>
      <c r="H104" s="20">
        <f t="shared" si="4"/>
        <v>33.121749999999999</v>
      </c>
      <c r="I104" s="5"/>
      <c r="J104" s="19">
        <v>301.15469999999999</v>
      </c>
      <c r="K104" s="20">
        <v>31.751200000000001</v>
      </c>
      <c r="L104" s="20">
        <v>39.303899999999999</v>
      </c>
      <c r="M104" s="20">
        <v>40.150500000000001</v>
      </c>
      <c r="N104" s="20">
        <v>157.63200000000001</v>
      </c>
      <c r="O104" s="20">
        <f t="shared" si="5"/>
        <v>33.745200000000004</v>
      </c>
      <c r="P104" s="7"/>
      <c r="Q104" s="13"/>
      <c r="R104" s="14"/>
      <c r="S104" s="14"/>
      <c r="T104" s="27"/>
      <c r="U104" s="28">
        <f t="shared" si="3"/>
        <v>2.0093928980526918</v>
      </c>
    </row>
    <row r="105" spans="2:21" x14ac:dyDescent="0.25">
      <c r="B105" s="6" t="s">
        <v>109</v>
      </c>
      <c r="C105" s="15">
        <v>1591.17</v>
      </c>
      <c r="D105" s="16">
        <v>45.276000000000003</v>
      </c>
      <c r="E105" s="16">
        <v>50.405000000000001</v>
      </c>
      <c r="F105" s="16">
        <v>51.802</v>
      </c>
      <c r="G105" s="16">
        <v>39.159999999999997</v>
      </c>
      <c r="H105" s="16">
        <f t="shared" si="4"/>
        <v>46.732875000000007</v>
      </c>
      <c r="I105" s="5"/>
      <c r="J105" s="15">
        <v>1498.4519</v>
      </c>
      <c r="K105" s="16">
        <v>46.726300000000002</v>
      </c>
      <c r="L105" s="16">
        <v>51.48</v>
      </c>
      <c r="M105" s="16">
        <v>52.9026</v>
      </c>
      <c r="N105" s="16">
        <v>110.9877</v>
      </c>
      <c r="O105" s="16">
        <f t="shared" si="5"/>
        <v>48.092550000000003</v>
      </c>
      <c r="P105" s="7"/>
      <c r="Q105" s="8">
        <f>bdrate(C105:C108,D105:D108,J105:J108,K105:K108)</f>
        <v>-0.31217602679669987</v>
      </c>
      <c r="R105" s="8">
        <f>bdrate(C105:C108,E105:E108,J105:J108,L105:L108)</f>
        <v>-0.3297441107809167</v>
      </c>
      <c r="S105" s="8">
        <f>bdrate(C105:C108,F105:F108,J105:J108,M105:M108)</f>
        <v>-0.32180185525674043</v>
      </c>
      <c r="T105" s="25">
        <f>bdrate(C105:C108,H105:H108,J105:J108,O105:O108)</f>
        <v>-0.31521578949001483</v>
      </c>
      <c r="U105" s="28">
        <f t="shared" si="3"/>
        <v>1.8342109295199187</v>
      </c>
    </row>
    <row r="106" spans="2:21" x14ac:dyDescent="0.25">
      <c r="B106" s="9"/>
      <c r="C106" s="17">
        <v>1059.03</v>
      </c>
      <c r="D106" s="18">
        <v>43.518999999999998</v>
      </c>
      <c r="E106" s="18">
        <v>48.866</v>
      </c>
      <c r="F106" s="18">
        <v>50.314</v>
      </c>
      <c r="G106" s="18">
        <v>47.19</v>
      </c>
      <c r="H106" s="18">
        <f t="shared" si="4"/>
        <v>45.036749999999998</v>
      </c>
      <c r="I106" s="5"/>
      <c r="J106" s="17">
        <v>1005.6292</v>
      </c>
      <c r="K106" s="18">
        <v>44.9617</v>
      </c>
      <c r="L106" s="18">
        <v>50.205800000000004</v>
      </c>
      <c r="M106" s="18">
        <v>51.6492</v>
      </c>
      <c r="N106" s="18">
        <v>130.60839999999999</v>
      </c>
      <c r="O106" s="18">
        <f t="shared" si="5"/>
        <v>46.453150000000001</v>
      </c>
      <c r="P106" s="7"/>
      <c r="Q106" s="10"/>
      <c r="R106" s="11"/>
      <c r="S106" s="11"/>
      <c r="T106" s="26"/>
      <c r="U106" s="28">
        <f t="shared" si="3"/>
        <v>1.7677134986225895</v>
      </c>
    </row>
    <row r="107" spans="2:21" x14ac:dyDescent="0.25">
      <c r="B107" s="9"/>
      <c r="C107" s="17">
        <v>637.45000000000005</v>
      </c>
      <c r="D107" s="18">
        <v>41.338999999999999</v>
      </c>
      <c r="E107" s="18">
        <v>47.006999999999998</v>
      </c>
      <c r="F107" s="18">
        <v>48.460999999999999</v>
      </c>
      <c r="G107" s="18">
        <v>59.14</v>
      </c>
      <c r="H107" s="18">
        <f t="shared" si="4"/>
        <v>42.937750000000001</v>
      </c>
      <c r="I107" s="5"/>
      <c r="J107" s="17">
        <v>602.68460000000005</v>
      </c>
      <c r="K107" s="18">
        <v>42.760199999999998</v>
      </c>
      <c r="L107" s="18">
        <v>48.341500000000003</v>
      </c>
      <c r="M107" s="18">
        <v>49.726999999999997</v>
      </c>
      <c r="N107" s="18">
        <v>154.59309999999999</v>
      </c>
      <c r="O107" s="18">
        <f t="shared" si="5"/>
        <v>44.328712499999995</v>
      </c>
      <c r="P107" s="7"/>
      <c r="Q107" s="10"/>
      <c r="R107" s="11"/>
      <c r="S107" s="11"/>
      <c r="T107" s="26"/>
      <c r="U107" s="28">
        <f t="shared" si="3"/>
        <v>1.6140192762935406</v>
      </c>
    </row>
    <row r="108" spans="2:21" ht="16.5" thickBot="1" x14ac:dyDescent="0.3">
      <c r="B108" s="12"/>
      <c r="C108" s="19">
        <v>320.86</v>
      </c>
      <c r="D108" s="20">
        <v>38.466999999999999</v>
      </c>
      <c r="E108" s="20">
        <v>44.551000000000002</v>
      </c>
      <c r="F108" s="20">
        <v>46.085999999999999</v>
      </c>
      <c r="G108" s="20">
        <v>75.28</v>
      </c>
      <c r="H108" s="20">
        <f t="shared" si="4"/>
        <v>40.179875000000003</v>
      </c>
      <c r="I108" s="5"/>
      <c r="J108" s="19">
        <v>302.33370000000002</v>
      </c>
      <c r="K108" s="20">
        <v>39.569800000000001</v>
      </c>
      <c r="L108" s="20">
        <v>45.5107</v>
      </c>
      <c r="M108" s="20">
        <v>46.945399999999999</v>
      </c>
      <c r="N108" s="20">
        <v>190.28980000000001</v>
      </c>
      <c r="O108" s="20">
        <f t="shared" si="5"/>
        <v>41.234362500000003</v>
      </c>
      <c r="P108" s="7"/>
      <c r="Q108" s="13"/>
      <c r="R108" s="14"/>
      <c r="S108" s="14"/>
      <c r="T108" s="27"/>
      <c r="U108" s="28">
        <f t="shared" si="3"/>
        <v>1.5277603613177473</v>
      </c>
    </row>
    <row r="109" spans="2:21" x14ac:dyDescent="0.25">
      <c r="B109" s="6" t="s">
        <v>110</v>
      </c>
      <c r="C109" s="15">
        <v>1465.48</v>
      </c>
      <c r="D109" s="16">
        <v>31.027999999999999</v>
      </c>
      <c r="E109" s="16">
        <v>39.042999999999999</v>
      </c>
      <c r="F109" s="16">
        <v>38.432000000000002</v>
      </c>
      <c r="G109" s="16">
        <v>28.75</v>
      </c>
      <c r="H109" s="16">
        <f t="shared" si="4"/>
        <v>32.955375000000004</v>
      </c>
      <c r="I109" s="5"/>
      <c r="J109" s="15">
        <v>1495.2945</v>
      </c>
      <c r="K109" s="16">
        <v>31.4282</v>
      </c>
      <c r="L109" s="16">
        <v>39.863599999999998</v>
      </c>
      <c r="M109" s="16">
        <v>39.216099999999997</v>
      </c>
      <c r="N109" s="16">
        <v>70.7881</v>
      </c>
      <c r="O109" s="16">
        <f t="shared" si="5"/>
        <v>33.456112499999996</v>
      </c>
      <c r="P109" s="7"/>
      <c r="Q109" s="8">
        <f>bdrate(C109:C112,D109:D112,J109:J112,K109:K112)</f>
        <v>-3.4225080848456213E-2</v>
      </c>
      <c r="R109" s="8">
        <f>bdrate(C109:C112,E109:E112,J109:J112,L109:L112)</f>
        <v>-0.31565525184944698</v>
      </c>
      <c r="S109" s="8">
        <f>bdrate(C109:C112,F109:F112,J109:J112,M109:M112)</f>
        <v>-0.30358391234320159</v>
      </c>
      <c r="T109" s="25">
        <f>bdrate(C109:C112,H109:H112,J109:J112,O109:O112)</f>
        <v>-9.6394099157322444E-2</v>
      </c>
      <c r="U109" s="28">
        <f t="shared" si="3"/>
        <v>1.4621947826086956</v>
      </c>
    </row>
    <row r="110" spans="2:21" x14ac:dyDescent="0.25">
      <c r="B110" s="9"/>
      <c r="C110" s="17">
        <v>978</v>
      </c>
      <c r="D110" s="18">
        <v>29.417999999999999</v>
      </c>
      <c r="E110" s="18">
        <v>37.881999999999998</v>
      </c>
      <c r="F110" s="18">
        <v>37.247</v>
      </c>
      <c r="G110" s="18">
        <v>33.99</v>
      </c>
      <c r="H110" s="18">
        <f t="shared" si="4"/>
        <v>31.454625</v>
      </c>
      <c r="I110" s="5"/>
      <c r="J110" s="17">
        <v>995.64679999999998</v>
      </c>
      <c r="K110" s="18">
        <v>29.710699999999999</v>
      </c>
      <c r="L110" s="18">
        <v>38.9298</v>
      </c>
      <c r="M110" s="18">
        <v>38.244</v>
      </c>
      <c r="N110" s="18">
        <v>84.037499999999994</v>
      </c>
      <c r="O110" s="18">
        <f t="shared" si="5"/>
        <v>31.929749999999999</v>
      </c>
      <c r="P110" s="7"/>
      <c r="Q110" s="10"/>
      <c r="R110" s="11"/>
      <c r="S110" s="11"/>
      <c r="T110" s="26"/>
      <c r="U110" s="28">
        <f t="shared" si="3"/>
        <v>1.472418358340688</v>
      </c>
    </row>
    <row r="111" spans="2:21" x14ac:dyDescent="0.25">
      <c r="B111" s="9"/>
      <c r="C111" s="17">
        <v>586.13</v>
      </c>
      <c r="D111" s="18">
        <v>27.416</v>
      </c>
      <c r="E111" s="18">
        <v>36.378999999999998</v>
      </c>
      <c r="F111" s="18">
        <v>35.72</v>
      </c>
      <c r="G111" s="18">
        <v>35.880000000000003</v>
      </c>
      <c r="H111" s="18">
        <f t="shared" si="4"/>
        <v>29.574375</v>
      </c>
      <c r="I111" s="5"/>
      <c r="J111" s="17">
        <v>598.04240000000004</v>
      </c>
      <c r="K111" s="18">
        <v>27.588899999999999</v>
      </c>
      <c r="L111" s="18">
        <v>37.6098</v>
      </c>
      <c r="M111" s="18">
        <v>36.892200000000003</v>
      </c>
      <c r="N111" s="18">
        <v>107.9396</v>
      </c>
      <c r="O111" s="18">
        <f t="shared" si="5"/>
        <v>30.004425000000001</v>
      </c>
      <c r="P111" s="7"/>
      <c r="Q111" s="10"/>
      <c r="R111" s="11"/>
      <c r="S111" s="11"/>
      <c r="T111" s="26"/>
      <c r="U111" s="28">
        <f t="shared" si="3"/>
        <v>2.0083500557413596</v>
      </c>
    </row>
    <row r="112" spans="2:21" ht="16.5" thickBot="1" x14ac:dyDescent="0.3">
      <c r="B112" s="12"/>
      <c r="C112" s="19">
        <v>292.58</v>
      </c>
      <c r="D112" s="20">
        <v>24.788</v>
      </c>
      <c r="E112" s="20">
        <v>33.906999999999996</v>
      </c>
      <c r="F112" s="20">
        <v>33.374000000000002</v>
      </c>
      <c r="G112" s="20">
        <v>46.98</v>
      </c>
      <c r="H112" s="20">
        <f t="shared" si="4"/>
        <v>27.001124999999998</v>
      </c>
      <c r="I112" s="5"/>
      <c r="J112" s="19">
        <v>299.1431</v>
      </c>
      <c r="K112" s="20">
        <v>24.9163</v>
      </c>
      <c r="L112" s="20">
        <v>35.333599999999997</v>
      </c>
      <c r="M112" s="20">
        <v>34.732599999999998</v>
      </c>
      <c r="N112" s="20">
        <v>140.71289999999999</v>
      </c>
      <c r="O112" s="20">
        <f t="shared" si="5"/>
        <v>27.445499999999996</v>
      </c>
      <c r="P112" s="7"/>
      <c r="Q112" s="13"/>
      <c r="R112" s="14"/>
      <c r="S112" s="14"/>
      <c r="T112" s="27"/>
      <c r="U112" s="28">
        <f t="shared" si="3"/>
        <v>1.9951660280970627</v>
      </c>
    </row>
    <row r="113" spans="2:21" x14ac:dyDescent="0.25">
      <c r="B113" s="6" t="s">
        <v>111</v>
      </c>
      <c r="C113" s="15">
        <v>1508.73</v>
      </c>
      <c r="D113" s="16">
        <v>42.213999999999999</v>
      </c>
      <c r="E113" s="16">
        <v>43.609000000000002</v>
      </c>
      <c r="F113" s="16">
        <v>43.478000000000002</v>
      </c>
      <c r="G113" s="16">
        <v>46.92</v>
      </c>
      <c r="H113" s="16">
        <f t="shared" si="4"/>
        <v>42.546374999999998</v>
      </c>
      <c r="I113" s="5"/>
      <c r="J113" s="15">
        <v>1415.1560999999999</v>
      </c>
      <c r="K113" s="16">
        <v>44.438800000000001</v>
      </c>
      <c r="L113" s="16">
        <v>45.368099999999998</v>
      </c>
      <c r="M113" s="16">
        <v>45.257899999999999</v>
      </c>
      <c r="N113" s="16">
        <v>95.440100000000001</v>
      </c>
      <c r="O113" s="16">
        <f t="shared" si="5"/>
        <v>44.657350000000001</v>
      </c>
      <c r="P113" s="7"/>
      <c r="Q113" s="8">
        <f>bdrate(C113:C116,D113:D116,J113:J116,K113:K116)</f>
        <v>-0.34757810659367105</v>
      </c>
      <c r="R113" s="8">
        <f>bdrate(C113:C116,E113:E116,J113:J116,L113:L116)</f>
        <v>-0.3684676804076038</v>
      </c>
      <c r="S113" s="8">
        <f>bdrate(C113:C116,F113:F116,J113:J116,M113:M116)</f>
        <v>-0.3705206354837649</v>
      </c>
      <c r="T113" s="25">
        <f>bdrate(C113:C116,H113:H116,J113:J116,O113:O116)</f>
        <v>-0.35239971466136122</v>
      </c>
      <c r="U113" s="28">
        <f t="shared" si="3"/>
        <v>1.0341027280477408</v>
      </c>
    </row>
    <row r="114" spans="2:21" x14ac:dyDescent="0.25">
      <c r="B114" s="9"/>
      <c r="C114" s="17">
        <v>1003.96</v>
      </c>
      <c r="D114" s="18">
        <v>39.954999999999998</v>
      </c>
      <c r="E114" s="18">
        <v>41.686999999999998</v>
      </c>
      <c r="F114" s="18">
        <v>41.524999999999999</v>
      </c>
      <c r="G114" s="18">
        <v>54.07</v>
      </c>
      <c r="H114" s="18">
        <f t="shared" si="4"/>
        <v>40.367749999999994</v>
      </c>
      <c r="I114" s="5"/>
      <c r="J114" s="17">
        <v>960.59519999999998</v>
      </c>
      <c r="K114" s="18">
        <v>42.456899999999997</v>
      </c>
      <c r="L114" s="18">
        <v>43.760800000000003</v>
      </c>
      <c r="M114" s="18">
        <v>43.633600000000001</v>
      </c>
      <c r="N114" s="18">
        <v>122.2328</v>
      </c>
      <c r="O114" s="18">
        <f t="shared" si="5"/>
        <v>42.766975000000002</v>
      </c>
      <c r="P114" s="7"/>
      <c r="Q114" s="10"/>
      <c r="R114" s="11"/>
      <c r="S114" s="11"/>
      <c r="T114" s="26"/>
      <c r="U114" s="28">
        <f t="shared" si="3"/>
        <v>1.2606399112261883</v>
      </c>
    </row>
    <row r="115" spans="2:21" x14ac:dyDescent="0.25">
      <c r="B115" s="9"/>
      <c r="C115" s="17">
        <v>604.13</v>
      </c>
      <c r="D115" s="18">
        <v>37.219000000000001</v>
      </c>
      <c r="E115" s="18">
        <v>39.433</v>
      </c>
      <c r="F115" s="18">
        <v>39.302</v>
      </c>
      <c r="G115" s="18">
        <v>53.22</v>
      </c>
      <c r="H115" s="18">
        <f t="shared" si="4"/>
        <v>37.756125000000004</v>
      </c>
      <c r="I115" s="5"/>
      <c r="J115" s="17">
        <v>586.66330000000005</v>
      </c>
      <c r="K115" s="18">
        <v>39.461100000000002</v>
      </c>
      <c r="L115" s="18">
        <v>41.3491</v>
      </c>
      <c r="M115" s="18">
        <v>41.229900000000001</v>
      </c>
      <c r="N115" s="18">
        <v>148.5026</v>
      </c>
      <c r="O115" s="18">
        <f t="shared" si="5"/>
        <v>39.918199999999999</v>
      </c>
      <c r="P115" s="7"/>
      <c r="Q115" s="10"/>
      <c r="R115" s="11"/>
      <c r="S115" s="11"/>
      <c r="T115" s="26"/>
      <c r="U115" s="28">
        <f t="shared" si="3"/>
        <v>1.7903532506576476</v>
      </c>
    </row>
    <row r="116" spans="2:21" ht="16.5" thickBot="1" x14ac:dyDescent="0.3">
      <c r="B116" s="12"/>
      <c r="C116" s="19">
        <v>301.82</v>
      </c>
      <c r="D116" s="20">
        <v>33.393999999999998</v>
      </c>
      <c r="E116" s="20">
        <v>36.44</v>
      </c>
      <c r="F116" s="20">
        <v>36.281999999999996</v>
      </c>
      <c r="G116" s="20">
        <v>66.16</v>
      </c>
      <c r="H116" s="20">
        <f t="shared" si="4"/>
        <v>34.135749999999994</v>
      </c>
      <c r="I116" s="5"/>
      <c r="J116" s="19">
        <v>294.49639999999999</v>
      </c>
      <c r="K116" s="20">
        <v>35.188800000000001</v>
      </c>
      <c r="L116" s="20">
        <v>38.193899999999999</v>
      </c>
      <c r="M116" s="20">
        <v>38.0379</v>
      </c>
      <c r="N116" s="20">
        <v>182.87110000000001</v>
      </c>
      <c r="O116" s="20">
        <f t="shared" si="5"/>
        <v>35.920574999999999</v>
      </c>
      <c r="P116" s="7"/>
      <c r="Q116" s="13"/>
      <c r="R116" s="14"/>
      <c r="S116" s="14"/>
      <c r="T116" s="27"/>
      <c r="U116" s="28">
        <f t="shared" si="3"/>
        <v>1.7640734582829507</v>
      </c>
    </row>
    <row r="117" spans="2:21" x14ac:dyDescent="0.25">
      <c r="B117" s="6" t="s">
        <v>112</v>
      </c>
      <c r="C117" s="15">
        <v>1991.04</v>
      </c>
      <c r="D117" s="16">
        <v>42.204999999999998</v>
      </c>
      <c r="E117" s="16">
        <v>44.415999999999997</v>
      </c>
      <c r="F117" s="16">
        <v>44.619</v>
      </c>
      <c r="G117" s="16">
        <v>44.76</v>
      </c>
      <c r="H117" s="16">
        <f t="shared" si="4"/>
        <v>42.783124999999998</v>
      </c>
      <c r="I117" s="5"/>
      <c r="J117" s="15">
        <v>1404.8924</v>
      </c>
      <c r="K117" s="16">
        <v>45.396799999999999</v>
      </c>
      <c r="L117" s="16">
        <v>47.5779</v>
      </c>
      <c r="M117" s="16">
        <v>47.838200000000001</v>
      </c>
      <c r="N117" s="16">
        <v>89.650400000000005</v>
      </c>
      <c r="O117" s="16">
        <f t="shared" si="5"/>
        <v>45.974612500000006</v>
      </c>
      <c r="P117" s="7"/>
      <c r="Q117" s="8">
        <f>bdrate(C117:C120,D117:D120,J117:J120,K117:K120)</f>
        <v>-0.56033798739628171</v>
      </c>
      <c r="R117" s="8">
        <f>bdrate(C117:C120,E117:E120,J117:J120,L117:L120)</f>
        <v>-0.60670867431671094</v>
      </c>
      <c r="S117" s="8">
        <f>bdrate(C117:C120,F117:F120,J117:J120,M117:M120)</f>
        <v>-0.61050137586925179</v>
      </c>
      <c r="T117" s="25">
        <f>bdrate(C117:C120,H117:H120,J117:J120,O117:O120)</f>
        <v>-0.57170228707624049</v>
      </c>
      <c r="U117" s="28">
        <f t="shared" si="3"/>
        <v>1.0029133154602325</v>
      </c>
    </row>
    <row r="118" spans="2:21" x14ac:dyDescent="0.25">
      <c r="B118" s="9"/>
      <c r="C118" s="17">
        <v>1299.76</v>
      </c>
      <c r="D118" s="18">
        <v>40.21</v>
      </c>
      <c r="E118" s="18">
        <v>42.610999999999997</v>
      </c>
      <c r="F118" s="18">
        <v>42.820999999999998</v>
      </c>
      <c r="G118" s="18">
        <v>49.54</v>
      </c>
      <c r="H118" s="18">
        <f t="shared" si="4"/>
        <v>40.836500000000001</v>
      </c>
      <c r="I118" s="5"/>
      <c r="J118" s="17">
        <v>973.99549999999999</v>
      </c>
      <c r="K118" s="18">
        <v>43.825499999999998</v>
      </c>
      <c r="L118" s="18">
        <v>46.292200000000001</v>
      </c>
      <c r="M118" s="18">
        <v>46.546999999999997</v>
      </c>
      <c r="N118" s="18">
        <v>97.783600000000007</v>
      </c>
      <c r="O118" s="18">
        <f t="shared" si="5"/>
        <v>44.474024999999997</v>
      </c>
      <c r="P118" s="7"/>
      <c r="Q118" s="10"/>
      <c r="R118" s="11"/>
      <c r="S118" s="11"/>
      <c r="T118" s="26"/>
      <c r="U118" s="28">
        <f t="shared" si="3"/>
        <v>0.97383124747678662</v>
      </c>
    </row>
    <row r="119" spans="2:21" x14ac:dyDescent="0.25">
      <c r="B119" s="9"/>
      <c r="C119" s="17">
        <v>759.32</v>
      </c>
      <c r="D119" s="18">
        <v>37.908000000000001</v>
      </c>
      <c r="E119" s="18">
        <v>40.588000000000001</v>
      </c>
      <c r="F119" s="18">
        <v>40.843000000000004</v>
      </c>
      <c r="G119" s="18">
        <v>59.17</v>
      </c>
      <c r="H119" s="18">
        <f t="shared" si="4"/>
        <v>38.609875000000002</v>
      </c>
      <c r="I119" s="5"/>
      <c r="J119" s="17">
        <v>634.76649999999995</v>
      </c>
      <c r="K119" s="18">
        <v>41.2072</v>
      </c>
      <c r="L119" s="18">
        <v>44.003100000000003</v>
      </c>
      <c r="M119" s="18">
        <v>44.260399999999997</v>
      </c>
      <c r="N119" s="18">
        <v>112.45780000000001</v>
      </c>
      <c r="O119" s="18">
        <f t="shared" si="5"/>
        <v>41.938337500000003</v>
      </c>
      <c r="P119" s="7"/>
      <c r="Q119" s="10"/>
      <c r="R119" s="11"/>
      <c r="S119" s="11"/>
      <c r="T119" s="26"/>
      <c r="U119" s="28">
        <f t="shared" si="3"/>
        <v>0.90058813587966879</v>
      </c>
    </row>
    <row r="120" spans="2:21" ht="16.5" thickBot="1" x14ac:dyDescent="0.3">
      <c r="B120" s="12"/>
      <c r="C120" s="19">
        <v>365.11</v>
      </c>
      <c r="D120" s="20">
        <v>34.862000000000002</v>
      </c>
      <c r="E120" s="20">
        <v>38.177</v>
      </c>
      <c r="F120" s="20">
        <v>38.475000000000001</v>
      </c>
      <c r="G120" s="20">
        <v>67.75</v>
      </c>
      <c r="H120" s="20">
        <f t="shared" si="4"/>
        <v>35.728000000000002</v>
      </c>
      <c r="I120" s="5"/>
      <c r="J120" s="19">
        <v>341.14929999999998</v>
      </c>
      <c r="K120" s="20">
        <v>37.125500000000002</v>
      </c>
      <c r="L120" s="20">
        <v>40.386499999999998</v>
      </c>
      <c r="M120" s="20">
        <v>40.665199999999999</v>
      </c>
      <c r="N120" s="20">
        <v>175.35310000000001</v>
      </c>
      <c r="O120" s="20">
        <f t="shared" si="5"/>
        <v>37.975587500000003</v>
      </c>
      <c r="P120" s="7"/>
      <c r="Q120" s="13"/>
      <c r="R120" s="14"/>
      <c r="S120" s="14"/>
      <c r="T120" s="27"/>
      <c r="U120" s="28">
        <f t="shared" si="3"/>
        <v>1.5882376383763839</v>
      </c>
    </row>
    <row r="121" spans="2:21" x14ac:dyDescent="0.25">
      <c r="B121" s="6" t="s">
        <v>113</v>
      </c>
      <c r="C121" s="15">
        <v>1534.03</v>
      </c>
      <c r="D121" s="16">
        <v>31.283000000000001</v>
      </c>
      <c r="E121" s="16">
        <v>35.308</v>
      </c>
      <c r="F121" s="16">
        <v>34.235999999999997</v>
      </c>
      <c r="G121" s="16">
        <v>36.299999999999997</v>
      </c>
      <c r="H121" s="16">
        <f t="shared" si="4"/>
        <v>32.155250000000002</v>
      </c>
      <c r="I121" s="5"/>
      <c r="J121" s="29">
        <v>1507.4123</v>
      </c>
      <c r="K121" s="30">
        <v>31.998200000000001</v>
      </c>
      <c r="L121" s="30">
        <v>36.337499999999999</v>
      </c>
      <c r="M121" s="30">
        <v>35.2318</v>
      </c>
      <c r="N121" s="16">
        <v>79.575599999999994</v>
      </c>
      <c r="O121" s="16">
        <f t="shared" si="5"/>
        <v>32.944812500000005</v>
      </c>
      <c r="P121" s="7"/>
      <c r="Q121" s="8">
        <f>bdrate(C121:C124,D121:D124,J121:J124,K121:K124)</f>
        <v>-0.10316543702696268</v>
      </c>
      <c r="R121" s="8">
        <f>bdrate(C121:C124,E121:E124,J121:J124,L121:L124)</f>
        <v>-0.3576212031866286</v>
      </c>
      <c r="S121" s="8">
        <f>bdrate(C121:C124,F121:F124,J121:J124,M121:M124)</f>
        <v>-0.32494648818829819</v>
      </c>
      <c r="T121" s="25">
        <f>bdrate(C121:C124,H121:H124,J121:J124,O121:O124)</f>
        <v>-0.15279821492478451</v>
      </c>
      <c r="U121" s="28">
        <f t="shared" si="3"/>
        <v>1.1921652892561985</v>
      </c>
    </row>
    <row r="122" spans="2:21" x14ac:dyDescent="0.25">
      <c r="B122" s="9"/>
      <c r="C122" s="17">
        <v>1020.31</v>
      </c>
      <c r="D122" s="18">
        <v>29.670999999999999</v>
      </c>
      <c r="E122" s="18">
        <v>34.271000000000001</v>
      </c>
      <c r="F122" s="18">
        <v>33.145000000000003</v>
      </c>
      <c r="G122" s="18">
        <v>39.76</v>
      </c>
      <c r="H122" s="18">
        <f t="shared" si="4"/>
        <v>30.680250000000004</v>
      </c>
      <c r="I122" s="5"/>
      <c r="J122" s="31">
        <v>1007.1919</v>
      </c>
      <c r="K122" s="32">
        <v>30.174800000000001</v>
      </c>
      <c r="L122" s="32">
        <v>35.323099999999997</v>
      </c>
      <c r="M122" s="32">
        <v>34.150300000000001</v>
      </c>
      <c r="N122" s="18">
        <v>92.903199999999998</v>
      </c>
      <c r="O122" s="18">
        <f t="shared" si="5"/>
        <v>31.315275</v>
      </c>
      <c r="P122" s="7"/>
      <c r="Q122" s="10"/>
      <c r="R122" s="11"/>
      <c r="S122" s="11"/>
      <c r="T122" s="26"/>
      <c r="U122" s="28">
        <f t="shared" si="3"/>
        <v>1.3365995975855132</v>
      </c>
    </row>
    <row r="123" spans="2:21" x14ac:dyDescent="0.25">
      <c r="B123" s="9"/>
      <c r="C123" s="17">
        <v>608.66</v>
      </c>
      <c r="D123" s="18">
        <v>27.763999999999999</v>
      </c>
      <c r="E123" s="18">
        <v>33.009</v>
      </c>
      <c r="F123" s="18">
        <v>31.797000000000001</v>
      </c>
      <c r="G123" s="18">
        <v>45.68</v>
      </c>
      <c r="H123" s="18">
        <f t="shared" si="4"/>
        <v>28.923750000000002</v>
      </c>
      <c r="I123" s="5"/>
      <c r="J123" s="31">
        <v>602.17089999999996</v>
      </c>
      <c r="K123" s="32">
        <v>28.078299999999999</v>
      </c>
      <c r="L123" s="32">
        <v>34.090800000000002</v>
      </c>
      <c r="M123" s="32">
        <v>32.821800000000003</v>
      </c>
      <c r="N123" s="18">
        <v>119.56950000000001</v>
      </c>
      <c r="O123" s="18">
        <f t="shared" si="5"/>
        <v>29.422799999999999</v>
      </c>
      <c r="P123" s="7"/>
      <c r="Q123" s="10"/>
      <c r="R123" s="11"/>
      <c r="S123" s="11"/>
      <c r="T123" s="26"/>
      <c r="U123" s="28">
        <f t="shared" si="3"/>
        <v>1.6175459719789842</v>
      </c>
    </row>
    <row r="124" spans="2:21" ht="16.5" thickBot="1" x14ac:dyDescent="0.3">
      <c r="B124" s="12"/>
      <c r="C124" s="19">
        <v>300.41000000000003</v>
      </c>
      <c r="D124" s="20">
        <v>25.385000000000002</v>
      </c>
      <c r="E124" s="20">
        <v>31.166</v>
      </c>
      <c r="F124" s="20">
        <v>29.895</v>
      </c>
      <c r="G124" s="20">
        <v>54.27</v>
      </c>
      <c r="H124" s="20">
        <f t="shared" si="4"/>
        <v>26.671375000000001</v>
      </c>
      <c r="I124" s="5"/>
      <c r="J124" s="33">
        <v>303.10469999999998</v>
      </c>
      <c r="K124" s="34">
        <v>25.605399999999999</v>
      </c>
      <c r="L124" s="34">
        <v>32.328400000000002</v>
      </c>
      <c r="M124" s="34">
        <v>30.9269</v>
      </c>
      <c r="N124" s="20">
        <v>159.3767</v>
      </c>
      <c r="O124" s="20">
        <f t="shared" si="5"/>
        <v>27.110962499999999</v>
      </c>
      <c r="P124" s="7"/>
      <c r="Q124" s="13"/>
      <c r="R124" s="14"/>
      <c r="S124" s="14"/>
      <c r="T124" s="27"/>
      <c r="U124" s="28">
        <f t="shared" si="3"/>
        <v>1.9367366869356917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-0.23917551822045055</v>
      </c>
      <c r="R125" s="21">
        <f>AVERAGE(R9:R124)</f>
        <v>-0.40951526963797524</v>
      </c>
      <c r="S125" s="21">
        <f>AVERAGE(S9:S124)</f>
        <v>-0.3977371975265015</v>
      </c>
      <c r="T125" s="21">
        <f>AVERAGE(T9:T124)</f>
        <v>-0.27071656685046763</v>
      </c>
      <c r="U125" s="21">
        <f>AVERAGE(U9:U124)</f>
        <v>1.5800743224202782</v>
      </c>
    </row>
    <row r="127" spans="2:21" s="35" customFormat="1" ht="15.75" customHeight="1" x14ac:dyDescent="0.25">
      <c r="B127" s="58" t="s">
        <v>29</v>
      </c>
      <c r="C127" s="60" t="s">
        <v>191</v>
      </c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2"/>
    </row>
    <row r="128" spans="2:21" s="35" customFormat="1" x14ac:dyDescent="0.25">
      <c r="B128" s="59"/>
      <c r="C128" s="63"/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5"/>
    </row>
    <row r="129" spans="1:21" ht="16.5" customHeight="1" thickBot="1" x14ac:dyDescent="0.3">
      <c r="C129" s="66" t="s">
        <v>80</v>
      </c>
      <c r="D129" s="67"/>
      <c r="E129" s="67"/>
      <c r="F129" s="67"/>
      <c r="G129" s="67"/>
      <c r="H129" s="67"/>
      <c r="I129" s="5"/>
      <c r="J129" s="66" t="s">
        <v>157</v>
      </c>
      <c r="K129" s="67"/>
      <c r="L129" s="67"/>
      <c r="M129" s="67"/>
      <c r="N129" s="67"/>
      <c r="O129" s="67"/>
      <c r="Q129" s="66" t="s">
        <v>7</v>
      </c>
      <c r="R129" s="67"/>
      <c r="S129" s="68"/>
      <c r="T129" s="36"/>
      <c r="U129" s="69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9"/>
    </row>
    <row r="131" spans="1:21" x14ac:dyDescent="0.25">
      <c r="A131" s="6" t="s">
        <v>35</v>
      </c>
      <c r="B131" s="6" t="s">
        <v>46</v>
      </c>
      <c r="C131" s="15">
        <v>3796.74</v>
      </c>
      <c r="D131" s="16">
        <v>35.981000000000002</v>
      </c>
      <c r="E131" s="16">
        <v>38.018000000000001</v>
      </c>
      <c r="F131" s="16">
        <v>40.314999999999998</v>
      </c>
      <c r="G131" s="16">
        <v>29.22</v>
      </c>
      <c r="H131" s="16">
        <f t="shared" ref="H131:H202" si="6">(6*D131+E131+F131)/8</f>
        <v>36.777375000000006</v>
      </c>
      <c r="I131" s="5"/>
      <c r="J131" s="15">
        <v>4024.4656</v>
      </c>
      <c r="K131" s="16">
        <v>37.536900000000003</v>
      </c>
      <c r="L131" s="16">
        <v>39.373199999999997</v>
      </c>
      <c r="M131" s="16">
        <v>41.851399999999998</v>
      </c>
      <c r="N131" s="16">
        <v>61.652299999999997</v>
      </c>
      <c r="O131" s="16">
        <f t="shared" ref="O131:O202" si="7">(6*K131+L131+M131)/8</f>
        <v>38.305750000000003</v>
      </c>
      <c r="P131" s="7"/>
      <c r="Q131" s="8">
        <f>bdrate(C131:C134,D131:D134,J131:J134,K131:K134)</f>
        <v>-0.23773085597648147</v>
      </c>
      <c r="R131" s="8">
        <f>bdrate(C131:C134,E131:E134,J131:J134,L131:L134)</f>
        <v>-0.47450447445316191</v>
      </c>
      <c r="S131" s="8">
        <f>bdrate(C131:C134,F131:F134,J131:J134,M131:M134)</f>
        <v>-0.45618281329763866</v>
      </c>
      <c r="T131" s="25">
        <f>bdrate(C131:C134,H131:H134,J131:J134,O131:O134)</f>
        <v>-0.26818435563369147</v>
      </c>
      <c r="U131" s="28">
        <f t="shared" ref="U131:U194" si="8">(N131-G131)/G131</f>
        <v>1.1099349760438055</v>
      </c>
    </row>
    <row r="132" spans="1:21" x14ac:dyDescent="0.25">
      <c r="A132" s="9" t="s">
        <v>36</v>
      </c>
      <c r="B132" s="9"/>
      <c r="C132" s="17">
        <v>2829.02</v>
      </c>
      <c r="D132" s="18">
        <v>35.122</v>
      </c>
      <c r="E132" s="18">
        <v>37.582999999999998</v>
      </c>
      <c r="F132" s="18">
        <v>39.884</v>
      </c>
      <c r="G132" s="18">
        <v>32.82</v>
      </c>
      <c r="H132" s="18">
        <f t="shared" si="6"/>
        <v>36.024875000000002</v>
      </c>
      <c r="I132" s="5"/>
      <c r="J132" s="17">
        <v>2958.1264000000001</v>
      </c>
      <c r="K132" s="18">
        <v>36.595300000000002</v>
      </c>
      <c r="L132" s="18">
        <v>38.8127</v>
      </c>
      <c r="M132" s="18">
        <v>41.159100000000002</v>
      </c>
      <c r="N132" s="18">
        <v>68.681299999999993</v>
      </c>
      <c r="O132" s="18">
        <f t="shared" si="7"/>
        <v>37.442950000000003</v>
      </c>
      <c r="P132" s="7"/>
      <c r="Q132" s="10"/>
      <c r="R132" s="11"/>
      <c r="S132" s="11"/>
      <c r="T132" s="26"/>
      <c r="U132" s="28">
        <f t="shared" si="8"/>
        <v>1.0926660572821447</v>
      </c>
    </row>
    <row r="133" spans="1:21" x14ac:dyDescent="0.25">
      <c r="B133" s="9"/>
      <c r="C133" s="17">
        <v>1850.36</v>
      </c>
      <c r="D133" s="18">
        <v>33.85</v>
      </c>
      <c r="E133" s="18">
        <v>37.091000000000001</v>
      </c>
      <c r="F133" s="18">
        <v>39.384</v>
      </c>
      <c r="G133" s="18">
        <v>35.1</v>
      </c>
      <c r="H133" s="18">
        <f t="shared" si="6"/>
        <v>34.946875000000006</v>
      </c>
      <c r="I133" s="5"/>
      <c r="J133" s="17">
        <v>1933.8943999999999</v>
      </c>
      <c r="K133" s="18">
        <v>34.977899999999998</v>
      </c>
      <c r="L133" s="18">
        <v>38.115699999999997</v>
      </c>
      <c r="M133" s="18">
        <v>40.405500000000004</v>
      </c>
      <c r="N133" s="18">
        <v>75.528700000000001</v>
      </c>
      <c r="O133" s="18">
        <f t="shared" si="7"/>
        <v>36.048575</v>
      </c>
      <c r="P133" s="7"/>
      <c r="Q133" s="10"/>
      <c r="R133" s="11"/>
      <c r="S133" s="11"/>
      <c r="T133" s="26"/>
      <c r="U133" s="28">
        <f t="shared" si="8"/>
        <v>1.1518148148148148</v>
      </c>
    </row>
    <row r="134" spans="1:21" ht="16.5" thickBot="1" x14ac:dyDescent="0.3">
      <c r="B134" s="12"/>
      <c r="C134" s="19">
        <v>869.54</v>
      </c>
      <c r="D134" s="20">
        <v>31.26</v>
      </c>
      <c r="E134" s="20">
        <v>36.460999999999999</v>
      </c>
      <c r="F134" s="20">
        <v>38.677999999999997</v>
      </c>
      <c r="G134" s="20">
        <v>38.93</v>
      </c>
      <c r="H134" s="20">
        <f t="shared" si="6"/>
        <v>32.837375000000002</v>
      </c>
      <c r="I134" s="5"/>
      <c r="J134" s="19">
        <v>923.28160000000003</v>
      </c>
      <c r="K134" s="20">
        <v>32.0854</v>
      </c>
      <c r="L134" s="20">
        <v>36.857900000000001</v>
      </c>
      <c r="M134" s="20">
        <v>39.088900000000002</v>
      </c>
      <c r="N134" s="20">
        <v>86.655100000000004</v>
      </c>
      <c r="O134" s="20">
        <f t="shared" si="7"/>
        <v>33.557400000000001</v>
      </c>
      <c r="P134" s="7"/>
      <c r="Q134" s="13"/>
      <c r="R134" s="14"/>
      <c r="S134" s="14"/>
      <c r="T134" s="27"/>
      <c r="U134" s="28">
        <f t="shared" si="8"/>
        <v>1.2259208836372979</v>
      </c>
    </row>
    <row r="135" spans="1:21" x14ac:dyDescent="0.25">
      <c r="B135" s="6" t="s">
        <v>47</v>
      </c>
      <c r="C135" s="15">
        <v>4018.41</v>
      </c>
      <c r="D135" s="16">
        <v>28.745999999999999</v>
      </c>
      <c r="E135" s="16">
        <v>38.197000000000003</v>
      </c>
      <c r="F135" s="16">
        <v>39.201000000000001</v>
      </c>
      <c r="G135" s="16">
        <v>22.57</v>
      </c>
      <c r="H135" s="16">
        <f t="shared" si="6"/>
        <v>31.234249999999999</v>
      </c>
      <c r="I135" s="5"/>
      <c r="J135" s="15">
        <v>4044.0848000000001</v>
      </c>
      <c r="K135" s="16">
        <v>28.9941</v>
      </c>
      <c r="L135" s="16">
        <v>39.227800000000002</v>
      </c>
      <c r="M135" s="16">
        <v>40.202100000000002</v>
      </c>
      <c r="N135" s="16">
        <v>49.554000000000002</v>
      </c>
      <c r="O135" s="16">
        <f t="shared" si="7"/>
        <v>31.674312499999999</v>
      </c>
      <c r="P135" s="7"/>
      <c r="Q135" s="8">
        <f>bdrate(C135:C138,D135:D138,J135:J138,K135:K138)</f>
        <v>-1.8273974894292278E-2</v>
      </c>
      <c r="R135" s="8">
        <f>bdrate(C135:C138,E135:E138,J135:J138,L135:L138)</f>
        <v>-0.42948706378218349</v>
      </c>
      <c r="S135" s="8">
        <f>bdrate(C135:C138,F135:F138,J135:J138,M135:M138)</f>
        <v>-0.44054014049130075</v>
      </c>
      <c r="T135" s="25">
        <f>bdrate(C135:C138,H135:H138,J135:J138,O135:O138)</f>
        <v>-9.1590274334506505E-2</v>
      </c>
      <c r="U135" s="28">
        <f t="shared" si="8"/>
        <v>1.1955693398316349</v>
      </c>
    </row>
    <row r="136" spans="1:21" x14ac:dyDescent="0.25">
      <c r="B136" s="9"/>
      <c r="C136" s="17">
        <v>2988.52</v>
      </c>
      <c r="D136" s="18">
        <v>27.524000000000001</v>
      </c>
      <c r="E136" s="18">
        <v>37.619999999999997</v>
      </c>
      <c r="F136" s="18">
        <v>38.722999999999999</v>
      </c>
      <c r="G136" s="18">
        <v>25.24</v>
      </c>
      <c r="H136" s="18">
        <f t="shared" si="6"/>
        <v>30.185875000000003</v>
      </c>
      <c r="I136" s="5"/>
      <c r="J136" s="17">
        <v>3038.4432000000002</v>
      </c>
      <c r="K136" s="18">
        <v>27.666499999999999</v>
      </c>
      <c r="L136" s="18">
        <v>38.723300000000002</v>
      </c>
      <c r="M136" s="18">
        <v>39.770000000000003</v>
      </c>
      <c r="N136" s="18">
        <v>57.915100000000002</v>
      </c>
      <c r="O136" s="18">
        <f t="shared" si="7"/>
        <v>30.5615375</v>
      </c>
      <c r="P136" s="7"/>
      <c r="Q136" s="10"/>
      <c r="R136" s="11"/>
      <c r="S136" s="11"/>
      <c r="T136" s="26"/>
      <c r="U136" s="28">
        <f t="shared" si="8"/>
        <v>1.2945760697305864</v>
      </c>
    </row>
    <row r="137" spans="1:21" x14ac:dyDescent="0.25">
      <c r="B137" s="9"/>
      <c r="C137" s="17">
        <v>1981.94</v>
      </c>
      <c r="D137" s="18">
        <v>25.853999999999999</v>
      </c>
      <c r="E137" s="18">
        <v>36.542999999999999</v>
      </c>
      <c r="F137" s="18">
        <v>37.774000000000001</v>
      </c>
      <c r="G137" s="18">
        <v>28.03</v>
      </c>
      <c r="H137" s="18">
        <f t="shared" si="6"/>
        <v>28.680125</v>
      </c>
      <c r="I137" s="5"/>
      <c r="J137" s="17">
        <v>2010.8815999999999</v>
      </c>
      <c r="K137" s="18">
        <v>25.859200000000001</v>
      </c>
      <c r="L137" s="18">
        <v>37.984099999999998</v>
      </c>
      <c r="M137" s="18">
        <v>39.096600000000002</v>
      </c>
      <c r="N137" s="18">
        <v>67.689499999999995</v>
      </c>
      <c r="O137" s="18">
        <f t="shared" si="7"/>
        <v>29.029487499999998</v>
      </c>
      <c r="P137" s="7"/>
      <c r="Q137" s="10"/>
      <c r="R137" s="11"/>
      <c r="S137" s="11"/>
      <c r="T137" s="26"/>
      <c r="U137" s="28">
        <f t="shared" si="8"/>
        <v>1.4148947556189795</v>
      </c>
    </row>
    <row r="138" spans="1:21" ht="16.5" thickBot="1" x14ac:dyDescent="0.3">
      <c r="B138" s="12"/>
      <c r="C138" s="19">
        <v>1014.78</v>
      </c>
      <c r="D138" s="20">
        <v>22.782</v>
      </c>
      <c r="E138" s="20">
        <v>35.311</v>
      </c>
      <c r="F138" s="20">
        <v>36.475999999999999</v>
      </c>
      <c r="G138" s="20">
        <v>33.619999999999997</v>
      </c>
      <c r="H138" s="20">
        <f t="shared" si="6"/>
        <v>26.059875000000002</v>
      </c>
      <c r="I138" s="5"/>
      <c r="J138" s="19">
        <v>1158.2464</v>
      </c>
      <c r="K138" s="20">
        <v>23.910499999999999</v>
      </c>
      <c r="L138" s="20">
        <v>36.500599999999999</v>
      </c>
      <c r="M138" s="20">
        <v>37.776200000000003</v>
      </c>
      <c r="N138" s="20">
        <v>78.206500000000005</v>
      </c>
      <c r="O138" s="20">
        <f t="shared" si="7"/>
        <v>27.217475</v>
      </c>
      <c r="P138" s="7"/>
      <c r="Q138" s="13"/>
      <c r="R138" s="14"/>
      <c r="S138" s="14"/>
      <c r="T138" s="27"/>
      <c r="U138" s="28">
        <f t="shared" si="8"/>
        <v>1.3261897679952412</v>
      </c>
    </row>
    <row r="139" spans="1:21" x14ac:dyDescent="0.25">
      <c r="A139" s="6" t="s">
        <v>37</v>
      </c>
      <c r="B139" s="6" t="s">
        <v>48</v>
      </c>
      <c r="C139" s="15">
        <v>2006.45</v>
      </c>
      <c r="D139" s="16">
        <v>38.311</v>
      </c>
      <c r="E139" s="16">
        <v>41.008000000000003</v>
      </c>
      <c r="F139" s="16">
        <v>42.143000000000001</v>
      </c>
      <c r="G139" s="16">
        <v>45.25</v>
      </c>
      <c r="H139" s="16">
        <f t="shared" si="6"/>
        <v>39.127124999999992</v>
      </c>
      <c r="I139" s="5"/>
      <c r="J139" s="15">
        <v>2395.2592</v>
      </c>
      <c r="K139" s="16">
        <v>38.930900000000001</v>
      </c>
      <c r="L139" s="16">
        <v>41.83</v>
      </c>
      <c r="M139" s="16">
        <v>43.159500000000001</v>
      </c>
      <c r="N139" s="16">
        <v>121.15089999999999</v>
      </c>
      <c r="O139" s="16">
        <f t="shared" si="7"/>
        <v>39.821862499999995</v>
      </c>
      <c r="P139" s="7"/>
      <c r="Q139" s="8">
        <f>bdrate(C139:C142,D139:D142,J139:J142,K139:K142)</f>
        <v>-4.1755559316327573E-2</v>
      </c>
      <c r="R139" s="8">
        <f>bdrate(C139:C142,E139:E142,J139:J142,L139:L142)</f>
        <v>-0.36045024776689771</v>
      </c>
      <c r="S139" s="8">
        <f>bdrate(C139:C142,F139:F142,J139:J142,M139:M142)</f>
        <v>-0.36727978673415296</v>
      </c>
      <c r="T139" s="25">
        <f>bdrate(C139:C142,H139:H142,J139:J142,O139:O142)</f>
        <v>-9.4406262470817959E-2</v>
      </c>
      <c r="U139" s="28">
        <f t="shared" si="8"/>
        <v>1.6773679558011048</v>
      </c>
    </row>
    <row r="140" spans="1:21" x14ac:dyDescent="0.25">
      <c r="A140" s="9" t="s">
        <v>38</v>
      </c>
      <c r="B140" s="9"/>
      <c r="C140" s="17">
        <v>1311.39</v>
      </c>
      <c r="D140" s="18">
        <v>36.954000000000001</v>
      </c>
      <c r="E140" s="18">
        <v>40.158000000000001</v>
      </c>
      <c r="F140" s="18">
        <v>41.325000000000003</v>
      </c>
      <c r="G140" s="18">
        <v>51.28</v>
      </c>
      <c r="H140" s="18">
        <f t="shared" si="6"/>
        <v>37.900874999999999</v>
      </c>
      <c r="I140" s="5"/>
      <c r="J140" s="17">
        <v>1571.6152</v>
      </c>
      <c r="K140" s="18">
        <v>37.654200000000003</v>
      </c>
      <c r="L140" s="18">
        <v>41.144799999999996</v>
      </c>
      <c r="M140" s="18">
        <v>42.383800000000001</v>
      </c>
      <c r="N140" s="18">
        <v>139.86009999999999</v>
      </c>
      <c r="O140" s="18">
        <f t="shared" si="7"/>
        <v>38.681725</v>
      </c>
      <c r="P140" s="7"/>
      <c r="Q140" s="10"/>
      <c r="R140" s="11"/>
      <c r="S140" s="11"/>
      <c r="T140" s="26"/>
      <c r="U140" s="28">
        <f t="shared" si="8"/>
        <v>1.7273810452418095</v>
      </c>
    </row>
    <row r="141" spans="1:21" x14ac:dyDescent="0.25">
      <c r="B141" s="9"/>
      <c r="C141" s="17">
        <v>804.87</v>
      </c>
      <c r="D141" s="18">
        <v>35.305999999999997</v>
      </c>
      <c r="E141" s="18">
        <v>39.347999999999999</v>
      </c>
      <c r="F141" s="18">
        <v>40.607999999999997</v>
      </c>
      <c r="G141" s="18">
        <v>56.76</v>
      </c>
      <c r="H141" s="18">
        <f t="shared" si="6"/>
        <v>36.473999999999997</v>
      </c>
      <c r="I141" s="5"/>
      <c r="J141" s="17">
        <v>961.54560000000004</v>
      </c>
      <c r="K141" s="18">
        <v>36.067700000000002</v>
      </c>
      <c r="L141" s="18">
        <v>40.4056</v>
      </c>
      <c r="M141" s="18">
        <v>41.572099999999999</v>
      </c>
      <c r="N141" s="18">
        <v>152.381</v>
      </c>
      <c r="O141" s="18">
        <f t="shared" si="7"/>
        <v>37.297987499999998</v>
      </c>
      <c r="P141" s="7"/>
      <c r="Q141" s="10"/>
      <c r="R141" s="11"/>
      <c r="S141" s="11"/>
      <c r="T141" s="26"/>
      <c r="U141" s="28">
        <f t="shared" si="8"/>
        <v>1.6846546863988727</v>
      </c>
    </row>
    <row r="142" spans="1:21" ht="16.5" thickBot="1" x14ac:dyDescent="0.3">
      <c r="B142" s="12"/>
      <c r="C142" s="19">
        <v>479.08</v>
      </c>
      <c r="D142" s="20">
        <v>33.421999999999997</v>
      </c>
      <c r="E142" s="20">
        <v>38.536000000000001</v>
      </c>
      <c r="F142" s="20">
        <v>39.944000000000003</v>
      </c>
      <c r="G142" s="20">
        <v>62.79</v>
      </c>
      <c r="H142" s="20">
        <f t="shared" si="6"/>
        <v>34.8765</v>
      </c>
      <c r="I142" s="5"/>
      <c r="J142" s="19">
        <v>559.78560000000004</v>
      </c>
      <c r="K142" s="20">
        <v>34.195999999999998</v>
      </c>
      <c r="L142" s="20">
        <v>39.603200000000001</v>
      </c>
      <c r="M142" s="20">
        <v>40.8127</v>
      </c>
      <c r="N142" s="20">
        <v>167.2474</v>
      </c>
      <c r="O142" s="20">
        <f t="shared" si="7"/>
        <v>35.698987500000001</v>
      </c>
      <c r="P142" s="7"/>
      <c r="Q142" s="13"/>
      <c r="R142" s="14"/>
      <c r="S142" s="14"/>
      <c r="T142" s="27"/>
      <c r="U142" s="28">
        <f t="shared" si="8"/>
        <v>1.6635992992514732</v>
      </c>
    </row>
    <row r="143" spans="1:21" x14ac:dyDescent="0.25">
      <c r="B143" s="6" t="s">
        <v>49</v>
      </c>
      <c r="C143" s="15">
        <v>2282.4699999999998</v>
      </c>
      <c r="D143" s="16">
        <v>34.588000000000001</v>
      </c>
      <c r="E143" s="16">
        <v>38.436</v>
      </c>
      <c r="F143" s="16">
        <v>39.613999999999997</v>
      </c>
      <c r="G143" s="16">
        <v>53.24</v>
      </c>
      <c r="H143" s="16">
        <f t="shared" si="6"/>
        <v>35.697250000000004</v>
      </c>
      <c r="I143" s="5"/>
      <c r="J143" s="15">
        <v>2447.44</v>
      </c>
      <c r="K143" s="16">
        <v>35.734999999999999</v>
      </c>
      <c r="L143" s="16">
        <v>39.786700000000003</v>
      </c>
      <c r="M143" s="16">
        <v>41.006900000000002</v>
      </c>
      <c r="N143" s="16">
        <v>103.98609999999999</v>
      </c>
      <c r="O143" s="16">
        <f t="shared" si="7"/>
        <v>36.900449999999999</v>
      </c>
      <c r="P143" s="7"/>
      <c r="Q143" s="8">
        <f>bdrate(C143:C146,D143:D146,J143:J146,K143:K146)</f>
        <v>-0.2139754210556799</v>
      </c>
      <c r="R143" s="8">
        <f>bdrate(C143:C146,E143:E146,J143:J146,L143:L146)</f>
        <v>-0.48806180528389864</v>
      </c>
      <c r="S143" s="8">
        <f>bdrate(C143:C146,F143:F146,J143:J146,M143:M146)</f>
        <v>-0.50657593183925065</v>
      </c>
      <c r="T143" s="25">
        <f>bdrate(C143:C146,H143:H146,J143:J146,O143:O146)</f>
        <v>-0.2640724593387892</v>
      </c>
      <c r="U143" s="28">
        <f t="shared" si="8"/>
        <v>0.95315740045078867</v>
      </c>
    </row>
    <row r="144" spans="1:21" x14ac:dyDescent="0.25">
      <c r="B144" s="9"/>
      <c r="C144" s="17">
        <v>1516.63</v>
      </c>
      <c r="D144" s="18">
        <v>33.436</v>
      </c>
      <c r="E144" s="18">
        <v>37.643999999999998</v>
      </c>
      <c r="F144" s="18">
        <v>39.033999999999999</v>
      </c>
      <c r="G144" s="18">
        <v>59.39</v>
      </c>
      <c r="H144" s="18">
        <f t="shared" si="6"/>
        <v>34.661749999999998</v>
      </c>
      <c r="I144" s="5"/>
      <c r="J144" s="17">
        <v>1663.3751999999999</v>
      </c>
      <c r="K144" s="18">
        <v>34.502000000000002</v>
      </c>
      <c r="L144" s="18">
        <v>39.064599999999999</v>
      </c>
      <c r="M144" s="18">
        <v>40.3065</v>
      </c>
      <c r="N144" s="18">
        <v>129.31030000000001</v>
      </c>
      <c r="O144" s="18">
        <f t="shared" si="7"/>
        <v>35.797887500000002</v>
      </c>
      <c r="P144" s="7"/>
      <c r="Q144" s="10"/>
      <c r="R144" s="11"/>
      <c r="S144" s="11"/>
      <c r="T144" s="26"/>
      <c r="U144" s="28">
        <f t="shared" si="8"/>
        <v>1.1773076275467251</v>
      </c>
    </row>
    <row r="145" spans="1:21" x14ac:dyDescent="0.25">
      <c r="B145" s="9"/>
      <c r="C145" s="17">
        <v>943.75</v>
      </c>
      <c r="D145" s="18">
        <v>32.095999999999997</v>
      </c>
      <c r="E145" s="18">
        <v>36.869999999999997</v>
      </c>
      <c r="F145" s="18">
        <v>38.517000000000003</v>
      </c>
      <c r="G145" s="18">
        <v>63.58</v>
      </c>
      <c r="H145" s="18">
        <f t="shared" si="6"/>
        <v>33.495374999999996</v>
      </c>
      <c r="I145" s="5"/>
      <c r="J145" s="17">
        <v>1021.1128</v>
      </c>
      <c r="K145" s="18">
        <v>32.990699999999997</v>
      </c>
      <c r="L145" s="18">
        <v>38.136200000000002</v>
      </c>
      <c r="M145" s="18">
        <v>39.476799999999997</v>
      </c>
      <c r="N145" s="18">
        <v>142.51779999999999</v>
      </c>
      <c r="O145" s="18">
        <f t="shared" si="7"/>
        <v>34.444649999999996</v>
      </c>
      <c r="P145" s="7"/>
      <c r="Q145" s="10"/>
      <c r="R145" s="11"/>
      <c r="S145" s="11"/>
      <c r="T145" s="26"/>
      <c r="U145" s="28">
        <f t="shared" si="8"/>
        <v>1.2415508021390373</v>
      </c>
    </row>
    <row r="146" spans="1:21" ht="16.5" thickBot="1" x14ac:dyDescent="0.3">
      <c r="B146" s="12"/>
      <c r="C146" s="19">
        <v>559.39</v>
      </c>
      <c r="D146" s="20">
        <v>30.602</v>
      </c>
      <c r="E146" s="20">
        <v>36.125</v>
      </c>
      <c r="F146" s="20">
        <v>38.021999999999998</v>
      </c>
      <c r="G146" s="20">
        <v>69.010000000000005</v>
      </c>
      <c r="H146" s="20">
        <f t="shared" si="6"/>
        <v>32.219875000000002</v>
      </c>
      <c r="I146" s="5"/>
      <c r="J146" s="19">
        <v>586.05439999999999</v>
      </c>
      <c r="K146" s="20">
        <v>31.331800000000001</v>
      </c>
      <c r="L146" s="20">
        <v>37.1952</v>
      </c>
      <c r="M146" s="20">
        <v>38.716099999999997</v>
      </c>
      <c r="N146" s="20">
        <v>163.5992</v>
      </c>
      <c r="O146" s="20">
        <f t="shared" si="7"/>
        <v>32.987762500000002</v>
      </c>
      <c r="P146" s="7"/>
      <c r="Q146" s="13"/>
      <c r="R146" s="14"/>
      <c r="S146" s="14"/>
      <c r="T146" s="27"/>
      <c r="U146" s="28">
        <f t="shared" si="8"/>
        <v>1.3706593247355454</v>
      </c>
    </row>
    <row r="147" spans="1:21" x14ac:dyDescent="0.25">
      <c r="B147" s="6" t="s">
        <v>50</v>
      </c>
      <c r="C147" s="15">
        <v>2374.02</v>
      </c>
      <c r="D147" s="16">
        <v>32.795000000000002</v>
      </c>
      <c r="E147" s="16">
        <v>37.246000000000002</v>
      </c>
      <c r="F147" s="16">
        <v>38.512</v>
      </c>
      <c r="G147" s="16">
        <v>57.86</v>
      </c>
      <c r="H147" s="16">
        <f t="shared" si="6"/>
        <v>34.066000000000003</v>
      </c>
      <c r="I147" s="5"/>
      <c r="J147" s="15">
        <v>2409.0176000000001</v>
      </c>
      <c r="K147" s="16">
        <v>33.795200000000001</v>
      </c>
      <c r="L147" s="16">
        <v>38.050699999999999</v>
      </c>
      <c r="M147" s="16">
        <v>40.0077</v>
      </c>
      <c r="N147" s="16">
        <v>130.20830000000001</v>
      </c>
      <c r="O147" s="16">
        <f t="shared" si="7"/>
        <v>35.103700000000003</v>
      </c>
      <c r="P147" s="7"/>
      <c r="Q147" s="8">
        <f>bdrate(C147:C150,D147:D150,J147:J150,K147:K150)</f>
        <v>-0.17554774428317788</v>
      </c>
      <c r="R147" s="8">
        <f>bdrate(C147:C150,E147:E150,J147:J150,L147:L150)</f>
        <v>-0.45102521388050243</v>
      </c>
      <c r="S147" s="8">
        <f>bdrate(C147:C150,F147:F150,J147:J150,M147:M150)</f>
        <v>-0.44411264121216576</v>
      </c>
      <c r="T147" s="25">
        <f>bdrate(C147:C150,H147:H150,J147:J150,O147:O150)</f>
        <v>-0.22297986992387675</v>
      </c>
      <c r="U147" s="28">
        <f t="shared" si="8"/>
        <v>1.2504026961631527</v>
      </c>
    </row>
    <row r="148" spans="1:21" x14ac:dyDescent="0.25">
      <c r="B148" s="9"/>
      <c r="C148" s="17">
        <v>1581.23</v>
      </c>
      <c r="D148" s="18">
        <v>31.72</v>
      </c>
      <c r="E148" s="18">
        <v>36.807000000000002</v>
      </c>
      <c r="F148" s="18">
        <v>37.814</v>
      </c>
      <c r="G148" s="18">
        <v>65.150000000000006</v>
      </c>
      <c r="H148" s="18">
        <f t="shared" si="6"/>
        <v>33.117625000000004</v>
      </c>
      <c r="I148" s="5"/>
      <c r="J148" s="17">
        <v>1605.3584000000001</v>
      </c>
      <c r="K148" s="18">
        <v>32.551299999999998</v>
      </c>
      <c r="L148" s="18">
        <v>37.595300000000002</v>
      </c>
      <c r="M148" s="18">
        <v>39.149500000000003</v>
      </c>
      <c r="N148" s="18">
        <v>162.65450000000001</v>
      </c>
      <c r="O148" s="18">
        <f t="shared" si="7"/>
        <v>34.006574999999998</v>
      </c>
      <c r="P148" s="7"/>
      <c r="Q148" s="10"/>
      <c r="R148" s="11"/>
      <c r="S148" s="11"/>
      <c r="T148" s="26"/>
      <c r="U148" s="28">
        <f t="shared" si="8"/>
        <v>1.496615502686109</v>
      </c>
    </row>
    <row r="149" spans="1:21" x14ac:dyDescent="0.25">
      <c r="B149" s="9"/>
      <c r="C149" s="17">
        <v>975.79</v>
      </c>
      <c r="D149" s="18">
        <v>30.309000000000001</v>
      </c>
      <c r="E149" s="18">
        <v>36.234000000000002</v>
      </c>
      <c r="F149" s="18">
        <v>36.908000000000001</v>
      </c>
      <c r="G149" s="18">
        <v>67.05</v>
      </c>
      <c r="H149" s="18">
        <f t="shared" si="6"/>
        <v>31.874500000000005</v>
      </c>
      <c r="I149" s="5"/>
      <c r="J149" s="17">
        <v>997.94079999999997</v>
      </c>
      <c r="K149" s="18">
        <v>30.923200000000001</v>
      </c>
      <c r="L149" s="18">
        <v>37.011600000000001</v>
      </c>
      <c r="M149" s="18">
        <v>38.113300000000002</v>
      </c>
      <c r="N149" s="18">
        <v>176.92850000000001</v>
      </c>
      <c r="O149" s="18">
        <f t="shared" si="7"/>
        <v>32.583012499999995</v>
      </c>
      <c r="P149" s="7"/>
      <c r="Q149" s="10"/>
      <c r="R149" s="11"/>
      <c r="S149" s="11"/>
      <c r="T149" s="26"/>
      <c r="U149" s="28">
        <f t="shared" si="8"/>
        <v>1.6387546607009698</v>
      </c>
    </row>
    <row r="150" spans="1:21" ht="16.5" thickBot="1" x14ac:dyDescent="0.3">
      <c r="B150" s="12"/>
      <c r="C150" s="19">
        <v>570.09</v>
      </c>
      <c r="D150" s="20">
        <v>28.535</v>
      </c>
      <c r="E150" s="20">
        <v>35.271999999999998</v>
      </c>
      <c r="F150" s="20">
        <v>35.456000000000003</v>
      </c>
      <c r="G150" s="20">
        <v>72.52</v>
      </c>
      <c r="H150" s="20">
        <f t="shared" si="6"/>
        <v>30.242249999999999</v>
      </c>
      <c r="I150" s="5"/>
      <c r="J150" s="19">
        <v>600.27520000000004</v>
      </c>
      <c r="K150" s="20">
        <v>29.089300000000001</v>
      </c>
      <c r="L150" s="20">
        <v>36.275700000000001</v>
      </c>
      <c r="M150" s="20">
        <v>36.959400000000002</v>
      </c>
      <c r="N150" s="20">
        <v>189.60939999999999</v>
      </c>
      <c r="O150" s="20">
        <f t="shared" si="7"/>
        <v>30.971362499999998</v>
      </c>
      <c r="P150" s="7"/>
      <c r="Q150" s="13"/>
      <c r="R150" s="14"/>
      <c r="S150" s="14"/>
      <c r="T150" s="27"/>
      <c r="U150" s="28">
        <f t="shared" si="8"/>
        <v>1.614580805295091</v>
      </c>
    </row>
    <row r="151" spans="1:21" x14ac:dyDescent="0.25">
      <c r="B151" s="6" t="s">
        <v>51</v>
      </c>
      <c r="C151" s="29">
        <v>2397.6</v>
      </c>
      <c r="D151" s="30">
        <v>33.392000000000003</v>
      </c>
      <c r="E151" s="30">
        <v>39.447000000000003</v>
      </c>
      <c r="F151" s="30">
        <v>38.893999999999998</v>
      </c>
      <c r="G151" s="16">
        <v>53.95</v>
      </c>
      <c r="H151" s="16">
        <f t="shared" si="6"/>
        <v>34.836625000000005</v>
      </c>
      <c r="I151" s="5"/>
      <c r="J151" s="29">
        <v>2416.8416000000002</v>
      </c>
      <c r="K151" s="30">
        <v>33.760300000000001</v>
      </c>
      <c r="L151" s="30">
        <v>40.164900000000003</v>
      </c>
      <c r="M151" s="30">
        <v>39.726999999999997</v>
      </c>
      <c r="N151" s="16">
        <v>123.24379999999999</v>
      </c>
      <c r="O151" s="16">
        <f t="shared" si="7"/>
        <v>35.306712499999996</v>
      </c>
      <c r="P151" s="7"/>
      <c r="Q151" s="8">
        <f>bdrate(C151:C154,D151:D154,J151:J154,K151:K154)</f>
        <v>-7.274994434162696E-2</v>
      </c>
      <c r="R151" s="8">
        <f>bdrate(C151:C154,E151:E154,J151:J154,L151:L154)</f>
        <v>-0.27368842361507084</v>
      </c>
      <c r="S151" s="8">
        <f>bdrate(C151:C154,F151:F154,J151:J154,M151:M154)</f>
        <v>-0.27825277269201587</v>
      </c>
      <c r="T151" s="25">
        <f>bdrate(C151:C154,H151:H154,J151:J154,O151:O154)</f>
        <v>-0.11639262429559194</v>
      </c>
      <c r="U151" s="28">
        <f t="shared" si="8"/>
        <v>1.284407784986098</v>
      </c>
    </row>
    <row r="152" spans="1:21" x14ac:dyDescent="0.25">
      <c r="B152" s="9"/>
      <c r="C152" s="31">
        <v>1586.47</v>
      </c>
      <c r="D152" s="32">
        <v>31.988</v>
      </c>
      <c r="E152" s="32">
        <v>38.610999999999997</v>
      </c>
      <c r="F152" s="32">
        <v>37.786999999999999</v>
      </c>
      <c r="G152" s="18">
        <v>60.92</v>
      </c>
      <c r="H152" s="18">
        <f t="shared" si="6"/>
        <v>33.540749999999996</v>
      </c>
      <c r="I152" s="5"/>
      <c r="J152" s="31">
        <v>1608.7503999999999</v>
      </c>
      <c r="K152" s="32">
        <v>32.332999999999998</v>
      </c>
      <c r="L152" s="32">
        <v>39.3581</v>
      </c>
      <c r="M152" s="32">
        <v>38.720199999999998</v>
      </c>
      <c r="N152" s="18">
        <v>145.6876</v>
      </c>
      <c r="O152" s="18">
        <f t="shared" si="7"/>
        <v>34.0095375</v>
      </c>
      <c r="P152" s="7"/>
      <c r="Q152" s="10"/>
      <c r="R152" s="11"/>
      <c r="S152" s="11"/>
      <c r="T152" s="26"/>
      <c r="U152" s="28">
        <f t="shared" si="8"/>
        <v>1.3914576493762312</v>
      </c>
    </row>
    <row r="153" spans="1:21" x14ac:dyDescent="0.25">
      <c r="B153" s="9"/>
      <c r="C153" s="31">
        <v>989.57</v>
      </c>
      <c r="D153" s="32">
        <v>30.251000000000001</v>
      </c>
      <c r="E153" s="32">
        <v>37.542000000000002</v>
      </c>
      <c r="F153" s="32">
        <v>36.441000000000003</v>
      </c>
      <c r="G153" s="18">
        <v>64.48</v>
      </c>
      <c r="H153" s="18">
        <f t="shared" si="6"/>
        <v>31.936125000000001</v>
      </c>
      <c r="I153" s="5"/>
      <c r="J153" s="31">
        <v>1000.6808</v>
      </c>
      <c r="K153" s="32">
        <v>30.541799999999999</v>
      </c>
      <c r="L153" s="32">
        <v>38.375300000000003</v>
      </c>
      <c r="M153" s="32">
        <v>37.448999999999998</v>
      </c>
      <c r="N153" s="18">
        <v>161.8647</v>
      </c>
      <c r="O153" s="18">
        <f t="shared" si="7"/>
        <v>32.384387500000003</v>
      </c>
      <c r="P153" s="7"/>
      <c r="Q153" s="10"/>
      <c r="R153" s="11"/>
      <c r="S153" s="11"/>
      <c r="T153" s="26"/>
      <c r="U153" s="28">
        <f t="shared" si="8"/>
        <v>1.5103086228287839</v>
      </c>
    </row>
    <row r="154" spans="1:21" ht="16.5" thickBot="1" x14ac:dyDescent="0.3">
      <c r="B154" s="12"/>
      <c r="C154" s="33">
        <v>585.49</v>
      </c>
      <c r="D154" s="34">
        <v>28.207999999999998</v>
      </c>
      <c r="E154" s="34">
        <v>35.715000000000003</v>
      </c>
      <c r="F154" s="34">
        <v>34.274999999999999</v>
      </c>
      <c r="G154" s="20">
        <v>69.22</v>
      </c>
      <c r="H154" s="20">
        <f t="shared" si="6"/>
        <v>29.90475</v>
      </c>
      <c r="I154" s="5"/>
      <c r="J154" s="33">
        <v>600.32719999999995</v>
      </c>
      <c r="K154" s="34">
        <v>28.6082</v>
      </c>
      <c r="L154" s="34">
        <v>36.784999999999997</v>
      </c>
      <c r="M154" s="34">
        <v>35.764400000000002</v>
      </c>
      <c r="N154" s="20">
        <v>179.01900000000001</v>
      </c>
      <c r="O154" s="20">
        <f t="shared" si="7"/>
        <v>30.524825</v>
      </c>
      <c r="P154" s="7"/>
      <c r="Q154" s="13"/>
      <c r="R154" s="14"/>
      <c r="S154" s="14"/>
      <c r="T154" s="27"/>
      <c r="U154" s="28">
        <f t="shared" si="8"/>
        <v>1.5862323028026584</v>
      </c>
    </row>
    <row r="155" spans="1:21" x14ac:dyDescent="0.25">
      <c r="B155" s="6" t="s">
        <v>52</v>
      </c>
      <c r="C155" s="15">
        <v>2387.5300000000002</v>
      </c>
      <c r="D155" s="16">
        <v>31.777000000000001</v>
      </c>
      <c r="E155" s="16">
        <v>38.433</v>
      </c>
      <c r="F155" s="16">
        <v>41.101999999999997</v>
      </c>
      <c r="G155" s="16">
        <v>66.2</v>
      </c>
      <c r="H155" s="16">
        <f t="shared" si="6"/>
        <v>33.774625</v>
      </c>
      <c r="I155" s="5"/>
      <c r="J155" s="15">
        <v>2419.0104000000001</v>
      </c>
      <c r="K155" s="16">
        <v>33.35</v>
      </c>
      <c r="L155" s="16">
        <v>39.6982</v>
      </c>
      <c r="M155" s="16">
        <v>42.177999999999997</v>
      </c>
      <c r="N155" s="16">
        <v>135.28749999999999</v>
      </c>
      <c r="O155" s="16">
        <f t="shared" si="7"/>
        <v>35.247025000000001</v>
      </c>
      <c r="P155" s="7"/>
      <c r="Q155" s="8">
        <f>bdrate(C155:C158,D155:D158,J155:J158,K155:K158)</f>
        <v>-0.49030103525803714</v>
      </c>
      <c r="R155" s="8">
        <f>bdrate(C155:C158,E155:E158,J155:J158,L155:L158)</f>
        <v>-0.60591054189354243</v>
      </c>
      <c r="S155" s="8">
        <f>bdrate(C155:C158,F155:F158,J155:J158,M155:M158)</f>
        <v>-0.53767191099190348</v>
      </c>
      <c r="T155" s="25">
        <f>bdrate(C155:C158,H155:H158,J155:J158,O155:O158)</f>
        <v>-0.49989139910317582</v>
      </c>
      <c r="U155" s="28">
        <f t="shared" si="8"/>
        <v>1.0436178247734138</v>
      </c>
    </row>
    <row r="156" spans="1:21" x14ac:dyDescent="0.25">
      <c r="B156" s="9"/>
      <c r="C156" s="17">
        <v>1561.94</v>
      </c>
      <c r="D156" s="18">
        <v>30.827999999999999</v>
      </c>
      <c r="E156" s="18">
        <v>38.042999999999999</v>
      </c>
      <c r="F156" s="18">
        <v>40.774000000000001</v>
      </c>
      <c r="G156" s="18">
        <v>72.3</v>
      </c>
      <c r="H156" s="18">
        <f t="shared" si="6"/>
        <v>32.973124999999996</v>
      </c>
      <c r="I156" s="5"/>
      <c r="J156" s="17">
        <v>1616.692</v>
      </c>
      <c r="K156" s="18">
        <v>32.636099999999999</v>
      </c>
      <c r="L156" s="18">
        <v>39.192500000000003</v>
      </c>
      <c r="M156" s="18">
        <v>41.777000000000001</v>
      </c>
      <c r="N156" s="18">
        <v>160.9442</v>
      </c>
      <c r="O156" s="18">
        <f t="shared" si="7"/>
        <v>34.598262499999997</v>
      </c>
      <c r="P156" s="7"/>
      <c r="Q156" s="10"/>
      <c r="R156" s="11"/>
      <c r="S156" s="11"/>
      <c r="T156" s="26"/>
      <c r="U156" s="28">
        <f t="shared" si="8"/>
        <v>1.2260608575380361</v>
      </c>
    </row>
    <row r="157" spans="1:21" x14ac:dyDescent="0.25">
      <c r="B157" s="9"/>
      <c r="C157" s="17">
        <v>928.43</v>
      </c>
      <c r="D157" s="18">
        <v>29.388999999999999</v>
      </c>
      <c r="E157" s="18">
        <v>37.521999999999998</v>
      </c>
      <c r="F157" s="18">
        <v>40.268000000000001</v>
      </c>
      <c r="G157" s="18">
        <v>76.31</v>
      </c>
      <c r="H157" s="18">
        <f t="shared" si="6"/>
        <v>31.765499999999999</v>
      </c>
      <c r="I157" s="5"/>
      <c r="J157" s="17">
        <v>1030.6656</v>
      </c>
      <c r="K157" s="18">
        <v>31.514800000000001</v>
      </c>
      <c r="L157" s="18">
        <v>38.563699999999997</v>
      </c>
      <c r="M157" s="18">
        <v>41.139800000000001</v>
      </c>
      <c r="N157" s="18">
        <v>174.06440000000001</v>
      </c>
      <c r="O157" s="18">
        <f t="shared" si="7"/>
        <v>33.599037499999994</v>
      </c>
      <c r="P157" s="7"/>
      <c r="Q157" s="10"/>
      <c r="R157" s="11"/>
      <c r="S157" s="11"/>
      <c r="T157" s="26"/>
      <c r="U157" s="28">
        <f t="shared" si="8"/>
        <v>1.2810169047307036</v>
      </c>
    </row>
    <row r="158" spans="1:21" ht="16.5" thickBot="1" x14ac:dyDescent="0.3">
      <c r="B158" s="12"/>
      <c r="C158" s="19">
        <v>480.9</v>
      </c>
      <c r="D158" s="20">
        <v>26.317</v>
      </c>
      <c r="E158" s="20">
        <v>36.234000000000002</v>
      </c>
      <c r="F158" s="20">
        <v>39.18</v>
      </c>
      <c r="G158" s="20">
        <v>80.459999999999994</v>
      </c>
      <c r="H158" s="20">
        <f t="shared" si="6"/>
        <v>29.1645</v>
      </c>
      <c r="I158" s="5"/>
      <c r="J158" s="19">
        <v>599.98320000000001</v>
      </c>
      <c r="K158" s="20">
        <v>29.973099999999999</v>
      </c>
      <c r="L158" s="20">
        <v>38.0154</v>
      </c>
      <c r="M158" s="20">
        <v>40.566200000000002</v>
      </c>
      <c r="N158" s="20">
        <v>186.7414</v>
      </c>
      <c r="O158" s="20">
        <f t="shared" si="7"/>
        <v>32.302524999999996</v>
      </c>
      <c r="P158" s="7"/>
      <c r="Q158" s="13"/>
      <c r="R158" s="14"/>
      <c r="S158" s="14"/>
      <c r="T158" s="27"/>
      <c r="U158" s="28">
        <f t="shared" si="8"/>
        <v>1.3209221973651506</v>
      </c>
    </row>
    <row r="159" spans="1:21" x14ac:dyDescent="0.25">
      <c r="A159" s="6" t="s">
        <v>39</v>
      </c>
      <c r="B159" s="6" t="s">
        <v>53</v>
      </c>
      <c r="C159" s="15">
        <v>1222.9000000000001</v>
      </c>
      <c r="D159" s="16">
        <v>33.567999999999998</v>
      </c>
      <c r="E159" s="16">
        <v>37.313000000000002</v>
      </c>
      <c r="F159" s="16">
        <v>37.046999999999997</v>
      </c>
      <c r="G159" s="16">
        <v>222.62</v>
      </c>
      <c r="H159" s="16">
        <f t="shared" si="6"/>
        <v>34.471000000000004</v>
      </c>
      <c r="I159" s="5"/>
      <c r="J159" s="15">
        <v>1210.6695999999999</v>
      </c>
      <c r="K159" s="16">
        <v>34.638599999999997</v>
      </c>
      <c r="L159" s="16">
        <v>38.794899999999998</v>
      </c>
      <c r="M159" s="16">
        <v>38.579300000000003</v>
      </c>
      <c r="N159" s="16">
        <v>464.25259999999997</v>
      </c>
      <c r="O159" s="16">
        <f t="shared" si="7"/>
        <v>35.650724999999994</v>
      </c>
      <c r="P159" s="7"/>
      <c r="Q159" s="8">
        <f>bdrate(C159:C162,D159:D162,J159:J162,K159:K162)</f>
        <v>-0.20393784211699084</v>
      </c>
      <c r="R159" s="8">
        <f>bdrate(C159:C162,E159:E162,J159:J162,L159:L162)</f>
        <v>-0.36944197163542181</v>
      </c>
      <c r="S159" s="8">
        <f>bdrate(C159:C162,F159:F162,J159:J162,M159:M162)</f>
        <v>-0.3387604394454321</v>
      </c>
      <c r="T159" s="25">
        <f>bdrate(C159:C162,H159:H162,J159:J162,O159:O162)</f>
        <v>-0.23523114212129514</v>
      </c>
      <c r="U159" s="28">
        <f t="shared" si="8"/>
        <v>1.0854038271494024</v>
      </c>
    </row>
    <row r="160" spans="1:21" x14ac:dyDescent="0.25">
      <c r="A160" s="9" t="s">
        <v>40</v>
      </c>
      <c r="B160" s="9"/>
      <c r="C160" s="17">
        <v>811.34</v>
      </c>
      <c r="D160" s="18">
        <v>32.134</v>
      </c>
      <c r="E160" s="18">
        <v>36.415999999999997</v>
      </c>
      <c r="F160" s="18">
        <v>36.014000000000003</v>
      </c>
      <c r="G160" s="18">
        <v>250.38</v>
      </c>
      <c r="H160" s="18">
        <f t="shared" si="6"/>
        <v>33.154249999999998</v>
      </c>
      <c r="I160" s="5"/>
      <c r="J160" s="17">
        <v>804.78</v>
      </c>
      <c r="K160" s="18">
        <v>33.0884</v>
      </c>
      <c r="L160" s="18">
        <v>37.630200000000002</v>
      </c>
      <c r="M160" s="18">
        <v>37.254800000000003</v>
      </c>
      <c r="N160" s="18">
        <v>562.42970000000003</v>
      </c>
      <c r="O160" s="18">
        <f t="shared" si="7"/>
        <v>34.176924999999997</v>
      </c>
      <c r="P160" s="7"/>
      <c r="Q160" s="10"/>
      <c r="R160" s="11"/>
      <c r="S160" s="11"/>
      <c r="T160" s="26"/>
      <c r="U160" s="28">
        <f t="shared" si="8"/>
        <v>1.2463044172857258</v>
      </c>
    </row>
    <row r="161" spans="1:21" x14ac:dyDescent="0.25">
      <c r="B161" s="9"/>
      <c r="C161" s="17">
        <v>506</v>
      </c>
      <c r="D161" s="18">
        <v>30.568999999999999</v>
      </c>
      <c r="E161" s="18">
        <v>35.412999999999997</v>
      </c>
      <c r="F161" s="18">
        <v>34.853000000000002</v>
      </c>
      <c r="G161" s="18">
        <v>278.70999999999998</v>
      </c>
      <c r="H161" s="18">
        <f t="shared" si="6"/>
        <v>31.71</v>
      </c>
      <c r="I161" s="5"/>
      <c r="J161" s="17">
        <v>502.45519999999999</v>
      </c>
      <c r="K161" s="18">
        <v>31.290400000000002</v>
      </c>
      <c r="L161" s="18">
        <v>36.430500000000002</v>
      </c>
      <c r="M161" s="18">
        <v>35.878700000000002</v>
      </c>
      <c r="N161" s="18">
        <v>681.19889999999998</v>
      </c>
      <c r="O161" s="18">
        <f t="shared" si="7"/>
        <v>32.506450000000001</v>
      </c>
      <c r="P161" s="7"/>
      <c r="Q161" s="10"/>
      <c r="R161" s="11"/>
      <c r="S161" s="11"/>
      <c r="T161" s="26"/>
      <c r="U161" s="28">
        <f t="shared" si="8"/>
        <v>1.444113594775932</v>
      </c>
    </row>
    <row r="162" spans="1:21" ht="16.5" thickBot="1" x14ac:dyDescent="0.3">
      <c r="B162" s="12"/>
      <c r="C162" s="19">
        <v>300.07</v>
      </c>
      <c r="D162" s="20">
        <v>28.902999999999999</v>
      </c>
      <c r="E162" s="20">
        <v>34.223999999999997</v>
      </c>
      <c r="F162" s="20">
        <v>33.527000000000001</v>
      </c>
      <c r="G162" s="20">
        <v>320.51</v>
      </c>
      <c r="H162" s="20">
        <f t="shared" si="6"/>
        <v>30.146124999999998</v>
      </c>
      <c r="I162" s="5"/>
      <c r="J162" s="19">
        <v>300.69760000000002</v>
      </c>
      <c r="K162" s="20">
        <v>29.348199999999999</v>
      </c>
      <c r="L162" s="20">
        <v>35.080599999999997</v>
      </c>
      <c r="M162" s="20">
        <v>34.4026</v>
      </c>
      <c r="N162" s="20">
        <v>745.15650000000005</v>
      </c>
      <c r="O162" s="20">
        <f t="shared" si="7"/>
        <v>30.696550000000002</v>
      </c>
      <c r="P162" s="7"/>
      <c r="Q162" s="13"/>
      <c r="R162" s="14"/>
      <c r="S162" s="14"/>
      <c r="T162" s="27"/>
      <c r="U162" s="28">
        <f t="shared" si="8"/>
        <v>1.3249087391969052</v>
      </c>
    </row>
    <row r="163" spans="1:21" x14ac:dyDescent="0.25">
      <c r="B163" s="6" t="s">
        <v>54</v>
      </c>
      <c r="C163" s="15">
        <v>1224.2</v>
      </c>
      <c r="D163" s="16">
        <v>33.381999999999998</v>
      </c>
      <c r="E163" s="16">
        <v>38.817999999999998</v>
      </c>
      <c r="F163" s="16">
        <v>39.613999999999997</v>
      </c>
      <c r="G163" s="16">
        <v>258.18</v>
      </c>
      <c r="H163" s="16">
        <f t="shared" si="6"/>
        <v>34.840499999999992</v>
      </c>
      <c r="I163" s="5"/>
      <c r="J163" s="15">
        <v>1234.4223999999999</v>
      </c>
      <c r="K163" s="16">
        <v>34.826099999999997</v>
      </c>
      <c r="L163" s="16">
        <v>40.346200000000003</v>
      </c>
      <c r="M163" s="16">
        <v>41.1479</v>
      </c>
      <c r="N163" s="16">
        <v>499.58370000000002</v>
      </c>
      <c r="O163" s="16">
        <f t="shared" si="7"/>
        <v>36.306337499999998</v>
      </c>
      <c r="P163" s="7"/>
      <c r="Q163" s="8">
        <f>bdrate(C163:C166,D163:D166,J163:J166,K163:K166)</f>
        <v>-0.2685108966968317</v>
      </c>
      <c r="R163" s="8">
        <f>bdrate(C163:C166,E163:E166,J163:J166,L163:L166)</f>
        <v>-0.49487332142387674</v>
      </c>
      <c r="S163" s="8">
        <f>bdrate(C163:C166,F163:F166,J163:J166,M163:M166)</f>
        <v>-0.44764261548227879</v>
      </c>
      <c r="T163" s="25">
        <f>bdrate(C163:C166,H163:H166,J163:J166,O163:O166)</f>
        <v>-0.30635338628328501</v>
      </c>
      <c r="U163" s="28">
        <f t="shared" si="8"/>
        <v>0.93502091564025103</v>
      </c>
    </row>
    <row r="164" spans="1:21" x14ac:dyDescent="0.25">
      <c r="B164" s="9"/>
      <c r="C164" s="17">
        <v>813.92</v>
      </c>
      <c r="D164" s="18">
        <v>31.914999999999999</v>
      </c>
      <c r="E164" s="18">
        <v>37.895000000000003</v>
      </c>
      <c r="F164" s="18">
        <v>38.593000000000004</v>
      </c>
      <c r="G164" s="18">
        <v>289.16000000000003</v>
      </c>
      <c r="H164" s="18">
        <f t="shared" si="6"/>
        <v>33.497250000000001</v>
      </c>
      <c r="I164" s="5"/>
      <c r="J164" s="17">
        <v>824.51520000000005</v>
      </c>
      <c r="K164" s="18">
        <v>33.2667</v>
      </c>
      <c r="L164" s="18">
        <v>39.3782</v>
      </c>
      <c r="M164" s="18">
        <v>40.095500000000001</v>
      </c>
      <c r="N164" s="18">
        <v>541.51620000000003</v>
      </c>
      <c r="O164" s="18">
        <f t="shared" si="7"/>
        <v>34.884237499999998</v>
      </c>
      <c r="P164" s="7"/>
      <c r="Q164" s="10"/>
      <c r="R164" s="11"/>
      <c r="S164" s="11"/>
      <c r="T164" s="26"/>
      <c r="U164" s="28">
        <f t="shared" si="8"/>
        <v>0.87272167658043986</v>
      </c>
    </row>
    <row r="165" spans="1:21" x14ac:dyDescent="0.25">
      <c r="B165" s="9"/>
      <c r="C165" s="17">
        <v>505.66</v>
      </c>
      <c r="D165" s="18">
        <v>30.186</v>
      </c>
      <c r="E165" s="18">
        <v>36.933999999999997</v>
      </c>
      <c r="F165" s="18">
        <v>37.499000000000002</v>
      </c>
      <c r="G165" s="18">
        <v>315.29000000000002</v>
      </c>
      <c r="H165" s="18">
        <f t="shared" si="6"/>
        <v>31.943624999999997</v>
      </c>
      <c r="I165" s="5"/>
      <c r="J165" s="17">
        <v>514.88879999999995</v>
      </c>
      <c r="K165" s="18">
        <v>31.398199999999999</v>
      </c>
      <c r="L165" s="18">
        <v>38.4024</v>
      </c>
      <c r="M165" s="18">
        <v>38.937100000000001</v>
      </c>
      <c r="N165" s="18">
        <v>651.46579999999994</v>
      </c>
      <c r="O165" s="18">
        <f t="shared" si="7"/>
        <v>33.2160875</v>
      </c>
      <c r="P165" s="7"/>
      <c r="Q165" s="10"/>
      <c r="R165" s="11"/>
      <c r="S165" s="11"/>
      <c r="T165" s="26"/>
      <c r="U165" s="28">
        <f t="shared" si="8"/>
        <v>1.066243141235053</v>
      </c>
    </row>
    <row r="166" spans="1:21" ht="16.5" thickBot="1" x14ac:dyDescent="0.3">
      <c r="B166" s="12"/>
      <c r="C166" s="19">
        <v>299.04000000000002</v>
      </c>
      <c r="D166" s="20">
        <v>28.209</v>
      </c>
      <c r="E166" s="20">
        <v>35.683999999999997</v>
      </c>
      <c r="F166" s="20">
        <v>36.017000000000003</v>
      </c>
      <c r="G166" s="20">
        <v>340.52</v>
      </c>
      <c r="H166" s="20">
        <f t="shared" si="6"/>
        <v>30.119374999999998</v>
      </c>
      <c r="I166" s="5"/>
      <c r="J166" s="19">
        <v>308.67439999999999</v>
      </c>
      <c r="K166" s="20">
        <v>29.310099999999998</v>
      </c>
      <c r="L166" s="20">
        <v>37.276200000000003</v>
      </c>
      <c r="M166" s="20">
        <v>37.709499999999998</v>
      </c>
      <c r="N166" s="20">
        <v>785.34029999999996</v>
      </c>
      <c r="O166" s="20">
        <f t="shared" si="7"/>
        <v>31.355787499999998</v>
      </c>
      <c r="P166" s="7"/>
      <c r="Q166" s="13"/>
      <c r="R166" s="14"/>
      <c r="S166" s="14"/>
      <c r="T166" s="27"/>
      <c r="U166" s="28">
        <f t="shared" si="8"/>
        <v>1.3062971337953717</v>
      </c>
    </row>
    <row r="167" spans="1:21" x14ac:dyDescent="0.25">
      <c r="B167" s="6" t="s">
        <v>55</v>
      </c>
      <c r="C167" s="15">
        <v>1091.33</v>
      </c>
      <c r="D167" s="16">
        <v>27.916</v>
      </c>
      <c r="E167" s="16">
        <v>34.521999999999998</v>
      </c>
      <c r="F167" s="16">
        <v>35.317999999999998</v>
      </c>
      <c r="G167" s="16">
        <v>254.32</v>
      </c>
      <c r="H167" s="16">
        <f t="shared" si="6"/>
        <v>29.667000000000002</v>
      </c>
      <c r="I167" s="5"/>
      <c r="J167" s="15">
        <v>1215.556</v>
      </c>
      <c r="K167" s="16">
        <v>29.928699999999999</v>
      </c>
      <c r="L167" s="16">
        <v>36.531799999999997</v>
      </c>
      <c r="M167" s="16">
        <v>37.294499999999999</v>
      </c>
      <c r="N167" s="16">
        <v>471.25349999999997</v>
      </c>
      <c r="O167" s="16">
        <f t="shared" si="7"/>
        <v>31.674812500000002</v>
      </c>
      <c r="P167" s="7"/>
      <c r="Q167" s="8">
        <f>bdrate(C167:C170,D167:D170,J167:J170,K167:K170)</f>
        <v>-0.40531778467177448</v>
      </c>
      <c r="R167" s="8">
        <f>bdrate(C167:C170,E167:E170,J167:J170,L167:L170)</f>
        <v>-0.62707032332665302</v>
      </c>
      <c r="S167" s="8">
        <f>bdrate(C167:C170,F167:F170,J167:J170,M167:M170)</f>
        <v>-0.59088601252374329</v>
      </c>
      <c r="T167" s="25">
        <f>bdrate(C167:C170,H167:H170,J167:J170,O167:O170)</f>
        <v>-0.44189854079943569</v>
      </c>
      <c r="U167" s="28">
        <f t="shared" si="8"/>
        <v>0.85299425920100658</v>
      </c>
    </row>
    <row r="168" spans="1:21" x14ac:dyDescent="0.25">
      <c r="B168" s="9"/>
      <c r="C168" s="17">
        <v>727.92</v>
      </c>
      <c r="D168" s="18">
        <v>26.68</v>
      </c>
      <c r="E168" s="18">
        <v>33.932000000000002</v>
      </c>
      <c r="F168" s="18">
        <v>34.765999999999998</v>
      </c>
      <c r="G168" s="18">
        <v>273.97000000000003</v>
      </c>
      <c r="H168" s="18">
        <f t="shared" si="6"/>
        <v>28.597249999999999</v>
      </c>
      <c r="I168" s="5"/>
      <c r="J168" s="17">
        <v>809.83280000000002</v>
      </c>
      <c r="K168" s="18">
        <v>28.613800000000001</v>
      </c>
      <c r="L168" s="18">
        <v>35.726999999999997</v>
      </c>
      <c r="M168" s="18">
        <v>36.517699999999998</v>
      </c>
      <c r="N168" s="18">
        <v>562.42970000000003</v>
      </c>
      <c r="O168" s="18">
        <f t="shared" si="7"/>
        <v>30.490937500000001</v>
      </c>
      <c r="P168" s="7"/>
      <c r="Q168" s="10"/>
      <c r="R168" s="11"/>
      <c r="S168" s="11"/>
      <c r="T168" s="26"/>
      <c r="U168" s="28">
        <f t="shared" si="8"/>
        <v>1.0528879074351205</v>
      </c>
    </row>
    <row r="169" spans="1:21" x14ac:dyDescent="0.25">
      <c r="B169" s="9"/>
      <c r="C169" s="17">
        <v>450.55</v>
      </c>
      <c r="D169" s="18">
        <v>25.311</v>
      </c>
      <c r="E169" s="18">
        <v>33.262999999999998</v>
      </c>
      <c r="F169" s="18">
        <v>34.119999999999997</v>
      </c>
      <c r="G169" s="18">
        <v>317.26</v>
      </c>
      <c r="H169" s="18">
        <f t="shared" si="6"/>
        <v>27.406124999999999</v>
      </c>
      <c r="I169" s="5"/>
      <c r="J169" s="17">
        <v>510.18239999999997</v>
      </c>
      <c r="K169" s="18">
        <v>27.186800000000002</v>
      </c>
      <c r="L169" s="18">
        <v>34.936100000000003</v>
      </c>
      <c r="M169" s="18">
        <v>35.673000000000002</v>
      </c>
      <c r="N169" s="18">
        <v>641.02560000000005</v>
      </c>
      <c r="O169" s="18">
        <f t="shared" si="7"/>
        <v>29.216237500000002</v>
      </c>
      <c r="P169" s="7"/>
      <c r="Q169" s="10"/>
      <c r="R169" s="11"/>
      <c r="S169" s="11"/>
      <c r="T169" s="26"/>
      <c r="U169" s="28">
        <f t="shared" si="8"/>
        <v>1.0205055790203621</v>
      </c>
    </row>
    <row r="170" spans="1:21" ht="16.5" thickBot="1" x14ac:dyDescent="0.3">
      <c r="B170" s="12"/>
      <c r="C170" s="19">
        <v>259.01</v>
      </c>
      <c r="D170" s="20">
        <v>23.658999999999999</v>
      </c>
      <c r="E170" s="20">
        <v>32.264000000000003</v>
      </c>
      <c r="F170" s="20">
        <v>33.064</v>
      </c>
      <c r="G170" s="20">
        <v>348.43</v>
      </c>
      <c r="H170" s="20">
        <f t="shared" si="6"/>
        <v>25.910250000000001</v>
      </c>
      <c r="I170" s="5"/>
      <c r="J170" s="19">
        <v>306.12799999999999</v>
      </c>
      <c r="K170" s="20">
        <v>25.6526</v>
      </c>
      <c r="L170" s="20">
        <v>34.075600000000001</v>
      </c>
      <c r="M170" s="20">
        <v>34.722099999999998</v>
      </c>
      <c r="N170" s="20">
        <v>667.55669999999998</v>
      </c>
      <c r="O170" s="20">
        <f t="shared" si="7"/>
        <v>27.8391625</v>
      </c>
      <c r="P170" s="7"/>
      <c r="Q170" s="13"/>
      <c r="R170" s="14"/>
      <c r="S170" s="14"/>
      <c r="T170" s="27"/>
      <c r="U170" s="28">
        <f t="shared" si="8"/>
        <v>0.91589903280429341</v>
      </c>
    </row>
    <row r="171" spans="1:21" x14ac:dyDescent="0.25">
      <c r="B171" s="6" t="s">
        <v>56</v>
      </c>
      <c r="C171" s="15">
        <v>1110</v>
      </c>
      <c r="D171" s="16">
        <v>31.341000000000001</v>
      </c>
      <c r="E171" s="16">
        <v>35.962000000000003</v>
      </c>
      <c r="F171" s="16">
        <v>37.597999999999999</v>
      </c>
      <c r="G171" s="16">
        <v>170.16</v>
      </c>
      <c r="H171" s="16">
        <f t="shared" si="6"/>
        <v>32.700749999999999</v>
      </c>
      <c r="I171" s="5"/>
      <c r="J171" s="15">
        <v>1197.1895999999999</v>
      </c>
      <c r="K171" s="16">
        <v>31.9026</v>
      </c>
      <c r="L171" s="16">
        <v>36.605400000000003</v>
      </c>
      <c r="M171" s="16">
        <v>38.164499999999997</v>
      </c>
      <c r="N171" s="16">
        <v>376.88440000000003</v>
      </c>
      <c r="O171" s="16">
        <f t="shared" si="7"/>
        <v>33.273187499999999</v>
      </c>
      <c r="P171" s="7"/>
      <c r="Q171" s="8">
        <f>bdrate(C171:C174,D171:D174,J171:J174,K171:K174)</f>
        <v>-1.2123318728840426E-2</v>
      </c>
      <c r="R171" s="8">
        <f>bdrate(C171:C174,E171:E174,J171:J174,L171:L174)</f>
        <v>-0.204693289504007</v>
      </c>
      <c r="S171" s="8">
        <f>bdrate(C171:C174,F171:F174,J171:J174,M171:M174)</f>
        <v>-0.18274773808271594</v>
      </c>
      <c r="T171" s="25">
        <f>bdrate(C171:C174,H171:H174,J171:J174,O171:O174)</f>
        <v>-4.6098617132509956E-2</v>
      </c>
      <c r="U171" s="28">
        <f t="shared" si="8"/>
        <v>1.214882463563705</v>
      </c>
    </row>
    <row r="172" spans="1:21" x14ac:dyDescent="0.25">
      <c r="B172" s="9"/>
      <c r="C172" s="17">
        <v>753.59</v>
      </c>
      <c r="D172" s="18">
        <v>30.064</v>
      </c>
      <c r="E172" s="18">
        <v>35.231999999999999</v>
      </c>
      <c r="F172" s="18">
        <v>36.825000000000003</v>
      </c>
      <c r="G172" s="18">
        <v>194.3</v>
      </c>
      <c r="H172" s="18">
        <f t="shared" si="6"/>
        <v>31.555125000000004</v>
      </c>
      <c r="I172" s="5"/>
      <c r="J172" s="17">
        <v>796.13599999999997</v>
      </c>
      <c r="K172" s="18">
        <v>30.3871</v>
      </c>
      <c r="L172" s="18">
        <v>35.778199999999998</v>
      </c>
      <c r="M172" s="18">
        <v>37.2896</v>
      </c>
      <c r="N172" s="18">
        <v>437.31779999999998</v>
      </c>
      <c r="O172" s="18">
        <f t="shared" si="7"/>
        <v>31.9238</v>
      </c>
      <c r="P172" s="7"/>
      <c r="Q172" s="10"/>
      <c r="R172" s="11"/>
      <c r="S172" s="11"/>
      <c r="T172" s="26"/>
      <c r="U172" s="28">
        <f t="shared" si="8"/>
        <v>1.2507349459598556</v>
      </c>
    </row>
    <row r="173" spans="1:21" x14ac:dyDescent="0.25">
      <c r="B173" s="9"/>
      <c r="C173" s="17">
        <v>478.65</v>
      </c>
      <c r="D173" s="18">
        <v>28.672000000000001</v>
      </c>
      <c r="E173" s="18">
        <v>34.378</v>
      </c>
      <c r="F173" s="18">
        <v>35.841999999999999</v>
      </c>
      <c r="G173" s="18">
        <v>218.66</v>
      </c>
      <c r="H173" s="18">
        <f t="shared" si="6"/>
        <v>30.281500000000001</v>
      </c>
      <c r="I173" s="5"/>
      <c r="J173" s="17">
        <v>499.0616</v>
      </c>
      <c r="K173" s="18">
        <v>28.800599999999999</v>
      </c>
      <c r="L173" s="18">
        <v>34.889699999999998</v>
      </c>
      <c r="M173" s="18">
        <v>36.391199999999998</v>
      </c>
      <c r="N173" s="18">
        <v>480.76920000000001</v>
      </c>
      <c r="O173" s="18">
        <f t="shared" si="7"/>
        <v>30.510562499999999</v>
      </c>
      <c r="P173" s="7"/>
      <c r="Q173" s="10"/>
      <c r="R173" s="11"/>
      <c r="S173" s="11"/>
      <c r="T173" s="26"/>
      <c r="U173" s="28">
        <f t="shared" si="8"/>
        <v>1.1987066678862159</v>
      </c>
    </row>
    <row r="174" spans="1:21" ht="16.5" thickBot="1" x14ac:dyDescent="0.3">
      <c r="B174" s="12"/>
      <c r="C174" s="19">
        <v>289.14999999999998</v>
      </c>
      <c r="D174" s="20">
        <v>27.303999999999998</v>
      </c>
      <c r="E174" s="20">
        <v>33.378999999999998</v>
      </c>
      <c r="F174" s="20">
        <v>34.694000000000003</v>
      </c>
      <c r="G174" s="20">
        <v>249.79</v>
      </c>
      <c r="H174" s="20">
        <f t="shared" si="6"/>
        <v>28.987124999999999</v>
      </c>
      <c r="I174" s="5"/>
      <c r="J174" s="19">
        <v>300.56560000000002</v>
      </c>
      <c r="K174" s="20">
        <v>27.21</v>
      </c>
      <c r="L174" s="20">
        <v>33.909399999999998</v>
      </c>
      <c r="M174" s="20">
        <v>35.304400000000001</v>
      </c>
      <c r="N174" s="20">
        <v>583.6576</v>
      </c>
      <c r="O174" s="20">
        <f t="shared" si="7"/>
        <v>29.059224999999998</v>
      </c>
      <c r="P174" s="7"/>
      <c r="Q174" s="13"/>
      <c r="R174" s="14"/>
      <c r="S174" s="14"/>
      <c r="T174" s="27"/>
      <c r="U174" s="28">
        <f t="shared" si="8"/>
        <v>1.3365931382361185</v>
      </c>
    </row>
    <row r="175" spans="1:21" x14ac:dyDescent="0.25">
      <c r="A175" s="6" t="s">
        <v>41</v>
      </c>
      <c r="B175" s="6" t="s">
        <v>57</v>
      </c>
      <c r="C175" s="15">
        <v>636.58000000000004</v>
      </c>
      <c r="D175" s="16">
        <v>33.348999999999997</v>
      </c>
      <c r="E175" s="16">
        <v>38.371000000000002</v>
      </c>
      <c r="F175" s="16">
        <v>37.048000000000002</v>
      </c>
      <c r="G175" s="16">
        <v>604.59</v>
      </c>
      <c r="H175" s="16">
        <f t="shared" si="6"/>
        <v>34.439125000000004</v>
      </c>
      <c r="I175" s="5"/>
      <c r="J175" s="15">
        <v>603.33360000000005</v>
      </c>
      <c r="K175" s="16">
        <v>33.9435</v>
      </c>
      <c r="L175" s="16">
        <v>39.368600000000001</v>
      </c>
      <c r="M175" s="16">
        <v>37.812399999999997</v>
      </c>
      <c r="N175" s="16">
        <v>1144.1648</v>
      </c>
      <c r="O175" s="16">
        <f t="shared" si="7"/>
        <v>35.105249999999998</v>
      </c>
      <c r="P175" s="7"/>
      <c r="Q175" s="8">
        <f>bdrate(C175:C178,D175:D178,J175:J178,K175:K178)</f>
        <v>-9.1948132971213292E-2</v>
      </c>
      <c r="R175" s="8">
        <f>bdrate(C175:C178,E175:E178,J175:J178,L175:L178)</f>
        <v>-0.34128767057222265</v>
      </c>
      <c r="S175" s="8">
        <f>bdrate(C175:C178,F175:F178,J175:J178,M175:M178)</f>
        <v>-0.27196539503442629</v>
      </c>
      <c r="T175" s="25">
        <f>bdrate(C175:C178,H175:H178,J175:J178,O175:O178)</f>
        <v>-0.13229801187758872</v>
      </c>
      <c r="U175" s="28">
        <f t="shared" si="8"/>
        <v>0.89246398385682857</v>
      </c>
    </row>
    <row r="176" spans="1:21" x14ac:dyDescent="0.25">
      <c r="A176" s="9" t="s">
        <v>42</v>
      </c>
      <c r="B176" s="9"/>
      <c r="C176" s="17">
        <v>427.25</v>
      </c>
      <c r="D176" s="18">
        <v>31.794</v>
      </c>
      <c r="E176" s="18">
        <v>37.377000000000002</v>
      </c>
      <c r="F176" s="18">
        <v>35.883000000000003</v>
      </c>
      <c r="G176" s="18">
        <v>682.13</v>
      </c>
      <c r="H176" s="18">
        <f t="shared" si="6"/>
        <v>33.003</v>
      </c>
      <c r="I176" s="5"/>
      <c r="J176" s="17">
        <v>401.86880000000002</v>
      </c>
      <c r="K176" s="18">
        <v>32.159799999999997</v>
      </c>
      <c r="L176" s="18">
        <v>38.235300000000002</v>
      </c>
      <c r="M176" s="18">
        <v>36.566600000000001</v>
      </c>
      <c r="N176" s="18">
        <v>1336.8984</v>
      </c>
      <c r="O176" s="18">
        <f t="shared" si="7"/>
        <v>33.470087499999998</v>
      </c>
      <c r="P176" s="7"/>
      <c r="Q176" s="10"/>
      <c r="R176" s="11"/>
      <c r="S176" s="11"/>
      <c r="T176" s="26"/>
      <c r="U176" s="28">
        <f t="shared" si="8"/>
        <v>0.95988799788896551</v>
      </c>
    </row>
    <row r="177" spans="1:21" x14ac:dyDescent="0.25">
      <c r="B177" s="9"/>
      <c r="C177" s="17">
        <v>267.64999999999998</v>
      </c>
      <c r="D177" s="18">
        <v>30.14</v>
      </c>
      <c r="E177" s="18">
        <v>36.381</v>
      </c>
      <c r="F177" s="18">
        <v>34.667000000000002</v>
      </c>
      <c r="G177" s="18">
        <v>801.28</v>
      </c>
      <c r="H177" s="18">
        <f t="shared" si="6"/>
        <v>31.486000000000001</v>
      </c>
      <c r="I177" s="5"/>
      <c r="J177" s="17">
        <v>253.04560000000001</v>
      </c>
      <c r="K177" s="18">
        <v>30.242899999999999</v>
      </c>
      <c r="L177" s="18">
        <v>37.144300000000001</v>
      </c>
      <c r="M177" s="18">
        <v>35.342100000000002</v>
      </c>
      <c r="N177" s="18">
        <v>1453.4884</v>
      </c>
      <c r="O177" s="18">
        <f t="shared" si="7"/>
        <v>31.742975000000001</v>
      </c>
      <c r="P177" s="7"/>
      <c r="Q177" s="10"/>
      <c r="R177" s="11"/>
      <c r="S177" s="11"/>
      <c r="T177" s="26"/>
      <c r="U177" s="28">
        <f t="shared" si="8"/>
        <v>0.81395816693290735</v>
      </c>
    </row>
    <row r="178" spans="1:21" ht="16.5" thickBot="1" x14ac:dyDescent="0.3">
      <c r="B178" s="12"/>
      <c r="C178" s="19">
        <v>128.63999999999999</v>
      </c>
      <c r="D178" s="20">
        <v>27.709</v>
      </c>
      <c r="E178" s="20">
        <v>34.912999999999997</v>
      </c>
      <c r="F178" s="20">
        <v>32.71</v>
      </c>
      <c r="G178" s="20">
        <v>941.62</v>
      </c>
      <c r="H178" s="20">
        <f t="shared" si="6"/>
        <v>29.234624999999998</v>
      </c>
      <c r="I178" s="5"/>
      <c r="J178" s="19">
        <v>121.52800000000001</v>
      </c>
      <c r="K178" s="20">
        <v>27.483799999999999</v>
      </c>
      <c r="L178" s="20">
        <v>35.647799999999997</v>
      </c>
      <c r="M178" s="20">
        <v>33.4908</v>
      </c>
      <c r="N178" s="20">
        <v>2000</v>
      </c>
      <c r="O178" s="20">
        <f t="shared" si="7"/>
        <v>29.255174999999998</v>
      </c>
      <c r="P178" s="7"/>
      <c r="Q178" s="13"/>
      <c r="R178" s="14"/>
      <c r="S178" s="14"/>
      <c r="T178" s="27"/>
      <c r="U178" s="28">
        <f t="shared" si="8"/>
        <v>1.1239990654404113</v>
      </c>
    </row>
    <row r="179" spans="1:21" x14ac:dyDescent="0.25">
      <c r="B179" s="6" t="s">
        <v>58</v>
      </c>
      <c r="C179" s="15">
        <v>553.52</v>
      </c>
      <c r="D179" s="16">
        <v>30.085000000000001</v>
      </c>
      <c r="E179" s="16">
        <v>38.537999999999997</v>
      </c>
      <c r="F179" s="16">
        <v>39.232999999999997</v>
      </c>
      <c r="G179" s="16">
        <v>961.54</v>
      </c>
      <c r="H179" s="16">
        <f t="shared" si="6"/>
        <v>32.285125000000001</v>
      </c>
      <c r="I179" s="5"/>
      <c r="J179" s="15">
        <v>600.05119999999999</v>
      </c>
      <c r="K179" s="16">
        <v>33.217300000000002</v>
      </c>
      <c r="L179" s="16">
        <v>41.182899999999997</v>
      </c>
      <c r="M179" s="16">
        <v>41.892299999999999</v>
      </c>
      <c r="N179" s="16">
        <v>1425.1781000000001</v>
      </c>
      <c r="O179" s="16">
        <f t="shared" si="7"/>
        <v>35.297375000000002</v>
      </c>
      <c r="P179" s="7"/>
      <c r="Q179" s="8">
        <f>bdrate(C179:C182,D179:D182,J179:J182,K179:K182)</f>
        <v>-0.57826556099355353</v>
      </c>
      <c r="R179" s="8">
        <f>bdrate(C179:C182,E179:E182,J179:J182,L179:L182)</f>
        <v>-0.68530192634225684</v>
      </c>
      <c r="S179" s="8">
        <f>bdrate(C179:C182,F179:F182,J179:J182,M179:M182)</f>
        <v>-0.66838698898206661</v>
      </c>
      <c r="T179" s="25">
        <f>bdrate(C179:C182,H179:H182,J179:J182,O179:O182)</f>
        <v>-0.5913524212800465</v>
      </c>
      <c r="U179" s="28">
        <f t="shared" si="8"/>
        <v>0.48218285250743614</v>
      </c>
    </row>
    <row r="180" spans="1:21" x14ac:dyDescent="0.25">
      <c r="B180" s="9"/>
      <c r="C180" s="17">
        <v>367.25</v>
      </c>
      <c r="D180" s="18">
        <v>28.736000000000001</v>
      </c>
      <c r="E180" s="18">
        <v>38.189</v>
      </c>
      <c r="F180" s="18">
        <v>38.729999999999997</v>
      </c>
      <c r="G180" s="18">
        <v>1098.9000000000001</v>
      </c>
      <c r="H180" s="18">
        <f t="shared" si="6"/>
        <v>31.166874999999997</v>
      </c>
      <c r="I180" s="5"/>
      <c r="J180" s="17">
        <v>399.66160000000002</v>
      </c>
      <c r="K180" s="18">
        <v>31.9191</v>
      </c>
      <c r="L180" s="18">
        <v>40.326900000000002</v>
      </c>
      <c r="M180" s="18">
        <v>41.045699999999997</v>
      </c>
      <c r="N180" s="18">
        <v>1671.3091999999999</v>
      </c>
      <c r="O180" s="18">
        <f t="shared" si="7"/>
        <v>34.110900000000001</v>
      </c>
      <c r="P180" s="7"/>
      <c r="Q180" s="10"/>
      <c r="R180" s="11"/>
      <c r="S180" s="11"/>
      <c r="T180" s="26"/>
      <c r="U180" s="28">
        <f t="shared" si="8"/>
        <v>0.52089289289289264</v>
      </c>
    </row>
    <row r="181" spans="1:21" x14ac:dyDescent="0.25">
      <c r="B181" s="9"/>
      <c r="C181" s="17">
        <v>228.04</v>
      </c>
      <c r="D181" s="18">
        <v>27.259</v>
      </c>
      <c r="E181" s="18">
        <v>37.780999999999999</v>
      </c>
      <c r="F181" s="18">
        <v>38.341999999999999</v>
      </c>
      <c r="G181" s="18">
        <v>1239.67</v>
      </c>
      <c r="H181" s="18">
        <f t="shared" si="6"/>
        <v>29.959625000000003</v>
      </c>
      <c r="I181" s="5"/>
      <c r="J181" s="17">
        <v>250.35759999999999</v>
      </c>
      <c r="K181" s="18">
        <v>30.3843</v>
      </c>
      <c r="L181" s="18">
        <v>39.364800000000002</v>
      </c>
      <c r="M181" s="18">
        <v>39.979199999999999</v>
      </c>
      <c r="N181" s="18">
        <v>1600</v>
      </c>
      <c r="O181" s="18">
        <f t="shared" si="7"/>
        <v>32.706225000000003</v>
      </c>
      <c r="P181" s="7"/>
      <c r="Q181" s="10"/>
      <c r="R181" s="11"/>
      <c r="S181" s="11"/>
      <c r="T181" s="26"/>
      <c r="U181" s="28">
        <f t="shared" si="8"/>
        <v>0.29066606435583658</v>
      </c>
    </row>
    <row r="182" spans="1:21" ht="16.5" thickBot="1" x14ac:dyDescent="0.3">
      <c r="B182" s="12"/>
      <c r="C182" s="19">
        <v>104.48</v>
      </c>
      <c r="D182" s="20">
        <v>24.67</v>
      </c>
      <c r="E182" s="20">
        <v>36.956000000000003</v>
      </c>
      <c r="F182" s="20">
        <v>37.183999999999997</v>
      </c>
      <c r="G182" s="20">
        <v>1425.18</v>
      </c>
      <c r="H182" s="20">
        <f t="shared" si="6"/>
        <v>27.77</v>
      </c>
      <c r="I182" s="5"/>
      <c r="J182" s="19">
        <v>120.2736</v>
      </c>
      <c r="K182" s="20">
        <v>27.8337</v>
      </c>
      <c r="L182" s="20">
        <v>38.130499999999998</v>
      </c>
      <c r="M182" s="20">
        <v>38.609699999999997</v>
      </c>
      <c r="N182" s="20">
        <v>2135.2312999999999</v>
      </c>
      <c r="O182" s="20">
        <f t="shared" si="7"/>
        <v>30.4678</v>
      </c>
      <c r="P182" s="7"/>
      <c r="Q182" s="13"/>
      <c r="R182" s="14"/>
      <c r="S182" s="14"/>
      <c r="T182" s="27"/>
      <c r="U182" s="28">
        <f t="shared" si="8"/>
        <v>0.49821868114904772</v>
      </c>
    </row>
    <row r="183" spans="1:21" x14ac:dyDescent="0.25">
      <c r="B183" s="6" t="s">
        <v>59</v>
      </c>
      <c r="C183" s="29">
        <v>639.15</v>
      </c>
      <c r="D183" s="30">
        <v>31.071000000000002</v>
      </c>
      <c r="E183" s="30">
        <v>35.896000000000001</v>
      </c>
      <c r="F183" s="30">
        <v>36.439</v>
      </c>
      <c r="G183" s="16">
        <v>762.2</v>
      </c>
      <c r="H183" s="16">
        <f t="shared" si="6"/>
        <v>32.345125000000003</v>
      </c>
      <c r="I183" s="5"/>
      <c r="J183" s="29">
        <v>642.95600000000002</v>
      </c>
      <c r="K183" s="30">
        <v>32.774299999999997</v>
      </c>
      <c r="L183" s="30">
        <v>37.891399999999997</v>
      </c>
      <c r="M183" s="30">
        <v>38.6646</v>
      </c>
      <c r="N183" s="16">
        <v>1187.6485</v>
      </c>
      <c r="O183" s="16">
        <f t="shared" si="7"/>
        <v>34.150224999999999</v>
      </c>
      <c r="P183" s="7"/>
      <c r="Q183" s="8">
        <f>bdrate(C183:C186,D183:D186,J183:J186,K183:K186)</f>
        <v>-0.36545853094980674</v>
      </c>
      <c r="R183" s="8">
        <f>bdrate(C183:C186,E183:E186,J183:J186,L183:L186)</f>
        <v>-0.56970216652456762</v>
      </c>
      <c r="S183" s="8">
        <f>bdrate(C183:C186,F183:F186,J183:J186,M183:M186)</f>
        <v>-0.60787284464660285</v>
      </c>
      <c r="T183" s="25">
        <f>bdrate(C183:C186,H183:H186,J183:J186,O183:O186)</f>
        <v>-0.41216411863496072</v>
      </c>
      <c r="U183" s="28">
        <f t="shared" si="8"/>
        <v>0.55818485961689834</v>
      </c>
    </row>
    <row r="184" spans="1:21" x14ac:dyDescent="0.25">
      <c r="B184" s="9"/>
      <c r="C184" s="31">
        <v>423.42</v>
      </c>
      <c r="D184" s="32">
        <v>29.646999999999998</v>
      </c>
      <c r="E184" s="32">
        <v>34.911999999999999</v>
      </c>
      <c r="F184" s="32">
        <v>35.484999999999999</v>
      </c>
      <c r="G184" s="18">
        <v>866.55</v>
      </c>
      <c r="H184" s="18">
        <f t="shared" si="6"/>
        <v>31.034875</v>
      </c>
      <c r="I184" s="5"/>
      <c r="J184" s="31">
        <v>426.6848</v>
      </c>
      <c r="K184" s="32">
        <v>31.273900000000001</v>
      </c>
      <c r="L184" s="32">
        <v>36.8536</v>
      </c>
      <c r="M184" s="32">
        <v>37.625500000000002</v>
      </c>
      <c r="N184" s="18">
        <v>1333.3333</v>
      </c>
      <c r="O184" s="18">
        <f t="shared" si="7"/>
        <v>32.7653125</v>
      </c>
      <c r="P184" s="7"/>
      <c r="Q184" s="10"/>
      <c r="R184" s="11"/>
      <c r="S184" s="11"/>
      <c r="T184" s="26"/>
      <c r="U184" s="28">
        <f t="shared" si="8"/>
        <v>0.53866862846921715</v>
      </c>
    </row>
    <row r="185" spans="1:21" x14ac:dyDescent="0.25">
      <c r="B185" s="9"/>
      <c r="C185" s="31">
        <v>263.58999999999997</v>
      </c>
      <c r="D185" s="32">
        <v>28.161999999999999</v>
      </c>
      <c r="E185" s="32">
        <v>34.03</v>
      </c>
      <c r="F185" s="32">
        <v>34.590000000000003</v>
      </c>
      <c r="G185" s="18">
        <v>889.68</v>
      </c>
      <c r="H185" s="18">
        <f t="shared" si="6"/>
        <v>29.698999999999998</v>
      </c>
      <c r="I185" s="5"/>
      <c r="J185" s="31">
        <v>263.96719999999999</v>
      </c>
      <c r="K185" s="32">
        <v>29.637699999999999</v>
      </c>
      <c r="L185" s="32">
        <v>35.729999999999997</v>
      </c>
      <c r="M185" s="32">
        <v>36.498800000000003</v>
      </c>
      <c r="N185" s="18">
        <v>1689.1892</v>
      </c>
      <c r="O185" s="18">
        <f t="shared" si="7"/>
        <v>31.256875000000001</v>
      </c>
      <c r="P185" s="7"/>
      <c r="Q185" s="10"/>
      <c r="R185" s="11"/>
      <c r="S185" s="11"/>
      <c r="T185" s="26"/>
      <c r="U185" s="28">
        <f t="shared" si="8"/>
        <v>0.89864805323262309</v>
      </c>
    </row>
    <row r="186" spans="1:21" ht="16.5" thickBot="1" x14ac:dyDescent="0.3">
      <c r="B186" s="12"/>
      <c r="C186" s="33">
        <v>123.35</v>
      </c>
      <c r="D186" s="34">
        <v>25.963000000000001</v>
      </c>
      <c r="E186" s="34">
        <v>32.531999999999996</v>
      </c>
      <c r="F186" s="34">
        <v>33.186</v>
      </c>
      <c r="G186" s="20">
        <v>1187.6500000000001</v>
      </c>
      <c r="H186" s="20">
        <f t="shared" si="6"/>
        <v>27.687000000000001</v>
      </c>
      <c r="I186" s="5"/>
      <c r="J186" s="33">
        <v>129.76320000000001</v>
      </c>
      <c r="K186" s="34">
        <v>27.283899999999999</v>
      </c>
      <c r="L186" s="34">
        <v>34.262999999999998</v>
      </c>
      <c r="M186" s="34">
        <v>35.005400000000002</v>
      </c>
      <c r="N186" s="20">
        <v>2136.7521000000002</v>
      </c>
      <c r="O186" s="20">
        <f t="shared" si="7"/>
        <v>29.121475</v>
      </c>
      <c r="P186" s="7"/>
      <c r="Q186" s="13"/>
      <c r="R186" s="14"/>
      <c r="S186" s="14"/>
      <c r="T186" s="27"/>
      <c r="U186" s="28">
        <f t="shared" si="8"/>
        <v>0.79914292931419184</v>
      </c>
    </row>
    <row r="187" spans="1:21" x14ac:dyDescent="0.25">
      <c r="B187" s="6" t="s">
        <v>60</v>
      </c>
      <c r="C187" s="15">
        <v>579.54999999999995</v>
      </c>
      <c r="D187" s="16">
        <v>32.527000000000001</v>
      </c>
      <c r="E187" s="16">
        <v>36.576999999999998</v>
      </c>
      <c r="F187" s="16">
        <v>37.69</v>
      </c>
      <c r="G187" s="16">
        <v>480.77</v>
      </c>
      <c r="H187" s="16">
        <f t="shared" si="6"/>
        <v>33.678624999999997</v>
      </c>
      <c r="I187" s="5"/>
      <c r="J187" s="15">
        <v>601.83199999999999</v>
      </c>
      <c r="K187" s="16">
        <v>33.250100000000003</v>
      </c>
      <c r="L187" s="16">
        <v>37.328299999999999</v>
      </c>
      <c r="M187" s="16">
        <v>38.3703</v>
      </c>
      <c r="N187" s="16">
        <v>914.63409999999999</v>
      </c>
      <c r="O187" s="16">
        <f t="shared" si="7"/>
        <v>34.399900000000002</v>
      </c>
      <c r="P187" s="7"/>
      <c r="Q187" s="8">
        <f>bdrate(C187:C190,D187:D190,J187:J190,K187:K190)</f>
        <v>-6.675332232954756E-2</v>
      </c>
      <c r="R187" s="8">
        <f>bdrate(C187:C190,E187:E190,J187:J190,L187:L190)</f>
        <v>-0.23788686863891184</v>
      </c>
      <c r="S187" s="8">
        <f>bdrate(C187:C190,F187:F190,J187:J190,M187:M190)</f>
        <v>-0.23643294126630288</v>
      </c>
      <c r="T187" s="25">
        <f>bdrate(C187:C190,H187:H190,J187:J190,O187:O190)</f>
        <v>-0.10263086158362456</v>
      </c>
      <c r="U187" s="28">
        <f t="shared" si="8"/>
        <v>0.90243588410258546</v>
      </c>
    </row>
    <row r="188" spans="1:21" x14ac:dyDescent="0.25">
      <c r="B188" s="9"/>
      <c r="C188" s="17">
        <v>389.35</v>
      </c>
      <c r="D188" s="18">
        <v>30.991</v>
      </c>
      <c r="E188" s="18">
        <v>35.518999999999998</v>
      </c>
      <c r="F188" s="18">
        <v>36.57</v>
      </c>
      <c r="G188" s="18">
        <v>534.76</v>
      </c>
      <c r="H188" s="18">
        <f t="shared" si="6"/>
        <v>32.254375000000003</v>
      </c>
      <c r="I188" s="5"/>
      <c r="J188" s="17">
        <v>403.10160000000002</v>
      </c>
      <c r="K188" s="18">
        <v>31.523399999999999</v>
      </c>
      <c r="L188" s="18">
        <v>36.273000000000003</v>
      </c>
      <c r="M188" s="18">
        <v>37.334200000000003</v>
      </c>
      <c r="N188" s="18">
        <v>1132.0754999999999</v>
      </c>
      <c r="O188" s="18">
        <f t="shared" si="7"/>
        <v>32.843449999999997</v>
      </c>
      <c r="P188" s="7"/>
      <c r="Q188" s="10"/>
      <c r="R188" s="11"/>
      <c r="S188" s="11"/>
      <c r="T188" s="26"/>
      <c r="U188" s="28">
        <f t="shared" si="8"/>
        <v>1.1169786446256262</v>
      </c>
    </row>
    <row r="189" spans="1:21" x14ac:dyDescent="0.25">
      <c r="B189" s="9"/>
      <c r="C189" s="17">
        <v>245.14</v>
      </c>
      <c r="D189" s="18">
        <v>29.443999999999999</v>
      </c>
      <c r="E189" s="18">
        <v>34.503</v>
      </c>
      <c r="F189" s="18">
        <v>35.476999999999997</v>
      </c>
      <c r="G189" s="18">
        <v>641.03</v>
      </c>
      <c r="H189" s="18">
        <f t="shared" si="6"/>
        <v>30.830499999999997</v>
      </c>
      <c r="I189" s="5"/>
      <c r="J189" s="17">
        <v>250.7544</v>
      </c>
      <c r="K189" s="18">
        <v>29.748699999999999</v>
      </c>
      <c r="L189" s="18">
        <v>35.118899999999996</v>
      </c>
      <c r="M189" s="18">
        <v>36.145099999999999</v>
      </c>
      <c r="N189" s="18">
        <v>1204.8193000000001</v>
      </c>
      <c r="O189" s="18">
        <f t="shared" si="7"/>
        <v>31.219524999999997</v>
      </c>
      <c r="P189" s="7"/>
      <c r="Q189" s="10"/>
      <c r="R189" s="11"/>
      <c r="S189" s="11"/>
      <c r="T189" s="26"/>
      <c r="U189" s="28">
        <f t="shared" si="8"/>
        <v>0.87950532736377418</v>
      </c>
    </row>
    <row r="190" spans="1:21" ht="16.5" thickBot="1" x14ac:dyDescent="0.3">
      <c r="B190" s="12"/>
      <c r="C190" s="19">
        <v>117.49</v>
      </c>
      <c r="D190" s="20">
        <v>27.260999999999999</v>
      </c>
      <c r="E190" s="20">
        <v>32.802999999999997</v>
      </c>
      <c r="F190" s="20">
        <v>33.728999999999999</v>
      </c>
      <c r="G190" s="20">
        <v>800</v>
      </c>
      <c r="H190" s="20">
        <f t="shared" si="6"/>
        <v>28.762250000000002</v>
      </c>
      <c r="I190" s="5"/>
      <c r="J190" s="19">
        <v>120.7552</v>
      </c>
      <c r="K190" s="20">
        <v>27.296500000000002</v>
      </c>
      <c r="L190" s="20">
        <v>33.650599999999997</v>
      </c>
      <c r="M190" s="20">
        <v>34.575000000000003</v>
      </c>
      <c r="N190" s="20">
        <v>1754.386</v>
      </c>
      <c r="O190" s="20">
        <f t="shared" si="7"/>
        <v>29.000574999999998</v>
      </c>
      <c r="P190" s="7"/>
      <c r="Q190" s="13"/>
      <c r="R190" s="14"/>
      <c r="S190" s="14"/>
      <c r="T190" s="27"/>
      <c r="U190" s="28">
        <f t="shared" si="8"/>
        <v>1.1929825000000001</v>
      </c>
    </row>
    <row r="191" spans="1:21" x14ac:dyDescent="0.25">
      <c r="A191" s="6" t="s">
        <v>43</v>
      </c>
      <c r="B191" s="6" t="s">
        <v>61</v>
      </c>
      <c r="C191" s="15">
        <v>1380.84</v>
      </c>
      <c r="D191" s="16">
        <v>39.643000000000001</v>
      </c>
      <c r="E191" s="16">
        <v>43.965000000000003</v>
      </c>
      <c r="F191" s="16">
        <v>45.154000000000003</v>
      </c>
      <c r="G191" s="16">
        <v>147.93</v>
      </c>
      <c r="H191" s="16">
        <f t="shared" si="6"/>
        <v>40.872124999999997</v>
      </c>
      <c r="I191" s="5"/>
      <c r="J191" s="15">
        <v>1497.316</v>
      </c>
      <c r="K191" s="16">
        <v>41.135300000000001</v>
      </c>
      <c r="L191" s="16">
        <v>45.476300000000002</v>
      </c>
      <c r="M191" s="16">
        <v>46.663800000000002</v>
      </c>
      <c r="N191" s="16">
        <v>259.8528</v>
      </c>
      <c r="O191" s="16">
        <f t="shared" si="7"/>
        <v>42.368987499999996</v>
      </c>
      <c r="P191" s="7"/>
      <c r="Q191" s="8">
        <f>bdrate(C191:C194,D191:D194,J191:J194,K191:K194)</f>
        <v>-0.29935046419215583</v>
      </c>
      <c r="R191" s="8">
        <f>bdrate(C191:C194,E191:E194,J191:J194,L191:L194)</f>
        <v>-0.37117151344875743</v>
      </c>
      <c r="S191" s="8">
        <f>bdrate(C191:C194,F191:F194,J191:J194,M191:M194)</f>
        <v>-0.35099207266399757</v>
      </c>
      <c r="T191" s="25">
        <f>bdrate(C191:C194,H191:H194,J191:J194,O191:O194)</f>
        <v>-0.30975131884913321</v>
      </c>
      <c r="U191" s="28">
        <f t="shared" si="8"/>
        <v>0.75659298316771439</v>
      </c>
    </row>
    <row r="192" spans="1:21" x14ac:dyDescent="0.25">
      <c r="A192" s="9" t="s">
        <v>44</v>
      </c>
      <c r="B192" s="9"/>
      <c r="C192" s="17">
        <v>915.93</v>
      </c>
      <c r="D192" s="18">
        <v>38.26</v>
      </c>
      <c r="E192" s="18">
        <v>42.927</v>
      </c>
      <c r="F192" s="18">
        <v>44.13</v>
      </c>
      <c r="G192" s="18">
        <v>165.79</v>
      </c>
      <c r="H192" s="18">
        <f t="shared" si="6"/>
        <v>39.577125000000002</v>
      </c>
      <c r="I192" s="5"/>
      <c r="J192" s="17">
        <v>984.49040000000002</v>
      </c>
      <c r="K192" s="18">
        <v>39.988199999999999</v>
      </c>
      <c r="L192" s="18">
        <v>44.598700000000001</v>
      </c>
      <c r="M192" s="18">
        <v>45.749699999999997</v>
      </c>
      <c r="N192" s="18">
        <v>369.68579999999997</v>
      </c>
      <c r="O192" s="18">
        <f t="shared" si="7"/>
        <v>41.284700000000001</v>
      </c>
      <c r="P192" s="7"/>
      <c r="Q192" s="10"/>
      <c r="R192" s="11"/>
      <c r="S192" s="11"/>
      <c r="T192" s="26"/>
      <c r="U192" s="28">
        <f t="shared" si="8"/>
        <v>1.2298437782737197</v>
      </c>
    </row>
    <row r="193" spans="1:21" x14ac:dyDescent="0.25">
      <c r="B193" s="9"/>
      <c r="C193" s="17">
        <v>543.62</v>
      </c>
      <c r="D193" s="18">
        <v>36.271000000000001</v>
      </c>
      <c r="E193" s="18">
        <v>41.994999999999997</v>
      </c>
      <c r="F193" s="18">
        <v>43.075000000000003</v>
      </c>
      <c r="G193" s="18">
        <v>174.83</v>
      </c>
      <c r="H193" s="18">
        <f t="shared" si="6"/>
        <v>37.836999999999996</v>
      </c>
      <c r="I193" s="5"/>
      <c r="J193" s="17">
        <v>577.56719999999996</v>
      </c>
      <c r="K193" s="18">
        <v>38.029800000000002</v>
      </c>
      <c r="L193" s="18">
        <v>43.173900000000003</v>
      </c>
      <c r="M193" s="18">
        <v>44.243899999999996</v>
      </c>
      <c r="N193" s="18">
        <v>369.91370000000001</v>
      </c>
      <c r="O193" s="18">
        <f t="shared" si="7"/>
        <v>39.449575000000003</v>
      </c>
      <c r="P193" s="7"/>
      <c r="Q193" s="10"/>
      <c r="R193" s="11"/>
      <c r="S193" s="11"/>
      <c r="T193" s="26"/>
      <c r="U193" s="28">
        <f t="shared" si="8"/>
        <v>1.1158479665961218</v>
      </c>
    </row>
    <row r="194" spans="1:21" ht="16.5" thickBot="1" x14ac:dyDescent="0.3">
      <c r="B194" s="12"/>
      <c r="C194" s="19">
        <v>258.33</v>
      </c>
      <c r="D194" s="20">
        <v>33.881</v>
      </c>
      <c r="E194" s="20">
        <v>40.893999999999998</v>
      </c>
      <c r="F194" s="20">
        <v>41.746000000000002</v>
      </c>
      <c r="G194" s="20">
        <v>189.51</v>
      </c>
      <c r="H194" s="20">
        <f t="shared" si="6"/>
        <v>35.740749999999998</v>
      </c>
      <c r="I194" s="5"/>
      <c r="J194" s="19">
        <v>283.00799999999998</v>
      </c>
      <c r="K194" s="20">
        <v>34.6721</v>
      </c>
      <c r="L194" s="20">
        <v>41.259799999999998</v>
      </c>
      <c r="M194" s="20">
        <v>42.2746</v>
      </c>
      <c r="N194" s="20">
        <v>436.99930000000001</v>
      </c>
      <c r="O194" s="20">
        <f t="shared" si="7"/>
        <v>36.445875000000001</v>
      </c>
      <c r="P194" s="7"/>
      <c r="Q194" s="13"/>
      <c r="R194" s="14"/>
      <c r="S194" s="14"/>
      <c r="T194" s="27"/>
      <c r="U194" s="28">
        <f t="shared" si="8"/>
        <v>1.3059432219935625</v>
      </c>
    </row>
    <row r="195" spans="1:21" x14ac:dyDescent="0.25">
      <c r="B195" s="6" t="s">
        <v>62</v>
      </c>
      <c r="C195" s="15">
        <v>1427.49</v>
      </c>
      <c r="D195" s="16">
        <v>41.518999999999998</v>
      </c>
      <c r="E195" s="16">
        <v>46.395000000000003</v>
      </c>
      <c r="F195" s="16">
        <v>47.003</v>
      </c>
      <c r="G195" s="16">
        <v>141.41</v>
      </c>
      <c r="H195" s="16">
        <f t="shared" si="6"/>
        <v>42.813999999999993</v>
      </c>
      <c r="I195" s="5"/>
      <c r="J195" s="15">
        <v>1485.1032</v>
      </c>
      <c r="K195" s="16">
        <v>42.464799999999997</v>
      </c>
      <c r="L195" s="16">
        <v>47.566000000000003</v>
      </c>
      <c r="M195" s="16">
        <v>48.240099999999998</v>
      </c>
      <c r="N195" s="16">
        <v>302.87729999999999</v>
      </c>
      <c r="O195" s="16">
        <f t="shared" si="7"/>
        <v>43.824362499999992</v>
      </c>
      <c r="P195" s="7"/>
      <c r="Q195" s="8">
        <f>bdrate(C195:C198,D195:D198,J195:J198,K195:K198)</f>
        <v>-0.42415143551273893</v>
      </c>
      <c r="R195" s="8">
        <f>bdrate(C195:C198,E195:E198,J195:J198,L195:L198)</f>
        <v>-0.52886066081395455</v>
      </c>
      <c r="S195" s="8">
        <f>bdrate(C195:C198,F195:F198,J195:J198,M195:M198)</f>
        <v>-0.53244138688519715</v>
      </c>
      <c r="T195" s="25">
        <f>bdrate(C195:C198,H195:H198,J195:J198,O195:O198)</f>
        <v>-0.45082285316446657</v>
      </c>
      <c r="U195" s="28">
        <f t="shared" ref="U195:U246" si="9">(N195-G195)/G195</f>
        <v>1.141837918110459</v>
      </c>
    </row>
    <row r="196" spans="1:21" x14ac:dyDescent="0.25">
      <c r="B196" s="9"/>
      <c r="C196" s="17">
        <v>947.21</v>
      </c>
      <c r="D196" s="18">
        <v>40.816000000000003</v>
      </c>
      <c r="E196" s="18">
        <v>45.709000000000003</v>
      </c>
      <c r="F196" s="18">
        <v>46.337000000000003</v>
      </c>
      <c r="G196" s="18">
        <v>166.48</v>
      </c>
      <c r="H196" s="18">
        <f t="shared" si="6"/>
        <v>42.117750000000001</v>
      </c>
      <c r="I196" s="5"/>
      <c r="J196" s="17">
        <v>975.35199999999998</v>
      </c>
      <c r="K196" s="18">
        <v>41.8979</v>
      </c>
      <c r="L196" s="18">
        <v>47.091099999999997</v>
      </c>
      <c r="M196" s="18">
        <v>47.673900000000003</v>
      </c>
      <c r="N196" s="18">
        <v>373.1343</v>
      </c>
      <c r="O196" s="18">
        <f t="shared" si="7"/>
        <v>43.26905</v>
      </c>
      <c r="P196" s="7"/>
      <c r="Q196" s="10"/>
      <c r="R196" s="11"/>
      <c r="S196" s="11"/>
      <c r="T196" s="26"/>
      <c r="U196" s="28">
        <f t="shared" si="9"/>
        <v>1.2413160740028832</v>
      </c>
    </row>
    <row r="197" spans="1:21" x14ac:dyDescent="0.25">
      <c r="B197" s="9"/>
      <c r="C197" s="17">
        <v>557.84</v>
      </c>
      <c r="D197" s="18">
        <v>39.713000000000001</v>
      </c>
      <c r="E197" s="18">
        <v>44.707000000000001</v>
      </c>
      <c r="F197" s="18">
        <v>45.22</v>
      </c>
      <c r="G197" s="18">
        <v>174.01</v>
      </c>
      <c r="H197" s="18">
        <f t="shared" si="6"/>
        <v>41.025625000000005</v>
      </c>
      <c r="I197" s="5"/>
      <c r="J197" s="17">
        <v>579.99680000000001</v>
      </c>
      <c r="K197" s="18">
        <v>41.0077</v>
      </c>
      <c r="L197" s="18">
        <v>46.266399999999997</v>
      </c>
      <c r="M197" s="18">
        <v>46.903100000000002</v>
      </c>
      <c r="N197" s="18">
        <v>388.09829999999999</v>
      </c>
      <c r="O197" s="18">
        <f t="shared" si="7"/>
        <v>42.401962499999996</v>
      </c>
      <c r="P197" s="7"/>
      <c r="Q197" s="10"/>
      <c r="R197" s="11"/>
      <c r="S197" s="11"/>
      <c r="T197" s="26"/>
      <c r="U197" s="28">
        <f t="shared" si="9"/>
        <v>1.2303218205850239</v>
      </c>
    </row>
    <row r="198" spans="1:21" ht="16.5" thickBot="1" x14ac:dyDescent="0.3">
      <c r="B198" s="12"/>
      <c r="C198" s="19">
        <v>265.36</v>
      </c>
      <c r="D198" s="20">
        <v>37.515000000000001</v>
      </c>
      <c r="E198" s="20">
        <v>43.505000000000003</v>
      </c>
      <c r="F198" s="20">
        <v>43.811999999999998</v>
      </c>
      <c r="G198" s="20">
        <v>189.45</v>
      </c>
      <c r="H198" s="20">
        <f t="shared" si="6"/>
        <v>39.050875000000005</v>
      </c>
      <c r="I198" s="5"/>
      <c r="J198" s="19">
        <v>282.084</v>
      </c>
      <c r="K198" s="20">
        <v>39.170400000000001</v>
      </c>
      <c r="L198" s="20">
        <v>44.625599999999999</v>
      </c>
      <c r="M198" s="20">
        <v>45.152299999999997</v>
      </c>
      <c r="N198" s="20">
        <v>396.30119999999999</v>
      </c>
      <c r="O198" s="20">
        <f t="shared" si="7"/>
        <v>40.600037499999999</v>
      </c>
      <c r="P198" s="7"/>
      <c r="Q198" s="13"/>
      <c r="R198" s="14"/>
      <c r="S198" s="14"/>
      <c r="T198" s="27"/>
      <c r="U198" s="28">
        <f t="shared" si="9"/>
        <v>1.0918511480601742</v>
      </c>
    </row>
    <row r="199" spans="1:21" x14ac:dyDescent="0.25">
      <c r="B199" s="6" t="s">
        <v>63</v>
      </c>
      <c r="C199" s="15">
        <v>1496.55</v>
      </c>
      <c r="D199" s="16">
        <v>41.255000000000003</v>
      </c>
      <c r="E199" s="16">
        <v>45.408000000000001</v>
      </c>
      <c r="F199" s="16">
        <v>46.223999999999997</v>
      </c>
      <c r="G199" s="16">
        <v>144.58000000000001</v>
      </c>
      <c r="H199" s="16">
        <f t="shared" si="6"/>
        <v>42.395250000000004</v>
      </c>
      <c r="I199" s="5"/>
      <c r="J199" s="15">
        <v>1542.5463999999999</v>
      </c>
      <c r="K199" s="16">
        <v>42.356000000000002</v>
      </c>
      <c r="L199" s="16">
        <v>46.668900000000001</v>
      </c>
      <c r="M199" s="16">
        <v>47.525799999999997</v>
      </c>
      <c r="N199" s="16">
        <v>305.34350000000001</v>
      </c>
      <c r="O199" s="16">
        <f t="shared" si="7"/>
        <v>43.541337500000004</v>
      </c>
      <c r="P199" s="7"/>
      <c r="Q199" s="8">
        <f>bdrate(C199:C202,D199:D202,J199:J202,K199:K202)</f>
        <v>-0.37458777127719223</v>
      </c>
      <c r="R199" s="8">
        <f>bdrate(C199:C202,E199:E202,J199:J202,L199:L202)</f>
        <v>-0.43277970805863808</v>
      </c>
      <c r="S199" s="8">
        <f>bdrate(C199:C202,F199:F202,J199:J202,M199:M202)</f>
        <v>-0.41926034818074631</v>
      </c>
      <c r="T199" s="25">
        <f>bdrate(C199:C202,H199:H202,J199:J202,O199:O202)</f>
        <v>-0.38540687083652803</v>
      </c>
      <c r="U199" s="28">
        <f t="shared" si="9"/>
        <v>1.1119345690966937</v>
      </c>
    </row>
    <row r="200" spans="1:21" x14ac:dyDescent="0.25">
      <c r="B200" s="9"/>
      <c r="C200" s="17">
        <v>993.05</v>
      </c>
      <c r="D200" s="18">
        <v>40.148000000000003</v>
      </c>
      <c r="E200" s="18">
        <v>44.441000000000003</v>
      </c>
      <c r="F200" s="18">
        <v>45.262</v>
      </c>
      <c r="G200" s="18">
        <v>158.31</v>
      </c>
      <c r="H200" s="18">
        <f t="shared" si="6"/>
        <v>41.323875000000008</v>
      </c>
      <c r="I200" s="5"/>
      <c r="J200" s="17">
        <v>1010.8808</v>
      </c>
      <c r="K200" s="18">
        <v>41.499200000000002</v>
      </c>
      <c r="L200" s="18">
        <v>45.905000000000001</v>
      </c>
      <c r="M200" s="18">
        <v>46.741500000000002</v>
      </c>
      <c r="N200" s="18">
        <v>366.30040000000002</v>
      </c>
      <c r="O200" s="18">
        <f t="shared" si="7"/>
        <v>42.705212500000002</v>
      </c>
      <c r="P200" s="7"/>
      <c r="Q200" s="10"/>
      <c r="R200" s="11"/>
      <c r="S200" s="11"/>
      <c r="T200" s="26"/>
      <c r="U200" s="28">
        <f t="shared" si="9"/>
        <v>1.3138171941128167</v>
      </c>
    </row>
    <row r="201" spans="1:21" x14ac:dyDescent="0.25">
      <c r="B201" s="9"/>
      <c r="C201" s="17">
        <v>588.17999999999995</v>
      </c>
      <c r="D201" s="18">
        <v>38.427</v>
      </c>
      <c r="E201" s="18">
        <v>43.21</v>
      </c>
      <c r="F201" s="18">
        <v>44.085000000000001</v>
      </c>
      <c r="G201" s="18">
        <v>167.18</v>
      </c>
      <c r="H201" s="18">
        <f t="shared" si="6"/>
        <v>39.732124999999996</v>
      </c>
      <c r="I201" s="5"/>
      <c r="J201" s="17">
        <v>603.18079999999998</v>
      </c>
      <c r="K201" s="18">
        <v>40.132800000000003</v>
      </c>
      <c r="L201" s="18">
        <v>44.730899999999998</v>
      </c>
      <c r="M201" s="18">
        <v>45.527099999999997</v>
      </c>
      <c r="N201" s="18">
        <v>404.85829999999999</v>
      </c>
      <c r="O201" s="18">
        <f t="shared" si="7"/>
        <v>41.381850000000007</v>
      </c>
      <c r="P201" s="7"/>
      <c r="Q201" s="10"/>
      <c r="R201" s="11"/>
      <c r="S201" s="11"/>
      <c r="T201" s="26"/>
      <c r="U201" s="28">
        <f t="shared" si="9"/>
        <v>1.4216909917454239</v>
      </c>
    </row>
    <row r="202" spans="1:21" ht="16.5" thickBot="1" x14ac:dyDescent="0.3">
      <c r="B202" s="12"/>
      <c r="C202" s="19">
        <v>281.20999999999998</v>
      </c>
      <c r="D202" s="20">
        <v>35.996000000000002</v>
      </c>
      <c r="E202" s="20">
        <v>41.795999999999999</v>
      </c>
      <c r="F202" s="20">
        <v>42.76</v>
      </c>
      <c r="G202" s="20">
        <v>183.15</v>
      </c>
      <c r="H202" s="20">
        <f t="shared" si="6"/>
        <v>37.566499999999998</v>
      </c>
      <c r="I202" s="5"/>
      <c r="J202" s="19">
        <v>295.46159999999998</v>
      </c>
      <c r="K202" s="20">
        <v>37.359699999999997</v>
      </c>
      <c r="L202" s="20">
        <v>42.620199999999997</v>
      </c>
      <c r="M202" s="20">
        <v>43.418500000000002</v>
      </c>
      <c r="N202" s="20">
        <v>408.99799999999999</v>
      </c>
      <c r="O202" s="20">
        <f t="shared" si="7"/>
        <v>38.774612499999996</v>
      </c>
      <c r="P202" s="7"/>
      <c r="Q202" s="13"/>
      <c r="R202" s="14"/>
      <c r="S202" s="14"/>
      <c r="T202" s="27"/>
      <c r="U202" s="28">
        <f t="shared" si="9"/>
        <v>1.2331313131313131</v>
      </c>
    </row>
    <row r="203" spans="1:21" x14ac:dyDescent="0.25">
      <c r="A203" s="6" t="s">
        <v>102</v>
      </c>
      <c r="B203" s="6" t="s">
        <v>103</v>
      </c>
      <c r="C203" s="29">
        <v>1209.51</v>
      </c>
      <c r="D203" s="30">
        <v>41.524999999999999</v>
      </c>
      <c r="E203" s="30">
        <v>47.045000000000002</v>
      </c>
      <c r="F203" s="30">
        <v>48.156999999999996</v>
      </c>
      <c r="G203" s="16">
        <v>102.29</v>
      </c>
      <c r="H203" s="16">
        <f t="shared" ref="H203:H246" si="10">(6*D203+E203+F203)/8</f>
        <v>43.043999999999997</v>
      </c>
      <c r="I203" s="5"/>
      <c r="J203" s="15">
        <v>1295.9263000000001</v>
      </c>
      <c r="K203" s="16">
        <v>42.8688</v>
      </c>
      <c r="L203" s="16">
        <v>48.680999999999997</v>
      </c>
      <c r="M203" s="16">
        <v>49.536700000000003</v>
      </c>
      <c r="N203" s="16">
        <v>234.98689999999999</v>
      </c>
      <c r="O203" s="16">
        <f t="shared" ref="O203:O246" si="11">(6*K203+L203+M203)/8</f>
        <v>44.428812499999999</v>
      </c>
      <c r="P203" s="7"/>
      <c r="Q203" s="8">
        <f>bdrate(C203:C206,D203:D206,J203:J206,K203:K206)</f>
        <v>-0.30492073382320328</v>
      </c>
      <c r="R203" s="8">
        <f>bdrate(C203:C206,E203:E206,J203:J206,L203:L206)</f>
        <v>-0.31974571552799158</v>
      </c>
      <c r="S203" s="8">
        <f>bdrate(C203:C206,F203:F206,J203:J206,M203:M206)</f>
        <v>-0.36831205935113009</v>
      </c>
      <c r="T203" s="25">
        <f>bdrate(C203:C206,H203:H206,J203:J206,O203:O206)</f>
        <v>-0.31242940858653701</v>
      </c>
      <c r="U203" s="28">
        <f t="shared" si="9"/>
        <v>1.2972617069117212</v>
      </c>
    </row>
    <row r="204" spans="1:21" x14ac:dyDescent="0.25">
      <c r="A204" s="9" t="s">
        <v>78</v>
      </c>
      <c r="B204" s="9"/>
      <c r="C204" s="31">
        <v>809.45</v>
      </c>
      <c r="D204" s="32">
        <v>39.354999999999997</v>
      </c>
      <c r="E204" s="32">
        <v>45.499000000000002</v>
      </c>
      <c r="F204" s="32">
        <v>46.645000000000003</v>
      </c>
      <c r="G204" s="18">
        <v>111.91</v>
      </c>
      <c r="H204" s="18">
        <f t="shared" si="10"/>
        <v>41.03425</v>
      </c>
      <c r="I204" s="5"/>
      <c r="J204" s="17">
        <v>894.67110000000002</v>
      </c>
      <c r="K204" s="18">
        <v>41.493600000000001</v>
      </c>
      <c r="L204" s="18">
        <v>47.6434</v>
      </c>
      <c r="M204" s="18">
        <v>48.441600000000001</v>
      </c>
      <c r="N204" s="18">
        <v>284.85520000000002</v>
      </c>
      <c r="O204" s="18">
        <f t="shared" si="11"/>
        <v>43.130825000000002</v>
      </c>
      <c r="P204" s="7"/>
      <c r="Q204" s="10"/>
      <c r="R204" s="11"/>
      <c r="S204" s="11"/>
      <c r="T204" s="26"/>
      <c r="U204" s="28">
        <f t="shared" si="9"/>
        <v>1.5453954070235014</v>
      </c>
    </row>
    <row r="205" spans="1:21" x14ac:dyDescent="0.25">
      <c r="B205" s="9"/>
      <c r="C205" s="31">
        <v>490.4</v>
      </c>
      <c r="D205" s="32">
        <v>36.546999999999997</v>
      </c>
      <c r="E205" s="32">
        <v>43.71</v>
      </c>
      <c r="F205" s="32">
        <v>44.92</v>
      </c>
      <c r="G205" s="18">
        <v>123.67</v>
      </c>
      <c r="H205" s="18">
        <f t="shared" si="10"/>
        <v>38.488999999999997</v>
      </c>
      <c r="I205" s="5"/>
      <c r="J205" s="17">
        <v>555.25729999999999</v>
      </c>
      <c r="K205" s="18">
        <v>39.123899999999999</v>
      </c>
      <c r="L205" s="18">
        <v>45.344000000000001</v>
      </c>
      <c r="M205" s="18">
        <v>46.921999999999997</v>
      </c>
      <c r="N205" s="18">
        <v>303.64370000000002</v>
      </c>
      <c r="O205" s="18">
        <f t="shared" si="11"/>
        <v>40.876175000000003</v>
      </c>
      <c r="P205" s="7"/>
      <c r="Q205" s="10"/>
      <c r="R205" s="11"/>
      <c r="S205" s="11"/>
      <c r="T205" s="26"/>
      <c r="U205" s="28">
        <f t="shared" si="9"/>
        <v>1.4552737122988599</v>
      </c>
    </row>
    <row r="206" spans="1:21" ht="16.5" thickBot="1" x14ac:dyDescent="0.3">
      <c r="B206" s="12"/>
      <c r="C206" s="33">
        <v>249.29</v>
      </c>
      <c r="D206" s="34">
        <v>34.134</v>
      </c>
      <c r="E206" s="34">
        <v>41.457999999999998</v>
      </c>
      <c r="F206" s="34">
        <v>42.524999999999999</v>
      </c>
      <c r="G206" s="20">
        <v>142.55000000000001</v>
      </c>
      <c r="H206" s="20">
        <f t="shared" si="10"/>
        <v>36.098374999999997</v>
      </c>
      <c r="I206" s="5"/>
      <c r="J206" s="19">
        <v>289.6173</v>
      </c>
      <c r="K206" s="20">
        <v>36.187600000000003</v>
      </c>
      <c r="L206" s="20">
        <v>43.583199999999998</v>
      </c>
      <c r="M206" s="20">
        <v>44.8185</v>
      </c>
      <c r="N206" s="20">
        <v>385.85210000000001</v>
      </c>
      <c r="O206" s="20">
        <f t="shared" si="11"/>
        <v>38.190912499999996</v>
      </c>
      <c r="P206" s="7"/>
      <c r="Q206" s="13"/>
      <c r="R206" s="14"/>
      <c r="S206" s="14"/>
      <c r="T206" s="27"/>
      <c r="U206" s="28">
        <f t="shared" si="9"/>
        <v>1.7067842862153628</v>
      </c>
    </row>
    <row r="207" spans="1:21" x14ac:dyDescent="0.25">
      <c r="B207" s="6" t="s">
        <v>104</v>
      </c>
      <c r="C207" s="15">
        <v>1472.64</v>
      </c>
      <c r="D207" s="16">
        <v>48.671999999999997</v>
      </c>
      <c r="E207" s="16">
        <v>49.750999999999998</v>
      </c>
      <c r="F207" s="16">
        <v>50.223999999999997</v>
      </c>
      <c r="G207" s="16">
        <v>186.1</v>
      </c>
      <c r="H207" s="16">
        <f t="shared" si="10"/>
        <v>49.000874999999994</v>
      </c>
      <c r="I207" s="5"/>
      <c r="J207" s="15">
        <v>1433.2107000000001</v>
      </c>
      <c r="K207" s="16">
        <v>51.418900000000001</v>
      </c>
      <c r="L207" s="16">
        <v>51.846600000000002</v>
      </c>
      <c r="M207" s="16">
        <v>52.300600000000003</v>
      </c>
      <c r="N207" s="16">
        <v>321.25650000000002</v>
      </c>
      <c r="O207" s="16">
        <f t="shared" si="11"/>
        <v>51.582575000000006</v>
      </c>
      <c r="P207" s="7"/>
      <c r="Q207" s="8">
        <f>bdrate(C207:C210,D207:D210,J207:J210,K207:K210)</f>
        <v>-0.42467656430490941</v>
      </c>
      <c r="R207" s="8">
        <f>bdrate(C207:C210,E207:E210,J207:J210,L207:L210)</f>
        <v>-0.40800729651840195</v>
      </c>
      <c r="S207" s="8">
        <f>bdrate(C207:C210,F207:F210,J207:J210,M207:M210)</f>
        <v>-0.40755370808018399</v>
      </c>
      <c r="T207" s="25">
        <f>bdrate(C207:C210,H207:H210,J207:J210,O207:O210)</f>
        <v>-0.42091236191811487</v>
      </c>
      <c r="U207" s="28">
        <f t="shared" si="9"/>
        <v>0.72625738850080612</v>
      </c>
    </row>
    <row r="208" spans="1:21" x14ac:dyDescent="0.25">
      <c r="B208" s="9"/>
      <c r="C208" s="17">
        <v>981.61</v>
      </c>
      <c r="D208" s="18">
        <v>46.033999999999999</v>
      </c>
      <c r="E208" s="18">
        <v>47.353999999999999</v>
      </c>
      <c r="F208" s="18">
        <v>47.902999999999999</v>
      </c>
      <c r="G208" s="18">
        <v>199.98</v>
      </c>
      <c r="H208" s="18">
        <f t="shared" si="10"/>
        <v>46.432625000000002</v>
      </c>
      <c r="I208" s="5"/>
      <c r="J208" s="17">
        <v>971.04070000000002</v>
      </c>
      <c r="K208" s="18">
        <v>49.3581</v>
      </c>
      <c r="L208" s="18">
        <v>50.09</v>
      </c>
      <c r="M208" s="18">
        <v>50.582099999999997</v>
      </c>
      <c r="N208" s="18">
        <v>389.86349999999999</v>
      </c>
      <c r="O208" s="18">
        <f t="shared" si="11"/>
        <v>49.602587499999998</v>
      </c>
      <c r="P208" s="7"/>
      <c r="Q208" s="10"/>
      <c r="R208" s="11"/>
      <c r="S208" s="11"/>
      <c r="T208" s="26"/>
      <c r="U208" s="28">
        <f t="shared" si="9"/>
        <v>0.94951245124512451</v>
      </c>
    </row>
    <row r="209" spans="2:21" x14ac:dyDescent="0.25">
      <c r="B209" s="9"/>
      <c r="C209" s="17">
        <v>590.30999999999995</v>
      </c>
      <c r="D209" s="18">
        <v>42.978999999999999</v>
      </c>
      <c r="E209" s="18">
        <v>44.613999999999997</v>
      </c>
      <c r="F209" s="18">
        <v>45.16</v>
      </c>
      <c r="G209" s="18">
        <v>208.65</v>
      </c>
      <c r="H209" s="18">
        <f t="shared" si="10"/>
        <v>43.456000000000003</v>
      </c>
      <c r="I209" s="5"/>
      <c r="J209" s="17">
        <v>596.7201</v>
      </c>
      <c r="K209" s="18">
        <v>46.483199999999997</v>
      </c>
      <c r="L209" s="18">
        <v>47.606400000000001</v>
      </c>
      <c r="M209" s="18">
        <v>48.121899999999997</v>
      </c>
      <c r="N209" s="18">
        <v>385.9348</v>
      </c>
      <c r="O209" s="18">
        <f t="shared" si="11"/>
        <v>46.828437499999993</v>
      </c>
      <c r="P209" s="7"/>
      <c r="Q209" s="10"/>
      <c r="R209" s="11"/>
      <c r="S209" s="11"/>
      <c r="T209" s="26"/>
      <c r="U209" s="28">
        <f t="shared" si="9"/>
        <v>0.8496755331895518</v>
      </c>
    </row>
    <row r="210" spans="2:21" ht="16.5" thickBot="1" x14ac:dyDescent="0.3">
      <c r="B210" s="12"/>
      <c r="C210" s="19">
        <v>294.37</v>
      </c>
      <c r="D210" s="20">
        <v>39.411000000000001</v>
      </c>
      <c r="E210" s="20">
        <v>41.576000000000001</v>
      </c>
      <c r="F210" s="20">
        <v>42.152999999999999</v>
      </c>
      <c r="G210" s="20">
        <v>217.29</v>
      </c>
      <c r="H210" s="20">
        <f t="shared" si="10"/>
        <v>40.024375000000006</v>
      </c>
      <c r="I210" s="5"/>
      <c r="J210" s="19">
        <v>300.36840000000001</v>
      </c>
      <c r="K210" s="20">
        <v>41.9953</v>
      </c>
      <c r="L210" s="20">
        <v>43.5976</v>
      </c>
      <c r="M210" s="20">
        <v>44.177500000000002</v>
      </c>
      <c r="N210" s="20">
        <v>437.10539999999997</v>
      </c>
      <c r="O210" s="20">
        <f t="shared" si="11"/>
        <v>42.468362499999998</v>
      </c>
      <c r="P210" s="7"/>
      <c r="Q210" s="13"/>
      <c r="R210" s="14"/>
      <c r="S210" s="14"/>
      <c r="T210" s="27"/>
      <c r="U210" s="28">
        <f t="shared" si="9"/>
        <v>1.0116222559712826</v>
      </c>
    </row>
    <row r="211" spans="2:21" x14ac:dyDescent="0.25">
      <c r="B211" s="6" t="s">
        <v>105</v>
      </c>
      <c r="C211" s="15">
        <v>1553</v>
      </c>
      <c r="D211" s="16">
        <v>40.56</v>
      </c>
      <c r="E211" s="16">
        <v>43.265999999999998</v>
      </c>
      <c r="F211" s="16">
        <v>43.777999999999999</v>
      </c>
      <c r="G211" s="16">
        <v>125.55</v>
      </c>
      <c r="H211" s="16">
        <f t="shared" si="10"/>
        <v>41.300500000000007</v>
      </c>
      <c r="I211" s="5"/>
      <c r="J211" s="15">
        <v>1496.6216999999999</v>
      </c>
      <c r="K211" s="16">
        <v>42.199399999999997</v>
      </c>
      <c r="L211" s="16">
        <v>44.4968</v>
      </c>
      <c r="M211" s="16">
        <v>44.918599999999998</v>
      </c>
      <c r="N211" s="16">
        <v>276.62520000000001</v>
      </c>
      <c r="O211" s="16">
        <f t="shared" si="11"/>
        <v>42.826475000000002</v>
      </c>
      <c r="P211" s="7"/>
      <c r="Q211" s="8">
        <f>bdrate(C211:C214,D211:D214,J211:J214,K211:K214)</f>
        <v>-0.31585453051535961</v>
      </c>
      <c r="R211" s="8">
        <f>bdrate(C211:C214,E211:E214,J211:J214,L211:L214)</f>
        <v>-0.33477915664111835</v>
      </c>
      <c r="S211" s="8">
        <f>bdrate(C211:C214,F211:F214,J211:J214,M211:M214)</f>
        <v>-0.32000370468897266</v>
      </c>
      <c r="T211" s="25">
        <f>bdrate(C211:C214,H211:H214,J211:J214,O211:O214)</f>
        <v>-0.31803343421718466</v>
      </c>
      <c r="U211" s="28">
        <f t="shared" si="9"/>
        <v>1.2033070489844684</v>
      </c>
    </row>
    <row r="212" spans="2:21" x14ac:dyDescent="0.25">
      <c r="B212" s="9"/>
      <c r="C212" s="17">
        <v>1034.6199999999999</v>
      </c>
      <c r="D212" s="18">
        <v>38.53</v>
      </c>
      <c r="E212" s="18">
        <v>41.776000000000003</v>
      </c>
      <c r="F212" s="18">
        <v>42.283999999999999</v>
      </c>
      <c r="G212" s="18">
        <v>134.01</v>
      </c>
      <c r="H212" s="18">
        <f t="shared" si="10"/>
        <v>39.405000000000001</v>
      </c>
      <c r="I212" s="5"/>
      <c r="J212" s="17">
        <v>999.846</v>
      </c>
      <c r="K212" s="18">
        <v>40.243299999999998</v>
      </c>
      <c r="L212" s="18">
        <v>43.121499999999997</v>
      </c>
      <c r="M212" s="18">
        <v>43.561599999999999</v>
      </c>
      <c r="N212" s="18">
        <v>316.9572</v>
      </c>
      <c r="O212" s="18">
        <f t="shared" si="11"/>
        <v>41.017862499999993</v>
      </c>
      <c r="P212" s="7"/>
      <c r="Q212" s="10"/>
      <c r="R212" s="11"/>
      <c r="S212" s="11"/>
      <c r="T212" s="26"/>
      <c r="U212" s="28">
        <f t="shared" si="9"/>
        <v>1.3651757331542425</v>
      </c>
    </row>
    <row r="213" spans="2:21" x14ac:dyDescent="0.25">
      <c r="B213" s="9"/>
      <c r="C213" s="17">
        <v>623.02</v>
      </c>
      <c r="D213" s="18">
        <v>35.795000000000002</v>
      </c>
      <c r="E213" s="18">
        <v>39.985999999999997</v>
      </c>
      <c r="F213" s="18">
        <v>40.536000000000001</v>
      </c>
      <c r="G213" s="18">
        <v>149.07</v>
      </c>
      <c r="H213" s="18">
        <f t="shared" si="10"/>
        <v>36.911500000000004</v>
      </c>
      <c r="I213" s="5"/>
      <c r="J213" s="17">
        <v>600.48</v>
      </c>
      <c r="K213" s="18">
        <v>37.627299999999998</v>
      </c>
      <c r="L213" s="18">
        <v>41.284199999999998</v>
      </c>
      <c r="M213" s="18">
        <v>41.722799999999999</v>
      </c>
      <c r="N213" s="18">
        <v>352.59550000000002</v>
      </c>
      <c r="O213" s="18">
        <f t="shared" si="11"/>
        <v>38.596350000000001</v>
      </c>
      <c r="P213" s="7"/>
      <c r="Q213" s="10"/>
      <c r="R213" s="11"/>
      <c r="S213" s="11"/>
      <c r="T213" s="26"/>
      <c r="U213" s="28">
        <f t="shared" si="9"/>
        <v>1.3653015361910514</v>
      </c>
    </row>
    <row r="214" spans="2:21" ht="16.5" thickBot="1" x14ac:dyDescent="0.3">
      <c r="B214" s="12"/>
      <c r="C214" s="19">
        <v>313.95</v>
      </c>
      <c r="D214" s="20">
        <v>32.439</v>
      </c>
      <c r="E214" s="20">
        <v>37.537999999999997</v>
      </c>
      <c r="F214" s="20">
        <v>38.085999999999999</v>
      </c>
      <c r="G214" s="20">
        <v>163.66999999999999</v>
      </c>
      <c r="H214" s="20">
        <f t="shared" si="10"/>
        <v>33.782250000000005</v>
      </c>
      <c r="I214" s="5"/>
      <c r="J214" s="19">
        <v>302.10599999999999</v>
      </c>
      <c r="K214" s="20">
        <v>34.06</v>
      </c>
      <c r="L214" s="20">
        <v>38.9011</v>
      </c>
      <c r="M214" s="20">
        <v>39.392099999999999</v>
      </c>
      <c r="N214" s="20">
        <v>397.7022</v>
      </c>
      <c r="O214" s="20">
        <f t="shared" si="11"/>
        <v>35.331649999999996</v>
      </c>
      <c r="P214" s="7"/>
      <c r="Q214" s="13"/>
      <c r="R214" s="14"/>
      <c r="S214" s="14"/>
      <c r="T214" s="27"/>
      <c r="U214" s="28">
        <f t="shared" si="9"/>
        <v>1.429902853302377</v>
      </c>
    </row>
    <row r="215" spans="2:21" x14ac:dyDescent="0.25">
      <c r="B215" s="6" t="s">
        <v>106</v>
      </c>
      <c r="C215" s="15">
        <v>1374.85</v>
      </c>
      <c r="D215" s="16">
        <v>37.283999999999999</v>
      </c>
      <c r="E215" s="16">
        <v>42.143000000000001</v>
      </c>
      <c r="F215" s="16">
        <v>42.078000000000003</v>
      </c>
      <c r="G215" s="16">
        <v>107.23</v>
      </c>
      <c r="H215" s="16">
        <f t="shared" si="10"/>
        <v>38.490624999999994</v>
      </c>
      <c r="I215" s="5"/>
      <c r="J215" s="29">
        <v>1503.3973000000001</v>
      </c>
      <c r="K215" s="30">
        <v>38.609200000000001</v>
      </c>
      <c r="L215" s="30">
        <v>43.171999999999997</v>
      </c>
      <c r="M215" s="30">
        <v>43.131500000000003</v>
      </c>
      <c r="N215" s="16">
        <v>252.41900000000001</v>
      </c>
      <c r="O215" s="16">
        <f t="shared" si="11"/>
        <v>39.744837500000003</v>
      </c>
      <c r="P215" s="7"/>
      <c r="Q215" s="8">
        <f>bdrate(C215:C218,D215:D218,J215:J218,K215:K218)</f>
        <v>-0.13988458285572103</v>
      </c>
      <c r="R215" s="8">
        <f>bdrate(C215:C218,E215:E218,J215:J218,L215:L218)</f>
        <v>-0.25047054738360619</v>
      </c>
      <c r="S215" s="8">
        <f>bdrate(C215:C218,F215:F218,J215:J218,M215:M218)</f>
        <v>-0.25133108028605677</v>
      </c>
      <c r="T215" s="25">
        <f>bdrate(C215:C218,H215:H218,J215:J218,O215:O218)</f>
        <v>-0.16252757697552433</v>
      </c>
      <c r="U215" s="28">
        <f t="shared" si="9"/>
        <v>1.3539960831856759</v>
      </c>
    </row>
    <row r="216" spans="2:21" x14ac:dyDescent="0.25">
      <c r="B216" s="9"/>
      <c r="C216" s="17">
        <v>912.5</v>
      </c>
      <c r="D216" s="18">
        <v>35.561999999999998</v>
      </c>
      <c r="E216" s="18">
        <v>40.831000000000003</v>
      </c>
      <c r="F216" s="18">
        <v>40.799999999999997</v>
      </c>
      <c r="G216" s="18">
        <v>118.58</v>
      </c>
      <c r="H216" s="18">
        <f t="shared" si="10"/>
        <v>36.875374999999998</v>
      </c>
      <c r="I216" s="5"/>
      <c r="J216" s="31">
        <v>999.14649999999995</v>
      </c>
      <c r="K216" s="32">
        <v>36.733800000000002</v>
      </c>
      <c r="L216" s="32">
        <v>41.939900000000002</v>
      </c>
      <c r="M216" s="32">
        <v>41.911499999999997</v>
      </c>
      <c r="N216" s="18">
        <v>289.94850000000002</v>
      </c>
      <c r="O216" s="18">
        <f t="shared" si="11"/>
        <v>38.031775000000003</v>
      </c>
      <c r="P216" s="7"/>
      <c r="Q216" s="10"/>
      <c r="R216" s="11"/>
      <c r="S216" s="11"/>
      <c r="T216" s="26"/>
      <c r="U216" s="28">
        <f t="shared" si="9"/>
        <v>1.4451720357564517</v>
      </c>
    </row>
    <row r="217" spans="2:21" x14ac:dyDescent="0.25">
      <c r="B217" s="9"/>
      <c r="C217" s="17">
        <v>544.57000000000005</v>
      </c>
      <c r="D217" s="18">
        <v>33.435000000000002</v>
      </c>
      <c r="E217" s="18">
        <v>39.290999999999997</v>
      </c>
      <c r="F217" s="18">
        <v>39.274000000000001</v>
      </c>
      <c r="G217" s="18">
        <v>130.22999999999999</v>
      </c>
      <c r="H217" s="18">
        <f t="shared" si="10"/>
        <v>34.896875000000001</v>
      </c>
      <c r="I217" s="5"/>
      <c r="J217" s="31">
        <v>601.99800000000005</v>
      </c>
      <c r="K217" s="32">
        <v>34.467300000000002</v>
      </c>
      <c r="L217" s="32">
        <v>40.435400000000001</v>
      </c>
      <c r="M217" s="32">
        <v>40.439500000000002</v>
      </c>
      <c r="N217" s="18">
        <v>327.74950000000001</v>
      </c>
      <c r="O217" s="18">
        <f t="shared" si="11"/>
        <v>35.959837500000006</v>
      </c>
      <c r="P217" s="7"/>
      <c r="Q217" s="10"/>
      <c r="R217" s="11"/>
      <c r="S217" s="11"/>
      <c r="T217" s="26"/>
      <c r="U217" s="28">
        <f t="shared" si="9"/>
        <v>1.5166973815557094</v>
      </c>
    </row>
    <row r="218" spans="2:21" ht="16.5" thickBot="1" x14ac:dyDescent="0.3">
      <c r="B218" s="12"/>
      <c r="C218" s="19">
        <v>271.89</v>
      </c>
      <c r="D218" s="20">
        <v>30.524000000000001</v>
      </c>
      <c r="E218" s="20">
        <v>37.076000000000001</v>
      </c>
      <c r="F218" s="20">
        <v>37.091000000000001</v>
      </c>
      <c r="G218" s="20">
        <v>148.5</v>
      </c>
      <c r="H218" s="20">
        <f t="shared" si="10"/>
        <v>32.163874999999997</v>
      </c>
      <c r="I218" s="5"/>
      <c r="J218" s="33">
        <v>301.99549999999999</v>
      </c>
      <c r="K218" s="34">
        <v>31.438600000000001</v>
      </c>
      <c r="L218" s="34">
        <v>38.507800000000003</v>
      </c>
      <c r="M218" s="34">
        <v>38.387500000000003</v>
      </c>
      <c r="N218" s="20">
        <v>380.7912</v>
      </c>
      <c r="O218" s="20">
        <f t="shared" si="11"/>
        <v>33.190862500000001</v>
      </c>
      <c r="P218" s="7"/>
      <c r="Q218" s="13"/>
      <c r="R218" s="14"/>
      <c r="S218" s="14"/>
      <c r="T218" s="27"/>
      <c r="U218" s="28">
        <f t="shared" si="9"/>
        <v>1.5642505050505051</v>
      </c>
    </row>
    <row r="219" spans="2:21" x14ac:dyDescent="0.25">
      <c r="B219" s="6" t="s">
        <v>107</v>
      </c>
      <c r="C219" s="29">
        <v>1531</v>
      </c>
      <c r="D219" s="30">
        <v>34.323</v>
      </c>
      <c r="E219" s="30">
        <v>38.927999999999997</v>
      </c>
      <c r="F219" s="30">
        <v>39.503999999999998</v>
      </c>
      <c r="G219" s="16">
        <v>126.52</v>
      </c>
      <c r="H219" s="16">
        <f t="shared" si="10"/>
        <v>35.546250000000001</v>
      </c>
      <c r="I219" s="5"/>
      <c r="J219" s="15">
        <v>1500.8692000000001</v>
      </c>
      <c r="K219" s="16">
        <v>36.448999999999998</v>
      </c>
      <c r="L219" s="16">
        <v>41.047499999999999</v>
      </c>
      <c r="M219" s="16">
        <v>41.643599999999999</v>
      </c>
      <c r="N219" s="16">
        <v>258.06450000000001</v>
      </c>
      <c r="O219" s="16">
        <f t="shared" si="11"/>
        <v>37.673137499999996</v>
      </c>
      <c r="P219" s="7"/>
      <c r="Q219" s="8">
        <f>bdrate(C219:C222,D219:D222,J219:J222,K219:K222)</f>
        <v>-0.3372547809825106</v>
      </c>
      <c r="R219" s="8">
        <f>bdrate(C219:C222,E219:E222,J219:J222,L219:L222)</f>
        <v>-0.48036898005656026</v>
      </c>
      <c r="S219" s="8">
        <f>bdrate(C219:C222,F219:F222,J219:J222,M219:M222)</f>
        <v>-0.50192398071366262</v>
      </c>
      <c r="T219" s="25">
        <f>bdrate(C219:C222,H219:H222,J219:J222,O219:O222)</f>
        <v>-0.36816128119649127</v>
      </c>
      <c r="U219" s="28">
        <f t="shared" si="9"/>
        <v>1.0397130888397095</v>
      </c>
    </row>
    <row r="220" spans="2:21" x14ac:dyDescent="0.25">
      <c r="B220" s="9"/>
      <c r="C220" s="31">
        <v>1020.58</v>
      </c>
      <c r="D220" s="32">
        <v>32.619</v>
      </c>
      <c r="E220" s="32">
        <v>37.634</v>
      </c>
      <c r="F220" s="32">
        <v>38.235999999999997</v>
      </c>
      <c r="G220" s="18">
        <v>135.27000000000001</v>
      </c>
      <c r="H220" s="18">
        <f t="shared" si="10"/>
        <v>33.948</v>
      </c>
      <c r="I220" s="5"/>
      <c r="J220" s="17">
        <v>991.56569999999999</v>
      </c>
      <c r="K220" s="18">
        <v>34.509599999999999</v>
      </c>
      <c r="L220" s="18">
        <v>39.691099999999999</v>
      </c>
      <c r="M220" s="18">
        <v>40.336199999999998</v>
      </c>
      <c r="N220" s="18">
        <v>301.2552</v>
      </c>
      <c r="O220" s="18">
        <f t="shared" si="11"/>
        <v>35.885612500000001</v>
      </c>
      <c r="P220" s="7"/>
      <c r="Q220" s="10"/>
      <c r="R220" s="11"/>
      <c r="S220" s="11"/>
      <c r="T220" s="26"/>
      <c r="U220" s="28">
        <f t="shared" si="9"/>
        <v>1.227065868263473</v>
      </c>
    </row>
    <row r="221" spans="2:21" x14ac:dyDescent="0.25">
      <c r="B221" s="9"/>
      <c r="C221" s="31">
        <v>612.96</v>
      </c>
      <c r="D221" s="32">
        <v>30.524999999999999</v>
      </c>
      <c r="E221" s="32">
        <v>36.246000000000002</v>
      </c>
      <c r="F221" s="32">
        <v>36.902000000000001</v>
      </c>
      <c r="G221" s="18">
        <v>151.22</v>
      </c>
      <c r="H221" s="18">
        <f t="shared" si="10"/>
        <v>32.03725</v>
      </c>
      <c r="I221" s="5"/>
      <c r="J221" s="17">
        <v>595.58550000000002</v>
      </c>
      <c r="K221" s="18">
        <v>32.154800000000002</v>
      </c>
      <c r="L221" s="18">
        <v>38.0413</v>
      </c>
      <c r="M221" s="18">
        <v>38.738599999999998</v>
      </c>
      <c r="N221" s="18">
        <v>340.39330000000001</v>
      </c>
      <c r="O221" s="18">
        <f t="shared" si="11"/>
        <v>33.713587500000003</v>
      </c>
      <c r="P221" s="7"/>
      <c r="Q221" s="10"/>
      <c r="R221" s="11"/>
      <c r="S221" s="11"/>
      <c r="T221" s="26"/>
      <c r="U221" s="28">
        <f t="shared" si="9"/>
        <v>1.2509806903848699</v>
      </c>
    </row>
    <row r="222" spans="2:21" ht="16.5" thickBot="1" x14ac:dyDescent="0.3">
      <c r="B222" s="12"/>
      <c r="C222" s="33">
        <v>305.27999999999997</v>
      </c>
      <c r="D222" s="34">
        <v>27.622</v>
      </c>
      <c r="E222" s="34">
        <v>34.298999999999999</v>
      </c>
      <c r="F222" s="34">
        <v>35.203000000000003</v>
      </c>
      <c r="G222" s="20">
        <v>166.02</v>
      </c>
      <c r="H222" s="20">
        <f t="shared" si="10"/>
        <v>29.404250000000001</v>
      </c>
      <c r="I222" s="5"/>
      <c r="J222" s="19">
        <v>300.88189999999997</v>
      </c>
      <c r="K222" s="20">
        <v>28.999400000000001</v>
      </c>
      <c r="L222" s="20">
        <v>35.9773</v>
      </c>
      <c r="M222" s="20">
        <v>36.785800000000002</v>
      </c>
      <c r="N222" s="20">
        <v>388.34949999999998</v>
      </c>
      <c r="O222" s="20">
        <f t="shared" si="11"/>
        <v>30.8449375</v>
      </c>
      <c r="P222" s="7"/>
      <c r="Q222" s="13"/>
      <c r="R222" s="14"/>
      <c r="S222" s="14"/>
      <c r="T222" s="27"/>
      <c r="U222" s="28">
        <f t="shared" si="9"/>
        <v>1.3391729912058785</v>
      </c>
    </row>
    <row r="223" spans="2:21" x14ac:dyDescent="0.25">
      <c r="B223" s="6" t="s">
        <v>108</v>
      </c>
      <c r="C223" s="15">
        <v>1491.96</v>
      </c>
      <c r="D223" s="16">
        <v>35.993000000000002</v>
      </c>
      <c r="E223" s="16">
        <v>41.628999999999998</v>
      </c>
      <c r="F223" s="16">
        <v>43.048000000000002</v>
      </c>
      <c r="G223" s="16">
        <v>98.68</v>
      </c>
      <c r="H223" s="16">
        <f t="shared" si="10"/>
        <v>37.579375000000006</v>
      </c>
      <c r="I223" s="5"/>
      <c r="J223" s="15">
        <v>1504.2979</v>
      </c>
      <c r="K223" s="16">
        <v>36.696800000000003</v>
      </c>
      <c r="L223" s="16">
        <v>42.682200000000002</v>
      </c>
      <c r="M223" s="16">
        <v>44.046100000000003</v>
      </c>
      <c r="N223" s="16">
        <v>243.93549999999999</v>
      </c>
      <c r="O223" s="16">
        <f t="shared" si="11"/>
        <v>38.36363750000001</v>
      </c>
      <c r="P223" s="7"/>
      <c r="Q223" s="8">
        <f>bdrate(C223:C226,D223:D226,J223:J226,K223:K226)</f>
        <v>-0.18381971698109023</v>
      </c>
      <c r="R223" s="8">
        <f>bdrate(C223:C226,E223:E226,J223:J226,L223:L226)</f>
        <v>-0.42173173374407502</v>
      </c>
      <c r="S223" s="8">
        <f>bdrate(C223:C226,F223:F226,J223:J226,M223:M226)</f>
        <v>-0.38482978124171574</v>
      </c>
      <c r="T223" s="25">
        <f>bdrate(C223:C226,H223:H226,J223:J226,O223:O226)</f>
        <v>-0.23335604096754858</v>
      </c>
      <c r="U223" s="28">
        <f t="shared" si="9"/>
        <v>1.471985204702067</v>
      </c>
    </row>
    <row r="224" spans="2:21" x14ac:dyDescent="0.25">
      <c r="B224" s="9"/>
      <c r="C224" s="17">
        <v>998.1</v>
      </c>
      <c r="D224" s="18">
        <v>34.664000000000001</v>
      </c>
      <c r="E224" s="18">
        <v>40.597999999999999</v>
      </c>
      <c r="F224" s="18">
        <v>41.868000000000002</v>
      </c>
      <c r="G224" s="18">
        <v>109.98</v>
      </c>
      <c r="H224" s="18">
        <f t="shared" si="10"/>
        <v>36.306249999999999</v>
      </c>
      <c r="I224" s="5"/>
      <c r="J224" s="17">
        <v>1004.0214999999999</v>
      </c>
      <c r="K224" s="18">
        <v>35.354399999999998</v>
      </c>
      <c r="L224" s="18">
        <v>41.786700000000003</v>
      </c>
      <c r="M224" s="18">
        <v>43.0351</v>
      </c>
      <c r="N224" s="18">
        <v>290.65069999999997</v>
      </c>
      <c r="O224" s="18">
        <f t="shared" si="11"/>
        <v>37.118524999999998</v>
      </c>
      <c r="P224" s="7"/>
      <c r="Q224" s="10"/>
      <c r="R224" s="11"/>
      <c r="S224" s="11"/>
      <c r="T224" s="26"/>
      <c r="U224" s="28">
        <f t="shared" si="9"/>
        <v>1.6427595926532093</v>
      </c>
    </row>
    <row r="225" spans="2:21" x14ac:dyDescent="0.25">
      <c r="B225" s="9"/>
      <c r="C225" s="17">
        <v>599.89</v>
      </c>
      <c r="D225" s="18">
        <v>33.054000000000002</v>
      </c>
      <c r="E225" s="18">
        <v>39.454999999999998</v>
      </c>
      <c r="F225" s="18">
        <v>40.454999999999998</v>
      </c>
      <c r="G225" s="18">
        <v>121.97</v>
      </c>
      <c r="H225" s="18">
        <f t="shared" si="10"/>
        <v>34.779249999999998</v>
      </c>
      <c r="I225" s="5"/>
      <c r="J225" s="17">
        <v>602.94169999999997</v>
      </c>
      <c r="K225" s="18">
        <v>33.682099999999998</v>
      </c>
      <c r="L225" s="18">
        <v>40.693600000000004</v>
      </c>
      <c r="M225" s="18">
        <v>41.807099999999998</v>
      </c>
      <c r="N225" s="18">
        <v>330.51780000000002</v>
      </c>
      <c r="O225" s="18">
        <f t="shared" si="11"/>
        <v>35.5741625</v>
      </c>
      <c r="P225" s="7"/>
      <c r="Q225" s="10"/>
      <c r="R225" s="11"/>
      <c r="S225" s="11"/>
      <c r="T225" s="26"/>
      <c r="U225" s="28">
        <f t="shared" si="9"/>
        <v>1.7098286463884564</v>
      </c>
    </row>
    <row r="226" spans="2:21" ht="16.5" thickBot="1" x14ac:dyDescent="0.3">
      <c r="B226" s="12"/>
      <c r="C226" s="19">
        <v>306.2</v>
      </c>
      <c r="D226" s="20">
        <v>31.050999999999998</v>
      </c>
      <c r="E226" s="20">
        <v>38.130000000000003</v>
      </c>
      <c r="F226" s="20">
        <v>38.816000000000003</v>
      </c>
      <c r="G226" s="20">
        <v>142.79</v>
      </c>
      <c r="H226" s="20">
        <f t="shared" si="10"/>
        <v>32.906499999999994</v>
      </c>
      <c r="I226" s="5"/>
      <c r="J226" s="19">
        <v>300.3836</v>
      </c>
      <c r="K226" s="20">
        <v>31.631399999999999</v>
      </c>
      <c r="L226" s="20">
        <v>39.236199999999997</v>
      </c>
      <c r="M226" s="20">
        <v>40.052300000000002</v>
      </c>
      <c r="N226" s="20">
        <v>382.0034</v>
      </c>
      <c r="O226" s="20">
        <f t="shared" si="11"/>
        <v>33.634612500000003</v>
      </c>
      <c r="P226" s="7"/>
      <c r="Q226" s="13"/>
      <c r="R226" s="14"/>
      <c r="S226" s="14"/>
      <c r="T226" s="27"/>
      <c r="U226" s="28">
        <f t="shared" si="9"/>
        <v>1.6752811821556133</v>
      </c>
    </row>
    <row r="227" spans="2:21" x14ac:dyDescent="0.25">
      <c r="B227" s="6" t="s">
        <v>109</v>
      </c>
      <c r="C227" s="15">
        <v>1589.28</v>
      </c>
      <c r="D227" s="16">
        <v>45.186</v>
      </c>
      <c r="E227" s="16">
        <v>50.283999999999999</v>
      </c>
      <c r="F227" s="16">
        <v>51.69</v>
      </c>
      <c r="G227" s="16">
        <v>122.68</v>
      </c>
      <c r="H227" s="16">
        <f t="shared" si="10"/>
        <v>46.636249999999997</v>
      </c>
      <c r="I227" s="5"/>
      <c r="J227" s="15">
        <v>1503.5606</v>
      </c>
      <c r="K227" s="16">
        <v>46.671700000000001</v>
      </c>
      <c r="L227" s="16">
        <v>51.398000000000003</v>
      </c>
      <c r="M227" s="16">
        <v>52.887</v>
      </c>
      <c r="N227" s="16">
        <v>286.19150000000002</v>
      </c>
      <c r="O227" s="16">
        <f t="shared" si="11"/>
        <v>48.039400000000008</v>
      </c>
      <c r="P227" s="7"/>
      <c r="Q227" s="8">
        <f>bdrate(C227:C230,D227:D230,J227:J230,K227:K230)</f>
        <v>-0.31187878906772726</v>
      </c>
      <c r="R227" s="8">
        <f>bdrate(C227:C230,E227:E230,J227:J230,L227:L230)</f>
        <v>-0.33101838566814945</v>
      </c>
      <c r="S227" s="8">
        <f>bdrate(C227:C230,F227:F230,J227:J230,M227:M230)</f>
        <v>-0.30683090052100581</v>
      </c>
      <c r="T227" s="25">
        <f>bdrate(C227:C230,H227:H230,J227:J230,O227:O230)</f>
        <v>-0.31350312711669182</v>
      </c>
      <c r="U227" s="28">
        <f t="shared" si="9"/>
        <v>1.3328293120313011</v>
      </c>
    </row>
    <row r="228" spans="2:21" x14ac:dyDescent="0.25">
      <c r="B228" s="9"/>
      <c r="C228" s="17">
        <v>1059.45</v>
      </c>
      <c r="D228" s="18">
        <v>43.395000000000003</v>
      </c>
      <c r="E228" s="18">
        <v>48.691000000000003</v>
      </c>
      <c r="F228" s="18">
        <v>50.177</v>
      </c>
      <c r="G228" s="18">
        <v>139.61000000000001</v>
      </c>
      <c r="H228" s="18">
        <f t="shared" si="10"/>
        <v>44.904750000000007</v>
      </c>
      <c r="I228" s="5"/>
      <c r="J228" s="17">
        <v>1005.1744</v>
      </c>
      <c r="K228" s="18">
        <v>44.856999999999999</v>
      </c>
      <c r="L228" s="18">
        <v>50.024700000000003</v>
      </c>
      <c r="M228" s="18">
        <v>51.421999999999997</v>
      </c>
      <c r="N228" s="18">
        <v>336.26170000000002</v>
      </c>
      <c r="O228" s="18">
        <f t="shared" si="11"/>
        <v>46.323587500000002</v>
      </c>
      <c r="P228" s="7"/>
      <c r="Q228" s="10"/>
      <c r="R228" s="11"/>
      <c r="S228" s="11"/>
      <c r="T228" s="26"/>
      <c r="U228" s="28">
        <f t="shared" si="9"/>
        <v>1.4085788983597163</v>
      </c>
    </row>
    <row r="229" spans="2:21" x14ac:dyDescent="0.25">
      <c r="B229" s="9"/>
      <c r="C229" s="17">
        <v>636.83000000000004</v>
      </c>
      <c r="D229" s="18">
        <v>41.156999999999996</v>
      </c>
      <c r="E229" s="18">
        <v>46.805999999999997</v>
      </c>
      <c r="F229" s="18">
        <v>48.345999999999997</v>
      </c>
      <c r="G229" s="18">
        <v>157.75</v>
      </c>
      <c r="H229" s="18">
        <f t="shared" si="10"/>
        <v>42.761749999999999</v>
      </c>
      <c r="I229" s="5"/>
      <c r="J229" s="17">
        <v>604.95320000000004</v>
      </c>
      <c r="K229" s="18">
        <v>42.614800000000002</v>
      </c>
      <c r="L229" s="18">
        <v>48.203400000000002</v>
      </c>
      <c r="M229" s="18">
        <v>49.577500000000001</v>
      </c>
      <c r="N229" s="18">
        <v>343.25510000000003</v>
      </c>
      <c r="O229" s="18">
        <f t="shared" si="11"/>
        <v>44.183712499999999</v>
      </c>
      <c r="P229" s="7"/>
      <c r="Q229" s="10"/>
      <c r="R229" s="11"/>
      <c r="S229" s="11"/>
      <c r="T229" s="26"/>
      <c r="U229" s="28">
        <f t="shared" si="9"/>
        <v>1.175943581616482</v>
      </c>
    </row>
    <row r="230" spans="2:21" ht="16.5" thickBot="1" x14ac:dyDescent="0.3">
      <c r="B230" s="12"/>
      <c r="C230" s="19">
        <v>320.41000000000003</v>
      </c>
      <c r="D230" s="20">
        <v>38.165999999999997</v>
      </c>
      <c r="E230" s="20">
        <v>44.218000000000004</v>
      </c>
      <c r="F230" s="20">
        <v>45.777999999999999</v>
      </c>
      <c r="G230" s="20">
        <v>178.24</v>
      </c>
      <c r="H230" s="20">
        <f t="shared" si="10"/>
        <v>39.874000000000002</v>
      </c>
      <c r="I230" s="5"/>
      <c r="J230" s="19">
        <v>302.92950000000002</v>
      </c>
      <c r="K230" s="20">
        <v>39.394300000000001</v>
      </c>
      <c r="L230" s="20">
        <v>45.274900000000002</v>
      </c>
      <c r="M230" s="20">
        <v>46.644500000000001</v>
      </c>
      <c r="N230" s="20">
        <v>410.1687</v>
      </c>
      <c r="O230" s="20">
        <f t="shared" si="11"/>
        <v>41.035650000000004</v>
      </c>
      <c r="P230" s="7"/>
      <c r="Q230" s="13"/>
      <c r="R230" s="14"/>
      <c r="S230" s="14"/>
      <c r="T230" s="27"/>
      <c r="U230" s="28">
        <f t="shared" si="9"/>
        <v>1.3012157764811489</v>
      </c>
    </row>
    <row r="231" spans="2:21" x14ac:dyDescent="0.25">
      <c r="B231" s="6" t="s">
        <v>110</v>
      </c>
      <c r="C231" s="15">
        <v>1464.32</v>
      </c>
      <c r="D231" s="16">
        <v>30.920999999999999</v>
      </c>
      <c r="E231" s="16">
        <v>38.965000000000003</v>
      </c>
      <c r="F231" s="16">
        <v>38.357999999999997</v>
      </c>
      <c r="G231" s="16">
        <v>89.52</v>
      </c>
      <c r="H231" s="16">
        <f t="shared" si="10"/>
        <v>32.856124999999999</v>
      </c>
      <c r="I231" s="5"/>
      <c r="J231" s="15">
        <v>1494.1717000000001</v>
      </c>
      <c r="K231" s="16">
        <v>31.3658</v>
      </c>
      <c r="L231" s="16">
        <v>39.853900000000003</v>
      </c>
      <c r="M231" s="16">
        <v>39.188899999999997</v>
      </c>
      <c r="N231" s="16">
        <v>209.6925</v>
      </c>
      <c r="O231" s="16">
        <f t="shared" si="11"/>
        <v>33.404699999999998</v>
      </c>
      <c r="P231" s="7"/>
      <c r="Q231" s="8">
        <f>bdrate(C231:C234,D231:D234,J231:J234,K231:K234)</f>
        <v>-5.8443572765376595E-2</v>
      </c>
      <c r="R231" s="8">
        <f>bdrate(C231:C234,E231:E234,J231:J234,L231:L234)</f>
        <v>-0.32432993811228183</v>
      </c>
      <c r="S231" s="8">
        <f>bdrate(C231:C234,F231:F234,J231:J234,M231:M234)</f>
        <v>-0.30785270533449105</v>
      </c>
      <c r="T231" s="25">
        <f>bdrate(C231:C234,H231:H234,J231:J234,O231:O234)</f>
        <v>-0.11590500835664697</v>
      </c>
      <c r="U231" s="28">
        <f t="shared" si="9"/>
        <v>1.3424095174262736</v>
      </c>
    </row>
    <row r="232" spans="2:21" x14ac:dyDescent="0.25">
      <c r="B232" s="9"/>
      <c r="C232" s="17">
        <v>976.02</v>
      </c>
      <c r="D232" s="18">
        <v>29.26</v>
      </c>
      <c r="E232" s="18">
        <v>37.798000000000002</v>
      </c>
      <c r="F232" s="18">
        <v>37.137</v>
      </c>
      <c r="G232" s="18">
        <v>100.08</v>
      </c>
      <c r="H232" s="18">
        <f t="shared" si="10"/>
        <v>31.311875000000001</v>
      </c>
      <c r="I232" s="5"/>
      <c r="J232" s="17">
        <v>994.86749999999995</v>
      </c>
      <c r="K232" s="18">
        <v>29.633800000000001</v>
      </c>
      <c r="L232" s="18">
        <v>38.887</v>
      </c>
      <c r="M232" s="18">
        <v>38.189700000000002</v>
      </c>
      <c r="N232" s="18">
        <v>245.8681</v>
      </c>
      <c r="O232" s="18">
        <f t="shared" si="11"/>
        <v>31.859937500000001</v>
      </c>
      <c r="P232" s="7"/>
      <c r="Q232" s="10"/>
      <c r="R232" s="11"/>
      <c r="S232" s="11"/>
      <c r="T232" s="26"/>
      <c r="U232" s="28">
        <f t="shared" si="9"/>
        <v>1.4567156274980015</v>
      </c>
    </row>
    <row r="233" spans="2:21" x14ac:dyDescent="0.25">
      <c r="B233" s="9"/>
      <c r="C233" s="17">
        <v>587.14</v>
      </c>
      <c r="D233" s="18">
        <v>27.202999999999999</v>
      </c>
      <c r="E233" s="18">
        <v>36.244</v>
      </c>
      <c r="F233" s="18">
        <v>35.590000000000003</v>
      </c>
      <c r="G233" s="18">
        <v>113.02</v>
      </c>
      <c r="H233" s="18">
        <f t="shared" si="10"/>
        <v>29.381499999999999</v>
      </c>
      <c r="I233" s="5"/>
      <c r="J233" s="17">
        <v>596.42250000000001</v>
      </c>
      <c r="K233" s="18">
        <v>27.476299999999998</v>
      </c>
      <c r="L233" s="18">
        <v>37.582000000000001</v>
      </c>
      <c r="M233" s="18">
        <v>36.8185</v>
      </c>
      <c r="N233" s="18">
        <v>305.29169999999999</v>
      </c>
      <c r="O233" s="18">
        <f t="shared" si="11"/>
        <v>29.907287499999999</v>
      </c>
      <c r="P233" s="7"/>
      <c r="Q233" s="10"/>
      <c r="R233" s="11"/>
      <c r="S233" s="11"/>
      <c r="T233" s="26"/>
      <c r="U233" s="28">
        <f t="shared" si="9"/>
        <v>1.7012183684303666</v>
      </c>
    </row>
    <row r="234" spans="2:21" ht="16.5" thickBot="1" x14ac:dyDescent="0.3">
      <c r="B234" s="12"/>
      <c r="C234" s="19">
        <v>292.18</v>
      </c>
      <c r="D234" s="20">
        <v>24.408999999999999</v>
      </c>
      <c r="E234" s="20">
        <v>33.613999999999997</v>
      </c>
      <c r="F234" s="20">
        <v>33.091000000000001</v>
      </c>
      <c r="G234" s="20">
        <v>133.38999999999999</v>
      </c>
      <c r="H234" s="20">
        <f t="shared" si="10"/>
        <v>26.644875000000003</v>
      </c>
      <c r="I234" s="5"/>
      <c r="J234" s="19">
        <v>299.80950000000001</v>
      </c>
      <c r="K234" s="20">
        <v>24.7287</v>
      </c>
      <c r="L234" s="20">
        <v>35.081400000000002</v>
      </c>
      <c r="M234" s="20">
        <v>34.4983</v>
      </c>
      <c r="N234" s="20">
        <v>364.81560000000002</v>
      </c>
      <c r="O234" s="20">
        <f t="shared" si="11"/>
        <v>27.243987499999999</v>
      </c>
      <c r="P234" s="7"/>
      <c r="Q234" s="13"/>
      <c r="R234" s="14"/>
      <c r="S234" s="14"/>
      <c r="T234" s="27"/>
      <c r="U234" s="28">
        <f t="shared" si="9"/>
        <v>1.734954644276183</v>
      </c>
    </row>
    <row r="235" spans="2:21" x14ac:dyDescent="0.25">
      <c r="B235" s="6" t="s">
        <v>111</v>
      </c>
      <c r="C235" s="15">
        <v>1508.08</v>
      </c>
      <c r="D235" s="16">
        <v>42.093000000000004</v>
      </c>
      <c r="E235" s="16">
        <v>43.423000000000002</v>
      </c>
      <c r="F235" s="16">
        <v>43.304000000000002</v>
      </c>
      <c r="G235" s="16">
        <v>115.27</v>
      </c>
      <c r="H235" s="16">
        <f t="shared" si="10"/>
        <v>42.410624999999996</v>
      </c>
      <c r="I235" s="5"/>
      <c r="J235" s="15">
        <v>1416.2781</v>
      </c>
      <c r="K235" s="16">
        <v>44.313800000000001</v>
      </c>
      <c r="L235" s="16">
        <v>45.290999999999997</v>
      </c>
      <c r="M235" s="16">
        <v>45.182200000000002</v>
      </c>
      <c r="N235" s="16">
        <v>255.28290000000001</v>
      </c>
      <c r="O235" s="16">
        <f t="shared" si="11"/>
        <v>44.544499999999999</v>
      </c>
      <c r="P235" s="7"/>
      <c r="Q235" s="8">
        <f>bdrate(C235:C238,D235:D238,J235:J238,K235:K238)</f>
        <v>-0.36265374481432588</v>
      </c>
      <c r="R235" s="8">
        <f>bdrate(C235:C238,E235:E238,J235:J238,L235:L238)</f>
        <v>-0.39154067492981948</v>
      </c>
      <c r="S235" s="8">
        <f>bdrate(C235:C238,F235:F238,J235:J238,M235:M238)</f>
        <v>-0.38778689892636553</v>
      </c>
      <c r="T235" s="25">
        <f>bdrate(C235:C238,H235:H238,J235:J238,O235:O238)</f>
        <v>-0.36855706143500089</v>
      </c>
      <c r="U235" s="28">
        <f t="shared" si="9"/>
        <v>1.2146516873427606</v>
      </c>
    </row>
    <row r="236" spans="2:21" x14ac:dyDescent="0.25">
      <c r="B236" s="9"/>
      <c r="C236" s="17">
        <v>1004.7</v>
      </c>
      <c r="D236" s="18">
        <v>39.814999999999998</v>
      </c>
      <c r="E236" s="18">
        <v>41.566000000000003</v>
      </c>
      <c r="F236" s="18">
        <v>41.404000000000003</v>
      </c>
      <c r="G236" s="18">
        <v>139.18</v>
      </c>
      <c r="H236" s="18">
        <f t="shared" si="10"/>
        <v>40.232500000000002</v>
      </c>
      <c r="I236" s="5"/>
      <c r="J236" s="17">
        <v>956.35969999999998</v>
      </c>
      <c r="K236" s="18">
        <v>42.470799999999997</v>
      </c>
      <c r="L236" s="18">
        <v>43.777200000000001</v>
      </c>
      <c r="M236" s="18">
        <v>43.635100000000001</v>
      </c>
      <c r="N236" s="18">
        <v>317.01299999999998</v>
      </c>
      <c r="O236" s="18">
        <f t="shared" si="11"/>
        <v>42.7796375</v>
      </c>
      <c r="P236" s="7"/>
      <c r="Q236" s="10"/>
      <c r="R236" s="11"/>
      <c r="S236" s="11"/>
      <c r="T236" s="26"/>
      <c r="U236" s="28">
        <f t="shared" si="9"/>
        <v>1.2777194999281503</v>
      </c>
    </row>
    <row r="237" spans="2:21" x14ac:dyDescent="0.25">
      <c r="B237" s="9"/>
      <c r="C237" s="17">
        <v>606.12</v>
      </c>
      <c r="D237" s="18">
        <v>36.97</v>
      </c>
      <c r="E237" s="18">
        <v>39.198999999999998</v>
      </c>
      <c r="F237" s="18">
        <v>39.098999999999997</v>
      </c>
      <c r="G237" s="18">
        <v>157.84</v>
      </c>
      <c r="H237" s="18">
        <f t="shared" si="10"/>
        <v>37.514749999999999</v>
      </c>
      <c r="I237" s="5"/>
      <c r="J237" s="17">
        <v>584.27009999999996</v>
      </c>
      <c r="K237" s="18">
        <v>39.383899999999997</v>
      </c>
      <c r="L237" s="18">
        <v>41.320399999999999</v>
      </c>
      <c r="M237" s="18">
        <v>41.191000000000003</v>
      </c>
      <c r="N237" s="18">
        <v>357.072</v>
      </c>
      <c r="O237" s="18">
        <f t="shared" si="11"/>
        <v>39.851849999999999</v>
      </c>
      <c r="P237" s="7"/>
      <c r="Q237" s="10"/>
      <c r="R237" s="11"/>
      <c r="S237" s="11"/>
      <c r="T237" s="26"/>
      <c r="U237" s="28">
        <f t="shared" si="9"/>
        <v>1.2622402432843385</v>
      </c>
    </row>
    <row r="238" spans="2:21" ht="16.5" thickBot="1" x14ac:dyDescent="0.3">
      <c r="B238" s="12"/>
      <c r="C238" s="19">
        <v>301.60000000000002</v>
      </c>
      <c r="D238" s="20">
        <v>33.005000000000003</v>
      </c>
      <c r="E238" s="20">
        <v>36.249000000000002</v>
      </c>
      <c r="F238" s="20">
        <v>35.756999999999998</v>
      </c>
      <c r="G238" s="20">
        <v>165.3</v>
      </c>
      <c r="H238" s="20">
        <f t="shared" si="10"/>
        <v>33.7545</v>
      </c>
      <c r="I238" s="5"/>
      <c r="J238" s="19">
        <v>295.69029999999998</v>
      </c>
      <c r="K238" s="20">
        <v>35.032200000000003</v>
      </c>
      <c r="L238" s="20">
        <v>38.159100000000002</v>
      </c>
      <c r="M238" s="20">
        <v>37.906599999999997</v>
      </c>
      <c r="N238" s="20">
        <v>399.20159999999998</v>
      </c>
      <c r="O238" s="20">
        <f t="shared" si="11"/>
        <v>35.782362500000005</v>
      </c>
      <c r="P238" s="7"/>
      <c r="Q238" s="13"/>
      <c r="R238" s="14"/>
      <c r="S238" s="14"/>
      <c r="T238" s="27"/>
      <c r="U238" s="28">
        <f t="shared" si="9"/>
        <v>1.4150127041742284</v>
      </c>
    </row>
    <row r="239" spans="2:21" x14ac:dyDescent="0.25">
      <c r="B239" s="6" t="s">
        <v>112</v>
      </c>
      <c r="C239" s="15">
        <v>1986.62</v>
      </c>
      <c r="D239" s="16">
        <v>42.1</v>
      </c>
      <c r="E239" s="16">
        <v>44.296999999999997</v>
      </c>
      <c r="F239" s="16">
        <v>44.512</v>
      </c>
      <c r="G239" s="16">
        <v>134.79</v>
      </c>
      <c r="H239" s="16">
        <f t="shared" si="10"/>
        <v>42.676125000000006</v>
      </c>
      <c r="I239" s="5"/>
      <c r="J239" s="15">
        <v>1400.8652999999999</v>
      </c>
      <c r="K239" s="16">
        <v>45.287100000000002</v>
      </c>
      <c r="L239" s="16">
        <v>47.514099999999999</v>
      </c>
      <c r="M239" s="16">
        <v>47.7727</v>
      </c>
      <c r="N239" s="16">
        <v>238.37899999999999</v>
      </c>
      <c r="O239" s="16">
        <f t="shared" si="11"/>
        <v>45.876174999999996</v>
      </c>
      <c r="P239" s="7"/>
      <c r="Q239" s="8">
        <f>bdrate(C239:C242,D239:D242,J239:J242,K239:K242)</f>
        <v>-0.55308411500591181</v>
      </c>
      <c r="R239" s="8">
        <f>bdrate(C239:C242,E239:E242,J239:J242,L239:L242)</f>
        <v>-0.59988627649278536</v>
      </c>
      <c r="S239" s="8">
        <f>bdrate(C239:C242,F239:F242,J239:J242,M239:M242)</f>
        <v>-0.60182832956717514</v>
      </c>
      <c r="T239" s="25">
        <f>bdrate(C239:C242,H239:H242,J239:J242,O239:O242)</f>
        <v>-0.56422627523504087</v>
      </c>
      <c r="U239" s="28">
        <f t="shared" si="9"/>
        <v>0.76852140366496036</v>
      </c>
    </row>
    <row r="240" spans="2:21" x14ac:dyDescent="0.25">
      <c r="B240" s="9"/>
      <c r="C240" s="17">
        <v>1298.25</v>
      </c>
      <c r="D240" s="18">
        <v>40.106000000000002</v>
      </c>
      <c r="E240" s="18">
        <v>42.497</v>
      </c>
      <c r="F240" s="18">
        <v>42.725000000000001</v>
      </c>
      <c r="G240" s="18">
        <v>151.22</v>
      </c>
      <c r="H240" s="18">
        <f t="shared" si="10"/>
        <v>40.732250000000008</v>
      </c>
      <c r="I240" s="5"/>
      <c r="J240" s="17">
        <v>976.52189999999996</v>
      </c>
      <c r="K240" s="18">
        <v>43.588200000000001</v>
      </c>
      <c r="L240" s="18">
        <v>45.995800000000003</v>
      </c>
      <c r="M240" s="18">
        <v>46.244999999999997</v>
      </c>
      <c r="N240" s="18">
        <v>278.03519999999997</v>
      </c>
      <c r="O240" s="18">
        <f t="shared" si="11"/>
        <v>44.221249999999998</v>
      </c>
      <c r="P240" s="7"/>
      <c r="Q240" s="10"/>
      <c r="R240" s="11"/>
      <c r="S240" s="11"/>
      <c r="T240" s="26"/>
      <c r="U240" s="28">
        <f t="shared" si="9"/>
        <v>0.83861393995503219</v>
      </c>
    </row>
    <row r="241" spans="2:21" x14ac:dyDescent="0.25">
      <c r="B241" s="9"/>
      <c r="C241" s="17">
        <v>755.41</v>
      </c>
      <c r="D241" s="18">
        <v>37.735999999999997</v>
      </c>
      <c r="E241" s="18">
        <v>40.427999999999997</v>
      </c>
      <c r="F241" s="18">
        <v>40.692</v>
      </c>
      <c r="G241" s="18">
        <v>165.78</v>
      </c>
      <c r="H241" s="18">
        <f t="shared" si="10"/>
        <v>38.442</v>
      </c>
      <c r="I241" s="5"/>
      <c r="J241" s="17">
        <v>635.66999999999996</v>
      </c>
      <c r="K241" s="18">
        <v>41.037999999999997</v>
      </c>
      <c r="L241" s="18">
        <v>43.8003</v>
      </c>
      <c r="M241" s="18">
        <v>44.0672</v>
      </c>
      <c r="N241" s="18">
        <v>306.85309999999998</v>
      </c>
      <c r="O241" s="18">
        <f t="shared" si="11"/>
        <v>41.761937500000002</v>
      </c>
      <c r="P241" s="7"/>
      <c r="Q241" s="10"/>
      <c r="R241" s="11"/>
      <c r="S241" s="11"/>
      <c r="T241" s="26"/>
      <c r="U241" s="28">
        <f t="shared" si="9"/>
        <v>0.8509657377246953</v>
      </c>
    </row>
    <row r="242" spans="2:21" ht="16.5" thickBot="1" x14ac:dyDescent="0.3">
      <c r="B242" s="12"/>
      <c r="C242" s="19">
        <v>363.18</v>
      </c>
      <c r="D242" s="20">
        <v>34.506999999999998</v>
      </c>
      <c r="E242" s="20">
        <v>37.880000000000003</v>
      </c>
      <c r="F242" s="20">
        <v>38.207999999999998</v>
      </c>
      <c r="G242" s="20">
        <v>180.85</v>
      </c>
      <c r="H242" s="20">
        <f t="shared" si="10"/>
        <v>35.391249999999999</v>
      </c>
      <c r="I242" s="5"/>
      <c r="J242" s="19">
        <v>340.25</v>
      </c>
      <c r="K242" s="20">
        <v>36.866799999999998</v>
      </c>
      <c r="L242" s="20">
        <v>40.177700000000002</v>
      </c>
      <c r="M242" s="20">
        <v>40.428400000000003</v>
      </c>
      <c r="N242" s="20">
        <v>397.87799999999999</v>
      </c>
      <c r="O242" s="20">
        <f t="shared" si="11"/>
        <v>37.725862499999998</v>
      </c>
      <c r="P242" s="7"/>
      <c r="Q242" s="13"/>
      <c r="R242" s="14"/>
      <c r="S242" s="14"/>
      <c r="T242" s="27"/>
      <c r="U242" s="28">
        <f t="shared" si="9"/>
        <v>1.2000442355543268</v>
      </c>
    </row>
    <row r="243" spans="2:21" x14ac:dyDescent="0.25">
      <c r="B243" s="6" t="s">
        <v>113</v>
      </c>
      <c r="C243" s="15">
        <v>1532.07</v>
      </c>
      <c r="D243" s="16">
        <v>31.146000000000001</v>
      </c>
      <c r="E243" s="16">
        <v>35.21</v>
      </c>
      <c r="F243" s="16">
        <v>34.131</v>
      </c>
      <c r="G243" s="16">
        <v>107.03</v>
      </c>
      <c r="H243" s="16">
        <f t="shared" si="10"/>
        <v>32.027124999999998</v>
      </c>
      <c r="I243" s="5"/>
      <c r="J243" s="29">
        <v>1506.8504</v>
      </c>
      <c r="K243" s="30">
        <v>31.9665</v>
      </c>
      <c r="L243" s="30">
        <v>36.290599999999998</v>
      </c>
      <c r="M243" s="30">
        <v>35.180199999999999</v>
      </c>
      <c r="N243" s="16">
        <v>233.5539</v>
      </c>
      <c r="O243" s="16">
        <f t="shared" si="11"/>
        <v>32.908725000000004</v>
      </c>
      <c r="P243" s="7"/>
      <c r="Q243" s="8">
        <f>bdrate(C243:C246,D243:D246,J243:J246,K243:K246)</f>
        <v>-0.12769001787447865</v>
      </c>
      <c r="R243" s="8">
        <f>bdrate(C243:C246,E243:E246,J243:J246,L243:L246)</f>
        <v>-0.36722207705742516</v>
      </c>
      <c r="S243" s="8">
        <f>bdrate(C243:C246,F243:F246,J243:J246,M243:M246)</f>
        <v>-0.33776926644464766</v>
      </c>
      <c r="T243" s="25">
        <f>bdrate(C243:C246,H243:H246,J243:J246,O243:O246)</f>
        <v>-0.17399662805421989</v>
      </c>
      <c r="U243" s="28">
        <f t="shared" si="9"/>
        <v>1.182134915444268</v>
      </c>
    </row>
    <row r="244" spans="2:21" x14ac:dyDescent="0.25">
      <c r="B244" s="9"/>
      <c r="C244" s="17">
        <v>1019.13</v>
      </c>
      <c r="D244" s="18">
        <v>29.492000000000001</v>
      </c>
      <c r="E244" s="18">
        <v>34.142000000000003</v>
      </c>
      <c r="F244" s="18">
        <v>33.011000000000003</v>
      </c>
      <c r="G244" s="18">
        <v>117.49</v>
      </c>
      <c r="H244" s="18">
        <f t="shared" si="10"/>
        <v>30.513124999999999</v>
      </c>
      <c r="I244" s="5"/>
      <c r="J244" s="31">
        <v>1007.0581</v>
      </c>
      <c r="K244" s="32">
        <v>30.0914</v>
      </c>
      <c r="L244" s="32">
        <v>35.257100000000001</v>
      </c>
      <c r="M244" s="32">
        <v>34.085000000000001</v>
      </c>
      <c r="N244" s="18">
        <v>274.05599999999998</v>
      </c>
      <c r="O244" s="18">
        <f t="shared" si="11"/>
        <v>31.236312500000004</v>
      </c>
      <c r="P244" s="7"/>
      <c r="Q244" s="10"/>
      <c r="R244" s="11"/>
      <c r="S244" s="11"/>
      <c r="T244" s="26"/>
      <c r="U244" s="28">
        <f t="shared" si="9"/>
        <v>1.3325900076602262</v>
      </c>
    </row>
    <row r="245" spans="2:21" x14ac:dyDescent="0.25">
      <c r="B245" s="9"/>
      <c r="C245" s="17">
        <v>606.74</v>
      </c>
      <c r="D245" s="18">
        <v>27.518000000000001</v>
      </c>
      <c r="E245" s="18">
        <v>32.856999999999999</v>
      </c>
      <c r="F245" s="18">
        <v>31.619</v>
      </c>
      <c r="G245" s="18">
        <v>130.53</v>
      </c>
      <c r="H245" s="18">
        <f t="shared" si="10"/>
        <v>28.698</v>
      </c>
      <c r="I245" s="5"/>
      <c r="J245" s="31">
        <v>602.70749999999998</v>
      </c>
      <c r="K245" s="32">
        <v>27.957100000000001</v>
      </c>
      <c r="L245" s="32">
        <v>34.0182</v>
      </c>
      <c r="M245" s="32">
        <v>32.7425</v>
      </c>
      <c r="N245" s="18">
        <v>320.39870000000002</v>
      </c>
      <c r="O245" s="18">
        <f t="shared" si="11"/>
        <v>29.312912500000003</v>
      </c>
      <c r="P245" s="7"/>
      <c r="Q245" s="10"/>
      <c r="R245" s="11"/>
      <c r="S245" s="11"/>
      <c r="T245" s="26"/>
      <c r="U245" s="28">
        <f t="shared" si="9"/>
        <v>1.4545981766643685</v>
      </c>
    </row>
    <row r="246" spans="2:21" ht="16.5" thickBot="1" x14ac:dyDescent="0.3">
      <c r="B246" s="12"/>
      <c r="C246" s="19">
        <v>300.39999999999998</v>
      </c>
      <c r="D246" s="20">
        <v>24.998000000000001</v>
      </c>
      <c r="E246" s="20">
        <v>30.875</v>
      </c>
      <c r="F246" s="20">
        <v>29.581</v>
      </c>
      <c r="G246" s="20">
        <v>148.69</v>
      </c>
      <c r="H246" s="20">
        <f t="shared" si="10"/>
        <v>26.305499999999999</v>
      </c>
      <c r="I246" s="5"/>
      <c r="J246" s="33">
        <v>304.7876</v>
      </c>
      <c r="K246" s="34">
        <v>25.447600000000001</v>
      </c>
      <c r="L246" s="34">
        <v>32.1813</v>
      </c>
      <c r="M246" s="34">
        <v>30.780799999999999</v>
      </c>
      <c r="N246" s="20">
        <v>382.0034</v>
      </c>
      <c r="O246" s="20">
        <f t="shared" si="11"/>
        <v>26.955962500000002</v>
      </c>
      <c r="P246" s="7"/>
      <c r="Q246" s="13"/>
      <c r="R246" s="14"/>
      <c r="S246" s="14"/>
      <c r="T246" s="27"/>
      <c r="U246" s="28">
        <f t="shared" si="9"/>
        <v>1.5691263703006255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-0.25727243946747869</v>
      </c>
      <c r="R247" s="21">
        <f>AVERAGE(R131:R246)</f>
        <v>-0.41983786114126703</v>
      </c>
      <c r="S247" s="21">
        <f>AVERAGE(S131:S246)</f>
        <v>-0.40875955846921874</v>
      </c>
      <c r="T247" s="21">
        <f>AVERAGE(T131:T246)</f>
        <v>-0.28700460661111465</v>
      </c>
      <c r="U247" s="21">
        <f>AVERAGE(U131:U246)</f>
        <v>1.2129417534233153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729" priority="85" operator="greaterThan">
      <formula>0.03</formula>
    </cfRule>
    <cfRule type="cellIs" dxfId="728" priority="86" stopIfTrue="1" operator="lessThan">
      <formula>-0.03</formula>
    </cfRule>
  </conditionalFormatting>
  <conditionalFormatting sqref="Q33:T36">
    <cfRule type="cellIs" dxfId="727" priority="83" operator="greaterThan">
      <formula>0.03</formula>
    </cfRule>
    <cfRule type="cellIs" dxfId="726" priority="84" stopIfTrue="1" operator="lessThan">
      <formula>-0.03</formula>
    </cfRule>
  </conditionalFormatting>
  <conditionalFormatting sqref="Q46:T48 Q62:T64">
    <cfRule type="cellIs" dxfId="725" priority="81" operator="greaterThan">
      <formula>0.03</formula>
    </cfRule>
    <cfRule type="cellIs" dxfId="724" priority="82" stopIfTrue="1" operator="lessThan">
      <formula>-0.03</formula>
    </cfRule>
  </conditionalFormatting>
  <conditionalFormatting sqref="Q50:T52 Q54:T56 Q58:T60">
    <cfRule type="cellIs" dxfId="723" priority="79" operator="greaterThan">
      <formula>0.03</formula>
    </cfRule>
    <cfRule type="cellIs" dxfId="722" priority="80" stopIfTrue="1" operator="lessThan">
      <formula>-0.03</formula>
    </cfRule>
  </conditionalFormatting>
  <conditionalFormatting sqref="Q70:T72 Q74:T76">
    <cfRule type="cellIs" dxfId="721" priority="77" operator="greaterThan">
      <formula>0.03</formula>
    </cfRule>
    <cfRule type="cellIs" dxfId="720" priority="78" stopIfTrue="1" operator="lessThan">
      <formula>-0.03</formula>
    </cfRule>
  </conditionalFormatting>
  <conditionalFormatting sqref="Q66:T68">
    <cfRule type="cellIs" dxfId="719" priority="75" operator="greaterThan">
      <formula>0.03</formula>
    </cfRule>
    <cfRule type="cellIs" dxfId="718" priority="76" stopIfTrue="1" operator="lessThan">
      <formula>-0.03</formula>
    </cfRule>
  </conditionalFormatting>
  <conditionalFormatting sqref="Q78:T80">
    <cfRule type="cellIs" dxfId="717" priority="73" operator="greaterThan">
      <formula>0.03</formula>
    </cfRule>
    <cfRule type="cellIs" dxfId="716" priority="74" stopIfTrue="1" operator="lessThan">
      <formula>-0.03</formula>
    </cfRule>
  </conditionalFormatting>
  <conditionalFormatting sqref="Q21:T28">
    <cfRule type="cellIs" dxfId="715" priority="71" operator="greaterThan">
      <formula>0.03</formula>
    </cfRule>
    <cfRule type="cellIs" dxfId="714" priority="72" stopIfTrue="1" operator="lessThan">
      <formula>-0.03</formula>
    </cfRule>
  </conditionalFormatting>
  <conditionalFormatting sqref="Q151:T154 Q159:T166 Q131:T142">
    <cfRule type="cellIs" dxfId="713" priority="69" operator="greaterThan">
      <formula>0.03</formula>
    </cfRule>
    <cfRule type="cellIs" dxfId="712" priority="70" stopIfTrue="1" operator="lessThan">
      <formula>-0.03</formula>
    </cfRule>
  </conditionalFormatting>
  <conditionalFormatting sqref="Q155:T158">
    <cfRule type="cellIs" dxfId="711" priority="67" operator="greaterThan">
      <formula>0.03</formula>
    </cfRule>
    <cfRule type="cellIs" dxfId="710" priority="68" stopIfTrue="1" operator="lessThan">
      <formula>-0.03</formula>
    </cfRule>
  </conditionalFormatting>
  <conditionalFormatting sqref="Q167:T170 Q183:T186">
    <cfRule type="cellIs" dxfId="709" priority="65" operator="greaterThan">
      <formula>0.03</formula>
    </cfRule>
    <cfRule type="cellIs" dxfId="708" priority="66" stopIfTrue="1" operator="lessThan">
      <formula>-0.03</formula>
    </cfRule>
  </conditionalFormatting>
  <conditionalFormatting sqref="Q171:T182">
    <cfRule type="cellIs" dxfId="707" priority="63" operator="greaterThan">
      <formula>0.03</formula>
    </cfRule>
    <cfRule type="cellIs" dxfId="706" priority="64" stopIfTrue="1" operator="lessThan">
      <formula>-0.03</formula>
    </cfRule>
  </conditionalFormatting>
  <conditionalFormatting sqref="Q191:T198">
    <cfRule type="cellIs" dxfId="705" priority="61" operator="greaterThan">
      <formula>0.03</formula>
    </cfRule>
    <cfRule type="cellIs" dxfId="704" priority="62" stopIfTrue="1" operator="lessThan">
      <formula>-0.03</formula>
    </cfRule>
  </conditionalFormatting>
  <conditionalFormatting sqref="Q187:T190">
    <cfRule type="cellIs" dxfId="703" priority="59" operator="greaterThan">
      <formula>0.03</formula>
    </cfRule>
    <cfRule type="cellIs" dxfId="702" priority="60" stopIfTrue="1" operator="lessThan">
      <formula>-0.03</formula>
    </cfRule>
  </conditionalFormatting>
  <conditionalFormatting sqref="Q199:T202">
    <cfRule type="cellIs" dxfId="701" priority="57" operator="greaterThan">
      <formula>0.03</formula>
    </cfRule>
    <cfRule type="cellIs" dxfId="700" priority="58" stopIfTrue="1" operator="lessThan">
      <formula>-0.03</formula>
    </cfRule>
  </conditionalFormatting>
  <conditionalFormatting sqref="Q143:T150">
    <cfRule type="cellIs" dxfId="699" priority="55" operator="greaterThan">
      <formula>0.03</formula>
    </cfRule>
    <cfRule type="cellIs" dxfId="698" priority="56" stopIfTrue="1" operator="lessThan">
      <formula>-0.03</formula>
    </cfRule>
  </conditionalFormatting>
  <conditionalFormatting sqref="Q45:T45">
    <cfRule type="cellIs" dxfId="697" priority="53" operator="greaterThan">
      <formula>0.03</formula>
    </cfRule>
    <cfRule type="cellIs" dxfId="696" priority="54" stopIfTrue="1" operator="lessThan">
      <formula>-0.03</formula>
    </cfRule>
  </conditionalFormatting>
  <conditionalFormatting sqref="Q49:T49">
    <cfRule type="cellIs" dxfId="695" priority="51" operator="greaterThan">
      <formula>0.03</formula>
    </cfRule>
    <cfRule type="cellIs" dxfId="694" priority="52" stopIfTrue="1" operator="lessThan">
      <formula>-0.03</formula>
    </cfRule>
  </conditionalFormatting>
  <conditionalFormatting sqref="Q53:T53">
    <cfRule type="cellIs" dxfId="693" priority="49" operator="greaterThan">
      <formula>0.03</formula>
    </cfRule>
    <cfRule type="cellIs" dxfId="692" priority="50" stopIfTrue="1" operator="lessThan">
      <formula>-0.03</formula>
    </cfRule>
  </conditionalFormatting>
  <conditionalFormatting sqref="Q57:T57">
    <cfRule type="cellIs" dxfId="691" priority="47" operator="greaterThan">
      <formula>0.03</formula>
    </cfRule>
    <cfRule type="cellIs" dxfId="690" priority="48" stopIfTrue="1" operator="lessThan">
      <formula>-0.03</formula>
    </cfRule>
  </conditionalFormatting>
  <conditionalFormatting sqref="Q61:T61">
    <cfRule type="cellIs" dxfId="689" priority="45" operator="greaterThan">
      <formula>0.03</formula>
    </cfRule>
    <cfRule type="cellIs" dxfId="688" priority="46" stopIfTrue="1" operator="lessThan">
      <formula>-0.03</formula>
    </cfRule>
  </conditionalFormatting>
  <conditionalFormatting sqref="Q65:T65">
    <cfRule type="cellIs" dxfId="687" priority="43" operator="greaterThan">
      <formula>0.03</formula>
    </cfRule>
    <cfRule type="cellIs" dxfId="686" priority="44" stopIfTrue="1" operator="lessThan">
      <formula>-0.03</formula>
    </cfRule>
  </conditionalFormatting>
  <conditionalFormatting sqref="Q69:T69">
    <cfRule type="cellIs" dxfId="685" priority="41" operator="greaterThan">
      <formula>0.03</formula>
    </cfRule>
    <cfRule type="cellIs" dxfId="684" priority="42" stopIfTrue="1" operator="lessThan">
      <formula>-0.03</formula>
    </cfRule>
  </conditionalFormatting>
  <conditionalFormatting sqref="Q73:T73">
    <cfRule type="cellIs" dxfId="683" priority="39" operator="greaterThan">
      <formula>0.03</formula>
    </cfRule>
    <cfRule type="cellIs" dxfId="682" priority="40" stopIfTrue="1" operator="lessThan">
      <formula>-0.03</formula>
    </cfRule>
  </conditionalFormatting>
  <conditionalFormatting sqref="Q77:T77">
    <cfRule type="cellIs" dxfId="681" priority="37" operator="greaterThan">
      <formula>0.03</formula>
    </cfRule>
    <cfRule type="cellIs" dxfId="680" priority="38" stopIfTrue="1" operator="lessThan">
      <formula>-0.03</formula>
    </cfRule>
  </conditionalFormatting>
  <conditionalFormatting sqref="Q117:T117">
    <cfRule type="cellIs" dxfId="679" priority="21" operator="greaterThan">
      <formula>0.03</formula>
    </cfRule>
    <cfRule type="cellIs" dxfId="678" priority="22" stopIfTrue="1" operator="lessThan">
      <formula>-0.03</formula>
    </cfRule>
  </conditionalFormatting>
  <conditionalFormatting sqref="Q93:T96 Q101:T108 Q81:T84">
    <cfRule type="cellIs" dxfId="677" priority="35" operator="greaterThan">
      <formula>0.03</formula>
    </cfRule>
    <cfRule type="cellIs" dxfId="676" priority="36" stopIfTrue="1" operator="lessThan">
      <formula>-0.03</formula>
    </cfRule>
  </conditionalFormatting>
  <conditionalFormatting sqref="Q97:T100">
    <cfRule type="cellIs" dxfId="675" priority="33" operator="greaterThan">
      <formula>0.03</formula>
    </cfRule>
    <cfRule type="cellIs" dxfId="674" priority="34" stopIfTrue="1" operator="lessThan">
      <formula>-0.03</formula>
    </cfRule>
  </conditionalFormatting>
  <conditionalFormatting sqref="Q110:T112 Q122:T124">
    <cfRule type="cellIs" dxfId="673" priority="31" operator="greaterThan">
      <formula>0.03</formula>
    </cfRule>
    <cfRule type="cellIs" dxfId="672" priority="32" stopIfTrue="1" operator="lessThan">
      <formula>-0.03</formula>
    </cfRule>
  </conditionalFormatting>
  <conditionalFormatting sqref="Q114:T116 Q118:T120">
    <cfRule type="cellIs" dxfId="671" priority="29" operator="greaterThan">
      <formula>0.03</formula>
    </cfRule>
    <cfRule type="cellIs" dxfId="670" priority="30" stopIfTrue="1" operator="lessThan">
      <formula>-0.03</formula>
    </cfRule>
  </conditionalFormatting>
  <conditionalFormatting sqref="Q85:T92">
    <cfRule type="cellIs" dxfId="669" priority="27" operator="greaterThan">
      <formula>0.03</formula>
    </cfRule>
    <cfRule type="cellIs" dxfId="668" priority="28" stopIfTrue="1" operator="lessThan">
      <formula>-0.03</formula>
    </cfRule>
  </conditionalFormatting>
  <conditionalFormatting sqref="Q109:T109">
    <cfRule type="cellIs" dxfId="667" priority="25" operator="greaterThan">
      <formula>0.03</formula>
    </cfRule>
    <cfRule type="cellIs" dxfId="666" priority="26" stopIfTrue="1" operator="lessThan">
      <formula>-0.03</formula>
    </cfRule>
  </conditionalFormatting>
  <conditionalFormatting sqref="Q113:T113">
    <cfRule type="cellIs" dxfId="665" priority="23" operator="greaterThan">
      <formula>0.03</formula>
    </cfRule>
    <cfRule type="cellIs" dxfId="664" priority="24" stopIfTrue="1" operator="lessThan">
      <formula>-0.03</formula>
    </cfRule>
  </conditionalFormatting>
  <conditionalFormatting sqref="Q121:T121">
    <cfRule type="cellIs" dxfId="663" priority="19" operator="greaterThan">
      <formula>0.03</formula>
    </cfRule>
    <cfRule type="cellIs" dxfId="662" priority="20" stopIfTrue="1" operator="lessThan">
      <formula>-0.03</formula>
    </cfRule>
  </conditionalFormatting>
  <conditionalFormatting sqref="Q239:T239">
    <cfRule type="cellIs" dxfId="661" priority="3" operator="greaterThan">
      <formula>0.03</formula>
    </cfRule>
    <cfRule type="cellIs" dxfId="660" priority="4" stopIfTrue="1" operator="lessThan">
      <formula>-0.03</formula>
    </cfRule>
  </conditionalFormatting>
  <conditionalFormatting sqref="Q215:T218 Q223:T230 Q203:T206">
    <cfRule type="cellIs" dxfId="659" priority="17" operator="greaterThan">
      <formula>0.03</formula>
    </cfRule>
    <cfRule type="cellIs" dxfId="658" priority="18" stopIfTrue="1" operator="lessThan">
      <formula>-0.03</formula>
    </cfRule>
  </conditionalFormatting>
  <conditionalFormatting sqref="Q219:T222">
    <cfRule type="cellIs" dxfId="657" priority="15" operator="greaterThan">
      <formula>0.03</formula>
    </cfRule>
    <cfRule type="cellIs" dxfId="656" priority="16" stopIfTrue="1" operator="lessThan">
      <formula>-0.03</formula>
    </cfRule>
  </conditionalFormatting>
  <conditionalFormatting sqref="Q232:T234 Q244:T246">
    <cfRule type="cellIs" dxfId="655" priority="13" operator="greaterThan">
      <formula>0.03</formula>
    </cfRule>
    <cfRule type="cellIs" dxfId="654" priority="14" stopIfTrue="1" operator="lessThan">
      <formula>-0.03</formula>
    </cfRule>
  </conditionalFormatting>
  <conditionalFormatting sqref="Q236:T238 Q240:T242">
    <cfRule type="cellIs" dxfId="653" priority="11" operator="greaterThan">
      <formula>0.03</formula>
    </cfRule>
    <cfRule type="cellIs" dxfId="652" priority="12" stopIfTrue="1" operator="lessThan">
      <formula>-0.03</formula>
    </cfRule>
  </conditionalFormatting>
  <conditionalFormatting sqref="Q207:T214">
    <cfRule type="cellIs" dxfId="651" priority="9" operator="greaterThan">
      <formula>0.03</formula>
    </cfRule>
    <cfRule type="cellIs" dxfId="650" priority="10" stopIfTrue="1" operator="lessThan">
      <formula>-0.03</formula>
    </cfRule>
  </conditionalFormatting>
  <conditionalFormatting sqref="Q231:T231">
    <cfRule type="cellIs" dxfId="649" priority="7" operator="greaterThan">
      <formula>0.03</formula>
    </cfRule>
    <cfRule type="cellIs" dxfId="648" priority="8" stopIfTrue="1" operator="lessThan">
      <formula>-0.03</formula>
    </cfRule>
  </conditionalFormatting>
  <conditionalFormatting sqref="Q235:T235">
    <cfRule type="cellIs" dxfId="647" priority="5" operator="greaterThan">
      <formula>0.03</formula>
    </cfRule>
    <cfRule type="cellIs" dxfId="646" priority="6" stopIfTrue="1" operator="lessThan">
      <formula>-0.03</formula>
    </cfRule>
  </conditionalFormatting>
  <conditionalFormatting sqref="Q243:T243">
    <cfRule type="cellIs" dxfId="645" priority="1" operator="greaterThan">
      <formula>0.03</formula>
    </cfRule>
    <cfRule type="cellIs" dxfId="644" priority="2" stopIfTrue="1" operator="lessThan">
      <formula>-0.03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98</v>
      </c>
    </row>
    <row r="2" spans="1:21" x14ac:dyDescent="0.25">
      <c r="A2" t="s">
        <v>86</v>
      </c>
    </row>
    <row r="3" spans="1:21" x14ac:dyDescent="0.25">
      <c r="A3" t="s">
        <v>89</v>
      </c>
    </row>
    <row r="4" spans="1:21" x14ac:dyDescent="0.25">
      <c r="A4" t="s">
        <v>87</v>
      </c>
    </row>
    <row r="5" spans="1:21" s="35" customFormat="1" ht="15.75" customHeight="1" x14ac:dyDescent="0.25">
      <c r="B5" s="58" t="s">
        <v>29</v>
      </c>
      <c r="C5" s="60" t="s">
        <v>192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2"/>
    </row>
    <row r="6" spans="1:21" s="35" customFormat="1" x14ac:dyDescent="0.25">
      <c r="B6" s="59"/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5"/>
    </row>
    <row r="7" spans="1:21" ht="16.5" customHeight="1" thickBot="1" x14ac:dyDescent="0.3">
      <c r="C7" s="66" t="s">
        <v>197</v>
      </c>
      <c r="D7" s="67"/>
      <c r="E7" s="67"/>
      <c r="F7" s="67"/>
      <c r="G7" s="67"/>
      <c r="H7" s="67"/>
      <c r="I7" s="5"/>
      <c r="J7" s="66" t="s">
        <v>142</v>
      </c>
      <c r="K7" s="67"/>
      <c r="L7" s="67"/>
      <c r="M7" s="67"/>
      <c r="N7" s="67"/>
      <c r="O7" s="67"/>
      <c r="Q7" s="66" t="s">
        <v>7</v>
      </c>
      <c r="R7" s="67"/>
      <c r="S7" s="68"/>
      <c r="T7" s="36"/>
      <c r="U7" s="6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9"/>
    </row>
    <row r="9" spans="1:21" x14ac:dyDescent="0.25">
      <c r="A9" s="6" t="s">
        <v>35</v>
      </c>
      <c r="B9" s="6" t="s">
        <v>46</v>
      </c>
      <c r="C9" s="15">
        <v>3717.36</v>
      </c>
      <c r="D9" s="16">
        <v>37.225000000000001</v>
      </c>
      <c r="E9" s="16">
        <v>38.944000000000003</v>
      </c>
      <c r="F9" s="16">
        <v>41.276000000000003</v>
      </c>
      <c r="G9" s="16">
        <v>5.71</v>
      </c>
      <c r="H9" s="16">
        <f t="shared" ref="H9:H80" si="0">(6*D9+E9+F9)/8</f>
        <v>37.946250000000006</v>
      </c>
      <c r="I9" s="5"/>
      <c r="J9" s="15">
        <v>3996.5727999999999</v>
      </c>
      <c r="K9" s="16">
        <v>37.901400000000002</v>
      </c>
      <c r="L9" s="16">
        <v>39.451599999999999</v>
      </c>
      <c r="M9" s="16">
        <v>41.927100000000003</v>
      </c>
      <c r="N9" s="16">
        <v>16.325600000000001</v>
      </c>
      <c r="O9" s="16">
        <f t="shared" ref="O9:O80" si="1">(6*K9+L9+M9)/8</f>
        <v>38.598387500000001</v>
      </c>
      <c r="P9" s="7"/>
      <c r="Q9" s="8">
        <f>bdrate(C9:C12,D9:D12,J9:J12,K9:K12)</f>
        <v>-5.1039168297724702E-2</v>
      </c>
      <c r="R9" s="8">
        <f>bdrate(C9:C12,E9:E12,J9:J12,L9:L12)</f>
        <v>-0.14075943513545319</v>
      </c>
      <c r="S9" s="8">
        <f>bdrate(C9:C12,F9:F12,J9:J12,M9:M12)</f>
        <v>-0.1214016063068184</v>
      </c>
      <c r="T9" s="25">
        <f>bdrate(C9:C12,H9:H12,J9:J12,O9:O12)</f>
        <v>-6.1257813914070258E-2</v>
      </c>
      <c r="U9" s="28">
        <f t="shared" ref="U9:U72" si="2">(N9-G9)/G9</f>
        <v>1.8591243432574431</v>
      </c>
    </row>
    <row r="10" spans="1:21" x14ac:dyDescent="0.25">
      <c r="A10" s="9" t="s">
        <v>36</v>
      </c>
      <c r="B10" s="9"/>
      <c r="C10" s="17">
        <v>2748.38</v>
      </c>
      <c r="D10" s="18">
        <v>36.262</v>
      </c>
      <c r="E10" s="18">
        <v>38.417999999999999</v>
      </c>
      <c r="F10" s="18">
        <v>40.744999999999997</v>
      </c>
      <c r="G10" s="18">
        <v>6.97</v>
      </c>
      <c r="H10" s="18">
        <f t="shared" si="0"/>
        <v>37.091875000000002</v>
      </c>
      <c r="I10" s="5"/>
      <c r="J10" s="17">
        <v>2901.0864000000001</v>
      </c>
      <c r="K10" s="18">
        <v>36.9054</v>
      </c>
      <c r="L10" s="18">
        <v>38.872300000000003</v>
      </c>
      <c r="M10" s="18">
        <v>41.210500000000003</v>
      </c>
      <c r="N10" s="18">
        <v>18.6706</v>
      </c>
      <c r="O10" s="18">
        <f t="shared" si="1"/>
        <v>37.689400000000006</v>
      </c>
      <c r="P10" s="7"/>
      <c r="Q10" s="10"/>
      <c r="R10" s="11"/>
      <c r="S10" s="11"/>
      <c r="T10" s="26"/>
      <c r="U10" s="28">
        <f t="shared" si="2"/>
        <v>1.6787087517934005</v>
      </c>
    </row>
    <row r="11" spans="1:21" x14ac:dyDescent="0.25">
      <c r="B11" s="9"/>
      <c r="C11" s="17">
        <v>1805.5</v>
      </c>
      <c r="D11" s="18">
        <v>34.965000000000003</v>
      </c>
      <c r="E11" s="18">
        <v>37.798000000000002</v>
      </c>
      <c r="F11" s="18">
        <v>40.119</v>
      </c>
      <c r="G11" s="18">
        <v>7.99</v>
      </c>
      <c r="H11" s="18">
        <f t="shared" si="0"/>
        <v>35.963374999999999</v>
      </c>
      <c r="I11" s="5"/>
      <c r="J11" s="17">
        <v>1939.912</v>
      </c>
      <c r="K11" s="18">
        <v>35.383899999999997</v>
      </c>
      <c r="L11" s="18">
        <v>38.226199999999999</v>
      </c>
      <c r="M11" s="18">
        <v>40.5227</v>
      </c>
      <c r="N11" s="18">
        <v>21.904199999999999</v>
      </c>
      <c r="O11" s="18">
        <f t="shared" si="1"/>
        <v>36.3815375</v>
      </c>
      <c r="P11" s="7"/>
      <c r="Q11" s="10"/>
      <c r="R11" s="11"/>
      <c r="S11" s="11"/>
      <c r="T11" s="26"/>
      <c r="U11" s="28">
        <f t="shared" si="2"/>
        <v>1.7414518147684603</v>
      </c>
    </row>
    <row r="12" spans="1:21" ht="16.5" thickBot="1" x14ac:dyDescent="0.3">
      <c r="B12" s="12"/>
      <c r="C12" s="19">
        <v>864.86</v>
      </c>
      <c r="D12" s="20">
        <v>32.267000000000003</v>
      </c>
      <c r="E12" s="20">
        <v>37.020000000000003</v>
      </c>
      <c r="F12" s="20">
        <v>39.277999999999999</v>
      </c>
      <c r="G12" s="20">
        <v>10.02</v>
      </c>
      <c r="H12" s="20">
        <f t="shared" si="0"/>
        <v>33.737500000000004</v>
      </c>
      <c r="I12" s="5"/>
      <c r="J12" s="19">
        <v>923.71199999999999</v>
      </c>
      <c r="K12" s="20">
        <v>32.498100000000001</v>
      </c>
      <c r="L12" s="20">
        <v>36.923999999999999</v>
      </c>
      <c r="M12" s="20">
        <v>39.136800000000001</v>
      </c>
      <c r="N12" s="20">
        <v>28.7026</v>
      </c>
      <c r="O12" s="20">
        <f t="shared" si="1"/>
        <v>33.881175000000006</v>
      </c>
      <c r="P12" s="7"/>
      <c r="Q12" s="13"/>
      <c r="R12" s="14"/>
      <c r="S12" s="14"/>
      <c r="T12" s="27"/>
      <c r="U12" s="28">
        <f t="shared" si="2"/>
        <v>1.8645309381237527</v>
      </c>
    </row>
    <row r="13" spans="1:21" x14ac:dyDescent="0.25">
      <c r="B13" s="6" t="s">
        <v>47</v>
      </c>
      <c r="C13" s="15">
        <v>4096.45</v>
      </c>
      <c r="D13" s="16">
        <v>29.542999999999999</v>
      </c>
      <c r="E13" s="16">
        <v>38.524999999999999</v>
      </c>
      <c r="F13" s="16">
        <v>39.551000000000002</v>
      </c>
      <c r="G13" s="16">
        <v>3.89</v>
      </c>
      <c r="H13" s="16">
        <f t="shared" si="0"/>
        <v>31.91675</v>
      </c>
      <c r="I13" s="5"/>
      <c r="J13" s="15">
        <v>4038.4863999999998</v>
      </c>
      <c r="K13" s="16">
        <v>29.4847</v>
      </c>
      <c r="L13" s="16">
        <v>39.3401</v>
      </c>
      <c r="M13" s="16">
        <v>40.259700000000002</v>
      </c>
      <c r="N13" s="16">
        <v>11.9741</v>
      </c>
      <c r="O13" s="16">
        <f t="shared" si="1"/>
        <v>32.063499999999998</v>
      </c>
      <c r="P13" s="7"/>
      <c r="Q13" s="8">
        <f>bdrate(C13:C16,D13:D16,J13:J16,K13:K16)</f>
        <v>-5.0501789454078128E-2</v>
      </c>
      <c r="R13" s="8">
        <f>bdrate(C13:C16,E13:E16,J13:J16,L13:L16)</f>
        <v>-0.36747358780160566</v>
      </c>
      <c r="S13" s="8">
        <f>bdrate(C13:C16,F13:F16,J13:J16,M13:M16)</f>
        <v>-0.3816965932735199</v>
      </c>
      <c r="T13" s="25">
        <f>bdrate(C13:C16,H13:H16,J13:J16,O13:O16)</f>
        <v>-9.8315901088521174E-2</v>
      </c>
      <c r="U13" s="28">
        <f t="shared" si="2"/>
        <v>2.0781748071979433</v>
      </c>
    </row>
    <row r="14" spans="1:21" x14ac:dyDescent="0.25">
      <c r="B14" s="9"/>
      <c r="C14" s="17">
        <v>3047.54</v>
      </c>
      <c r="D14" s="18">
        <v>28.141999999999999</v>
      </c>
      <c r="E14" s="18">
        <v>38.009</v>
      </c>
      <c r="F14" s="18">
        <v>39.118000000000002</v>
      </c>
      <c r="G14" s="18">
        <v>4.91</v>
      </c>
      <c r="H14" s="18">
        <f t="shared" si="0"/>
        <v>30.747374999999998</v>
      </c>
      <c r="I14" s="5"/>
      <c r="J14" s="17">
        <v>3049.6</v>
      </c>
      <c r="K14" s="18">
        <v>28.211600000000001</v>
      </c>
      <c r="L14" s="18">
        <v>38.883499999999998</v>
      </c>
      <c r="M14" s="18">
        <v>39.850499999999997</v>
      </c>
      <c r="N14" s="18">
        <v>13.915900000000001</v>
      </c>
      <c r="O14" s="18">
        <f t="shared" si="1"/>
        <v>31.000450000000001</v>
      </c>
      <c r="P14" s="7"/>
      <c r="Q14" s="10"/>
      <c r="R14" s="11"/>
      <c r="S14" s="11"/>
      <c r="T14" s="26"/>
      <c r="U14" s="28">
        <f t="shared" si="2"/>
        <v>1.8341955193482689</v>
      </c>
    </row>
    <row r="15" spans="1:21" x14ac:dyDescent="0.25">
      <c r="B15" s="9"/>
      <c r="C15" s="17">
        <v>2022.77</v>
      </c>
      <c r="D15" s="18">
        <v>26.254999999999999</v>
      </c>
      <c r="E15" s="18">
        <v>37.148000000000003</v>
      </c>
      <c r="F15" s="18">
        <v>38.344000000000001</v>
      </c>
      <c r="G15" s="18">
        <v>5.83</v>
      </c>
      <c r="H15" s="18">
        <f t="shared" si="0"/>
        <v>29.127749999999999</v>
      </c>
      <c r="I15" s="5"/>
      <c r="J15" s="17">
        <v>2019.6464000000001</v>
      </c>
      <c r="K15" s="18">
        <v>26.395399999999999</v>
      </c>
      <c r="L15" s="18">
        <v>38.172899999999998</v>
      </c>
      <c r="M15" s="18">
        <v>39.279299999999999</v>
      </c>
      <c r="N15" s="18">
        <v>17.5459</v>
      </c>
      <c r="O15" s="18">
        <f t="shared" si="1"/>
        <v>29.478075</v>
      </c>
      <c r="P15" s="7"/>
      <c r="Q15" s="10"/>
      <c r="R15" s="11"/>
      <c r="S15" s="11"/>
      <c r="T15" s="26"/>
      <c r="U15" s="28">
        <f t="shared" si="2"/>
        <v>2.0095883361921096</v>
      </c>
    </row>
    <row r="16" spans="1:21" ht="16.5" thickBot="1" x14ac:dyDescent="0.3">
      <c r="B16" s="12"/>
      <c r="C16" s="19">
        <v>1093.94</v>
      </c>
      <c r="D16" s="20">
        <v>22.934000000000001</v>
      </c>
      <c r="E16" s="20">
        <v>35.570999999999998</v>
      </c>
      <c r="F16" s="20">
        <v>36.929000000000002</v>
      </c>
      <c r="G16" s="20">
        <v>7.47</v>
      </c>
      <c r="H16" s="20">
        <f t="shared" si="0"/>
        <v>26.263000000000002</v>
      </c>
      <c r="I16" s="5"/>
      <c r="J16" s="19">
        <v>1103.0527999999999</v>
      </c>
      <c r="K16" s="20">
        <v>24.1691</v>
      </c>
      <c r="L16" s="20">
        <v>36.587000000000003</v>
      </c>
      <c r="M16" s="20">
        <v>37.904800000000002</v>
      </c>
      <c r="N16" s="20">
        <v>22.946300000000001</v>
      </c>
      <c r="O16" s="20">
        <f t="shared" si="1"/>
        <v>27.438300000000002</v>
      </c>
      <c r="P16" s="7"/>
      <c r="Q16" s="13"/>
      <c r="R16" s="14"/>
      <c r="S16" s="14"/>
      <c r="T16" s="27"/>
      <c r="U16" s="28">
        <f t="shared" si="2"/>
        <v>2.0717938420348063</v>
      </c>
    </row>
    <row r="17" spans="1:21" x14ac:dyDescent="0.25">
      <c r="A17" s="6" t="s">
        <v>37</v>
      </c>
      <c r="B17" s="6" t="s">
        <v>48</v>
      </c>
      <c r="C17" s="15">
        <v>2010.04</v>
      </c>
      <c r="D17" s="16">
        <v>38.831000000000003</v>
      </c>
      <c r="E17" s="16">
        <v>41.503</v>
      </c>
      <c r="F17" s="16">
        <v>42.771999999999998</v>
      </c>
      <c r="G17" s="16">
        <v>8.11</v>
      </c>
      <c r="H17" s="16">
        <f t="shared" si="0"/>
        <v>39.657625000000003</v>
      </c>
      <c r="I17" s="5"/>
      <c r="J17" s="15">
        <v>2398.7352000000001</v>
      </c>
      <c r="K17" s="16">
        <v>39.0854</v>
      </c>
      <c r="L17" s="16">
        <v>41.890799999999999</v>
      </c>
      <c r="M17" s="16">
        <v>43.240099999999998</v>
      </c>
      <c r="N17" s="16">
        <v>31.463000000000001</v>
      </c>
      <c r="O17" s="16">
        <f t="shared" si="1"/>
        <v>39.955412500000001</v>
      </c>
      <c r="P17" s="7"/>
      <c r="Q17" s="8">
        <f>bdrate(C17:C20,D17:D20,J17:J20,K17:K20)</f>
        <v>5.4347290663102621E-2</v>
      </c>
      <c r="R17" s="8">
        <f>bdrate(C17:C20,E17:E20,J17:J20,L17:L20)</f>
        <v>-0.13774306652383372</v>
      </c>
      <c r="S17" s="8">
        <f>bdrate(C17:C20,F17:F20,J17:J20,M17:M20)</f>
        <v>-0.11977332233736016</v>
      </c>
      <c r="T17" s="25">
        <f>bdrate(C17:C20,H17:H20,J17:J20,O17:O20)</f>
        <v>2.5847465332671904E-2</v>
      </c>
      <c r="U17" s="28">
        <f t="shared" si="2"/>
        <v>2.8795314426633789</v>
      </c>
    </row>
    <row r="18" spans="1:21" x14ac:dyDescent="0.25">
      <c r="A18" s="9" t="s">
        <v>38</v>
      </c>
      <c r="B18" s="9"/>
      <c r="C18" s="17">
        <v>1318.77</v>
      </c>
      <c r="D18" s="18">
        <v>37.509</v>
      </c>
      <c r="E18" s="18">
        <v>40.694000000000003</v>
      </c>
      <c r="F18" s="18">
        <v>41.915999999999997</v>
      </c>
      <c r="G18" s="18">
        <v>8.5</v>
      </c>
      <c r="H18" s="18">
        <f t="shared" si="0"/>
        <v>38.457999999999998</v>
      </c>
      <c r="I18" s="5"/>
      <c r="J18" s="17">
        <v>1570.4015999999999</v>
      </c>
      <c r="K18" s="18">
        <v>37.851999999999997</v>
      </c>
      <c r="L18" s="18">
        <v>41.205300000000001</v>
      </c>
      <c r="M18" s="18">
        <v>42.441699999999997</v>
      </c>
      <c r="N18" s="18">
        <v>35.613599999999998</v>
      </c>
      <c r="O18" s="18">
        <f t="shared" si="1"/>
        <v>38.844875000000002</v>
      </c>
      <c r="P18" s="7"/>
      <c r="Q18" s="10"/>
      <c r="R18" s="11"/>
      <c r="S18" s="11"/>
      <c r="T18" s="26"/>
      <c r="U18" s="28">
        <f t="shared" si="2"/>
        <v>3.1898352941176467</v>
      </c>
    </row>
    <row r="19" spans="1:21" x14ac:dyDescent="0.25">
      <c r="B19" s="9"/>
      <c r="C19" s="17">
        <v>816.8</v>
      </c>
      <c r="D19" s="18">
        <v>35.881999999999998</v>
      </c>
      <c r="E19" s="18">
        <v>39.875999999999998</v>
      </c>
      <c r="F19" s="18">
        <v>41.125999999999998</v>
      </c>
      <c r="G19" s="18">
        <v>11.23</v>
      </c>
      <c r="H19" s="18">
        <f t="shared" si="0"/>
        <v>37.036749999999998</v>
      </c>
      <c r="I19" s="5"/>
      <c r="J19" s="17">
        <v>962.68719999999996</v>
      </c>
      <c r="K19" s="18">
        <v>36.287700000000001</v>
      </c>
      <c r="L19" s="18">
        <v>40.410200000000003</v>
      </c>
      <c r="M19" s="18">
        <v>41.594700000000003</v>
      </c>
      <c r="N19" s="18">
        <v>41.804600000000001</v>
      </c>
      <c r="O19" s="18">
        <f t="shared" si="1"/>
        <v>37.466387499999996</v>
      </c>
      <c r="P19" s="7"/>
      <c r="Q19" s="10"/>
      <c r="R19" s="11"/>
      <c r="S19" s="11"/>
      <c r="T19" s="26"/>
      <c r="U19" s="28">
        <f t="shared" si="2"/>
        <v>2.7225823686553872</v>
      </c>
    </row>
    <row r="20" spans="1:21" ht="16.5" thickBot="1" x14ac:dyDescent="0.3">
      <c r="B20" s="12"/>
      <c r="C20" s="19">
        <v>485</v>
      </c>
      <c r="D20" s="20">
        <v>34.055</v>
      </c>
      <c r="E20" s="20">
        <v>39.045999999999999</v>
      </c>
      <c r="F20" s="20">
        <v>40.488</v>
      </c>
      <c r="G20" s="20">
        <v>13.76</v>
      </c>
      <c r="H20" s="20">
        <f t="shared" si="0"/>
        <v>35.482999999999997</v>
      </c>
      <c r="I20" s="5"/>
      <c r="J20" s="19">
        <v>554.31679999999994</v>
      </c>
      <c r="K20" s="20">
        <v>34.429200000000002</v>
      </c>
      <c r="L20" s="20">
        <v>39.6511</v>
      </c>
      <c r="M20" s="20">
        <v>40.857799999999997</v>
      </c>
      <c r="N20" s="20">
        <v>50.611600000000003</v>
      </c>
      <c r="O20" s="20">
        <f t="shared" si="1"/>
        <v>35.885512499999997</v>
      </c>
      <c r="P20" s="7"/>
      <c r="Q20" s="13"/>
      <c r="R20" s="14"/>
      <c r="S20" s="14"/>
      <c r="T20" s="27"/>
      <c r="U20" s="28">
        <f t="shared" si="2"/>
        <v>2.6781686046511632</v>
      </c>
    </row>
    <row r="21" spans="1:21" x14ac:dyDescent="0.25">
      <c r="B21" s="6" t="s">
        <v>49</v>
      </c>
      <c r="C21" s="15">
        <v>2273.81</v>
      </c>
      <c r="D21" s="16">
        <v>35.677999999999997</v>
      </c>
      <c r="E21" s="16">
        <v>39.305999999999997</v>
      </c>
      <c r="F21" s="16">
        <v>40.378999999999998</v>
      </c>
      <c r="G21" s="16">
        <v>11.75</v>
      </c>
      <c r="H21" s="16">
        <f t="shared" si="0"/>
        <v>36.719124999999998</v>
      </c>
      <c r="I21" s="5"/>
      <c r="J21" s="15">
        <v>2445.0632000000001</v>
      </c>
      <c r="K21" s="16">
        <v>36.016599999999997</v>
      </c>
      <c r="L21" s="16">
        <v>39.927999999999997</v>
      </c>
      <c r="M21" s="16">
        <v>41.136699999999998</v>
      </c>
      <c r="N21" s="16">
        <v>28.436</v>
      </c>
      <c r="O21" s="16">
        <f t="shared" si="1"/>
        <v>37.145537500000003</v>
      </c>
      <c r="P21" s="7"/>
      <c r="Q21" s="8">
        <f>bdrate(C21:C24,D21:D24,J21:J24,K21:K24)</f>
        <v>-2.4776634476579407E-2</v>
      </c>
      <c r="R21" s="8">
        <f>bdrate(C21:C24,E21:E24,J21:J24,L21:L24)</f>
        <v>-0.25919322663010647</v>
      </c>
      <c r="S21" s="8">
        <f>bdrate(C21:C24,F21:F24,J21:J24,M21:M24)</f>
        <v>-0.27307880249270344</v>
      </c>
      <c r="T21" s="25">
        <f>bdrate(C21:C24,H21:H24,J21:J24,O21:O24)</f>
        <v>-6.6883590892731437E-2</v>
      </c>
      <c r="U21" s="28">
        <f t="shared" si="2"/>
        <v>1.4200851063829787</v>
      </c>
    </row>
    <row r="22" spans="1:21" x14ac:dyDescent="0.25">
      <c r="B22" s="9"/>
      <c r="C22" s="17">
        <v>1511.14</v>
      </c>
      <c r="D22" s="18">
        <v>34.414000000000001</v>
      </c>
      <c r="E22" s="18">
        <v>38.445999999999998</v>
      </c>
      <c r="F22" s="18">
        <v>39.673999999999999</v>
      </c>
      <c r="G22" s="18">
        <v>13.84</v>
      </c>
      <c r="H22" s="18">
        <f t="shared" si="0"/>
        <v>35.575499999999998</v>
      </c>
      <c r="I22" s="5"/>
      <c r="J22" s="17">
        <v>1633.9007999999999</v>
      </c>
      <c r="K22" s="18">
        <v>34.7547</v>
      </c>
      <c r="L22" s="18">
        <v>39.174199999999999</v>
      </c>
      <c r="M22" s="18">
        <v>40.3752</v>
      </c>
      <c r="N22" s="18">
        <v>34.266100000000002</v>
      </c>
      <c r="O22" s="18">
        <f t="shared" si="1"/>
        <v>36.009700000000002</v>
      </c>
      <c r="P22" s="7"/>
      <c r="Q22" s="10"/>
      <c r="R22" s="11"/>
      <c r="S22" s="11"/>
      <c r="T22" s="26"/>
      <c r="U22" s="28">
        <f t="shared" si="2"/>
        <v>1.4758742774566476</v>
      </c>
    </row>
    <row r="23" spans="1:21" x14ac:dyDescent="0.25">
      <c r="B23" s="9"/>
      <c r="C23" s="17">
        <v>935.64</v>
      </c>
      <c r="D23" s="18">
        <v>32.972999999999999</v>
      </c>
      <c r="E23" s="18">
        <v>37.509</v>
      </c>
      <c r="F23" s="18">
        <v>38.987000000000002</v>
      </c>
      <c r="G23" s="18">
        <v>15.16</v>
      </c>
      <c r="H23" s="18">
        <f t="shared" si="0"/>
        <v>34.29175</v>
      </c>
      <c r="I23" s="5"/>
      <c r="J23" s="17">
        <v>1002.3504</v>
      </c>
      <c r="K23" s="18">
        <v>33.235900000000001</v>
      </c>
      <c r="L23" s="18">
        <v>38.2121</v>
      </c>
      <c r="M23" s="18">
        <v>39.522199999999998</v>
      </c>
      <c r="N23" s="18">
        <v>41.357900000000001</v>
      </c>
      <c r="O23" s="18">
        <f t="shared" si="1"/>
        <v>34.643712499999999</v>
      </c>
      <c r="P23" s="7"/>
      <c r="Q23" s="10"/>
      <c r="R23" s="11"/>
      <c r="S23" s="11"/>
      <c r="T23" s="26"/>
      <c r="U23" s="28">
        <f t="shared" si="2"/>
        <v>1.7280936675461742</v>
      </c>
    </row>
    <row r="24" spans="1:21" ht="16.5" thickBot="1" x14ac:dyDescent="0.3">
      <c r="B24" s="12"/>
      <c r="C24" s="19">
        <v>554.62</v>
      </c>
      <c r="D24" s="20">
        <v>31.388000000000002</v>
      </c>
      <c r="E24" s="20">
        <v>36.658999999999999</v>
      </c>
      <c r="F24" s="20">
        <v>38.473999999999997</v>
      </c>
      <c r="G24" s="20">
        <v>16.489999999999998</v>
      </c>
      <c r="H24" s="20">
        <f t="shared" si="0"/>
        <v>32.932625000000002</v>
      </c>
      <c r="I24" s="5"/>
      <c r="J24" s="19">
        <v>588.62480000000005</v>
      </c>
      <c r="K24" s="20">
        <v>31.6374</v>
      </c>
      <c r="L24" s="20">
        <v>37.3065</v>
      </c>
      <c r="M24" s="20">
        <v>38.7986</v>
      </c>
      <c r="N24" s="20">
        <v>48.377299999999998</v>
      </c>
      <c r="O24" s="20">
        <f t="shared" si="1"/>
        <v>33.241187500000002</v>
      </c>
      <c r="P24" s="7"/>
      <c r="Q24" s="13"/>
      <c r="R24" s="14"/>
      <c r="S24" s="14"/>
      <c r="T24" s="27"/>
      <c r="U24" s="28">
        <f t="shared" si="2"/>
        <v>1.9337355973317163</v>
      </c>
    </row>
    <row r="25" spans="1:21" x14ac:dyDescent="0.25">
      <c r="B25" s="6" t="s">
        <v>50</v>
      </c>
      <c r="C25" s="15">
        <v>2362.85</v>
      </c>
      <c r="D25" s="16">
        <v>33.706000000000003</v>
      </c>
      <c r="E25" s="16">
        <v>37.762</v>
      </c>
      <c r="F25" s="16">
        <v>39.369999999999997</v>
      </c>
      <c r="G25" s="16">
        <v>13.67</v>
      </c>
      <c r="H25" s="16">
        <f t="shared" si="0"/>
        <v>34.920999999999999</v>
      </c>
      <c r="I25" s="5"/>
      <c r="J25" s="15">
        <v>2409.2815999999998</v>
      </c>
      <c r="K25" s="16">
        <v>34.112499999999997</v>
      </c>
      <c r="L25" s="16">
        <v>38.1098</v>
      </c>
      <c r="M25" s="16">
        <v>40.109099999999998</v>
      </c>
      <c r="N25" s="16">
        <v>39.815300000000001</v>
      </c>
      <c r="O25" s="16">
        <f t="shared" si="1"/>
        <v>35.361737499999997</v>
      </c>
      <c r="P25" s="7"/>
      <c r="Q25" s="8">
        <f>bdrate(C25:C28,D25:D28,J25:J28,K25:K28)</f>
        <v>-6.4639317552402153E-2</v>
      </c>
      <c r="R25" s="8">
        <f>bdrate(C25:C28,E25:E28,J25:J28,L25:L28)</f>
        <v>-0.23029256156517242</v>
      </c>
      <c r="S25" s="8">
        <f>bdrate(C25:C28,F25:F28,J25:J28,M25:M28)</f>
        <v>-0.24944384892722837</v>
      </c>
      <c r="T25" s="25">
        <f>bdrate(C25:C28,H25:H28,J25:J28,O25:O28)</f>
        <v>-9.392935014147108E-2</v>
      </c>
      <c r="U25" s="28">
        <f t="shared" si="2"/>
        <v>1.9126042428675931</v>
      </c>
    </row>
    <row r="26" spans="1:21" x14ac:dyDescent="0.25">
      <c r="B26" s="9"/>
      <c r="C26" s="17">
        <v>1566.94</v>
      </c>
      <c r="D26" s="18">
        <v>32.542999999999999</v>
      </c>
      <c r="E26" s="18">
        <v>37.311999999999998</v>
      </c>
      <c r="F26" s="18">
        <v>38.624000000000002</v>
      </c>
      <c r="G26" s="18">
        <v>14.79</v>
      </c>
      <c r="H26" s="18">
        <f t="shared" si="0"/>
        <v>33.899250000000002</v>
      </c>
      <c r="I26" s="5"/>
      <c r="J26" s="17">
        <v>1604.2439999999999</v>
      </c>
      <c r="K26" s="18">
        <v>32.917400000000001</v>
      </c>
      <c r="L26" s="18">
        <v>37.667900000000003</v>
      </c>
      <c r="M26" s="18">
        <v>39.304099999999998</v>
      </c>
      <c r="N26" s="18">
        <v>46.856000000000002</v>
      </c>
      <c r="O26" s="18">
        <f t="shared" si="1"/>
        <v>34.309550000000002</v>
      </c>
      <c r="P26" s="7"/>
      <c r="Q26" s="10"/>
      <c r="R26" s="11"/>
      <c r="S26" s="11"/>
      <c r="T26" s="26"/>
      <c r="U26" s="28">
        <f t="shared" si="2"/>
        <v>2.1680865449628128</v>
      </c>
    </row>
    <row r="27" spans="1:21" x14ac:dyDescent="0.25">
      <c r="B27" s="9"/>
      <c r="C27" s="17">
        <v>968.18</v>
      </c>
      <c r="D27" s="18">
        <v>31.097000000000001</v>
      </c>
      <c r="E27" s="18">
        <v>36.777000000000001</v>
      </c>
      <c r="F27" s="18">
        <v>37.735999999999997</v>
      </c>
      <c r="G27" s="18">
        <v>16.16</v>
      </c>
      <c r="H27" s="18">
        <f t="shared" si="0"/>
        <v>32.636874999999996</v>
      </c>
      <c r="I27" s="5"/>
      <c r="J27" s="17">
        <v>998.58320000000003</v>
      </c>
      <c r="K27" s="18">
        <v>31.3521</v>
      </c>
      <c r="L27" s="18">
        <v>37.094000000000001</v>
      </c>
      <c r="M27" s="18">
        <v>38.303899999999999</v>
      </c>
      <c r="N27" s="18">
        <v>55.834699999999998</v>
      </c>
      <c r="O27" s="18">
        <f t="shared" si="1"/>
        <v>32.938812499999997</v>
      </c>
      <c r="P27" s="7"/>
      <c r="Q27" s="10"/>
      <c r="R27" s="11"/>
      <c r="S27" s="11"/>
      <c r="T27" s="26"/>
      <c r="U27" s="28">
        <f t="shared" si="2"/>
        <v>2.4551175742574256</v>
      </c>
    </row>
    <row r="28" spans="1:21" ht="16.5" thickBot="1" x14ac:dyDescent="0.3">
      <c r="B28" s="12"/>
      <c r="C28" s="19">
        <v>571.26</v>
      </c>
      <c r="D28" s="20">
        <v>29.448</v>
      </c>
      <c r="E28" s="20">
        <v>35.972000000000001</v>
      </c>
      <c r="F28" s="20">
        <v>36.451999999999998</v>
      </c>
      <c r="G28" s="20">
        <v>18.75</v>
      </c>
      <c r="H28" s="20">
        <f t="shared" si="0"/>
        <v>31.138999999999999</v>
      </c>
      <c r="I28" s="5"/>
      <c r="J28" s="19">
        <v>583.20000000000005</v>
      </c>
      <c r="K28" s="20">
        <v>29.580400000000001</v>
      </c>
      <c r="L28" s="20">
        <v>36.449599999999997</v>
      </c>
      <c r="M28" s="20">
        <v>37.235300000000002</v>
      </c>
      <c r="N28" s="20">
        <v>67.195300000000003</v>
      </c>
      <c r="O28" s="20">
        <f t="shared" si="1"/>
        <v>31.395912500000001</v>
      </c>
      <c r="P28" s="7"/>
      <c r="Q28" s="13"/>
      <c r="R28" s="14"/>
      <c r="S28" s="14"/>
      <c r="T28" s="27"/>
      <c r="U28" s="28">
        <f t="shared" si="2"/>
        <v>2.5837493333333335</v>
      </c>
    </row>
    <row r="29" spans="1:21" x14ac:dyDescent="0.25">
      <c r="B29" s="6" t="s">
        <v>51</v>
      </c>
      <c r="C29" s="29">
        <v>2403.0300000000002</v>
      </c>
      <c r="D29" s="30">
        <v>34.073</v>
      </c>
      <c r="E29" s="30">
        <v>39.878999999999998</v>
      </c>
      <c r="F29" s="30">
        <v>39.378999999999998</v>
      </c>
      <c r="G29" s="16">
        <v>11.79</v>
      </c>
      <c r="H29" s="16">
        <f t="shared" si="0"/>
        <v>35.461999999999996</v>
      </c>
      <c r="I29" s="5"/>
      <c r="J29" s="29">
        <v>2415.4128000000001</v>
      </c>
      <c r="K29" s="30">
        <v>34.057600000000001</v>
      </c>
      <c r="L29" s="30">
        <v>40.283999999999999</v>
      </c>
      <c r="M29" s="30">
        <v>39.888100000000001</v>
      </c>
      <c r="N29" s="16">
        <v>35.144399999999997</v>
      </c>
      <c r="O29" s="16">
        <f t="shared" si="1"/>
        <v>35.564712499999999</v>
      </c>
      <c r="P29" s="7"/>
      <c r="Q29" s="8">
        <f>bdrate(C29:C32,D29:D32,J29:J32,K29:K32)</f>
        <v>2.4828561626420331E-2</v>
      </c>
      <c r="R29" s="8">
        <f>bdrate(C29:C32,E29:E32,J29:J32,L29:L32)</f>
        <v>-0.10782933898210789</v>
      </c>
      <c r="S29" s="8">
        <f>bdrate(C29:C32,F29:F32,J29:J32,M29:M32)</f>
        <v>-0.20471137756893942</v>
      </c>
      <c r="T29" s="25">
        <f>bdrate(C29:C32,H29:H32,J29:J32,O29:O32)</f>
        <v>-1.3771852852264788E-2</v>
      </c>
      <c r="U29" s="28">
        <f t="shared" si="2"/>
        <v>1.9808651399491095</v>
      </c>
    </row>
    <row r="30" spans="1:21" x14ac:dyDescent="0.25">
      <c r="B30" s="9"/>
      <c r="C30" s="31">
        <v>1594.13</v>
      </c>
      <c r="D30" s="32">
        <v>32.71</v>
      </c>
      <c r="E30" s="32">
        <v>39.145000000000003</v>
      </c>
      <c r="F30" s="32">
        <v>38.326999999999998</v>
      </c>
      <c r="G30" s="18">
        <v>13.38</v>
      </c>
      <c r="H30" s="18">
        <f t="shared" si="0"/>
        <v>34.216499999999996</v>
      </c>
      <c r="I30" s="5"/>
      <c r="J30" s="31">
        <v>1606.9232</v>
      </c>
      <c r="K30" s="32">
        <v>32.689599999999999</v>
      </c>
      <c r="L30" s="32">
        <v>39.553199999999997</v>
      </c>
      <c r="M30" s="32">
        <v>38.9621</v>
      </c>
      <c r="N30" s="18">
        <v>41.3018</v>
      </c>
      <c r="O30" s="18">
        <f t="shared" si="1"/>
        <v>34.331612499999999</v>
      </c>
      <c r="P30" s="7"/>
      <c r="Q30" s="10"/>
      <c r="R30" s="11"/>
      <c r="S30" s="11"/>
      <c r="T30" s="26"/>
      <c r="U30" s="28">
        <f t="shared" si="2"/>
        <v>2.0868310911808665</v>
      </c>
    </row>
    <row r="31" spans="1:21" x14ac:dyDescent="0.25">
      <c r="B31" s="9"/>
      <c r="C31" s="31">
        <v>994.84</v>
      </c>
      <c r="D31" s="32">
        <v>31.068000000000001</v>
      </c>
      <c r="E31" s="32">
        <v>38.308999999999997</v>
      </c>
      <c r="F31" s="32">
        <v>37.084000000000003</v>
      </c>
      <c r="G31" s="18">
        <v>15.07</v>
      </c>
      <c r="H31" s="18">
        <f t="shared" si="0"/>
        <v>32.725125000000006</v>
      </c>
      <c r="I31" s="5"/>
      <c r="J31" s="31">
        <v>1001.5096</v>
      </c>
      <c r="K31" s="32">
        <v>30.976299999999998</v>
      </c>
      <c r="L31" s="32">
        <v>38.557899999999997</v>
      </c>
      <c r="M31" s="32">
        <v>37.757399999999997</v>
      </c>
      <c r="N31" s="18">
        <v>49.845500000000001</v>
      </c>
      <c r="O31" s="18">
        <f t="shared" si="1"/>
        <v>32.771637499999997</v>
      </c>
      <c r="P31" s="7"/>
      <c r="Q31" s="10"/>
      <c r="R31" s="11"/>
      <c r="S31" s="11"/>
      <c r="T31" s="26"/>
      <c r="U31" s="28">
        <f t="shared" si="2"/>
        <v>2.3075978765759788</v>
      </c>
    </row>
    <row r="32" spans="1:21" ht="16.5" thickBot="1" x14ac:dyDescent="0.3">
      <c r="B32" s="12"/>
      <c r="C32" s="33">
        <v>589.74</v>
      </c>
      <c r="D32" s="34">
        <v>29.228999999999999</v>
      </c>
      <c r="E32" s="34">
        <v>37.070999999999998</v>
      </c>
      <c r="F32" s="34">
        <v>35.442999999999998</v>
      </c>
      <c r="G32" s="20">
        <v>16.07</v>
      </c>
      <c r="H32" s="20">
        <f t="shared" si="0"/>
        <v>30.985999999999997</v>
      </c>
      <c r="I32" s="5"/>
      <c r="J32" s="33">
        <v>589.35040000000004</v>
      </c>
      <c r="K32" s="34">
        <v>29.0975</v>
      </c>
      <c r="L32" s="34">
        <v>36.967700000000001</v>
      </c>
      <c r="M32" s="34">
        <v>36.061100000000003</v>
      </c>
      <c r="N32" s="20">
        <v>60.357300000000002</v>
      </c>
      <c r="O32" s="20">
        <f t="shared" si="1"/>
        <v>30.951725000000003</v>
      </c>
      <c r="P32" s="7"/>
      <c r="Q32" s="13"/>
      <c r="R32" s="14"/>
      <c r="S32" s="14"/>
      <c r="T32" s="27"/>
      <c r="U32" s="28">
        <f t="shared" si="2"/>
        <v>2.7558991910392034</v>
      </c>
    </row>
    <row r="33" spans="1:21" x14ac:dyDescent="0.25">
      <c r="B33" s="6" t="s">
        <v>52</v>
      </c>
      <c r="C33" s="15">
        <v>2383.5</v>
      </c>
      <c r="D33" s="16">
        <v>33.286000000000001</v>
      </c>
      <c r="E33" s="16">
        <v>39.253999999999998</v>
      </c>
      <c r="F33" s="16">
        <v>41.875</v>
      </c>
      <c r="G33" s="16">
        <v>17.12</v>
      </c>
      <c r="H33" s="16">
        <f t="shared" si="0"/>
        <v>35.105625000000003</v>
      </c>
      <c r="I33" s="5"/>
      <c r="J33" s="15">
        <v>2429.7280000000001</v>
      </c>
      <c r="K33" s="16">
        <v>33.611699999999999</v>
      </c>
      <c r="L33" s="16">
        <v>39.757100000000001</v>
      </c>
      <c r="M33" s="16">
        <v>42.173099999999998</v>
      </c>
      <c r="N33" s="16">
        <v>43.706299999999999</v>
      </c>
      <c r="O33" s="16">
        <f t="shared" si="1"/>
        <v>35.450049999999997</v>
      </c>
      <c r="P33" s="7"/>
      <c r="Q33" s="8">
        <f>bdrate(C33:C36,D33:D36,J33:J36,K33:K36)</f>
        <v>-0.10533875552573513</v>
      </c>
      <c r="R33" s="8">
        <f>bdrate(C33:C36,E33:E36,J33:J36,L33:L36)</f>
        <v>-0.22295259788211341</v>
      </c>
      <c r="S33" s="8">
        <f>bdrate(C33:C36,F33:F36,J33:J36,M33:M36)</f>
        <v>-5.0345425152804602E-2</v>
      </c>
      <c r="T33" s="25">
        <f>bdrate(C33:C36,H33:H36,J33:J36,O33:O36)</f>
        <v>-0.11165362730703443</v>
      </c>
      <c r="U33" s="28">
        <f t="shared" si="2"/>
        <v>1.5529380841121494</v>
      </c>
    </row>
    <row r="34" spans="1:21" x14ac:dyDescent="0.25">
      <c r="B34" s="9"/>
      <c r="C34" s="17">
        <v>1563.08</v>
      </c>
      <c r="D34" s="18">
        <v>32.578000000000003</v>
      </c>
      <c r="E34" s="18">
        <v>38.835999999999999</v>
      </c>
      <c r="F34" s="18">
        <v>41.506</v>
      </c>
      <c r="G34" s="18">
        <v>19.440000000000001</v>
      </c>
      <c r="H34" s="18">
        <f t="shared" si="0"/>
        <v>34.476250000000007</v>
      </c>
      <c r="I34" s="5"/>
      <c r="J34" s="17">
        <v>1595.5047999999999</v>
      </c>
      <c r="K34" s="18">
        <v>32.892299999999999</v>
      </c>
      <c r="L34" s="18">
        <v>39.291800000000002</v>
      </c>
      <c r="M34" s="18">
        <v>41.758000000000003</v>
      </c>
      <c r="N34" s="18">
        <v>50.675699999999999</v>
      </c>
      <c r="O34" s="18">
        <f t="shared" si="1"/>
        <v>34.800449999999998</v>
      </c>
      <c r="P34" s="7"/>
      <c r="Q34" s="10"/>
      <c r="R34" s="11"/>
      <c r="S34" s="11"/>
      <c r="T34" s="26"/>
      <c r="U34" s="28">
        <f t="shared" si="2"/>
        <v>1.6067746913580245</v>
      </c>
    </row>
    <row r="35" spans="1:21" x14ac:dyDescent="0.25">
      <c r="B35" s="9"/>
      <c r="C35" s="17">
        <v>939.05</v>
      </c>
      <c r="D35" s="18">
        <v>31.451000000000001</v>
      </c>
      <c r="E35" s="18">
        <v>38.344999999999999</v>
      </c>
      <c r="F35" s="18">
        <v>41.081000000000003</v>
      </c>
      <c r="G35" s="18">
        <v>21.97</v>
      </c>
      <c r="H35" s="18">
        <f t="shared" si="0"/>
        <v>33.516500000000001</v>
      </c>
      <c r="I35" s="5"/>
      <c r="J35" s="17">
        <v>1021.936</v>
      </c>
      <c r="K35" s="18">
        <v>31.87</v>
      </c>
      <c r="L35" s="18">
        <v>38.626899999999999</v>
      </c>
      <c r="M35" s="18">
        <v>41.106499999999997</v>
      </c>
      <c r="N35" s="18">
        <v>57.926200000000001</v>
      </c>
      <c r="O35" s="18">
        <f t="shared" si="1"/>
        <v>33.869174999999998</v>
      </c>
      <c r="P35" s="7"/>
      <c r="Q35" s="10"/>
      <c r="R35" s="11"/>
      <c r="S35" s="11"/>
      <c r="T35" s="26"/>
      <c r="U35" s="28">
        <f t="shared" si="2"/>
        <v>1.6366044606281294</v>
      </c>
    </row>
    <row r="36" spans="1:21" ht="16.5" thickBot="1" x14ac:dyDescent="0.3">
      <c r="B36" s="12"/>
      <c r="C36" s="19">
        <v>501.68</v>
      </c>
      <c r="D36" s="20">
        <v>29.213999999999999</v>
      </c>
      <c r="E36" s="20">
        <v>37.521999999999998</v>
      </c>
      <c r="F36" s="20">
        <v>40.509</v>
      </c>
      <c r="G36" s="20">
        <v>24.83</v>
      </c>
      <c r="H36" s="20">
        <f t="shared" si="0"/>
        <v>31.664375</v>
      </c>
      <c r="I36" s="5"/>
      <c r="J36" s="19">
        <v>599.37840000000006</v>
      </c>
      <c r="K36" s="20">
        <v>30.441500000000001</v>
      </c>
      <c r="L36" s="20">
        <v>38.067</v>
      </c>
      <c r="M36" s="20">
        <v>40.615099999999998</v>
      </c>
      <c r="N36" s="20">
        <v>66.203199999999995</v>
      </c>
      <c r="O36" s="20">
        <f t="shared" si="1"/>
        <v>32.666387499999999</v>
      </c>
      <c r="P36" s="7"/>
      <c r="Q36" s="13"/>
      <c r="R36" s="14"/>
      <c r="S36" s="14"/>
      <c r="T36" s="27"/>
      <c r="U36" s="28">
        <f t="shared" si="2"/>
        <v>1.666258558195731</v>
      </c>
    </row>
    <row r="37" spans="1:21" x14ac:dyDescent="0.25">
      <c r="A37" s="6" t="s">
        <v>39</v>
      </c>
      <c r="B37" s="6" t="s">
        <v>53</v>
      </c>
      <c r="C37" s="15">
        <v>1223.02</v>
      </c>
      <c r="D37" s="16">
        <v>35.097999999999999</v>
      </c>
      <c r="E37" s="16">
        <v>38.762999999999998</v>
      </c>
      <c r="F37" s="16">
        <v>38.695</v>
      </c>
      <c r="G37" s="16">
        <v>39.42</v>
      </c>
      <c r="H37" s="16">
        <f t="shared" si="0"/>
        <v>36.005749999999999</v>
      </c>
      <c r="I37" s="5"/>
      <c r="J37" s="15">
        <v>1214.752</v>
      </c>
      <c r="K37" s="16">
        <v>35.065100000000001</v>
      </c>
      <c r="L37" s="16">
        <v>39.060200000000002</v>
      </c>
      <c r="M37" s="16">
        <v>38.918500000000002</v>
      </c>
      <c r="N37" s="16">
        <v>128.70009999999999</v>
      </c>
      <c r="O37" s="16">
        <f t="shared" si="1"/>
        <v>36.046162500000001</v>
      </c>
      <c r="P37" s="7"/>
      <c r="Q37" s="8">
        <f>bdrate(C37:C40,D37:D40,J37:J40,K37:K40)</f>
        <v>2.3379293696844439E-2</v>
      </c>
      <c r="R37" s="8">
        <f>bdrate(C37:C40,E37:E40,J37:J40,L37:L40)</f>
        <v>-0.12182345723958565</v>
      </c>
      <c r="S37" s="8">
        <f>bdrate(C37:C40,F37:F40,J37:J40,M37:M40)</f>
        <v>-7.2842125683817649E-2</v>
      </c>
      <c r="T37" s="25">
        <f>bdrate(C37:C40,H37:H40,J37:J40,O37:O40)</f>
        <v>-1.530117099550754E-3</v>
      </c>
      <c r="U37" s="28">
        <f t="shared" si="2"/>
        <v>2.2648427194317602</v>
      </c>
    </row>
    <row r="38" spans="1:21" x14ac:dyDescent="0.25">
      <c r="A38" s="9" t="s">
        <v>40</v>
      </c>
      <c r="B38" s="9"/>
      <c r="C38" s="17">
        <v>812.56</v>
      </c>
      <c r="D38" s="18">
        <v>33.575000000000003</v>
      </c>
      <c r="E38" s="18">
        <v>37.548999999999999</v>
      </c>
      <c r="F38" s="18">
        <v>37.378999999999998</v>
      </c>
      <c r="G38" s="18">
        <v>45.66</v>
      </c>
      <c r="H38" s="18">
        <f t="shared" si="0"/>
        <v>34.547250000000005</v>
      </c>
      <c r="I38" s="5"/>
      <c r="J38" s="17">
        <v>810.93359999999996</v>
      </c>
      <c r="K38" s="18">
        <v>33.5246</v>
      </c>
      <c r="L38" s="18">
        <v>37.897100000000002</v>
      </c>
      <c r="M38" s="18">
        <v>37.570799999999998</v>
      </c>
      <c r="N38" s="18">
        <v>150.46639999999999</v>
      </c>
      <c r="O38" s="18">
        <f t="shared" si="1"/>
        <v>34.5769375</v>
      </c>
      <c r="P38" s="7"/>
      <c r="Q38" s="10"/>
      <c r="R38" s="11"/>
      <c r="S38" s="11"/>
      <c r="T38" s="26"/>
      <c r="U38" s="28">
        <f t="shared" si="2"/>
        <v>2.2953657468243538</v>
      </c>
    </row>
    <row r="39" spans="1:21" x14ac:dyDescent="0.25">
      <c r="B39" s="9"/>
      <c r="C39" s="17">
        <v>507.77</v>
      </c>
      <c r="D39" s="18">
        <v>31.852</v>
      </c>
      <c r="E39" s="18">
        <v>36.311</v>
      </c>
      <c r="F39" s="18">
        <v>35.970999999999997</v>
      </c>
      <c r="G39" s="18">
        <v>53.6</v>
      </c>
      <c r="H39" s="18">
        <f t="shared" si="0"/>
        <v>32.924250000000001</v>
      </c>
      <c r="I39" s="5"/>
      <c r="J39" s="17">
        <v>506.56799999999998</v>
      </c>
      <c r="K39" s="18">
        <v>31.761399999999998</v>
      </c>
      <c r="L39" s="18">
        <v>36.667499999999997</v>
      </c>
      <c r="M39" s="18">
        <v>36.194800000000001</v>
      </c>
      <c r="N39" s="18">
        <v>189.68129999999999</v>
      </c>
      <c r="O39" s="18">
        <f t="shared" si="1"/>
        <v>32.9288375</v>
      </c>
      <c r="P39" s="7"/>
      <c r="Q39" s="10"/>
      <c r="R39" s="11"/>
      <c r="S39" s="11"/>
      <c r="T39" s="26"/>
      <c r="U39" s="28">
        <f t="shared" si="2"/>
        <v>2.5388302238805971</v>
      </c>
    </row>
    <row r="40" spans="1:21" ht="16.5" thickBot="1" x14ac:dyDescent="0.3">
      <c r="B40" s="12"/>
      <c r="C40" s="19">
        <v>300.35000000000002</v>
      </c>
      <c r="D40" s="20">
        <v>30.061</v>
      </c>
      <c r="E40" s="20">
        <v>35.085000000000001</v>
      </c>
      <c r="F40" s="20">
        <v>34.481999999999999</v>
      </c>
      <c r="G40" s="20">
        <v>64.88</v>
      </c>
      <c r="H40" s="20">
        <f t="shared" si="0"/>
        <v>31.241624999999999</v>
      </c>
      <c r="I40" s="5"/>
      <c r="J40" s="19">
        <v>303.5496</v>
      </c>
      <c r="K40" s="20">
        <v>29.815100000000001</v>
      </c>
      <c r="L40" s="20">
        <v>35.364100000000001</v>
      </c>
      <c r="M40" s="20">
        <v>34.793100000000003</v>
      </c>
      <c r="N40" s="20">
        <v>241.08</v>
      </c>
      <c r="O40" s="20">
        <f t="shared" si="1"/>
        <v>31.130975000000003</v>
      </c>
      <c r="P40" s="7"/>
      <c r="Q40" s="13"/>
      <c r="R40" s="14"/>
      <c r="S40" s="14"/>
      <c r="T40" s="27"/>
      <c r="U40" s="28">
        <f t="shared" si="2"/>
        <v>2.7157829839704073</v>
      </c>
    </row>
    <row r="41" spans="1:21" x14ac:dyDescent="0.25">
      <c r="B41" s="6" t="s">
        <v>54</v>
      </c>
      <c r="C41" s="15">
        <v>1216.07</v>
      </c>
      <c r="D41" s="16">
        <v>34.994</v>
      </c>
      <c r="E41" s="16">
        <v>40.026000000000003</v>
      </c>
      <c r="F41" s="16">
        <v>40.875999999999998</v>
      </c>
      <c r="G41" s="16">
        <v>50.94</v>
      </c>
      <c r="H41" s="16">
        <f t="shared" si="0"/>
        <v>36.358249999999998</v>
      </c>
      <c r="I41" s="5"/>
      <c r="J41" s="15">
        <v>1244.8664000000001</v>
      </c>
      <c r="K41" s="16">
        <v>35.249000000000002</v>
      </c>
      <c r="L41" s="16">
        <v>40.472799999999999</v>
      </c>
      <c r="M41" s="16">
        <v>41.294400000000003</v>
      </c>
      <c r="N41" s="16">
        <v>132.15860000000001</v>
      </c>
      <c r="O41" s="16">
        <f t="shared" si="1"/>
        <v>36.657650000000004</v>
      </c>
      <c r="P41" s="7"/>
      <c r="Q41" s="8">
        <f>bdrate(C41:C44,D41:D44,J41:J44,K41:K44)</f>
        <v>-5.9092496030782149E-2</v>
      </c>
      <c r="R41" s="8">
        <f>bdrate(C41:C44,E41:E44,J41:J44,L41:L44)</f>
        <v>-0.20659224124410658</v>
      </c>
      <c r="S41" s="8">
        <f>bdrate(C41:C44,F41:F44,J41:J44,M41:M44)</f>
        <v>-0.18623773238314822</v>
      </c>
      <c r="T41" s="25">
        <f>bdrate(C41:C44,H41:H44,J41:J44,O41:O44)</f>
        <v>-8.5120156624538423E-2</v>
      </c>
      <c r="U41" s="28">
        <f t="shared" si="2"/>
        <v>1.5943973301923835</v>
      </c>
    </row>
    <row r="42" spans="1:21" x14ac:dyDescent="0.25">
      <c r="B42" s="9"/>
      <c r="C42" s="17">
        <v>810.34</v>
      </c>
      <c r="D42" s="18">
        <v>33.380000000000003</v>
      </c>
      <c r="E42" s="18">
        <v>38.981999999999999</v>
      </c>
      <c r="F42" s="18">
        <v>39.72</v>
      </c>
      <c r="G42" s="18">
        <v>59.72</v>
      </c>
      <c r="H42" s="18">
        <f t="shared" si="0"/>
        <v>34.872750000000003</v>
      </c>
      <c r="I42" s="5"/>
      <c r="J42" s="17">
        <v>829.85839999999996</v>
      </c>
      <c r="K42" s="18">
        <v>33.7042</v>
      </c>
      <c r="L42" s="18">
        <v>39.476900000000001</v>
      </c>
      <c r="M42" s="18">
        <v>40.228099999999998</v>
      </c>
      <c r="N42" s="18">
        <v>160.25640000000001</v>
      </c>
      <c r="O42" s="18">
        <f t="shared" si="1"/>
        <v>35.241275000000002</v>
      </c>
      <c r="P42" s="7"/>
      <c r="Q42" s="10"/>
      <c r="R42" s="11"/>
      <c r="S42" s="11"/>
      <c r="T42" s="26"/>
      <c r="U42" s="28">
        <f t="shared" si="2"/>
        <v>1.6834628265237779</v>
      </c>
    </row>
    <row r="43" spans="1:21" x14ac:dyDescent="0.25">
      <c r="B43" s="9"/>
      <c r="C43" s="17">
        <v>504.15</v>
      </c>
      <c r="D43" s="18">
        <v>31.478999999999999</v>
      </c>
      <c r="E43" s="18">
        <v>37.784999999999997</v>
      </c>
      <c r="F43" s="18">
        <v>38.365000000000002</v>
      </c>
      <c r="G43" s="18">
        <v>69.930000000000007</v>
      </c>
      <c r="H43" s="18">
        <f t="shared" si="0"/>
        <v>33.128</v>
      </c>
      <c r="I43" s="5"/>
      <c r="J43" s="17">
        <v>518.3184</v>
      </c>
      <c r="K43" s="18">
        <v>31.849399999999999</v>
      </c>
      <c r="L43" s="18">
        <v>38.478700000000003</v>
      </c>
      <c r="M43" s="18">
        <v>39.0657</v>
      </c>
      <c r="N43" s="18">
        <v>194.23759999999999</v>
      </c>
      <c r="O43" s="18">
        <f t="shared" si="1"/>
        <v>33.580100000000002</v>
      </c>
      <c r="P43" s="7"/>
      <c r="Q43" s="10"/>
      <c r="R43" s="11"/>
      <c r="S43" s="11"/>
      <c r="T43" s="26"/>
      <c r="U43" s="28">
        <f t="shared" si="2"/>
        <v>1.7776004576004572</v>
      </c>
    </row>
    <row r="44" spans="1:21" ht="16.5" thickBot="1" x14ac:dyDescent="0.3">
      <c r="B44" s="12"/>
      <c r="C44" s="19">
        <v>299.49</v>
      </c>
      <c r="D44" s="20">
        <v>29.326000000000001</v>
      </c>
      <c r="E44" s="20">
        <v>36.555</v>
      </c>
      <c r="F44" s="20">
        <v>36.905999999999999</v>
      </c>
      <c r="G44" s="20">
        <v>82.71</v>
      </c>
      <c r="H44" s="20">
        <f t="shared" si="0"/>
        <v>31.177125000000004</v>
      </c>
      <c r="I44" s="5"/>
      <c r="J44" s="19">
        <v>310.64960000000002</v>
      </c>
      <c r="K44" s="20">
        <v>29.7653</v>
      </c>
      <c r="L44" s="20">
        <v>37.418599999999998</v>
      </c>
      <c r="M44" s="20">
        <v>37.874099999999999</v>
      </c>
      <c r="N44" s="20">
        <v>240.38460000000001</v>
      </c>
      <c r="O44" s="20">
        <f t="shared" si="1"/>
        <v>31.7355625</v>
      </c>
      <c r="P44" s="7"/>
      <c r="Q44" s="13"/>
      <c r="R44" s="14"/>
      <c r="S44" s="14"/>
      <c r="T44" s="27"/>
      <c r="U44" s="28">
        <f t="shared" si="2"/>
        <v>1.9063547334058761</v>
      </c>
    </row>
    <row r="45" spans="1:21" x14ac:dyDescent="0.25">
      <c r="B45" s="6" t="s">
        <v>55</v>
      </c>
      <c r="C45" s="15">
        <v>1088.83</v>
      </c>
      <c r="D45" s="16">
        <v>29.536000000000001</v>
      </c>
      <c r="E45" s="16">
        <v>35.668999999999997</v>
      </c>
      <c r="F45" s="16">
        <v>36.415999999999997</v>
      </c>
      <c r="G45" s="16">
        <v>51.7</v>
      </c>
      <c r="H45" s="16">
        <f t="shared" si="0"/>
        <v>31.162624999999998</v>
      </c>
      <c r="I45" s="5"/>
      <c r="J45" s="15">
        <v>1227.3535999999999</v>
      </c>
      <c r="K45" s="16">
        <v>30.374300000000002</v>
      </c>
      <c r="L45" s="16">
        <v>36.723100000000002</v>
      </c>
      <c r="M45" s="16">
        <v>37.487400000000001</v>
      </c>
      <c r="N45" s="16">
        <v>118.25920000000001</v>
      </c>
      <c r="O45" s="16">
        <f t="shared" si="1"/>
        <v>32.0570375</v>
      </c>
      <c r="P45" s="7"/>
      <c r="Q45" s="8">
        <f>bdrate(C45:C48,D45:D48,J45:J48,K45:K48)</f>
        <v>-0.14394361160376401</v>
      </c>
      <c r="R45" s="8">
        <f>bdrate(C45:C48,E45:E48,J45:J48,L45:L48)</f>
        <v>-0.35168377557998332</v>
      </c>
      <c r="S45" s="8">
        <f>bdrate(C45:C48,F45:F48,J45:J48,M45:M48)</f>
        <v>-0.33246509496626242</v>
      </c>
      <c r="T45" s="25">
        <f>bdrate(C45:C48,H45:H48,J45:J48,O45:O48)</f>
        <v>-0.17758385157798373</v>
      </c>
      <c r="U45" s="28">
        <f t="shared" si="2"/>
        <v>1.287411992263056</v>
      </c>
    </row>
    <row r="46" spans="1:21" x14ac:dyDescent="0.25">
      <c r="B46" s="9"/>
      <c r="C46" s="17">
        <v>724.37</v>
      </c>
      <c r="D46" s="18">
        <v>28.146999999999998</v>
      </c>
      <c r="E46" s="18">
        <v>34.906999999999996</v>
      </c>
      <c r="F46" s="18">
        <v>35.656999999999996</v>
      </c>
      <c r="G46" s="18">
        <v>60.36</v>
      </c>
      <c r="H46" s="18">
        <f t="shared" si="0"/>
        <v>29.930749999999996</v>
      </c>
      <c r="I46" s="5"/>
      <c r="J46" s="17">
        <v>814.67520000000002</v>
      </c>
      <c r="K46" s="18">
        <v>29.026800000000001</v>
      </c>
      <c r="L46" s="18">
        <v>35.895899999999997</v>
      </c>
      <c r="M46" s="18">
        <v>36.6404</v>
      </c>
      <c r="N46" s="18">
        <v>143.10249999999999</v>
      </c>
      <c r="O46" s="18">
        <f t="shared" si="1"/>
        <v>30.837137499999997</v>
      </c>
      <c r="P46" s="7"/>
      <c r="Q46" s="10"/>
      <c r="R46" s="11"/>
      <c r="S46" s="11"/>
      <c r="T46" s="26"/>
      <c r="U46" s="28">
        <f t="shared" si="2"/>
        <v>1.3708167660702451</v>
      </c>
    </row>
    <row r="47" spans="1:21" x14ac:dyDescent="0.25">
      <c r="B47" s="9"/>
      <c r="C47" s="17">
        <v>450.02</v>
      </c>
      <c r="D47" s="18">
        <v>26.634</v>
      </c>
      <c r="E47" s="18">
        <v>34.152999999999999</v>
      </c>
      <c r="F47" s="18">
        <v>34.904000000000003</v>
      </c>
      <c r="G47" s="18">
        <v>71.209999999999994</v>
      </c>
      <c r="H47" s="18">
        <f t="shared" si="0"/>
        <v>28.607624999999999</v>
      </c>
      <c r="I47" s="5"/>
      <c r="J47" s="17">
        <v>513.85760000000005</v>
      </c>
      <c r="K47" s="18">
        <v>27.546399999999998</v>
      </c>
      <c r="L47" s="18">
        <v>35.089199999999998</v>
      </c>
      <c r="M47" s="18">
        <v>35.792999999999999</v>
      </c>
      <c r="N47" s="18">
        <v>178.06270000000001</v>
      </c>
      <c r="O47" s="18">
        <f t="shared" si="1"/>
        <v>29.520074999999999</v>
      </c>
      <c r="P47" s="7"/>
      <c r="Q47" s="10"/>
      <c r="R47" s="11"/>
      <c r="S47" s="11"/>
      <c r="T47" s="26"/>
      <c r="U47" s="28">
        <f t="shared" si="2"/>
        <v>1.5005294200252777</v>
      </c>
    </row>
    <row r="48" spans="1:21" ht="16.5" thickBot="1" x14ac:dyDescent="0.3">
      <c r="B48" s="12"/>
      <c r="C48" s="19">
        <v>261.66000000000003</v>
      </c>
      <c r="D48" s="20">
        <v>24.881</v>
      </c>
      <c r="E48" s="20">
        <v>33.200000000000003</v>
      </c>
      <c r="F48" s="20">
        <v>33.950000000000003</v>
      </c>
      <c r="G48" s="20">
        <v>86.4</v>
      </c>
      <c r="H48" s="20">
        <f t="shared" si="0"/>
        <v>27.054499999999997</v>
      </c>
      <c r="I48" s="5"/>
      <c r="J48" s="19">
        <v>308.86079999999998</v>
      </c>
      <c r="K48" s="20">
        <v>25.999199999999998</v>
      </c>
      <c r="L48" s="20">
        <v>34.202500000000001</v>
      </c>
      <c r="M48" s="20">
        <v>34.880499999999998</v>
      </c>
      <c r="N48" s="20">
        <v>224.1147</v>
      </c>
      <c r="O48" s="20">
        <f t="shared" si="1"/>
        <v>28.134774999999998</v>
      </c>
      <c r="P48" s="7"/>
      <c r="Q48" s="13"/>
      <c r="R48" s="14"/>
      <c r="S48" s="14"/>
      <c r="T48" s="27"/>
      <c r="U48" s="28">
        <f t="shared" si="2"/>
        <v>1.5939201388888886</v>
      </c>
    </row>
    <row r="49" spans="1:21" x14ac:dyDescent="0.25">
      <c r="B49" s="6" t="s">
        <v>56</v>
      </c>
      <c r="C49" s="15">
        <v>1105.3900000000001</v>
      </c>
      <c r="D49" s="16">
        <v>32.445</v>
      </c>
      <c r="E49" s="16">
        <v>36.594000000000001</v>
      </c>
      <c r="F49" s="16">
        <v>38.183999999999997</v>
      </c>
      <c r="G49" s="16">
        <v>29.77</v>
      </c>
      <c r="H49" s="16">
        <f t="shared" si="0"/>
        <v>33.680999999999997</v>
      </c>
      <c r="I49" s="5"/>
      <c r="J49" s="15">
        <v>1208.9367999999999</v>
      </c>
      <c r="K49" s="16">
        <v>32.453699999999998</v>
      </c>
      <c r="L49" s="16">
        <v>36.885199999999998</v>
      </c>
      <c r="M49" s="16">
        <v>38.4634</v>
      </c>
      <c r="N49" s="16">
        <v>86.231700000000004</v>
      </c>
      <c r="O49" s="16">
        <f t="shared" si="1"/>
        <v>33.758849999999995</v>
      </c>
      <c r="P49" s="7"/>
      <c r="Q49" s="8">
        <f>bdrate(C49:C52,D49:D52,J49:J52,K49:K52)</f>
        <v>9.6971188070214875E-2</v>
      </c>
      <c r="R49" s="8">
        <f>bdrate(C49:C52,E49:E52,J49:J52,L49:L52)</f>
        <v>-0.12173985428833634</v>
      </c>
      <c r="S49" s="8">
        <f>bdrate(C49:C52,F49:F52,J49:J52,M49:M52)</f>
        <v>-0.12462390238952326</v>
      </c>
      <c r="T49" s="25">
        <f>bdrate(C49:C52,H49:H52,J49:J52,O49:O52)</f>
        <v>5.5351774681803079E-2</v>
      </c>
      <c r="U49" s="28">
        <f t="shared" si="2"/>
        <v>1.8965972455492108</v>
      </c>
    </row>
    <row r="50" spans="1:21" x14ac:dyDescent="0.25">
      <c r="B50" s="9"/>
      <c r="C50" s="17">
        <v>746.59</v>
      </c>
      <c r="D50" s="18">
        <v>30.995999999999999</v>
      </c>
      <c r="E50" s="18">
        <v>35.628999999999998</v>
      </c>
      <c r="F50" s="18">
        <v>37.194000000000003</v>
      </c>
      <c r="G50" s="18">
        <v>34.520000000000003</v>
      </c>
      <c r="H50" s="18">
        <f t="shared" si="0"/>
        <v>32.349874999999997</v>
      </c>
      <c r="I50" s="5"/>
      <c r="J50" s="17">
        <v>805.56320000000005</v>
      </c>
      <c r="K50" s="18">
        <v>30.9053</v>
      </c>
      <c r="L50" s="18">
        <v>35.977899999999998</v>
      </c>
      <c r="M50" s="18">
        <v>37.525399999999998</v>
      </c>
      <c r="N50" s="18">
        <v>103.95010000000001</v>
      </c>
      <c r="O50" s="18">
        <f t="shared" si="1"/>
        <v>32.366887500000004</v>
      </c>
      <c r="P50" s="7"/>
      <c r="Q50" s="10"/>
      <c r="R50" s="11"/>
      <c r="S50" s="11"/>
      <c r="T50" s="26"/>
      <c r="U50" s="28">
        <f t="shared" si="2"/>
        <v>2.011300695249131</v>
      </c>
    </row>
    <row r="51" spans="1:21" x14ac:dyDescent="0.25">
      <c r="B51" s="9"/>
      <c r="C51" s="17">
        <v>472.42</v>
      </c>
      <c r="D51" s="18">
        <v>29.352</v>
      </c>
      <c r="E51" s="18">
        <v>34.673000000000002</v>
      </c>
      <c r="F51" s="18">
        <v>36.127000000000002</v>
      </c>
      <c r="G51" s="18">
        <v>40.57</v>
      </c>
      <c r="H51" s="18">
        <f t="shared" si="0"/>
        <v>30.864000000000001</v>
      </c>
      <c r="I51" s="5"/>
      <c r="J51" s="17">
        <v>503.96159999999998</v>
      </c>
      <c r="K51" s="18">
        <v>29.267299999999999</v>
      </c>
      <c r="L51" s="18">
        <v>35.134900000000002</v>
      </c>
      <c r="M51" s="18">
        <v>36.670200000000001</v>
      </c>
      <c r="N51" s="18">
        <v>129.03229999999999</v>
      </c>
      <c r="O51" s="18">
        <f t="shared" si="1"/>
        <v>30.926112499999999</v>
      </c>
      <c r="P51" s="7"/>
      <c r="Q51" s="10"/>
      <c r="R51" s="11"/>
      <c r="S51" s="11"/>
      <c r="T51" s="26"/>
      <c r="U51" s="28">
        <f t="shared" si="2"/>
        <v>2.180485580478186</v>
      </c>
    </row>
    <row r="52" spans="1:21" ht="16.5" thickBot="1" x14ac:dyDescent="0.3">
      <c r="B52" s="12"/>
      <c r="C52" s="19">
        <v>286.11</v>
      </c>
      <c r="D52" s="20">
        <v>27.738</v>
      </c>
      <c r="E52" s="20">
        <v>33.646999999999998</v>
      </c>
      <c r="F52" s="20">
        <v>35.006999999999998</v>
      </c>
      <c r="G52" s="20">
        <v>48.8</v>
      </c>
      <c r="H52" s="20">
        <f t="shared" si="0"/>
        <v>29.385249999999999</v>
      </c>
      <c r="I52" s="5"/>
      <c r="J52" s="19">
        <v>301.9624</v>
      </c>
      <c r="K52" s="20">
        <v>27.655999999999999</v>
      </c>
      <c r="L52" s="20">
        <v>34.215200000000003</v>
      </c>
      <c r="M52" s="20">
        <v>35.6678</v>
      </c>
      <c r="N52" s="20">
        <v>167.22409999999999</v>
      </c>
      <c r="O52" s="20">
        <f t="shared" si="1"/>
        <v>29.477374999999999</v>
      </c>
      <c r="P52" s="7"/>
      <c r="Q52" s="13"/>
      <c r="R52" s="14"/>
      <c r="S52" s="14"/>
      <c r="T52" s="27"/>
      <c r="U52" s="28">
        <f t="shared" si="2"/>
        <v>2.4267233606557377</v>
      </c>
    </row>
    <row r="53" spans="1:21" x14ac:dyDescent="0.25">
      <c r="A53" s="6" t="s">
        <v>41</v>
      </c>
      <c r="B53" s="6" t="s">
        <v>57</v>
      </c>
      <c r="C53" s="15">
        <v>643.42999999999995</v>
      </c>
      <c r="D53" s="16">
        <v>34.732999999999997</v>
      </c>
      <c r="E53" s="16">
        <v>39.645000000000003</v>
      </c>
      <c r="F53" s="16">
        <v>38.212000000000003</v>
      </c>
      <c r="G53" s="16">
        <v>111.68</v>
      </c>
      <c r="H53" s="16">
        <f t="shared" si="0"/>
        <v>35.781874999999999</v>
      </c>
      <c r="I53" s="5"/>
      <c r="J53" s="15">
        <v>604.78719999999998</v>
      </c>
      <c r="K53" s="16">
        <v>34.3994</v>
      </c>
      <c r="L53" s="16">
        <v>39.6569</v>
      </c>
      <c r="M53" s="16">
        <v>38.191299999999998</v>
      </c>
      <c r="N53" s="16">
        <v>337.38189999999997</v>
      </c>
      <c r="O53" s="16">
        <f t="shared" si="1"/>
        <v>35.530574999999999</v>
      </c>
      <c r="P53" s="7"/>
      <c r="Q53" s="8">
        <f>bdrate(C53:C56,D53:D56,J53:J56,K53:K56)</f>
        <v>2.8083585282304702E-2</v>
      </c>
      <c r="R53" s="8">
        <f>bdrate(C53:C56,E53:E56,J53:J56,L53:L56)</f>
        <v>-0.11679894494814602</v>
      </c>
      <c r="S53" s="8">
        <f>bdrate(C53:C56,F53:F56,J53:J56,M53:M56)</f>
        <v>-0.13282826923569269</v>
      </c>
      <c r="T53" s="25">
        <f>bdrate(C53:C56,H53:H56,J53:J56,O53:O56)</f>
        <v>-2.8861369718098384E-3</v>
      </c>
      <c r="U53" s="28">
        <f t="shared" si="2"/>
        <v>2.0209697349570197</v>
      </c>
    </row>
    <row r="54" spans="1:21" x14ac:dyDescent="0.25">
      <c r="A54" s="9" t="s">
        <v>42</v>
      </c>
      <c r="B54" s="9"/>
      <c r="C54" s="17">
        <v>430.26</v>
      </c>
      <c r="D54" s="18">
        <v>32.950000000000003</v>
      </c>
      <c r="E54" s="18">
        <v>38.414000000000001</v>
      </c>
      <c r="F54" s="18">
        <v>36.817999999999998</v>
      </c>
      <c r="G54" s="18">
        <v>129.22999999999999</v>
      </c>
      <c r="H54" s="18">
        <f t="shared" si="0"/>
        <v>34.116500000000002</v>
      </c>
      <c r="I54" s="5"/>
      <c r="J54" s="17">
        <v>404.87119999999999</v>
      </c>
      <c r="K54" s="18">
        <v>32.598399999999998</v>
      </c>
      <c r="L54" s="18">
        <v>38.511699999999998</v>
      </c>
      <c r="M54" s="18">
        <v>36.869700000000002</v>
      </c>
      <c r="N54" s="18">
        <v>405.51499999999999</v>
      </c>
      <c r="O54" s="18">
        <f t="shared" si="1"/>
        <v>33.871474999999997</v>
      </c>
      <c r="P54" s="7"/>
      <c r="Q54" s="10"/>
      <c r="R54" s="11"/>
      <c r="S54" s="11"/>
      <c r="T54" s="26"/>
      <c r="U54" s="28">
        <f t="shared" si="2"/>
        <v>2.1379323686450515</v>
      </c>
    </row>
    <row r="55" spans="1:21" x14ac:dyDescent="0.25">
      <c r="B55" s="9"/>
      <c r="C55" s="17">
        <v>266.8</v>
      </c>
      <c r="D55" s="18">
        <v>30.968</v>
      </c>
      <c r="E55" s="18">
        <v>37.182000000000002</v>
      </c>
      <c r="F55" s="18">
        <v>35.305999999999997</v>
      </c>
      <c r="G55" s="18">
        <v>155.57</v>
      </c>
      <c r="H55" s="18">
        <f t="shared" si="0"/>
        <v>32.286999999999999</v>
      </c>
      <c r="I55" s="5"/>
      <c r="J55" s="17">
        <v>254.61439999999999</v>
      </c>
      <c r="K55" s="18">
        <v>30.668399999999998</v>
      </c>
      <c r="L55" s="18">
        <v>37.404600000000002</v>
      </c>
      <c r="M55" s="18">
        <v>35.655999999999999</v>
      </c>
      <c r="N55" s="18">
        <v>485.43689999999998</v>
      </c>
      <c r="O55" s="18">
        <f t="shared" si="1"/>
        <v>32.133875000000003</v>
      </c>
      <c r="P55" s="7"/>
      <c r="Q55" s="10"/>
      <c r="R55" s="11"/>
      <c r="S55" s="11"/>
      <c r="T55" s="26"/>
      <c r="U55" s="28">
        <f t="shared" si="2"/>
        <v>2.1203760365108955</v>
      </c>
    </row>
    <row r="56" spans="1:21" ht="16.5" thickBot="1" x14ac:dyDescent="0.3">
      <c r="B56" s="12"/>
      <c r="C56" s="19">
        <v>127.47</v>
      </c>
      <c r="D56" s="20">
        <v>28.201000000000001</v>
      </c>
      <c r="E56" s="20">
        <v>35.549999999999997</v>
      </c>
      <c r="F56" s="20">
        <v>33.085000000000001</v>
      </c>
      <c r="G56" s="20">
        <v>205.42</v>
      </c>
      <c r="H56" s="20">
        <f t="shared" si="0"/>
        <v>29.730125000000005</v>
      </c>
      <c r="I56" s="5"/>
      <c r="J56" s="19">
        <v>122.9768</v>
      </c>
      <c r="K56" s="20">
        <v>27.895199999999999</v>
      </c>
      <c r="L56" s="20">
        <v>35.856000000000002</v>
      </c>
      <c r="M56" s="20">
        <v>33.788200000000003</v>
      </c>
      <c r="N56" s="20">
        <v>712.25070000000005</v>
      </c>
      <c r="O56" s="20">
        <f t="shared" si="1"/>
        <v>29.626925</v>
      </c>
      <c r="P56" s="7"/>
      <c r="Q56" s="13"/>
      <c r="R56" s="14"/>
      <c r="S56" s="14"/>
      <c r="T56" s="27"/>
      <c r="U56" s="28">
        <f t="shared" si="2"/>
        <v>2.4672899425567136</v>
      </c>
    </row>
    <row r="57" spans="1:21" x14ac:dyDescent="0.25">
      <c r="B57" s="6" t="s">
        <v>58</v>
      </c>
      <c r="C57" s="15">
        <v>558.04999999999995</v>
      </c>
      <c r="D57" s="16">
        <v>32.39</v>
      </c>
      <c r="E57" s="16">
        <v>40.061999999999998</v>
      </c>
      <c r="F57" s="16">
        <v>40.883000000000003</v>
      </c>
      <c r="G57" s="16">
        <v>207.9</v>
      </c>
      <c r="H57" s="16">
        <f t="shared" si="0"/>
        <v>34.410624999999996</v>
      </c>
      <c r="I57" s="5"/>
      <c r="J57" s="15">
        <v>604.35440000000006</v>
      </c>
      <c r="K57" s="16">
        <v>33.662700000000001</v>
      </c>
      <c r="L57" s="16">
        <v>41.256900000000002</v>
      </c>
      <c r="M57" s="16">
        <v>42.063400000000001</v>
      </c>
      <c r="N57" s="16">
        <v>392.41329999999999</v>
      </c>
      <c r="O57" s="16">
        <f t="shared" si="1"/>
        <v>35.662062500000005</v>
      </c>
      <c r="P57" s="7"/>
      <c r="Q57" s="8">
        <f>bdrate(C57:C60,D57:D60,J57:J60,K57:K60)</f>
        <v>-0.27332478155057638</v>
      </c>
      <c r="R57" s="8">
        <f>bdrate(C57:C60,E57:E60,J57:J60,L57:L60)</f>
        <v>-0.30828101909772054</v>
      </c>
      <c r="S57" s="8">
        <f>bdrate(C57:C60,F57:F60,J57:J60,M57:M60)</f>
        <v>-0.24724657159637864</v>
      </c>
      <c r="T57" s="25">
        <f>bdrate(C57:C60,H57:H60,J57:J60,O57:O60)</f>
        <v>-0.27525903559360909</v>
      </c>
      <c r="U57" s="28">
        <f t="shared" si="2"/>
        <v>0.88750986050986047</v>
      </c>
    </row>
    <row r="58" spans="1:21" x14ac:dyDescent="0.25">
      <c r="B58" s="9"/>
      <c r="C58" s="17">
        <v>366.18</v>
      </c>
      <c r="D58" s="18">
        <v>31.024999999999999</v>
      </c>
      <c r="E58" s="18">
        <v>39.354999999999997</v>
      </c>
      <c r="F58" s="18">
        <v>40.155000000000001</v>
      </c>
      <c r="G58" s="18">
        <v>248.14</v>
      </c>
      <c r="H58" s="18">
        <f t="shared" si="0"/>
        <v>33.207499999999996</v>
      </c>
      <c r="I58" s="5"/>
      <c r="J58" s="17">
        <v>403.31760000000003</v>
      </c>
      <c r="K58" s="18">
        <v>32.394799999999996</v>
      </c>
      <c r="L58" s="18">
        <v>40.384700000000002</v>
      </c>
      <c r="M58" s="18">
        <v>41.197000000000003</v>
      </c>
      <c r="N58" s="18">
        <v>505.90219999999999</v>
      </c>
      <c r="O58" s="18">
        <f t="shared" si="1"/>
        <v>34.493812499999997</v>
      </c>
      <c r="P58" s="7"/>
      <c r="Q58" s="10"/>
      <c r="R58" s="11"/>
      <c r="S58" s="11"/>
      <c r="T58" s="26"/>
      <c r="U58" s="28">
        <f t="shared" si="2"/>
        <v>1.0387773031353269</v>
      </c>
    </row>
    <row r="59" spans="1:21" x14ac:dyDescent="0.25">
      <c r="B59" s="9"/>
      <c r="C59" s="17">
        <v>226.56</v>
      </c>
      <c r="D59" s="18">
        <v>29.492000000000001</v>
      </c>
      <c r="E59" s="18">
        <v>38.682000000000002</v>
      </c>
      <c r="F59" s="18">
        <v>39.399000000000001</v>
      </c>
      <c r="G59" s="18">
        <v>284.89999999999998</v>
      </c>
      <c r="H59" s="18">
        <f t="shared" si="0"/>
        <v>31.879125000000002</v>
      </c>
      <c r="I59" s="5"/>
      <c r="J59" s="17">
        <v>251.9032</v>
      </c>
      <c r="K59" s="18">
        <v>30.897099999999998</v>
      </c>
      <c r="L59" s="18">
        <v>39.426600000000001</v>
      </c>
      <c r="M59" s="18">
        <v>40.117400000000004</v>
      </c>
      <c r="N59" s="18">
        <v>619.8347</v>
      </c>
      <c r="O59" s="18">
        <f t="shared" si="1"/>
        <v>33.115825000000001</v>
      </c>
      <c r="P59" s="7"/>
      <c r="Q59" s="10"/>
      <c r="R59" s="11"/>
      <c r="S59" s="11"/>
      <c r="T59" s="26"/>
      <c r="U59" s="28">
        <f t="shared" si="2"/>
        <v>1.1756219726219728</v>
      </c>
    </row>
    <row r="60" spans="1:21" ht="16.5" thickBot="1" x14ac:dyDescent="0.3">
      <c r="B60" s="12"/>
      <c r="C60" s="19">
        <v>105.11</v>
      </c>
      <c r="D60" s="20">
        <v>26.745999999999999</v>
      </c>
      <c r="E60" s="20">
        <v>37.752000000000002</v>
      </c>
      <c r="F60" s="20">
        <v>38.308999999999997</v>
      </c>
      <c r="G60" s="20">
        <v>349.65</v>
      </c>
      <c r="H60" s="20">
        <f t="shared" si="0"/>
        <v>29.567125000000001</v>
      </c>
      <c r="I60" s="5"/>
      <c r="J60" s="19">
        <v>121.0432</v>
      </c>
      <c r="K60" s="20">
        <v>28.3431</v>
      </c>
      <c r="L60" s="20">
        <v>38.164999999999999</v>
      </c>
      <c r="M60" s="20">
        <v>38.604199999999999</v>
      </c>
      <c r="N60" s="20">
        <v>854.70090000000005</v>
      </c>
      <c r="O60" s="20">
        <f t="shared" si="1"/>
        <v>30.853475</v>
      </c>
      <c r="P60" s="7"/>
      <c r="Q60" s="13"/>
      <c r="R60" s="14"/>
      <c r="S60" s="14"/>
      <c r="T60" s="27"/>
      <c r="U60" s="28">
        <f t="shared" si="2"/>
        <v>1.4444470184470188</v>
      </c>
    </row>
    <row r="61" spans="1:21" x14ac:dyDescent="0.25">
      <c r="B61" s="6" t="s">
        <v>59</v>
      </c>
      <c r="C61" s="29">
        <v>626.38</v>
      </c>
      <c r="D61" s="30">
        <v>32.591000000000001</v>
      </c>
      <c r="E61" s="30">
        <v>37.526000000000003</v>
      </c>
      <c r="F61" s="30">
        <v>38.085000000000001</v>
      </c>
      <c r="G61" s="16">
        <v>155.62</v>
      </c>
      <c r="H61" s="16">
        <f t="shared" si="0"/>
        <v>33.894624999999998</v>
      </c>
      <c r="I61" s="5"/>
      <c r="J61" s="29">
        <v>644.05999999999995</v>
      </c>
      <c r="K61" s="30">
        <v>33.212699999999998</v>
      </c>
      <c r="L61" s="30">
        <v>38.172899999999998</v>
      </c>
      <c r="M61" s="30">
        <v>38.936</v>
      </c>
      <c r="N61" s="16">
        <v>352.11270000000002</v>
      </c>
      <c r="O61" s="16">
        <f t="shared" si="1"/>
        <v>34.548137499999996</v>
      </c>
      <c r="P61" s="7"/>
      <c r="Q61" s="8">
        <f>bdrate(C61:C64,D61:D64,J61:J64,K61:K64)</f>
        <v>-0.13197457811334079</v>
      </c>
      <c r="R61" s="8">
        <f>bdrate(C61:C64,E61:E64,J61:J64,L61:L64)</f>
        <v>-0.22785459744337422</v>
      </c>
      <c r="S61" s="8">
        <f>bdrate(C61:C64,F61:F64,J61:J64,M61:M64)</f>
        <v>-0.28887523821366734</v>
      </c>
      <c r="T61" s="25">
        <f>bdrate(C61:C64,H61:H64,J61:J64,O61:O64)</f>
        <v>-0.15759511152721073</v>
      </c>
      <c r="U61" s="28">
        <f t="shared" si="2"/>
        <v>1.2626442616630253</v>
      </c>
    </row>
    <row r="62" spans="1:21" x14ac:dyDescent="0.25">
      <c r="B62" s="9"/>
      <c r="C62" s="31">
        <v>418.1</v>
      </c>
      <c r="D62" s="32">
        <v>31.052</v>
      </c>
      <c r="E62" s="32">
        <v>36.454999999999998</v>
      </c>
      <c r="F62" s="32">
        <v>36.991999999999997</v>
      </c>
      <c r="G62" s="18">
        <v>183.15</v>
      </c>
      <c r="H62" s="18">
        <f t="shared" si="0"/>
        <v>32.469875000000002</v>
      </c>
      <c r="I62" s="5"/>
      <c r="J62" s="31">
        <v>427.37360000000001</v>
      </c>
      <c r="K62" s="32">
        <v>31.674399999999999</v>
      </c>
      <c r="L62" s="32">
        <v>37.095300000000002</v>
      </c>
      <c r="M62" s="32">
        <v>37.826300000000003</v>
      </c>
      <c r="N62" s="18">
        <v>445.23599999999999</v>
      </c>
      <c r="O62" s="18">
        <f t="shared" si="1"/>
        <v>33.121000000000002</v>
      </c>
      <c r="P62" s="7"/>
      <c r="Q62" s="10"/>
      <c r="R62" s="11"/>
      <c r="S62" s="11"/>
      <c r="T62" s="26"/>
      <c r="U62" s="28">
        <f t="shared" si="2"/>
        <v>1.430990990990991</v>
      </c>
    </row>
    <row r="63" spans="1:21" x14ac:dyDescent="0.25">
      <c r="B63" s="9"/>
      <c r="C63" s="31">
        <v>258.83999999999997</v>
      </c>
      <c r="D63" s="32">
        <v>29.414000000000001</v>
      </c>
      <c r="E63" s="32">
        <v>35.296999999999997</v>
      </c>
      <c r="F63" s="32">
        <v>35.798000000000002</v>
      </c>
      <c r="G63" s="18">
        <v>216.54</v>
      </c>
      <c r="H63" s="18">
        <f t="shared" si="0"/>
        <v>30.947375000000001</v>
      </c>
      <c r="I63" s="5"/>
      <c r="J63" s="31">
        <v>266.7944</v>
      </c>
      <c r="K63" s="32">
        <v>29.9938</v>
      </c>
      <c r="L63" s="32">
        <v>35.978099999999998</v>
      </c>
      <c r="M63" s="32">
        <v>36.695799999999998</v>
      </c>
      <c r="N63" s="18">
        <v>542.88819999999998</v>
      </c>
      <c r="O63" s="18">
        <f t="shared" si="1"/>
        <v>31.579587499999999</v>
      </c>
      <c r="P63" s="7"/>
      <c r="Q63" s="10"/>
      <c r="R63" s="11"/>
      <c r="S63" s="11"/>
      <c r="T63" s="26"/>
      <c r="U63" s="28">
        <f t="shared" si="2"/>
        <v>1.5071035374526647</v>
      </c>
    </row>
    <row r="64" spans="1:21" ht="16.5" thickBot="1" x14ac:dyDescent="0.3">
      <c r="B64" s="12"/>
      <c r="C64" s="33">
        <v>121.56</v>
      </c>
      <c r="D64" s="34">
        <v>26.986000000000001</v>
      </c>
      <c r="E64" s="34">
        <v>33.636000000000003</v>
      </c>
      <c r="F64" s="34">
        <v>34.100999999999999</v>
      </c>
      <c r="G64" s="20">
        <v>276.39999999999998</v>
      </c>
      <c r="H64" s="20">
        <f t="shared" si="0"/>
        <v>28.706624999999999</v>
      </c>
      <c r="I64" s="5"/>
      <c r="J64" s="33">
        <v>128.61840000000001</v>
      </c>
      <c r="K64" s="34">
        <v>27.5792</v>
      </c>
      <c r="L64" s="34">
        <v>34.422699999999999</v>
      </c>
      <c r="M64" s="34">
        <v>35.129800000000003</v>
      </c>
      <c r="N64" s="20">
        <v>781.25</v>
      </c>
      <c r="O64" s="20">
        <f t="shared" si="1"/>
        <v>29.378462499999998</v>
      </c>
      <c r="P64" s="7"/>
      <c r="Q64" s="13"/>
      <c r="R64" s="14"/>
      <c r="S64" s="14"/>
      <c r="T64" s="27"/>
      <c r="U64" s="28">
        <f t="shared" si="2"/>
        <v>1.8265195369030394</v>
      </c>
    </row>
    <row r="65" spans="1:21" x14ac:dyDescent="0.25">
      <c r="B65" s="6" t="s">
        <v>60</v>
      </c>
      <c r="C65" s="15">
        <v>576.13</v>
      </c>
      <c r="D65" s="16">
        <v>34.033999999999999</v>
      </c>
      <c r="E65" s="16">
        <v>37.625999999999998</v>
      </c>
      <c r="F65" s="16">
        <v>38.752000000000002</v>
      </c>
      <c r="G65" s="16">
        <v>86.63</v>
      </c>
      <c r="H65" s="16">
        <f t="shared" si="0"/>
        <v>35.072749999999999</v>
      </c>
      <c r="I65" s="5"/>
      <c r="J65" s="15">
        <v>605.97519999999997</v>
      </c>
      <c r="K65" s="16">
        <v>33.987099999999998</v>
      </c>
      <c r="L65" s="16">
        <v>37.743899999999996</v>
      </c>
      <c r="M65" s="16">
        <v>38.834699999999998</v>
      </c>
      <c r="N65" s="16">
        <v>234.5582</v>
      </c>
      <c r="O65" s="16">
        <f t="shared" si="1"/>
        <v>35.062649999999998</v>
      </c>
      <c r="P65" s="7"/>
      <c r="Q65" s="8">
        <f>bdrate(C65:C68,D65:D68,J65:J68,K65:K68)</f>
        <v>4.5643153404986814E-2</v>
      </c>
      <c r="R65" s="8">
        <f>bdrate(C65:C68,E65:E68,J65:J68,L65:L68)</f>
        <v>-6.5717512490218732E-2</v>
      </c>
      <c r="S65" s="8">
        <f>bdrate(C65:C68,F65:F68,J65:J68,M65:M68)</f>
        <v>-6.3152506746838588E-2</v>
      </c>
      <c r="T65" s="25">
        <f>bdrate(C65:C68,H65:H68,J65:J68,O65:O68)</f>
        <v>2.3756331155965205E-2</v>
      </c>
      <c r="U65" s="28">
        <f t="shared" si="2"/>
        <v>1.7075862865058296</v>
      </c>
    </row>
    <row r="66" spans="1:21" x14ac:dyDescent="0.25">
      <c r="B66" s="9"/>
      <c r="C66" s="17">
        <v>388.39</v>
      </c>
      <c r="D66" s="18">
        <v>32.225000000000001</v>
      </c>
      <c r="E66" s="18">
        <v>36.429000000000002</v>
      </c>
      <c r="F66" s="18">
        <v>37.537999999999997</v>
      </c>
      <c r="G66" s="18">
        <v>102.85</v>
      </c>
      <c r="H66" s="18">
        <f t="shared" si="0"/>
        <v>33.414625000000001</v>
      </c>
      <c r="I66" s="5"/>
      <c r="J66" s="17">
        <v>403.8888</v>
      </c>
      <c r="K66" s="18">
        <v>32.1678</v>
      </c>
      <c r="L66" s="18">
        <v>36.606400000000001</v>
      </c>
      <c r="M66" s="18">
        <v>37.706099999999999</v>
      </c>
      <c r="N66" s="18">
        <v>291.26209999999998</v>
      </c>
      <c r="O66" s="18">
        <f t="shared" si="1"/>
        <v>33.4149125</v>
      </c>
      <c r="P66" s="7"/>
      <c r="Q66" s="10"/>
      <c r="R66" s="11"/>
      <c r="S66" s="11"/>
      <c r="T66" s="26"/>
      <c r="U66" s="28">
        <f t="shared" si="2"/>
        <v>1.8319115216334467</v>
      </c>
    </row>
    <row r="67" spans="1:21" x14ac:dyDescent="0.25">
      <c r="B67" s="9"/>
      <c r="C67" s="17">
        <v>243.02</v>
      </c>
      <c r="D67" s="18">
        <v>30.291</v>
      </c>
      <c r="E67" s="18">
        <v>35.109000000000002</v>
      </c>
      <c r="F67" s="18">
        <v>36.131999999999998</v>
      </c>
      <c r="G67" s="18">
        <v>124.07</v>
      </c>
      <c r="H67" s="18">
        <f t="shared" si="0"/>
        <v>31.623375000000003</v>
      </c>
      <c r="I67" s="5"/>
      <c r="J67" s="17">
        <v>252.94560000000001</v>
      </c>
      <c r="K67" s="18">
        <v>30.2729</v>
      </c>
      <c r="L67" s="18">
        <v>35.393599999999999</v>
      </c>
      <c r="M67" s="18">
        <v>36.433900000000001</v>
      </c>
      <c r="N67" s="18">
        <v>369.91370000000001</v>
      </c>
      <c r="O67" s="18">
        <f t="shared" si="1"/>
        <v>31.6831125</v>
      </c>
      <c r="P67" s="7"/>
      <c r="Q67" s="10"/>
      <c r="R67" s="11"/>
      <c r="S67" s="11"/>
      <c r="T67" s="26"/>
      <c r="U67" s="28">
        <f t="shared" si="2"/>
        <v>1.9814918997340214</v>
      </c>
    </row>
    <row r="68" spans="1:21" ht="16.5" thickBot="1" x14ac:dyDescent="0.3">
      <c r="B68" s="12"/>
      <c r="C68" s="19">
        <v>116.73</v>
      </c>
      <c r="D68" s="20">
        <v>27.7</v>
      </c>
      <c r="E68" s="20">
        <v>33.332999999999998</v>
      </c>
      <c r="F68" s="20">
        <v>34.246000000000002</v>
      </c>
      <c r="G68" s="20">
        <v>170.26</v>
      </c>
      <c r="H68" s="20">
        <f t="shared" si="0"/>
        <v>29.222375</v>
      </c>
      <c r="I68" s="5"/>
      <c r="J68" s="19">
        <v>122.30800000000001</v>
      </c>
      <c r="K68" s="20">
        <v>27.795000000000002</v>
      </c>
      <c r="L68" s="20">
        <v>33.964700000000001</v>
      </c>
      <c r="M68" s="20">
        <v>34.902900000000002</v>
      </c>
      <c r="N68" s="20">
        <v>549.45050000000003</v>
      </c>
      <c r="O68" s="20">
        <f t="shared" si="1"/>
        <v>29.454700000000003</v>
      </c>
      <c r="P68" s="7"/>
      <c r="Q68" s="13"/>
      <c r="R68" s="14"/>
      <c r="S68" s="14"/>
      <c r="T68" s="27"/>
      <c r="U68" s="28">
        <f t="shared" si="2"/>
        <v>2.2271261599906031</v>
      </c>
    </row>
    <row r="69" spans="1:21" x14ac:dyDescent="0.25">
      <c r="A69" s="6" t="s">
        <v>43</v>
      </c>
      <c r="B69" s="6" t="s">
        <v>61</v>
      </c>
      <c r="C69" s="15">
        <v>1385.89</v>
      </c>
      <c r="D69" s="16">
        <v>41.033000000000001</v>
      </c>
      <c r="E69" s="16">
        <v>45.19</v>
      </c>
      <c r="F69" s="16">
        <v>46.447000000000003</v>
      </c>
      <c r="G69" s="16">
        <v>35.979999999999997</v>
      </c>
      <c r="H69" s="16">
        <f t="shared" si="0"/>
        <v>42.229375000000005</v>
      </c>
      <c r="I69" s="5"/>
      <c r="J69" s="15">
        <v>1491.2647999999999</v>
      </c>
      <c r="K69" s="16">
        <v>41.363</v>
      </c>
      <c r="L69" s="16">
        <v>45.620399999999997</v>
      </c>
      <c r="M69" s="16">
        <v>46.805900000000001</v>
      </c>
      <c r="N69" s="16">
        <v>103.95010000000001</v>
      </c>
      <c r="O69" s="16">
        <f t="shared" si="1"/>
        <v>42.575537500000003</v>
      </c>
      <c r="P69" s="7"/>
      <c r="Q69" s="8">
        <f>bdrate(C69:C72,D69:D72,J69:J72,K69:K72)</f>
        <v>1.5022797100827878E-2</v>
      </c>
      <c r="R69" s="8">
        <f>bdrate(C69:C72,E69:E72,J69:J72,L69:L72)</f>
        <v>-5.8701232710939077E-2</v>
      </c>
      <c r="S69" s="8">
        <f>bdrate(C69:C72,F69:F72,J69:J72,M69:M72)</f>
        <v>-6.2675486862696639E-3</v>
      </c>
      <c r="T69" s="25">
        <f>bdrate(C69:C72,H69:H72,J69:J72,O69:O72)</f>
        <v>6.1653427580254938E-3</v>
      </c>
      <c r="U69" s="28">
        <f t="shared" si="2"/>
        <v>1.8891078376876045</v>
      </c>
    </row>
    <row r="70" spans="1:21" x14ac:dyDescent="0.25">
      <c r="A70" s="9" t="s">
        <v>44</v>
      </c>
      <c r="B70" s="9"/>
      <c r="C70" s="17">
        <v>912.41</v>
      </c>
      <c r="D70" s="18">
        <v>39.85</v>
      </c>
      <c r="E70" s="18">
        <v>44.183999999999997</v>
      </c>
      <c r="F70" s="18">
        <v>45.470999999999997</v>
      </c>
      <c r="G70" s="18">
        <v>41.9</v>
      </c>
      <c r="H70" s="18">
        <f t="shared" si="0"/>
        <v>41.094374999999999</v>
      </c>
      <c r="I70" s="5"/>
      <c r="J70" s="17">
        <v>984.8528</v>
      </c>
      <c r="K70" s="18">
        <v>40.243699999999997</v>
      </c>
      <c r="L70" s="18">
        <v>44.6633</v>
      </c>
      <c r="M70" s="18">
        <v>45.837899999999998</v>
      </c>
      <c r="N70" s="18">
        <v>119.8322</v>
      </c>
      <c r="O70" s="18">
        <f t="shared" si="1"/>
        <v>41.495424999999997</v>
      </c>
      <c r="P70" s="7"/>
      <c r="Q70" s="10"/>
      <c r="R70" s="11"/>
      <c r="S70" s="11"/>
      <c r="T70" s="26"/>
      <c r="U70" s="28">
        <f t="shared" si="2"/>
        <v>1.8599570405727923</v>
      </c>
    </row>
    <row r="71" spans="1:21" x14ac:dyDescent="0.25">
      <c r="B71" s="9"/>
      <c r="C71" s="17">
        <v>541.02</v>
      </c>
      <c r="D71" s="18">
        <v>38.154000000000003</v>
      </c>
      <c r="E71" s="18">
        <v>42.948</v>
      </c>
      <c r="F71" s="18">
        <v>44.213999999999999</v>
      </c>
      <c r="G71" s="18">
        <v>47.13</v>
      </c>
      <c r="H71" s="18">
        <f t="shared" si="0"/>
        <v>39.510750000000002</v>
      </c>
      <c r="I71" s="5"/>
      <c r="J71" s="17">
        <v>574.95519999999999</v>
      </c>
      <c r="K71" s="18">
        <v>38.364899999999999</v>
      </c>
      <c r="L71" s="18">
        <v>43.274500000000003</v>
      </c>
      <c r="M71" s="18">
        <v>44.390500000000003</v>
      </c>
      <c r="N71" s="18">
        <v>138.37639999999999</v>
      </c>
      <c r="O71" s="18">
        <f t="shared" si="1"/>
        <v>39.731799999999993</v>
      </c>
      <c r="P71" s="7"/>
      <c r="Q71" s="10"/>
      <c r="R71" s="11"/>
      <c r="S71" s="11"/>
      <c r="T71" s="26"/>
      <c r="U71" s="28">
        <f t="shared" si="2"/>
        <v>1.9360577127095266</v>
      </c>
    </row>
    <row r="72" spans="1:21" ht="16.5" thickBot="1" x14ac:dyDescent="0.3">
      <c r="B72" s="12"/>
      <c r="C72" s="19">
        <v>259.85000000000002</v>
      </c>
      <c r="D72" s="20">
        <v>35.688000000000002</v>
      </c>
      <c r="E72" s="20">
        <v>41.707999999999998</v>
      </c>
      <c r="F72" s="20">
        <v>42.725999999999999</v>
      </c>
      <c r="G72" s="20">
        <v>54.95</v>
      </c>
      <c r="H72" s="20">
        <f t="shared" si="0"/>
        <v>37.320250000000001</v>
      </c>
      <c r="I72" s="5"/>
      <c r="J72" s="19">
        <v>278.60320000000002</v>
      </c>
      <c r="K72" s="20">
        <v>35.244399999999999</v>
      </c>
      <c r="L72" s="20">
        <v>41.513300000000001</v>
      </c>
      <c r="M72" s="20">
        <v>42.485799999999998</v>
      </c>
      <c r="N72" s="20">
        <v>170.9402</v>
      </c>
      <c r="O72" s="20">
        <f t="shared" si="1"/>
        <v>36.933187499999995</v>
      </c>
      <c r="P72" s="7"/>
      <c r="Q72" s="13"/>
      <c r="R72" s="14"/>
      <c r="S72" s="14"/>
      <c r="T72" s="27"/>
      <c r="U72" s="28">
        <f t="shared" si="2"/>
        <v>2.1108316651501364</v>
      </c>
    </row>
    <row r="73" spans="1:21" x14ac:dyDescent="0.25">
      <c r="B73" s="6" t="s">
        <v>62</v>
      </c>
      <c r="C73" s="15">
        <v>1433.88</v>
      </c>
      <c r="D73" s="16">
        <v>42.515000000000001</v>
      </c>
      <c r="E73" s="16">
        <v>47.546999999999997</v>
      </c>
      <c r="F73" s="16">
        <v>48.265999999999998</v>
      </c>
      <c r="G73" s="16">
        <v>37.630000000000003</v>
      </c>
      <c r="H73" s="16">
        <f t="shared" si="0"/>
        <v>43.862875000000003</v>
      </c>
      <c r="I73" s="5"/>
      <c r="J73" s="15">
        <v>1469.3440000000001</v>
      </c>
      <c r="K73" s="16">
        <v>42.62</v>
      </c>
      <c r="L73" s="16">
        <v>47.650399999999998</v>
      </c>
      <c r="M73" s="16">
        <v>48.2652</v>
      </c>
      <c r="N73" s="16">
        <v>117.624</v>
      </c>
      <c r="O73" s="16">
        <f t="shared" si="1"/>
        <v>43.954449999999994</v>
      </c>
      <c r="P73" s="7"/>
      <c r="Q73" s="8">
        <f>bdrate(C73:C76,D73:D76,J73:J76,K73:K76)</f>
        <v>-2.7367350594644235E-2</v>
      </c>
      <c r="R73" s="8">
        <f>bdrate(C73:C76,E73:E76,J73:J76,L73:L76)</f>
        <v>-9.7591626607840265E-2</v>
      </c>
      <c r="S73" s="8">
        <f>bdrate(C73:C76,F73:F76,J73:J76,M73:M76)</f>
        <v>-2.6557137252531948E-2</v>
      </c>
      <c r="T73" s="25">
        <f>bdrate(C73:C76,H73:H76,J73:J76,O73:O76)</f>
        <v>-3.5892424811479029E-2</v>
      </c>
      <c r="U73" s="28">
        <f t="shared" ref="U73:U91" si="3">(N73-G73)/G73</f>
        <v>2.1258038798830721</v>
      </c>
    </row>
    <row r="74" spans="1:21" x14ac:dyDescent="0.25">
      <c r="B74" s="9"/>
      <c r="C74" s="17">
        <v>944.29</v>
      </c>
      <c r="D74" s="18">
        <v>41.948999999999998</v>
      </c>
      <c r="E74" s="18">
        <v>46.933999999999997</v>
      </c>
      <c r="F74" s="18">
        <v>47.622999999999998</v>
      </c>
      <c r="G74" s="18">
        <v>43.61</v>
      </c>
      <c r="H74" s="18">
        <f t="shared" si="0"/>
        <v>43.281374999999997</v>
      </c>
      <c r="I74" s="5"/>
      <c r="J74" s="17">
        <v>973.91520000000003</v>
      </c>
      <c r="K74" s="18">
        <v>42.095500000000001</v>
      </c>
      <c r="L74" s="18">
        <v>47.204500000000003</v>
      </c>
      <c r="M74" s="18">
        <v>47.851300000000002</v>
      </c>
      <c r="N74" s="18">
        <v>136.8613</v>
      </c>
      <c r="O74" s="18">
        <f t="shared" si="1"/>
        <v>43.453600000000002</v>
      </c>
      <c r="P74" s="7"/>
      <c r="Q74" s="10"/>
      <c r="R74" s="11"/>
      <c r="S74" s="11"/>
      <c r="T74" s="26"/>
      <c r="U74" s="28">
        <f t="shared" si="3"/>
        <v>2.1383008484292594</v>
      </c>
    </row>
    <row r="75" spans="1:21" x14ac:dyDescent="0.25">
      <c r="B75" s="9"/>
      <c r="C75" s="17">
        <v>557.82000000000005</v>
      </c>
      <c r="D75" s="18">
        <v>41.085000000000001</v>
      </c>
      <c r="E75" s="18">
        <v>46.015999999999998</v>
      </c>
      <c r="F75" s="18">
        <v>46.761000000000003</v>
      </c>
      <c r="G75" s="18">
        <v>49.57</v>
      </c>
      <c r="H75" s="18">
        <f t="shared" si="0"/>
        <v>42.410875000000004</v>
      </c>
      <c r="I75" s="5"/>
      <c r="J75" s="17">
        <v>578.66079999999999</v>
      </c>
      <c r="K75" s="18">
        <v>41.234000000000002</v>
      </c>
      <c r="L75" s="18">
        <v>46.368499999999997</v>
      </c>
      <c r="M75" s="18">
        <v>46.933199999999999</v>
      </c>
      <c r="N75" s="18">
        <v>153.84620000000001</v>
      </c>
      <c r="O75" s="18">
        <f t="shared" si="1"/>
        <v>42.588212499999997</v>
      </c>
      <c r="P75" s="7"/>
      <c r="Q75" s="10"/>
      <c r="R75" s="11"/>
      <c r="S75" s="11"/>
      <c r="T75" s="26"/>
      <c r="U75" s="28">
        <f t="shared" si="3"/>
        <v>2.10361508977204</v>
      </c>
    </row>
    <row r="76" spans="1:21" ht="16.5" thickBot="1" x14ac:dyDescent="0.3">
      <c r="B76" s="12"/>
      <c r="C76" s="19">
        <v>268.32</v>
      </c>
      <c r="D76" s="20">
        <v>39.442</v>
      </c>
      <c r="E76" s="20">
        <v>44.695999999999998</v>
      </c>
      <c r="F76" s="20">
        <v>45.421999999999997</v>
      </c>
      <c r="G76" s="20">
        <v>57.41</v>
      </c>
      <c r="H76" s="20">
        <f t="shared" si="0"/>
        <v>40.846249999999998</v>
      </c>
      <c r="I76" s="5"/>
      <c r="J76" s="19">
        <v>281.61439999999999</v>
      </c>
      <c r="K76" s="20">
        <v>39.438299999999998</v>
      </c>
      <c r="L76" s="20">
        <v>44.5854</v>
      </c>
      <c r="M76" s="20">
        <v>45.122900000000001</v>
      </c>
      <c r="N76" s="20">
        <v>179.7484</v>
      </c>
      <c r="O76" s="20">
        <f t="shared" si="1"/>
        <v>40.7922625</v>
      </c>
      <c r="P76" s="7"/>
      <c r="Q76" s="13"/>
      <c r="R76" s="14"/>
      <c r="S76" s="14"/>
      <c r="T76" s="27"/>
      <c r="U76" s="28">
        <f t="shared" si="3"/>
        <v>2.130959763107473</v>
      </c>
    </row>
    <row r="77" spans="1:21" x14ac:dyDescent="0.25">
      <c r="B77" s="6" t="s">
        <v>63</v>
      </c>
      <c r="C77" s="15">
        <v>1496.29</v>
      </c>
      <c r="D77" s="16">
        <v>42.317</v>
      </c>
      <c r="E77" s="16">
        <v>46.625999999999998</v>
      </c>
      <c r="F77" s="16">
        <v>47.572000000000003</v>
      </c>
      <c r="G77" s="16">
        <v>32.51</v>
      </c>
      <c r="H77" s="16">
        <f t="shared" si="0"/>
        <v>43.512499999999996</v>
      </c>
      <c r="I77" s="5"/>
      <c r="J77" s="15">
        <v>1534.556</v>
      </c>
      <c r="K77" s="16">
        <v>42.498699999999999</v>
      </c>
      <c r="L77" s="16">
        <v>46.739100000000001</v>
      </c>
      <c r="M77" s="16">
        <v>47.615299999999998</v>
      </c>
      <c r="N77" s="16">
        <v>104.2209</v>
      </c>
      <c r="O77" s="16">
        <f t="shared" si="1"/>
        <v>43.668324999999996</v>
      </c>
      <c r="P77" s="7"/>
      <c r="Q77" s="8">
        <f>bdrate(C77:C80,D77:D80,J77:J80,K77:K80)</f>
        <v>-2.5411797555877191E-2</v>
      </c>
      <c r="R77" s="8">
        <f>bdrate(C77:C80,E77:E80,J77:J80,L77:L80)</f>
        <v>-2.6998909856835618E-2</v>
      </c>
      <c r="S77" s="8">
        <f>bdrate(C77:C80,F77:F80,J77:J80,M77:M80)</f>
        <v>3.2856100957149081E-2</v>
      </c>
      <c r="T77" s="25">
        <f>bdrate(C77:C80,H77:H80,J77:J80,O77:O80)</f>
        <v>-1.9497227868573441E-2</v>
      </c>
      <c r="U77" s="28">
        <f t="shared" si="3"/>
        <v>2.2058105198400497</v>
      </c>
    </row>
    <row r="78" spans="1:21" x14ac:dyDescent="0.25">
      <c r="B78" s="9"/>
      <c r="C78" s="17">
        <v>990.7</v>
      </c>
      <c r="D78" s="18">
        <v>41.442999999999998</v>
      </c>
      <c r="E78" s="18">
        <v>45.811999999999998</v>
      </c>
      <c r="F78" s="18">
        <v>46.755000000000003</v>
      </c>
      <c r="G78" s="18">
        <v>37.56</v>
      </c>
      <c r="H78" s="18">
        <f t="shared" si="0"/>
        <v>42.653124999999996</v>
      </c>
      <c r="I78" s="5"/>
      <c r="J78" s="17">
        <v>1011.9088</v>
      </c>
      <c r="K78" s="18">
        <v>41.670200000000001</v>
      </c>
      <c r="L78" s="18">
        <v>45.9681</v>
      </c>
      <c r="M78" s="18">
        <v>46.803600000000003</v>
      </c>
      <c r="N78" s="18">
        <v>120.5788</v>
      </c>
      <c r="O78" s="18">
        <f t="shared" si="1"/>
        <v>42.849112500000004</v>
      </c>
      <c r="P78" s="7"/>
      <c r="Q78" s="10"/>
      <c r="R78" s="11"/>
      <c r="S78" s="11"/>
      <c r="T78" s="26"/>
      <c r="U78" s="28">
        <f t="shared" si="3"/>
        <v>2.2102981895633653</v>
      </c>
    </row>
    <row r="79" spans="1:21" x14ac:dyDescent="0.25">
      <c r="B79" s="9"/>
      <c r="C79" s="17">
        <v>590.66999999999996</v>
      </c>
      <c r="D79" s="18">
        <v>40.162999999999997</v>
      </c>
      <c r="E79" s="18">
        <v>44.613</v>
      </c>
      <c r="F79" s="18">
        <v>45.597000000000001</v>
      </c>
      <c r="G79" s="18">
        <v>43.21</v>
      </c>
      <c r="H79" s="18">
        <f t="shared" si="0"/>
        <v>41.398499999999999</v>
      </c>
      <c r="I79" s="5"/>
      <c r="J79" s="17">
        <v>606.48320000000001</v>
      </c>
      <c r="K79" s="18">
        <v>40.3491</v>
      </c>
      <c r="L79" s="18">
        <v>44.813200000000002</v>
      </c>
      <c r="M79" s="18">
        <v>45.621099999999998</v>
      </c>
      <c r="N79" s="18">
        <v>137.86760000000001</v>
      </c>
      <c r="O79" s="18">
        <f t="shared" si="1"/>
        <v>41.566112500000003</v>
      </c>
      <c r="P79" s="7"/>
      <c r="Q79" s="10"/>
      <c r="R79" s="11"/>
      <c r="S79" s="11"/>
      <c r="T79" s="26"/>
      <c r="U79" s="28">
        <f t="shared" si="3"/>
        <v>2.1906410553112705</v>
      </c>
    </row>
    <row r="80" spans="1:21" ht="16.5" thickBot="1" x14ac:dyDescent="0.3">
      <c r="B80" s="12"/>
      <c r="C80" s="19">
        <v>288.24</v>
      </c>
      <c r="D80" s="20">
        <v>38.081000000000003</v>
      </c>
      <c r="E80" s="20">
        <v>43.084000000000003</v>
      </c>
      <c r="F80" s="20">
        <v>44.027999999999999</v>
      </c>
      <c r="G80" s="20">
        <v>51.48</v>
      </c>
      <c r="H80" s="20">
        <f t="shared" si="0"/>
        <v>39.449750000000009</v>
      </c>
      <c r="I80" s="5"/>
      <c r="J80" s="19">
        <v>296.06400000000002</v>
      </c>
      <c r="K80" s="20">
        <v>37.845100000000002</v>
      </c>
      <c r="L80" s="20">
        <v>42.853700000000003</v>
      </c>
      <c r="M80" s="20">
        <v>43.685299999999998</v>
      </c>
      <c r="N80" s="20">
        <v>167.22409999999999</v>
      </c>
      <c r="O80" s="20">
        <f t="shared" si="1"/>
        <v>39.2012</v>
      </c>
      <c r="P80" s="7"/>
      <c r="Q80" s="13"/>
      <c r="R80" s="14"/>
      <c r="S80" s="14"/>
      <c r="T80" s="27"/>
      <c r="U80" s="28">
        <f t="shared" si="3"/>
        <v>2.2483313908313911</v>
      </c>
    </row>
    <row r="81" spans="1:21" x14ac:dyDescent="0.25">
      <c r="A81" s="6" t="s">
        <v>102</v>
      </c>
      <c r="B81" s="6" t="s">
        <v>103</v>
      </c>
      <c r="C81" s="29">
        <v>1201.54</v>
      </c>
      <c r="D81" s="30">
        <v>43.671999999999997</v>
      </c>
      <c r="E81" s="30">
        <v>49.271999999999998</v>
      </c>
      <c r="F81" s="30">
        <v>50.220999999999997</v>
      </c>
      <c r="G81" s="16">
        <v>17.72</v>
      </c>
      <c r="H81" s="16">
        <f t="shared" ref="H81:H124" si="4">(6*D81+E81+F81)/8</f>
        <v>45.190624999999997</v>
      </c>
      <c r="I81" s="5"/>
      <c r="J81" s="15">
        <v>1284.4647</v>
      </c>
      <c r="K81" s="16">
        <v>43.5306</v>
      </c>
      <c r="L81" s="16">
        <v>49.320300000000003</v>
      </c>
      <c r="M81" s="16">
        <v>50.169600000000003</v>
      </c>
      <c r="N81" s="16">
        <v>61.1143</v>
      </c>
      <c r="O81" s="16">
        <f t="shared" ref="O81:O91" si="5">(6*K81+L81+M81)/8</f>
        <v>45.084187500000006</v>
      </c>
      <c r="P81" s="7"/>
      <c r="Q81" s="8">
        <f>bdrate(C81:C84,D81:D84,J81:J84,K81:K84)</f>
        <v>1.0063128135733956E-2</v>
      </c>
      <c r="R81" s="8">
        <f>bdrate(C81:C84,E81:E84,J81:J84,L81:L84)</f>
        <v>-6.0654552548831231E-2</v>
      </c>
      <c r="S81" s="8">
        <f>bdrate(C81:C84,F81:F84,J81:J84,M81:M84)</f>
        <v>-8.5002767727195727E-2</v>
      </c>
      <c r="T81" s="25">
        <f>bdrate(C81:C84,H81:H84,J81:J84,O81:O84)</f>
        <v>-7.605796366094375E-3</v>
      </c>
      <c r="U81" s="28">
        <f t="shared" si="3"/>
        <v>2.4488882618510162</v>
      </c>
    </row>
    <row r="82" spans="1:21" x14ac:dyDescent="0.25">
      <c r="A82" s="9" t="s">
        <v>78</v>
      </c>
      <c r="B82" s="9"/>
      <c r="C82" s="31">
        <v>805.76</v>
      </c>
      <c r="D82" s="32">
        <v>41.805999999999997</v>
      </c>
      <c r="E82" s="32">
        <v>47.579000000000001</v>
      </c>
      <c r="F82" s="32">
        <v>48.548999999999999</v>
      </c>
      <c r="G82" s="18">
        <v>20.079999999999998</v>
      </c>
      <c r="H82" s="18">
        <f t="shared" si="4"/>
        <v>43.370499999999993</v>
      </c>
      <c r="I82" s="5"/>
      <c r="J82" s="17">
        <v>879.48929999999996</v>
      </c>
      <c r="K82" s="18">
        <v>41.948799999999999</v>
      </c>
      <c r="L82" s="18">
        <v>48.056399999999996</v>
      </c>
      <c r="M82" s="18">
        <v>49.049799999999998</v>
      </c>
      <c r="N82" s="18">
        <v>71.400199999999998</v>
      </c>
      <c r="O82" s="18">
        <f t="shared" si="5"/>
        <v>43.599874999999997</v>
      </c>
      <c r="P82" s="7"/>
      <c r="Q82" s="10"/>
      <c r="R82" s="11"/>
      <c r="S82" s="11"/>
      <c r="T82" s="26"/>
      <c r="U82" s="28">
        <f t="shared" si="3"/>
        <v>2.5557868525896414</v>
      </c>
    </row>
    <row r="83" spans="1:21" x14ac:dyDescent="0.25">
      <c r="B83" s="9"/>
      <c r="C83" s="31">
        <v>487.6</v>
      </c>
      <c r="D83" s="32">
        <v>39.171999999999997</v>
      </c>
      <c r="E83" s="32">
        <v>45.447000000000003</v>
      </c>
      <c r="F83" s="32">
        <v>46.65</v>
      </c>
      <c r="G83" s="18">
        <v>23.51</v>
      </c>
      <c r="H83" s="18">
        <f t="shared" si="4"/>
        <v>40.891124999999995</v>
      </c>
      <c r="I83" s="5"/>
      <c r="J83" s="17">
        <v>545.35910000000001</v>
      </c>
      <c r="K83" s="18">
        <v>39.795099999999998</v>
      </c>
      <c r="L83" s="18">
        <v>46.178600000000003</v>
      </c>
      <c r="M83" s="18">
        <v>47.460299999999997</v>
      </c>
      <c r="N83" s="18">
        <v>88.552199999999999</v>
      </c>
      <c r="O83" s="18">
        <f t="shared" si="5"/>
        <v>41.551187500000005</v>
      </c>
      <c r="P83" s="7"/>
      <c r="Q83" s="10"/>
      <c r="R83" s="11"/>
      <c r="S83" s="11"/>
      <c r="T83" s="26"/>
      <c r="U83" s="28">
        <f t="shared" si="3"/>
        <v>2.7665759251382385</v>
      </c>
    </row>
    <row r="84" spans="1:21" ht="16.5" thickBot="1" x14ac:dyDescent="0.3">
      <c r="B84" s="12"/>
      <c r="C84" s="33">
        <v>248.8</v>
      </c>
      <c r="D84" s="34">
        <v>36.045000000000002</v>
      </c>
      <c r="E84" s="34">
        <v>43.183</v>
      </c>
      <c r="F84" s="34">
        <v>44.287999999999997</v>
      </c>
      <c r="G84" s="20">
        <v>28.43</v>
      </c>
      <c r="H84" s="20">
        <f t="shared" si="4"/>
        <v>37.967625000000005</v>
      </c>
      <c r="I84" s="5"/>
      <c r="J84" s="19">
        <v>282.40550000000002</v>
      </c>
      <c r="K84" s="20">
        <v>36.8446</v>
      </c>
      <c r="L84" s="20">
        <v>44.142499999999998</v>
      </c>
      <c r="M84" s="20">
        <v>45.454900000000002</v>
      </c>
      <c r="N84" s="20">
        <v>117.1417</v>
      </c>
      <c r="O84" s="20">
        <f t="shared" si="5"/>
        <v>38.833125000000003</v>
      </c>
      <c r="P84" s="7"/>
      <c r="Q84" s="13"/>
      <c r="R84" s="14"/>
      <c r="S84" s="14"/>
      <c r="T84" s="27"/>
      <c r="U84" s="28">
        <f t="shared" si="3"/>
        <v>3.1203552585297225</v>
      </c>
    </row>
    <row r="85" spans="1:21" x14ac:dyDescent="0.25">
      <c r="B85" s="6" t="s">
        <v>104</v>
      </c>
      <c r="C85" s="15">
        <v>1460.52</v>
      </c>
      <c r="D85" s="16">
        <v>52.774999999999999</v>
      </c>
      <c r="E85" s="16">
        <v>53.762999999999998</v>
      </c>
      <c r="F85" s="16">
        <v>54.195999999999998</v>
      </c>
      <c r="G85" s="16">
        <v>43.77</v>
      </c>
      <c r="H85" s="16">
        <f t="shared" si="4"/>
        <v>53.07612499999999</v>
      </c>
      <c r="I85" s="5"/>
      <c r="J85" s="15">
        <v>1450.0807</v>
      </c>
      <c r="K85" s="16">
        <v>51.507899999999999</v>
      </c>
      <c r="L85" s="16">
        <v>52.500399999999999</v>
      </c>
      <c r="M85" s="16">
        <v>52.997700000000002</v>
      </c>
      <c r="N85" s="16">
        <v>109.2697</v>
      </c>
      <c r="O85" s="16">
        <f t="shared" si="5"/>
        <v>51.818187500000001</v>
      </c>
      <c r="P85" s="7"/>
      <c r="Q85" s="8">
        <f>bdrate(C85:C88,D85:D88,J85:J88,K85:K88)</f>
        <v>0.11736095827360349</v>
      </c>
      <c r="R85" s="8">
        <f>bdrate(C85:C88,E85:E88,J85:J88,L85:L88)</f>
        <v>0.1513173136990078</v>
      </c>
      <c r="S85" s="8">
        <f>bdrate(C85:C88,F85:F88,J85:J88,M85:M88)</f>
        <v>0.15884092008041284</v>
      </c>
      <c r="T85" s="25">
        <f>bdrate(C85:C88,H85:H88,J85:J88,O85:O88)</f>
        <v>0.12617689673870602</v>
      </c>
      <c r="U85" s="28">
        <f t="shared" si="3"/>
        <v>1.496451907699337</v>
      </c>
    </row>
    <row r="86" spans="1:21" x14ac:dyDescent="0.25">
      <c r="B86" s="9"/>
      <c r="C86" s="17">
        <v>969.59</v>
      </c>
      <c r="D86" s="18">
        <v>50.110999999999997</v>
      </c>
      <c r="E86" s="18">
        <v>51.314999999999998</v>
      </c>
      <c r="F86" s="18">
        <v>51.860999999999997</v>
      </c>
      <c r="G86" s="18">
        <v>47.62</v>
      </c>
      <c r="H86" s="18">
        <f t="shared" si="4"/>
        <v>50.480249999999998</v>
      </c>
      <c r="I86" s="5"/>
      <c r="J86" s="17">
        <v>976.32950000000005</v>
      </c>
      <c r="K86" s="18">
        <v>49.613100000000003</v>
      </c>
      <c r="L86" s="18">
        <v>50.7087</v>
      </c>
      <c r="M86" s="18">
        <v>51.253100000000003</v>
      </c>
      <c r="N86" s="18">
        <v>134.16820000000001</v>
      </c>
      <c r="O86" s="18">
        <f t="shared" si="5"/>
        <v>49.955050000000007</v>
      </c>
      <c r="P86" s="7"/>
      <c r="Q86" s="10"/>
      <c r="R86" s="11"/>
      <c r="S86" s="11"/>
      <c r="T86" s="26"/>
      <c r="U86" s="28">
        <f t="shared" si="3"/>
        <v>1.8174758504829907</v>
      </c>
    </row>
    <row r="87" spans="1:21" x14ac:dyDescent="0.25">
      <c r="B87" s="9"/>
      <c r="C87" s="17">
        <v>580.44000000000005</v>
      </c>
      <c r="D87" s="18">
        <v>46.939</v>
      </c>
      <c r="E87" s="18">
        <v>48.390999999999998</v>
      </c>
      <c r="F87" s="18">
        <v>49.003999999999998</v>
      </c>
      <c r="G87" s="18">
        <v>50.17</v>
      </c>
      <c r="H87" s="18">
        <f t="shared" si="4"/>
        <v>47.378625000000007</v>
      </c>
      <c r="I87" s="5"/>
      <c r="J87" s="17">
        <v>592.02679999999998</v>
      </c>
      <c r="K87" s="18">
        <v>46.379800000000003</v>
      </c>
      <c r="L87" s="18">
        <v>47.723500000000001</v>
      </c>
      <c r="M87" s="18">
        <v>48.2849</v>
      </c>
      <c r="N87" s="18">
        <v>157.19149999999999</v>
      </c>
      <c r="O87" s="18">
        <f t="shared" si="5"/>
        <v>46.785900000000005</v>
      </c>
      <c r="P87" s="7"/>
      <c r="Q87" s="10"/>
      <c r="R87" s="11"/>
      <c r="S87" s="11"/>
      <c r="T87" s="26"/>
      <c r="U87" s="28">
        <f t="shared" si="3"/>
        <v>2.1331771975284033</v>
      </c>
    </row>
    <row r="88" spans="1:21" ht="16.5" thickBot="1" x14ac:dyDescent="0.3">
      <c r="B88" s="12"/>
      <c r="C88" s="19">
        <v>291.60000000000002</v>
      </c>
      <c r="D88" s="20">
        <v>42.951999999999998</v>
      </c>
      <c r="E88" s="20">
        <v>44.738999999999997</v>
      </c>
      <c r="F88" s="20">
        <v>45.363999999999997</v>
      </c>
      <c r="G88" s="20">
        <v>55.88</v>
      </c>
      <c r="H88" s="20">
        <f t="shared" si="4"/>
        <v>43.476874999999993</v>
      </c>
      <c r="I88" s="5"/>
      <c r="J88" s="19">
        <v>299.8784</v>
      </c>
      <c r="K88" s="20">
        <v>42.425800000000002</v>
      </c>
      <c r="L88" s="20">
        <v>43.935600000000001</v>
      </c>
      <c r="M88" s="20">
        <v>44.562600000000003</v>
      </c>
      <c r="N88" s="20">
        <v>177.51480000000001</v>
      </c>
      <c r="O88" s="20">
        <f t="shared" si="5"/>
        <v>42.881625</v>
      </c>
      <c r="P88" s="7"/>
      <c r="Q88" s="13"/>
      <c r="R88" s="14"/>
      <c r="S88" s="14"/>
      <c r="T88" s="27"/>
      <c r="U88" s="28">
        <f t="shared" si="3"/>
        <v>2.1767143879742306</v>
      </c>
    </row>
    <row r="89" spans="1:21" x14ac:dyDescent="0.25">
      <c r="B89" s="6" t="s">
        <v>105</v>
      </c>
      <c r="C89" s="15">
        <v>1551.65</v>
      </c>
      <c r="D89" s="16">
        <v>42.77</v>
      </c>
      <c r="E89" s="16">
        <v>45.091999999999999</v>
      </c>
      <c r="F89" s="16">
        <v>45.552</v>
      </c>
      <c r="G89" s="16">
        <v>23.49</v>
      </c>
      <c r="H89" s="16">
        <f t="shared" si="4"/>
        <v>43.408000000000001</v>
      </c>
      <c r="I89" s="5"/>
      <c r="J89" s="15">
        <v>1492.1165000000001</v>
      </c>
      <c r="K89" s="16">
        <v>42.7438</v>
      </c>
      <c r="L89" s="16">
        <v>45.086300000000001</v>
      </c>
      <c r="M89" s="16">
        <v>45.512</v>
      </c>
      <c r="N89" s="16">
        <v>78.923100000000005</v>
      </c>
      <c r="O89" s="16">
        <f t="shared" si="5"/>
        <v>43.382637500000001</v>
      </c>
      <c r="P89" s="7"/>
      <c r="Q89" s="8">
        <f>bdrate(C89:C92,D89:D92,J89:J92,K89:K92)</f>
        <v>-5.3922459987658655E-2</v>
      </c>
      <c r="R89" s="8">
        <f>bdrate(C89:C92,E89:E92,J89:J92,L89:L92)</f>
        <v>-9.4529147960734305E-2</v>
      </c>
      <c r="S89" s="8">
        <f>bdrate(C89:C92,F89:F92,J89:J92,M89:M92)</f>
        <v>-8.0818689120890075E-2</v>
      </c>
      <c r="T89" s="25">
        <f>bdrate(C89:C92,H89:H92,J89:J92,O89:O92)</f>
        <v>-6.0533658810964286E-2</v>
      </c>
      <c r="U89" s="28">
        <f t="shared" si="3"/>
        <v>2.3598595146871015</v>
      </c>
    </row>
    <row r="90" spans="1:21" x14ac:dyDescent="0.25">
      <c r="B90" s="9"/>
      <c r="C90" s="17">
        <v>1033.05</v>
      </c>
      <c r="D90" s="18">
        <v>40.704999999999998</v>
      </c>
      <c r="E90" s="18">
        <v>43.41</v>
      </c>
      <c r="F90" s="18">
        <v>43.904000000000003</v>
      </c>
      <c r="G90" s="18">
        <v>26.15</v>
      </c>
      <c r="H90" s="18">
        <f t="shared" si="4"/>
        <v>41.442999999999998</v>
      </c>
      <c r="I90" s="5"/>
      <c r="J90" s="17">
        <v>996.19849999999997</v>
      </c>
      <c r="K90" s="18">
        <v>40.787100000000002</v>
      </c>
      <c r="L90" s="18">
        <v>43.570099999999996</v>
      </c>
      <c r="M90" s="18">
        <v>43.997999999999998</v>
      </c>
      <c r="N90" s="18">
        <v>93.052099999999996</v>
      </c>
      <c r="O90" s="18">
        <f t="shared" si="5"/>
        <v>41.536337499999995</v>
      </c>
      <c r="P90" s="7"/>
      <c r="Q90" s="10"/>
      <c r="R90" s="11"/>
      <c r="S90" s="11"/>
      <c r="T90" s="26"/>
      <c r="U90" s="28">
        <f t="shared" si="3"/>
        <v>2.558397705544933</v>
      </c>
    </row>
    <row r="91" spans="1:21" x14ac:dyDescent="0.25">
      <c r="B91" s="9"/>
      <c r="C91" s="17">
        <v>622</v>
      </c>
      <c r="D91" s="18">
        <v>38.055999999999997</v>
      </c>
      <c r="E91" s="18">
        <v>41.421999999999997</v>
      </c>
      <c r="F91" s="18">
        <v>41.926000000000002</v>
      </c>
      <c r="G91" s="18">
        <v>29.95</v>
      </c>
      <c r="H91" s="18">
        <f t="shared" si="4"/>
        <v>38.960499999999996</v>
      </c>
      <c r="I91" s="5"/>
      <c r="J91" s="17">
        <v>598.95360000000005</v>
      </c>
      <c r="K91" s="18">
        <v>38.256300000000003</v>
      </c>
      <c r="L91" s="18">
        <v>41.760300000000001</v>
      </c>
      <c r="M91" s="18">
        <v>42.1935</v>
      </c>
      <c r="N91" s="18">
        <v>108.85339999999999</v>
      </c>
      <c r="O91" s="18">
        <f t="shared" si="5"/>
        <v>39.186449999999994</v>
      </c>
      <c r="P91" s="7"/>
      <c r="Q91" s="10"/>
      <c r="R91" s="11"/>
      <c r="S91" s="11"/>
      <c r="T91" s="26"/>
      <c r="U91" s="28">
        <f t="shared" si="3"/>
        <v>2.6345041736227044</v>
      </c>
    </row>
    <row r="92" spans="1:21" ht="16.5" thickBot="1" x14ac:dyDescent="0.3">
      <c r="B92" s="12"/>
      <c r="C92" s="19">
        <v>311.93</v>
      </c>
      <c r="D92" s="20">
        <v>34.604999999999997</v>
      </c>
      <c r="E92" s="20">
        <v>38.896999999999998</v>
      </c>
      <c r="F92" s="20">
        <v>39.420999999999999</v>
      </c>
      <c r="G92" s="20">
        <v>35.020000000000003</v>
      </c>
      <c r="H92" s="20">
        <f t="shared" si="4"/>
        <v>35.743499999999997</v>
      </c>
      <c r="I92" s="5"/>
      <c r="J92" s="19">
        <v>299.65050000000002</v>
      </c>
      <c r="K92" s="20">
        <v>34.445700000000002</v>
      </c>
      <c r="L92" s="20">
        <v>39.090699999999998</v>
      </c>
      <c r="M92" s="20">
        <v>39.5884</v>
      </c>
      <c r="N92" s="20">
        <v>135.1148</v>
      </c>
      <c r="O92" s="20">
        <f t="shared" ref="O92:O124" si="6">(6*K92+L92+M92)/8</f>
        <v>35.669162499999999</v>
      </c>
      <c r="P92" s="7"/>
      <c r="Q92" s="13"/>
      <c r="R92" s="14"/>
      <c r="S92" s="14"/>
      <c r="T92" s="27"/>
      <c r="U92" s="28">
        <f t="shared" ref="U92:U124" si="7">(N92-G92)/G92</f>
        <v>2.8582181610508277</v>
      </c>
    </row>
    <row r="93" spans="1:21" x14ac:dyDescent="0.25">
      <c r="B93" s="6" t="s">
        <v>106</v>
      </c>
      <c r="C93" s="15">
        <v>1367.43</v>
      </c>
      <c r="D93" s="16">
        <v>38.625999999999998</v>
      </c>
      <c r="E93" s="16">
        <v>43.261000000000003</v>
      </c>
      <c r="F93" s="16">
        <v>43.228000000000002</v>
      </c>
      <c r="G93" s="16">
        <v>18.91</v>
      </c>
      <c r="H93" s="16">
        <f t="shared" si="4"/>
        <v>39.780625000000001</v>
      </c>
      <c r="I93" s="5"/>
      <c r="J93" s="29">
        <v>1497.2303999999999</v>
      </c>
      <c r="K93" s="30">
        <v>39.035800000000002</v>
      </c>
      <c r="L93" s="30">
        <v>43.499299999999998</v>
      </c>
      <c r="M93" s="30">
        <v>43.509599999999999</v>
      </c>
      <c r="N93" s="16">
        <v>67.991200000000006</v>
      </c>
      <c r="O93" s="16">
        <f t="shared" si="6"/>
        <v>40.152962500000001</v>
      </c>
      <c r="P93" s="7"/>
      <c r="Q93" s="8">
        <f>bdrate(C93:C96,D93:D96,J93:J96,K93:K96)</f>
        <v>1.9793065215591987E-2</v>
      </c>
      <c r="R93" s="8">
        <f>bdrate(C93:C96,E93:E96,J93:J96,L93:L96)</f>
        <v>-4.2127335309468772E-2</v>
      </c>
      <c r="S93" s="8">
        <f>bdrate(C93:C96,F93:F96,J93:J96,M93:M96)</f>
        <v>-4.8293904261009102E-2</v>
      </c>
      <c r="T93" s="25">
        <f>bdrate(C93:C96,H93:H96,J93:J96,O93:O96)</f>
        <v>6.6952861141513775E-3</v>
      </c>
      <c r="U93" s="28">
        <f t="shared" si="7"/>
        <v>2.5955156002115287</v>
      </c>
    </row>
    <row r="94" spans="1:21" x14ac:dyDescent="0.25">
      <c r="B94" s="9"/>
      <c r="C94" s="17">
        <v>909.56</v>
      </c>
      <c r="D94" s="18">
        <v>36.817999999999998</v>
      </c>
      <c r="E94" s="18">
        <v>41.854999999999997</v>
      </c>
      <c r="F94" s="18">
        <v>41.85</v>
      </c>
      <c r="G94" s="18">
        <v>21.45</v>
      </c>
      <c r="H94" s="18">
        <f t="shared" si="4"/>
        <v>38.076625</v>
      </c>
      <c r="I94" s="5"/>
      <c r="J94" s="31">
        <v>1000.9473</v>
      </c>
      <c r="K94" s="32">
        <v>37.204500000000003</v>
      </c>
      <c r="L94" s="32">
        <v>42.235900000000001</v>
      </c>
      <c r="M94" s="32">
        <v>42.220199999999998</v>
      </c>
      <c r="N94" s="18">
        <v>79.741299999999995</v>
      </c>
      <c r="O94" s="18">
        <f t="shared" si="6"/>
        <v>38.460387500000003</v>
      </c>
      <c r="P94" s="7"/>
      <c r="Q94" s="10"/>
      <c r="R94" s="11"/>
      <c r="S94" s="11"/>
      <c r="T94" s="26"/>
      <c r="U94" s="28">
        <f t="shared" si="7"/>
        <v>2.7175431235431233</v>
      </c>
    </row>
    <row r="95" spans="1:21" x14ac:dyDescent="0.25">
      <c r="B95" s="9"/>
      <c r="C95" s="17">
        <v>543.70000000000005</v>
      </c>
      <c r="D95" s="18">
        <v>34.579000000000001</v>
      </c>
      <c r="E95" s="18">
        <v>40.207000000000001</v>
      </c>
      <c r="F95" s="18">
        <v>40.180999999999997</v>
      </c>
      <c r="G95" s="18">
        <v>24.87</v>
      </c>
      <c r="H95" s="18">
        <f t="shared" si="4"/>
        <v>35.982749999999996</v>
      </c>
      <c r="I95" s="5"/>
      <c r="J95" s="31">
        <v>600.63570000000004</v>
      </c>
      <c r="K95" s="32">
        <v>34.933399999999999</v>
      </c>
      <c r="L95" s="32">
        <v>40.6708</v>
      </c>
      <c r="M95" s="32">
        <v>40.707299999999996</v>
      </c>
      <c r="N95" s="18">
        <v>95.435000000000002</v>
      </c>
      <c r="O95" s="18">
        <f t="shared" si="6"/>
        <v>36.372312499999992</v>
      </c>
      <c r="P95" s="7"/>
      <c r="Q95" s="10"/>
      <c r="R95" s="11"/>
      <c r="S95" s="11"/>
      <c r="T95" s="26"/>
      <c r="U95" s="28">
        <f t="shared" si="7"/>
        <v>2.837354242058705</v>
      </c>
    </row>
    <row r="96" spans="1:21" ht="16.5" thickBot="1" x14ac:dyDescent="0.3">
      <c r="B96" s="12"/>
      <c r="C96" s="19">
        <v>271.08999999999997</v>
      </c>
      <c r="D96" s="20">
        <v>31.673999999999999</v>
      </c>
      <c r="E96" s="20">
        <v>38.213000000000001</v>
      </c>
      <c r="F96" s="20">
        <v>38.171999999999997</v>
      </c>
      <c r="G96" s="20">
        <v>30.64</v>
      </c>
      <c r="H96" s="20">
        <f t="shared" si="4"/>
        <v>33.303624999999997</v>
      </c>
      <c r="I96" s="5"/>
      <c r="J96" s="33">
        <v>301.35430000000002</v>
      </c>
      <c r="K96" s="34">
        <v>31.894300000000001</v>
      </c>
      <c r="L96" s="34">
        <v>38.762900000000002</v>
      </c>
      <c r="M96" s="34">
        <v>38.667299999999997</v>
      </c>
      <c r="N96" s="20">
        <v>121.0817</v>
      </c>
      <c r="O96" s="20">
        <f t="shared" si="6"/>
        <v>33.599499999999999</v>
      </c>
      <c r="P96" s="7"/>
      <c r="Q96" s="13"/>
      <c r="R96" s="14"/>
      <c r="S96" s="14"/>
      <c r="T96" s="27"/>
      <c r="U96" s="28">
        <f t="shared" si="7"/>
        <v>2.9517526109660572</v>
      </c>
    </row>
    <row r="97" spans="2:21" x14ac:dyDescent="0.25">
      <c r="B97" s="6" t="s">
        <v>107</v>
      </c>
      <c r="C97" s="29">
        <v>1525.1</v>
      </c>
      <c r="D97" s="30">
        <v>36.805999999999997</v>
      </c>
      <c r="E97" s="30">
        <v>41.26</v>
      </c>
      <c r="F97" s="30">
        <v>41.781999999999996</v>
      </c>
      <c r="G97" s="16">
        <v>24.54</v>
      </c>
      <c r="H97" s="16">
        <f t="shared" si="4"/>
        <v>37.984749999999998</v>
      </c>
      <c r="I97" s="5"/>
      <c r="J97" s="15">
        <v>1501.104</v>
      </c>
      <c r="K97" s="16">
        <v>36.958599999999997</v>
      </c>
      <c r="L97" s="16">
        <v>41.437600000000003</v>
      </c>
      <c r="M97" s="16">
        <v>41.97</v>
      </c>
      <c r="N97" s="16">
        <v>68.112200000000001</v>
      </c>
      <c r="O97" s="16">
        <f t="shared" si="6"/>
        <v>38.144900000000007</v>
      </c>
      <c r="P97" s="7"/>
      <c r="Q97" s="8">
        <f>bdrate(C97:C100,D97:D100,J97:J100,K97:K100)</f>
        <v>-3.4490065015900573E-2</v>
      </c>
      <c r="R97" s="8">
        <f>bdrate(C97:C100,E97:E100,J97:J100,L97:L100)</f>
        <v>-0.14739322582913517</v>
      </c>
      <c r="S97" s="8">
        <f>bdrate(C97:C100,F97:F100,J97:J100,M97:M100)</f>
        <v>-0.14286443204426147</v>
      </c>
      <c r="T97" s="25">
        <f>bdrate(C97:C100,H97:H100,J97:J100,O97:O100)</f>
        <v>-5.7444200907045717E-2</v>
      </c>
      <c r="U97" s="28">
        <f t="shared" si="7"/>
        <v>1.7755582722086392</v>
      </c>
    </row>
    <row r="98" spans="2:21" x14ac:dyDescent="0.25">
      <c r="B98" s="9"/>
      <c r="C98" s="31">
        <v>1017.48</v>
      </c>
      <c r="D98" s="32">
        <v>34.924999999999997</v>
      </c>
      <c r="E98" s="32">
        <v>39.703000000000003</v>
      </c>
      <c r="F98" s="32">
        <v>40.304000000000002</v>
      </c>
      <c r="G98" s="18">
        <v>27.95</v>
      </c>
      <c r="H98" s="18">
        <f t="shared" si="4"/>
        <v>36.194625000000002</v>
      </c>
      <c r="I98" s="5"/>
      <c r="J98" s="17">
        <v>1003.5619</v>
      </c>
      <c r="K98" s="18">
        <v>35.055599999999998</v>
      </c>
      <c r="L98" s="18">
        <v>40.040300000000002</v>
      </c>
      <c r="M98" s="18">
        <v>40.634999999999998</v>
      </c>
      <c r="N98" s="18">
        <v>79.086100000000002</v>
      </c>
      <c r="O98" s="18">
        <f t="shared" si="6"/>
        <v>36.376112499999998</v>
      </c>
      <c r="P98" s="7"/>
      <c r="Q98" s="10"/>
      <c r="R98" s="11"/>
      <c r="S98" s="11"/>
      <c r="T98" s="26"/>
      <c r="U98" s="28">
        <f t="shared" si="7"/>
        <v>1.8295563506261181</v>
      </c>
    </row>
    <row r="99" spans="2:21" x14ac:dyDescent="0.25">
      <c r="B99" s="9"/>
      <c r="C99" s="31">
        <v>610.30999999999995</v>
      </c>
      <c r="D99" s="32">
        <v>32.634999999999998</v>
      </c>
      <c r="E99" s="32">
        <v>37.814</v>
      </c>
      <c r="F99" s="32">
        <v>38.506999999999998</v>
      </c>
      <c r="G99" s="18">
        <v>31.99</v>
      </c>
      <c r="H99" s="18">
        <f t="shared" si="4"/>
        <v>34.016374999999996</v>
      </c>
      <c r="I99" s="5"/>
      <c r="J99" s="17">
        <v>602.41719999999998</v>
      </c>
      <c r="K99" s="18">
        <v>32.7455</v>
      </c>
      <c r="L99" s="18">
        <v>38.423299999999998</v>
      </c>
      <c r="M99" s="18">
        <v>39.064999999999998</v>
      </c>
      <c r="N99" s="18">
        <v>94.039000000000001</v>
      </c>
      <c r="O99" s="18">
        <f t="shared" si="6"/>
        <v>34.245162499999999</v>
      </c>
      <c r="P99" s="7"/>
      <c r="Q99" s="10"/>
      <c r="R99" s="11"/>
      <c r="S99" s="11"/>
      <c r="T99" s="26"/>
      <c r="U99" s="28">
        <f t="shared" si="7"/>
        <v>1.9396373866833387</v>
      </c>
    </row>
    <row r="100" spans="2:21" ht="16.5" thickBot="1" x14ac:dyDescent="0.3">
      <c r="B100" s="12"/>
      <c r="C100" s="33">
        <v>304.64</v>
      </c>
      <c r="D100" s="34">
        <v>29.530999999999999</v>
      </c>
      <c r="E100" s="34">
        <v>35.636000000000003</v>
      </c>
      <c r="F100" s="34">
        <v>36.491</v>
      </c>
      <c r="G100" s="20">
        <v>38.08</v>
      </c>
      <c r="H100" s="20">
        <f t="shared" si="4"/>
        <v>31.164124999999999</v>
      </c>
      <c r="I100" s="5"/>
      <c r="J100" s="19">
        <v>298.27120000000002</v>
      </c>
      <c r="K100" s="20">
        <v>29.479099999999999</v>
      </c>
      <c r="L100" s="20">
        <v>36.251100000000001</v>
      </c>
      <c r="M100" s="20">
        <v>36.978400000000001</v>
      </c>
      <c r="N100" s="20">
        <v>120.06399999999999</v>
      </c>
      <c r="O100" s="20">
        <f t="shared" si="6"/>
        <v>31.263012499999999</v>
      </c>
      <c r="P100" s="7"/>
      <c r="Q100" s="13"/>
      <c r="R100" s="14"/>
      <c r="S100" s="14"/>
      <c r="T100" s="27"/>
      <c r="U100" s="28">
        <f t="shared" si="7"/>
        <v>2.1529411764705881</v>
      </c>
    </row>
    <row r="101" spans="2:21" x14ac:dyDescent="0.25">
      <c r="B101" s="6" t="s">
        <v>108</v>
      </c>
      <c r="C101" s="15">
        <v>1495.19</v>
      </c>
      <c r="D101" s="16">
        <v>37.293999999999997</v>
      </c>
      <c r="E101" s="16">
        <v>42.999000000000002</v>
      </c>
      <c r="F101" s="16">
        <v>44.584000000000003</v>
      </c>
      <c r="G101" s="16">
        <v>17.21</v>
      </c>
      <c r="H101" s="16">
        <f t="shared" si="4"/>
        <v>38.918374999999997</v>
      </c>
      <c r="I101" s="5"/>
      <c r="J101" s="15">
        <v>1506.6112000000001</v>
      </c>
      <c r="K101" s="16">
        <v>37.189100000000003</v>
      </c>
      <c r="L101" s="16">
        <v>43.0501</v>
      </c>
      <c r="M101" s="16">
        <v>44.443899999999999</v>
      </c>
      <c r="N101" s="16">
        <v>61.212000000000003</v>
      </c>
      <c r="O101" s="16">
        <f t="shared" si="6"/>
        <v>38.828575000000001</v>
      </c>
      <c r="P101" s="7"/>
      <c r="Q101" s="8">
        <f>bdrate(C101:C104,D101:D104,J101:J104,K101:K104)</f>
        <v>3.6821093455646547E-2</v>
      </c>
      <c r="R101" s="8">
        <f>bdrate(C101:C104,E101:E104,J101:J104,L101:L104)</f>
        <v>-8.2270886737932702E-2</v>
      </c>
      <c r="S101" s="8">
        <f>bdrate(C101:C104,F101:F104,J101:J104,M101:M104)</f>
        <v>-1.2055742897202903E-2</v>
      </c>
      <c r="T101" s="25">
        <f>bdrate(C101:C104,H101:H104,J101:J104,O101:O104)</f>
        <v>1.8944579799692551E-2</v>
      </c>
      <c r="U101" s="28">
        <f t="shared" si="7"/>
        <v>2.556769320162696</v>
      </c>
    </row>
    <row r="102" spans="2:21" x14ac:dyDescent="0.25">
      <c r="B102" s="9"/>
      <c r="C102" s="17">
        <v>996.54</v>
      </c>
      <c r="D102" s="18">
        <v>35.884</v>
      </c>
      <c r="E102" s="18">
        <v>41.917000000000002</v>
      </c>
      <c r="F102" s="18">
        <v>43.396000000000001</v>
      </c>
      <c r="G102" s="18">
        <v>19.89</v>
      </c>
      <c r="H102" s="18">
        <f t="shared" si="4"/>
        <v>37.577125000000002</v>
      </c>
      <c r="I102" s="5"/>
      <c r="J102" s="17">
        <v>1006.7127</v>
      </c>
      <c r="K102" s="18">
        <v>35.811</v>
      </c>
      <c r="L102" s="18">
        <v>42.086300000000001</v>
      </c>
      <c r="M102" s="18">
        <v>43.381100000000004</v>
      </c>
      <c r="N102" s="18">
        <v>75.811800000000005</v>
      </c>
      <c r="O102" s="18">
        <f t="shared" si="6"/>
        <v>37.541674999999998</v>
      </c>
      <c r="P102" s="7"/>
      <c r="Q102" s="10"/>
      <c r="R102" s="11"/>
      <c r="S102" s="11"/>
      <c r="T102" s="26"/>
      <c r="U102" s="28">
        <f t="shared" si="7"/>
        <v>2.8115535444947213</v>
      </c>
    </row>
    <row r="103" spans="2:21" x14ac:dyDescent="0.25">
      <c r="B103" s="9"/>
      <c r="C103" s="17">
        <v>598.33000000000004</v>
      </c>
      <c r="D103" s="18">
        <v>34.234000000000002</v>
      </c>
      <c r="E103" s="18">
        <v>40.656999999999996</v>
      </c>
      <c r="F103" s="18">
        <v>41.954999999999998</v>
      </c>
      <c r="G103" s="18">
        <v>23.5</v>
      </c>
      <c r="H103" s="18">
        <f t="shared" si="4"/>
        <v>36.001999999999995</v>
      </c>
      <c r="I103" s="5"/>
      <c r="J103" s="17">
        <v>604.09490000000005</v>
      </c>
      <c r="K103" s="18">
        <v>34.142299999999999</v>
      </c>
      <c r="L103" s="18">
        <v>40.920099999999998</v>
      </c>
      <c r="M103" s="18">
        <v>42.028100000000002</v>
      </c>
      <c r="N103" s="18">
        <v>91.3566</v>
      </c>
      <c r="O103" s="18">
        <f t="shared" si="6"/>
        <v>35.975249999999996</v>
      </c>
      <c r="P103" s="7"/>
      <c r="Q103" s="10"/>
      <c r="R103" s="11"/>
      <c r="S103" s="11"/>
      <c r="T103" s="26"/>
      <c r="U103" s="28">
        <f t="shared" si="7"/>
        <v>2.8875148936170212</v>
      </c>
    </row>
    <row r="104" spans="2:21" ht="16.5" thickBot="1" x14ac:dyDescent="0.3">
      <c r="B104" s="12"/>
      <c r="C104" s="19">
        <v>303.82</v>
      </c>
      <c r="D104" s="20">
        <v>32.209000000000003</v>
      </c>
      <c r="E104" s="20">
        <v>39.206000000000003</v>
      </c>
      <c r="F104" s="20">
        <v>40.149000000000001</v>
      </c>
      <c r="G104" s="20">
        <v>30.2</v>
      </c>
      <c r="H104" s="20">
        <f t="shared" si="4"/>
        <v>34.076125000000005</v>
      </c>
      <c r="I104" s="5"/>
      <c r="J104" s="19">
        <v>302.91370000000001</v>
      </c>
      <c r="K104" s="20">
        <v>32.097000000000001</v>
      </c>
      <c r="L104" s="20">
        <v>39.484099999999998</v>
      </c>
      <c r="M104" s="20">
        <v>40.381900000000002</v>
      </c>
      <c r="N104" s="20">
        <v>116.78449999999999</v>
      </c>
      <c r="O104" s="20">
        <f t="shared" si="6"/>
        <v>34.055999999999997</v>
      </c>
      <c r="P104" s="7"/>
      <c r="Q104" s="13"/>
      <c r="R104" s="14"/>
      <c r="S104" s="14"/>
      <c r="T104" s="27"/>
      <c r="U104" s="28">
        <f t="shared" si="7"/>
        <v>2.8670364238410593</v>
      </c>
    </row>
    <row r="105" spans="2:21" x14ac:dyDescent="0.25">
      <c r="B105" s="6" t="s">
        <v>109</v>
      </c>
      <c r="C105" s="15">
        <v>1603.09</v>
      </c>
      <c r="D105" s="16">
        <v>48.222000000000001</v>
      </c>
      <c r="E105" s="16">
        <v>53.743000000000002</v>
      </c>
      <c r="F105" s="16">
        <v>55.097999999999999</v>
      </c>
      <c r="G105" s="16">
        <v>21.56</v>
      </c>
      <c r="H105" s="16">
        <f t="shared" si="4"/>
        <v>49.771625</v>
      </c>
      <c r="I105" s="5"/>
      <c r="J105" s="15">
        <v>1500.4631999999999</v>
      </c>
      <c r="K105" s="16">
        <v>47.454500000000003</v>
      </c>
      <c r="L105" s="16">
        <v>52.731000000000002</v>
      </c>
      <c r="M105" s="16">
        <v>54.069299999999998</v>
      </c>
      <c r="N105" s="16">
        <v>77.603300000000004</v>
      </c>
      <c r="O105" s="16">
        <f t="shared" si="6"/>
        <v>48.940912500000003</v>
      </c>
      <c r="P105" s="7"/>
      <c r="Q105" s="8">
        <f>bdrate(C105:C108,D105:D108,J105:J108,K105:K108)</f>
        <v>0.13486478989486539</v>
      </c>
      <c r="R105" s="8">
        <f>bdrate(C105:C108,E105:E108,J105:J108,L105:L108)</f>
        <v>0.26536983929018265</v>
      </c>
      <c r="S105" s="8">
        <f>bdrate(C105:C108,F105:F108,J105:J108,M105:M108)</f>
        <v>0.27875105357474839</v>
      </c>
      <c r="T105" s="25">
        <f>bdrate(C105:C108,H105:H108,J105:J108,O105:O108)</f>
        <v>0.16510363583517074</v>
      </c>
      <c r="U105" s="28">
        <f t="shared" si="7"/>
        <v>2.5994109461966608</v>
      </c>
    </row>
    <row r="106" spans="2:21" x14ac:dyDescent="0.25">
      <c r="B106" s="9"/>
      <c r="C106" s="17">
        <v>1063.17</v>
      </c>
      <c r="D106" s="18">
        <v>46.39</v>
      </c>
      <c r="E106" s="18">
        <v>52.179000000000002</v>
      </c>
      <c r="F106" s="18">
        <v>53.564999999999998</v>
      </c>
      <c r="G106" s="18">
        <v>27.54</v>
      </c>
      <c r="H106" s="18">
        <f t="shared" si="4"/>
        <v>48.0105</v>
      </c>
      <c r="I106" s="5"/>
      <c r="J106" s="17">
        <v>1001.8679</v>
      </c>
      <c r="K106" s="18">
        <v>45.643900000000002</v>
      </c>
      <c r="L106" s="18">
        <v>51.103000000000002</v>
      </c>
      <c r="M106" s="18">
        <v>52.455100000000002</v>
      </c>
      <c r="N106" s="18">
        <v>95.6203</v>
      </c>
      <c r="O106" s="18">
        <f t="shared" si="6"/>
        <v>47.177687500000005</v>
      </c>
      <c r="P106" s="7"/>
      <c r="Q106" s="10"/>
      <c r="R106" s="11"/>
      <c r="S106" s="11"/>
      <c r="T106" s="26"/>
      <c r="U106" s="28">
        <f t="shared" si="7"/>
        <v>2.4720515613652867</v>
      </c>
    </row>
    <row r="107" spans="2:21" x14ac:dyDescent="0.25">
      <c r="B107" s="9"/>
      <c r="C107" s="17">
        <v>638.9</v>
      </c>
      <c r="D107" s="18">
        <v>44.148000000000003</v>
      </c>
      <c r="E107" s="18">
        <v>50.220999999999997</v>
      </c>
      <c r="F107" s="18">
        <v>51.618000000000002</v>
      </c>
      <c r="G107" s="18">
        <v>33.83</v>
      </c>
      <c r="H107" s="18">
        <f t="shared" si="4"/>
        <v>45.840875000000004</v>
      </c>
      <c r="I107" s="5"/>
      <c r="J107" s="17">
        <v>601.41189999999995</v>
      </c>
      <c r="K107" s="18">
        <v>43.317500000000003</v>
      </c>
      <c r="L107" s="18">
        <v>48.994100000000003</v>
      </c>
      <c r="M107" s="18">
        <v>50.347200000000001</v>
      </c>
      <c r="N107" s="18">
        <v>116.252</v>
      </c>
      <c r="O107" s="18">
        <f t="shared" si="6"/>
        <v>44.905787500000002</v>
      </c>
      <c r="P107" s="7"/>
      <c r="Q107" s="10"/>
      <c r="R107" s="11"/>
      <c r="S107" s="11"/>
      <c r="T107" s="26"/>
      <c r="U107" s="28">
        <f t="shared" si="7"/>
        <v>2.4363582618977238</v>
      </c>
    </row>
    <row r="108" spans="2:21" ht="16.5" thickBot="1" x14ac:dyDescent="0.3">
      <c r="B108" s="12"/>
      <c r="C108" s="19">
        <v>321.25</v>
      </c>
      <c r="D108" s="20">
        <v>41.268999999999998</v>
      </c>
      <c r="E108" s="20">
        <v>47.48</v>
      </c>
      <c r="F108" s="20">
        <v>48.872999999999998</v>
      </c>
      <c r="G108" s="20">
        <v>43.53</v>
      </c>
      <c r="H108" s="20">
        <f t="shared" si="4"/>
        <v>42.995874999999998</v>
      </c>
      <c r="I108" s="5"/>
      <c r="J108" s="19">
        <v>301.69240000000002</v>
      </c>
      <c r="K108" s="20">
        <v>40.197000000000003</v>
      </c>
      <c r="L108" s="20">
        <v>46.045000000000002</v>
      </c>
      <c r="M108" s="20">
        <v>47.433</v>
      </c>
      <c r="N108" s="20">
        <v>145.7861</v>
      </c>
      <c r="O108" s="20">
        <f t="shared" si="6"/>
        <v>41.832500000000003</v>
      </c>
      <c r="P108" s="7"/>
      <c r="Q108" s="13"/>
      <c r="R108" s="14"/>
      <c r="S108" s="14"/>
      <c r="T108" s="27"/>
      <c r="U108" s="28">
        <f t="shared" si="7"/>
        <v>2.3490948770962556</v>
      </c>
    </row>
    <row r="109" spans="2:21" x14ac:dyDescent="0.25">
      <c r="B109" s="6" t="s">
        <v>110</v>
      </c>
      <c r="C109" s="15">
        <v>1464.65</v>
      </c>
      <c r="D109" s="16">
        <v>32.177</v>
      </c>
      <c r="E109" s="16">
        <v>39.767000000000003</v>
      </c>
      <c r="F109" s="16">
        <v>39.255000000000003</v>
      </c>
      <c r="G109" s="16">
        <v>15.46</v>
      </c>
      <c r="H109" s="16">
        <f t="shared" si="4"/>
        <v>34.0105</v>
      </c>
      <c r="I109" s="5"/>
      <c r="J109" s="15">
        <v>1496.6615999999999</v>
      </c>
      <c r="K109" s="16">
        <v>32.0002</v>
      </c>
      <c r="L109" s="16">
        <v>40.169199999999996</v>
      </c>
      <c r="M109" s="16">
        <v>39.538499999999999</v>
      </c>
      <c r="N109" s="16">
        <v>48.398800000000001</v>
      </c>
      <c r="O109" s="16">
        <f t="shared" si="6"/>
        <v>33.963612499999996</v>
      </c>
      <c r="P109" s="7"/>
      <c r="Q109" s="8">
        <f>bdrate(C109:C112,D109:D112,J109:J112,K109:K112)</f>
        <v>3.7151499872609239E-2</v>
      </c>
      <c r="R109" s="8">
        <f>bdrate(C109:C112,E109:E112,J109:J112,L109:L112)</f>
        <v>-0.2369729035159156</v>
      </c>
      <c r="S109" s="8">
        <f>bdrate(C109:C112,F109:F112,J109:J112,M109:M112)</f>
        <v>-0.20506666494477155</v>
      </c>
      <c r="T109" s="25">
        <f>bdrate(C109:C112,H109:H112,J109:J112,O109:O112)</f>
        <v>-1.6849688071995605E-2</v>
      </c>
      <c r="U109" s="28">
        <f t="shared" si="7"/>
        <v>2.130582147477361</v>
      </c>
    </row>
    <row r="110" spans="2:21" x14ac:dyDescent="0.25">
      <c r="B110" s="9"/>
      <c r="C110" s="17">
        <v>978.06</v>
      </c>
      <c r="D110" s="18">
        <v>30.402999999999999</v>
      </c>
      <c r="E110" s="18">
        <v>38.546999999999997</v>
      </c>
      <c r="F110" s="18">
        <v>37.975999999999999</v>
      </c>
      <c r="G110" s="18">
        <v>17.66</v>
      </c>
      <c r="H110" s="18">
        <f t="shared" si="4"/>
        <v>32.367625000000004</v>
      </c>
      <c r="I110" s="5"/>
      <c r="J110" s="17">
        <v>996.12189999999998</v>
      </c>
      <c r="K110" s="18">
        <v>30.224599999999999</v>
      </c>
      <c r="L110" s="18">
        <v>39.198900000000002</v>
      </c>
      <c r="M110" s="18">
        <v>38.531999999999996</v>
      </c>
      <c r="N110" s="18">
        <v>58.929400000000001</v>
      </c>
      <c r="O110" s="18">
        <f t="shared" si="6"/>
        <v>32.384812500000002</v>
      </c>
      <c r="P110" s="7"/>
      <c r="Q110" s="10"/>
      <c r="R110" s="11"/>
      <c r="S110" s="11"/>
      <c r="T110" s="26"/>
      <c r="U110" s="28">
        <f t="shared" si="7"/>
        <v>2.3368856172140431</v>
      </c>
    </row>
    <row r="111" spans="2:21" x14ac:dyDescent="0.25">
      <c r="B111" s="9"/>
      <c r="C111" s="17">
        <v>586.67999999999995</v>
      </c>
      <c r="D111" s="18">
        <v>28.167999999999999</v>
      </c>
      <c r="E111" s="18">
        <v>36.978999999999999</v>
      </c>
      <c r="F111" s="18">
        <v>36.350999999999999</v>
      </c>
      <c r="G111" s="18">
        <v>20.85</v>
      </c>
      <c r="H111" s="18">
        <f t="shared" si="4"/>
        <v>30.292249999999996</v>
      </c>
      <c r="I111" s="5"/>
      <c r="J111" s="17">
        <v>597.71310000000005</v>
      </c>
      <c r="K111" s="18">
        <v>28.037800000000001</v>
      </c>
      <c r="L111" s="18">
        <v>37.933900000000001</v>
      </c>
      <c r="M111" s="18">
        <v>37.192500000000003</v>
      </c>
      <c r="N111" s="18">
        <v>74.633099999999999</v>
      </c>
      <c r="O111" s="18">
        <f t="shared" si="6"/>
        <v>30.419149999999998</v>
      </c>
      <c r="P111" s="7"/>
      <c r="Q111" s="10"/>
      <c r="R111" s="11"/>
      <c r="S111" s="11"/>
      <c r="T111" s="26"/>
      <c r="U111" s="28">
        <f t="shared" si="7"/>
        <v>2.5795251798561147</v>
      </c>
    </row>
    <row r="112" spans="2:21" ht="16.5" thickBot="1" x14ac:dyDescent="0.3">
      <c r="B112" s="12"/>
      <c r="C112" s="19">
        <v>286.5</v>
      </c>
      <c r="D112" s="20">
        <v>24.806000000000001</v>
      </c>
      <c r="E112" s="20">
        <v>34.003999999999998</v>
      </c>
      <c r="F112" s="20">
        <v>33.518000000000001</v>
      </c>
      <c r="G112" s="20">
        <v>26.75</v>
      </c>
      <c r="H112" s="20">
        <f t="shared" si="4"/>
        <v>27.044750000000001</v>
      </c>
      <c r="I112" s="5"/>
      <c r="J112" s="19">
        <v>299.06670000000003</v>
      </c>
      <c r="K112" s="20">
        <v>25.2727</v>
      </c>
      <c r="L112" s="20">
        <v>35.665799999999997</v>
      </c>
      <c r="M112" s="20">
        <v>35.048099999999998</v>
      </c>
      <c r="N112" s="20">
        <v>102.29600000000001</v>
      </c>
      <c r="O112" s="20">
        <f t="shared" si="6"/>
        <v>27.7937625</v>
      </c>
      <c r="P112" s="7"/>
      <c r="Q112" s="13"/>
      <c r="R112" s="14"/>
      <c r="S112" s="14"/>
      <c r="T112" s="27"/>
      <c r="U112" s="28">
        <f t="shared" si="7"/>
        <v>2.8241495327102806</v>
      </c>
    </row>
    <row r="113" spans="2:21" x14ac:dyDescent="0.25">
      <c r="B113" s="6" t="s">
        <v>111</v>
      </c>
      <c r="C113" s="15">
        <v>1487.12</v>
      </c>
      <c r="D113" s="16">
        <v>45.232999999999997</v>
      </c>
      <c r="E113" s="16">
        <v>46.326000000000001</v>
      </c>
      <c r="F113" s="16">
        <v>46.238999999999997</v>
      </c>
      <c r="G113" s="16">
        <v>25.58</v>
      </c>
      <c r="H113" s="16">
        <f t="shared" si="4"/>
        <v>45.495374999999996</v>
      </c>
      <c r="I113" s="5"/>
      <c r="J113" s="15">
        <v>1426.7881</v>
      </c>
      <c r="K113" s="16">
        <v>45.045099999999998</v>
      </c>
      <c r="L113" s="16">
        <v>46.120600000000003</v>
      </c>
      <c r="M113" s="16">
        <v>46.0259</v>
      </c>
      <c r="N113" s="16">
        <v>69.970799999999997</v>
      </c>
      <c r="O113" s="16">
        <f t="shared" si="6"/>
        <v>45.302137500000001</v>
      </c>
      <c r="P113" s="7"/>
      <c r="Q113" s="8">
        <f>bdrate(C113:C116,D113:D116,J113:J116,K113:K116)</f>
        <v>-3.4938002695776849E-2</v>
      </c>
      <c r="R113" s="8">
        <f>bdrate(C113:C116,E113:E116,J113:J116,L113:L116)</f>
        <v>-5.9297716808287326E-2</v>
      </c>
      <c r="S113" s="8">
        <f>bdrate(C113:C116,F113:F116,J113:J116,M113:M116)</f>
        <v>-6.2952080189156989E-2</v>
      </c>
      <c r="T113" s="25">
        <f>bdrate(C113:C116,H113:H116,J113:J116,O113:O116)</f>
        <v>-4.0615155847484652E-2</v>
      </c>
      <c r="U113" s="28">
        <f t="shared" si="7"/>
        <v>1.7353713838936671</v>
      </c>
    </row>
    <row r="114" spans="2:21" x14ac:dyDescent="0.25">
      <c r="B114" s="9"/>
      <c r="C114" s="17">
        <v>993.96</v>
      </c>
      <c r="D114" s="18">
        <v>43.01</v>
      </c>
      <c r="E114" s="18">
        <v>44.295999999999999</v>
      </c>
      <c r="F114" s="18">
        <v>44.186</v>
      </c>
      <c r="G114" s="18">
        <v>29.15</v>
      </c>
      <c r="H114" s="18">
        <f t="shared" si="4"/>
        <v>43.317749999999997</v>
      </c>
      <c r="I114" s="5"/>
      <c r="J114" s="17">
        <v>965.39189999999996</v>
      </c>
      <c r="K114" s="18">
        <v>43.239400000000003</v>
      </c>
      <c r="L114" s="18">
        <v>44.613199999999999</v>
      </c>
      <c r="M114" s="18">
        <v>44.491100000000003</v>
      </c>
      <c r="N114" s="18">
        <v>89.374399999999994</v>
      </c>
      <c r="O114" s="18">
        <f t="shared" si="6"/>
        <v>43.567587500000009</v>
      </c>
      <c r="P114" s="7"/>
      <c r="Q114" s="10"/>
      <c r="R114" s="11"/>
      <c r="S114" s="11"/>
      <c r="T114" s="26"/>
      <c r="U114" s="28">
        <f t="shared" si="7"/>
        <v>2.0660171526586621</v>
      </c>
    </row>
    <row r="115" spans="2:21" x14ac:dyDescent="0.25">
      <c r="B115" s="9"/>
      <c r="C115" s="17">
        <v>600.52</v>
      </c>
      <c r="D115" s="18">
        <v>40.137</v>
      </c>
      <c r="E115" s="18">
        <v>41.826000000000001</v>
      </c>
      <c r="F115" s="18">
        <v>41.624000000000002</v>
      </c>
      <c r="G115" s="18">
        <v>33.15</v>
      </c>
      <c r="H115" s="18">
        <f t="shared" si="4"/>
        <v>40.534000000000006</v>
      </c>
      <c r="I115" s="5"/>
      <c r="J115" s="17">
        <v>588.9828</v>
      </c>
      <c r="K115" s="18">
        <v>40.255200000000002</v>
      </c>
      <c r="L115" s="18">
        <v>42.058300000000003</v>
      </c>
      <c r="M115" s="18">
        <v>41.893999999999998</v>
      </c>
      <c r="N115" s="18">
        <v>110.5244</v>
      </c>
      <c r="O115" s="18">
        <f t="shared" si="6"/>
        <v>40.685437500000006</v>
      </c>
      <c r="P115" s="7"/>
      <c r="Q115" s="10"/>
      <c r="R115" s="11"/>
      <c r="S115" s="11"/>
      <c r="T115" s="26"/>
      <c r="U115" s="28">
        <f t="shared" si="7"/>
        <v>2.3340693815987938</v>
      </c>
    </row>
    <row r="116" spans="2:21" ht="16.5" thickBot="1" x14ac:dyDescent="0.3">
      <c r="B116" s="12"/>
      <c r="C116" s="19">
        <v>296.33999999999997</v>
      </c>
      <c r="D116" s="20">
        <v>36.029000000000003</v>
      </c>
      <c r="E116" s="20">
        <v>38.575000000000003</v>
      </c>
      <c r="F116" s="20">
        <v>38.307000000000002</v>
      </c>
      <c r="G116" s="20">
        <v>38.119999999999997</v>
      </c>
      <c r="H116" s="20">
        <f t="shared" si="4"/>
        <v>36.632000000000005</v>
      </c>
      <c r="I116" s="5"/>
      <c r="J116" s="19">
        <v>295.0856</v>
      </c>
      <c r="K116" s="20">
        <v>35.911499999999997</v>
      </c>
      <c r="L116" s="20">
        <v>38.628700000000002</v>
      </c>
      <c r="M116" s="20">
        <v>38.411299999999997</v>
      </c>
      <c r="N116" s="20">
        <v>136.7054</v>
      </c>
      <c r="O116" s="20">
        <f t="shared" si="6"/>
        <v>36.563625000000002</v>
      </c>
      <c r="P116" s="7"/>
      <c r="Q116" s="13"/>
      <c r="R116" s="14"/>
      <c r="S116" s="14"/>
      <c r="T116" s="27"/>
      <c r="U116" s="28">
        <f t="shared" si="7"/>
        <v>2.5861857292759707</v>
      </c>
    </row>
    <row r="117" spans="2:21" x14ac:dyDescent="0.25">
      <c r="B117" s="6" t="s">
        <v>112</v>
      </c>
      <c r="C117" s="15">
        <v>1964.79</v>
      </c>
      <c r="D117" s="16">
        <v>45.713000000000001</v>
      </c>
      <c r="E117" s="16">
        <v>47.869</v>
      </c>
      <c r="F117" s="16">
        <v>48.121000000000002</v>
      </c>
      <c r="G117" s="16">
        <v>27.16</v>
      </c>
      <c r="H117" s="16">
        <f t="shared" si="4"/>
        <v>46.283500000000004</v>
      </c>
      <c r="I117" s="5"/>
      <c r="J117" s="15">
        <v>1396.9183</v>
      </c>
      <c r="K117" s="16">
        <v>45.549199999999999</v>
      </c>
      <c r="L117" s="16">
        <v>47.799199999999999</v>
      </c>
      <c r="M117" s="16">
        <v>48.039299999999997</v>
      </c>
      <c r="N117" s="16">
        <v>65.671899999999994</v>
      </c>
      <c r="O117" s="16">
        <f t="shared" si="6"/>
        <v>46.141712499999997</v>
      </c>
      <c r="P117" s="7"/>
      <c r="Q117" s="8">
        <f>bdrate(C117:C120,D117:D120,J117:J120,K117:K120)</f>
        <v>-0.22686295775101473</v>
      </c>
      <c r="R117" s="8">
        <f>bdrate(C117:C120,E117:E120,J117:J120,L117:L120)</f>
        <v>-0.27784748916358493</v>
      </c>
      <c r="S117" s="8">
        <f>bdrate(C117:C120,F117:F120,J117:J120,M117:M120)</f>
        <v>-0.27536436250303231</v>
      </c>
      <c r="T117" s="25">
        <f>bdrate(C117:C120,H117:H120,J117:J120,O117:O120)</f>
        <v>-0.23776391932092633</v>
      </c>
      <c r="U117" s="28">
        <f t="shared" si="7"/>
        <v>1.417963917525773</v>
      </c>
    </row>
    <row r="118" spans="2:21" x14ac:dyDescent="0.25">
      <c r="B118" s="9"/>
      <c r="C118" s="17">
        <v>1280.79</v>
      </c>
      <c r="D118" s="18">
        <v>43.475000000000001</v>
      </c>
      <c r="E118" s="18">
        <v>45.85</v>
      </c>
      <c r="F118" s="18">
        <v>46.098999999999997</v>
      </c>
      <c r="G118" s="18">
        <v>31.46</v>
      </c>
      <c r="H118" s="18">
        <f t="shared" si="4"/>
        <v>44.099875000000004</v>
      </c>
      <c r="I118" s="5"/>
      <c r="J118" s="17">
        <v>972.96010000000001</v>
      </c>
      <c r="K118" s="18">
        <v>43.9392</v>
      </c>
      <c r="L118" s="18">
        <v>46.417000000000002</v>
      </c>
      <c r="M118" s="18">
        <v>46.653500000000001</v>
      </c>
      <c r="N118" s="18">
        <v>74.251300000000001</v>
      </c>
      <c r="O118" s="18">
        <f t="shared" si="6"/>
        <v>44.588212499999997</v>
      </c>
      <c r="P118" s="7"/>
      <c r="Q118" s="10"/>
      <c r="R118" s="11"/>
      <c r="S118" s="11"/>
      <c r="T118" s="26"/>
      <c r="U118" s="28">
        <f t="shared" si="7"/>
        <v>1.3601811824539096</v>
      </c>
    </row>
    <row r="119" spans="2:21" x14ac:dyDescent="0.25">
      <c r="B119" s="9"/>
      <c r="C119" s="17">
        <v>750.75</v>
      </c>
      <c r="D119" s="18">
        <v>40.908000000000001</v>
      </c>
      <c r="E119" s="18">
        <v>43.273000000000003</v>
      </c>
      <c r="F119" s="18">
        <v>43.555</v>
      </c>
      <c r="G119" s="18">
        <v>36.57</v>
      </c>
      <c r="H119" s="18">
        <f t="shared" si="4"/>
        <v>41.534500000000001</v>
      </c>
      <c r="I119" s="5"/>
      <c r="J119" s="17">
        <v>630.25549999999998</v>
      </c>
      <c r="K119" s="18">
        <v>41.457999999999998</v>
      </c>
      <c r="L119" s="18">
        <v>44.203699999999998</v>
      </c>
      <c r="M119" s="18">
        <v>44.496099999999998</v>
      </c>
      <c r="N119" s="18">
        <v>86.563400000000001</v>
      </c>
      <c r="O119" s="18">
        <f t="shared" si="6"/>
        <v>42.180974999999997</v>
      </c>
      <c r="P119" s="7"/>
      <c r="Q119" s="10"/>
      <c r="R119" s="11"/>
      <c r="S119" s="11"/>
      <c r="T119" s="26"/>
      <c r="U119" s="28">
        <f t="shared" si="7"/>
        <v>1.367060432048127</v>
      </c>
    </row>
    <row r="120" spans="2:21" ht="16.5" thickBot="1" x14ac:dyDescent="0.3">
      <c r="B120" s="12"/>
      <c r="C120" s="19">
        <v>361.29</v>
      </c>
      <c r="D120" s="20">
        <v>37.587000000000003</v>
      </c>
      <c r="E120" s="20">
        <v>40.316000000000003</v>
      </c>
      <c r="F120" s="20">
        <v>40.67</v>
      </c>
      <c r="G120" s="20">
        <v>43.96</v>
      </c>
      <c r="H120" s="20">
        <f t="shared" si="4"/>
        <v>38.313500000000005</v>
      </c>
      <c r="I120" s="5"/>
      <c r="J120" s="19">
        <v>343.34030000000001</v>
      </c>
      <c r="K120" s="20">
        <v>37.286000000000001</v>
      </c>
      <c r="L120" s="20">
        <v>40.5351</v>
      </c>
      <c r="M120" s="20">
        <v>40.788600000000002</v>
      </c>
      <c r="N120" s="20">
        <v>134.9528</v>
      </c>
      <c r="O120" s="20">
        <f t="shared" si="6"/>
        <v>38.129962500000005</v>
      </c>
      <c r="P120" s="7"/>
      <c r="Q120" s="13"/>
      <c r="R120" s="14"/>
      <c r="S120" s="14"/>
      <c r="T120" s="27"/>
      <c r="U120" s="28">
        <f t="shared" si="7"/>
        <v>2.0698999090081891</v>
      </c>
    </row>
    <row r="121" spans="2:21" x14ac:dyDescent="0.25">
      <c r="B121" s="6" t="s">
        <v>113</v>
      </c>
      <c r="C121" s="15">
        <v>1534.23</v>
      </c>
      <c r="D121" s="16">
        <v>32.470999999999997</v>
      </c>
      <c r="E121" s="16">
        <v>36.270000000000003</v>
      </c>
      <c r="F121" s="16">
        <v>35.14</v>
      </c>
      <c r="G121" s="16">
        <v>18.53</v>
      </c>
      <c r="H121" s="16">
        <f t="shared" si="4"/>
        <v>33.279499999999999</v>
      </c>
      <c r="I121" s="5"/>
      <c r="J121" s="29">
        <v>1504.8884</v>
      </c>
      <c r="K121" s="30">
        <v>32.379899999999999</v>
      </c>
      <c r="L121" s="30">
        <v>36.547199999999997</v>
      </c>
      <c r="M121" s="30">
        <v>35.4544</v>
      </c>
      <c r="N121" s="16">
        <v>57.866599999999998</v>
      </c>
      <c r="O121" s="16">
        <f t="shared" si="6"/>
        <v>33.285125000000001</v>
      </c>
      <c r="P121" s="7"/>
      <c r="Q121" s="8">
        <f>bdrate(C121:C124,D121:D124,J121:J124,K121:K124)</f>
        <v>3.5465622434586619E-2</v>
      </c>
      <c r="R121" s="8">
        <f>bdrate(C121:C124,E121:E124,J121:J124,L121:L124)</f>
        <v>-0.21899640473283311</v>
      </c>
      <c r="S121" s="8">
        <f>bdrate(C121:C124,F121:F124,J121:J124,M121:M124)</f>
        <v>-0.22364821622684794</v>
      </c>
      <c r="T121" s="25">
        <f>bdrate(C121:C124,H121:H124,J121:J124,O121:O124)</f>
        <v>-1.8173010056517391E-2</v>
      </c>
      <c r="U121" s="28">
        <f t="shared" si="7"/>
        <v>2.1228602266594709</v>
      </c>
    </row>
    <row r="122" spans="2:21" x14ac:dyDescent="0.25">
      <c r="B122" s="9"/>
      <c r="C122" s="17">
        <v>1018.31</v>
      </c>
      <c r="D122" s="18">
        <v>30.666</v>
      </c>
      <c r="E122" s="18">
        <v>34.973999999999997</v>
      </c>
      <c r="F122" s="18">
        <v>33.758000000000003</v>
      </c>
      <c r="G122" s="18">
        <v>21.22</v>
      </c>
      <c r="H122" s="18">
        <f t="shared" si="4"/>
        <v>31.591000000000001</v>
      </c>
      <c r="I122" s="5"/>
      <c r="J122" s="31">
        <v>1003.1686999999999</v>
      </c>
      <c r="K122" s="32">
        <v>30.5029</v>
      </c>
      <c r="L122" s="32">
        <v>35.512099999999997</v>
      </c>
      <c r="M122" s="32">
        <v>34.356699999999996</v>
      </c>
      <c r="N122" s="18">
        <v>70.356499999999997</v>
      </c>
      <c r="O122" s="18">
        <f t="shared" si="6"/>
        <v>31.610775</v>
      </c>
      <c r="P122" s="7"/>
      <c r="Q122" s="10"/>
      <c r="R122" s="11"/>
      <c r="S122" s="11"/>
      <c r="T122" s="26"/>
      <c r="U122" s="28">
        <f t="shared" si="7"/>
        <v>2.3155749293119698</v>
      </c>
    </row>
    <row r="123" spans="2:21" x14ac:dyDescent="0.25">
      <c r="B123" s="9"/>
      <c r="C123" s="17">
        <v>608.61</v>
      </c>
      <c r="D123" s="18">
        <v>28.582000000000001</v>
      </c>
      <c r="E123" s="18">
        <v>33.594000000000001</v>
      </c>
      <c r="F123" s="18">
        <v>32.283999999999999</v>
      </c>
      <c r="G123" s="18">
        <v>24.58</v>
      </c>
      <c r="H123" s="18">
        <f t="shared" si="4"/>
        <v>29.671250000000001</v>
      </c>
      <c r="I123" s="5"/>
      <c r="J123" s="31">
        <v>604.08360000000005</v>
      </c>
      <c r="K123" s="32">
        <v>28.3383</v>
      </c>
      <c r="L123" s="32">
        <v>34.282400000000003</v>
      </c>
      <c r="M123" s="32">
        <v>33.036200000000001</v>
      </c>
      <c r="N123" s="18">
        <v>87.544399999999996</v>
      </c>
      <c r="O123" s="18">
        <f t="shared" si="6"/>
        <v>29.66855</v>
      </c>
      <c r="P123" s="7"/>
      <c r="Q123" s="10"/>
      <c r="R123" s="11"/>
      <c r="S123" s="11"/>
      <c r="T123" s="26"/>
      <c r="U123" s="28">
        <f t="shared" si="7"/>
        <v>2.5616110659072415</v>
      </c>
    </row>
    <row r="124" spans="2:21" ht="16.5" thickBot="1" x14ac:dyDescent="0.3">
      <c r="B124" s="12"/>
      <c r="C124" s="19">
        <v>298.08999999999997</v>
      </c>
      <c r="D124" s="20">
        <v>25.859000000000002</v>
      </c>
      <c r="E124" s="20">
        <v>31.56</v>
      </c>
      <c r="F124" s="20">
        <v>30.143000000000001</v>
      </c>
      <c r="G124" s="20">
        <v>30.88</v>
      </c>
      <c r="H124" s="20">
        <f t="shared" si="4"/>
        <v>27.107125</v>
      </c>
      <c r="I124" s="5"/>
      <c r="J124" s="33">
        <v>303.32279999999997</v>
      </c>
      <c r="K124" s="34">
        <v>25.824300000000001</v>
      </c>
      <c r="L124" s="34">
        <v>32.542499999999997</v>
      </c>
      <c r="M124" s="34">
        <v>31.165800000000001</v>
      </c>
      <c r="N124" s="20">
        <v>117.6163</v>
      </c>
      <c r="O124" s="20">
        <f t="shared" si="6"/>
        <v>27.3317625</v>
      </c>
      <c r="P124" s="7"/>
      <c r="Q124" s="13"/>
      <c r="R124" s="14"/>
      <c r="S124" s="14"/>
      <c r="T124" s="27"/>
      <c r="U124" s="28">
        <f t="shared" si="7"/>
        <v>2.8088180051813474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-2.16492323820178E-2</v>
      </c>
      <c r="R125" s="21">
        <f>AVERAGE(R9:R124)</f>
        <v>-0.13701481019465561</v>
      </c>
      <c r="S125" s="21">
        <f>AVERAGE(S9:S124)</f>
        <v>-0.12231606512122629</v>
      </c>
      <c r="T125" s="21">
        <f>AVERAGE(T9:T124)</f>
        <v>-4.1797252249506554E-2</v>
      </c>
      <c r="U125" s="21">
        <f>AVERAGE(U9:U124)</f>
        <v>2.107448678681259</v>
      </c>
    </row>
    <row r="127" spans="2:21" s="35" customFormat="1" ht="15.75" customHeight="1" x14ac:dyDescent="0.25">
      <c r="B127" s="58" t="s">
        <v>29</v>
      </c>
      <c r="C127" s="60" t="s">
        <v>193</v>
      </c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2"/>
    </row>
    <row r="128" spans="2:21" s="35" customFormat="1" x14ac:dyDescent="0.25">
      <c r="B128" s="59"/>
      <c r="C128" s="63"/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5"/>
    </row>
    <row r="129" spans="1:21" ht="16.5" customHeight="1" thickBot="1" x14ac:dyDescent="0.3">
      <c r="C129" s="66" t="s">
        <v>198</v>
      </c>
      <c r="D129" s="67"/>
      <c r="E129" s="67"/>
      <c r="F129" s="67"/>
      <c r="G129" s="67"/>
      <c r="H129" s="67"/>
      <c r="I129" s="5"/>
      <c r="J129" s="66" t="s">
        <v>144</v>
      </c>
      <c r="K129" s="67"/>
      <c r="L129" s="67"/>
      <c r="M129" s="67"/>
      <c r="N129" s="67"/>
      <c r="O129" s="67"/>
      <c r="Q129" s="66" t="s">
        <v>7</v>
      </c>
      <c r="R129" s="67"/>
      <c r="S129" s="68"/>
      <c r="T129" s="36"/>
      <c r="U129" s="69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9"/>
    </row>
    <row r="131" spans="1:21" x14ac:dyDescent="0.25">
      <c r="A131" s="6" t="s">
        <v>35</v>
      </c>
      <c r="B131" s="6" t="s">
        <v>46</v>
      </c>
      <c r="C131" s="15">
        <v>3653.6</v>
      </c>
      <c r="D131" s="16">
        <v>37.058999999999997</v>
      </c>
      <c r="E131" s="16">
        <v>38.869999999999997</v>
      </c>
      <c r="F131" s="16">
        <v>41.215000000000003</v>
      </c>
      <c r="G131" s="16">
        <v>17.84</v>
      </c>
      <c r="H131" s="16">
        <f t="shared" ref="H131:H202" si="8">(6*D131+E131+F131)/8</f>
        <v>37.804874999999996</v>
      </c>
      <c r="I131" s="5"/>
      <c r="J131" s="15">
        <v>4025.7359999999999</v>
      </c>
      <c r="K131" s="16">
        <v>37.8581</v>
      </c>
      <c r="L131" s="16">
        <v>39.445999999999998</v>
      </c>
      <c r="M131" s="16">
        <v>41.926000000000002</v>
      </c>
      <c r="N131" s="16">
        <v>49.309699999999999</v>
      </c>
      <c r="O131" s="16">
        <f t="shared" ref="O131:O202" si="9">(6*K131+L131+M131)/8</f>
        <v>38.565075</v>
      </c>
      <c r="P131" s="7"/>
      <c r="Q131" s="8">
        <f>bdrate(C131:C134,D131:D134,J131:J134,K131:K134)</f>
        <v>-5.3795324442287074E-2</v>
      </c>
      <c r="R131" s="8">
        <f>bdrate(C131:C134,E131:E134,J131:J134,L131:L134)</f>
        <v>-0.14617717164998367</v>
      </c>
      <c r="S131" s="8">
        <f>bdrate(C131:C134,F131:F134,J131:J134,M131:M134)</f>
        <v>-0.11620411906141326</v>
      </c>
      <c r="T131" s="25">
        <f>bdrate(C131:C134,H131:H134,J131:J134,O131:O134)</f>
        <v>-6.3473226469504707E-2</v>
      </c>
      <c r="U131" s="28">
        <f t="shared" ref="U131:U194" si="10">(N131-G131)/G131</f>
        <v>1.7639966367713005</v>
      </c>
    </row>
    <row r="132" spans="1:21" x14ac:dyDescent="0.25">
      <c r="A132" s="9" t="s">
        <v>36</v>
      </c>
      <c r="B132" s="9"/>
      <c r="C132" s="17">
        <v>2717.21</v>
      </c>
      <c r="D132" s="18">
        <v>36.174999999999997</v>
      </c>
      <c r="E132" s="18">
        <v>38.366</v>
      </c>
      <c r="F132" s="18">
        <v>40.712000000000003</v>
      </c>
      <c r="G132" s="18">
        <v>19.899999999999999</v>
      </c>
      <c r="H132" s="18">
        <f t="shared" si="8"/>
        <v>37.015999999999998</v>
      </c>
      <c r="I132" s="5"/>
      <c r="J132" s="17">
        <v>2927.4560000000001</v>
      </c>
      <c r="K132" s="18">
        <v>36.838900000000002</v>
      </c>
      <c r="L132" s="18">
        <v>38.860100000000003</v>
      </c>
      <c r="M132" s="18">
        <v>41.204000000000001</v>
      </c>
      <c r="N132" s="18">
        <v>55.248600000000003</v>
      </c>
      <c r="O132" s="18">
        <f t="shared" si="9"/>
        <v>37.637187500000003</v>
      </c>
      <c r="P132" s="7"/>
      <c r="Q132" s="10"/>
      <c r="R132" s="11"/>
      <c r="S132" s="11"/>
      <c r="T132" s="26"/>
      <c r="U132" s="28">
        <f t="shared" si="10"/>
        <v>1.776311557788945</v>
      </c>
    </row>
    <row r="133" spans="1:21" x14ac:dyDescent="0.25">
      <c r="B133" s="9"/>
      <c r="C133" s="17">
        <v>1779.5</v>
      </c>
      <c r="D133" s="18">
        <v>34.819000000000003</v>
      </c>
      <c r="E133" s="18">
        <v>37.756</v>
      </c>
      <c r="F133" s="18">
        <v>40.094999999999999</v>
      </c>
      <c r="G133" s="18">
        <v>22.06</v>
      </c>
      <c r="H133" s="18">
        <f t="shared" si="8"/>
        <v>35.845624999999998</v>
      </c>
      <c r="I133" s="5"/>
      <c r="J133" s="17">
        <v>1901.664</v>
      </c>
      <c r="K133" s="18">
        <v>35.246699999999997</v>
      </c>
      <c r="L133" s="18">
        <v>38.180799999999998</v>
      </c>
      <c r="M133" s="18">
        <v>40.480600000000003</v>
      </c>
      <c r="N133" s="18">
        <v>62.034700000000001</v>
      </c>
      <c r="O133" s="18">
        <f t="shared" si="9"/>
        <v>36.267699999999998</v>
      </c>
      <c r="P133" s="7"/>
      <c r="Q133" s="10"/>
      <c r="R133" s="11"/>
      <c r="S133" s="11"/>
      <c r="T133" s="26"/>
      <c r="U133" s="28">
        <f t="shared" si="10"/>
        <v>1.8120897552130553</v>
      </c>
    </row>
    <row r="134" spans="1:21" ht="16.5" thickBot="1" x14ac:dyDescent="0.3">
      <c r="B134" s="12"/>
      <c r="C134" s="19">
        <v>851.44</v>
      </c>
      <c r="D134" s="20">
        <v>32.034999999999997</v>
      </c>
      <c r="E134" s="20">
        <v>36.970999999999997</v>
      </c>
      <c r="F134" s="20">
        <v>39.268999999999998</v>
      </c>
      <c r="G134" s="20">
        <v>25.04</v>
      </c>
      <c r="H134" s="20">
        <f t="shared" si="8"/>
        <v>33.556249999999999</v>
      </c>
      <c r="I134" s="5"/>
      <c r="J134" s="19">
        <v>916.07039999999995</v>
      </c>
      <c r="K134" s="20">
        <v>32.336599999999997</v>
      </c>
      <c r="L134" s="20">
        <v>36.903799999999997</v>
      </c>
      <c r="M134" s="20">
        <v>39.095700000000001</v>
      </c>
      <c r="N134" s="20">
        <v>74.552700000000002</v>
      </c>
      <c r="O134" s="20">
        <f t="shared" si="9"/>
        <v>33.752387499999998</v>
      </c>
      <c r="P134" s="7"/>
      <c r="Q134" s="13"/>
      <c r="R134" s="14"/>
      <c r="S134" s="14"/>
      <c r="T134" s="27"/>
      <c r="U134" s="28">
        <f t="shared" si="10"/>
        <v>1.977344249201278</v>
      </c>
    </row>
    <row r="135" spans="1:21" x14ac:dyDescent="0.25">
      <c r="B135" s="6" t="s">
        <v>47</v>
      </c>
      <c r="C135" s="15">
        <v>3985.68</v>
      </c>
      <c r="D135" s="16">
        <v>29.324000000000002</v>
      </c>
      <c r="E135" s="16">
        <v>38.457000000000001</v>
      </c>
      <c r="F135" s="16">
        <v>39.506</v>
      </c>
      <c r="G135" s="16">
        <v>12.28</v>
      </c>
      <c r="H135" s="16">
        <f t="shared" si="8"/>
        <v>31.738375000000001</v>
      </c>
      <c r="I135" s="5"/>
      <c r="J135" s="15">
        <v>4053.7231999999999</v>
      </c>
      <c r="K135" s="16">
        <v>29.415400000000002</v>
      </c>
      <c r="L135" s="16">
        <v>39.341099999999997</v>
      </c>
      <c r="M135" s="16">
        <v>40.263100000000001</v>
      </c>
      <c r="N135" s="16">
        <v>38.461500000000001</v>
      </c>
      <c r="O135" s="16">
        <f t="shared" si="9"/>
        <v>32.012075000000003</v>
      </c>
      <c r="P135" s="7"/>
      <c r="Q135" s="8">
        <f>bdrate(C135:C138,D135:D138,J135:J138,K135:K138)</f>
        <v>-5.3042287138565736E-2</v>
      </c>
      <c r="R135" s="8">
        <f>bdrate(C135:C138,E135:E138,J135:J138,L135:L138)</f>
        <v>-0.3526257547729551</v>
      </c>
      <c r="S135" s="8">
        <f>bdrate(C135:C138,F135:F138,J135:J138,M135:M138)</f>
        <v>-0.35680335379920891</v>
      </c>
      <c r="T135" s="25">
        <f>bdrate(C135:C138,H135:H138,J135:J138,O135:O138)</f>
        <v>-9.9376473720624858E-2</v>
      </c>
      <c r="U135" s="28">
        <f t="shared" si="10"/>
        <v>2.1320439739413684</v>
      </c>
    </row>
    <row r="136" spans="1:21" x14ac:dyDescent="0.25">
      <c r="B136" s="9"/>
      <c r="C136" s="17">
        <v>3013.99</v>
      </c>
      <c r="D136" s="18">
        <v>27.986000000000001</v>
      </c>
      <c r="E136" s="18">
        <v>37.993000000000002</v>
      </c>
      <c r="F136" s="18">
        <v>39.104999999999997</v>
      </c>
      <c r="G136" s="18">
        <v>14.1</v>
      </c>
      <c r="H136" s="18">
        <f t="shared" si="8"/>
        <v>30.626749999999998</v>
      </c>
      <c r="I136" s="5"/>
      <c r="J136" s="17">
        <v>3036.5536000000002</v>
      </c>
      <c r="K136" s="18">
        <v>28.103400000000001</v>
      </c>
      <c r="L136" s="18">
        <v>38.858499999999999</v>
      </c>
      <c r="M136" s="18">
        <v>39.851599999999998</v>
      </c>
      <c r="N136" s="18">
        <v>43.911000000000001</v>
      </c>
      <c r="O136" s="18">
        <f t="shared" si="9"/>
        <v>30.9163125</v>
      </c>
      <c r="P136" s="7"/>
      <c r="Q136" s="10"/>
      <c r="R136" s="11"/>
      <c r="S136" s="11"/>
      <c r="T136" s="26"/>
      <c r="U136" s="28">
        <f t="shared" si="10"/>
        <v>2.1142553191489362</v>
      </c>
    </row>
    <row r="137" spans="1:21" x14ac:dyDescent="0.25">
      <c r="B137" s="9"/>
      <c r="C137" s="17">
        <v>1989.46</v>
      </c>
      <c r="D137" s="18">
        <v>26.04</v>
      </c>
      <c r="E137" s="18">
        <v>37.064999999999998</v>
      </c>
      <c r="F137" s="18">
        <v>38.274000000000001</v>
      </c>
      <c r="G137" s="18">
        <v>16.100000000000001</v>
      </c>
      <c r="H137" s="18">
        <f t="shared" si="8"/>
        <v>28.947375000000001</v>
      </c>
      <c r="I137" s="5"/>
      <c r="J137" s="17">
        <v>2026.9792</v>
      </c>
      <c r="K137" s="18">
        <v>26.305299999999999</v>
      </c>
      <c r="L137" s="18">
        <v>38.129300000000001</v>
      </c>
      <c r="M137" s="18">
        <v>39.230800000000002</v>
      </c>
      <c r="N137" s="18">
        <v>50.352499999999999</v>
      </c>
      <c r="O137" s="18">
        <f t="shared" si="9"/>
        <v>29.398987499999997</v>
      </c>
      <c r="P137" s="7"/>
      <c r="Q137" s="10"/>
      <c r="R137" s="11"/>
      <c r="S137" s="11"/>
      <c r="T137" s="26"/>
      <c r="U137" s="28">
        <f t="shared" si="10"/>
        <v>2.127484472049689</v>
      </c>
    </row>
    <row r="138" spans="1:21" ht="16.5" thickBot="1" x14ac:dyDescent="0.3">
      <c r="B138" s="12"/>
      <c r="C138" s="19">
        <v>1095.1500000000001</v>
      </c>
      <c r="D138" s="20">
        <v>22.687999999999999</v>
      </c>
      <c r="E138" s="20">
        <v>35.406999999999996</v>
      </c>
      <c r="F138" s="20">
        <v>36.847999999999999</v>
      </c>
      <c r="G138" s="20">
        <v>20.55</v>
      </c>
      <c r="H138" s="20">
        <f t="shared" si="8"/>
        <v>26.047874999999998</v>
      </c>
      <c r="I138" s="5"/>
      <c r="J138" s="19">
        <v>1138.9983999999999</v>
      </c>
      <c r="K138" s="20">
        <v>24.146000000000001</v>
      </c>
      <c r="L138" s="20">
        <v>36.568800000000003</v>
      </c>
      <c r="M138" s="20">
        <v>37.845300000000002</v>
      </c>
      <c r="N138" s="20">
        <v>63.264400000000002</v>
      </c>
      <c r="O138" s="20">
        <f t="shared" si="9"/>
        <v>27.411262500000003</v>
      </c>
      <c r="P138" s="7"/>
      <c r="Q138" s="13"/>
      <c r="R138" s="14"/>
      <c r="S138" s="14"/>
      <c r="T138" s="27"/>
      <c r="U138" s="28">
        <f t="shared" si="10"/>
        <v>2.0785596107055961</v>
      </c>
    </row>
    <row r="139" spans="1:21" x14ac:dyDescent="0.25">
      <c r="A139" s="6" t="s">
        <v>37</v>
      </c>
      <c r="B139" s="6" t="s">
        <v>48</v>
      </c>
      <c r="C139" s="15">
        <v>1994.2</v>
      </c>
      <c r="D139" s="16">
        <v>38.741</v>
      </c>
      <c r="E139" s="16">
        <v>41.476999999999997</v>
      </c>
      <c r="F139" s="16">
        <v>42.756</v>
      </c>
      <c r="G139" s="16">
        <v>23.93</v>
      </c>
      <c r="H139" s="16">
        <f t="shared" si="8"/>
        <v>39.584874999999997</v>
      </c>
      <c r="I139" s="5"/>
      <c r="J139" s="15">
        <v>2382.0248000000001</v>
      </c>
      <c r="K139" s="16">
        <v>39.0732</v>
      </c>
      <c r="L139" s="16">
        <v>41.882199999999997</v>
      </c>
      <c r="M139" s="16">
        <v>43.224600000000002</v>
      </c>
      <c r="N139" s="16">
        <v>96.153800000000004</v>
      </c>
      <c r="O139" s="16">
        <f t="shared" si="9"/>
        <v>39.943249999999999</v>
      </c>
      <c r="P139" s="7"/>
      <c r="Q139" s="8">
        <f>bdrate(C139:C142,D139:D142,J139:J142,K139:K142)</f>
        <v>4.0627422086028986E-2</v>
      </c>
      <c r="R139" s="8">
        <f>bdrate(C139:C142,E139:E142,J139:J142,L139:L142)</f>
        <v>-0.15119874388451038</v>
      </c>
      <c r="S139" s="8">
        <f>bdrate(C139:C142,F139:F142,J139:J142,M139:M142)</f>
        <v>-0.11892216656042054</v>
      </c>
      <c r="T139" s="25">
        <f>bdrate(C139:C142,H139:H142,J139:J142,O139:O142)</f>
        <v>1.3219196636380603E-2</v>
      </c>
      <c r="U139" s="28">
        <f t="shared" si="10"/>
        <v>3.0181278729628085</v>
      </c>
    </row>
    <row r="140" spans="1:21" x14ac:dyDescent="0.25">
      <c r="A140" s="9" t="s">
        <v>38</v>
      </c>
      <c r="B140" s="9"/>
      <c r="C140" s="17">
        <v>1309.1600000000001</v>
      </c>
      <c r="D140" s="18">
        <v>37.389000000000003</v>
      </c>
      <c r="E140" s="18">
        <v>40.677999999999997</v>
      </c>
      <c r="F140" s="18">
        <v>41.898000000000003</v>
      </c>
      <c r="G140" s="18">
        <v>27.72</v>
      </c>
      <c r="H140" s="18">
        <f t="shared" si="8"/>
        <v>38.363750000000003</v>
      </c>
      <c r="I140" s="5"/>
      <c r="J140" s="17">
        <v>1562.0976000000001</v>
      </c>
      <c r="K140" s="18">
        <v>37.799300000000002</v>
      </c>
      <c r="L140" s="18">
        <v>41.200499999999998</v>
      </c>
      <c r="M140" s="18">
        <v>42.424399999999999</v>
      </c>
      <c r="N140" s="18">
        <v>108.94240000000001</v>
      </c>
      <c r="O140" s="18">
        <f t="shared" si="9"/>
        <v>38.802587500000001</v>
      </c>
      <c r="P140" s="7"/>
      <c r="Q140" s="10"/>
      <c r="R140" s="11"/>
      <c r="S140" s="11"/>
      <c r="T140" s="26"/>
      <c r="U140" s="28">
        <f t="shared" si="10"/>
        <v>2.9301010101010103</v>
      </c>
    </row>
    <row r="141" spans="1:21" x14ac:dyDescent="0.25">
      <c r="B141" s="9"/>
      <c r="C141" s="17">
        <v>811.62</v>
      </c>
      <c r="D141" s="18">
        <v>35.774000000000001</v>
      </c>
      <c r="E141" s="18">
        <v>39.822000000000003</v>
      </c>
      <c r="F141" s="18">
        <v>41.106000000000002</v>
      </c>
      <c r="G141" s="18">
        <v>31.65</v>
      </c>
      <c r="H141" s="18">
        <f t="shared" si="8"/>
        <v>36.9465</v>
      </c>
      <c r="I141" s="5"/>
      <c r="J141" s="17">
        <v>960.34</v>
      </c>
      <c r="K141" s="18">
        <v>36.227400000000003</v>
      </c>
      <c r="L141" s="18">
        <v>40.420499999999997</v>
      </c>
      <c r="M141" s="18">
        <v>41.587899999999998</v>
      </c>
      <c r="N141" s="18">
        <v>122.9508</v>
      </c>
      <c r="O141" s="18">
        <f t="shared" si="9"/>
        <v>37.421599999999998</v>
      </c>
      <c r="P141" s="7"/>
      <c r="Q141" s="10"/>
      <c r="R141" s="11"/>
      <c r="S141" s="11"/>
      <c r="T141" s="26"/>
      <c r="U141" s="28">
        <f t="shared" si="10"/>
        <v>2.8847014218009481</v>
      </c>
    </row>
    <row r="142" spans="1:21" ht="16.5" thickBot="1" x14ac:dyDescent="0.3">
      <c r="B142" s="12"/>
      <c r="C142" s="19">
        <v>483.2</v>
      </c>
      <c r="D142" s="20">
        <v>33.935000000000002</v>
      </c>
      <c r="E142" s="20">
        <v>38.991</v>
      </c>
      <c r="F142" s="20">
        <v>40.448</v>
      </c>
      <c r="G142" s="20">
        <v>37.07</v>
      </c>
      <c r="H142" s="20">
        <f t="shared" si="8"/>
        <v>35.381124999999997</v>
      </c>
      <c r="I142" s="5"/>
      <c r="J142" s="19">
        <v>553.24559999999997</v>
      </c>
      <c r="K142" s="20">
        <v>34.352600000000002</v>
      </c>
      <c r="L142" s="20">
        <v>39.639600000000002</v>
      </c>
      <c r="M142" s="20">
        <v>40.826300000000003</v>
      </c>
      <c r="N142" s="20">
        <v>138.6482</v>
      </c>
      <c r="O142" s="20">
        <f t="shared" si="9"/>
        <v>35.822687500000001</v>
      </c>
      <c r="P142" s="7"/>
      <c r="Q142" s="13"/>
      <c r="R142" s="14"/>
      <c r="S142" s="14"/>
      <c r="T142" s="27"/>
      <c r="U142" s="28">
        <f t="shared" si="10"/>
        <v>2.7401726463447535</v>
      </c>
    </row>
    <row r="143" spans="1:21" x14ac:dyDescent="0.25">
      <c r="B143" s="6" t="s">
        <v>49</v>
      </c>
      <c r="C143" s="15">
        <v>2257.58</v>
      </c>
      <c r="D143" s="16">
        <v>35.572000000000003</v>
      </c>
      <c r="E143" s="16">
        <v>39.253999999999998</v>
      </c>
      <c r="F143" s="16">
        <v>40.344000000000001</v>
      </c>
      <c r="G143" s="16">
        <v>31.27</v>
      </c>
      <c r="H143" s="16">
        <f t="shared" si="8"/>
        <v>36.628750000000004</v>
      </c>
      <c r="I143" s="5"/>
      <c r="J143" s="15">
        <v>2458.3056000000001</v>
      </c>
      <c r="K143" s="16">
        <v>35.995800000000003</v>
      </c>
      <c r="L143" s="16">
        <v>39.898600000000002</v>
      </c>
      <c r="M143" s="16">
        <v>41.108800000000002</v>
      </c>
      <c r="N143" s="16">
        <v>87.399900000000002</v>
      </c>
      <c r="O143" s="16">
        <f t="shared" si="9"/>
        <v>37.122775000000004</v>
      </c>
      <c r="P143" s="7"/>
      <c r="Q143" s="8">
        <f>bdrate(C143:C146,D143:D146,J143:J146,K143:K146)</f>
        <v>-2.3159163657228032E-2</v>
      </c>
      <c r="R143" s="8">
        <f>bdrate(C143:C146,E143:E146,J143:J146,L143:L146)</f>
        <v>-0.25866324844399635</v>
      </c>
      <c r="S143" s="8">
        <f>bdrate(C143:C146,F143:F146,J143:J146,M143:M146)</f>
        <v>-0.27145662520924319</v>
      </c>
      <c r="T143" s="25">
        <f>bdrate(C143:C146,H143:H146,J143:J146,O143:O146)</f>
        <v>-6.4839787447302122E-2</v>
      </c>
      <c r="U143" s="28">
        <f t="shared" si="10"/>
        <v>1.7950079948832749</v>
      </c>
    </row>
    <row r="144" spans="1:21" x14ac:dyDescent="0.25">
      <c r="B144" s="9"/>
      <c r="C144" s="17">
        <v>1500.52</v>
      </c>
      <c r="D144" s="18">
        <v>34.33</v>
      </c>
      <c r="E144" s="18">
        <v>38.399000000000001</v>
      </c>
      <c r="F144" s="18">
        <v>39.630000000000003</v>
      </c>
      <c r="G144" s="18">
        <v>35.44</v>
      </c>
      <c r="H144" s="18">
        <f t="shared" si="8"/>
        <v>35.501125000000002</v>
      </c>
      <c r="I144" s="5"/>
      <c r="J144" s="17">
        <v>1657.9784</v>
      </c>
      <c r="K144" s="18">
        <v>34.727600000000002</v>
      </c>
      <c r="L144" s="18">
        <v>39.1616</v>
      </c>
      <c r="M144" s="18">
        <v>40.367100000000001</v>
      </c>
      <c r="N144" s="18">
        <v>103.94110000000001</v>
      </c>
      <c r="O144" s="18">
        <f t="shared" si="9"/>
        <v>35.986787500000005</v>
      </c>
      <c r="P144" s="7"/>
      <c r="Q144" s="10"/>
      <c r="R144" s="11"/>
      <c r="S144" s="11"/>
      <c r="T144" s="26"/>
      <c r="U144" s="28">
        <f t="shared" si="10"/>
        <v>1.9328752821670432</v>
      </c>
    </row>
    <row r="145" spans="1:21" x14ac:dyDescent="0.25">
      <c r="B145" s="9"/>
      <c r="C145" s="17">
        <v>928.33</v>
      </c>
      <c r="D145" s="18">
        <v>32.89</v>
      </c>
      <c r="E145" s="18">
        <v>37.47</v>
      </c>
      <c r="F145" s="18">
        <v>38.966999999999999</v>
      </c>
      <c r="G145" s="18">
        <v>35.78</v>
      </c>
      <c r="H145" s="18">
        <f t="shared" si="8"/>
        <v>34.222124999999998</v>
      </c>
      <c r="I145" s="5"/>
      <c r="J145" s="17">
        <v>1020.7576</v>
      </c>
      <c r="K145" s="18">
        <v>33.227899999999998</v>
      </c>
      <c r="L145" s="18">
        <v>38.216799999999999</v>
      </c>
      <c r="M145" s="18">
        <v>39.526299999999999</v>
      </c>
      <c r="N145" s="18">
        <v>113.9601</v>
      </c>
      <c r="O145" s="18">
        <f t="shared" si="9"/>
        <v>34.6388125</v>
      </c>
      <c r="P145" s="7"/>
      <c r="Q145" s="10"/>
      <c r="R145" s="11"/>
      <c r="S145" s="11"/>
      <c r="T145" s="26"/>
      <c r="U145" s="28">
        <f t="shared" si="10"/>
        <v>2.185022358859698</v>
      </c>
    </row>
    <row r="146" spans="1:21" ht="16.5" thickBot="1" x14ac:dyDescent="0.3">
      <c r="B146" s="12"/>
      <c r="C146" s="19">
        <v>549.79</v>
      </c>
      <c r="D146" s="20">
        <v>31.277000000000001</v>
      </c>
      <c r="E146" s="20">
        <v>36.621000000000002</v>
      </c>
      <c r="F146" s="20">
        <v>38.430999999999997</v>
      </c>
      <c r="G146" s="20">
        <v>43.56</v>
      </c>
      <c r="H146" s="20">
        <f t="shared" si="8"/>
        <v>32.83925</v>
      </c>
      <c r="I146" s="5"/>
      <c r="J146" s="19">
        <v>585.61919999999998</v>
      </c>
      <c r="K146" s="20">
        <v>31.532699999999998</v>
      </c>
      <c r="L146" s="20">
        <v>37.263500000000001</v>
      </c>
      <c r="M146" s="20">
        <v>38.768700000000003</v>
      </c>
      <c r="N146" s="20">
        <v>137.3784</v>
      </c>
      <c r="O146" s="20">
        <f t="shared" si="9"/>
        <v>33.153549999999996</v>
      </c>
      <c r="P146" s="7"/>
      <c r="Q146" s="13"/>
      <c r="R146" s="14"/>
      <c r="S146" s="14"/>
      <c r="T146" s="27"/>
      <c r="U146" s="28">
        <f t="shared" si="10"/>
        <v>2.1537741046831953</v>
      </c>
    </row>
    <row r="147" spans="1:21" x14ac:dyDescent="0.25">
      <c r="B147" s="6" t="s">
        <v>50</v>
      </c>
      <c r="C147" s="15">
        <v>2359.66</v>
      </c>
      <c r="D147" s="16">
        <v>33.627000000000002</v>
      </c>
      <c r="E147" s="16">
        <v>37.713000000000001</v>
      </c>
      <c r="F147" s="16">
        <v>39.320999999999998</v>
      </c>
      <c r="G147" s="16">
        <v>35.57</v>
      </c>
      <c r="H147" s="16">
        <f t="shared" si="8"/>
        <v>34.849499999999999</v>
      </c>
      <c r="I147" s="5"/>
      <c r="J147" s="15">
        <v>2412.7296000000001</v>
      </c>
      <c r="K147" s="16">
        <v>34.033999999999999</v>
      </c>
      <c r="L147" s="16">
        <v>38.090000000000003</v>
      </c>
      <c r="M147" s="16">
        <v>40.070900000000002</v>
      </c>
      <c r="N147" s="16">
        <v>109.3853</v>
      </c>
      <c r="O147" s="16">
        <f t="shared" si="9"/>
        <v>35.295612500000004</v>
      </c>
      <c r="P147" s="7"/>
      <c r="Q147" s="8">
        <f>bdrate(C147:C150,D147:D150,J147:J150,K147:K150)</f>
        <v>-6.3922713893518668E-2</v>
      </c>
      <c r="R147" s="8">
        <f>bdrate(C147:C150,E147:E150,J147:J150,L147:L150)</f>
        <v>-0.23454329633425408</v>
      </c>
      <c r="S147" s="8">
        <f>bdrate(C147:C150,F147:F150,J147:J150,M147:M150)</f>
        <v>-0.24406080001499064</v>
      </c>
      <c r="T147" s="25">
        <f>bdrate(C147:C150,H147:H150,J147:J150,O147:O150)</f>
        <v>-9.3220429219877943E-2</v>
      </c>
      <c r="U147" s="28">
        <f t="shared" si="10"/>
        <v>2.0752122575203824</v>
      </c>
    </row>
    <row r="148" spans="1:21" x14ac:dyDescent="0.25">
      <c r="B148" s="9"/>
      <c r="C148" s="17">
        <v>1560.38</v>
      </c>
      <c r="D148" s="18">
        <v>32.420999999999999</v>
      </c>
      <c r="E148" s="18">
        <v>37.256999999999998</v>
      </c>
      <c r="F148" s="18">
        <v>38.564999999999998</v>
      </c>
      <c r="G148" s="18">
        <v>39.67</v>
      </c>
      <c r="H148" s="18">
        <f t="shared" si="8"/>
        <v>33.793500000000002</v>
      </c>
      <c r="I148" s="5"/>
      <c r="J148" s="17">
        <v>1604.1271999999999</v>
      </c>
      <c r="K148" s="18">
        <v>32.804699999999997</v>
      </c>
      <c r="L148" s="18">
        <v>37.640099999999997</v>
      </c>
      <c r="M148" s="18">
        <v>39.247999999999998</v>
      </c>
      <c r="N148" s="18">
        <v>135.79580000000001</v>
      </c>
      <c r="O148" s="18">
        <f t="shared" si="9"/>
        <v>34.214537499999999</v>
      </c>
      <c r="P148" s="7"/>
      <c r="Q148" s="10"/>
      <c r="R148" s="11"/>
      <c r="S148" s="11"/>
      <c r="T148" s="26"/>
      <c r="U148" s="28">
        <f t="shared" si="10"/>
        <v>2.4231358709352158</v>
      </c>
    </row>
    <row r="149" spans="1:21" x14ac:dyDescent="0.25">
      <c r="B149" s="9"/>
      <c r="C149" s="17">
        <v>966.72</v>
      </c>
      <c r="D149" s="18">
        <v>30.936</v>
      </c>
      <c r="E149" s="18">
        <v>36.695999999999998</v>
      </c>
      <c r="F149" s="18">
        <v>37.619999999999997</v>
      </c>
      <c r="G149" s="18">
        <v>43.43</v>
      </c>
      <c r="H149" s="18">
        <f t="shared" si="8"/>
        <v>32.491499999999995</v>
      </c>
      <c r="I149" s="5"/>
      <c r="J149" s="17">
        <v>998.38400000000001</v>
      </c>
      <c r="K149" s="18">
        <v>31.199100000000001</v>
      </c>
      <c r="L149" s="18">
        <v>37.044699999999999</v>
      </c>
      <c r="M149" s="18">
        <v>38.219900000000003</v>
      </c>
      <c r="N149" s="18">
        <v>152.62520000000001</v>
      </c>
      <c r="O149" s="18">
        <f t="shared" si="9"/>
        <v>32.807400000000001</v>
      </c>
      <c r="P149" s="7"/>
      <c r="Q149" s="10"/>
      <c r="R149" s="11"/>
      <c r="S149" s="11"/>
      <c r="T149" s="26"/>
      <c r="U149" s="28">
        <f t="shared" si="10"/>
        <v>2.514280451300944</v>
      </c>
    </row>
    <row r="150" spans="1:21" ht="16.5" thickBot="1" x14ac:dyDescent="0.3">
      <c r="B150" s="12"/>
      <c r="C150" s="19">
        <v>564.57000000000005</v>
      </c>
      <c r="D150" s="20">
        <v>29.145</v>
      </c>
      <c r="E150" s="20">
        <v>35.765000000000001</v>
      </c>
      <c r="F150" s="20">
        <v>36.21</v>
      </c>
      <c r="G150" s="20">
        <v>48.2</v>
      </c>
      <c r="H150" s="20">
        <f t="shared" si="8"/>
        <v>30.855625</v>
      </c>
      <c r="I150" s="5"/>
      <c r="J150" s="19">
        <v>599.56960000000004</v>
      </c>
      <c r="K150" s="20">
        <v>29.450600000000001</v>
      </c>
      <c r="L150" s="20">
        <v>36.366300000000003</v>
      </c>
      <c r="M150" s="20">
        <v>37.130699999999997</v>
      </c>
      <c r="N150" s="20">
        <v>168.691</v>
      </c>
      <c r="O150" s="20">
        <f t="shared" si="9"/>
        <v>31.275074999999998</v>
      </c>
      <c r="P150" s="7"/>
      <c r="Q150" s="13"/>
      <c r="R150" s="14"/>
      <c r="S150" s="14"/>
      <c r="T150" s="27"/>
      <c r="U150" s="28">
        <f t="shared" si="10"/>
        <v>2.4998132780082987</v>
      </c>
    </row>
    <row r="151" spans="1:21" x14ac:dyDescent="0.25">
      <c r="B151" s="6" t="s">
        <v>51</v>
      </c>
      <c r="C151" s="29">
        <v>2402.19</v>
      </c>
      <c r="D151" s="30">
        <v>33.988</v>
      </c>
      <c r="E151" s="30">
        <v>39.841999999999999</v>
      </c>
      <c r="F151" s="30">
        <v>39.338000000000001</v>
      </c>
      <c r="G151" s="16">
        <v>31.67</v>
      </c>
      <c r="H151" s="16">
        <f t="shared" si="8"/>
        <v>35.388500000000001</v>
      </c>
      <c r="I151" s="5"/>
      <c r="J151" s="29">
        <v>2410.6088</v>
      </c>
      <c r="K151" s="30">
        <v>33.986499999999999</v>
      </c>
      <c r="L151" s="30">
        <v>40.246499999999997</v>
      </c>
      <c r="M151" s="30">
        <v>39.833500000000001</v>
      </c>
      <c r="N151" s="16">
        <v>104.3841</v>
      </c>
      <c r="O151" s="16">
        <f t="shared" si="9"/>
        <v>35.499874999999996</v>
      </c>
      <c r="P151" s="7"/>
      <c r="Q151" s="8">
        <f>bdrate(C151:C154,D151:D154,J151:J154,K151:K154)</f>
        <v>1.5921384244536707E-2</v>
      </c>
      <c r="R151" s="8">
        <f>bdrate(C151:C154,E151:E154,J151:J154,L151:L154)</f>
        <v>-0.1159692404491306</v>
      </c>
      <c r="S151" s="8">
        <f>bdrate(C151:C154,F151:F154,J151:J154,M151:M154)</f>
        <v>-0.19996724410016153</v>
      </c>
      <c r="T151" s="25">
        <f>bdrate(C151:C154,H151:H154,J151:J154,O151:O154)</f>
        <v>-2.1401479889765262E-2</v>
      </c>
      <c r="U151" s="28">
        <f t="shared" si="10"/>
        <v>2.2959930533628037</v>
      </c>
    </row>
    <row r="152" spans="1:21" x14ac:dyDescent="0.25">
      <c r="B152" s="9"/>
      <c r="C152" s="31">
        <v>1590.58</v>
      </c>
      <c r="D152" s="32">
        <v>32.578000000000003</v>
      </c>
      <c r="E152" s="32">
        <v>39.081000000000003</v>
      </c>
      <c r="F152" s="32">
        <v>38.228999999999999</v>
      </c>
      <c r="G152" s="18">
        <v>35.49</v>
      </c>
      <c r="H152" s="18">
        <f t="shared" si="8"/>
        <v>34.097250000000003</v>
      </c>
      <c r="I152" s="5"/>
      <c r="J152" s="31">
        <v>1609.3320000000001</v>
      </c>
      <c r="K152" s="32">
        <v>32.598500000000001</v>
      </c>
      <c r="L152" s="32">
        <v>39.518000000000001</v>
      </c>
      <c r="M152" s="32">
        <v>38.890599999999999</v>
      </c>
      <c r="N152" s="18">
        <v>120.9482</v>
      </c>
      <c r="O152" s="18">
        <f t="shared" si="9"/>
        <v>34.249949999999998</v>
      </c>
      <c r="P152" s="7"/>
      <c r="Q152" s="10"/>
      <c r="R152" s="11"/>
      <c r="S152" s="11"/>
      <c r="T152" s="26"/>
      <c r="U152" s="28">
        <f t="shared" si="10"/>
        <v>2.4079515356438432</v>
      </c>
    </row>
    <row r="153" spans="1:21" x14ac:dyDescent="0.25">
      <c r="B153" s="9"/>
      <c r="C153" s="31">
        <v>989.45</v>
      </c>
      <c r="D153" s="32">
        <v>30.866</v>
      </c>
      <c r="E153" s="32">
        <v>38.180999999999997</v>
      </c>
      <c r="F153" s="32">
        <v>36.938000000000002</v>
      </c>
      <c r="G153" s="18">
        <v>39.22</v>
      </c>
      <c r="H153" s="18">
        <f t="shared" si="8"/>
        <v>32.539375</v>
      </c>
      <c r="I153" s="5"/>
      <c r="J153" s="31">
        <v>999.67439999999999</v>
      </c>
      <c r="K153" s="32">
        <v>30.818899999999999</v>
      </c>
      <c r="L153" s="32">
        <v>38.489699999999999</v>
      </c>
      <c r="M153" s="32">
        <v>37.647199999999998</v>
      </c>
      <c r="N153" s="18">
        <v>136.94880000000001</v>
      </c>
      <c r="O153" s="18">
        <f t="shared" si="9"/>
        <v>32.631287499999999</v>
      </c>
      <c r="P153" s="7"/>
      <c r="Q153" s="10"/>
      <c r="R153" s="11"/>
      <c r="S153" s="11"/>
      <c r="T153" s="26"/>
      <c r="U153" s="28">
        <f t="shared" si="10"/>
        <v>2.4918103008669048</v>
      </c>
    </row>
    <row r="154" spans="1:21" ht="16.5" thickBot="1" x14ac:dyDescent="0.3">
      <c r="B154" s="12"/>
      <c r="C154" s="33">
        <v>588.11</v>
      </c>
      <c r="D154" s="34">
        <v>28.933</v>
      </c>
      <c r="E154" s="34">
        <v>36.863999999999997</v>
      </c>
      <c r="F154" s="34">
        <v>35.151000000000003</v>
      </c>
      <c r="G154" s="20">
        <v>43.43</v>
      </c>
      <c r="H154" s="20">
        <f t="shared" si="8"/>
        <v>30.701625000000003</v>
      </c>
      <c r="I154" s="5"/>
      <c r="J154" s="33">
        <v>599.84479999999996</v>
      </c>
      <c r="K154" s="34">
        <v>28.9115</v>
      </c>
      <c r="L154" s="34">
        <v>36.864899999999999</v>
      </c>
      <c r="M154" s="34">
        <v>35.8444</v>
      </c>
      <c r="N154" s="20">
        <v>157.08449999999999</v>
      </c>
      <c r="O154" s="20">
        <f t="shared" si="9"/>
        <v>30.772287500000001</v>
      </c>
      <c r="P154" s="7"/>
      <c r="Q154" s="13"/>
      <c r="R154" s="14"/>
      <c r="S154" s="14"/>
      <c r="T154" s="27"/>
      <c r="U154" s="28">
        <f t="shared" si="10"/>
        <v>2.6169583237393503</v>
      </c>
    </row>
    <row r="155" spans="1:21" x14ac:dyDescent="0.25">
      <c r="B155" s="6" t="s">
        <v>52</v>
      </c>
      <c r="C155" s="15">
        <v>2376.98</v>
      </c>
      <c r="D155" s="16">
        <v>33.238999999999997</v>
      </c>
      <c r="E155" s="16">
        <v>39.228999999999999</v>
      </c>
      <c r="F155" s="16">
        <v>41.872</v>
      </c>
      <c r="G155" s="16">
        <v>44.72</v>
      </c>
      <c r="H155" s="16">
        <f t="shared" si="8"/>
        <v>35.066874999999996</v>
      </c>
      <c r="I155" s="5"/>
      <c r="J155" s="15">
        <v>2415.4295999999999</v>
      </c>
      <c r="K155" s="16">
        <v>33.566000000000003</v>
      </c>
      <c r="L155" s="16">
        <v>39.733800000000002</v>
      </c>
      <c r="M155" s="16">
        <v>42.177300000000002</v>
      </c>
      <c r="N155" s="16">
        <v>117.9941</v>
      </c>
      <c r="O155" s="16">
        <f t="shared" si="9"/>
        <v>35.413387499999999</v>
      </c>
      <c r="P155" s="7"/>
      <c r="Q155" s="8">
        <f>bdrate(C155:C158,D155:D158,J155:J158,K155:K158)</f>
        <v>-0.1096424534438476</v>
      </c>
      <c r="R155" s="8">
        <f>bdrate(C155:C158,E155:E158,J155:J158,L155:L158)</f>
        <v>-0.2028422530952847</v>
      </c>
      <c r="S155" s="8">
        <f>bdrate(C155:C158,F155:F158,J155:J158,M155:M158)</f>
        <v>-4.8657282271037161E-2</v>
      </c>
      <c r="T155" s="25">
        <f>bdrate(C155:C158,H155:H158,J155:J158,O155:O158)</f>
        <v>-0.11377045944036568</v>
      </c>
      <c r="U155" s="28">
        <f t="shared" si="10"/>
        <v>1.6385084973166371</v>
      </c>
    </row>
    <row r="156" spans="1:21" x14ac:dyDescent="0.25">
      <c r="B156" s="9"/>
      <c r="C156" s="17">
        <v>1553.46</v>
      </c>
      <c r="D156" s="18">
        <v>32.491999999999997</v>
      </c>
      <c r="E156" s="18">
        <v>38.832000000000001</v>
      </c>
      <c r="F156" s="18">
        <v>41.51</v>
      </c>
      <c r="G156" s="18">
        <v>49.18</v>
      </c>
      <c r="H156" s="18">
        <f t="shared" si="8"/>
        <v>34.411749999999998</v>
      </c>
      <c r="I156" s="5"/>
      <c r="J156" s="17">
        <v>1607.4168</v>
      </c>
      <c r="K156" s="18">
        <v>32.854999999999997</v>
      </c>
      <c r="L156" s="18">
        <v>39.249000000000002</v>
      </c>
      <c r="M156" s="18">
        <v>41.777299999999997</v>
      </c>
      <c r="N156" s="18">
        <v>139.34049999999999</v>
      </c>
      <c r="O156" s="18">
        <f t="shared" si="9"/>
        <v>34.769537499999998</v>
      </c>
      <c r="P156" s="7"/>
      <c r="Q156" s="10"/>
      <c r="R156" s="11"/>
      <c r="S156" s="11"/>
      <c r="T156" s="26"/>
      <c r="U156" s="28">
        <f t="shared" si="10"/>
        <v>1.8332757218381452</v>
      </c>
    </row>
    <row r="157" spans="1:21" x14ac:dyDescent="0.25">
      <c r="B157" s="9"/>
      <c r="C157" s="17">
        <v>927.44</v>
      </c>
      <c r="D157" s="18">
        <v>31.254999999999999</v>
      </c>
      <c r="E157" s="18">
        <v>38.284999999999997</v>
      </c>
      <c r="F157" s="18">
        <v>41.029000000000003</v>
      </c>
      <c r="G157" s="18">
        <v>53.05</v>
      </c>
      <c r="H157" s="18">
        <f t="shared" si="8"/>
        <v>33.355499999999999</v>
      </c>
      <c r="I157" s="5"/>
      <c r="J157" s="17">
        <v>1024.7072000000001</v>
      </c>
      <c r="K157" s="18">
        <v>31.753599999999999</v>
      </c>
      <c r="L157" s="18">
        <v>38.575899999999997</v>
      </c>
      <c r="M157" s="18">
        <v>41.099699999999999</v>
      </c>
      <c r="N157" s="18">
        <v>142.41630000000001</v>
      </c>
      <c r="O157" s="18">
        <f t="shared" si="9"/>
        <v>33.774649999999994</v>
      </c>
      <c r="P157" s="7"/>
      <c r="Q157" s="10"/>
      <c r="R157" s="11"/>
      <c r="S157" s="11"/>
      <c r="T157" s="26"/>
      <c r="U157" s="28">
        <f t="shared" si="10"/>
        <v>1.6845673892554196</v>
      </c>
    </row>
    <row r="158" spans="1:21" ht="16.5" thickBot="1" x14ac:dyDescent="0.3">
      <c r="B158" s="12"/>
      <c r="C158" s="19">
        <v>488.86</v>
      </c>
      <c r="D158" s="20">
        <v>28.727</v>
      </c>
      <c r="E158" s="20">
        <v>37.396000000000001</v>
      </c>
      <c r="F158" s="20">
        <v>40.384999999999998</v>
      </c>
      <c r="G158" s="20">
        <v>56.81</v>
      </c>
      <c r="H158" s="20">
        <f t="shared" si="8"/>
        <v>31.267874999999997</v>
      </c>
      <c r="I158" s="5"/>
      <c r="J158" s="19">
        <v>594.81600000000003</v>
      </c>
      <c r="K158" s="20">
        <v>30.2395</v>
      </c>
      <c r="L158" s="20">
        <v>38.022100000000002</v>
      </c>
      <c r="M158" s="20">
        <v>40.510100000000001</v>
      </c>
      <c r="N158" s="20">
        <v>156.3314</v>
      </c>
      <c r="O158" s="20">
        <f t="shared" si="9"/>
        <v>32.49615</v>
      </c>
      <c r="P158" s="7"/>
      <c r="Q158" s="13"/>
      <c r="R158" s="14"/>
      <c r="S158" s="14"/>
      <c r="T158" s="27"/>
      <c r="U158" s="28">
        <f t="shared" si="10"/>
        <v>1.751828903362084</v>
      </c>
    </row>
    <row r="159" spans="1:21" x14ac:dyDescent="0.25">
      <c r="A159" s="6" t="s">
        <v>39</v>
      </c>
      <c r="B159" s="6" t="s">
        <v>53</v>
      </c>
      <c r="C159" s="15">
        <v>1217.0999999999999</v>
      </c>
      <c r="D159" s="16">
        <v>34.988</v>
      </c>
      <c r="E159" s="16">
        <v>38.673999999999999</v>
      </c>
      <c r="F159" s="16">
        <v>38.606999999999999</v>
      </c>
      <c r="G159" s="16">
        <v>105.78</v>
      </c>
      <c r="H159" s="16">
        <f t="shared" si="8"/>
        <v>35.901125</v>
      </c>
      <c r="I159" s="5"/>
      <c r="J159" s="15">
        <v>1206.1135999999999</v>
      </c>
      <c r="K159" s="16">
        <v>34.9816</v>
      </c>
      <c r="L159" s="16">
        <v>39.017299999999999</v>
      </c>
      <c r="M159" s="16">
        <v>38.86</v>
      </c>
      <c r="N159" s="16">
        <v>390.625</v>
      </c>
      <c r="O159" s="16">
        <f t="shared" si="9"/>
        <v>35.970862500000003</v>
      </c>
      <c r="P159" s="7"/>
      <c r="Q159" s="8">
        <f>bdrate(C159:C162,D159:D162,J159:J162,K159:K162)</f>
        <v>1.481563956278098E-2</v>
      </c>
      <c r="R159" s="8">
        <f>bdrate(C159:C162,E159:E162,J159:J162,L159:L162)</f>
        <v>-0.13333390040321347</v>
      </c>
      <c r="S159" s="8">
        <f>bdrate(C159:C162,F159:F162,J159:J162,M159:M162)</f>
        <v>-8.83436865608902E-2</v>
      </c>
      <c r="T159" s="25">
        <f>bdrate(C159:C162,H159:H162,J159:J162,O159:O162)</f>
        <v>-1.1295005101639943E-2</v>
      </c>
      <c r="U159" s="28">
        <f t="shared" si="10"/>
        <v>2.6928058234070713</v>
      </c>
    </row>
    <row r="160" spans="1:21" x14ac:dyDescent="0.25">
      <c r="A160" s="9" t="s">
        <v>40</v>
      </c>
      <c r="B160" s="9"/>
      <c r="C160" s="17">
        <v>810.49</v>
      </c>
      <c r="D160" s="18">
        <v>33.454000000000001</v>
      </c>
      <c r="E160" s="18">
        <v>37.457999999999998</v>
      </c>
      <c r="F160" s="18">
        <v>37.296999999999997</v>
      </c>
      <c r="G160" s="18">
        <v>119.59</v>
      </c>
      <c r="H160" s="18">
        <f t="shared" si="8"/>
        <v>34.434874999999998</v>
      </c>
      <c r="I160" s="5"/>
      <c r="J160" s="17">
        <v>806.10879999999997</v>
      </c>
      <c r="K160" s="18">
        <v>33.4084</v>
      </c>
      <c r="L160" s="18">
        <v>37.787300000000002</v>
      </c>
      <c r="M160" s="18">
        <v>37.509799999999998</v>
      </c>
      <c r="N160" s="18">
        <v>470.8098</v>
      </c>
      <c r="O160" s="18">
        <f t="shared" si="9"/>
        <v>34.4684375</v>
      </c>
      <c r="P160" s="7"/>
      <c r="Q160" s="10"/>
      <c r="R160" s="11"/>
      <c r="S160" s="11"/>
      <c r="T160" s="26"/>
      <c r="U160" s="28">
        <f t="shared" si="10"/>
        <v>2.9368659586921981</v>
      </c>
    </row>
    <row r="161" spans="1:21" x14ac:dyDescent="0.25">
      <c r="B161" s="9"/>
      <c r="C161" s="17">
        <v>503.11</v>
      </c>
      <c r="D161" s="18">
        <v>31.673999999999999</v>
      </c>
      <c r="E161" s="18">
        <v>36.183999999999997</v>
      </c>
      <c r="F161" s="18">
        <v>35.802999999999997</v>
      </c>
      <c r="G161" s="18">
        <v>136.99</v>
      </c>
      <c r="H161" s="18">
        <f t="shared" si="8"/>
        <v>32.753874999999994</v>
      </c>
      <c r="I161" s="5"/>
      <c r="J161" s="17">
        <v>502.84</v>
      </c>
      <c r="K161" s="18">
        <v>31.606100000000001</v>
      </c>
      <c r="L161" s="18">
        <v>36.615499999999997</v>
      </c>
      <c r="M161" s="18">
        <v>36.1006</v>
      </c>
      <c r="N161" s="18">
        <v>524.65899999999999</v>
      </c>
      <c r="O161" s="18">
        <f t="shared" si="9"/>
        <v>32.794087500000003</v>
      </c>
      <c r="P161" s="7"/>
      <c r="Q161" s="10"/>
      <c r="R161" s="11"/>
      <c r="S161" s="11"/>
      <c r="T161" s="26"/>
      <c r="U161" s="28">
        <f t="shared" si="10"/>
        <v>2.8299072925031021</v>
      </c>
    </row>
    <row r="162" spans="1:21" ht="16.5" thickBot="1" x14ac:dyDescent="0.3">
      <c r="B162" s="12"/>
      <c r="C162" s="19">
        <v>299.81</v>
      </c>
      <c r="D162" s="20">
        <v>29.786000000000001</v>
      </c>
      <c r="E162" s="20">
        <v>34.942999999999998</v>
      </c>
      <c r="F162" s="20">
        <v>34.25</v>
      </c>
      <c r="G162" s="20">
        <v>157.88</v>
      </c>
      <c r="H162" s="20">
        <f t="shared" si="8"/>
        <v>30.988624999999999</v>
      </c>
      <c r="I162" s="5"/>
      <c r="J162" s="19">
        <v>301.25760000000002</v>
      </c>
      <c r="K162" s="20">
        <v>29.628699999999998</v>
      </c>
      <c r="L162" s="20">
        <v>35.2712</v>
      </c>
      <c r="M162" s="20">
        <v>34.6736</v>
      </c>
      <c r="N162" s="20">
        <v>640.20489999999995</v>
      </c>
      <c r="O162" s="20">
        <f t="shared" si="9"/>
        <v>30.964624999999998</v>
      </c>
      <c r="P162" s="7"/>
      <c r="Q162" s="13"/>
      <c r="R162" s="14"/>
      <c r="S162" s="14"/>
      <c r="T162" s="27"/>
      <c r="U162" s="28">
        <f t="shared" si="10"/>
        <v>3.0550095008867491</v>
      </c>
    </row>
    <row r="163" spans="1:21" x14ac:dyDescent="0.25">
      <c r="B163" s="6" t="s">
        <v>54</v>
      </c>
      <c r="C163" s="15">
        <v>1210.6099999999999</v>
      </c>
      <c r="D163" s="16">
        <v>34.908999999999999</v>
      </c>
      <c r="E163" s="16">
        <v>39.978000000000002</v>
      </c>
      <c r="F163" s="16">
        <v>40.814</v>
      </c>
      <c r="G163" s="16">
        <v>133.07</v>
      </c>
      <c r="H163" s="16">
        <f t="shared" si="8"/>
        <v>36.280750000000005</v>
      </c>
      <c r="I163" s="5"/>
      <c r="J163" s="15">
        <v>1234.7719999999999</v>
      </c>
      <c r="K163" s="16">
        <v>35.172899999999998</v>
      </c>
      <c r="L163" s="16">
        <v>40.443600000000004</v>
      </c>
      <c r="M163" s="16">
        <v>41.311</v>
      </c>
      <c r="N163" s="16">
        <v>396.03960000000001</v>
      </c>
      <c r="O163" s="16">
        <f t="shared" si="9"/>
        <v>36.598999999999997</v>
      </c>
      <c r="P163" s="7"/>
      <c r="Q163" s="8">
        <f>bdrate(C163:C166,D163:D166,J163:J166,K163:K166)</f>
        <v>-6.4345624273129842E-2</v>
      </c>
      <c r="R163" s="8">
        <f>bdrate(C163:C166,E163:E166,J163:J166,L163:L166)</f>
        <v>-0.21832978751838306</v>
      </c>
      <c r="S163" s="8">
        <f>bdrate(C163:C166,F163:F166,J163:J166,M163:M166)</f>
        <v>-0.20211715744445913</v>
      </c>
      <c r="T163" s="25">
        <f>bdrate(C163:C166,H163:H166,J163:J166,O163:O166)</f>
        <v>-9.2154438876742462E-2</v>
      </c>
      <c r="U163" s="28">
        <f t="shared" si="10"/>
        <v>1.9761749455173971</v>
      </c>
    </row>
    <row r="164" spans="1:21" x14ac:dyDescent="0.25">
      <c r="B164" s="9"/>
      <c r="C164" s="17">
        <v>807.21</v>
      </c>
      <c r="D164" s="18">
        <v>33.270000000000003</v>
      </c>
      <c r="E164" s="18">
        <v>38.905999999999999</v>
      </c>
      <c r="F164" s="18">
        <v>39.624000000000002</v>
      </c>
      <c r="G164" s="18">
        <v>152.01</v>
      </c>
      <c r="H164" s="18">
        <f t="shared" si="8"/>
        <v>34.768750000000004</v>
      </c>
      <c r="I164" s="5"/>
      <c r="J164" s="17">
        <v>822.024</v>
      </c>
      <c r="K164" s="18">
        <v>33.608800000000002</v>
      </c>
      <c r="L164" s="18">
        <v>39.474600000000002</v>
      </c>
      <c r="M164" s="18">
        <v>40.2241</v>
      </c>
      <c r="N164" s="18">
        <v>463.32049999999998</v>
      </c>
      <c r="O164" s="18">
        <f t="shared" si="9"/>
        <v>35.168937500000006</v>
      </c>
      <c r="P164" s="7"/>
      <c r="Q164" s="10"/>
      <c r="R164" s="11"/>
      <c r="S164" s="11"/>
      <c r="T164" s="26"/>
      <c r="U164" s="28">
        <f t="shared" si="10"/>
        <v>2.0479606604828628</v>
      </c>
    </row>
    <row r="165" spans="1:21" x14ac:dyDescent="0.25">
      <c r="B165" s="9"/>
      <c r="C165" s="17">
        <v>501.02</v>
      </c>
      <c r="D165" s="18">
        <v>31.294</v>
      </c>
      <c r="E165" s="18">
        <v>37.707999999999998</v>
      </c>
      <c r="F165" s="18">
        <v>38.241</v>
      </c>
      <c r="G165" s="18">
        <v>173.26</v>
      </c>
      <c r="H165" s="18">
        <f t="shared" si="8"/>
        <v>32.964125000000003</v>
      </c>
      <c r="I165" s="5"/>
      <c r="J165" s="17">
        <v>513.27200000000005</v>
      </c>
      <c r="K165" s="18">
        <v>31.6707</v>
      </c>
      <c r="L165" s="18">
        <v>38.401600000000002</v>
      </c>
      <c r="M165" s="18">
        <v>38.966500000000003</v>
      </c>
      <c r="N165" s="18">
        <v>549.45050000000003</v>
      </c>
      <c r="O165" s="18">
        <f t="shared" si="9"/>
        <v>33.424037500000004</v>
      </c>
      <c r="P165" s="7"/>
      <c r="Q165" s="10"/>
      <c r="R165" s="11"/>
      <c r="S165" s="11"/>
      <c r="T165" s="26"/>
      <c r="U165" s="28">
        <f t="shared" si="10"/>
        <v>2.1712484127900269</v>
      </c>
    </row>
    <row r="166" spans="1:21" ht="16.5" thickBot="1" x14ac:dyDescent="0.3">
      <c r="B166" s="12"/>
      <c r="C166" s="19">
        <v>296.95999999999998</v>
      </c>
      <c r="D166" s="20">
        <v>29.056999999999999</v>
      </c>
      <c r="E166" s="20">
        <v>36.354999999999997</v>
      </c>
      <c r="F166" s="20">
        <v>36.677999999999997</v>
      </c>
      <c r="G166" s="20">
        <v>198.28</v>
      </c>
      <c r="H166" s="20">
        <f t="shared" si="8"/>
        <v>30.921874999999996</v>
      </c>
      <c r="I166" s="5"/>
      <c r="J166" s="19">
        <v>307.32400000000001</v>
      </c>
      <c r="K166" s="20">
        <v>29.556100000000001</v>
      </c>
      <c r="L166" s="20">
        <v>37.361400000000003</v>
      </c>
      <c r="M166" s="20">
        <v>37.791899999999998</v>
      </c>
      <c r="N166" s="20">
        <v>641.02560000000005</v>
      </c>
      <c r="O166" s="20">
        <f t="shared" si="9"/>
        <v>31.561237500000001</v>
      </c>
      <c r="P166" s="7"/>
      <c r="Q166" s="13"/>
      <c r="R166" s="14"/>
      <c r="S166" s="14"/>
      <c r="T166" s="27"/>
      <c r="U166" s="28">
        <f t="shared" si="10"/>
        <v>2.2329312083921731</v>
      </c>
    </row>
    <row r="167" spans="1:21" x14ac:dyDescent="0.25">
      <c r="B167" s="6" t="s">
        <v>55</v>
      </c>
      <c r="C167" s="15">
        <v>1084.32</v>
      </c>
      <c r="D167" s="16">
        <v>29.463999999999999</v>
      </c>
      <c r="E167" s="16">
        <v>35.621000000000002</v>
      </c>
      <c r="F167" s="16">
        <v>36.363999999999997</v>
      </c>
      <c r="G167" s="16">
        <v>128.21</v>
      </c>
      <c r="H167" s="16">
        <f t="shared" si="8"/>
        <v>31.096125000000001</v>
      </c>
      <c r="I167" s="5"/>
      <c r="J167" s="15">
        <v>1215.1232</v>
      </c>
      <c r="K167" s="16">
        <v>30.297799999999999</v>
      </c>
      <c r="L167" s="16">
        <v>36.6723</v>
      </c>
      <c r="M167" s="16">
        <v>37.456000000000003</v>
      </c>
      <c r="N167" s="16">
        <v>348.43209999999999</v>
      </c>
      <c r="O167" s="16">
        <f t="shared" si="9"/>
        <v>31.989387499999999</v>
      </c>
      <c r="P167" s="7"/>
      <c r="Q167" s="8">
        <f>bdrate(C167:C170,D167:D170,J167:J170,K167:K170)</f>
        <v>-0.15198311002954912</v>
      </c>
      <c r="R167" s="8">
        <f>bdrate(C167:C170,E167:E170,J167:J170,L167:L170)</f>
        <v>-0.34106061543601185</v>
      </c>
      <c r="S167" s="8">
        <f>bdrate(C167:C170,F167:F170,J167:J170,M167:M170)</f>
        <v>-0.32840335790787001</v>
      </c>
      <c r="T167" s="25">
        <f>bdrate(C167:C170,H167:H170,J167:J170,O167:O170)</f>
        <v>-0.18329388890864107</v>
      </c>
      <c r="U167" s="28">
        <f t="shared" si="10"/>
        <v>1.7176671086498712</v>
      </c>
    </row>
    <row r="168" spans="1:21" x14ac:dyDescent="0.25">
      <c r="B168" s="9"/>
      <c r="C168" s="17">
        <v>722.56</v>
      </c>
      <c r="D168" s="18">
        <v>28.06</v>
      </c>
      <c r="E168" s="18">
        <v>34.869999999999997</v>
      </c>
      <c r="F168" s="18">
        <v>35.619999999999997</v>
      </c>
      <c r="G168" s="18">
        <v>149.79</v>
      </c>
      <c r="H168" s="18">
        <f t="shared" si="8"/>
        <v>29.856249999999999</v>
      </c>
      <c r="I168" s="5"/>
      <c r="J168" s="17">
        <v>809.06640000000004</v>
      </c>
      <c r="K168" s="18">
        <v>28.9481</v>
      </c>
      <c r="L168" s="18">
        <v>35.876199999999997</v>
      </c>
      <c r="M168" s="18">
        <v>36.647500000000001</v>
      </c>
      <c r="N168" s="18">
        <v>444.8399</v>
      </c>
      <c r="O168" s="18">
        <f t="shared" si="9"/>
        <v>30.7765375</v>
      </c>
      <c r="P168" s="7"/>
      <c r="Q168" s="10"/>
      <c r="R168" s="11"/>
      <c r="S168" s="11"/>
      <c r="T168" s="26"/>
      <c r="U168" s="28">
        <f t="shared" si="10"/>
        <v>1.9697569931237064</v>
      </c>
    </row>
    <row r="169" spans="1:21" x14ac:dyDescent="0.25">
      <c r="B169" s="9"/>
      <c r="C169" s="17">
        <v>448.25</v>
      </c>
      <c r="D169" s="18">
        <v>26.492000000000001</v>
      </c>
      <c r="E169" s="18">
        <v>34.101999999999997</v>
      </c>
      <c r="F169" s="18">
        <v>34.877000000000002</v>
      </c>
      <c r="G169" s="18">
        <v>172.29</v>
      </c>
      <c r="H169" s="18">
        <f t="shared" si="8"/>
        <v>28.491375000000001</v>
      </c>
      <c r="I169" s="5"/>
      <c r="J169" s="17">
        <v>507.83440000000002</v>
      </c>
      <c r="K169" s="18">
        <v>27.447800000000001</v>
      </c>
      <c r="L169" s="18">
        <v>34.991999999999997</v>
      </c>
      <c r="M169" s="18">
        <v>35.723199999999999</v>
      </c>
      <c r="N169" s="18">
        <v>501.00200000000001</v>
      </c>
      <c r="O169" s="18">
        <f t="shared" si="9"/>
        <v>29.425249999999998</v>
      </c>
      <c r="P169" s="7"/>
      <c r="Q169" s="10"/>
      <c r="R169" s="11"/>
      <c r="S169" s="11"/>
      <c r="T169" s="26"/>
      <c r="U169" s="28">
        <f t="shared" si="10"/>
        <v>1.9078994718207674</v>
      </c>
    </row>
    <row r="170" spans="1:21" ht="16.5" thickBot="1" x14ac:dyDescent="0.3">
      <c r="B170" s="12"/>
      <c r="C170" s="19">
        <v>259.3</v>
      </c>
      <c r="D170" s="20">
        <v>24.661000000000001</v>
      </c>
      <c r="E170" s="20">
        <v>33.088999999999999</v>
      </c>
      <c r="F170" s="20">
        <v>33.783999999999999</v>
      </c>
      <c r="G170" s="20">
        <v>202.84</v>
      </c>
      <c r="H170" s="20">
        <f t="shared" si="8"/>
        <v>26.854875</v>
      </c>
      <c r="I170" s="5"/>
      <c r="J170" s="19">
        <v>305.85359999999997</v>
      </c>
      <c r="K170" s="20">
        <v>25.8734</v>
      </c>
      <c r="L170" s="20">
        <v>34.138399999999997</v>
      </c>
      <c r="M170" s="20">
        <v>34.826799999999999</v>
      </c>
      <c r="N170" s="20">
        <v>561.79780000000005</v>
      </c>
      <c r="O170" s="20">
        <f t="shared" si="9"/>
        <v>28.025699999999997</v>
      </c>
      <c r="P170" s="7"/>
      <c r="Q170" s="13"/>
      <c r="R170" s="14"/>
      <c r="S170" s="14"/>
      <c r="T170" s="27"/>
      <c r="U170" s="28">
        <f t="shared" si="10"/>
        <v>1.7696598304082036</v>
      </c>
    </row>
    <row r="171" spans="1:21" x14ac:dyDescent="0.25">
      <c r="B171" s="6" t="s">
        <v>56</v>
      </c>
      <c r="C171" s="15">
        <v>1099.8</v>
      </c>
      <c r="D171" s="16">
        <v>32.369999999999997</v>
      </c>
      <c r="E171" s="16">
        <v>36.555</v>
      </c>
      <c r="F171" s="16">
        <v>38.156999999999996</v>
      </c>
      <c r="G171" s="16">
        <v>84.34</v>
      </c>
      <c r="H171" s="16">
        <f t="shared" si="8"/>
        <v>33.616499999999995</v>
      </c>
      <c r="I171" s="5"/>
      <c r="J171" s="15">
        <v>1203.9456</v>
      </c>
      <c r="K171" s="16">
        <v>32.360300000000002</v>
      </c>
      <c r="L171" s="16">
        <v>36.856400000000001</v>
      </c>
      <c r="M171" s="16">
        <v>38.395099999999999</v>
      </c>
      <c r="N171" s="16">
        <v>274.7253</v>
      </c>
      <c r="O171" s="16">
        <f t="shared" si="9"/>
        <v>33.676662500000006</v>
      </c>
      <c r="P171" s="7"/>
      <c r="Q171" s="8">
        <f>bdrate(C171:C174,D171:D174,J171:J174,K171:K174)</f>
        <v>0.10272385178502597</v>
      </c>
      <c r="R171" s="8">
        <f>bdrate(C171:C174,E171:E174,J171:J174,L171:L174)</f>
        <v>-0.10630134173718098</v>
      </c>
      <c r="S171" s="8">
        <f>bdrate(C171:C174,F171:F174,J171:J174,M171:M174)</f>
        <v>-0.10883105953962746</v>
      </c>
      <c r="T171" s="25">
        <f>bdrate(C171:C174,H171:H174,J171:J174,O171:O174)</f>
        <v>6.3038640799771839E-2</v>
      </c>
      <c r="U171" s="28">
        <f t="shared" si="10"/>
        <v>2.2573547545648562</v>
      </c>
    </row>
    <row r="172" spans="1:21" x14ac:dyDescent="0.25">
      <c r="B172" s="9"/>
      <c r="C172" s="17">
        <v>742.19</v>
      </c>
      <c r="D172" s="18">
        <v>30.907</v>
      </c>
      <c r="E172" s="18">
        <v>35.591000000000001</v>
      </c>
      <c r="F172" s="18">
        <v>37.137999999999998</v>
      </c>
      <c r="G172" s="18">
        <v>96.15</v>
      </c>
      <c r="H172" s="18">
        <f t="shared" si="8"/>
        <v>32.271374999999999</v>
      </c>
      <c r="I172" s="5"/>
      <c r="J172" s="17">
        <v>802.02959999999996</v>
      </c>
      <c r="K172" s="18">
        <v>30.802099999999999</v>
      </c>
      <c r="L172" s="18">
        <v>35.939900000000002</v>
      </c>
      <c r="M172" s="18">
        <v>37.5122</v>
      </c>
      <c r="N172" s="18">
        <v>337.45780000000002</v>
      </c>
      <c r="O172" s="18">
        <f t="shared" si="9"/>
        <v>32.283087500000001</v>
      </c>
      <c r="P172" s="7"/>
      <c r="Q172" s="10"/>
      <c r="R172" s="11"/>
      <c r="S172" s="11"/>
      <c r="T172" s="26"/>
      <c r="U172" s="28">
        <f t="shared" si="10"/>
        <v>2.5097015080603224</v>
      </c>
    </row>
    <row r="173" spans="1:21" x14ac:dyDescent="0.25">
      <c r="B173" s="9"/>
      <c r="C173" s="17">
        <v>469.74</v>
      </c>
      <c r="D173" s="18">
        <v>29.234999999999999</v>
      </c>
      <c r="E173" s="18">
        <v>34.622999999999998</v>
      </c>
      <c r="F173" s="18">
        <v>36.104999999999997</v>
      </c>
      <c r="G173" s="18">
        <v>110.54</v>
      </c>
      <c r="H173" s="18">
        <f t="shared" si="8"/>
        <v>30.767249999999997</v>
      </c>
      <c r="I173" s="5"/>
      <c r="J173" s="17">
        <v>500.91359999999997</v>
      </c>
      <c r="K173" s="18">
        <v>29.1203</v>
      </c>
      <c r="L173" s="18">
        <v>35.0274</v>
      </c>
      <c r="M173" s="18">
        <v>36.552500000000002</v>
      </c>
      <c r="N173" s="18">
        <v>401.06950000000001</v>
      </c>
      <c r="O173" s="18">
        <f t="shared" si="9"/>
        <v>30.787712500000001</v>
      </c>
      <c r="P173" s="7"/>
      <c r="Q173" s="10"/>
      <c r="R173" s="11"/>
      <c r="S173" s="11"/>
      <c r="T173" s="26"/>
      <c r="U173" s="28">
        <f t="shared" si="10"/>
        <v>2.628274832639768</v>
      </c>
    </row>
    <row r="174" spans="1:21" ht="16.5" thickBot="1" x14ac:dyDescent="0.3">
      <c r="B174" s="12"/>
      <c r="C174" s="19">
        <v>285.24</v>
      </c>
      <c r="D174" s="20">
        <v>27.594000000000001</v>
      </c>
      <c r="E174" s="20">
        <v>33.566000000000003</v>
      </c>
      <c r="F174" s="20">
        <v>34.921999999999997</v>
      </c>
      <c r="G174" s="20">
        <v>128.21</v>
      </c>
      <c r="H174" s="20">
        <f t="shared" si="8"/>
        <v>29.256500000000003</v>
      </c>
      <c r="I174" s="5"/>
      <c r="J174" s="19">
        <v>300.15199999999999</v>
      </c>
      <c r="K174" s="20">
        <v>27.5139</v>
      </c>
      <c r="L174" s="20">
        <v>34.097299999999997</v>
      </c>
      <c r="M174" s="20">
        <v>35.533999999999999</v>
      </c>
      <c r="N174" s="20">
        <v>458.01530000000002</v>
      </c>
      <c r="O174" s="20">
        <f t="shared" si="9"/>
        <v>29.339337499999996</v>
      </c>
      <c r="P174" s="7"/>
      <c r="Q174" s="13"/>
      <c r="R174" s="14"/>
      <c r="S174" s="14"/>
      <c r="T174" s="27"/>
      <c r="U174" s="28">
        <f t="shared" si="10"/>
        <v>2.5723835894236018</v>
      </c>
    </row>
    <row r="175" spans="1:21" x14ac:dyDescent="0.25">
      <c r="A175" s="6" t="s">
        <v>41</v>
      </c>
      <c r="B175" s="6" t="s">
        <v>57</v>
      </c>
      <c r="C175" s="15">
        <v>640.52</v>
      </c>
      <c r="D175" s="16">
        <v>34.624000000000002</v>
      </c>
      <c r="E175" s="16">
        <v>39.594999999999999</v>
      </c>
      <c r="F175" s="16">
        <v>38.152999999999999</v>
      </c>
      <c r="G175" s="16">
        <v>184.16</v>
      </c>
      <c r="H175" s="16">
        <f t="shared" si="8"/>
        <v>35.686500000000002</v>
      </c>
      <c r="I175" s="5"/>
      <c r="J175" s="15">
        <v>601.71439999999996</v>
      </c>
      <c r="K175" s="16">
        <v>34.334299999999999</v>
      </c>
      <c r="L175" s="16">
        <v>39.618600000000001</v>
      </c>
      <c r="M175" s="16">
        <v>38.152500000000003</v>
      </c>
      <c r="N175" s="16">
        <v>943.39620000000002</v>
      </c>
      <c r="O175" s="16">
        <f t="shared" si="9"/>
        <v>35.472112499999994</v>
      </c>
      <c r="P175" s="7"/>
      <c r="Q175" s="8">
        <f>bdrate(C175:C178,D175:D178,J175:J178,K175:K178)</f>
        <v>2.4676258361957748E-2</v>
      </c>
      <c r="R175" s="8">
        <f>bdrate(C175:C178,E175:E178,J175:J178,L175:L178)</f>
        <v>-0.12612329316956483</v>
      </c>
      <c r="S175" s="8">
        <f>bdrate(C175:C178,F175:F178,J175:J178,M175:M178)</f>
        <v>-0.13665440683970242</v>
      </c>
      <c r="T175" s="25">
        <f>bdrate(C175:C178,H175:H178,J175:J178,O175:O178)</f>
        <v>-6.7427654781417878E-3</v>
      </c>
      <c r="U175" s="28">
        <f t="shared" si="10"/>
        <v>4.122698740225891</v>
      </c>
    </row>
    <row r="176" spans="1:21" x14ac:dyDescent="0.25">
      <c r="A176" s="9" t="s">
        <v>42</v>
      </c>
      <c r="B176" s="9"/>
      <c r="C176" s="17">
        <v>427.32</v>
      </c>
      <c r="D176" s="18">
        <v>32.808999999999997</v>
      </c>
      <c r="E176" s="18">
        <v>38.340000000000003</v>
      </c>
      <c r="F176" s="18">
        <v>36.716999999999999</v>
      </c>
      <c r="G176" s="18">
        <v>212.22</v>
      </c>
      <c r="H176" s="18">
        <f t="shared" si="8"/>
        <v>33.988875</v>
      </c>
      <c r="I176" s="5"/>
      <c r="J176" s="17">
        <v>402.13200000000001</v>
      </c>
      <c r="K176" s="18">
        <v>32.502000000000002</v>
      </c>
      <c r="L176" s="18">
        <v>38.444099999999999</v>
      </c>
      <c r="M176" s="18">
        <v>36.81</v>
      </c>
      <c r="N176" s="18">
        <v>1068.3761</v>
      </c>
      <c r="O176" s="18">
        <f t="shared" si="9"/>
        <v>33.783262499999999</v>
      </c>
      <c r="P176" s="7"/>
      <c r="Q176" s="10"/>
      <c r="R176" s="11"/>
      <c r="S176" s="11"/>
      <c r="T176" s="26"/>
      <c r="U176" s="28">
        <f t="shared" si="10"/>
        <v>4.0342856469701251</v>
      </c>
    </row>
    <row r="177" spans="1:21" x14ac:dyDescent="0.25">
      <c r="B177" s="9"/>
      <c r="C177" s="17">
        <v>266.77999999999997</v>
      </c>
      <c r="D177" s="18">
        <v>30.881</v>
      </c>
      <c r="E177" s="18">
        <v>37.122</v>
      </c>
      <c r="F177" s="18">
        <v>35.225000000000001</v>
      </c>
      <c r="G177" s="18">
        <v>254.32</v>
      </c>
      <c r="H177" s="18">
        <f t="shared" si="8"/>
        <v>32.204125000000005</v>
      </c>
      <c r="I177" s="5"/>
      <c r="J177" s="17">
        <v>252.59280000000001</v>
      </c>
      <c r="K177" s="18">
        <v>30.5428</v>
      </c>
      <c r="L177" s="18">
        <v>37.370399999999997</v>
      </c>
      <c r="M177" s="18">
        <v>35.5595</v>
      </c>
      <c r="N177" s="18">
        <v>1144.1648</v>
      </c>
      <c r="O177" s="18">
        <f t="shared" si="9"/>
        <v>32.023337499999997</v>
      </c>
      <c r="P177" s="7"/>
      <c r="Q177" s="10"/>
      <c r="R177" s="11"/>
      <c r="S177" s="11"/>
      <c r="T177" s="26"/>
      <c r="U177" s="28">
        <f t="shared" si="10"/>
        <v>3.4989178987102867</v>
      </c>
    </row>
    <row r="178" spans="1:21" ht="16.5" thickBot="1" x14ac:dyDescent="0.3">
      <c r="B178" s="12"/>
      <c r="C178" s="19">
        <v>127.42</v>
      </c>
      <c r="D178" s="20">
        <v>28.047000000000001</v>
      </c>
      <c r="E178" s="20">
        <v>35.436</v>
      </c>
      <c r="F178" s="20">
        <v>32.942</v>
      </c>
      <c r="G178" s="20">
        <v>340.83</v>
      </c>
      <c r="H178" s="20">
        <f t="shared" si="8"/>
        <v>29.582500000000003</v>
      </c>
      <c r="I178" s="5"/>
      <c r="J178" s="19">
        <v>121.68640000000001</v>
      </c>
      <c r="K178" s="20">
        <v>27.680599999999998</v>
      </c>
      <c r="L178" s="20">
        <v>35.7547</v>
      </c>
      <c r="M178" s="20">
        <v>33.615299999999998</v>
      </c>
      <c r="N178" s="20">
        <v>1886.7925</v>
      </c>
      <c r="O178" s="20">
        <f t="shared" si="9"/>
        <v>29.431699999999999</v>
      </c>
      <c r="P178" s="7"/>
      <c r="Q178" s="13"/>
      <c r="R178" s="14"/>
      <c r="S178" s="14"/>
      <c r="T178" s="27"/>
      <c r="U178" s="28">
        <f t="shared" si="10"/>
        <v>4.5358756564856382</v>
      </c>
    </row>
    <row r="179" spans="1:21" x14ac:dyDescent="0.25">
      <c r="B179" s="6" t="s">
        <v>58</v>
      </c>
      <c r="C179" s="15">
        <v>556.54999999999995</v>
      </c>
      <c r="D179" s="16">
        <v>32.329000000000001</v>
      </c>
      <c r="E179" s="16">
        <v>40.051000000000002</v>
      </c>
      <c r="F179" s="16">
        <v>40.851999999999997</v>
      </c>
      <c r="G179" s="16">
        <v>388.6</v>
      </c>
      <c r="H179" s="16">
        <f t="shared" si="8"/>
        <v>34.359624999999994</v>
      </c>
      <c r="I179" s="5"/>
      <c r="J179" s="15">
        <v>599.44719999999995</v>
      </c>
      <c r="K179" s="16">
        <v>33.597000000000001</v>
      </c>
      <c r="L179" s="16">
        <v>41.282699999999998</v>
      </c>
      <c r="M179" s="16">
        <v>42.087200000000003</v>
      </c>
      <c r="N179" s="16">
        <v>1129.9435000000001</v>
      </c>
      <c r="O179" s="16">
        <f t="shared" si="9"/>
        <v>35.618987500000003</v>
      </c>
      <c r="P179" s="7"/>
      <c r="Q179" s="8">
        <f>bdrate(C179:C182,D179:D182,J179:J182,K179:K182)</f>
        <v>-0.27024802838302031</v>
      </c>
      <c r="R179" s="8">
        <f>bdrate(C179:C182,E179:E182,J179:J182,L179:L182)</f>
        <v>-0.32296692095414437</v>
      </c>
      <c r="S179" s="8">
        <f>bdrate(C179:C182,F179:F182,J179:J182,M179:M182)</f>
        <v>-0.26275696582615871</v>
      </c>
      <c r="T179" s="25">
        <f>bdrate(C179:C182,H179:H182,J179:J182,O179:O182)</f>
        <v>-0.27434795394412015</v>
      </c>
      <c r="U179" s="28">
        <f t="shared" si="10"/>
        <v>1.9077290272774061</v>
      </c>
    </row>
    <row r="180" spans="1:21" x14ac:dyDescent="0.25">
      <c r="B180" s="9"/>
      <c r="C180" s="17">
        <v>365.28</v>
      </c>
      <c r="D180" s="18">
        <v>30.957999999999998</v>
      </c>
      <c r="E180" s="18">
        <v>39.326999999999998</v>
      </c>
      <c r="F180" s="18">
        <v>40.113999999999997</v>
      </c>
      <c r="G180" s="18">
        <v>468.75</v>
      </c>
      <c r="H180" s="18">
        <f t="shared" si="8"/>
        <v>33.148624999999996</v>
      </c>
      <c r="I180" s="5"/>
      <c r="J180" s="17">
        <v>398.89839999999998</v>
      </c>
      <c r="K180" s="18">
        <v>32.302500000000002</v>
      </c>
      <c r="L180" s="18">
        <v>40.409300000000002</v>
      </c>
      <c r="M180" s="18">
        <v>41.160200000000003</v>
      </c>
      <c r="N180" s="18">
        <v>1282.0513000000001</v>
      </c>
      <c r="O180" s="18">
        <f t="shared" si="9"/>
        <v>34.4230625</v>
      </c>
      <c r="P180" s="7"/>
      <c r="Q180" s="10"/>
      <c r="R180" s="11"/>
      <c r="S180" s="11"/>
      <c r="T180" s="26"/>
      <c r="U180" s="28">
        <f t="shared" si="10"/>
        <v>1.7350427733333336</v>
      </c>
    </row>
    <row r="181" spans="1:21" x14ac:dyDescent="0.25">
      <c r="B181" s="9"/>
      <c r="C181" s="17">
        <v>225.72</v>
      </c>
      <c r="D181" s="18">
        <v>29.384</v>
      </c>
      <c r="E181" s="18">
        <v>38.655000000000001</v>
      </c>
      <c r="F181" s="18">
        <v>39.402000000000001</v>
      </c>
      <c r="G181" s="18">
        <v>549.45000000000005</v>
      </c>
      <c r="H181" s="18">
        <f t="shared" si="8"/>
        <v>31.795124999999999</v>
      </c>
      <c r="I181" s="5"/>
      <c r="J181" s="17">
        <v>249.5624</v>
      </c>
      <c r="K181" s="18">
        <v>30.7806</v>
      </c>
      <c r="L181" s="18">
        <v>39.431699999999999</v>
      </c>
      <c r="M181" s="18">
        <v>40.055700000000002</v>
      </c>
      <c r="N181" s="18">
        <v>1538.4614999999999</v>
      </c>
      <c r="O181" s="18">
        <f t="shared" si="9"/>
        <v>33.021375000000006</v>
      </c>
      <c r="P181" s="7"/>
      <c r="Q181" s="10"/>
      <c r="R181" s="11"/>
      <c r="S181" s="11"/>
      <c r="T181" s="26"/>
      <c r="U181" s="28">
        <f t="shared" si="10"/>
        <v>1.8000027300027295</v>
      </c>
    </row>
    <row r="182" spans="1:21" ht="16.5" thickBot="1" x14ac:dyDescent="0.3">
      <c r="B182" s="12"/>
      <c r="C182" s="19">
        <v>103.98</v>
      </c>
      <c r="D182" s="20">
        <v>26.471</v>
      </c>
      <c r="E182" s="20">
        <v>37.661999999999999</v>
      </c>
      <c r="F182" s="20">
        <v>38.197000000000003</v>
      </c>
      <c r="G182" s="20">
        <v>686.5</v>
      </c>
      <c r="H182" s="20">
        <f t="shared" si="8"/>
        <v>29.335625</v>
      </c>
      <c r="I182" s="5"/>
      <c r="J182" s="19">
        <v>120.2304</v>
      </c>
      <c r="K182" s="20">
        <v>28.193300000000001</v>
      </c>
      <c r="L182" s="20">
        <v>38.144399999999997</v>
      </c>
      <c r="M182" s="20">
        <v>38.719000000000001</v>
      </c>
      <c r="N182" s="20">
        <v>1749.2710999999999</v>
      </c>
      <c r="O182" s="20">
        <f t="shared" si="9"/>
        <v>30.7529</v>
      </c>
      <c r="P182" s="7"/>
      <c r="Q182" s="13"/>
      <c r="R182" s="14"/>
      <c r="S182" s="14"/>
      <c r="T182" s="27"/>
      <c r="U182" s="28">
        <f t="shared" si="10"/>
        <v>1.5481006554989074</v>
      </c>
    </row>
    <row r="183" spans="1:21" x14ac:dyDescent="0.25">
      <c r="B183" s="6" t="s">
        <v>59</v>
      </c>
      <c r="C183" s="29">
        <v>625.27</v>
      </c>
      <c r="D183" s="30">
        <v>32.509</v>
      </c>
      <c r="E183" s="30">
        <v>37.469000000000001</v>
      </c>
      <c r="F183" s="30">
        <v>38.051000000000002</v>
      </c>
      <c r="G183" s="16">
        <v>271.74</v>
      </c>
      <c r="H183" s="16">
        <f t="shared" si="8"/>
        <v>33.821750000000002</v>
      </c>
      <c r="I183" s="5"/>
      <c r="J183" s="29">
        <v>638.72</v>
      </c>
      <c r="K183" s="30">
        <v>33.088999999999999</v>
      </c>
      <c r="L183" s="30">
        <v>38.058</v>
      </c>
      <c r="M183" s="30">
        <v>38.820099999999996</v>
      </c>
      <c r="N183" s="16">
        <v>915.7509</v>
      </c>
      <c r="O183" s="16">
        <f t="shared" si="9"/>
        <v>34.426512500000001</v>
      </c>
      <c r="P183" s="7"/>
      <c r="Q183" s="8">
        <f>bdrate(C183:C186,D183:D186,J183:J186,K183:K186)</f>
        <v>-0.12357720446651921</v>
      </c>
      <c r="R183" s="8">
        <f>bdrate(C183:C186,E183:E186,J183:J186,L183:L186)</f>
        <v>-0.2208087230697926</v>
      </c>
      <c r="S183" s="8">
        <f>bdrate(C183:C186,F183:F186,J183:J186,M183:M186)</f>
        <v>-0.27787223439855957</v>
      </c>
      <c r="T183" s="25">
        <f>bdrate(C183:C186,H183:H186,J183:J186,O183:O186)</f>
        <v>-0.14935761839104222</v>
      </c>
      <c r="U183" s="28">
        <f t="shared" si="10"/>
        <v>2.3699525281519098</v>
      </c>
    </row>
    <row r="184" spans="1:21" x14ac:dyDescent="0.25">
      <c r="B184" s="9"/>
      <c r="C184" s="31">
        <v>416.03</v>
      </c>
      <c r="D184" s="32">
        <v>30.991</v>
      </c>
      <c r="E184" s="32">
        <v>36.401000000000003</v>
      </c>
      <c r="F184" s="32">
        <v>36.942</v>
      </c>
      <c r="G184" s="18">
        <v>314.27</v>
      </c>
      <c r="H184" s="18">
        <f t="shared" si="8"/>
        <v>32.411124999999998</v>
      </c>
      <c r="I184" s="5"/>
      <c r="J184" s="31">
        <v>427.41120000000001</v>
      </c>
      <c r="K184" s="32">
        <v>31.593499999999999</v>
      </c>
      <c r="L184" s="32">
        <v>37.042499999999997</v>
      </c>
      <c r="M184" s="32">
        <v>37.793399999999998</v>
      </c>
      <c r="N184" s="18">
        <v>1144.1648</v>
      </c>
      <c r="O184" s="18">
        <f t="shared" si="9"/>
        <v>33.049612499999995</v>
      </c>
      <c r="P184" s="7"/>
      <c r="Q184" s="10"/>
      <c r="R184" s="11"/>
      <c r="S184" s="11"/>
      <c r="T184" s="26"/>
      <c r="U184" s="28">
        <f t="shared" si="10"/>
        <v>2.6407063989563118</v>
      </c>
    </row>
    <row r="185" spans="1:21" x14ac:dyDescent="0.25">
      <c r="B185" s="9"/>
      <c r="C185" s="31">
        <v>257.39999999999998</v>
      </c>
      <c r="D185" s="32">
        <v>29.321000000000002</v>
      </c>
      <c r="E185" s="32">
        <v>35.195</v>
      </c>
      <c r="F185" s="32">
        <v>35.706000000000003</v>
      </c>
      <c r="G185" s="18">
        <v>381.68</v>
      </c>
      <c r="H185" s="18">
        <f t="shared" si="8"/>
        <v>30.853375</v>
      </c>
      <c r="I185" s="5"/>
      <c r="J185" s="31">
        <v>264.94880000000001</v>
      </c>
      <c r="K185" s="32">
        <v>29.853300000000001</v>
      </c>
      <c r="L185" s="32">
        <v>35.845399999999998</v>
      </c>
      <c r="M185" s="32">
        <v>36.535800000000002</v>
      </c>
      <c r="N185" s="18">
        <v>1333.3333</v>
      </c>
      <c r="O185" s="18">
        <f t="shared" si="9"/>
        <v>31.437624999999997</v>
      </c>
      <c r="P185" s="7"/>
      <c r="Q185" s="10"/>
      <c r="R185" s="11"/>
      <c r="S185" s="11"/>
      <c r="T185" s="26"/>
      <c r="U185" s="28">
        <f t="shared" si="10"/>
        <v>2.4933276566757492</v>
      </c>
    </row>
    <row r="186" spans="1:21" ht="16.5" thickBot="1" x14ac:dyDescent="0.3">
      <c r="B186" s="12"/>
      <c r="C186" s="33">
        <v>120.94</v>
      </c>
      <c r="D186" s="34">
        <v>26.834</v>
      </c>
      <c r="E186" s="34">
        <v>33.524999999999999</v>
      </c>
      <c r="F186" s="34">
        <v>34.018000000000001</v>
      </c>
      <c r="G186" s="20">
        <v>485.91</v>
      </c>
      <c r="H186" s="20">
        <f t="shared" si="8"/>
        <v>28.568375</v>
      </c>
      <c r="I186" s="5"/>
      <c r="J186" s="33">
        <v>127.00320000000001</v>
      </c>
      <c r="K186" s="34">
        <v>27.4345</v>
      </c>
      <c r="L186" s="34">
        <v>34.3414</v>
      </c>
      <c r="M186" s="34">
        <v>35.111899999999999</v>
      </c>
      <c r="N186" s="20">
        <v>1779.3594000000001</v>
      </c>
      <c r="O186" s="20">
        <f t="shared" si="9"/>
        <v>29.257537499999998</v>
      </c>
      <c r="P186" s="7"/>
      <c r="Q186" s="13"/>
      <c r="R186" s="14"/>
      <c r="S186" s="14"/>
      <c r="T186" s="27"/>
      <c r="U186" s="28">
        <f t="shared" si="10"/>
        <v>2.6619114650861269</v>
      </c>
    </row>
    <row r="187" spans="1:21" x14ac:dyDescent="0.25">
      <c r="B187" s="6" t="s">
        <v>60</v>
      </c>
      <c r="C187" s="15">
        <v>573.73</v>
      </c>
      <c r="D187" s="16">
        <v>33.959000000000003</v>
      </c>
      <c r="E187" s="16">
        <v>37.603000000000002</v>
      </c>
      <c r="F187" s="16">
        <v>38.734000000000002</v>
      </c>
      <c r="G187" s="16">
        <v>152.59</v>
      </c>
      <c r="H187" s="16">
        <f t="shared" si="8"/>
        <v>35.011375000000001</v>
      </c>
      <c r="I187" s="5"/>
      <c r="J187" s="15">
        <v>601.66639999999995</v>
      </c>
      <c r="K187" s="16">
        <v>33.9315</v>
      </c>
      <c r="L187" s="16">
        <v>37.709499999999998</v>
      </c>
      <c r="M187" s="16">
        <v>38.797600000000003</v>
      </c>
      <c r="N187" s="16">
        <v>601.20240000000001</v>
      </c>
      <c r="O187" s="16">
        <f t="shared" si="9"/>
        <v>35.012012499999997</v>
      </c>
      <c r="P187" s="7"/>
      <c r="Q187" s="8">
        <f>bdrate(C187:C190,D187:D190,J187:J190,K187:K190)</f>
        <v>3.4843145910631534E-2</v>
      </c>
      <c r="R187" s="8">
        <f>bdrate(C187:C190,E187:E190,J187:J190,L187:L190)</f>
        <v>-6.100800622172553E-2</v>
      </c>
      <c r="S187" s="8">
        <f>bdrate(C187:C190,F187:F190,J187:J190,M187:M190)</f>
        <v>-6.4928064422245857E-2</v>
      </c>
      <c r="T187" s="25">
        <f>bdrate(C187:C190,H187:H190,J187:J190,O187:O190)</f>
        <v>1.5039956074620386E-2</v>
      </c>
      <c r="U187" s="28">
        <f t="shared" si="10"/>
        <v>2.9399855822793102</v>
      </c>
    </row>
    <row r="188" spans="1:21" x14ac:dyDescent="0.25">
      <c r="B188" s="9"/>
      <c r="C188" s="17">
        <v>385.04</v>
      </c>
      <c r="D188" s="18">
        <v>32.104999999999997</v>
      </c>
      <c r="E188" s="18">
        <v>36.398000000000003</v>
      </c>
      <c r="F188" s="18">
        <v>37.482999999999997</v>
      </c>
      <c r="G188" s="18">
        <v>179.75</v>
      </c>
      <c r="H188" s="18">
        <f t="shared" si="8"/>
        <v>33.313874999999996</v>
      </c>
      <c r="I188" s="5"/>
      <c r="J188" s="17">
        <v>401.01440000000002</v>
      </c>
      <c r="K188" s="18">
        <v>32.0914</v>
      </c>
      <c r="L188" s="18">
        <v>36.545400000000001</v>
      </c>
      <c r="M188" s="18">
        <v>37.635399999999997</v>
      </c>
      <c r="N188" s="18">
        <v>769.23080000000004</v>
      </c>
      <c r="O188" s="18">
        <f t="shared" si="9"/>
        <v>33.341149999999999</v>
      </c>
      <c r="P188" s="7"/>
      <c r="Q188" s="10"/>
      <c r="R188" s="11"/>
      <c r="S188" s="11"/>
      <c r="T188" s="26"/>
      <c r="U188" s="28">
        <f t="shared" si="10"/>
        <v>3.2794481223922118</v>
      </c>
    </row>
    <row r="189" spans="1:21" x14ac:dyDescent="0.25">
      <c r="B189" s="9"/>
      <c r="C189" s="17">
        <v>242.17</v>
      </c>
      <c r="D189" s="18">
        <v>30.178000000000001</v>
      </c>
      <c r="E189" s="18">
        <v>35.081000000000003</v>
      </c>
      <c r="F189" s="18">
        <v>36.067</v>
      </c>
      <c r="G189" s="18">
        <v>213.68</v>
      </c>
      <c r="H189" s="18">
        <f t="shared" si="8"/>
        <v>31.527000000000001</v>
      </c>
      <c r="I189" s="5"/>
      <c r="J189" s="17">
        <v>251.14879999999999</v>
      </c>
      <c r="K189" s="18">
        <v>30.194500000000001</v>
      </c>
      <c r="L189" s="18">
        <v>35.350999999999999</v>
      </c>
      <c r="M189" s="18">
        <v>36.377800000000001</v>
      </c>
      <c r="N189" s="18">
        <v>917.43119999999999</v>
      </c>
      <c r="O189" s="18">
        <f t="shared" si="9"/>
        <v>31.611975000000001</v>
      </c>
      <c r="P189" s="7"/>
      <c r="Q189" s="10"/>
      <c r="R189" s="11"/>
      <c r="S189" s="11"/>
      <c r="T189" s="26"/>
      <c r="U189" s="28">
        <f t="shared" si="10"/>
        <v>3.2934818420067384</v>
      </c>
    </row>
    <row r="190" spans="1:21" ht="16.5" thickBot="1" x14ac:dyDescent="0.3">
      <c r="B190" s="12"/>
      <c r="C190" s="19">
        <v>116.2</v>
      </c>
      <c r="D190" s="20">
        <v>27.576000000000001</v>
      </c>
      <c r="E190" s="20">
        <v>33.238</v>
      </c>
      <c r="F190" s="20">
        <v>34.128</v>
      </c>
      <c r="G190" s="20">
        <v>287.08</v>
      </c>
      <c r="H190" s="20">
        <f t="shared" si="8"/>
        <v>29.10275</v>
      </c>
      <c r="I190" s="5"/>
      <c r="J190" s="19">
        <v>120.71120000000001</v>
      </c>
      <c r="K190" s="20">
        <v>27.676100000000002</v>
      </c>
      <c r="L190" s="20">
        <v>33.878799999999998</v>
      </c>
      <c r="M190" s="20">
        <v>34.846400000000003</v>
      </c>
      <c r="N190" s="20">
        <v>1282.0513000000001</v>
      </c>
      <c r="O190" s="20">
        <f t="shared" si="9"/>
        <v>29.347725000000004</v>
      </c>
      <c r="P190" s="7"/>
      <c r="Q190" s="13"/>
      <c r="R190" s="14"/>
      <c r="S190" s="14"/>
      <c r="T190" s="27"/>
      <c r="U190" s="28">
        <f t="shared" si="10"/>
        <v>3.4658328688867224</v>
      </c>
    </row>
    <row r="191" spans="1:21" x14ac:dyDescent="0.25">
      <c r="A191" s="6" t="s">
        <v>43</v>
      </c>
      <c r="B191" s="6" t="s">
        <v>61</v>
      </c>
      <c r="C191" s="15">
        <v>1379.35</v>
      </c>
      <c r="D191" s="16">
        <v>40.959000000000003</v>
      </c>
      <c r="E191" s="16">
        <v>45.1</v>
      </c>
      <c r="F191" s="16">
        <v>46.357999999999997</v>
      </c>
      <c r="G191" s="16">
        <v>96.15</v>
      </c>
      <c r="H191" s="16">
        <f t="shared" si="8"/>
        <v>42.151500000000006</v>
      </c>
      <c r="I191" s="5"/>
      <c r="J191" s="15">
        <v>1495.9087999999999</v>
      </c>
      <c r="K191" s="16">
        <v>41.340699999999998</v>
      </c>
      <c r="L191" s="16">
        <v>45.598199999999999</v>
      </c>
      <c r="M191" s="16">
        <v>46.769799999999996</v>
      </c>
      <c r="N191" s="16">
        <v>268.93770000000001</v>
      </c>
      <c r="O191" s="16">
        <f t="shared" si="9"/>
        <v>42.551524999999998</v>
      </c>
      <c r="P191" s="7"/>
      <c r="Q191" s="8">
        <f>bdrate(C191:C194,D191:D194,J191:J194,K191:K194)</f>
        <v>2.1413499371335298E-2</v>
      </c>
      <c r="R191" s="8">
        <f>bdrate(C191:C194,E191:E194,J191:J194,L191:L194)</f>
        <v>-4.3915874293369961E-2</v>
      </c>
      <c r="S191" s="8">
        <f>bdrate(C191:C194,F191:F194,J191:J194,M191:M194)</f>
        <v>3.4184973128503771E-3</v>
      </c>
      <c r="T191" s="25">
        <f>bdrate(C191:C194,H191:H194,J191:J194,O191:O194)</f>
        <v>1.3998009535488354E-2</v>
      </c>
      <c r="U191" s="28">
        <f t="shared" si="10"/>
        <v>1.7970639625585023</v>
      </c>
    </row>
    <row r="192" spans="1:21" x14ac:dyDescent="0.25">
      <c r="A192" s="9" t="s">
        <v>44</v>
      </c>
      <c r="B192" s="9"/>
      <c r="C192" s="17">
        <v>909.89</v>
      </c>
      <c r="D192" s="18">
        <v>39.735999999999997</v>
      </c>
      <c r="E192" s="18">
        <v>44.06</v>
      </c>
      <c r="F192" s="18">
        <v>45.369</v>
      </c>
      <c r="G192" s="18">
        <v>107.74</v>
      </c>
      <c r="H192" s="18">
        <f t="shared" si="8"/>
        <v>40.980625000000003</v>
      </c>
      <c r="I192" s="5"/>
      <c r="J192" s="17">
        <v>986.1232</v>
      </c>
      <c r="K192" s="18">
        <v>40.185299999999998</v>
      </c>
      <c r="L192" s="18">
        <v>44.640700000000002</v>
      </c>
      <c r="M192" s="18">
        <v>45.801099999999998</v>
      </c>
      <c r="N192" s="18">
        <v>307.69229999999999</v>
      </c>
      <c r="O192" s="18">
        <f t="shared" si="9"/>
        <v>41.444200000000002</v>
      </c>
      <c r="P192" s="7"/>
      <c r="Q192" s="10"/>
      <c r="R192" s="11"/>
      <c r="S192" s="11"/>
      <c r="T192" s="26"/>
      <c r="U192" s="28">
        <f t="shared" si="10"/>
        <v>1.8558780397252643</v>
      </c>
    </row>
    <row r="193" spans="1:21" x14ac:dyDescent="0.25">
      <c r="B193" s="9"/>
      <c r="C193" s="17">
        <v>537.82000000000005</v>
      </c>
      <c r="D193" s="18">
        <v>37.951000000000001</v>
      </c>
      <c r="E193" s="18">
        <v>42.887</v>
      </c>
      <c r="F193" s="18">
        <v>44.07</v>
      </c>
      <c r="G193" s="18">
        <v>117.26</v>
      </c>
      <c r="H193" s="18">
        <f t="shared" si="8"/>
        <v>39.332875000000001</v>
      </c>
      <c r="I193" s="5"/>
      <c r="J193" s="17">
        <v>577.85919999999999</v>
      </c>
      <c r="K193" s="18">
        <v>38.190800000000003</v>
      </c>
      <c r="L193" s="18">
        <v>43.1785</v>
      </c>
      <c r="M193" s="18">
        <v>44.244199999999999</v>
      </c>
      <c r="N193" s="18">
        <v>325.90980000000002</v>
      </c>
      <c r="O193" s="18">
        <f t="shared" si="9"/>
        <v>39.570937499999999</v>
      </c>
      <c r="P193" s="7"/>
      <c r="Q193" s="10"/>
      <c r="R193" s="11"/>
      <c r="S193" s="11"/>
      <c r="T193" s="26"/>
      <c r="U193" s="28">
        <f t="shared" si="10"/>
        <v>1.7793774518164764</v>
      </c>
    </row>
    <row r="194" spans="1:21" ht="16.5" thickBot="1" x14ac:dyDescent="0.3">
      <c r="B194" s="12"/>
      <c r="C194" s="19">
        <v>257.64999999999998</v>
      </c>
      <c r="D194" s="20">
        <v>35.332000000000001</v>
      </c>
      <c r="E194" s="20">
        <v>41.59</v>
      </c>
      <c r="F194" s="20">
        <v>42.533999999999999</v>
      </c>
      <c r="G194" s="20">
        <v>127.36</v>
      </c>
      <c r="H194" s="20">
        <f t="shared" si="8"/>
        <v>37.014500000000005</v>
      </c>
      <c r="I194" s="5"/>
      <c r="J194" s="19">
        <v>282.10559999999998</v>
      </c>
      <c r="K194" s="20">
        <v>34.839700000000001</v>
      </c>
      <c r="L194" s="20">
        <v>41.195599999999999</v>
      </c>
      <c r="M194" s="20">
        <v>42.197299999999998</v>
      </c>
      <c r="N194" s="20">
        <v>380.71069999999997</v>
      </c>
      <c r="O194" s="20">
        <f t="shared" si="9"/>
        <v>36.553887500000002</v>
      </c>
      <c r="P194" s="7"/>
      <c r="Q194" s="13"/>
      <c r="R194" s="14"/>
      <c r="S194" s="14"/>
      <c r="T194" s="27"/>
      <c r="U194" s="28">
        <f t="shared" si="10"/>
        <v>1.9892485866834169</v>
      </c>
    </row>
    <row r="195" spans="1:21" x14ac:dyDescent="0.25">
      <c r="B195" s="6" t="s">
        <v>62</v>
      </c>
      <c r="C195" s="15">
        <v>1426.26</v>
      </c>
      <c r="D195" s="16">
        <v>42.430999999999997</v>
      </c>
      <c r="E195" s="16">
        <v>47.378999999999998</v>
      </c>
      <c r="F195" s="16">
        <v>48.085000000000001</v>
      </c>
      <c r="G195" s="16">
        <v>99.9</v>
      </c>
      <c r="H195" s="16">
        <f t="shared" si="8"/>
        <v>43.756249999999994</v>
      </c>
      <c r="I195" s="5"/>
      <c r="J195" s="15">
        <v>1478.4376</v>
      </c>
      <c r="K195" s="16">
        <v>42.602699999999999</v>
      </c>
      <c r="L195" s="16">
        <v>47.613599999999998</v>
      </c>
      <c r="M195" s="16">
        <v>48.302799999999998</v>
      </c>
      <c r="N195" s="16">
        <v>300.45069999999998</v>
      </c>
      <c r="O195" s="16">
        <f t="shared" si="9"/>
        <v>43.941575</v>
      </c>
      <c r="P195" s="7"/>
      <c r="Q195" s="8">
        <f>bdrate(C195:C198,D195:D198,J195:J198,K195:K198)</f>
        <v>-4.5587348567927344E-2</v>
      </c>
      <c r="R195" s="8">
        <f>bdrate(C195:C198,E195:E198,J195:J198,L195:L198)</f>
        <v>-0.149340948795332</v>
      </c>
      <c r="S195" s="8">
        <f>bdrate(C195:C198,F195:F198,J195:J198,M195:M198)</f>
        <v>-8.4650264164349398E-2</v>
      </c>
      <c r="T195" s="25">
        <f>bdrate(C195:C198,H195:H198,J195:J198,O195:O198)</f>
        <v>-6.3068216014392831E-2</v>
      </c>
      <c r="U195" s="28">
        <f t="shared" ref="U195:U213" si="11">(N195-G195)/G195</f>
        <v>2.0075145145145141</v>
      </c>
    </row>
    <row r="196" spans="1:21" x14ac:dyDescent="0.25">
      <c r="B196" s="9"/>
      <c r="C196" s="17">
        <v>939.78</v>
      </c>
      <c r="D196" s="18">
        <v>41.871000000000002</v>
      </c>
      <c r="E196" s="18">
        <v>46.747</v>
      </c>
      <c r="F196" s="18">
        <v>47.445</v>
      </c>
      <c r="G196" s="18">
        <v>111.17</v>
      </c>
      <c r="H196" s="18">
        <f t="shared" si="8"/>
        <v>43.177250000000001</v>
      </c>
      <c r="I196" s="5"/>
      <c r="J196" s="17">
        <v>972.40719999999999</v>
      </c>
      <c r="K196" s="18">
        <v>42.05</v>
      </c>
      <c r="L196" s="18">
        <v>47.131399999999999</v>
      </c>
      <c r="M196" s="18">
        <v>47.773499999999999</v>
      </c>
      <c r="N196" s="18">
        <v>343.44589999999999</v>
      </c>
      <c r="O196" s="18">
        <f t="shared" si="9"/>
        <v>43.400612500000001</v>
      </c>
      <c r="P196" s="7"/>
      <c r="Q196" s="10"/>
      <c r="R196" s="11"/>
      <c r="S196" s="11"/>
      <c r="T196" s="26"/>
      <c r="U196" s="28">
        <f t="shared" si="11"/>
        <v>2.0893757308626424</v>
      </c>
    </row>
    <row r="197" spans="1:21" x14ac:dyDescent="0.25">
      <c r="B197" s="9"/>
      <c r="C197" s="17">
        <v>554.94000000000005</v>
      </c>
      <c r="D197" s="18">
        <v>40.944000000000003</v>
      </c>
      <c r="E197" s="18">
        <v>45.802999999999997</v>
      </c>
      <c r="F197" s="18">
        <v>46.527000000000001</v>
      </c>
      <c r="G197" s="18">
        <v>120.19</v>
      </c>
      <c r="H197" s="18">
        <f t="shared" si="8"/>
        <v>42.249249999999996</v>
      </c>
      <c r="I197" s="5"/>
      <c r="J197" s="17">
        <v>573.55920000000003</v>
      </c>
      <c r="K197" s="18">
        <v>41.119100000000003</v>
      </c>
      <c r="L197" s="18">
        <v>46.216500000000003</v>
      </c>
      <c r="M197" s="18">
        <v>46.797499999999999</v>
      </c>
      <c r="N197" s="18">
        <v>377.12130000000002</v>
      </c>
      <c r="O197" s="18">
        <f t="shared" si="9"/>
        <v>42.466075000000004</v>
      </c>
      <c r="P197" s="7"/>
      <c r="Q197" s="10"/>
      <c r="R197" s="11"/>
      <c r="S197" s="11"/>
      <c r="T197" s="26"/>
      <c r="U197" s="28">
        <f t="shared" si="11"/>
        <v>2.1377094600216324</v>
      </c>
    </row>
    <row r="198" spans="1:21" ht="16.5" thickBot="1" x14ac:dyDescent="0.3">
      <c r="B198" s="12"/>
      <c r="C198" s="19">
        <v>265.68</v>
      </c>
      <c r="D198" s="20">
        <v>39.155999999999999</v>
      </c>
      <c r="E198" s="20">
        <v>44.393999999999998</v>
      </c>
      <c r="F198" s="20">
        <v>45.097000000000001</v>
      </c>
      <c r="G198" s="20">
        <v>129.09</v>
      </c>
      <c r="H198" s="20">
        <f t="shared" si="8"/>
        <v>40.553374999999996</v>
      </c>
      <c r="I198" s="5"/>
      <c r="J198" s="19">
        <v>277.096</v>
      </c>
      <c r="K198" s="20">
        <v>39.242400000000004</v>
      </c>
      <c r="L198" s="20">
        <v>44.553400000000003</v>
      </c>
      <c r="M198" s="20">
        <v>45.053600000000003</v>
      </c>
      <c r="N198" s="20">
        <v>404.31270000000001</v>
      </c>
      <c r="O198" s="20">
        <f t="shared" si="9"/>
        <v>40.632675000000006</v>
      </c>
      <c r="P198" s="7"/>
      <c r="Q198" s="13"/>
      <c r="R198" s="14"/>
      <c r="S198" s="14"/>
      <c r="T198" s="27"/>
      <c r="U198" s="28">
        <f t="shared" si="11"/>
        <v>2.1320218452242625</v>
      </c>
    </row>
    <row r="199" spans="1:21" x14ac:dyDescent="0.25">
      <c r="B199" s="6" t="s">
        <v>63</v>
      </c>
      <c r="C199" s="15">
        <v>1488.32</v>
      </c>
      <c r="D199" s="16">
        <v>42.235999999999997</v>
      </c>
      <c r="E199" s="16">
        <v>46.548000000000002</v>
      </c>
      <c r="F199" s="16">
        <v>47.447000000000003</v>
      </c>
      <c r="G199" s="16">
        <v>85.46</v>
      </c>
      <c r="H199" s="16">
        <f t="shared" si="8"/>
        <v>43.426375</v>
      </c>
      <c r="I199" s="5"/>
      <c r="J199" s="15">
        <v>1539.4184</v>
      </c>
      <c r="K199" s="16">
        <v>42.490200000000002</v>
      </c>
      <c r="L199" s="16">
        <v>46.751100000000001</v>
      </c>
      <c r="M199" s="16">
        <v>47.616100000000003</v>
      </c>
      <c r="N199" s="16">
        <v>252.84450000000001</v>
      </c>
      <c r="O199" s="16">
        <f t="shared" si="9"/>
        <v>43.663550000000001</v>
      </c>
      <c r="P199" s="7"/>
      <c r="Q199" s="8">
        <f>bdrate(C199:C202,D199:D202,J199:J202,K199:K202)</f>
        <v>-4.7684560045549662E-2</v>
      </c>
      <c r="R199" s="8">
        <f>bdrate(C199:C202,E199:E202,J199:J202,L199:L202)</f>
        <v>-5.1627949059948719E-2</v>
      </c>
      <c r="S199" s="8">
        <f>bdrate(C199:C202,F199:F202,J199:J202,M199:M202)</f>
        <v>-1.9759484312479092E-2</v>
      </c>
      <c r="T199" s="25">
        <f>bdrate(C199:C202,H199:H202,J199:J202,O199:O202)</f>
        <v>-4.5106171244585269E-2</v>
      </c>
      <c r="U199" s="28">
        <f t="shared" si="11"/>
        <v>1.958629768312661</v>
      </c>
    </row>
    <row r="200" spans="1:21" x14ac:dyDescent="0.25">
      <c r="B200" s="9"/>
      <c r="C200" s="17">
        <v>988.08</v>
      </c>
      <c r="D200" s="18">
        <v>41.378</v>
      </c>
      <c r="E200" s="18">
        <v>45.716000000000001</v>
      </c>
      <c r="F200" s="18">
        <v>46.616999999999997</v>
      </c>
      <c r="G200" s="18">
        <v>97.86</v>
      </c>
      <c r="H200" s="18">
        <f t="shared" si="8"/>
        <v>42.575125</v>
      </c>
      <c r="I200" s="5"/>
      <c r="J200" s="17">
        <v>1010.8496</v>
      </c>
      <c r="K200" s="18">
        <v>41.646599999999999</v>
      </c>
      <c r="L200" s="18">
        <v>45.944099999999999</v>
      </c>
      <c r="M200" s="18">
        <v>46.793900000000001</v>
      </c>
      <c r="N200" s="18">
        <v>284.76510000000002</v>
      </c>
      <c r="O200" s="18">
        <f t="shared" si="9"/>
        <v>42.827199999999998</v>
      </c>
      <c r="P200" s="7"/>
      <c r="Q200" s="10"/>
      <c r="R200" s="11"/>
      <c r="S200" s="11"/>
      <c r="T200" s="26"/>
      <c r="U200" s="28">
        <f t="shared" si="11"/>
        <v>1.9099233599019008</v>
      </c>
    </row>
    <row r="201" spans="1:21" x14ac:dyDescent="0.25">
      <c r="B201" s="9"/>
      <c r="C201" s="17">
        <v>589.02</v>
      </c>
      <c r="D201" s="18">
        <v>40.000999999999998</v>
      </c>
      <c r="E201" s="18">
        <v>44.493000000000002</v>
      </c>
      <c r="F201" s="18">
        <v>45.372999999999998</v>
      </c>
      <c r="G201" s="18">
        <v>107.14</v>
      </c>
      <c r="H201" s="18">
        <f t="shared" si="8"/>
        <v>41.233999999999995</v>
      </c>
      <c r="I201" s="5"/>
      <c r="J201" s="17">
        <v>600.47360000000003</v>
      </c>
      <c r="K201" s="18">
        <v>40.280700000000003</v>
      </c>
      <c r="L201" s="18">
        <v>44.761800000000001</v>
      </c>
      <c r="M201" s="18">
        <v>45.538499999999999</v>
      </c>
      <c r="N201" s="18">
        <v>349.44670000000002</v>
      </c>
      <c r="O201" s="18">
        <f t="shared" si="9"/>
        <v>41.498062500000003</v>
      </c>
      <c r="P201" s="7"/>
      <c r="Q201" s="10"/>
      <c r="R201" s="11"/>
      <c r="S201" s="11"/>
      <c r="T201" s="26"/>
      <c r="U201" s="28">
        <f t="shared" si="11"/>
        <v>2.2615895090535751</v>
      </c>
    </row>
    <row r="202" spans="1:21" ht="16.5" thickBot="1" x14ac:dyDescent="0.3">
      <c r="B202" s="12"/>
      <c r="C202" s="19">
        <v>285.08999999999997</v>
      </c>
      <c r="D202" s="20">
        <v>37.762999999999998</v>
      </c>
      <c r="E202" s="20">
        <v>42.853999999999999</v>
      </c>
      <c r="F202" s="20">
        <v>43.759</v>
      </c>
      <c r="G202" s="20">
        <v>120.55</v>
      </c>
      <c r="H202" s="20">
        <f t="shared" si="8"/>
        <v>39.148874999999997</v>
      </c>
      <c r="I202" s="5"/>
      <c r="J202" s="19">
        <v>294.11520000000002</v>
      </c>
      <c r="K202" s="20">
        <v>37.534300000000002</v>
      </c>
      <c r="L202" s="20">
        <v>42.611499999999999</v>
      </c>
      <c r="M202" s="20">
        <v>43.448799999999999</v>
      </c>
      <c r="N202" s="20">
        <v>366.30040000000002</v>
      </c>
      <c r="O202" s="20">
        <f t="shared" si="9"/>
        <v>38.908262499999999</v>
      </c>
      <c r="P202" s="7"/>
      <c r="Q202" s="13"/>
      <c r="R202" s="14"/>
      <c r="S202" s="14"/>
      <c r="T202" s="27"/>
      <c r="U202" s="28">
        <f t="shared" si="11"/>
        <v>2.038576524263791</v>
      </c>
    </row>
    <row r="203" spans="1:21" x14ac:dyDescent="0.25">
      <c r="A203" s="6" t="s">
        <v>102</v>
      </c>
      <c r="B203" s="6" t="s">
        <v>103</v>
      </c>
      <c r="C203" s="29">
        <v>1198.51</v>
      </c>
      <c r="D203" s="30">
        <v>43.561</v>
      </c>
      <c r="E203" s="30">
        <v>49.33</v>
      </c>
      <c r="F203" s="30">
        <v>50.189</v>
      </c>
      <c r="G203" s="16">
        <v>52.23</v>
      </c>
      <c r="H203" s="16">
        <f t="shared" ref="H203:H246" si="12">(6*D203+E203+F203)/8</f>
        <v>45.110624999999999</v>
      </c>
      <c r="I203" s="5"/>
      <c r="J203" s="15">
        <v>1288.4177</v>
      </c>
      <c r="K203" s="16">
        <v>43.483199999999997</v>
      </c>
      <c r="L203" s="16">
        <v>49.198099999999997</v>
      </c>
      <c r="M203" s="16">
        <v>50.1892</v>
      </c>
      <c r="N203" s="16">
        <v>183.15020000000001</v>
      </c>
      <c r="O203" s="16">
        <f t="shared" ref="O203:O213" si="13">(6*K203+L203+M203)/8</f>
        <v>45.035812499999992</v>
      </c>
      <c r="P203" s="7"/>
      <c r="Q203" s="8">
        <f>bdrate(C203:C206,D203:D206,J203:J206,K203:K206)</f>
        <v>-1.3237176696962893E-2</v>
      </c>
      <c r="R203" s="8">
        <f>bdrate(C203:C206,E203:E206,J203:J206,L203:L206)</f>
        <v>-8.4218452648745057E-2</v>
      </c>
      <c r="S203" s="8">
        <f>bdrate(C203:C206,F203:F206,J203:J206,M203:M206)</f>
        <v>-8.4070796091745059E-2</v>
      </c>
      <c r="T203" s="25">
        <f>bdrate(C203:C206,H203:H206,J203:J206,O203:O206)</f>
        <v>-2.8499197721082004E-2</v>
      </c>
      <c r="U203" s="28">
        <f t="shared" si="11"/>
        <v>2.5066092284127901</v>
      </c>
    </row>
    <row r="204" spans="1:21" x14ac:dyDescent="0.25">
      <c r="A204" s="9" t="s">
        <v>78</v>
      </c>
      <c r="B204" s="9"/>
      <c r="C204" s="31">
        <v>805.72</v>
      </c>
      <c r="D204" s="32">
        <v>41.526000000000003</v>
      </c>
      <c r="E204" s="32">
        <v>47.158000000000001</v>
      </c>
      <c r="F204" s="32">
        <v>48.402999999999999</v>
      </c>
      <c r="G204" s="18">
        <v>59.69</v>
      </c>
      <c r="H204" s="18">
        <f t="shared" si="12"/>
        <v>43.089625000000005</v>
      </c>
      <c r="I204" s="5"/>
      <c r="J204" s="17">
        <v>881.42089999999996</v>
      </c>
      <c r="K204" s="18">
        <v>41.944600000000001</v>
      </c>
      <c r="L204" s="18">
        <v>47.959099999999999</v>
      </c>
      <c r="M204" s="18">
        <v>48.836199999999998</v>
      </c>
      <c r="N204" s="18">
        <v>216.0864</v>
      </c>
      <c r="O204" s="18">
        <f t="shared" si="13"/>
        <v>43.557862499999999</v>
      </c>
      <c r="P204" s="7"/>
      <c r="Q204" s="10"/>
      <c r="R204" s="11"/>
      <c r="S204" s="11"/>
      <c r="T204" s="26"/>
      <c r="U204" s="28">
        <f t="shared" si="11"/>
        <v>2.620144077734964</v>
      </c>
    </row>
    <row r="205" spans="1:21" x14ac:dyDescent="0.25">
      <c r="B205" s="9"/>
      <c r="C205" s="31">
        <v>487.17</v>
      </c>
      <c r="D205" s="32">
        <v>38.979999999999997</v>
      </c>
      <c r="E205" s="32">
        <v>45.252000000000002</v>
      </c>
      <c r="F205" s="32">
        <v>46.47</v>
      </c>
      <c r="G205" s="18">
        <v>67.2</v>
      </c>
      <c r="H205" s="18">
        <f t="shared" si="12"/>
        <v>40.700249999999997</v>
      </c>
      <c r="I205" s="5"/>
      <c r="J205" s="17">
        <v>548.03750000000002</v>
      </c>
      <c r="K205" s="18">
        <v>39.726199999999999</v>
      </c>
      <c r="L205" s="18">
        <v>46.084099999999999</v>
      </c>
      <c r="M205" s="18">
        <v>47.407299999999999</v>
      </c>
      <c r="N205" s="18">
        <v>256.95929999999998</v>
      </c>
      <c r="O205" s="18">
        <f t="shared" si="13"/>
        <v>41.481074999999997</v>
      </c>
      <c r="P205" s="7"/>
      <c r="Q205" s="10"/>
      <c r="R205" s="11"/>
      <c r="S205" s="11"/>
      <c r="T205" s="26"/>
      <c r="U205" s="28">
        <f t="shared" si="11"/>
        <v>2.823799107142857</v>
      </c>
    </row>
    <row r="206" spans="1:21" ht="16.5" thickBot="1" x14ac:dyDescent="0.3">
      <c r="B206" s="12"/>
      <c r="C206" s="33">
        <v>248.11</v>
      </c>
      <c r="D206" s="34">
        <v>35.767000000000003</v>
      </c>
      <c r="E206" s="34">
        <v>42.942999999999998</v>
      </c>
      <c r="F206" s="34">
        <v>44.029000000000003</v>
      </c>
      <c r="G206" s="20">
        <v>80.290000000000006</v>
      </c>
      <c r="H206" s="20">
        <f t="shared" si="12"/>
        <v>37.696750000000002</v>
      </c>
      <c r="I206" s="5"/>
      <c r="J206" s="19">
        <v>282.96769999999998</v>
      </c>
      <c r="K206" s="20">
        <v>36.534399999999998</v>
      </c>
      <c r="L206" s="20">
        <v>43.7881</v>
      </c>
      <c r="M206" s="20">
        <v>45.130499999999998</v>
      </c>
      <c r="N206" s="20">
        <v>320.51280000000003</v>
      </c>
      <c r="O206" s="20">
        <f t="shared" si="13"/>
        <v>38.515624999999993</v>
      </c>
      <c r="P206" s="7"/>
      <c r="Q206" s="13"/>
      <c r="R206" s="14"/>
      <c r="S206" s="14"/>
      <c r="T206" s="27"/>
      <c r="U206" s="28">
        <f t="shared" si="11"/>
        <v>2.9919392203263171</v>
      </c>
    </row>
    <row r="207" spans="1:21" x14ac:dyDescent="0.25">
      <c r="B207" s="6" t="s">
        <v>104</v>
      </c>
      <c r="C207" s="15">
        <v>1455.16</v>
      </c>
      <c r="D207" s="16">
        <v>52.643999999999998</v>
      </c>
      <c r="E207" s="16">
        <v>53.61</v>
      </c>
      <c r="F207" s="16">
        <v>54.045999999999999</v>
      </c>
      <c r="G207" s="16">
        <v>102.93</v>
      </c>
      <c r="H207" s="16">
        <f t="shared" si="12"/>
        <v>52.94</v>
      </c>
      <c r="I207" s="5"/>
      <c r="J207" s="15">
        <v>1441.3715</v>
      </c>
      <c r="K207" s="16">
        <v>51.476900000000001</v>
      </c>
      <c r="L207" s="16">
        <v>52.441600000000001</v>
      </c>
      <c r="M207" s="16">
        <v>52.952100000000002</v>
      </c>
      <c r="N207" s="16">
        <v>204.5455</v>
      </c>
      <c r="O207" s="16">
        <f t="shared" si="13"/>
        <v>51.781887499999996</v>
      </c>
      <c r="P207" s="7"/>
      <c r="Q207" s="8">
        <f>bdrate(C207:C210,D207:D210,J207:J210,K207:K210)</f>
        <v>8.9895884859521713E-2</v>
      </c>
      <c r="R207" s="8">
        <f>bdrate(C207:C210,E207:E210,J207:J210,L207:L210)</f>
        <v>0.11462336450317356</v>
      </c>
      <c r="S207" s="8">
        <f>bdrate(C207:C210,F207:F210,J207:J210,M207:M210)</f>
        <v>0.12728903458151786</v>
      </c>
      <c r="T207" s="25">
        <f>bdrate(C207:C210,H207:H210,J207:J210,O207:O210)</f>
        <v>9.7128385611120249E-2</v>
      </c>
      <c r="U207" s="28">
        <f t="shared" si="11"/>
        <v>0.9872291848829301</v>
      </c>
    </row>
    <row r="208" spans="1:21" x14ac:dyDescent="0.25">
      <c r="B208" s="9"/>
      <c r="C208" s="17">
        <v>965.24</v>
      </c>
      <c r="D208" s="18">
        <v>49.933</v>
      </c>
      <c r="E208" s="18">
        <v>51.103999999999999</v>
      </c>
      <c r="F208" s="18">
        <v>51.658999999999999</v>
      </c>
      <c r="G208" s="18">
        <v>117.26</v>
      </c>
      <c r="H208" s="18">
        <f t="shared" si="12"/>
        <v>50.295124999999999</v>
      </c>
      <c r="I208" s="5"/>
      <c r="J208" s="17">
        <v>975.63440000000003</v>
      </c>
      <c r="K208" s="18">
        <v>49.412199999999999</v>
      </c>
      <c r="L208" s="18">
        <v>50.485599999999998</v>
      </c>
      <c r="M208" s="18">
        <v>51.033000000000001</v>
      </c>
      <c r="N208" s="18">
        <v>256.41030000000001</v>
      </c>
      <c r="O208" s="18">
        <f t="shared" si="13"/>
        <v>49.748975000000002</v>
      </c>
      <c r="P208" s="7"/>
      <c r="Q208" s="10"/>
      <c r="R208" s="11"/>
      <c r="S208" s="11"/>
      <c r="T208" s="26"/>
      <c r="U208" s="28">
        <f t="shared" si="11"/>
        <v>1.1866817329012451</v>
      </c>
    </row>
    <row r="209" spans="2:21" x14ac:dyDescent="0.25">
      <c r="B209" s="9"/>
      <c r="C209" s="17">
        <v>579.34</v>
      </c>
      <c r="D209" s="18">
        <v>46.756</v>
      </c>
      <c r="E209" s="18">
        <v>48.162999999999997</v>
      </c>
      <c r="F209" s="18">
        <v>48.790999999999997</v>
      </c>
      <c r="G209" s="18">
        <v>120.7</v>
      </c>
      <c r="H209" s="18">
        <f t="shared" si="12"/>
        <v>47.186250000000001</v>
      </c>
      <c r="I209" s="5"/>
      <c r="J209" s="17">
        <v>592.4556</v>
      </c>
      <c r="K209" s="18">
        <v>46.5092</v>
      </c>
      <c r="L209" s="18">
        <v>47.820700000000002</v>
      </c>
      <c r="M209" s="18">
        <v>48.374600000000001</v>
      </c>
      <c r="N209" s="18">
        <v>374.60980000000001</v>
      </c>
      <c r="O209" s="18">
        <f t="shared" si="13"/>
        <v>46.906312499999999</v>
      </c>
      <c r="P209" s="7"/>
      <c r="Q209" s="10"/>
      <c r="R209" s="11"/>
      <c r="S209" s="11"/>
      <c r="T209" s="26"/>
      <c r="U209" s="28">
        <f t="shared" si="11"/>
        <v>2.1036437448218726</v>
      </c>
    </row>
    <row r="210" spans="2:21" ht="16.5" thickBot="1" x14ac:dyDescent="0.3">
      <c r="B210" s="12"/>
      <c r="C210" s="19">
        <v>291.10000000000002</v>
      </c>
      <c r="D210" s="20">
        <v>42.654000000000003</v>
      </c>
      <c r="E210" s="20">
        <v>44.408000000000001</v>
      </c>
      <c r="F210" s="20">
        <v>45.039000000000001</v>
      </c>
      <c r="G210" s="20">
        <v>136.71</v>
      </c>
      <c r="H210" s="20">
        <f t="shared" si="12"/>
        <v>43.171375000000005</v>
      </c>
      <c r="I210" s="5"/>
      <c r="J210" s="19">
        <v>299.02409999999998</v>
      </c>
      <c r="K210" s="20">
        <v>42.139899999999997</v>
      </c>
      <c r="L210" s="20">
        <v>43.7607</v>
      </c>
      <c r="M210" s="20">
        <v>44.235599999999998</v>
      </c>
      <c r="N210" s="20">
        <v>395.17009999999999</v>
      </c>
      <c r="O210" s="20">
        <f t="shared" si="13"/>
        <v>42.604462499999997</v>
      </c>
      <c r="P210" s="7"/>
      <c r="Q210" s="13"/>
      <c r="R210" s="14"/>
      <c r="S210" s="14"/>
      <c r="T210" s="27"/>
      <c r="U210" s="28">
        <f t="shared" si="11"/>
        <v>1.8905720137517372</v>
      </c>
    </row>
    <row r="211" spans="2:21" x14ac:dyDescent="0.25">
      <c r="B211" s="6" t="s">
        <v>105</v>
      </c>
      <c r="C211" s="15">
        <v>1550.65</v>
      </c>
      <c r="D211" s="16">
        <v>42.704999999999998</v>
      </c>
      <c r="E211" s="16">
        <v>45.042000000000002</v>
      </c>
      <c r="F211" s="16">
        <v>45.515999999999998</v>
      </c>
      <c r="G211" s="16">
        <v>66.27</v>
      </c>
      <c r="H211" s="16">
        <f t="shared" si="12"/>
        <v>43.348500000000008</v>
      </c>
      <c r="I211" s="5"/>
      <c r="J211" s="15">
        <v>1491.3976</v>
      </c>
      <c r="K211" s="16">
        <v>42.666899999999998</v>
      </c>
      <c r="L211" s="16">
        <v>45.021799999999999</v>
      </c>
      <c r="M211" s="16">
        <v>45.446100000000001</v>
      </c>
      <c r="N211" s="16">
        <v>207.51669999999999</v>
      </c>
      <c r="O211" s="16">
        <f t="shared" si="13"/>
        <v>43.308662499999997</v>
      </c>
      <c r="P211" s="7"/>
      <c r="Q211" s="8">
        <f>bdrate(C211:C214,D211:D214,J211:J214,K211:K214)</f>
        <v>-5.5094021601605259E-2</v>
      </c>
      <c r="R211" s="8">
        <f>bdrate(C211:C214,E211:E214,J211:J214,L211:L214)</f>
        <v>-9.2277747762733786E-2</v>
      </c>
      <c r="S211" s="8">
        <f>bdrate(C211:C214,F211:F214,J211:J214,M211:M214)</f>
        <v>-7.9481450129415432E-2</v>
      </c>
      <c r="T211" s="25">
        <f>bdrate(C211:C214,H211:H214,J211:J214,O211:O214)</f>
        <v>-6.1428369126021121E-2</v>
      </c>
      <c r="U211" s="28">
        <f t="shared" si="11"/>
        <v>2.1313822242341933</v>
      </c>
    </row>
    <row r="212" spans="2:21" x14ac:dyDescent="0.25">
      <c r="B212" s="9"/>
      <c r="C212" s="17">
        <v>1033.53</v>
      </c>
      <c r="D212" s="18">
        <v>40.624000000000002</v>
      </c>
      <c r="E212" s="18">
        <v>43.325000000000003</v>
      </c>
      <c r="F212" s="18">
        <v>43.811</v>
      </c>
      <c r="G212" s="18">
        <v>74.48</v>
      </c>
      <c r="H212" s="18">
        <f t="shared" si="12"/>
        <v>41.36</v>
      </c>
      <c r="I212" s="5"/>
      <c r="J212" s="17">
        <v>995.74959999999999</v>
      </c>
      <c r="K212" s="18">
        <v>40.7087</v>
      </c>
      <c r="L212" s="18">
        <v>43.506700000000002</v>
      </c>
      <c r="M212" s="18">
        <v>43.947600000000001</v>
      </c>
      <c r="N212" s="18">
        <v>258.65789999999998</v>
      </c>
      <c r="O212" s="18">
        <f t="shared" si="13"/>
        <v>41.463312500000008</v>
      </c>
      <c r="P212" s="7"/>
      <c r="Q212" s="10"/>
      <c r="R212" s="11"/>
      <c r="S212" s="11"/>
      <c r="T212" s="26"/>
      <c r="U212" s="28">
        <f t="shared" si="11"/>
        <v>2.472850429645542</v>
      </c>
    </row>
    <row r="213" spans="2:21" x14ac:dyDescent="0.25">
      <c r="B213" s="9"/>
      <c r="C213" s="17">
        <v>621.28</v>
      </c>
      <c r="D213" s="18">
        <v>37.853999999999999</v>
      </c>
      <c r="E213" s="18">
        <v>41.264000000000003</v>
      </c>
      <c r="F213" s="18">
        <v>41.749000000000002</v>
      </c>
      <c r="G213" s="18">
        <v>82.29</v>
      </c>
      <c r="H213" s="18">
        <f t="shared" si="12"/>
        <v>38.767125</v>
      </c>
      <c r="I213" s="5"/>
      <c r="J213" s="17">
        <v>599.25509999999997</v>
      </c>
      <c r="K213" s="18">
        <v>38.036999999999999</v>
      </c>
      <c r="L213" s="18">
        <v>41.544499999999999</v>
      </c>
      <c r="M213" s="18">
        <v>41.964700000000001</v>
      </c>
      <c r="N213" s="18">
        <v>294.26190000000003</v>
      </c>
      <c r="O213" s="18">
        <f t="shared" si="13"/>
        <v>38.966399999999993</v>
      </c>
      <c r="P213" s="7"/>
      <c r="Q213" s="10"/>
      <c r="R213" s="11"/>
      <c r="S213" s="11"/>
      <c r="T213" s="26"/>
      <c r="U213" s="28">
        <f t="shared" si="11"/>
        <v>2.5759132336857453</v>
      </c>
    </row>
    <row r="214" spans="2:21" ht="16.5" thickBot="1" x14ac:dyDescent="0.3">
      <c r="B214" s="12"/>
      <c r="C214" s="19">
        <v>312.08</v>
      </c>
      <c r="D214" s="20">
        <v>34.326999999999998</v>
      </c>
      <c r="E214" s="20">
        <v>38.667000000000002</v>
      </c>
      <c r="F214" s="20">
        <v>39.206000000000003</v>
      </c>
      <c r="G214" s="20">
        <v>93.66</v>
      </c>
      <c r="H214" s="20">
        <f t="shared" si="12"/>
        <v>35.479374999999997</v>
      </c>
      <c r="I214" s="5"/>
      <c r="J214" s="19">
        <v>302.10210000000001</v>
      </c>
      <c r="K214" s="20">
        <v>34.3444</v>
      </c>
      <c r="L214" s="20">
        <v>39.025500000000001</v>
      </c>
      <c r="M214" s="20">
        <v>39.501100000000001</v>
      </c>
      <c r="N214" s="20">
        <v>341.36169999999998</v>
      </c>
      <c r="O214" s="20">
        <f t="shared" ref="O214:O246" si="14">(6*K214+L214+M214)/8</f>
        <v>35.574124999999995</v>
      </c>
      <c r="P214" s="7"/>
      <c r="Q214" s="13"/>
      <c r="R214" s="14"/>
      <c r="S214" s="14"/>
      <c r="T214" s="27"/>
      <c r="U214" s="28">
        <f t="shared" ref="U214:U246" si="15">(N214-G214)/G214</f>
        <v>2.6446903694213111</v>
      </c>
    </row>
    <row r="215" spans="2:21" x14ac:dyDescent="0.25">
      <c r="B215" s="6" t="s">
        <v>106</v>
      </c>
      <c r="C215" s="15">
        <v>1366.12</v>
      </c>
      <c r="D215" s="16">
        <v>38.548999999999999</v>
      </c>
      <c r="E215" s="16">
        <v>43.183</v>
      </c>
      <c r="F215" s="16">
        <v>43.176000000000002</v>
      </c>
      <c r="G215" s="16">
        <v>53.94</v>
      </c>
      <c r="H215" s="16">
        <f t="shared" si="12"/>
        <v>39.706624999999995</v>
      </c>
      <c r="I215" s="5"/>
      <c r="J215" s="29">
        <v>1493.6628000000001</v>
      </c>
      <c r="K215" s="30">
        <v>38.9756</v>
      </c>
      <c r="L215" s="30">
        <v>43.4681</v>
      </c>
      <c r="M215" s="30">
        <v>43.461199999999998</v>
      </c>
      <c r="N215" s="16">
        <v>195.5247</v>
      </c>
      <c r="O215" s="16">
        <f t="shared" si="14"/>
        <v>40.097862500000005</v>
      </c>
      <c r="P215" s="7"/>
      <c r="Q215" s="8">
        <f>bdrate(C215:C218,D215:D218,J215:J218,K215:K218)</f>
        <v>2.0095439807824356E-2</v>
      </c>
      <c r="R215" s="8">
        <f>bdrate(C215:C218,E215:E218,J215:J218,L215:L218)</f>
        <v>-4.3874665638801269E-2</v>
      </c>
      <c r="S215" s="8">
        <f>bdrate(C215:C218,F215:F218,J215:J218,M215:M218)</f>
        <v>-4.5471899919306891E-2</v>
      </c>
      <c r="T215" s="25">
        <f>bdrate(C215:C218,H215:H218,J215:J218,O215:O218)</f>
        <v>6.9883168617166369E-3</v>
      </c>
      <c r="U215" s="28">
        <f t="shared" si="15"/>
        <v>2.6248553948832036</v>
      </c>
    </row>
    <row r="216" spans="2:21" x14ac:dyDescent="0.25">
      <c r="B216" s="9"/>
      <c r="C216" s="17">
        <v>909.84</v>
      </c>
      <c r="D216" s="18">
        <v>36.713999999999999</v>
      </c>
      <c r="E216" s="18">
        <v>41.783999999999999</v>
      </c>
      <c r="F216" s="18">
        <v>41.771000000000001</v>
      </c>
      <c r="G216" s="18">
        <v>62.3</v>
      </c>
      <c r="H216" s="18">
        <f t="shared" si="12"/>
        <v>37.979875</v>
      </c>
      <c r="I216" s="5"/>
      <c r="J216" s="31">
        <v>994.84749999999997</v>
      </c>
      <c r="K216" s="32">
        <v>37.085799999999999</v>
      </c>
      <c r="L216" s="32">
        <v>42.144799999999996</v>
      </c>
      <c r="M216" s="32">
        <v>42.125700000000002</v>
      </c>
      <c r="N216" s="18">
        <v>236.43770000000001</v>
      </c>
      <c r="O216" s="18">
        <f t="shared" si="14"/>
        <v>38.348162499999994</v>
      </c>
      <c r="P216" s="7"/>
      <c r="Q216" s="10"/>
      <c r="R216" s="11"/>
      <c r="S216" s="11"/>
      <c r="T216" s="26"/>
      <c r="U216" s="28">
        <f t="shared" si="15"/>
        <v>2.7951476725521669</v>
      </c>
    </row>
    <row r="217" spans="2:21" x14ac:dyDescent="0.25">
      <c r="B217" s="9"/>
      <c r="C217" s="17">
        <v>544.42999999999995</v>
      </c>
      <c r="D217" s="18">
        <v>34.432000000000002</v>
      </c>
      <c r="E217" s="18">
        <v>40.116</v>
      </c>
      <c r="F217" s="18">
        <v>40.087000000000003</v>
      </c>
      <c r="G217" s="18">
        <v>70.22</v>
      </c>
      <c r="H217" s="18">
        <f t="shared" si="12"/>
        <v>35.849375000000002</v>
      </c>
      <c r="I217" s="5"/>
      <c r="J217" s="31">
        <v>602.88369999999998</v>
      </c>
      <c r="K217" s="32">
        <v>34.792999999999999</v>
      </c>
      <c r="L217" s="32">
        <v>40.595999999999997</v>
      </c>
      <c r="M217" s="32">
        <v>40.599400000000003</v>
      </c>
      <c r="N217" s="18">
        <v>272.0677</v>
      </c>
      <c r="O217" s="18">
        <f t="shared" si="14"/>
        <v>36.244174999999998</v>
      </c>
      <c r="P217" s="7"/>
      <c r="Q217" s="10"/>
      <c r="R217" s="11"/>
      <c r="S217" s="11"/>
      <c r="T217" s="26"/>
      <c r="U217" s="28">
        <f t="shared" si="15"/>
        <v>2.8745044146966676</v>
      </c>
    </row>
    <row r="218" spans="2:21" ht="16.5" thickBot="1" x14ac:dyDescent="0.3">
      <c r="B218" s="12"/>
      <c r="C218" s="19">
        <v>271.57</v>
      </c>
      <c r="D218" s="20">
        <v>31.451000000000001</v>
      </c>
      <c r="E218" s="20">
        <v>38.042000000000002</v>
      </c>
      <c r="F218" s="20">
        <v>37.978000000000002</v>
      </c>
      <c r="G218" s="20">
        <v>82.65</v>
      </c>
      <c r="H218" s="20">
        <f t="shared" si="12"/>
        <v>33.09075</v>
      </c>
      <c r="I218" s="5"/>
      <c r="J218" s="33">
        <v>302.49770000000001</v>
      </c>
      <c r="K218" s="34">
        <v>31.6966</v>
      </c>
      <c r="L218" s="34">
        <v>38.642800000000001</v>
      </c>
      <c r="M218" s="34">
        <v>38.553100000000001</v>
      </c>
      <c r="N218" s="20">
        <v>324.90969999999999</v>
      </c>
      <c r="O218" s="20">
        <f t="shared" si="14"/>
        <v>33.421937499999999</v>
      </c>
      <c r="P218" s="7"/>
      <c r="Q218" s="13"/>
      <c r="R218" s="14"/>
      <c r="S218" s="14"/>
      <c r="T218" s="27"/>
      <c r="U218" s="28">
        <f t="shared" si="15"/>
        <v>2.9311518451300662</v>
      </c>
    </row>
    <row r="219" spans="2:21" x14ac:dyDescent="0.25">
      <c r="B219" s="6" t="s">
        <v>107</v>
      </c>
      <c r="C219" s="29">
        <v>1524.5</v>
      </c>
      <c r="D219" s="30">
        <v>36.744</v>
      </c>
      <c r="E219" s="30">
        <v>41.192999999999998</v>
      </c>
      <c r="F219" s="30">
        <v>41.722999999999999</v>
      </c>
      <c r="G219" s="16">
        <v>68.930000000000007</v>
      </c>
      <c r="H219" s="16">
        <f t="shared" si="12"/>
        <v>37.922499999999999</v>
      </c>
      <c r="I219" s="5"/>
      <c r="J219" s="15">
        <v>1503.2900999999999</v>
      </c>
      <c r="K219" s="16">
        <v>36.908499999999997</v>
      </c>
      <c r="L219" s="16">
        <v>41.398000000000003</v>
      </c>
      <c r="M219" s="16">
        <v>41.941099999999999</v>
      </c>
      <c r="N219" s="16">
        <v>203.50479999999999</v>
      </c>
      <c r="O219" s="16">
        <f t="shared" si="14"/>
        <v>38.098762499999999</v>
      </c>
      <c r="P219" s="7"/>
      <c r="Q219" s="8">
        <f>bdrate(C219:C222,D219:D222,J219:J222,K219:K222)</f>
        <v>-3.9538214117712744E-2</v>
      </c>
      <c r="R219" s="8">
        <f>bdrate(C219:C222,E219:E222,J219:J222,L219:L222)</f>
        <v>-0.15567994870494384</v>
      </c>
      <c r="S219" s="8">
        <f>bdrate(C219:C222,F219:F222,J219:J222,M219:M222)</f>
        <v>-0.14976192099726982</v>
      </c>
      <c r="T219" s="25">
        <f>bdrate(C219:C222,H219:H222,J219:J222,O219:O222)</f>
        <v>-6.2979562747958684E-2</v>
      </c>
      <c r="U219" s="28">
        <f t="shared" si="15"/>
        <v>1.9523400551283907</v>
      </c>
    </row>
    <row r="220" spans="2:21" x14ac:dyDescent="0.25">
      <c r="B220" s="9"/>
      <c r="C220" s="31">
        <v>1017.61</v>
      </c>
      <c r="D220" s="32">
        <v>34.844999999999999</v>
      </c>
      <c r="E220" s="32">
        <v>39.646000000000001</v>
      </c>
      <c r="F220" s="32">
        <v>40.261000000000003</v>
      </c>
      <c r="G220" s="18">
        <v>78.39</v>
      </c>
      <c r="H220" s="18">
        <f t="shared" si="12"/>
        <v>36.122125000000004</v>
      </c>
      <c r="I220" s="5"/>
      <c r="J220" s="17">
        <v>998.3519</v>
      </c>
      <c r="K220" s="18">
        <v>34.958300000000001</v>
      </c>
      <c r="L220" s="18">
        <v>40.000399999999999</v>
      </c>
      <c r="M220" s="18">
        <v>40.599400000000003</v>
      </c>
      <c r="N220" s="18">
        <v>234.98689999999999</v>
      </c>
      <c r="O220" s="18">
        <f t="shared" si="14"/>
        <v>36.293700000000001</v>
      </c>
      <c r="P220" s="7"/>
      <c r="Q220" s="10"/>
      <c r="R220" s="11"/>
      <c r="S220" s="11"/>
      <c r="T220" s="26"/>
      <c r="U220" s="28">
        <f t="shared" si="15"/>
        <v>1.9976642428881235</v>
      </c>
    </row>
    <row r="221" spans="2:21" x14ac:dyDescent="0.25">
      <c r="B221" s="9"/>
      <c r="C221" s="31">
        <v>610.21</v>
      </c>
      <c r="D221" s="32">
        <v>32.494999999999997</v>
      </c>
      <c r="E221" s="32">
        <v>37.710999999999999</v>
      </c>
      <c r="F221" s="32">
        <v>38.424999999999997</v>
      </c>
      <c r="G221" s="18">
        <v>87.61</v>
      </c>
      <c r="H221" s="18">
        <f t="shared" si="12"/>
        <v>33.888249999999999</v>
      </c>
      <c r="I221" s="5"/>
      <c r="J221" s="17">
        <v>598.72879999999998</v>
      </c>
      <c r="K221" s="18">
        <v>32.603200000000001</v>
      </c>
      <c r="L221" s="18">
        <v>38.342700000000001</v>
      </c>
      <c r="M221" s="18">
        <v>39.001300000000001</v>
      </c>
      <c r="N221" s="18">
        <v>271.4932</v>
      </c>
      <c r="O221" s="18">
        <f t="shared" si="14"/>
        <v>34.120400000000004</v>
      </c>
      <c r="P221" s="7"/>
      <c r="Q221" s="10"/>
      <c r="R221" s="11"/>
      <c r="S221" s="11"/>
      <c r="T221" s="26"/>
      <c r="U221" s="28">
        <f t="shared" si="15"/>
        <v>2.0988836890765894</v>
      </c>
    </row>
    <row r="222" spans="2:21" ht="16.5" thickBot="1" x14ac:dyDescent="0.3">
      <c r="B222" s="12"/>
      <c r="C222" s="33">
        <v>304.24</v>
      </c>
      <c r="D222" s="34">
        <v>29.285</v>
      </c>
      <c r="E222" s="34">
        <v>35.472000000000001</v>
      </c>
      <c r="F222" s="34">
        <v>36.363</v>
      </c>
      <c r="G222" s="20">
        <v>100.25</v>
      </c>
      <c r="H222" s="20">
        <f t="shared" si="12"/>
        <v>30.943125000000002</v>
      </c>
      <c r="I222" s="5"/>
      <c r="J222" s="19">
        <v>298.03210000000001</v>
      </c>
      <c r="K222" s="20">
        <v>29.3081</v>
      </c>
      <c r="L222" s="20">
        <v>36.150300000000001</v>
      </c>
      <c r="M222" s="20">
        <v>36.882800000000003</v>
      </c>
      <c r="N222" s="20">
        <v>326.85669999999999</v>
      </c>
      <c r="O222" s="20">
        <f t="shared" si="14"/>
        <v>31.110212499999999</v>
      </c>
      <c r="P222" s="7"/>
      <c r="Q222" s="13"/>
      <c r="R222" s="14"/>
      <c r="S222" s="14"/>
      <c r="T222" s="27"/>
      <c r="U222" s="28">
        <f t="shared" si="15"/>
        <v>2.2604159600997504</v>
      </c>
    </row>
    <row r="223" spans="2:21" x14ac:dyDescent="0.25">
      <c r="B223" s="6" t="s">
        <v>108</v>
      </c>
      <c r="C223" s="15">
        <v>1493.91</v>
      </c>
      <c r="D223" s="16">
        <v>37.225000000000001</v>
      </c>
      <c r="E223" s="16">
        <v>42.959000000000003</v>
      </c>
      <c r="F223" s="16">
        <v>44.537999999999997</v>
      </c>
      <c r="G223" s="16">
        <v>53</v>
      </c>
      <c r="H223" s="16">
        <f t="shared" si="12"/>
        <v>38.855875000000005</v>
      </c>
      <c r="I223" s="5"/>
      <c r="J223" s="15">
        <v>1509.0969</v>
      </c>
      <c r="K223" s="16">
        <v>37.131</v>
      </c>
      <c r="L223" s="16">
        <v>43.010599999999997</v>
      </c>
      <c r="M223" s="16">
        <v>44.395899999999997</v>
      </c>
      <c r="N223" s="16">
        <v>194.2586</v>
      </c>
      <c r="O223" s="16">
        <f t="shared" si="14"/>
        <v>38.774062499999999</v>
      </c>
      <c r="P223" s="7"/>
      <c r="Q223" s="8">
        <f>bdrate(C223:C226,D223:D226,J223:J226,K223:K226)</f>
        <v>3.9710075715209125E-2</v>
      </c>
      <c r="R223" s="8">
        <f>bdrate(C223:C226,E223:E226,J223:J226,L223:L226)</f>
        <v>-7.1427085360924236E-2</v>
      </c>
      <c r="S223" s="8">
        <f>bdrate(C223:C226,F223:F226,J223:J226,M223:M226)</f>
        <v>-3.3596232279580196E-3</v>
      </c>
      <c r="T223" s="25">
        <f>bdrate(C223:C226,H223:H226,J223:J226,O223:O226)</f>
        <v>2.3453078895827373E-2</v>
      </c>
      <c r="U223" s="28">
        <f t="shared" si="15"/>
        <v>2.6652566037735848</v>
      </c>
    </row>
    <row r="224" spans="2:21" x14ac:dyDescent="0.25">
      <c r="B224" s="9"/>
      <c r="C224" s="17">
        <v>995.42</v>
      </c>
      <c r="D224" s="18">
        <v>35.808</v>
      </c>
      <c r="E224" s="18">
        <v>41.866999999999997</v>
      </c>
      <c r="F224" s="18">
        <v>43.334000000000003</v>
      </c>
      <c r="G224" s="18">
        <v>56.18</v>
      </c>
      <c r="H224" s="18">
        <f t="shared" si="12"/>
        <v>37.506125000000004</v>
      </c>
      <c r="I224" s="5"/>
      <c r="J224" s="17">
        <v>1006.1303</v>
      </c>
      <c r="K224" s="18">
        <v>35.715000000000003</v>
      </c>
      <c r="L224" s="18">
        <v>42.011699999999998</v>
      </c>
      <c r="M224" s="18">
        <v>43.266599999999997</v>
      </c>
      <c r="N224" s="18">
        <v>227.9058</v>
      </c>
      <c r="O224" s="18">
        <f t="shared" si="14"/>
        <v>37.446037500000003</v>
      </c>
      <c r="P224" s="7"/>
      <c r="Q224" s="10"/>
      <c r="R224" s="11"/>
      <c r="S224" s="11"/>
      <c r="T224" s="26"/>
      <c r="U224" s="28">
        <f t="shared" si="15"/>
        <v>3.0567070131719474</v>
      </c>
    </row>
    <row r="225" spans="2:21" x14ac:dyDescent="0.25">
      <c r="B225" s="9"/>
      <c r="C225" s="17">
        <v>599.17999999999995</v>
      </c>
      <c r="D225" s="18">
        <v>34.127000000000002</v>
      </c>
      <c r="E225" s="18">
        <v>40.582000000000001</v>
      </c>
      <c r="F225" s="18">
        <v>41.869</v>
      </c>
      <c r="G225" s="18">
        <v>66.73</v>
      </c>
      <c r="H225" s="18">
        <f t="shared" si="12"/>
        <v>35.901624999999996</v>
      </c>
      <c r="I225" s="5"/>
      <c r="J225" s="17">
        <v>605.48109999999997</v>
      </c>
      <c r="K225" s="18">
        <v>34.032400000000003</v>
      </c>
      <c r="L225" s="18">
        <v>40.818800000000003</v>
      </c>
      <c r="M225" s="18">
        <v>41.954099999999997</v>
      </c>
      <c r="N225" s="18">
        <v>264.04579999999999</v>
      </c>
      <c r="O225" s="18">
        <f t="shared" si="14"/>
        <v>35.870912500000003</v>
      </c>
      <c r="P225" s="7"/>
      <c r="Q225" s="10"/>
      <c r="R225" s="11"/>
      <c r="S225" s="11"/>
      <c r="T225" s="26"/>
      <c r="U225" s="28">
        <f t="shared" si="15"/>
        <v>2.956927918477446</v>
      </c>
    </row>
    <row r="226" spans="2:21" ht="16.5" thickBot="1" x14ac:dyDescent="0.3">
      <c r="B226" s="12"/>
      <c r="C226" s="19">
        <v>303.55</v>
      </c>
      <c r="D226" s="20">
        <v>32.057000000000002</v>
      </c>
      <c r="E226" s="20">
        <v>39.076999999999998</v>
      </c>
      <c r="F226" s="20">
        <v>40.070999999999998</v>
      </c>
      <c r="G226" s="20">
        <v>83.01</v>
      </c>
      <c r="H226" s="20">
        <f t="shared" si="12"/>
        <v>33.936250000000001</v>
      </c>
      <c r="I226" s="5"/>
      <c r="J226" s="19">
        <v>302.14929999999998</v>
      </c>
      <c r="K226" s="20">
        <v>31.930499999999999</v>
      </c>
      <c r="L226" s="20">
        <v>39.342199999999998</v>
      </c>
      <c r="M226" s="20">
        <v>40.220199999999998</v>
      </c>
      <c r="N226" s="20">
        <v>320.51280000000003</v>
      </c>
      <c r="O226" s="20">
        <f t="shared" si="14"/>
        <v>33.893174999999999</v>
      </c>
      <c r="P226" s="7"/>
      <c r="Q226" s="13"/>
      <c r="R226" s="14"/>
      <c r="S226" s="14"/>
      <c r="T226" s="27"/>
      <c r="U226" s="28">
        <f t="shared" si="15"/>
        <v>2.8611348030357791</v>
      </c>
    </row>
    <row r="227" spans="2:21" x14ac:dyDescent="0.25">
      <c r="B227" s="6" t="s">
        <v>109</v>
      </c>
      <c r="C227" s="15">
        <v>1600.05</v>
      </c>
      <c r="D227" s="16">
        <v>48.139000000000003</v>
      </c>
      <c r="E227" s="16">
        <v>53.665999999999997</v>
      </c>
      <c r="F227" s="16">
        <v>55.03</v>
      </c>
      <c r="G227" s="16">
        <v>66.7</v>
      </c>
      <c r="H227" s="16">
        <f t="shared" si="12"/>
        <v>49.691249999999997</v>
      </c>
      <c r="I227" s="5"/>
      <c r="J227" s="15">
        <v>1501.0678</v>
      </c>
      <c r="K227" s="16">
        <v>47.354599999999998</v>
      </c>
      <c r="L227" s="16">
        <v>52.657400000000003</v>
      </c>
      <c r="M227" s="16">
        <v>53.941699999999997</v>
      </c>
      <c r="N227" s="16">
        <v>230.16890000000001</v>
      </c>
      <c r="O227" s="16">
        <f t="shared" si="14"/>
        <v>48.840837499999992</v>
      </c>
      <c r="P227" s="7"/>
      <c r="Q227" s="8">
        <f>bdrate(C227:C230,D227:D230,J227:J230,K227:K230)</f>
        <v>0.13401505724794593</v>
      </c>
      <c r="R227" s="8">
        <f>bdrate(C227:C230,E227:E230,J227:J230,L227:L230)</f>
        <v>0.2536618241869617</v>
      </c>
      <c r="S227" s="8">
        <f>bdrate(C227:C230,F227:F230,J227:J230,M227:M230)</f>
        <v>0.27913276642036955</v>
      </c>
      <c r="T227" s="25">
        <f>bdrate(C227:C230,H227:H230,J227:J230,O227:O230)</f>
        <v>0.1633348562181216</v>
      </c>
      <c r="U227" s="28">
        <f t="shared" si="15"/>
        <v>2.450808095952024</v>
      </c>
    </row>
    <row r="228" spans="2:21" x14ac:dyDescent="0.25">
      <c r="B228" s="9"/>
      <c r="C228" s="17">
        <v>1062.1099999999999</v>
      </c>
      <c r="D228" s="18">
        <v>46.302</v>
      </c>
      <c r="E228" s="18">
        <v>52.081000000000003</v>
      </c>
      <c r="F228" s="18">
        <v>53.466999999999999</v>
      </c>
      <c r="G228" s="18">
        <v>77.14</v>
      </c>
      <c r="H228" s="18">
        <f t="shared" si="12"/>
        <v>47.92</v>
      </c>
      <c r="I228" s="5"/>
      <c r="J228" s="17">
        <v>1001.3508</v>
      </c>
      <c r="K228" s="18">
        <v>45.520899999999997</v>
      </c>
      <c r="L228" s="18">
        <v>51.024900000000002</v>
      </c>
      <c r="M228" s="18">
        <v>52.369900000000001</v>
      </c>
      <c r="N228" s="18">
        <v>263.28109999999998</v>
      </c>
      <c r="O228" s="18">
        <f t="shared" si="14"/>
        <v>47.065025000000006</v>
      </c>
      <c r="P228" s="7"/>
      <c r="Q228" s="10"/>
      <c r="R228" s="11"/>
      <c r="S228" s="11"/>
      <c r="T228" s="26"/>
      <c r="U228" s="28">
        <f t="shared" si="15"/>
        <v>2.4130295566502462</v>
      </c>
    </row>
    <row r="229" spans="2:21" x14ac:dyDescent="0.25">
      <c r="B229" s="9"/>
      <c r="C229" s="17">
        <v>637.91</v>
      </c>
      <c r="D229" s="18">
        <v>44.011000000000003</v>
      </c>
      <c r="E229" s="18">
        <v>50.091000000000001</v>
      </c>
      <c r="F229" s="18">
        <v>51.488</v>
      </c>
      <c r="G229" s="18">
        <v>91.52</v>
      </c>
      <c r="H229" s="18">
        <f t="shared" si="12"/>
        <v>45.705625000000005</v>
      </c>
      <c r="I229" s="5"/>
      <c r="J229" s="17">
        <v>601.97280000000001</v>
      </c>
      <c r="K229" s="18">
        <v>43.199199999999998</v>
      </c>
      <c r="L229" s="18">
        <v>48.895099999999999</v>
      </c>
      <c r="M229" s="18">
        <v>50.178699999999999</v>
      </c>
      <c r="N229" s="18">
        <v>313.30549999999999</v>
      </c>
      <c r="O229" s="18">
        <f t="shared" si="14"/>
        <v>44.783625000000001</v>
      </c>
      <c r="P229" s="7"/>
      <c r="Q229" s="10"/>
      <c r="R229" s="11"/>
      <c r="S229" s="11"/>
      <c r="T229" s="26"/>
      <c r="U229" s="28">
        <f t="shared" si="15"/>
        <v>2.4233555506993008</v>
      </c>
    </row>
    <row r="230" spans="2:21" ht="16.5" thickBot="1" x14ac:dyDescent="0.3">
      <c r="B230" s="12"/>
      <c r="C230" s="19">
        <v>321.02</v>
      </c>
      <c r="D230" s="20">
        <v>41.027999999999999</v>
      </c>
      <c r="E230" s="20">
        <v>47.26</v>
      </c>
      <c r="F230" s="20">
        <v>48.643000000000001</v>
      </c>
      <c r="G230" s="20">
        <v>109.62</v>
      </c>
      <c r="H230" s="20">
        <f t="shared" si="12"/>
        <v>42.758875000000003</v>
      </c>
      <c r="I230" s="5"/>
      <c r="J230" s="19">
        <v>303.03370000000001</v>
      </c>
      <c r="K230" s="20">
        <v>39.937899999999999</v>
      </c>
      <c r="L230" s="20">
        <v>45.788400000000003</v>
      </c>
      <c r="M230" s="20">
        <v>47.145099999999999</v>
      </c>
      <c r="N230" s="20">
        <v>363.72829999999999</v>
      </c>
      <c r="O230" s="20">
        <f t="shared" si="14"/>
        <v>41.5701125</v>
      </c>
      <c r="P230" s="7"/>
      <c r="Q230" s="13"/>
      <c r="R230" s="14"/>
      <c r="S230" s="14"/>
      <c r="T230" s="27"/>
      <c r="U230" s="28">
        <f t="shared" si="15"/>
        <v>2.3180833789454476</v>
      </c>
    </row>
    <row r="231" spans="2:21" x14ac:dyDescent="0.25">
      <c r="B231" s="6" t="s">
        <v>110</v>
      </c>
      <c r="C231" s="15">
        <v>1464.39</v>
      </c>
      <c r="D231" s="16">
        <v>32.124000000000002</v>
      </c>
      <c r="E231" s="16">
        <v>39.707999999999998</v>
      </c>
      <c r="F231" s="16">
        <v>39.207000000000001</v>
      </c>
      <c r="G231" s="16">
        <v>44.6</v>
      </c>
      <c r="H231" s="16">
        <f t="shared" si="12"/>
        <v>33.957375000000006</v>
      </c>
      <c r="I231" s="5"/>
      <c r="J231" s="15">
        <v>1496.1557</v>
      </c>
      <c r="K231" s="16">
        <v>31.938700000000001</v>
      </c>
      <c r="L231" s="16">
        <v>40.133099999999999</v>
      </c>
      <c r="M231" s="16">
        <v>39.519300000000001</v>
      </c>
      <c r="N231" s="16">
        <v>157.6044</v>
      </c>
      <c r="O231" s="16">
        <f t="shared" si="14"/>
        <v>33.910575000000001</v>
      </c>
      <c r="P231" s="7"/>
      <c r="Q231" s="8">
        <f>bdrate(C231:C234,D231:D234,J231:J234,K231:K234)</f>
        <v>3.2143549007389138E-2</v>
      </c>
      <c r="R231" s="8">
        <f>bdrate(C231:C234,E231:E234,J231:J234,L231:L234)</f>
        <v>-0.22964789107294459</v>
      </c>
      <c r="S231" s="8">
        <f>bdrate(C231:C234,F231:F234,J231:J234,M231:M234)</f>
        <v>-0.20480814161403815</v>
      </c>
      <c r="T231" s="25">
        <f>bdrate(C231:C234,H231:H234,J231:J234,O231:O234)</f>
        <v>-1.9801644830552134E-2</v>
      </c>
      <c r="U231" s="28">
        <f t="shared" si="15"/>
        <v>2.5337309417040359</v>
      </c>
    </row>
    <row r="232" spans="2:21" x14ac:dyDescent="0.25">
      <c r="B232" s="9"/>
      <c r="C232" s="17">
        <v>977.54</v>
      </c>
      <c r="D232" s="18">
        <v>30.323</v>
      </c>
      <c r="E232" s="18">
        <v>38.493000000000002</v>
      </c>
      <c r="F232" s="18">
        <v>37.918999999999997</v>
      </c>
      <c r="G232" s="18">
        <v>53.02</v>
      </c>
      <c r="H232" s="18">
        <f t="shared" si="12"/>
        <v>32.293749999999996</v>
      </c>
      <c r="I232" s="5"/>
      <c r="J232" s="17">
        <v>995.16189999999995</v>
      </c>
      <c r="K232" s="18">
        <v>30.155999999999999</v>
      </c>
      <c r="L232" s="18">
        <v>39.188499999999998</v>
      </c>
      <c r="M232" s="18">
        <v>38.493699999999997</v>
      </c>
      <c r="N232" s="18">
        <v>187.26589999999999</v>
      </c>
      <c r="O232" s="18">
        <f t="shared" si="14"/>
        <v>32.327275</v>
      </c>
      <c r="P232" s="7"/>
      <c r="Q232" s="10"/>
      <c r="R232" s="11"/>
      <c r="S232" s="11"/>
      <c r="T232" s="26"/>
      <c r="U232" s="28">
        <f t="shared" si="15"/>
        <v>2.53198604300264</v>
      </c>
    </row>
    <row r="233" spans="2:21" x14ac:dyDescent="0.25">
      <c r="B233" s="9"/>
      <c r="C233" s="17">
        <v>587</v>
      </c>
      <c r="D233" s="18">
        <v>28.053999999999998</v>
      </c>
      <c r="E233" s="18">
        <v>36.902000000000001</v>
      </c>
      <c r="F233" s="18">
        <v>36.253</v>
      </c>
      <c r="G233" s="18">
        <v>60.79</v>
      </c>
      <c r="H233" s="18">
        <f t="shared" si="12"/>
        <v>30.184874999999998</v>
      </c>
      <c r="I233" s="5"/>
      <c r="J233" s="17">
        <v>596.8723</v>
      </c>
      <c r="K233" s="18">
        <v>27.908899999999999</v>
      </c>
      <c r="L233" s="18">
        <v>37.8232</v>
      </c>
      <c r="M233" s="18">
        <v>37.110199999999999</v>
      </c>
      <c r="N233" s="18">
        <v>228.4264</v>
      </c>
      <c r="O233" s="18">
        <f t="shared" si="14"/>
        <v>30.298349999999996</v>
      </c>
      <c r="P233" s="7"/>
      <c r="Q233" s="10"/>
      <c r="R233" s="11"/>
      <c r="S233" s="11"/>
      <c r="T233" s="26"/>
      <c r="U233" s="28">
        <f t="shared" si="15"/>
        <v>2.7576311893403522</v>
      </c>
    </row>
    <row r="234" spans="2:21" ht="16.5" thickBot="1" x14ac:dyDescent="0.3">
      <c r="B234" s="12"/>
      <c r="C234" s="19">
        <v>285.95999999999998</v>
      </c>
      <c r="D234" s="20">
        <v>24.41</v>
      </c>
      <c r="E234" s="20">
        <v>33.668999999999997</v>
      </c>
      <c r="F234" s="20">
        <v>33.167000000000002</v>
      </c>
      <c r="G234" s="20">
        <v>76.62</v>
      </c>
      <c r="H234" s="20">
        <f t="shared" si="12"/>
        <v>26.662000000000003</v>
      </c>
      <c r="I234" s="5"/>
      <c r="J234" s="19">
        <v>299.84359999999998</v>
      </c>
      <c r="K234" s="20">
        <v>25.083200000000001</v>
      </c>
      <c r="L234" s="20">
        <v>35.425800000000002</v>
      </c>
      <c r="M234" s="20">
        <v>34.831499999999998</v>
      </c>
      <c r="N234" s="20">
        <v>293.58999999999997</v>
      </c>
      <c r="O234" s="20">
        <f t="shared" si="14"/>
        <v>27.594562500000002</v>
      </c>
      <c r="P234" s="7"/>
      <c r="Q234" s="13"/>
      <c r="R234" s="14"/>
      <c r="S234" s="14"/>
      <c r="T234" s="27"/>
      <c r="U234" s="28">
        <f t="shared" si="15"/>
        <v>2.831767162620725</v>
      </c>
    </row>
    <row r="235" spans="2:21" x14ac:dyDescent="0.25">
      <c r="B235" s="6" t="s">
        <v>111</v>
      </c>
      <c r="C235" s="15">
        <v>1485.47</v>
      </c>
      <c r="D235" s="16">
        <v>45.148000000000003</v>
      </c>
      <c r="E235" s="16">
        <v>46.23</v>
      </c>
      <c r="F235" s="16">
        <v>46.155000000000001</v>
      </c>
      <c r="G235" s="16">
        <v>73.77</v>
      </c>
      <c r="H235" s="16">
        <f t="shared" si="12"/>
        <v>45.409125000000003</v>
      </c>
      <c r="I235" s="5"/>
      <c r="J235" s="15">
        <v>1424.6311000000001</v>
      </c>
      <c r="K235" s="16">
        <v>44.897100000000002</v>
      </c>
      <c r="L235" s="16">
        <v>46.005299999999998</v>
      </c>
      <c r="M235" s="16">
        <v>45.879600000000003</v>
      </c>
      <c r="N235" s="16">
        <v>206.75399999999999</v>
      </c>
      <c r="O235" s="16">
        <f t="shared" si="14"/>
        <v>45.158437499999998</v>
      </c>
      <c r="P235" s="7"/>
      <c r="Q235" s="8">
        <f>bdrate(C235:C238,D235:D238,J235:J238,K235:K238)</f>
        <v>-2.6811920780110854E-2</v>
      </c>
      <c r="R235" s="8">
        <f>bdrate(C235:C238,E235:E238,J235:J238,L235:L238)</f>
        <v>-5.7261647901784785E-2</v>
      </c>
      <c r="S235" s="8">
        <f>bdrate(C235:C238,F235:F238,J235:J238,M235:M238)</f>
        <v>-5.8282165935377606E-2</v>
      </c>
      <c r="T235" s="25">
        <f>bdrate(C235:C238,H235:H238,J235:J238,O235:O238)</f>
        <v>-3.3484865760851634E-2</v>
      </c>
      <c r="U235" s="28">
        <f t="shared" si="15"/>
        <v>1.8026840178934525</v>
      </c>
    </row>
    <row r="236" spans="2:21" x14ac:dyDescent="0.25">
      <c r="B236" s="9"/>
      <c r="C236" s="17">
        <v>992.87</v>
      </c>
      <c r="D236" s="18">
        <v>42.889000000000003</v>
      </c>
      <c r="E236" s="18">
        <v>44.186999999999998</v>
      </c>
      <c r="F236" s="18">
        <v>44.073999999999998</v>
      </c>
      <c r="G236" s="18">
        <v>81.66</v>
      </c>
      <c r="H236" s="18">
        <f t="shared" si="12"/>
        <v>43.199375000000003</v>
      </c>
      <c r="I236" s="5"/>
      <c r="J236" s="17">
        <v>959.3827</v>
      </c>
      <c r="K236" s="18">
        <v>43.006799999999998</v>
      </c>
      <c r="L236" s="18">
        <v>44.383699999999997</v>
      </c>
      <c r="M236" s="18">
        <v>44.245199999999997</v>
      </c>
      <c r="N236" s="18">
        <v>250.31290000000001</v>
      </c>
      <c r="O236" s="18">
        <f t="shared" si="14"/>
        <v>43.333712499999997</v>
      </c>
      <c r="P236" s="7"/>
      <c r="Q236" s="10"/>
      <c r="R236" s="11"/>
      <c r="S236" s="11"/>
      <c r="T236" s="26"/>
      <c r="U236" s="28">
        <f t="shared" si="15"/>
        <v>2.0653061474406078</v>
      </c>
    </row>
    <row r="237" spans="2:21" x14ac:dyDescent="0.25">
      <c r="B237" s="9"/>
      <c r="C237" s="17">
        <v>598.86</v>
      </c>
      <c r="D237" s="18">
        <v>39.963000000000001</v>
      </c>
      <c r="E237" s="18">
        <v>41.655999999999999</v>
      </c>
      <c r="F237" s="18">
        <v>41.472000000000001</v>
      </c>
      <c r="G237" s="18">
        <v>87.02</v>
      </c>
      <c r="H237" s="18">
        <f t="shared" si="12"/>
        <v>40.363250000000001</v>
      </c>
      <c r="I237" s="5"/>
      <c r="J237" s="17">
        <v>586.72469999999998</v>
      </c>
      <c r="K237" s="18">
        <v>40.034700000000001</v>
      </c>
      <c r="L237" s="18">
        <v>41.902700000000003</v>
      </c>
      <c r="M237" s="18">
        <v>41.717300000000002</v>
      </c>
      <c r="N237" s="18">
        <v>293.5421</v>
      </c>
      <c r="O237" s="18">
        <f t="shared" si="14"/>
        <v>40.478525000000005</v>
      </c>
      <c r="P237" s="7"/>
      <c r="Q237" s="10"/>
      <c r="R237" s="11"/>
      <c r="S237" s="11"/>
      <c r="T237" s="26"/>
      <c r="U237" s="28">
        <f t="shared" si="15"/>
        <v>2.3732716616869687</v>
      </c>
    </row>
    <row r="238" spans="2:21" ht="16.5" thickBot="1" x14ac:dyDescent="0.3">
      <c r="B238" s="12"/>
      <c r="C238" s="19">
        <v>296.5</v>
      </c>
      <c r="D238" s="20">
        <v>35.703000000000003</v>
      </c>
      <c r="E238" s="20">
        <v>38.313000000000002</v>
      </c>
      <c r="F238" s="20">
        <v>38.039000000000001</v>
      </c>
      <c r="G238" s="20">
        <v>100.86</v>
      </c>
      <c r="H238" s="20">
        <f t="shared" si="12"/>
        <v>36.321249999999999</v>
      </c>
      <c r="I238" s="5"/>
      <c r="J238" s="19">
        <v>293.31229999999999</v>
      </c>
      <c r="K238" s="20">
        <v>35.535600000000002</v>
      </c>
      <c r="L238" s="20">
        <v>38.401200000000003</v>
      </c>
      <c r="M238" s="20">
        <v>38.236499999999999</v>
      </c>
      <c r="N238" s="20">
        <v>346.28699999999998</v>
      </c>
      <c r="O238" s="20">
        <f t="shared" si="14"/>
        <v>36.231412499999998</v>
      </c>
      <c r="P238" s="7"/>
      <c r="Q238" s="13"/>
      <c r="R238" s="14"/>
      <c r="S238" s="14"/>
      <c r="T238" s="27"/>
      <c r="U238" s="28">
        <f t="shared" si="15"/>
        <v>2.4333432480666266</v>
      </c>
    </row>
    <row r="239" spans="2:21" x14ac:dyDescent="0.25">
      <c r="B239" s="6" t="s">
        <v>112</v>
      </c>
      <c r="C239" s="15">
        <v>1963.39</v>
      </c>
      <c r="D239" s="16">
        <v>45.658000000000001</v>
      </c>
      <c r="E239" s="16">
        <v>47.801000000000002</v>
      </c>
      <c r="F239" s="16">
        <v>48.064</v>
      </c>
      <c r="G239" s="16">
        <v>77.91</v>
      </c>
      <c r="H239" s="16">
        <f t="shared" si="12"/>
        <v>46.226624999999999</v>
      </c>
      <c r="I239" s="5"/>
      <c r="J239" s="15">
        <v>1405.8221000000001</v>
      </c>
      <c r="K239" s="16">
        <v>45.484699999999997</v>
      </c>
      <c r="L239" s="16">
        <v>47.7378</v>
      </c>
      <c r="M239" s="16">
        <v>47.978900000000003</v>
      </c>
      <c r="N239" s="16">
        <v>203.85050000000001</v>
      </c>
      <c r="O239" s="16">
        <f t="shared" si="14"/>
        <v>46.078112499999996</v>
      </c>
      <c r="P239" s="7"/>
      <c r="Q239" s="8">
        <f>bdrate(C239:C242,D239:D242,J239:J242,K239:K242)</f>
        <v>-0.21882121955593137</v>
      </c>
      <c r="R239" s="8">
        <f>bdrate(C239:C242,E239:E242,J239:J242,L239:L242)</f>
        <v>-0.27058526030550656</v>
      </c>
      <c r="S239" s="8">
        <f>bdrate(C239:C242,F239:F242,J239:J242,M239:M242)</f>
        <v>-0.26627856739369982</v>
      </c>
      <c r="T239" s="25">
        <f>bdrate(C239:C242,H239:H242,J239:J242,O239:O242)</f>
        <v>-0.22980717423615948</v>
      </c>
      <c r="U239" s="28">
        <f t="shared" si="15"/>
        <v>1.6164869721473498</v>
      </c>
    </row>
    <row r="240" spans="2:21" x14ac:dyDescent="0.25">
      <c r="B240" s="9"/>
      <c r="C240" s="17">
        <v>1280.1600000000001</v>
      </c>
      <c r="D240" s="18">
        <v>43.381999999999998</v>
      </c>
      <c r="E240" s="18">
        <v>45.765999999999998</v>
      </c>
      <c r="F240" s="18">
        <v>46.015999999999998</v>
      </c>
      <c r="G240" s="18">
        <v>87.94</v>
      </c>
      <c r="H240" s="18">
        <f t="shared" si="12"/>
        <v>44.009250000000002</v>
      </c>
      <c r="I240" s="5"/>
      <c r="J240" s="17">
        <v>973.86720000000003</v>
      </c>
      <c r="K240" s="18">
        <v>43.914000000000001</v>
      </c>
      <c r="L240" s="18">
        <v>46.415799999999997</v>
      </c>
      <c r="M240" s="18">
        <v>46.659599999999998</v>
      </c>
      <c r="N240" s="18">
        <v>227.58879999999999</v>
      </c>
      <c r="O240" s="18">
        <f t="shared" si="14"/>
        <v>44.569925000000005</v>
      </c>
      <c r="P240" s="7"/>
      <c r="Q240" s="10"/>
      <c r="R240" s="11"/>
      <c r="S240" s="11"/>
      <c r="T240" s="26"/>
      <c r="U240" s="28">
        <f t="shared" si="15"/>
        <v>1.5880009097111667</v>
      </c>
    </row>
    <row r="241" spans="2:21" x14ac:dyDescent="0.25">
      <c r="B241" s="9"/>
      <c r="C241" s="17">
        <v>748.35</v>
      </c>
      <c r="D241" s="18">
        <v>40.78</v>
      </c>
      <c r="E241" s="18">
        <v>43.115000000000002</v>
      </c>
      <c r="F241" s="18">
        <v>43.406999999999996</v>
      </c>
      <c r="G241" s="18">
        <v>98.86</v>
      </c>
      <c r="H241" s="18">
        <f t="shared" si="12"/>
        <v>41.40025</v>
      </c>
      <c r="I241" s="5"/>
      <c r="J241" s="17">
        <v>634.89679999999998</v>
      </c>
      <c r="K241" s="18">
        <v>41.244399999999999</v>
      </c>
      <c r="L241" s="18">
        <v>43.974800000000002</v>
      </c>
      <c r="M241" s="18">
        <v>44.237900000000003</v>
      </c>
      <c r="N241" s="18">
        <v>248.65309999999999</v>
      </c>
      <c r="O241" s="18">
        <f t="shared" si="14"/>
        <v>41.959887500000001</v>
      </c>
      <c r="P241" s="7"/>
      <c r="Q241" s="10"/>
      <c r="R241" s="11"/>
      <c r="S241" s="11"/>
      <c r="T241" s="26"/>
      <c r="U241" s="28">
        <f t="shared" si="15"/>
        <v>1.5152043293546427</v>
      </c>
    </row>
    <row r="242" spans="2:21" ht="16.5" thickBot="1" x14ac:dyDescent="0.3">
      <c r="B242" s="12"/>
      <c r="C242" s="19">
        <v>359.75</v>
      </c>
      <c r="D242" s="20">
        <v>37.265999999999998</v>
      </c>
      <c r="E242" s="20">
        <v>40.058999999999997</v>
      </c>
      <c r="F242" s="20">
        <v>40.414000000000001</v>
      </c>
      <c r="G242" s="20">
        <v>113.56</v>
      </c>
      <c r="H242" s="20">
        <f t="shared" si="12"/>
        <v>38.008624999999995</v>
      </c>
      <c r="I242" s="5"/>
      <c r="J242" s="19">
        <v>337.28789999999998</v>
      </c>
      <c r="K242" s="20">
        <v>37.015500000000003</v>
      </c>
      <c r="L242" s="20">
        <v>40.268900000000002</v>
      </c>
      <c r="M242" s="20">
        <v>40.543300000000002</v>
      </c>
      <c r="N242" s="20">
        <v>347.22219999999999</v>
      </c>
      <c r="O242" s="20">
        <f t="shared" si="14"/>
        <v>37.863149999999997</v>
      </c>
      <c r="P242" s="7"/>
      <c r="Q242" s="13"/>
      <c r="R242" s="14"/>
      <c r="S242" s="14"/>
      <c r="T242" s="27"/>
      <c r="U242" s="28">
        <f t="shared" si="15"/>
        <v>2.0576100739697076</v>
      </c>
    </row>
    <row r="243" spans="2:21" x14ac:dyDescent="0.25">
      <c r="B243" s="6" t="s">
        <v>113</v>
      </c>
      <c r="C243" s="15">
        <v>1532.85</v>
      </c>
      <c r="D243" s="16">
        <v>32.398000000000003</v>
      </c>
      <c r="E243" s="16">
        <v>36.215000000000003</v>
      </c>
      <c r="F243" s="16">
        <v>35.085999999999999</v>
      </c>
      <c r="G243" s="16">
        <v>55.66</v>
      </c>
      <c r="H243" s="16">
        <f t="shared" si="12"/>
        <v>33.211125000000003</v>
      </c>
      <c r="I243" s="5"/>
      <c r="J243" s="29">
        <v>1506.1197</v>
      </c>
      <c r="K243" s="30">
        <v>32.323900000000002</v>
      </c>
      <c r="L243" s="30">
        <v>36.522199999999998</v>
      </c>
      <c r="M243" s="30">
        <v>35.4251</v>
      </c>
      <c r="N243" s="16">
        <v>181.68969999999999</v>
      </c>
      <c r="O243" s="16">
        <f t="shared" si="14"/>
        <v>33.236337499999998</v>
      </c>
      <c r="P243" s="7"/>
      <c r="Q243" s="8">
        <f>bdrate(C243:C246,D243:D246,J243:J246,K243:K246)</f>
        <v>2.7099456034878511E-2</v>
      </c>
      <c r="R243" s="8">
        <f>bdrate(C243:C246,E243:E246,J243:J246,L243:L246)</f>
        <v>-0.21331866584605308</v>
      </c>
      <c r="S243" s="8">
        <f>bdrate(C243:C246,F243:F246,J243:J246,M243:M246)</f>
        <v>-0.21800844474322023</v>
      </c>
      <c r="T243" s="25">
        <f>bdrate(C243:C246,H243:H246,J243:J246,O243:O246)</f>
        <v>-2.3072667107801759E-2</v>
      </c>
      <c r="U243" s="28">
        <f t="shared" si="15"/>
        <v>2.2642777578153073</v>
      </c>
    </row>
    <row r="244" spans="2:21" x14ac:dyDescent="0.25">
      <c r="B244" s="9"/>
      <c r="C244" s="17">
        <v>1016.85</v>
      </c>
      <c r="D244" s="18">
        <v>30.567</v>
      </c>
      <c r="E244" s="18">
        <v>34.905000000000001</v>
      </c>
      <c r="F244" s="18">
        <v>33.69</v>
      </c>
      <c r="G244" s="18">
        <v>61.31</v>
      </c>
      <c r="H244" s="18">
        <f t="shared" si="12"/>
        <v>31.499624999999998</v>
      </c>
      <c r="I244" s="5"/>
      <c r="J244" s="31">
        <v>1004.3307</v>
      </c>
      <c r="K244" s="32">
        <v>30.424900000000001</v>
      </c>
      <c r="L244" s="32">
        <v>35.454300000000003</v>
      </c>
      <c r="M244" s="32">
        <v>34.299500000000002</v>
      </c>
      <c r="N244" s="18">
        <v>213.27010000000001</v>
      </c>
      <c r="O244" s="18">
        <f t="shared" si="14"/>
        <v>31.537899999999997</v>
      </c>
      <c r="P244" s="7"/>
      <c r="Q244" s="10"/>
      <c r="R244" s="11"/>
      <c r="S244" s="11"/>
      <c r="T244" s="26"/>
      <c r="U244" s="28">
        <f t="shared" si="15"/>
        <v>2.478553253955309</v>
      </c>
    </row>
    <row r="245" spans="2:21" x14ac:dyDescent="0.25">
      <c r="B245" s="9"/>
      <c r="C245" s="17">
        <v>607.91999999999996</v>
      </c>
      <c r="D245" s="18">
        <v>28.451000000000001</v>
      </c>
      <c r="E245" s="18">
        <v>33.515000000000001</v>
      </c>
      <c r="F245" s="18">
        <v>32.194000000000003</v>
      </c>
      <c r="G245" s="18">
        <v>71.48</v>
      </c>
      <c r="H245" s="18">
        <f t="shared" si="12"/>
        <v>29.551875000000003</v>
      </c>
      <c r="I245" s="5"/>
      <c r="J245" s="31">
        <v>602.17920000000004</v>
      </c>
      <c r="K245" s="32">
        <v>28.213200000000001</v>
      </c>
      <c r="L245" s="32">
        <v>34.183700000000002</v>
      </c>
      <c r="M245" s="32">
        <v>32.933199999999999</v>
      </c>
      <c r="N245" s="18">
        <v>255.79079999999999</v>
      </c>
      <c r="O245" s="18">
        <f t="shared" si="14"/>
        <v>29.549512499999999</v>
      </c>
      <c r="P245" s="7"/>
      <c r="Q245" s="10"/>
      <c r="R245" s="11"/>
      <c r="S245" s="11"/>
      <c r="T245" s="26"/>
      <c r="U245" s="28">
        <f t="shared" si="15"/>
        <v>2.5784946838276435</v>
      </c>
    </row>
    <row r="246" spans="2:21" ht="16.5" thickBot="1" x14ac:dyDescent="0.3">
      <c r="B246" s="12"/>
      <c r="C246" s="19">
        <v>295.89999999999998</v>
      </c>
      <c r="D246" s="20">
        <v>25.548999999999999</v>
      </c>
      <c r="E246" s="20">
        <v>31.31</v>
      </c>
      <c r="F246" s="20">
        <v>29.901</v>
      </c>
      <c r="G246" s="20">
        <v>85.66</v>
      </c>
      <c r="H246" s="20">
        <f t="shared" si="12"/>
        <v>26.813124999999999</v>
      </c>
      <c r="I246" s="5"/>
      <c r="J246" s="33">
        <v>303.7543</v>
      </c>
      <c r="K246" s="34">
        <v>25.672000000000001</v>
      </c>
      <c r="L246" s="34">
        <v>32.36</v>
      </c>
      <c r="M246" s="34">
        <v>30.966899999999999</v>
      </c>
      <c r="N246" s="20">
        <v>320.51280000000003</v>
      </c>
      <c r="O246" s="20">
        <f t="shared" si="14"/>
        <v>27.169862500000001</v>
      </c>
      <c r="P246" s="7"/>
      <c r="Q246" s="13"/>
      <c r="R246" s="14"/>
      <c r="S246" s="14"/>
      <c r="T246" s="27"/>
      <c r="U246" s="28">
        <f t="shared" si="15"/>
        <v>2.7416857342983896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-2.6293438175806885E-2</v>
      </c>
      <c r="R247" s="21">
        <f>AVERAGE(R131:R246)</f>
        <v>-0.14092562916693391</v>
      </c>
      <c r="S247" s="21">
        <f>AVERAGE(S131:S246)</f>
        <v>-0.12517486152310725</v>
      </c>
      <c r="T247" s="21">
        <f>AVERAGE(T131:T246)</f>
        <v>-4.6355895001521576E-2</v>
      </c>
      <c r="U247" s="21">
        <f>AVERAGE(U131:U246)</f>
        <v>2.3534549049652673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643" priority="453" operator="greaterThan">
      <formula>0.03</formula>
    </cfRule>
    <cfRule type="cellIs" dxfId="642" priority="454" stopIfTrue="1" operator="lessThan">
      <formula>-0.03</formula>
    </cfRule>
  </conditionalFormatting>
  <conditionalFormatting sqref="Q33:T36">
    <cfRule type="cellIs" dxfId="641" priority="451" operator="greaterThan">
      <formula>0.03</formula>
    </cfRule>
    <cfRule type="cellIs" dxfId="640" priority="452" stopIfTrue="1" operator="lessThan">
      <formula>-0.03</formula>
    </cfRule>
  </conditionalFormatting>
  <conditionalFormatting sqref="Q46:T48 Q62:T64">
    <cfRule type="cellIs" dxfId="639" priority="449" operator="greaterThan">
      <formula>0.03</formula>
    </cfRule>
    <cfRule type="cellIs" dxfId="638" priority="450" stopIfTrue="1" operator="lessThan">
      <formula>-0.03</formula>
    </cfRule>
  </conditionalFormatting>
  <conditionalFormatting sqref="Q50:T52 Q54:T56 Q58:T60">
    <cfRule type="cellIs" dxfId="637" priority="447" operator="greaterThan">
      <formula>0.03</formula>
    </cfRule>
    <cfRule type="cellIs" dxfId="636" priority="448" stopIfTrue="1" operator="lessThan">
      <formula>-0.03</formula>
    </cfRule>
  </conditionalFormatting>
  <conditionalFormatting sqref="Q70:T72 Q74:T76">
    <cfRule type="cellIs" dxfId="635" priority="445" operator="greaterThan">
      <formula>0.03</formula>
    </cfRule>
    <cfRule type="cellIs" dxfId="634" priority="446" stopIfTrue="1" operator="lessThan">
      <formula>-0.03</formula>
    </cfRule>
  </conditionalFormatting>
  <conditionalFormatting sqref="Q66:T68">
    <cfRule type="cellIs" dxfId="633" priority="443" operator="greaterThan">
      <formula>0.03</formula>
    </cfRule>
    <cfRule type="cellIs" dxfId="632" priority="444" stopIfTrue="1" operator="lessThan">
      <formula>-0.03</formula>
    </cfRule>
  </conditionalFormatting>
  <conditionalFormatting sqref="Q78:T80">
    <cfRule type="cellIs" dxfId="631" priority="441" operator="greaterThan">
      <formula>0.03</formula>
    </cfRule>
    <cfRule type="cellIs" dxfId="630" priority="442" stopIfTrue="1" operator="lessThan">
      <formula>-0.03</formula>
    </cfRule>
  </conditionalFormatting>
  <conditionalFormatting sqref="Q21:T28">
    <cfRule type="cellIs" dxfId="629" priority="423" operator="greaterThan">
      <formula>0.03</formula>
    </cfRule>
    <cfRule type="cellIs" dxfId="628" priority="424" stopIfTrue="1" operator="lessThan">
      <formula>-0.03</formula>
    </cfRule>
  </conditionalFormatting>
  <conditionalFormatting sqref="Q151:T154 Q159:T166 Q131:T142">
    <cfRule type="cellIs" dxfId="627" priority="419" operator="greaterThan">
      <formula>0.03</formula>
    </cfRule>
    <cfRule type="cellIs" dxfId="626" priority="420" stopIfTrue="1" operator="lessThan">
      <formula>-0.03</formula>
    </cfRule>
  </conditionalFormatting>
  <conditionalFormatting sqref="Q155:T158">
    <cfRule type="cellIs" dxfId="625" priority="417" operator="greaterThan">
      <formula>0.03</formula>
    </cfRule>
    <cfRule type="cellIs" dxfId="624" priority="418" stopIfTrue="1" operator="lessThan">
      <formula>-0.03</formula>
    </cfRule>
  </conditionalFormatting>
  <conditionalFormatting sqref="Q167:T170 Q183:T186">
    <cfRule type="cellIs" dxfId="623" priority="415" operator="greaterThan">
      <formula>0.03</formula>
    </cfRule>
    <cfRule type="cellIs" dxfId="622" priority="416" stopIfTrue="1" operator="lessThan">
      <formula>-0.03</formula>
    </cfRule>
  </conditionalFormatting>
  <conditionalFormatting sqref="Q171:T182">
    <cfRule type="cellIs" dxfId="621" priority="413" operator="greaterThan">
      <formula>0.03</formula>
    </cfRule>
    <cfRule type="cellIs" dxfId="620" priority="414" stopIfTrue="1" operator="lessThan">
      <formula>-0.03</formula>
    </cfRule>
  </conditionalFormatting>
  <conditionalFormatting sqref="Q191:T198">
    <cfRule type="cellIs" dxfId="619" priority="411" operator="greaterThan">
      <formula>0.03</formula>
    </cfRule>
    <cfRule type="cellIs" dxfId="618" priority="412" stopIfTrue="1" operator="lessThan">
      <formula>-0.03</formula>
    </cfRule>
  </conditionalFormatting>
  <conditionalFormatting sqref="Q187:T190">
    <cfRule type="cellIs" dxfId="617" priority="409" operator="greaterThan">
      <formula>0.03</formula>
    </cfRule>
    <cfRule type="cellIs" dxfId="616" priority="410" stopIfTrue="1" operator="lessThan">
      <formula>-0.03</formula>
    </cfRule>
  </conditionalFormatting>
  <conditionalFormatting sqref="Q199:T202">
    <cfRule type="cellIs" dxfId="615" priority="407" operator="greaterThan">
      <formula>0.03</formula>
    </cfRule>
    <cfRule type="cellIs" dxfId="614" priority="408" stopIfTrue="1" operator="lessThan">
      <formula>-0.03</formula>
    </cfRule>
  </conditionalFormatting>
  <conditionalFormatting sqref="Q143:T150">
    <cfRule type="cellIs" dxfId="613" priority="405" operator="greaterThan">
      <formula>0.03</formula>
    </cfRule>
    <cfRule type="cellIs" dxfId="612" priority="406" stopIfTrue="1" operator="lessThan">
      <formula>-0.03</formula>
    </cfRule>
  </conditionalFormatting>
  <conditionalFormatting sqref="Q45:T45">
    <cfRule type="cellIs" dxfId="611" priority="403" operator="greaterThan">
      <formula>0.03</formula>
    </cfRule>
    <cfRule type="cellIs" dxfId="610" priority="404" stopIfTrue="1" operator="lessThan">
      <formula>-0.03</formula>
    </cfRule>
  </conditionalFormatting>
  <conditionalFormatting sqref="Q49:T49">
    <cfRule type="cellIs" dxfId="609" priority="401" operator="greaterThan">
      <formula>0.03</formula>
    </cfRule>
    <cfRule type="cellIs" dxfId="608" priority="402" stopIfTrue="1" operator="lessThan">
      <formula>-0.03</formula>
    </cfRule>
  </conditionalFormatting>
  <conditionalFormatting sqref="Q53:T53">
    <cfRule type="cellIs" dxfId="607" priority="399" operator="greaterThan">
      <formula>0.03</formula>
    </cfRule>
    <cfRule type="cellIs" dxfId="606" priority="400" stopIfTrue="1" operator="lessThan">
      <formula>-0.03</formula>
    </cfRule>
  </conditionalFormatting>
  <conditionalFormatting sqref="Q57:T57">
    <cfRule type="cellIs" dxfId="605" priority="397" operator="greaterThan">
      <formula>0.03</formula>
    </cfRule>
    <cfRule type="cellIs" dxfId="604" priority="398" stopIfTrue="1" operator="lessThan">
      <formula>-0.03</formula>
    </cfRule>
  </conditionalFormatting>
  <conditionalFormatting sqref="Q61:T61">
    <cfRule type="cellIs" dxfId="603" priority="395" operator="greaterThan">
      <formula>0.03</formula>
    </cfRule>
    <cfRule type="cellIs" dxfId="602" priority="396" stopIfTrue="1" operator="lessThan">
      <formula>-0.03</formula>
    </cfRule>
  </conditionalFormatting>
  <conditionalFormatting sqref="Q65:T65">
    <cfRule type="cellIs" dxfId="601" priority="393" operator="greaterThan">
      <formula>0.03</formula>
    </cfRule>
    <cfRule type="cellIs" dxfId="600" priority="394" stopIfTrue="1" operator="lessThan">
      <formula>-0.03</formula>
    </cfRule>
  </conditionalFormatting>
  <conditionalFormatting sqref="Q69:T69">
    <cfRule type="cellIs" dxfId="599" priority="391" operator="greaterThan">
      <formula>0.03</formula>
    </cfRule>
    <cfRule type="cellIs" dxfId="598" priority="392" stopIfTrue="1" operator="lessThan">
      <formula>-0.03</formula>
    </cfRule>
  </conditionalFormatting>
  <conditionalFormatting sqref="Q73:T73">
    <cfRule type="cellIs" dxfId="597" priority="389" operator="greaterThan">
      <formula>0.03</formula>
    </cfRule>
    <cfRule type="cellIs" dxfId="596" priority="390" stopIfTrue="1" operator="lessThan">
      <formula>-0.03</formula>
    </cfRule>
  </conditionalFormatting>
  <conditionalFormatting sqref="Q77:T77">
    <cfRule type="cellIs" dxfId="595" priority="387" operator="greaterThan">
      <formula>0.03</formula>
    </cfRule>
    <cfRule type="cellIs" dxfId="594" priority="388" stopIfTrue="1" operator="lessThan">
      <formula>-0.03</formula>
    </cfRule>
  </conditionalFormatting>
  <conditionalFormatting sqref="Q117:T117">
    <cfRule type="cellIs" dxfId="593" priority="99" operator="greaterThan">
      <formula>0.03</formula>
    </cfRule>
    <cfRule type="cellIs" dxfId="592" priority="100" stopIfTrue="1" operator="lessThan">
      <formula>-0.03</formula>
    </cfRule>
  </conditionalFormatting>
  <conditionalFormatting sqref="Q93:T96 Q101:T108 Q81:T84">
    <cfRule type="cellIs" dxfId="591" priority="113" operator="greaterThan">
      <formula>0.03</formula>
    </cfRule>
    <cfRule type="cellIs" dxfId="590" priority="114" stopIfTrue="1" operator="lessThan">
      <formula>-0.03</formula>
    </cfRule>
  </conditionalFormatting>
  <conditionalFormatting sqref="Q97:T100">
    <cfRule type="cellIs" dxfId="589" priority="111" operator="greaterThan">
      <formula>0.03</formula>
    </cfRule>
    <cfRule type="cellIs" dxfId="588" priority="112" stopIfTrue="1" operator="lessThan">
      <formula>-0.03</formula>
    </cfRule>
  </conditionalFormatting>
  <conditionalFormatting sqref="Q110:T112 Q122:T124">
    <cfRule type="cellIs" dxfId="587" priority="109" operator="greaterThan">
      <formula>0.03</formula>
    </cfRule>
    <cfRule type="cellIs" dxfId="586" priority="110" stopIfTrue="1" operator="lessThan">
      <formula>-0.03</formula>
    </cfRule>
  </conditionalFormatting>
  <conditionalFormatting sqref="Q114:T116 Q118:T120">
    <cfRule type="cellIs" dxfId="585" priority="107" operator="greaterThan">
      <formula>0.03</formula>
    </cfRule>
    <cfRule type="cellIs" dxfId="584" priority="108" stopIfTrue="1" operator="lessThan">
      <formula>-0.03</formula>
    </cfRule>
  </conditionalFormatting>
  <conditionalFormatting sqref="Q85:T92">
    <cfRule type="cellIs" dxfId="583" priority="105" operator="greaterThan">
      <formula>0.03</formula>
    </cfRule>
    <cfRule type="cellIs" dxfId="582" priority="106" stopIfTrue="1" operator="lessThan">
      <formula>-0.03</formula>
    </cfRule>
  </conditionalFormatting>
  <conditionalFormatting sqref="Q109:T109">
    <cfRule type="cellIs" dxfId="581" priority="103" operator="greaterThan">
      <formula>0.03</formula>
    </cfRule>
    <cfRule type="cellIs" dxfId="580" priority="104" stopIfTrue="1" operator="lessThan">
      <formula>-0.03</formula>
    </cfRule>
  </conditionalFormatting>
  <conditionalFormatting sqref="Q113:T113">
    <cfRule type="cellIs" dxfId="579" priority="101" operator="greaterThan">
      <formula>0.03</formula>
    </cfRule>
    <cfRule type="cellIs" dxfId="578" priority="102" stopIfTrue="1" operator="lessThan">
      <formula>-0.03</formula>
    </cfRule>
  </conditionalFormatting>
  <conditionalFormatting sqref="Q121:T121">
    <cfRule type="cellIs" dxfId="577" priority="97" operator="greaterThan">
      <formula>0.03</formula>
    </cfRule>
    <cfRule type="cellIs" dxfId="576" priority="98" stopIfTrue="1" operator="lessThan">
      <formula>-0.03</formula>
    </cfRule>
  </conditionalFormatting>
  <conditionalFormatting sqref="Q239:T239">
    <cfRule type="cellIs" dxfId="575" priority="33" operator="greaterThan">
      <formula>0.03</formula>
    </cfRule>
    <cfRule type="cellIs" dxfId="574" priority="34" stopIfTrue="1" operator="lessThan">
      <formula>-0.03</formula>
    </cfRule>
  </conditionalFormatting>
  <conditionalFormatting sqref="Q215:T218 Q223:T230 Q203:T206">
    <cfRule type="cellIs" dxfId="573" priority="47" operator="greaterThan">
      <formula>0.03</formula>
    </cfRule>
    <cfRule type="cellIs" dxfId="572" priority="48" stopIfTrue="1" operator="lessThan">
      <formula>-0.03</formula>
    </cfRule>
  </conditionalFormatting>
  <conditionalFormatting sqref="Q219:T222">
    <cfRule type="cellIs" dxfId="571" priority="45" operator="greaterThan">
      <formula>0.03</formula>
    </cfRule>
    <cfRule type="cellIs" dxfId="570" priority="46" stopIfTrue="1" operator="lessThan">
      <formula>-0.03</formula>
    </cfRule>
  </conditionalFormatting>
  <conditionalFormatting sqref="Q232:T234 Q244:T246">
    <cfRule type="cellIs" dxfId="569" priority="43" operator="greaterThan">
      <formula>0.03</formula>
    </cfRule>
    <cfRule type="cellIs" dxfId="568" priority="44" stopIfTrue="1" operator="lessThan">
      <formula>-0.03</formula>
    </cfRule>
  </conditionalFormatting>
  <conditionalFormatting sqref="Q236:T238 Q240:T242">
    <cfRule type="cellIs" dxfId="567" priority="41" operator="greaterThan">
      <formula>0.03</formula>
    </cfRule>
    <cfRule type="cellIs" dxfId="566" priority="42" stopIfTrue="1" operator="lessThan">
      <formula>-0.03</formula>
    </cfRule>
  </conditionalFormatting>
  <conditionalFormatting sqref="Q207:T214">
    <cfRule type="cellIs" dxfId="565" priority="39" operator="greaterThan">
      <formula>0.03</formula>
    </cfRule>
    <cfRule type="cellIs" dxfId="564" priority="40" stopIfTrue="1" operator="lessThan">
      <formula>-0.03</formula>
    </cfRule>
  </conditionalFormatting>
  <conditionalFormatting sqref="Q231:T231">
    <cfRule type="cellIs" dxfId="563" priority="37" operator="greaterThan">
      <formula>0.03</formula>
    </cfRule>
    <cfRule type="cellIs" dxfId="562" priority="38" stopIfTrue="1" operator="lessThan">
      <formula>-0.03</formula>
    </cfRule>
  </conditionalFormatting>
  <conditionalFormatting sqref="Q235:T235">
    <cfRule type="cellIs" dxfId="561" priority="35" operator="greaterThan">
      <formula>0.03</formula>
    </cfRule>
    <cfRule type="cellIs" dxfId="560" priority="36" stopIfTrue="1" operator="lessThan">
      <formula>-0.03</formula>
    </cfRule>
  </conditionalFormatting>
  <conditionalFormatting sqref="Q243:T243">
    <cfRule type="cellIs" dxfId="559" priority="31" operator="greaterThan">
      <formula>0.03</formula>
    </cfRule>
    <cfRule type="cellIs" dxfId="558" priority="32" stopIfTrue="1" operator="lessThan">
      <formula>-0.03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97</v>
      </c>
    </row>
    <row r="2" spans="1:21" x14ac:dyDescent="0.25">
      <c r="A2" t="s">
        <v>93</v>
      </c>
    </row>
    <row r="3" spans="1:21" x14ac:dyDescent="0.25">
      <c r="A3" t="s">
        <v>92</v>
      </c>
    </row>
    <row r="4" spans="1:21" x14ac:dyDescent="0.25">
      <c r="A4" t="s">
        <v>85</v>
      </c>
    </row>
    <row r="5" spans="1:21" s="35" customFormat="1" ht="15.75" customHeight="1" x14ac:dyDescent="0.25">
      <c r="B5" s="58" t="s">
        <v>29</v>
      </c>
      <c r="C5" s="60" t="s">
        <v>194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2"/>
    </row>
    <row r="6" spans="1:21" s="35" customFormat="1" x14ac:dyDescent="0.25">
      <c r="B6" s="59"/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5"/>
    </row>
    <row r="7" spans="1:21" ht="16.5" customHeight="1" thickBot="1" x14ac:dyDescent="0.3">
      <c r="C7" s="66" t="s">
        <v>68</v>
      </c>
      <c r="D7" s="67"/>
      <c r="E7" s="67"/>
      <c r="F7" s="67"/>
      <c r="G7" s="67"/>
      <c r="H7" s="67"/>
      <c r="I7" s="5"/>
      <c r="J7" s="66" t="s">
        <v>138</v>
      </c>
      <c r="K7" s="67"/>
      <c r="L7" s="67"/>
      <c r="M7" s="67"/>
      <c r="N7" s="67"/>
      <c r="O7" s="67"/>
      <c r="Q7" s="66" t="s">
        <v>7</v>
      </c>
      <c r="R7" s="67"/>
      <c r="S7" s="68"/>
      <c r="T7" s="36"/>
      <c r="U7" s="6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9"/>
    </row>
    <row r="9" spans="1:21" x14ac:dyDescent="0.25">
      <c r="A9" s="6" t="s">
        <v>35</v>
      </c>
      <c r="B9" s="6" t="s">
        <v>46</v>
      </c>
      <c r="C9" s="15">
        <v>3681.99</v>
      </c>
      <c r="D9" s="16">
        <v>37.9</v>
      </c>
      <c r="E9" s="16">
        <v>39.109000000000002</v>
      </c>
      <c r="F9" s="16">
        <v>41.478999999999999</v>
      </c>
      <c r="G9" s="16">
        <v>1.57</v>
      </c>
      <c r="H9" s="16">
        <f t="shared" ref="H9:H80" si="0">(6*D9+E9+F9)/8</f>
        <v>38.498499999999993</v>
      </c>
      <c r="I9" s="5"/>
      <c r="J9" s="15">
        <v>4098.576</v>
      </c>
      <c r="K9" s="16">
        <v>38.532800000000002</v>
      </c>
      <c r="L9" s="16">
        <v>40.193899999999999</v>
      </c>
      <c r="M9" s="16">
        <v>42.944000000000003</v>
      </c>
      <c r="N9" s="16">
        <v>3.3666999999999998</v>
      </c>
      <c r="O9" s="16">
        <f t="shared" ref="O9:O80" si="1">(6*K9+L9+M9)/8</f>
        <v>39.2918375</v>
      </c>
      <c r="P9" s="7"/>
      <c r="Q9" s="8">
        <f>bdrate(C9:C12,D9:D12,J9:J12,K9:K12)</f>
        <v>-4.638161300888044E-2</v>
      </c>
      <c r="R9" s="8">
        <f>bdrate(C9:C12,E9:E12,J9:J12,L9:L12)</f>
        <v>-0.45957925892906959</v>
      </c>
      <c r="S9" s="8">
        <f>bdrate(C9:C12,F9:F12,J9:J12,M9:M12)</f>
        <v>-0.4536422502705546</v>
      </c>
      <c r="T9" s="25">
        <f>bdrate(C9:C12,H9:H12,J9:J12,O9:O12)</f>
        <v>-0.11906281925876616</v>
      </c>
      <c r="U9" s="28">
        <f t="shared" ref="U9:U72" si="2">(N9-G9)/G9</f>
        <v>1.1443949044585986</v>
      </c>
    </row>
    <row r="10" spans="1:21" x14ac:dyDescent="0.25">
      <c r="A10" s="9" t="s">
        <v>36</v>
      </c>
      <c r="B10" s="9"/>
      <c r="C10" s="17">
        <v>2734.8</v>
      </c>
      <c r="D10" s="18">
        <v>37.006</v>
      </c>
      <c r="E10" s="18">
        <v>38.558999999999997</v>
      </c>
      <c r="F10" s="18">
        <v>40.914999999999999</v>
      </c>
      <c r="G10" s="18">
        <v>1.74</v>
      </c>
      <c r="H10" s="18">
        <f t="shared" si="0"/>
        <v>37.688750000000006</v>
      </c>
      <c r="I10" s="5"/>
      <c r="J10" s="17">
        <v>3023.8</v>
      </c>
      <c r="K10" s="18">
        <v>37.631300000000003</v>
      </c>
      <c r="L10" s="18">
        <v>39.732100000000003</v>
      </c>
      <c r="M10" s="18">
        <v>42.316499999999998</v>
      </c>
      <c r="N10" s="18">
        <v>3.8786999999999998</v>
      </c>
      <c r="O10" s="18">
        <f t="shared" si="1"/>
        <v>38.479550000000003</v>
      </c>
      <c r="P10" s="7"/>
      <c r="Q10" s="10"/>
      <c r="R10" s="11"/>
      <c r="S10" s="11"/>
      <c r="T10" s="26"/>
      <c r="U10" s="28">
        <f t="shared" si="2"/>
        <v>1.2291379310344828</v>
      </c>
    </row>
    <row r="11" spans="1:21" x14ac:dyDescent="0.25">
      <c r="B11" s="9"/>
      <c r="C11" s="17">
        <v>1803.75</v>
      </c>
      <c r="D11" s="18">
        <v>35.786999999999999</v>
      </c>
      <c r="E11" s="18">
        <v>37.902000000000001</v>
      </c>
      <c r="F11" s="18">
        <v>40.243000000000002</v>
      </c>
      <c r="G11" s="18">
        <v>1.96</v>
      </c>
      <c r="H11" s="18">
        <f t="shared" si="0"/>
        <v>36.608374999999995</v>
      </c>
      <c r="I11" s="5"/>
      <c r="J11" s="17">
        <v>1988.6464000000001</v>
      </c>
      <c r="K11" s="18">
        <v>36.2746</v>
      </c>
      <c r="L11" s="18">
        <v>39.093800000000002</v>
      </c>
      <c r="M11" s="18">
        <v>41.531799999999997</v>
      </c>
      <c r="N11" s="18">
        <v>4.718</v>
      </c>
      <c r="O11" s="18">
        <f t="shared" si="1"/>
        <v>37.284149999999997</v>
      </c>
      <c r="P11" s="7"/>
      <c r="Q11" s="10"/>
      <c r="R11" s="11"/>
      <c r="S11" s="11"/>
      <c r="T11" s="26"/>
      <c r="U11" s="28">
        <f t="shared" si="2"/>
        <v>1.4071428571428573</v>
      </c>
    </row>
    <row r="12" spans="1:21" ht="16.5" thickBot="1" x14ac:dyDescent="0.3">
      <c r="B12" s="12"/>
      <c r="C12" s="19">
        <v>869.47</v>
      </c>
      <c r="D12" s="20">
        <v>33.375999999999998</v>
      </c>
      <c r="E12" s="20">
        <v>37.103999999999999</v>
      </c>
      <c r="F12" s="20">
        <v>39.406999999999996</v>
      </c>
      <c r="G12" s="20">
        <v>2.36</v>
      </c>
      <c r="H12" s="20">
        <f t="shared" si="0"/>
        <v>34.595874999999992</v>
      </c>
      <c r="I12" s="5"/>
      <c r="J12" s="19">
        <v>938.66719999999998</v>
      </c>
      <c r="K12" s="20">
        <v>33.577300000000001</v>
      </c>
      <c r="L12" s="20">
        <v>37.751399999999997</v>
      </c>
      <c r="M12" s="20">
        <v>40.023200000000003</v>
      </c>
      <c r="N12" s="20">
        <v>6.2721999999999998</v>
      </c>
      <c r="O12" s="20">
        <f t="shared" si="1"/>
        <v>34.904799999999994</v>
      </c>
      <c r="P12" s="7"/>
      <c r="Q12" s="13"/>
      <c r="R12" s="14"/>
      <c r="S12" s="14"/>
      <c r="T12" s="27"/>
      <c r="U12" s="28">
        <f t="shared" si="2"/>
        <v>1.6577118644067796</v>
      </c>
    </row>
    <row r="13" spans="1:21" x14ac:dyDescent="0.25">
      <c r="B13" s="6" t="s">
        <v>47</v>
      </c>
      <c r="C13" s="15">
        <v>4116.28</v>
      </c>
      <c r="D13" s="16">
        <v>30.449000000000002</v>
      </c>
      <c r="E13" s="16">
        <v>38.643999999999998</v>
      </c>
      <c r="F13" s="16">
        <v>39.862000000000002</v>
      </c>
      <c r="G13" s="16">
        <v>1.02</v>
      </c>
      <c r="H13" s="16">
        <f t="shared" si="0"/>
        <v>32.650000000000006</v>
      </c>
      <c r="I13" s="5"/>
      <c r="J13" s="15">
        <v>4171.6624000000002</v>
      </c>
      <c r="K13" s="16">
        <v>30.087399999999999</v>
      </c>
      <c r="L13" s="16">
        <v>40.8673</v>
      </c>
      <c r="M13" s="16">
        <v>41.661299999999997</v>
      </c>
      <c r="N13" s="16">
        <v>2.5150999999999999</v>
      </c>
      <c r="O13" s="16">
        <f t="shared" si="1"/>
        <v>32.881625</v>
      </c>
      <c r="P13" s="7"/>
      <c r="Q13" s="8">
        <f>bdrate(C13:C16,D13:D16,J13:J16,K13:K16)</f>
        <v>2.5020815446469946E-2</v>
      </c>
      <c r="R13" s="8">
        <f>bdrate(C13:C16,E13:E16,J13:J16,L13:L16)</f>
        <v>-0.63810363992351538</v>
      </c>
      <c r="S13" s="8">
        <f>bdrate(C13:C16,F13:F16,J13:J16,M13:M16)</f>
        <v>-0.61537424664832874</v>
      </c>
      <c r="T13" s="25">
        <f>bdrate(C13:C16,H13:H16,J13:J16,O13:O16)</f>
        <v>-0.10067061425358337</v>
      </c>
      <c r="U13" s="28">
        <f t="shared" si="2"/>
        <v>1.46578431372549</v>
      </c>
    </row>
    <row r="14" spans="1:21" x14ac:dyDescent="0.25">
      <c r="B14" s="9"/>
      <c r="C14" s="17">
        <v>3067.43</v>
      </c>
      <c r="D14" s="18">
        <v>29.042000000000002</v>
      </c>
      <c r="E14" s="18">
        <v>38.011000000000003</v>
      </c>
      <c r="F14" s="18">
        <v>39.305999999999997</v>
      </c>
      <c r="G14" s="18">
        <v>1.1399999999999999</v>
      </c>
      <c r="H14" s="18">
        <f t="shared" si="0"/>
        <v>31.446125000000002</v>
      </c>
      <c r="I14" s="5"/>
      <c r="J14" s="17">
        <v>3137.7328000000002</v>
      </c>
      <c r="K14" s="18">
        <v>28.818000000000001</v>
      </c>
      <c r="L14" s="18">
        <v>40.359499999999997</v>
      </c>
      <c r="M14" s="18">
        <v>41.245899999999999</v>
      </c>
      <c r="N14" s="18">
        <v>2.8330000000000002</v>
      </c>
      <c r="O14" s="18">
        <f t="shared" si="1"/>
        <v>31.814175000000002</v>
      </c>
      <c r="P14" s="7"/>
      <c r="Q14" s="10"/>
      <c r="R14" s="11"/>
      <c r="S14" s="11"/>
      <c r="T14" s="26"/>
      <c r="U14" s="28">
        <f t="shared" si="2"/>
        <v>1.4850877192982459</v>
      </c>
    </row>
    <row r="15" spans="1:21" x14ac:dyDescent="0.25">
      <c r="B15" s="9"/>
      <c r="C15" s="17">
        <v>2038.66</v>
      </c>
      <c r="D15" s="18">
        <v>27.082999999999998</v>
      </c>
      <c r="E15" s="18">
        <v>37.002000000000002</v>
      </c>
      <c r="F15" s="18">
        <v>38.466000000000001</v>
      </c>
      <c r="G15" s="18">
        <v>1.32</v>
      </c>
      <c r="H15" s="18">
        <f t="shared" si="0"/>
        <v>29.745750000000001</v>
      </c>
      <c r="I15" s="5"/>
      <c r="J15" s="17">
        <v>2107.0351999999998</v>
      </c>
      <c r="K15" s="18">
        <v>27.0837</v>
      </c>
      <c r="L15" s="18">
        <v>39.616100000000003</v>
      </c>
      <c r="M15" s="18">
        <v>40.613700000000001</v>
      </c>
      <c r="N15" s="18">
        <v>3.3144999999999998</v>
      </c>
      <c r="O15" s="18">
        <f t="shared" si="1"/>
        <v>30.341500000000003</v>
      </c>
      <c r="P15" s="7"/>
      <c r="Q15" s="10"/>
      <c r="R15" s="11"/>
      <c r="S15" s="11"/>
      <c r="T15" s="26"/>
      <c r="U15" s="28">
        <f t="shared" si="2"/>
        <v>1.5109848484848483</v>
      </c>
    </row>
    <row r="16" spans="1:21" ht="16.5" thickBot="1" x14ac:dyDescent="0.3">
      <c r="B16" s="12"/>
      <c r="C16" s="19">
        <v>1647.37</v>
      </c>
      <c r="D16" s="20">
        <v>25.181000000000001</v>
      </c>
      <c r="E16" s="20">
        <v>35.625</v>
      </c>
      <c r="F16" s="20">
        <v>37.234999999999999</v>
      </c>
      <c r="G16" s="20">
        <v>2.0699999999999998</v>
      </c>
      <c r="H16" s="20">
        <f t="shared" si="0"/>
        <v>27.993250000000003</v>
      </c>
      <c r="I16" s="5"/>
      <c r="J16" s="19">
        <v>1377.5232000000001</v>
      </c>
      <c r="K16" s="20">
        <v>25.677199999999999</v>
      </c>
      <c r="L16" s="20">
        <v>38.4358</v>
      </c>
      <c r="M16" s="20">
        <v>39.520800000000001</v>
      </c>
      <c r="N16" s="20">
        <v>3.6366000000000001</v>
      </c>
      <c r="O16" s="20">
        <f t="shared" si="1"/>
        <v>29.002475</v>
      </c>
      <c r="P16" s="7"/>
      <c r="Q16" s="13"/>
      <c r="R16" s="14"/>
      <c r="S16" s="14"/>
      <c r="T16" s="27"/>
      <c r="U16" s="28">
        <f t="shared" si="2"/>
        <v>0.75681159420289867</v>
      </c>
    </row>
    <row r="17" spans="1:21" x14ac:dyDescent="0.25">
      <c r="A17" s="6" t="s">
        <v>37</v>
      </c>
      <c r="B17" s="6" t="s">
        <v>48</v>
      </c>
      <c r="C17" s="15">
        <v>2025.01</v>
      </c>
      <c r="D17" s="16">
        <v>39.439</v>
      </c>
      <c r="E17" s="16">
        <v>41.691000000000003</v>
      </c>
      <c r="F17" s="16">
        <v>42.945999999999998</v>
      </c>
      <c r="G17" s="16">
        <v>1.68</v>
      </c>
      <c r="H17" s="16">
        <f t="shared" si="0"/>
        <v>40.158875000000009</v>
      </c>
      <c r="I17" s="5"/>
      <c r="J17" s="15">
        <v>2378.8096</v>
      </c>
      <c r="K17" s="16">
        <v>39.498899999999999</v>
      </c>
      <c r="L17" s="16">
        <v>42.385599999999997</v>
      </c>
      <c r="M17" s="16">
        <v>44.088000000000001</v>
      </c>
      <c r="N17" s="16">
        <v>5.7127999999999997</v>
      </c>
      <c r="O17" s="16">
        <f t="shared" si="1"/>
        <v>40.433375000000005</v>
      </c>
      <c r="P17" s="7"/>
      <c r="Q17" s="8">
        <f>bdrate(C17:C20,D17:D20,J17:J20,K17:K20)</f>
        <v>8.3496190630581779E-2</v>
      </c>
      <c r="R17" s="8">
        <f>bdrate(C17:C20,E17:E20,J17:J20,L17:L20)</f>
        <v>-0.38554128257434284</v>
      </c>
      <c r="S17" s="8">
        <f>bdrate(C17:C20,F17:F20,J17:J20,M17:M20)</f>
        <v>-0.41554129160149134</v>
      </c>
      <c r="T17" s="25">
        <f>bdrate(C17:C20,H17:H20,J17:J20,O17:O20)</f>
        <v>-1.2034981848956239E-2</v>
      </c>
      <c r="U17" s="28">
        <f t="shared" si="2"/>
        <v>2.4004761904761907</v>
      </c>
    </row>
    <row r="18" spans="1:21" x14ac:dyDescent="0.25">
      <c r="A18" s="9" t="s">
        <v>38</v>
      </c>
      <c r="B18" s="9"/>
      <c r="C18" s="17">
        <v>1326.5</v>
      </c>
      <c r="D18" s="18">
        <v>38.134</v>
      </c>
      <c r="E18" s="18">
        <v>40.802</v>
      </c>
      <c r="F18" s="18">
        <v>42.012</v>
      </c>
      <c r="G18" s="18">
        <v>1.98</v>
      </c>
      <c r="H18" s="18">
        <f t="shared" si="0"/>
        <v>38.952249999999999</v>
      </c>
      <c r="I18" s="5"/>
      <c r="J18" s="17">
        <v>1577.6559999999999</v>
      </c>
      <c r="K18" s="18">
        <v>38.3551</v>
      </c>
      <c r="L18" s="18">
        <v>41.832700000000003</v>
      </c>
      <c r="M18" s="18">
        <v>43.311</v>
      </c>
      <c r="N18" s="18">
        <v>6.8163999999999998</v>
      </c>
      <c r="O18" s="18">
        <f t="shared" si="1"/>
        <v>39.409287499999998</v>
      </c>
      <c r="P18" s="7"/>
      <c r="Q18" s="10"/>
      <c r="R18" s="11"/>
      <c r="S18" s="11"/>
      <c r="T18" s="26"/>
      <c r="U18" s="28">
        <f t="shared" si="2"/>
        <v>2.4426262626262623</v>
      </c>
    </row>
    <row r="19" spans="1:21" x14ac:dyDescent="0.25">
      <c r="B19" s="9"/>
      <c r="C19" s="17">
        <v>816.01</v>
      </c>
      <c r="D19" s="18">
        <v>36.472000000000001</v>
      </c>
      <c r="E19" s="18">
        <v>39.860999999999997</v>
      </c>
      <c r="F19" s="18">
        <v>41.122999999999998</v>
      </c>
      <c r="G19" s="18">
        <v>2.37</v>
      </c>
      <c r="H19" s="18">
        <f t="shared" si="0"/>
        <v>37.476999999999997</v>
      </c>
      <c r="I19" s="5"/>
      <c r="J19" s="17">
        <v>975.93759999999997</v>
      </c>
      <c r="K19" s="18">
        <v>36.856499999999997</v>
      </c>
      <c r="L19" s="18">
        <v>41.123699999999999</v>
      </c>
      <c r="M19" s="18">
        <v>42.4313</v>
      </c>
      <c r="N19" s="18">
        <v>8.3338999999999999</v>
      </c>
      <c r="O19" s="18">
        <f t="shared" si="1"/>
        <v>38.086750000000002</v>
      </c>
      <c r="P19" s="7"/>
      <c r="Q19" s="10"/>
      <c r="R19" s="11"/>
      <c r="S19" s="11"/>
      <c r="T19" s="26"/>
      <c r="U19" s="28">
        <f t="shared" si="2"/>
        <v>2.5164135021097045</v>
      </c>
    </row>
    <row r="20" spans="1:21" ht="16.5" thickBot="1" x14ac:dyDescent="0.3">
      <c r="B20" s="12"/>
      <c r="C20" s="19">
        <v>482.85</v>
      </c>
      <c r="D20" s="20">
        <v>34.576999999999998</v>
      </c>
      <c r="E20" s="20">
        <v>38.857999999999997</v>
      </c>
      <c r="F20" s="20">
        <v>40.329000000000001</v>
      </c>
      <c r="G20" s="20">
        <v>2.84</v>
      </c>
      <c r="H20" s="20">
        <f t="shared" si="0"/>
        <v>35.831125</v>
      </c>
      <c r="I20" s="5"/>
      <c r="J20" s="19">
        <v>571.42639999999994</v>
      </c>
      <c r="K20" s="20">
        <v>35.079900000000002</v>
      </c>
      <c r="L20" s="20">
        <v>40.4161</v>
      </c>
      <c r="M20" s="20">
        <v>41.664400000000001</v>
      </c>
      <c r="N20" s="20">
        <v>10.297800000000001</v>
      </c>
      <c r="O20" s="20">
        <f t="shared" si="1"/>
        <v>36.569987499999996</v>
      </c>
      <c r="P20" s="7"/>
      <c r="Q20" s="13"/>
      <c r="R20" s="14"/>
      <c r="S20" s="14"/>
      <c r="T20" s="27"/>
      <c r="U20" s="28">
        <f t="shared" si="2"/>
        <v>2.6259859154929579</v>
      </c>
    </row>
    <row r="21" spans="1:21" x14ac:dyDescent="0.25">
      <c r="B21" s="6" t="s">
        <v>49</v>
      </c>
      <c r="C21" s="15">
        <v>2253.11</v>
      </c>
      <c r="D21" s="16">
        <v>36.353999999999999</v>
      </c>
      <c r="E21" s="16">
        <v>39.499000000000002</v>
      </c>
      <c r="F21" s="16">
        <v>40.527000000000001</v>
      </c>
      <c r="G21" s="16">
        <v>2.41</v>
      </c>
      <c r="H21" s="16">
        <f t="shared" si="0"/>
        <v>37.268749999999997</v>
      </c>
      <c r="I21" s="5"/>
      <c r="J21" s="15">
        <v>2538.3440000000001</v>
      </c>
      <c r="K21" s="16">
        <v>36.656199999999998</v>
      </c>
      <c r="L21" s="16">
        <v>40.796399999999998</v>
      </c>
      <c r="M21" s="16">
        <v>42.105200000000004</v>
      </c>
      <c r="N21" s="16">
        <v>5.3087</v>
      </c>
      <c r="O21" s="16">
        <f t="shared" si="1"/>
        <v>37.854849999999999</v>
      </c>
      <c r="P21" s="7"/>
      <c r="Q21" s="8">
        <f>bdrate(C21:C24,D21:D24,J21:J24,K21:K24)</f>
        <v>-3.567288739041663E-3</v>
      </c>
      <c r="R21" s="8">
        <f>bdrate(C21:C24,E21:E24,J21:J24,L21:L24)</f>
        <v>-0.4687138461088215</v>
      </c>
      <c r="S21" s="8">
        <f>bdrate(C21:C24,F21:F24,J21:J24,M21:M24)</f>
        <v>-0.50399858970768074</v>
      </c>
      <c r="T21" s="25">
        <f>bdrate(C21:C24,H21:H24,J21:J24,O21:O24)</f>
        <v>-0.1072052285085151</v>
      </c>
      <c r="U21" s="28">
        <f t="shared" si="2"/>
        <v>1.2027800829875517</v>
      </c>
    </row>
    <row r="22" spans="1:21" x14ac:dyDescent="0.25">
      <c r="B22" s="9"/>
      <c r="C22" s="17">
        <v>1493.57</v>
      </c>
      <c r="D22" s="18">
        <v>35.040999999999997</v>
      </c>
      <c r="E22" s="18">
        <v>38.569000000000003</v>
      </c>
      <c r="F22" s="18">
        <v>39.744999999999997</v>
      </c>
      <c r="G22" s="18">
        <v>2.72</v>
      </c>
      <c r="H22" s="18">
        <f t="shared" si="0"/>
        <v>36.07</v>
      </c>
      <c r="I22" s="5"/>
      <c r="J22" s="17">
        <v>1658.8543999999999</v>
      </c>
      <c r="K22" s="18">
        <v>35.386699999999998</v>
      </c>
      <c r="L22" s="18">
        <v>39.990499999999997</v>
      </c>
      <c r="M22" s="18">
        <v>41.203499999999998</v>
      </c>
      <c r="N22" s="18">
        <v>6.3944000000000001</v>
      </c>
      <c r="O22" s="18">
        <f t="shared" si="1"/>
        <v>36.689275000000002</v>
      </c>
      <c r="P22" s="7"/>
      <c r="Q22" s="10"/>
      <c r="R22" s="11"/>
      <c r="S22" s="11"/>
      <c r="T22" s="26"/>
      <c r="U22" s="28">
        <f t="shared" si="2"/>
        <v>1.3508823529411764</v>
      </c>
    </row>
    <row r="23" spans="1:21" x14ac:dyDescent="0.25">
      <c r="B23" s="9"/>
      <c r="C23" s="17">
        <v>929.08</v>
      </c>
      <c r="D23" s="18">
        <v>33.590000000000003</v>
      </c>
      <c r="E23" s="18">
        <v>37.603999999999999</v>
      </c>
      <c r="F23" s="18">
        <v>39.031999999999996</v>
      </c>
      <c r="G23" s="18">
        <v>3.07</v>
      </c>
      <c r="H23" s="18">
        <f t="shared" si="0"/>
        <v>34.771999999999998</v>
      </c>
      <c r="I23" s="5"/>
      <c r="J23" s="17">
        <v>1028.0791999999999</v>
      </c>
      <c r="K23" s="18">
        <v>33.92</v>
      </c>
      <c r="L23" s="18">
        <v>39.095399999999998</v>
      </c>
      <c r="M23" s="18">
        <v>40.311</v>
      </c>
      <c r="N23" s="18">
        <v>7.9630999999999998</v>
      </c>
      <c r="O23" s="18">
        <f t="shared" si="1"/>
        <v>35.3658</v>
      </c>
      <c r="P23" s="7"/>
      <c r="Q23" s="10"/>
      <c r="R23" s="11"/>
      <c r="S23" s="11"/>
      <c r="T23" s="26"/>
      <c r="U23" s="28">
        <f t="shared" si="2"/>
        <v>1.5938436482084692</v>
      </c>
    </row>
    <row r="24" spans="1:21" ht="16.5" thickBot="1" x14ac:dyDescent="0.3">
      <c r="B24" s="12"/>
      <c r="C24" s="19">
        <v>550.51</v>
      </c>
      <c r="D24" s="20">
        <v>32.021000000000001</v>
      </c>
      <c r="E24" s="20">
        <v>36.704000000000001</v>
      </c>
      <c r="F24" s="20">
        <v>38.454999999999998</v>
      </c>
      <c r="G24" s="20">
        <v>3.47</v>
      </c>
      <c r="H24" s="20">
        <f t="shared" si="0"/>
        <v>33.410625000000003</v>
      </c>
      <c r="I24" s="5"/>
      <c r="J24" s="19">
        <v>614.92560000000003</v>
      </c>
      <c r="K24" s="20">
        <v>32.345399999999998</v>
      </c>
      <c r="L24" s="20">
        <v>38.133499999999998</v>
      </c>
      <c r="M24" s="20">
        <v>39.485500000000002</v>
      </c>
      <c r="N24" s="20">
        <v>9.7990999999999993</v>
      </c>
      <c r="O24" s="20">
        <f t="shared" si="1"/>
        <v>33.961424999999998</v>
      </c>
      <c r="P24" s="7"/>
      <c r="Q24" s="13"/>
      <c r="R24" s="14"/>
      <c r="S24" s="14"/>
      <c r="T24" s="27"/>
      <c r="U24" s="28">
        <f t="shared" si="2"/>
        <v>1.8239481268011521</v>
      </c>
    </row>
    <row r="25" spans="1:21" x14ac:dyDescent="0.25">
      <c r="B25" s="6" t="s">
        <v>50</v>
      </c>
      <c r="C25" s="15">
        <v>2361.08</v>
      </c>
      <c r="D25" s="16">
        <v>34.485999999999997</v>
      </c>
      <c r="E25" s="16">
        <v>37.856999999999999</v>
      </c>
      <c r="F25" s="16">
        <v>39.683999999999997</v>
      </c>
      <c r="G25" s="16">
        <v>2.68</v>
      </c>
      <c r="H25" s="16">
        <f t="shared" si="0"/>
        <v>35.557124999999999</v>
      </c>
      <c r="I25" s="5"/>
      <c r="J25" s="15">
        <v>2411.7936</v>
      </c>
      <c r="K25" s="16">
        <v>34.957700000000003</v>
      </c>
      <c r="L25" s="16">
        <v>38.608899999999998</v>
      </c>
      <c r="M25" s="16">
        <v>41.219200000000001</v>
      </c>
      <c r="N25" s="16">
        <v>7.7102000000000004</v>
      </c>
      <c r="O25" s="16">
        <f t="shared" si="1"/>
        <v>36.196787499999999</v>
      </c>
      <c r="P25" s="7"/>
      <c r="Q25" s="8">
        <f>bdrate(C25:C28,D25:D28,J25:J28,K25:K28)</f>
        <v>-9.4722849974002155E-2</v>
      </c>
      <c r="R25" s="8">
        <f>bdrate(C25:C28,E25:E28,J25:J28,L25:L28)</f>
        <v>-0.56982230061228578</v>
      </c>
      <c r="S25" s="8">
        <f>bdrate(C25:C28,F25:F28,J25:J28,M25:M28)</f>
        <v>-0.53661462119261971</v>
      </c>
      <c r="T25" s="25">
        <f>bdrate(C25:C28,H25:H28,J25:J28,O25:O28)</f>
        <v>-0.18320751271911195</v>
      </c>
      <c r="U25" s="28">
        <f t="shared" si="2"/>
        <v>1.8769402985074628</v>
      </c>
    </row>
    <row r="26" spans="1:21" x14ac:dyDescent="0.25">
      <c r="B26" s="9"/>
      <c r="C26" s="17">
        <v>1565.55</v>
      </c>
      <c r="D26" s="18">
        <v>33.386000000000003</v>
      </c>
      <c r="E26" s="18">
        <v>37.384</v>
      </c>
      <c r="F26" s="18">
        <v>38.890999999999998</v>
      </c>
      <c r="G26" s="18">
        <v>3.17</v>
      </c>
      <c r="H26" s="18">
        <f t="shared" si="0"/>
        <v>34.573875000000008</v>
      </c>
      <c r="I26" s="5"/>
      <c r="J26" s="17">
        <v>1605.2231999999999</v>
      </c>
      <c r="K26" s="18">
        <v>33.844200000000001</v>
      </c>
      <c r="L26" s="18">
        <v>38.2776</v>
      </c>
      <c r="M26" s="18">
        <v>40.438299999999998</v>
      </c>
      <c r="N26" s="18">
        <v>9.3826000000000001</v>
      </c>
      <c r="O26" s="18">
        <f t="shared" si="1"/>
        <v>35.222637500000005</v>
      </c>
      <c r="P26" s="7"/>
      <c r="Q26" s="10"/>
      <c r="R26" s="11"/>
      <c r="S26" s="11"/>
      <c r="T26" s="26"/>
      <c r="U26" s="28">
        <f t="shared" si="2"/>
        <v>1.9598107255520505</v>
      </c>
    </row>
    <row r="27" spans="1:21" x14ac:dyDescent="0.25">
      <c r="B27" s="9"/>
      <c r="C27" s="17">
        <v>971.5</v>
      </c>
      <c r="D27" s="18">
        <v>32.008000000000003</v>
      </c>
      <c r="E27" s="18">
        <v>36.793999999999997</v>
      </c>
      <c r="F27" s="18">
        <v>37.92</v>
      </c>
      <c r="G27" s="18">
        <v>3.6</v>
      </c>
      <c r="H27" s="18">
        <f t="shared" si="0"/>
        <v>33.34525</v>
      </c>
      <c r="I27" s="5"/>
      <c r="J27" s="17">
        <v>999.14800000000002</v>
      </c>
      <c r="K27" s="18">
        <v>32.337600000000002</v>
      </c>
      <c r="L27" s="18">
        <v>37.837600000000002</v>
      </c>
      <c r="M27" s="18">
        <v>39.522399999999998</v>
      </c>
      <c r="N27" s="18">
        <v>11.4062</v>
      </c>
      <c r="O27" s="18">
        <f t="shared" si="1"/>
        <v>33.923200000000001</v>
      </c>
      <c r="P27" s="7"/>
      <c r="Q27" s="10"/>
      <c r="R27" s="11"/>
      <c r="S27" s="11"/>
      <c r="T27" s="26"/>
      <c r="U27" s="28">
        <f t="shared" si="2"/>
        <v>2.1683888888888889</v>
      </c>
    </row>
    <row r="28" spans="1:21" ht="16.5" thickBot="1" x14ac:dyDescent="0.3">
      <c r="B28" s="12"/>
      <c r="C28" s="19">
        <v>565.88</v>
      </c>
      <c r="D28" s="20">
        <v>30.288</v>
      </c>
      <c r="E28" s="20">
        <v>35.920999999999999</v>
      </c>
      <c r="F28" s="20">
        <v>36.509</v>
      </c>
      <c r="G28" s="20">
        <v>4.1500000000000004</v>
      </c>
      <c r="H28" s="20">
        <f t="shared" si="0"/>
        <v>31.769750000000002</v>
      </c>
      <c r="I28" s="5"/>
      <c r="J28" s="19">
        <v>600.43359999999996</v>
      </c>
      <c r="K28" s="20">
        <v>30.688199999999998</v>
      </c>
      <c r="L28" s="20">
        <v>37.225000000000001</v>
      </c>
      <c r="M28" s="20">
        <v>38.504399999999997</v>
      </c>
      <c r="N28" s="20">
        <v>14.132300000000001</v>
      </c>
      <c r="O28" s="20">
        <f t="shared" si="1"/>
        <v>32.482324999999996</v>
      </c>
      <c r="P28" s="7"/>
      <c r="Q28" s="13"/>
      <c r="R28" s="14"/>
      <c r="S28" s="14"/>
      <c r="T28" s="27"/>
      <c r="U28" s="28">
        <f t="shared" si="2"/>
        <v>2.4053734939759037</v>
      </c>
    </row>
    <row r="29" spans="1:21" x14ac:dyDescent="0.25">
      <c r="B29" s="6" t="s">
        <v>51</v>
      </c>
      <c r="C29" s="29">
        <v>2417.4499999999998</v>
      </c>
      <c r="D29" s="30">
        <v>34.701999999999998</v>
      </c>
      <c r="E29" s="30">
        <v>40.073999999999998</v>
      </c>
      <c r="F29" s="30">
        <v>39.747</v>
      </c>
      <c r="G29" s="16">
        <v>2.25</v>
      </c>
      <c r="H29" s="16">
        <f t="shared" si="0"/>
        <v>36.004125000000002</v>
      </c>
      <c r="I29" s="5"/>
      <c r="J29" s="29">
        <v>2455.4</v>
      </c>
      <c r="K29" s="30">
        <v>34.703000000000003</v>
      </c>
      <c r="L29" s="30">
        <v>41.201700000000002</v>
      </c>
      <c r="M29" s="30">
        <v>40.9664</v>
      </c>
      <c r="N29" s="16">
        <v>6.7065999999999999</v>
      </c>
      <c r="O29" s="16">
        <f t="shared" si="1"/>
        <v>36.298262500000007</v>
      </c>
      <c r="P29" s="7"/>
      <c r="Q29" s="8">
        <f>bdrate(C29:C32,D29:D32,J29:J32,K29:K32)</f>
        <v>6.7994793655961061E-3</v>
      </c>
      <c r="R29" s="8">
        <f>bdrate(C29:C32,E29:E32,J29:J32,L29:L32)</f>
        <v>-0.529990198846223</v>
      </c>
      <c r="S29" s="8">
        <f>bdrate(C29:C32,F29:F32,J29:J32,M29:M32)</f>
        <v>-0.46459124682356012</v>
      </c>
      <c r="T29" s="25">
        <f>bdrate(C29:C32,H29:H32,J29:J32,O29:O32)</f>
        <v>-0.10941679024427819</v>
      </c>
      <c r="U29" s="28">
        <f t="shared" si="2"/>
        <v>1.9807111111111111</v>
      </c>
    </row>
    <row r="30" spans="1:21" x14ac:dyDescent="0.25">
      <c r="B30" s="9"/>
      <c r="C30" s="31">
        <v>1604.25</v>
      </c>
      <c r="D30" s="32">
        <v>33.384</v>
      </c>
      <c r="E30" s="32">
        <v>39.304000000000002</v>
      </c>
      <c r="F30" s="32">
        <v>38.616999999999997</v>
      </c>
      <c r="G30" s="18">
        <v>2.52</v>
      </c>
      <c r="H30" s="18">
        <f t="shared" si="0"/>
        <v>34.778125000000003</v>
      </c>
      <c r="I30" s="5"/>
      <c r="J30" s="31">
        <v>1640.3712</v>
      </c>
      <c r="K30" s="32">
        <v>33.424399999999999</v>
      </c>
      <c r="L30" s="32">
        <v>40.572899999999997</v>
      </c>
      <c r="M30" s="32">
        <v>40.101399999999998</v>
      </c>
      <c r="N30" s="18">
        <v>7.8250000000000002</v>
      </c>
      <c r="O30" s="18">
        <f t="shared" si="1"/>
        <v>35.152587500000003</v>
      </c>
      <c r="P30" s="7"/>
      <c r="Q30" s="10"/>
      <c r="R30" s="11"/>
      <c r="S30" s="11"/>
      <c r="T30" s="26"/>
      <c r="U30" s="28">
        <f t="shared" si="2"/>
        <v>2.1051587301587302</v>
      </c>
    </row>
    <row r="31" spans="1:21" x14ac:dyDescent="0.25">
      <c r="B31" s="9"/>
      <c r="C31" s="31">
        <v>994.22</v>
      </c>
      <c r="D31" s="32">
        <v>31.777000000000001</v>
      </c>
      <c r="E31" s="32">
        <v>38.351999999999997</v>
      </c>
      <c r="F31" s="32">
        <v>37.264000000000003</v>
      </c>
      <c r="G31" s="18">
        <v>2.89</v>
      </c>
      <c r="H31" s="18">
        <f t="shared" si="0"/>
        <v>33.284750000000003</v>
      </c>
      <c r="I31" s="5"/>
      <c r="J31" s="31">
        <v>1017.2264</v>
      </c>
      <c r="K31" s="32">
        <v>31.831600000000002</v>
      </c>
      <c r="L31" s="32">
        <v>39.856099999999998</v>
      </c>
      <c r="M31" s="32">
        <v>39.0794</v>
      </c>
      <c r="N31" s="18">
        <v>9.4324999999999992</v>
      </c>
      <c r="O31" s="18">
        <f t="shared" si="1"/>
        <v>33.740637499999998</v>
      </c>
      <c r="P31" s="7"/>
      <c r="Q31" s="10"/>
      <c r="R31" s="11"/>
      <c r="S31" s="11"/>
      <c r="T31" s="26"/>
      <c r="U31" s="28">
        <f t="shared" si="2"/>
        <v>2.2638408304498263</v>
      </c>
    </row>
    <row r="32" spans="1:21" ht="16.5" thickBot="1" x14ac:dyDescent="0.3">
      <c r="B32" s="12"/>
      <c r="C32" s="33">
        <v>592.65</v>
      </c>
      <c r="D32" s="34">
        <v>29.96</v>
      </c>
      <c r="E32" s="34">
        <v>37.012</v>
      </c>
      <c r="F32" s="34">
        <v>35.551000000000002</v>
      </c>
      <c r="G32" s="20">
        <v>3.32</v>
      </c>
      <c r="H32" s="20">
        <f t="shared" si="0"/>
        <v>31.540374999999997</v>
      </c>
      <c r="I32" s="5"/>
      <c r="J32" s="33">
        <v>612.97280000000001</v>
      </c>
      <c r="K32" s="34">
        <v>30.1065</v>
      </c>
      <c r="L32" s="34">
        <v>38.897300000000001</v>
      </c>
      <c r="M32" s="34">
        <v>37.709600000000002</v>
      </c>
      <c r="N32" s="20">
        <v>11.3939</v>
      </c>
      <c r="O32" s="20">
        <f t="shared" si="1"/>
        <v>32.155737500000001</v>
      </c>
      <c r="P32" s="7"/>
      <c r="Q32" s="13"/>
      <c r="R32" s="14"/>
      <c r="S32" s="14"/>
      <c r="T32" s="27"/>
      <c r="U32" s="28">
        <f t="shared" si="2"/>
        <v>2.4318975903614457</v>
      </c>
    </row>
    <row r="33" spans="1:21" x14ac:dyDescent="0.25">
      <c r="B33" s="6" t="s">
        <v>52</v>
      </c>
      <c r="C33" s="15">
        <v>2361.86</v>
      </c>
      <c r="D33" s="16">
        <v>33.790999999999997</v>
      </c>
      <c r="E33" s="16">
        <v>39.396000000000001</v>
      </c>
      <c r="F33" s="16">
        <v>42.01</v>
      </c>
      <c r="G33" s="16">
        <v>3.6</v>
      </c>
      <c r="H33" s="16">
        <f t="shared" si="0"/>
        <v>35.518999999999998</v>
      </c>
      <c r="I33" s="5"/>
      <c r="J33" s="15">
        <v>2401.4295999999999</v>
      </c>
      <c r="K33" s="16">
        <v>34.018599999999999</v>
      </c>
      <c r="L33" s="16">
        <v>40.365699999999997</v>
      </c>
      <c r="M33" s="16">
        <v>42.812199999999997</v>
      </c>
      <c r="N33" s="16">
        <v>7.1529999999999996</v>
      </c>
      <c r="O33" s="16">
        <f t="shared" si="1"/>
        <v>35.911187500000004</v>
      </c>
      <c r="P33" s="7"/>
      <c r="Q33" s="8">
        <f>bdrate(C33:C36,D33:D36,J33:J36,K33:K36)</f>
        <v>-9.7857275264618071E-2</v>
      </c>
      <c r="R33" s="8">
        <f>bdrate(C33:C36,E33:E36,J33:J36,L33:L36)</f>
        <v>-0.50914103732049132</v>
      </c>
      <c r="S33" s="8">
        <f>bdrate(C33:C36,F33:F36,J33:J36,M33:M36)</f>
        <v>-0.45281503293494596</v>
      </c>
      <c r="T33" s="25">
        <f>bdrate(C33:C36,H33:H36,J33:J36,O33:O36)</f>
        <v>-0.16980918469331407</v>
      </c>
      <c r="U33" s="28">
        <f t="shared" si="2"/>
        <v>0.98694444444444429</v>
      </c>
    </row>
    <row r="34" spans="1:21" x14ac:dyDescent="0.25">
      <c r="B34" s="9"/>
      <c r="C34" s="17">
        <v>1552.88</v>
      </c>
      <c r="D34" s="18">
        <v>33.128999999999998</v>
      </c>
      <c r="E34" s="18">
        <v>38.956000000000003</v>
      </c>
      <c r="F34" s="18">
        <v>41.631</v>
      </c>
      <c r="G34" s="18">
        <v>3.98</v>
      </c>
      <c r="H34" s="18">
        <f t="shared" si="0"/>
        <v>34.920124999999999</v>
      </c>
      <c r="I34" s="5"/>
      <c r="J34" s="17">
        <v>1607.8768</v>
      </c>
      <c r="K34" s="18">
        <v>33.403199999999998</v>
      </c>
      <c r="L34" s="18">
        <v>39.943100000000001</v>
      </c>
      <c r="M34" s="18">
        <v>42.424599999999998</v>
      </c>
      <c r="N34" s="18">
        <v>8.6255000000000006</v>
      </c>
      <c r="O34" s="18">
        <f t="shared" si="1"/>
        <v>35.3483625</v>
      </c>
      <c r="P34" s="7"/>
      <c r="Q34" s="10"/>
      <c r="R34" s="11"/>
      <c r="S34" s="11"/>
      <c r="T34" s="26"/>
      <c r="U34" s="28">
        <f t="shared" si="2"/>
        <v>1.1672110552763819</v>
      </c>
    </row>
    <row r="35" spans="1:21" x14ac:dyDescent="0.25">
      <c r="B35" s="9"/>
      <c r="C35" s="17">
        <v>939.62</v>
      </c>
      <c r="D35" s="18">
        <v>32.101999999999997</v>
      </c>
      <c r="E35" s="18">
        <v>38.398000000000003</v>
      </c>
      <c r="F35" s="18">
        <v>41.16</v>
      </c>
      <c r="G35" s="18">
        <v>4.43</v>
      </c>
      <c r="H35" s="18">
        <f t="shared" si="0"/>
        <v>34.021249999999995</v>
      </c>
      <c r="I35" s="5"/>
      <c r="J35" s="17">
        <v>986.59119999999996</v>
      </c>
      <c r="K35" s="18">
        <v>32.433300000000003</v>
      </c>
      <c r="L35" s="18">
        <v>39.249099999999999</v>
      </c>
      <c r="M35" s="18">
        <v>41.798900000000003</v>
      </c>
      <c r="N35" s="18">
        <v>10.5779</v>
      </c>
      <c r="O35" s="18">
        <f t="shared" si="1"/>
        <v>34.455975000000002</v>
      </c>
      <c r="P35" s="7"/>
      <c r="Q35" s="10"/>
      <c r="R35" s="11"/>
      <c r="S35" s="11"/>
      <c r="T35" s="26"/>
      <c r="U35" s="28">
        <f t="shared" si="2"/>
        <v>1.3877878103837473</v>
      </c>
    </row>
    <row r="36" spans="1:21" ht="16.5" thickBot="1" x14ac:dyDescent="0.3">
      <c r="B36" s="12"/>
      <c r="C36" s="19">
        <v>487.4</v>
      </c>
      <c r="D36" s="20">
        <v>29.893999999999998</v>
      </c>
      <c r="E36" s="20">
        <v>37.396000000000001</v>
      </c>
      <c r="F36" s="20">
        <v>40.468000000000004</v>
      </c>
      <c r="G36" s="20">
        <v>4.99</v>
      </c>
      <c r="H36" s="20">
        <f t="shared" si="0"/>
        <v>32.153500000000001</v>
      </c>
      <c r="I36" s="5"/>
      <c r="J36" s="19">
        <v>607.46159999999998</v>
      </c>
      <c r="K36" s="20">
        <v>31.0932</v>
      </c>
      <c r="L36" s="20">
        <v>38.692500000000003</v>
      </c>
      <c r="M36" s="20">
        <v>41.250900000000001</v>
      </c>
      <c r="N36" s="20">
        <v>13.9506</v>
      </c>
      <c r="O36" s="20">
        <f t="shared" si="1"/>
        <v>33.312825000000004</v>
      </c>
      <c r="P36" s="7"/>
      <c r="Q36" s="13"/>
      <c r="R36" s="14"/>
      <c r="S36" s="14"/>
      <c r="T36" s="27"/>
      <c r="U36" s="28">
        <f t="shared" si="2"/>
        <v>1.7957114228456912</v>
      </c>
    </row>
    <row r="37" spans="1:21" x14ac:dyDescent="0.25">
      <c r="A37" s="6" t="s">
        <v>39</v>
      </c>
      <c r="B37" s="6" t="s">
        <v>53</v>
      </c>
      <c r="C37" s="15">
        <v>1223.9000000000001</v>
      </c>
      <c r="D37" s="16">
        <v>35.741</v>
      </c>
      <c r="E37" s="16">
        <v>39.414000000000001</v>
      </c>
      <c r="F37" s="16">
        <v>39.459000000000003</v>
      </c>
      <c r="G37" s="16">
        <v>9.3699999999999992</v>
      </c>
      <c r="H37" s="16">
        <f t="shared" si="0"/>
        <v>36.664875000000002</v>
      </c>
      <c r="I37" s="5"/>
      <c r="J37" s="15">
        <v>1237.4856</v>
      </c>
      <c r="K37" s="16">
        <v>36.6145</v>
      </c>
      <c r="L37" s="16">
        <v>40.960900000000002</v>
      </c>
      <c r="M37" s="16">
        <v>40.953000000000003</v>
      </c>
      <c r="N37" s="16">
        <v>21.8933</v>
      </c>
      <c r="O37" s="16">
        <f t="shared" si="1"/>
        <v>37.700112500000003</v>
      </c>
      <c r="P37" s="7"/>
      <c r="Q37" s="8">
        <f>bdrate(C37:C40,D37:D40,J37:J40,K37:K40)</f>
        <v>-8.7536352374074977E-2</v>
      </c>
      <c r="R37" s="8">
        <f>bdrate(C37:C40,E37:E40,J37:J40,L37:L40)</f>
        <v>-0.41224571503525786</v>
      </c>
      <c r="S37" s="8">
        <f>bdrate(C37:C40,F37:F40,J37:J40,M37:M40)</f>
        <v>-0.33061246307196213</v>
      </c>
      <c r="T37" s="25">
        <f>bdrate(C37:C40,H37:H40,J37:J40,O37:O40)</f>
        <v>-0.15609811734122836</v>
      </c>
      <c r="U37" s="28">
        <f t="shared" si="2"/>
        <v>1.3365314834578443</v>
      </c>
    </row>
    <row r="38" spans="1:21" x14ac:dyDescent="0.25">
      <c r="A38" s="9" t="s">
        <v>40</v>
      </c>
      <c r="B38" s="9"/>
      <c r="C38" s="17">
        <v>819.17</v>
      </c>
      <c r="D38" s="18">
        <v>34.270000000000003</v>
      </c>
      <c r="E38" s="18">
        <v>38.177</v>
      </c>
      <c r="F38" s="18">
        <v>38.183</v>
      </c>
      <c r="G38" s="18">
        <v>10.65</v>
      </c>
      <c r="H38" s="18">
        <f t="shared" si="0"/>
        <v>35.247500000000002</v>
      </c>
      <c r="I38" s="5"/>
      <c r="J38" s="17">
        <v>825.31600000000003</v>
      </c>
      <c r="K38" s="18">
        <v>34.837899999999998</v>
      </c>
      <c r="L38" s="18">
        <v>39.658700000000003</v>
      </c>
      <c r="M38" s="18">
        <v>39.500799999999998</v>
      </c>
      <c r="N38" s="18">
        <v>25.2972</v>
      </c>
      <c r="O38" s="18">
        <f t="shared" si="1"/>
        <v>36.023362500000005</v>
      </c>
      <c r="P38" s="7"/>
      <c r="Q38" s="10"/>
      <c r="R38" s="11"/>
      <c r="S38" s="11"/>
      <c r="T38" s="26"/>
      <c r="U38" s="28">
        <f t="shared" si="2"/>
        <v>1.3753239436619717</v>
      </c>
    </row>
    <row r="39" spans="1:21" x14ac:dyDescent="0.25">
      <c r="B39" s="9"/>
      <c r="C39" s="17">
        <v>507.69</v>
      </c>
      <c r="D39" s="18">
        <v>32.64</v>
      </c>
      <c r="E39" s="18">
        <v>36.890999999999998</v>
      </c>
      <c r="F39" s="18">
        <v>36.817999999999998</v>
      </c>
      <c r="G39" s="18">
        <v>12.54</v>
      </c>
      <c r="H39" s="18">
        <f t="shared" si="0"/>
        <v>33.693624999999997</v>
      </c>
      <c r="I39" s="5"/>
      <c r="J39" s="17">
        <v>516.89679999999998</v>
      </c>
      <c r="K39" s="18">
        <v>32.9527</v>
      </c>
      <c r="L39" s="18">
        <v>38.379199999999997</v>
      </c>
      <c r="M39" s="18">
        <v>38.020499999999998</v>
      </c>
      <c r="N39" s="18">
        <v>30.237100000000002</v>
      </c>
      <c r="O39" s="18">
        <f t="shared" si="1"/>
        <v>34.264487500000001</v>
      </c>
      <c r="P39" s="7"/>
      <c r="Q39" s="10"/>
      <c r="R39" s="11"/>
      <c r="S39" s="11"/>
      <c r="T39" s="26"/>
      <c r="U39" s="28">
        <f t="shared" si="2"/>
        <v>1.4112519936204149</v>
      </c>
    </row>
    <row r="40" spans="1:21" ht="16.5" thickBot="1" x14ac:dyDescent="0.3">
      <c r="B40" s="12"/>
      <c r="C40" s="19">
        <v>302.39</v>
      </c>
      <c r="D40" s="20">
        <v>30.968</v>
      </c>
      <c r="E40" s="20">
        <v>35.655999999999999</v>
      </c>
      <c r="F40" s="20">
        <v>35.229999999999997</v>
      </c>
      <c r="G40" s="20">
        <v>14.86</v>
      </c>
      <c r="H40" s="20">
        <f t="shared" si="0"/>
        <v>32.086750000000002</v>
      </c>
      <c r="I40" s="5"/>
      <c r="J40" s="19">
        <v>309.46719999999999</v>
      </c>
      <c r="K40" s="20">
        <v>31.013400000000001</v>
      </c>
      <c r="L40" s="20">
        <v>37.087299999999999</v>
      </c>
      <c r="M40" s="20">
        <v>36.527900000000002</v>
      </c>
      <c r="N40" s="20">
        <v>37.180199999999999</v>
      </c>
      <c r="O40" s="20">
        <f t="shared" si="1"/>
        <v>32.461950000000002</v>
      </c>
      <c r="P40" s="7"/>
      <c r="Q40" s="13"/>
      <c r="R40" s="14"/>
      <c r="S40" s="14"/>
      <c r="T40" s="27"/>
      <c r="U40" s="28">
        <f t="shared" si="2"/>
        <v>1.5020323014804846</v>
      </c>
    </row>
    <row r="41" spans="1:21" x14ac:dyDescent="0.25">
      <c r="B41" s="6" t="s">
        <v>54</v>
      </c>
      <c r="C41" s="15">
        <v>1227.48</v>
      </c>
      <c r="D41" s="16">
        <v>35.823999999999998</v>
      </c>
      <c r="E41" s="16">
        <v>40.277999999999999</v>
      </c>
      <c r="F41" s="16">
        <v>41.22</v>
      </c>
      <c r="G41" s="16">
        <v>11.85</v>
      </c>
      <c r="H41" s="16">
        <f t="shared" si="0"/>
        <v>37.055250000000001</v>
      </c>
      <c r="I41" s="5"/>
      <c r="J41" s="15">
        <v>1259.4000000000001</v>
      </c>
      <c r="K41" s="16">
        <v>36.253100000000003</v>
      </c>
      <c r="L41" s="16">
        <v>41.761299999999999</v>
      </c>
      <c r="M41" s="16">
        <v>42.774000000000001</v>
      </c>
      <c r="N41" s="16">
        <v>24.561</v>
      </c>
      <c r="O41" s="16">
        <f t="shared" si="1"/>
        <v>37.7567375</v>
      </c>
      <c r="P41" s="7"/>
      <c r="Q41" s="8">
        <f>bdrate(C41:C44,D41:D44,J41:J44,K41:K44)</f>
        <v>-0.1278225153779099</v>
      </c>
      <c r="R41" s="8">
        <f>bdrate(C41:C44,E41:E44,J41:J44,L41:L44)</f>
        <v>-0.49324206556098926</v>
      </c>
      <c r="S41" s="8">
        <f>bdrate(C41:C44,F41:F44,J41:J44,M41:M44)</f>
        <v>-0.46841900521513791</v>
      </c>
      <c r="T41" s="25">
        <f>bdrate(C41:C44,H41:H44,J41:J44,O41:O44)</f>
        <v>-0.20556566723762837</v>
      </c>
      <c r="U41" s="28">
        <f t="shared" si="2"/>
        <v>1.0726582278481014</v>
      </c>
    </row>
    <row r="42" spans="1:21" x14ac:dyDescent="0.25">
      <c r="B42" s="9"/>
      <c r="C42" s="17">
        <v>818.12</v>
      </c>
      <c r="D42" s="18">
        <v>34.207000000000001</v>
      </c>
      <c r="E42" s="18">
        <v>39.18</v>
      </c>
      <c r="F42" s="18">
        <v>40.003999999999998</v>
      </c>
      <c r="G42" s="18">
        <v>13.59</v>
      </c>
      <c r="H42" s="18">
        <f t="shared" si="0"/>
        <v>35.553250000000006</v>
      </c>
      <c r="I42" s="5"/>
      <c r="J42" s="17">
        <v>836.3048</v>
      </c>
      <c r="K42" s="18">
        <v>34.7607</v>
      </c>
      <c r="L42" s="18">
        <v>40.800600000000003</v>
      </c>
      <c r="M42" s="18">
        <v>41.6524</v>
      </c>
      <c r="N42" s="18">
        <v>28.7026</v>
      </c>
      <c r="O42" s="18">
        <f t="shared" si="1"/>
        <v>36.37715</v>
      </c>
      <c r="P42" s="7"/>
      <c r="Q42" s="10"/>
      <c r="R42" s="11"/>
      <c r="S42" s="11"/>
      <c r="T42" s="26"/>
      <c r="U42" s="28">
        <f t="shared" si="2"/>
        <v>1.112038263428992</v>
      </c>
    </row>
    <row r="43" spans="1:21" x14ac:dyDescent="0.25">
      <c r="B43" s="9"/>
      <c r="C43" s="17">
        <v>509.33</v>
      </c>
      <c r="D43" s="18">
        <v>32.243000000000002</v>
      </c>
      <c r="E43" s="18">
        <v>37.86</v>
      </c>
      <c r="F43" s="18">
        <v>38.578000000000003</v>
      </c>
      <c r="G43" s="18">
        <v>15.62</v>
      </c>
      <c r="H43" s="18">
        <f t="shared" si="0"/>
        <v>33.737000000000009</v>
      </c>
      <c r="I43" s="5"/>
      <c r="J43" s="17">
        <v>520.63679999999999</v>
      </c>
      <c r="K43" s="18">
        <v>32.936300000000003</v>
      </c>
      <c r="L43" s="18">
        <v>39.719499999999996</v>
      </c>
      <c r="M43" s="18">
        <v>40.477400000000003</v>
      </c>
      <c r="N43" s="18">
        <v>34.036799999999999</v>
      </c>
      <c r="O43" s="18">
        <f t="shared" si="1"/>
        <v>34.726837500000002</v>
      </c>
      <c r="P43" s="7"/>
      <c r="Q43" s="10"/>
      <c r="R43" s="11"/>
      <c r="S43" s="11"/>
      <c r="T43" s="26"/>
      <c r="U43" s="28">
        <f t="shared" si="2"/>
        <v>1.1790524967989759</v>
      </c>
    </row>
    <row r="44" spans="1:21" ht="16.5" thickBot="1" x14ac:dyDescent="0.3">
      <c r="B44" s="12"/>
      <c r="C44" s="19">
        <v>302.27999999999997</v>
      </c>
      <c r="D44" s="20">
        <v>29.984999999999999</v>
      </c>
      <c r="E44" s="20">
        <v>36.398000000000003</v>
      </c>
      <c r="F44" s="20">
        <v>36.895000000000003</v>
      </c>
      <c r="G44" s="20">
        <v>17.95</v>
      </c>
      <c r="H44" s="20">
        <f t="shared" si="0"/>
        <v>31.650375</v>
      </c>
      <c r="I44" s="5"/>
      <c r="J44" s="19">
        <v>311.94639999999998</v>
      </c>
      <c r="K44" s="20">
        <v>30.8994</v>
      </c>
      <c r="L44" s="20">
        <v>38.648899999999998</v>
      </c>
      <c r="M44" s="20">
        <v>39.282699999999998</v>
      </c>
      <c r="N44" s="20">
        <v>41.805999999999997</v>
      </c>
      <c r="O44" s="20">
        <f t="shared" si="1"/>
        <v>32.915999999999997</v>
      </c>
      <c r="P44" s="7"/>
      <c r="Q44" s="13"/>
      <c r="R44" s="14"/>
      <c r="S44" s="14"/>
      <c r="T44" s="27"/>
      <c r="U44" s="28">
        <f t="shared" si="2"/>
        <v>1.3290250696378829</v>
      </c>
    </row>
    <row r="45" spans="1:21" x14ac:dyDescent="0.25">
      <c r="B45" s="6" t="s">
        <v>55</v>
      </c>
      <c r="C45" s="15">
        <v>1097.44</v>
      </c>
      <c r="D45" s="16">
        <v>30.381</v>
      </c>
      <c r="E45" s="16">
        <v>35.948</v>
      </c>
      <c r="F45" s="16">
        <v>36.698</v>
      </c>
      <c r="G45" s="16">
        <v>11.6</v>
      </c>
      <c r="H45" s="16">
        <f t="shared" si="0"/>
        <v>31.866500000000002</v>
      </c>
      <c r="I45" s="5"/>
      <c r="J45" s="15">
        <v>1238.0032000000001</v>
      </c>
      <c r="K45" s="16">
        <v>31.119700000000002</v>
      </c>
      <c r="L45" s="16">
        <v>37.7027</v>
      </c>
      <c r="M45" s="16">
        <v>38.517299999999999</v>
      </c>
      <c r="N45" s="16">
        <v>20.880299999999998</v>
      </c>
      <c r="O45" s="16">
        <f t="shared" si="1"/>
        <v>32.867274999999999</v>
      </c>
      <c r="P45" s="7"/>
      <c r="Q45" s="8">
        <f>bdrate(C45:C48,D45:D48,J45:J48,K45:K48)</f>
        <v>-0.11983613303427121</v>
      </c>
      <c r="R45" s="8">
        <f>bdrate(C45:C48,E45:E48,J45:J48,L45:L48)</f>
        <v>-0.55724861315229091</v>
      </c>
      <c r="S45" s="8">
        <f>bdrate(C45:C48,F45:F48,J45:J48,M45:M48)</f>
        <v>-0.55087107159146198</v>
      </c>
      <c r="T45" s="25">
        <f>bdrate(C45:C48,H45:H48,J45:J48,O45:O48)</f>
        <v>-0.20789915814801185</v>
      </c>
      <c r="U45" s="28">
        <f t="shared" si="2"/>
        <v>0.80002586206896542</v>
      </c>
    </row>
    <row r="46" spans="1:21" x14ac:dyDescent="0.25">
      <c r="B46" s="9"/>
      <c r="C46" s="17">
        <v>730.25</v>
      </c>
      <c r="D46" s="18">
        <v>28.992999999999999</v>
      </c>
      <c r="E46" s="18">
        <v>35.176000000000002</v>
      </c>
      <c r="F46" s="18">
        <v>35.948999999999998</v>
      </c>
      <c r="G46" s="18">
        <v>12.73</v>
      </c>
      <c r="H46" s="18">
        <f t="shared" si="0"/>
        <v>30.635375000000003</v>
      </c>
      <c r="I46" s="5"/>
      <c r="J46" s="17">
        <v>822.35919999999999</v>
      </c>
      <c r="K46" s="18">
        <v>29.795000000000002</v>
      </c>
      <c r="L46" s="18">
        <v>36.860500000000002</v>
      </c>
      <c r="M46" s="18">
        <v>37.633499999999998</v>
      </c>
      <c r="N46" s="18">
        <v>24.523</v>
      </c>
      <c r="O46" s="18">
        <f t="shared" si="1"/>
        <v>31.658000000000001</v>
      </c>
      <c r="P46" s="7"/>
      <c r="Q46" s="10"/>
      <c r="R46" s="11"/>
      <c r="S46" s="11"/>
      <c r="T46" s="26"/>
      <c r="U46" s="28">
        <f t="shared" si="2"/>
        <v>0.92639434406912791</v>
      </c>
    </row>
    <row r="47" spans="1:21" x14ac:dyDescent="0.25">
      <c r="B47" s="9"/>
      <c r="C47" s="17">
        <v>452.52</v>
      </c>
      <c r="D47" s="18">
        <v>27.503</v>
      </c>
      <c r="E47" s="18">
        <v>34.387999999999998</v>
      </c>
      <c r="F47" s="18">
        <v>35.195999999999998</v>
      </c>
      <c r="G47" s="18">
        <v>15.37</v>
      </c>
      <c r="H47" s="18">
        <f t="shared" si="0"/>
        <v>29.32525</v>
      </c>
      <c r="I47" s="5"/>
      <c r="J47" s="17">
        <v>515.64</v>
      </c>
      <c r="K47" s="18">
        <v>28.2944</v>
      </c>
      <c r="L47" s="18">
        <v>35.997700000000002</v>
      </c>
      <c r="M47" s="18">
        <v>36.771599999999999</v>
      </c>
      <c r="N47" s="18">
        <v>29.6754</v>
      </c>
      <c r="O47" s="18">
        <f t="shared" si="1"/>
        <v>30.316962500000002</v>
      </c>
      <c r="P47" s="7"/>
      <c r="Q47" s="10"/>
      <c r="R47" s="11"/>
      <c r="S47" s="11"/>
      <c r="T47" s="26"/>
      <c r="U47" s="28">
        <f t="shared" si="2"/>
        <v>0.93073519843851671</v>
      </c>
    </row>
    <row r="48" spans="1:21" ht="16.5" thickBot="1" x14ac:dyDescent="0.3">
      <c r="B48" s="12"/>
      <c r="C48" s="19">
        <v>257.54000000000002</v>
      </c>
      <c r="D48" s="20">
        <v>25.706</v>
      </c>
      <c r="E48" s="20">
        <v>33.283999999999999</v>
      </c>
      <c r="F48" s="20">
        <v>34.116</v>
      </c>
      <c r="G48" s="20">
        <v>18.16</v>
      </c>
      <c r="H48" s="20">
        <f t="shared" si="0"/>
        <v>27.704499999999996</v>
      </c>
      <c r="I48" s="5"/>
      <c r="J48" s="19">
        <v>308.71280000000002</v>
      </c>
      <c r="K48" s="20">
        <v>26.776800000000001</v>
      </c>
      <c r="L48" s="20">
        <v>35.143999999999998</v>
      </c>
      <c r="M48" s="20">
        <v>35.8324</v>
      </c>
      <c r="N48" s="20">
        <v>37.0124</v>
      </c>
      <c r="O48" s="20">
        <f t="shared" si="1"/>
        <v>28.954650000000001</v>
      </c>
      <c r="P48" s="7"/>
      <c r="Q48" s="13"/>
      <c r="R48" s="14"/>
      <c r="S48" s="14"/>
      <c r="T48" s="27"/>
      <c r="U48" s="28">
        <f t="shared" si="2"/>
        <v>1.0381277533039648</v>
      </c>
    </row>
    <row r="49" spans="1:21" x14ac:dyDescent="0.25">
      <c r="B49" s="6" t="s">
        <v>56</v>
      </c>
      <c r="C49" s="15">
        <v>1108.78</v>
      </c>
      <c r="D49" s="16">
        <v>33.347000000000001</v>
      </c>
      <c r="E49" s="16">
        <v>37.029000000000003</v>
      </c>
      <c r="F49" s="16">
        <v>38.753999999999998</v>
      </c>
      <c r="G49" s="16">
        <v>6.83</v>
      </c>
      <c r="H49" s="16">
        <f t="shared" si="0"/>
        <v>34.483125000000001</v>
      </c>
      <c r="I49" s="5"/>
      <c r="J49" s="15">
        <v>1227.816</v>
      </c>
      <c r="K49" s="16">
        <v>33.216099999999997</v>
      </c>
      <c r="L49" s="16">
        <v>37.917200000000001</v>
      </c>
      <c r="M49" s="16">
        <v>39.512799999999999</v>
      </c>
      <c r="N49" s="16">
        <v>15.866300000000001</v>
      </c>
      <c r="O49" s="16">
        <f t="shared" si="1"/>
        <v>34.590824999999995</v>
      </c>
      <c r="P49" s="7"/>
      <c r="Q49" s="8">
        <f>bdrate(C49:C52,D49:D52,J49:J52,K49:K52)</f>
        <v>0.14844602013282571</v>
      </c>
      <c r="R49" s="8">
        <f>bdrate(C49:C52,E49:E52,J49:J52,L49:L52)</f>
        <v>-0.3467578462594173</v>
      </c>
      <c r="S49" s="8">
        <f>bdrate(C49:C52,F49:F52,J49:J52,M49:M52)</f>
        <v>-0.32238499663812981</v>
      </c>
      <c r="T49" s="25">
        <f>bdrate(C49:C52,H49:H52,J49:J52,O49:O52)</f>
        <v>4.7397786810691844E-2</v>
      </c>
      <c r="U49" s="28">
        <f t="shared" si="2"/>
        <v>1.3230307467057101</v>
      </c>
    </row>
    <row r="50" spans="1:21" x14ac:dyDescent="0.25">
      <c r="B50" s="9"/>
      <c r="C50" s="17">
        <v>747.24</v>
      </c>
      <c r="D50" s="18">
        <v>31.890999999999998</v>
      </c>
      <c r="E50" s="18">
        <v>36.06</v>
      </c>
      <c r="F50" s="18">
        <v>37.768000000000001</v>
      </c>
      <c r="G50" s="18">
        <v>7.8</v>
      </c>
      <c r="H50" s="18">
        <f t="shared" si="0"/>
        <v>33.146749999999997</v>
      </c>
      <c r="I50" s="5"/>
      <c r="J50" s="17">
        <v>819.28719999999998</v>
      </c>
      <c r="K50" s="18">
        <v>31.711400000000001</v>
      </c>
      <c r="L50" s="18">
        <v>37.003300000000003</v>
      </c>
      <c r="M50" s="18">
        <v>38.659300000000002</v>
      </c>
      <c r="N50" s="18">
        <v>18.090800000000002</v>
      </c>
      <c r="O50" s="18">
        <f t="shared" si="1"/>
        <v>33.241375000000005</v>
      </c>
      <c r="P50" s="7"/>
      <c r="Q50" s="10"/>
      <c r="R50" s="11"/>
      <c r="S50" s="11"/>
      <c r="T50" s="26"/>
      <c r="U50" s="28">
        <f t="shared" si="2"/>
        <v>1.3193333333333335</v>
      </c>
    </row>
    <row r="51" spans="1:21" x14ac:dyDescent="0.25">
      <c r="B51" s="9"/>
      <c r="C51" s="17">
        <v>475.64</v>
      </c>
      <c r="D51" s="18">
        <v>30.283999999999999</v>
      </c>
      <c r="E51" s="18">
        <v>35.064</v>
      </c>
      <c r="F51" s="18">
        <v>36.741999999999997</v>
      </c>
      <c r="G51" s="18">
        <v>8.9600000000000009</v>
      </c>
      <c r="H51" s="18">
        <f t="shared" si="0"/>
        <v>31.688749999999999</v>
      </c>
      <c r="I51" s="5"/>
      <c r="J51" s="17">
        <v>516.88239999999996</v>
      </c>
      <c r="K51" s="18">
        <v>30.078900000000001</v>
      </c>
      <c r="L51" s="18">
        <v>36.205399999999997</v>
      </c>
      <c r="M51" s="18">
        <v>37.832799999999999</v>
      </c>
      <c r="N51" s="18">
        <v>21.318899999999999</v>
      </c>
      <c r="O51" s="18">
        <f t="shared" si="1"/>
        <v>31.813949999999998</v>
      </c>
      <c r="P51" s="7"/>
      <c r="Q51" s="10"/>
      <c r="R51" s="11"/>
      <c r="S51" s="11"/>
      <c r="T51" s="26"/>
      <c r="U51" s="28">
        <f t="shared" si="2"/>
        <v>1.3793415178571427</v>
      </c>
    </row>
    <row r="52" spans="1:21" ht="16.5" thickBot="1" x14ac:dyDescent="0.3">
      <c r="B52" s="12"/>
      <c r="C52" s="19">
        <v>288.93</v>
      </c>
      <c r="D52" s="20">
        <v>28.61</v>
      </c>
      <c r="E52" s="20">
        <v>33.914000000000001</v>
      </c>
      <c r="F52" s="20">
        <v>35.482999999999997</v>
      </c>
      <c r="G52" s="20">
        <v>10.61</v>
      </c>
      <c r="H52" s="20">
        <f t="shared" si="0"/>
        <v>30.132125000000002</v>
      </c>
      <c r="I52" s="5"/>
      <c r="J52" s="19">
        <v>310.00560000000002</v>
      </c>
      <c r="K52" s="20">
        <v>28.474499999999999</v>
      </c>
      <c r="L52" s="20">
        <v>35.3125</v>
      </c>
      <c r="M52" s="20">
        <v>36.9786</v>
      </c>
      <c r="N52" s="20">
        <v>25.438800000000001</v>
      </c>
      <c r="O52" s="20">
        <f t="shared" si="1"/>
        <v>30.392262499999998</v>
      </c>
      <c r="P52" s="7"/>
      <c r="Q52" s="13"/>
      <c r="R52" s="14"/>
      <c r="S52" s="14"/>
      <c r="T52" s="27"/>
      <c r="U52" s="28">
        <f t="shared" si="2"/>
        <v>1.3976248821866166</v>
      </c>
    </row>
    <row r="53" spans="1:21" x14ac:dyDescent="0.25">
      <c r="A53" s="6" t="s">
        <v>41</v>
      </c>
      <c r="B53" s="6" t="s">
        <v>57</v>
      </c>
      <c r="C53" s="15">
        <v>640.53</v>
      </c>
      <c r="D53" s="16">
        <v>35.719000000000001</v>
      </c>
      <c r="E53" s="16">
        <v>40.11</v>
      </c>
      <c r="F53" s="16">
        <v>38.893000000000001</v>
      </c>
      <c r="G53" s="16">
        <v>28.36</v>
      </c>
      <c r="H53" s="16">
        <f t="shared" si="0"/>
        <v>36.664625000000001</v>
      </c>
      <c r="I53" s="5"/>
      <c r="J53" s="15">
        <v>608.41840000000002</v>
      </c>
      <c r="K53" s="16">
        <v>35.314900000000002</v>
      </c>
      <c r="L53" s="16">
        <v>40.965000000000003</v>
      </c>
      <c r="M53" s="16">
        <v>39.4071</v>
      </c>
      <c r="N53" s="16">
        <v>69.521699999999996</v>
      </c>
      <c r="O53" s="16">
        <f t="shared" si="1"/>
        <v>36.532687500000002</v>
      </c>
      <c r="P53" s="7"/>
      <c r="Q53" s="8">
        <f>bdrate(C53:C56,D53:D56,J53:J56,K53:K56)</f>
        <v>6.2060504537865047E-2</v>
      </c>
      <c r="R53" s="8">
        <f>bdrate(C53:C56,E53:E56,J53:J56,L53:L56)</f>
        <v>-0.37451623521012478</v>
      </c>
      <c r="S53" s="8">
        <f>bdrate(C53:C56,F53:F56,J53:J56,M53:M56)</f>
        <v>-0.2888770210508651</v>
      </c>
      <c r="T53" s="25">
        <f>bdrate(C53:C56,H53:H56,J53:J56,O53:O56)</f>
        <v>-2.7529596883390406E-2</v>
      </c>
      <c r="U53" s="28">
        <f t="shared" si="2"/>
        <v>1.4513998589562764</v>
      </c>
    </row>
    <row r="54" spans="1:21" x14ac:dyDescent="0.25">
      <c r="A54" s="9" t="s">
        <v>42</v>
      </c>
      <c r="B54" s="9"/>
      <c r="C54" s="17">
        <v>426.22</v>
      </c>
      <c r="D54" s="18">
        <v>33.844999999999999</v>
      </c>
      <c r="E54" s="18">
        <v>38.826999999999998</v>
      </c>
      <c r="F54" s="18">
        <v>37.384</v>
      </c>
      <c r="G54" s="18">
        <v>32.67</v>
      </c>
      <c r="H54" s="18">
        <f t="shared" si="0"/>
        <v>34.910125000000001</v>
      </c>
      <c r="I54" s="5"/>
      <c r="J54" s="17">
        <v>408.76799999999997</v>
      </c>
      <c r="K54" s="18">
        <v>33.464599999999997</v>
      </c>
      <c r="L54" s="18">
        <v>39.836100000000002</v>
      </c>
      <c r="M54" s="18">
        <v>38.139200000000002</v>
      </c>
      <c r="N54" s="18">
        <v>80.945400000000006</v>
      </c>
      <c r="O54" s="18">
        <f t="shared" si="1"/>
        <v>34.8453625</v>
      </c>
      <c r="P54" s="7"/>
      <c r="Q54" s="10"/>
      <c r="R54" s="11"/>
      <c r="S54" s="11"/>
      <c r="T54" s="26"/>
      <c r="U54" s="28">
        <f t="shared" si="2"/>
        <v>1.4776675849403123</v>
      </c>
    </row>
    <row r="55" spans="1:21" x14ac:dyDescent="0.25">
      <c r="B55" s="9"/>
      <c r="C55" s="17">
        <v>266.5</v>
      </c>
      <c r="D55" s="18">
        <v>31.875</v>
      </c>
      <c r="E55" s="18">
        <v>37.536999999999999</v>
      </c>
      <c r="F55" s="18">
        <v>35.857999999999997</v>
      </c>
      <c r="G55" s="18">
        <v>38.07</v>
      </c>
      <c r="H55" s="18">
        <f t="shared" si="0"/>
        <v>33.080624999999998</v>
      </c>
      <c r="I55" s="5"/>
      <c r="J55" s="17">
        <v>254.75919999999999</v>
      </c>
      <c r="K55" s="18">
        <v>31.4361</v>
      </c>
      <c r="L55" s="18">
        <v>38.677700000000002</v>
      </c>
      <c r="M55" s="18">
        <v>36.8232</v>
      </c>
      <c r="N55" s="18">
        <v>95.969300000000004</v>
      </c>
      <c r="O55" s="18">
        <f t="shared" si="1"/>
        <v>33.014687500000001</v>
      </c>
      <c r="P55" s="7"/>
      <c r="Q55" s="10"/>
      <c r="R55" s="11"/>
      <c r="S55" s="11"/>
      <c r="T55" s="26"/>
      <c r="U55" s="28">
        <f t="shared" si="2"/>
        <v>1.5208641975308643</v>
      </c>
    </row>
    <row r="56" spans="1:21" ht="16.5" thickBot="1" x14ac:dyDescent="0.3">
      <c r="B56" s="12"/>
      <c r="C56" s="19">
        <v>127.14</v>
      </c>
      <c r="D56" s="20">
        <v>29.082999999999998</v>
      </c>
      <c r="E56" s="20">
        <v>35.545000000000002</v>
      </c>
      <c r="F56" s="20">
        <v>33.433999999999997</v>
      </c>
      <c r="G56" s="20">
        <v>49.38</v>
      </c>
      <c r="H56" s="20">
        <f t="shared" si="0"/>
        <v>30.434625</v>
      </c>
      <c r="I56" s="5"/>
      <c r="J56" s="19">
        <v>123.5376</v>
      </c>
      <c r="K56" s="20">
        <v>28.6004</v>
      </c>
      <c r="L56" s="20">
        <v>37.095999999999997</v>
      </c>
      <c r="M56" s="20">
        <v>34.984999999999999</v>
      </c>
      <c r="N56" s="20">
        <v>129.23240000000001</v>
      </c>
      <c r="O56" s="20">
        <f t="shared" si="1"/>
        <v>30.460425000000001</v>
      </c>
      <c r="P56" s="7"/>
      <c r="Q56" s="13"/>
      <c r="R56" s="14"/>
      <c r="S56" s="14"/>
      <c r="T56" s="27"/>
      <c r="U56" s="28">
        <f t="shared" si="2"/>
        <v>1.6171000405022278</v>
      </c>
    </row>
    <row r="57" spans="1:21" x14ac:dyDescent="0.25">
      <c r="B57" s="6" t="s">
        <v>58</v>
      </c>
      <c r="C57" s="15">
        <v>552.27</v>
      </c>
      <c r="D57" s="16">
        <v>33.418999999999997</v>
      </c>
      <c r="E57" s="16">
        <v>40.185000000000002</v>
      </c>
      <c r="F57" s="16">
        <v>41.088000000000001</v>
      </c>
      <c r="G57" s="16">
        <v>48.02</v>
      </c>
      <c r="H57" s="16">
        <f t="shared" si="0"/>
        <v>35.223374999999997</v>
      </c>
      <c r="I57" s="5"/>
      <c r="J57" s="15">
        <v>619.16</v>
      </c>
      <c r="K57" s="16">
        <v>34.287799999999997</v>
      </c>
      <c r="L57" s="16">
        <v>42.031399999999998</v>
      </c>
      <c r="M57" s="16">
        <v>43.020600000000002</v>
      </c>
      <c r="N57" s="16">
        <v>77.700100000000006</v>
      </c>
      <c r="O57" s="16">
        <f t="shared" si="1"/>
        <v>36.347349999999992</v>
      </c>
      <c r="P57" s="7"/>
      <c r="Q57" s="8">
        <f>bdrate(C57:C60,D57:D60,J57:J60,K57:K60)</f>
        <v>-0.14346502681294548</v>
      </c>
      <c r="R57" s="8">
        <f>bdrate(C57:C60,E57:E60,J57:J60,L57:L60)</f>
        <v>-0.53060526007576092</v>
      </c>
      <c r="S57" s="8">
        <f>bdrate(C57:C60,F57:F60,J57:J60,M57:M60)</f>
        <v>-0.52047911214879761</v>
      </c>
      <c r="T57" s="25">
        <f>bdrate(C57:C60,H57:H60,J57:J60,O57:O60)</f>
        <v>-0.216025205945784</v>
      </c>
      <c r="U57" s="28">
        <f t="shared" si="2"/>
        <v>0.6180778842149105</v>
      </c>
    </row>
    <row r="58" spans="1:21" x14ac:dyDescent="0.25">
      <c r="B58" s="9"/>
      <c r="C58" s="17">
        <v>363.71</v>
      </c>
      <c r="D58" s="18">
        <v>32.055</v>
      </c>
      <c r="E58" s="18">
        <v>39.484999999999999</v>
      </c>
      <c r="F58" s="18">
        <v>40.356999999999999</v>
      </c>
      <c r="G58" s="18">
        <v>54.79</v>
      </c>
      <c r="H58" s="18">
        <f t="shared" si="0"/>
        <v>34.021500000000003</v>
      </c>
      <c r="I58" s="5"/>
      <c r="J58" s="17">
        <v>409.83359999999999</v>
      </c>
      <c r="K58" s="18">
        <v>32.936700000000002</v>
      </c>
      <c r="L58" s="18">
        <v>41.271799999999999</v>
      </c>
      <c r="M58" s="18">
        <v>42.1404</v>
      </c>
      <c r="N58" s="18">
        <v>94.043899999999994</v>
      </c>
      <c r="O58" s="18">
        <f t="shared" si="1"/>
        <v>35.129049999999999</v>
      </c>
      <c r="P58" s="7"/>
      <c r="Q58" s="10"/>
      <c r="R58" s="11"/>
      <c r="S58" s="11"/>
      <c r="T58" s="26"/>
      <c r="U58" s="28">
        <f t="shared" si="2"/>
        <v>0.71644278152947605</v>
      </c>
    </row>
    <row r="59" spans="1:21" x14ac:dyDescent="0.25">
      <c r="B59" s="9"/>
      <c r="C59" s="17">
        <v>225.15</v>
      </c>
      <c r="D59" s="18">
        <v>30.507999999999999</v>
      </c>
      <c r="E59" s="18">
        <v>38.781999999999996</v>
      </c>
      <c r="F59" s="18">
        <v>39.597999999999999</v>
      </c>
      <c r="G59" s="18">
        <v>62.43</v>
      </c>
      <c r="H59" s="18">
        <f t="shared" si="0"/>
        <v>32.6785</v>
      </c>
      <c r="I59" s="5"/>
      <c r="J59" s="17">
        <v>254.7824</v>
      </c>
      <c r="K59" s="18">
        <v>31.414999999999999</v>
      </c>
      <c r="L59" s="18">
        <v>40.181800000000003</v>
      </c>
      <c r="M59" s="18">
        <v>41.088200000000001</v>
      </c>
      <c r="N59" s="18">
        <v>115.4957</v>
      </c>
      <c r="O59" s="18">
        <f t="shared" si="1"/>
        <v>33.72</v>
      </c>
      <c r="P59" s="7"/>
      <c r="Q59" s="10"/>
      <c r="R59" s="11"/>
      <c r="S59" s="11"/>
      <c r="T59" s="26"/>
      <c r="U59" s="28">
        <f t="shared" si="2"/>
        <v>0.85000320358801862</v>
      </c>
    </row>
    <row r="60" spans="1:21" ht="16.5" thickBot="1" x14ac:dyDescent="0.3">
      <c r="B60" s="12"/>
      <c r="C60" s="19">
        <v>104.22</v>
      </c>
      <c r="D60" s="20">
        <v>27.765999999999998</v>
      </c>
      <c r="E60" s="20">
        <v>37.86</v>
      </c>
      <c r="F60" s="20">
        <v>38.491</v>
      </c>
      <c r="G60" s="20">
        <v>76.31</v>
      </c>
      <c r="H60" s="20">
        <f t="shared" si="0"/>
        <v>30.368375</v>
      </c>
      <c r="I60" s="5"/>
      <c r="J60" s="19">
        <v>121.4128</v>
      </c>
      <c r="K60" s="20">
        <v>28.9345</v>
      </c>
      <c r="L60" s="20">
        <v>38.966000000000001</v>
      </c>
      <c r="M60" s="20">
        <v>39.713299999999997</v>
      </c>
      <c r="N60" s="20">
        <v>169.44370000000001</v>
      </c>
      <c r="O60" s="20">
        <f t="shared" si="1"/>
        <v>31.535787500000001</v>
      </c>
      <c r="P60" s="7"/>
      <c r="Q60" s="13"/>
      <c r="R60" s="14"/>
      <c r="S60" s="14"/>
      <c r="T60" s="27"/>
      <c r="U60" s="28">
        <f t="shared" si="2"/>
        <v>1.2204652077054121</v>
      </c>
    </row>
    <row r="61" spans="1:21" x14ac:dyDescent="0.25">
      <c r="B61" s="6" t="s">
        <v>59</v>
      </c>
      <c r="C61" s="29">
        <v>628.48</v>
      </c>
      <c r="D61" s="30">
        <v>33.642000000000003</v>
      </c>
      <c r="E61" s="30">
        <v>37.783000000000001</v>
      </c>
      <c r="F61" s="30">
        <v>38.366999999999997</v>
      </c>
      <c r="G61" s="16">
        <v>38.520000000000003</v>
      </c>
      <c r="H61" s="16">
        <f t="shared" si="0"/>
        <v>34.750250000000008</v>
      </c>
      <c r="I61" s="5"/>
      <c r="J61" s="29">
        <v>645.34400000000005</v>
      </c>
      <c r="K61" s="30">
        <v>33.784599999999998</v>
      </c>
      <c r="L61" s="30">
        <v>39.0959</v>
      </c>
      <c r="M61" s="30">
        <v>39.984499999999997</v>
      </c>
      <c r="N61" s="16">
        <v>74.019199999999998</v>
      </c>
      <c r="O61" s="16">
        <f t="shared" si="1"/>
        <v>35.223500000000001</v>
      </c>
      <c r="P61" s="7"/>
      <c r="Q61" s="8">
        <f>bdrate(C61:C64,D61:D64,J61:J64,K61:K64)</f>
        <v>-5.3562418473894202E-2</v>
      </c>
      <c r="R61" s="8">
        <f>bdrate(C61:C64,E61:E64,J61:J64,L61:L64)</f>
        <v>-0.424016788782272</v>
      </c>
      <c r="S61" s="8">
        <f>bdrate(C61:C64,F61:F64,J61:J64,M61:M64)</f>
        <v>-0.47878712982000715</v>
      </c>
      <c r="T61" s="25">
        <f>bdrate(C61:C64,H61:H64,J61:J64,O61:O64)</f>
        <v>-0.14293172529247633</v>
      </c>
      <c r="U61" s="28">
        <f t="shared" si="2"/>
        <v>0.92157840083073705</v>
      </c>
    </row>
    <row r="62" spans="1:21" x14ac:dyDescent="0.25">
      <c r="B62" s="9"/>
      <c r="C62" s="31">
        <v>418.86</v>
      </c>
      <c r="D62" s="32">
        <v>32.003999999999998</v>
      </c>
      <c r="E62" s="32">
        <v>36.737000000000002</v>
      </c>
      <c r="F62" s="32">
        <v>37.274000000000001</v>
      </c>
      <c r="G62" s="18">
        <v>44.15</v>
      </c>
      <c r="H62" s="18">
        <f t="shared" si="0"/>
        <v>33.254374999999996</v>
      </c>
      <c r="I62" s="5"/>
      <c r="J62" s="31">
        <v>430.79199999999997</v>
      </c>
      <c r="K62" s="32">
        <v>32.239400000000003</v>
      </c>
      <c r="L62" s="32">
        <v>38.051699999999997</v>
      </c>
      <c r="M62" s="32">
        <v>38.864199999999997</v>
      </c>
      <c r="N62" s="18">
        <v>88.526899999999998</v>
      </c>
      <c r="O62" s="18">
        <f t="shared" si="1"/>
        <v>33.794037500000002</v>
      </c>
      <c r="P62" s="7"/>
      <c r="Q62" s="10"/>
      <c r="R62" s="11"/>
      <c r="S62" s="11"/>
      <c r="T62" s="26"/>
      <c r="U62" s="28">
        <f t="shared" si="2"/>
        <v>1.0051392978482447</v>
      </c>
    </row>
    <row r="63" spans="1:21" x14ac:dyDescent="0.25">
      <c r="B63" s="9"/>
      <c r="C63" s="31">
        <v>260.31</v>
      </c>
      <c r="D63" s="32">
        <v>30.236000000000001</v>
      </c>
      <c r="E63" s="32">
        <v>35.56</v>
      </c>
      <c r="F63" s="32">
        <v>36.078000000000003</v>
      </c>
      <c r="G63" s="18">
        <v>50.96</v>
      </c>
      <c r="H63" s="18">
        <f t="shared" si="0"/>
        <v>31.63175</v>
      </c>
      <c r="I63" s="5"/>
      <c r="J63" s="31">
        <v>269.20479999999998</v>
      </c>
      <c r="K63" s="32">
        <v>30.5702</v>
      </c>
      <c r="L63" s="32">
        <v>36.938800000000001</v>
      </c>
      <c r="M63" s="32">
        <v>37.730600000000003</v>
      </c>
      <c r="N63" s="18">
        <v>107.55</v>
      </c>
      <c r="O63" s="18">
        <f t="shared" si="1"/>
        <v>32.261324999999999</v>
      </c>
      <c r="P63" s="7"/>
      <c r="Q63" s="10"/>
      <c r="R63" s="11"/>
      <c r="S63" s="11"/>
      <c r="T63" s="26"/>
      <c r="U63" s="28">
        <f t="shared" si="2"/>
        <v>1.1104788069073783</v>
      </c>
    </row>
    <row r="64" spans="1:21" ht="16.5" thickBot="1" x14ac:dyDescent="0.3">
      <c r="B64" s="12"/>
      <c r="C64" s="33">
        <v>122.46</v>
      </c>
      <c r="D64" s="34">
        <v>27.652000000000001</v>
      </c>
      <c r="E64" s="34">
        <v>33.93</v>
      </c>
      <c r="F64" s="34">
        <v>34.345999999999997</v>
      </c>
      <c r="G64" s="20">
        <v>64.099999999999994</v>
      </c>
      <c r="H64" s="20">
        <f t="shared" si="0"/>
        <v>29.273500000000002</v>
      </c>
      <c r="I64" s="5"/>
      <c r="J64" s="33">
        <v>127.14239999999999</v>
      </c>
      <c r="K64" s="34">
        <v>28.121600000000001</v>
      </c>
      <c r="L64" s="34">
        <v>35.388399999999997</v>
      </c>
      <c r="M64" s="34">
        <v>36.134999999999998</v>
      </c>
      <c r="N64" s="20">
        <v>148.41200000000001</v>
      </c>
      <c r="O64" s="20">
        <f t="shared" si="1"/>
        <v>30.031624999999998</v>
      </c>
      <c r="P64" s="7"/>
      <c r="Q64" s="13"/>
      <c r="R64" s="14"/>
      <c r="S64" s="14"/>
      <c r="T64" s="27"/>
      <c r="U64" s="28">
        <f t="shared" si="2"/>
        <v>1.3153198127925121</v>
      </c>
    </row>
    <row r="65" spans="1:21" x14ac:dyDescent="0.25">
      <c r="B65" s="6" t="s">
        <v>60</v>
      </c>
      <c r="C65" s="15">
        <v>578.53</v>
      </c>
      <c r="D65" s="16">
        <v>35.131999999999998</v>
      </c>
      <c r="E65" s="16">
        <v>38.225999999999999</v>
      </c>
      <c r="F65" s="16">
        <v>39.454999999999998</v>
      </c>
      <c r="G65" s="16">
        <v>22</v>
      </c>
      <c r="H65" s="16">
        <f t="shared" si="0"/>
        <v>36.059124999999995</v>
      </c>
      <c r="I65" s="5"/>
      <c r="J65" s="15">
        <v>614.86080000000004</v>
      </c>
      <c r="K65" s="16">
        <v>34.866700000000002</v>
      </c>
      <c r="L65" s="16">
        <v>38.877699999999997</v>
      </c>
      <c r="M65" s="16">
        <v>40.011499999999998</v>
      </c>
      <c r="N65" s="16">
        <v>51.422699999999999</v>
      </c>
      <c r="O65" s="16">
        <f t="shared" si="1"/>
        <v>36.011175000000001</v>
      </c>
      <c r="P65" s="7"/>
      <c r="Q65" s="8">
        <f>bdrate(C65:C68,D65:D68,J65:J68,K65:K68)</f>
        <v>0.12233324568047421</v>
      </c>
      <c r="R65" s="8">
        <f>bdrate(C65:C68,E65:E68,J65:J68,L65:L68)</f>
        <v>-0.24309191312179246</v>
      </c>
      <c r="S65" s="8">
        <f>bdrate(C65:C68,F65:F68,J65:J68,M65:M68)</f>
        <v>-0.23718051793901473</v>
      </c>
      <c r="T65" s="25">
        <f>bdrate(C65:C68,H65:H68,J65:J68,O65:O68)</f>
        <v>4.1187900195700511E-2</v>
      </c>
      <c r="U65" s="28">
        <f t="shared" si="2"/>
        <v>1.3373954545454545</v>
      </c>
    </row>
    <row r="66" spans="1:21" x14ac:dyDescent="0.25">
      <c r="B66" s="9"/>
      <c r="C66" s="17">
        <v>387.57</v>
      </c>
      <c r="D66" s="18">
        <v>33.256999999999998</v>
      </c>
      <c r="E66" s="18">
        <v>36.976999999999997</v>
      </c>
      <c r="F66" s="18">
        <v>38.162999999999997</v>
      </c>
      <c r="G66" s="18">
        <v>25.34</v>
      </c>
      <c r="H66" s="18">
        <f t="shared" si="0"/>
        <v>34.335249999999995</v>
      </c>
      <c r="I66" s="5"/>
      <c r="J66" s="17">
        <v>410.69439999999997</v>
      </c>
      <c r="K66" s="18">
        <v>32.994100000000003</v>
      </c>
      <c r="L66" s="18">
        <v>37.746400000000001</v>
      </c>
      <c r="M66" s="18">
        <v>38.897300000000001</v>
      </c>
      <c r="N66" s="18">
        <v>60.667299999999997</v>
      </c>
      <c r="O66" s="18">
        <f t="shared" si="1"/>
        <v>34.326037499999998</v>
      </c>
      <c r="P66" s="7"/>
      <c r="Q66" s="10"/>
      <c r="R66" s="11"/>
      <c r="S66" s="11"/>
      <c r="T66" s="26"/>
      <c r="U66" s="28">
        <f t="shared" si="2"/>
        <v>1.3941318074191</v>
      </c>
    </row>
    <row r="67" spans="1:21" x14ac:dyDescent="0.25">
      <c r="B67" s="9"/>
      <c r="C67" s="17">
        <v>243.59</v>
      </c>
      <c r="D67" s="18">
        <v>31.298999999999999</v>
      </c>
      <c r="E67" s="18">
        <v>35.603999999999999</v>
      </c>
      <c r="F67" s="18">
        <v>36.75</v>
      </c>
      <c r="G67" s="18">
        <v>30.24</v>
      </c>
      <c r="H67" s="18">
        <f t="shared" si="0"/>
        <v>32.518499999999996</v>
      </c>
      <c r="I67" s="5"/>
      <c r="J67" s="17">
        <v>258.06799999999998</v>
      </c>
      <c r="K67" s="18">
        <v>31.084199999999999</v>
      </c>
      <c r="L67" s="18">
        <v>36.5321</v>
      </c>
      <c r="M67" s="18">
        <v>37.705100000000002</v>
      </c>
      <c r="N67" s="18">
        <v>73.403499999999994</v>
      </c>
      <c r="O67" s="18">
        <f t="shared" si="1"/>
        <v>32.592800000000004</v>
      </c>
      <c r="P67" s="7"/>
      <c r="Q67" s="10"/>
      <c r="R67" s="11"/>
      <c r="S67" s="11"/>
      <c r="T67" s="26"/>
      <c r="U67" s="28">
        <f t="shared" si="2"/>
        <v>1.427364417989418</v>
      </c>
    </row>
    <row r="68" spans="1:21" ht="16.5" thickBot="1" x14ac:dyDescent="0.3">
      <c r="B68" s="12"/>
      <c r="C68" s="19">
        <v>116.72</v>
      </c>
      <c r="D68" s="20">
        <v>28.645</v>
      </c>
      <c r="E68" s="20">
        <v>33.631</v>
      </c>
      <c r="F68" s="20">
        <v>34.573999999999998</v>
      </c>
      <c r="G68" s="20">
        <v>40.06</v>
      </c>
      <c r="H68" s="20">
        <f t="shared" si="0"/>
        <v>30.009374999999999</v>
      </c>
      <c r="I68" s="5"/>
      <c r="J68" s="19">
        <v>124.80240000000001</v>
      </c>
      <c r="K68" s="20">
        <v>28.4693</v>
      </c>
      <c r="L68" s="20">
        <v>35.101399999999998</v>
      </c>
      <c r="M68" s="20">
        <v>36.213700000000003</v>
      </c>
      <c r="N68" s="20">
        <v>98.619299999999996</v>
      </c>
      <c r="O68" s="20">
        <f t="shared" si="1"/>
        <v>30.2663625</v>
      </c>
      <c r="P68" s="7"/>
      <c r="Q68" s="13"/>
      <c r="R68" s="14"/>
      <c r="S68" s="14"/>
      <c r="T68" s="27"/>
      <c r="U68" s="28">
        <f t="shared" si="2"/>
        <v>1.4617898152770841</v>
      </c>
    </row>
    <row r="69" spans="1:21" x14ac:dyDescent="0.25">
      <c r="A69" s="6" t="s">
        <v>43</v>
      </c>
      <c r="B69" s="6" t="s">
        <v>61</v>
      </c>
      <c r="C69" s="15">
        <v>1390.76</v>
      </c>
      <c r="D69" s="16">
        <v>41.366</v>
      </c>
      <c r="E69" s="16">
        <v>45.353999999999999</v>
      </c>
      <c r="F69" s="16">
        <v>46.673000000000002</v>
      </c>
      <c r="G69" s="16">
        <v>9.0500000000000007</v>
      </c>
      <c r="H69" s="16">
        <f t="shared" si="0"/>
        <v>42.527875000000002</v>
      </c>
      <c r="I69" s="5"/>
      <c r="J69" s="15">
        <v>1507.3648000000001</v>
      </c>
      <c r="K69" s="16">
        <v>41.935000000000002</v>
      </c>
      <c r="L69" s="16">
        <v>46.534199999999998</v>
      </c>
      <c r="M69" s="16">
        <v>47.826799999999999</v>
      </c>
      <c r="N69" s="16">
        <v>18.580500000000001</v>
      </c>
      <c r="O69" s="16">
        <f t="shared" si="1"/>
        <v>43.246375</v>
      </c>
      <c r="P69" s="7"/>
      <c r="Q69" s="8">
        <f>bdrate(C69:C72,D69:D72,J69:J72,K69:K72)</f>
        <v>-8.662055981958261E-2</v>
      </c>
      <c r="R69" s="8">
        <f>bdrate(C69:C72,E69:E72,J69:J72,L69:L72)</f>
        <v>-0.38663013831659399</v>
      </c>
      <c r="S69" s="8">
        <f>bdrate(C69:C72,F69:F72,J69:J72,M69:M72)</f>
        <v>-0.33391124790448756</v>
      </c>
      <c r="T69" s="25">
        <f>bdrate(C69:C72,H69:H72,J69:J72,O69:O72)</f>
        <v>-0.14882607398937364</v>
      </c>
      <c r="U69" s="28">
        <f t="shared" si="2"/>
        <v>1.0530939226519336</v>
      </c>
    </row>
    <row r="70" spans="1:21" x14ac:dyDescent="0.25">
      <c r="A70" s="9" t="s">
        <v>44</v>
      </c>
      <c r="B70" s="9"/>
      <c r="C70" s="17">
        <v>916.47</v>
      </c>
      <c r="D70" s="18">
        <v>40.289000000000001</v>
      </c>
      <c r="E70" s="18">
        <v>44.351999999999997</v>
      </c>
      <c r="F70" s="18">
        <v>45.710999999999999</v>
      </c>
      <c r="G70" s="18">
        <v>10.18</v>
      </c>
      <c r="H70" s="18">
        <f t="shared" si="0"/>
        <v>41.474625000000003</v>
      </c>
      <c r="I70" s="5"/>
      <c r="J70" s="17">
        <v>998.39840000000004</v>
      </c>
      <c r="K70" s="18">
        <v>40.963200000000001</v>
      </c>
      <c r="L70" s="18">
        <v>45.7562</v>
      </c>
      <c r="M70" s="18">
        <v>46.956499999999998</v>
      </c>
      <c r="N70" s="18">
        <v>23.267499999999998</v>
      </c>
      <c r="O70" s="18">
        <f t="shared" si="1"/>
        <v>42.311487499999998</v>
      </c>
      <c r="P70" s="7"/>
      <c r="Q70" s="10"/>
      <c r="R70" s="11"/>
      <c r="S70" s="11"/>
      <c r="T70" s="26"/>
      <c r="U70" s="28">
        <f t="shared" si="2"/>
        <v>1.2856090373280942</v>
      </c>
    </row>
    <row r="71" spans="1:21" x14ac:dyDescent="0.25">
      <c r="B71" s="9"/>
      <c r="C71" s="17">
        <v>543.70000000000005</v>
      </c>
      <c r="D71" s="18">
        <v>38.654000000000003</v>
      </c>
      <c r="E71" s="18">
        <v>43.027999999999999</v>
      </c>
      <c r="F71" s="18">
        <v>44.415999999999997</v>
      </c>
      <c r="G71" s="18">
        <v>11.49</v>
      </c>
      <c r="H71" s="18">
        <f t="shared" si="0"/>
        <v>39.921000000000006</v>
      </c>
      <c r="I71" s="5"/>
      <c r="J71" s="17">
        <v>590.63760000000002</v>
      </c>
      <c r="K71" s="18">
        <v>39.333799999999997</v>
      </c>
      <c r="L71" s="18">
        <v>44.474800000000002</v>
      </c>
      <c r="M71" s="18">
        <v>45.661900000000003</v>
      </c>
      <c r="N71" s="18">
        <v>30.477</v>
      </c>
      <c r="O71" s="18">
        <f t="shared" si="1"/>
        <v>40.7674375</v>
      </c>
      <c r="P71" s="7"/>
      <c r="Q71" s="10"/>
      <c r="R71" s="11"/>
      <c r="S71" s="11"/>
      <c r="T71" s="26"/>
      <c r="U71" s="28">
        <f t="shared" si="2"/>
        <v>1.6524804177545693</v>
      </c>
    </row>
    <row r="72" spans="1:21" ht="16.5" thickBot="1" x14ac:dyDescent="0.3">
      <c r="B72" s="12"/>
      <c r="C72" s="19">
        <v>261.86</v>
      </c>
      <c r="D72" s="20">
        <v>36.29</v>
      </c>
      <c r="E72" s="20">
        <v>41.698999999999998</v>
      </c>
      <c r="F72" s="20">
        <v>42.850999999999999</v>
      </c>
      <c r="G72" s="20">
        <v>13.21</v>
      </c>
      <c r="H72" s="20">
        <f t="shared" si="0"/>
        <v>37.786250000000003</v>
      </c>
      <c r="I72" s="5"/>
      <c r="J72" s="19">
        <v>284.79680000000002</v>
      </c>
      <c r="K72" s="20">
        <v>36.334699999999998</v>
      </c>
      <c r="L72" s="20">
        <v>42.587899999999998</v>
      </c>
      <c r="M72" s="20">
        <v>43.702100000000002</v>
      </c>
      <c r="N72" s="20">
        <v>40.357799999999997</v>
      </c>
      <c r="O72" s="20">
        <f t="shared" si="1"/>
        <v>38.037274999999994</v>
      </c>
      <c r="P72" s="7"/>
      <c r="Q72" s="13"/>
      <c r="R72" s="14"/>
      <c r="S72" s="14"/>
      <c r="T72" s="27"/>
      <c r="U72" s="28">
        <f t="shared" si="2"/>
        <v>2.0550946252838753</v>
      </c>
    </row>
    <row r="73" spans="1:21" x14ac:dyDescent="0.25">
      <c r="B73" s="6" t="s">
        <v>62</v>
      </c>
      <c r="C73" s="15">
        <v>1433.93</v>
      </c>
      <c r="D73" s="16">
        <v>42.734000000000002</v>
      </c>
      <c r="E73" s="16">
        <v>47.69</v>
      </c>
      <c r="F73" s="16">
        <v>48.375</v>
      </c>
      <c r="G73" s="16">
        <v>9.08</v>
      </c>
      <c r="H73" s="16">
        <f t="shared" si="0"/>
        <v>44.058624999999999</v>
      </c>
      <c r="I73" s="5"/>
      <c r="J73" s="15">
        <v>1512.2392</v>
      </c>
      <c r="K73" s="16">
        <v>42.937800000000003</v>
      </c>
      <c r="L73" s="16">
        <v>48.345799999999997</v>
      </c>
      <c r="M73" s="16">
        <v>49.066299999999998</v>
      </c>
      <c r="N73" s="16">
        <v>19.753699999999998</v>
      </c>
      <c r="O73" s="16">
        <f t="shared" si="1"/>
        <v>44.379862500000002</v>
      </c>
      <c r="P73" s="7"/>
      <c r="Q73" s="8">
        <f>bdrate(C73:C76,D73:D76,J73:J76,K73:K76)</f>
        <v>-0.13974624539146208</v>
      </c>
      <c r="R73" s="8">
        <f>bdrate(C73:C76,E73:E76,J73:J76,L73:L76)</f>
        <v>-0.42863381245530796</v>
      </c>
      <c r="S73" s="8">
        <f>bdrate(C73:C76,F73:F76,J73:J76,M73:M76)</f>
        <v>-0.39277215107456231</v>
      </c>
      <c r="T73" s="25">
        <f>bdrate(C73:C76,H73:H76,J73:J76,O73:O76)</f>
        <v>-0.21796962550959864</v>
      </c>
      <c r="U73" s="28">
        <f t="shared" ref="U73:U91" si="3">(N73-G73)/G73</f>
        <v>1.1755176211453742</v>
      </c>
    </row>
    <row r="74" spans="1:21" x14ac:dyDescent="0.25">
      <c r="B74" s="9"/>
      <c r="C74" s="17">
        <v>944.1</v>
      </c>
      <c r="D74" s="18">
        <v>42.216999999999999</v>
      </c>
      <c r="E74" s="18">
        <v>47.131</v>
      </c>
      <c r="F74" s="18">
        <v>47.792999999999999</v>
      </c>
      <c r="G74" s="18">
        <v>10.27</v>
      </c>
      <c r="H74" s="18">
        <f t="shared" si="0"/>
        <v>43.52825</v>
      </c>
      <c r="I74" s="5"/>
      <c r="J74" s="17">
        <v>994.84159999999997</v>
      </c>
      <c r="K74" s="18">
        <v>42.5229</v>
      </c>
      <c r="L74" s="18">
        <v>48.018999999999998</v>
      </c>
      <c r="M74" s="18">
        <v>48.720399999999998</v>
      </c>
      <c r="N74" s="18">
        <v>23.889199999999999</v>
      </c>
      <c r="O74" s="18">
        <f t="shared" si="1"/>
        <v>43.9846</v>
      </c>
      <c r="P74" s="7"/>
      <c r="Q74" s="10"/>
      <c r="R74" s="11"/>
      <c r="S74" s="11"/>
      <c r="T74" s="26"/>
      <c r="U74" s="28">
        <f t="shared" si="3"/>
        <v>1.3261148977604673</v>
      </c>
    </row>
    <row r="75" spans="1:21" x14ac:dyDescent="0.25">
      <c r="B75" s="9"/>
      <c r="C75" s="17">
        <v>556.72</v>
      </c>
      <c r="D75" s="18">
        <v>41.429000000000002</v>
      </c>
      <c r="E75" s="18">
        <v>46.28</v>
      </c>
      <c r="F75" s="18">
        <v>46.98</v>
      </c>
      <c r="G75" s="18">
        <v>11.56</v>
      </c>
      <c r="H75" s="18">
        <f t="shared" si="0"/>
        <v>42.729250000000008</v>
      </c>
      <c r="I75" s="5"/>
      <c r="J75" s="17">
        <v>579.20079999999996</v>
      </c>
      <c r="K75" s="18">
        <v>41.766300000000001</v>
      </c>
      <c r="L75" s="18">
        <v>47.3217</v>
      </c>
      <c r="M75" s="18">
        <v>47.935499999999998</v>
      </c>
      <c r="N75" s="18">
        <v>30.404399999999999</v>
      </c>
      <c r="O75" s="18">
        <f t="shared" si="1"/>
        <v>43.231875000000002</v>
      </c>
      <c r="P75" s="7"/>
      <c r="Q75" s="10"/>
      <c r="R75" s="11"/>
      <c r="S75" s="11"/>
      <c r="T75" s="26"/>
      <c r="U75" s="28">
        <f t="shared" si="3"/>
        <v>1.6301384083044983</v>
      </c>
    </row>
    <row r="76" spans="1:21" ht="16.5" thickBot="1" x14ac:dyDescent="0.3">
      <c r="B76" s="12"/>
      <c r="C76" s="19">
        <v>268.29000000000002</v>
      </c>
      <c r="D76" s="20">
        <v>39.899000000000001</v>
      </c>
      <c r="E76" s="20">
        <v>44.857999999999997</v>
      </c>
      <c r="F76" s="20">
        <v>45.652000000000001</v>
      </c>
      <c r="G76" s="20">
        <v>13.08</v>
      </c>
      <c r="H76" s="20">
        <f t="shared" si="0"/>
        <v>41.238</v>
      </c>
      <c r="I76" s="5"/>
      <c r="J76" s="19">
        <v>278.35120000000001</v>
      </c>
      <c r="K76" s="20">
        <v>40.191899999999997</v>
      </c>
      <c r="L76" s="20">
        <v>45.779600000000002</v>
      </c>
      <c r="M76" s="20">
        <v>46.329799999999999</v>
      </c>
      <c r="N76" s="20">
        <v>41.399299999999997</v>
      </c>
      <c r="O76" s="20">
        <f t="shared" si="1"/>
        <v>41.657599999999995</v>
      </c>
      <c r="P76" s="7"/>
      <c r="Q76" s="13"/>
      <c r="R76" s="14"/>
      <c r="S76" s="14"/>
      <c r="T76" s="27"/>
      <c r="U76" s="28">
        <f t="shared" si="3"/>
        <v>2.1650840978593271</v>
      </c>
    </row>
    <row r="77" spans="1:21" x14ac:dyDescent="0.25">
      <c r="B77" s="6" t="s">
        <v>63</v>
      </c>
      <c r="C77" s="15">
        <v>1491.05</v>
      </c>
      <c r="D77" s="16">
        <v>42.631999999999998</v>
      </c>
      <c r="E77" s="16">
        <v>46.844000000000001</v>
      </c>
      <c r="F77" s="16">
        <v>47.783000000000001</v>
      </c>
      <c r="G77" s="16">
        <v>7.95</v>
      </c>
      <c r="H77" s="16">
        <f t="shared" si="0"/>
        <v>43.802374999999998</v>
      </c>
      <c r="I77" s="5"/>
      <c r="J77" s="15">
        <v>1541.796</v>
      </c>
      <c r="K77" s="16">
        <v>42.893599999999999</v>
      </c>
      <c r="L77" s="16">
        <v>47.551400000000001</v>
      </c>
      <c r="M77" s="16">
        <v>48.448999999999998</v>
      </c>
      <c r="N77" s="16">
        <v>18.3672</v>
      </c>
      <c r="O77" s="16">
        <f t="shared" si="1"/>
        <v>44.170250000000003</v>
      </c>
      <c r="P77" s="7"/>
      <c r="Q77" s="8">
        <f>bdrate(C77:C80,D77:D80,J77:J80,K77:K80)</f>
        <v>-9.6024340337434677E-2</v>
      </c>
      <c r="R77" s="8">
        <f>bdrate(C77:C80,E77:E80,J77:J80,L77:L80)</f>
        <v>-0.36039822253270792</v>
      </c>
      <c r="S77" s="8">
        <f>bdrate(C77:C80,F77:F80,J77:J80,M77:M80)</f>
        <v>-0.31958390445572382</v>
      </c>
      <c r="T77" s="25">
        <f>bdrate(C77:C80,H77:H80,J77:J80,O77:O80)</f>
        <v>-0.15767970895182015</v>
      </c>
      <c r="U77" s="28">
        <f t="shared" si="3"/>
        <v>1.3103396226415096</v>
      </c>
    </row>
    <row r="78" spans="1:21" x14ac:dyDescent="0.25">
      <c r="B78" s="9"/>
      <c r="C78" s="17">
        <v>990.28</v>
      </c>
      <c r="D78" s="18">
        <v>41.863</v>
      </c>
      <c r="E78" s="18">
        <v>46.042999999999999</v>
      </c>
      <c r="F78" s="18">
        <v>47.015000000000001</v>
      </c>
      <c r="G78" s="18">
        <v>8.94</v>
      </c>
      <c r="H78" s="18">
        <f t="shared" si="0"/>
        <v>43.029499999999999</v>
      </c>
      <c r="I78" s="5"/>
      <c r="J78" s="17">
        <v>1028.8592000000001</v>
      </c>
      <c r="K78" s="18">
        <v>42.220999999999997</v>
      </c>
      <c r="L78" s="18">
        <v>47.007899999999999</v>
      </c>
      <c r="M78" s="18">
        <v>47.8752</v>
      </c>
      <c r="N78" s="18">
        <v>22.798100000000002</v>
      </c>
      <c r="O78" s="18">
        <f t="shared" si="1"/>
        <v>43.526137499999997</v>
      </c>
      <c r="P78" s="7"/>
      <c r="Q78" s="10"/>
      <c r="R78" s="11"/>
      <c r="S78" s="11"/>
      <c r="T78" s="26"/>
      <c r="U78" s="28">
        <f t="shared" si="3"/>
        <v>1.5501230425055932</v>
      </c>
    </row>
    <row r="79" spans="1:21" x14ac:dyDescent="0.25">
      <c r="B79" s="9"/>
      <c r="C79" s="17">
        <v>591.38</v>
      </c>
      <c r="D79" s="18">
        <v>40.654000000000003</v>
      </c>
      <c r="E79" s="18">
        <v>44.9</v>
      </c>
      <c r="F79" s="18">
        <v>45.853000000000002</v>
      </c>
      <c r="G79" s="18">
        <v>10.17</v>
      </c>
      <c r="H79" s="18">
        <f t="shared" si="0"/>
        <v>41.834625000000003</v>
      </c>
      <c r="I79" s="5"/>
      <c r="J79" s="17">
        <v>600.82719999999995</v>
      </c>
      <c r="K79" s="18">
        <v>40.999400000000001</v>
      </c>
      <c r="L79" s="18">
        <v>45.976700000000001</v>
      </c>
      <c r="M79" s="18">
        <v>46.7864</v>
      </c>
      <c r="N79" s="18">
        <v>29.953600000000002</v>
      </c>
      <c r="O79" s="18">
        <f t="shared" si="1"/>
        <v>42.3449375</v>
      </c>
      <c r="P79" s="7"/>
      <c r="Q79" s="10"/>
      <c r="R79" s="11"/>
      <c r="S79" s="11"/>
      <c r="T79" s="26"/>
      <c r="U79" s="28">
        <f t="shared" si="3"/>
        <v>1.9452900688298917</v>
      </c>
    </row>
    <row r="80" spans="1:21" ht="16.5" thickBot="1" x14ac:dyDescent="0.3">
      <c r="B80" s="12"/>
      <c r="C80" s="19">
        <v>288.88</v>
      </c>
      <c r="D80" s="20">
        <v>38.634999999999998</v>
      </c>
      <c r="E80" s="20">
        <v>43.262</v>
      </c>
      <c r="F80" s="20">
        <v>44.308999999999997</v>
      </c>
      <c r="G80" s="20">
        <v>11.78</v>
      </c>
      <c r="H80" s="20">
        <f t="shared" si="0"/>
        <v>39.922624999999996</v>
      </c>
      <c r="I80" s="5"/>
      <c r="J80" s="19">
        <v>297.13119999999998</v>
      </c>
      <c r="K80" s="20">
        <v>38.752000000000002</v>
      </c>
      <c r="L80" s="20">
        <v>44.160299999999999</v>
      </c>
      <c r="M80" s="20">
        <v>45.030500000000004</v>
      </c>
      <c r="N80" s="20">
        <v>39.898899999999998</v>
      </c>
      <c r="O80" s="20">
        <f t="shared" si="1"/>
        <v>40.212850000000003</v>
      </c>
      <c r="P80" s="7"/>
      <c r="Q80" s="13"/>
      <c r="R80" s="14"/>
      <c r="S80" s="14"/>
      <c r="T80" s="27"/>
      <c r="U80" s="28">
        <f t="shared" si="3"/>
        <v>2.3870033955857384</v>
      </c>
    </row>
    <row r="81" spans="1:21" x14ac:dyDescent="0.25">
      <c r="A81" s="6" t="s">
        <v>102</v>
      </c>
      <c r="B81" s="6" t="s">
        <v>103</v>
      </c>
      <c r="C81" s="29">
        <v>1208.3800000000001</v>
      </c>
      <c r="D81" s="30">
        <v>44.975000000000001</v>
      </c>
      <c r="E81" s="30">
        <v>50.209000000000003</v>
      </c>
      <c r="F81" s="30">
        <v>51.067999999999998</v>
      </c>
      <c r="G81" s="16">
        <v>4.51</v>
      </c>
      <c r="H81" s="16">
        <f t="shared" ref="H81:H91" si="4">(6*D81+E81+F81)/8</f>
        <v>46.390875000000001</v>
      </c>
      <c r="I81" s="5"/>
      <c r="J81" s="15">
        <v>1231.1093000000001</v>
      </c>
      <c r="K81" s="16">
        <v>45.253700000000002</v>
      </c>
      <c r="L81" s="16">
        <v>51.4191</v>
      </c>
      <c r="M81" s="16">
        <v>52.011600000000001</v>
      </c>
      <c r="N81" s="16">
        <v>12.487500000000001</v>
      </c>
      <c r="O81" s="16">
        <f t="shared" ref="O81:O91" si="5">(6*K81+L81+M81)/8</f>
        <v>46.8691125</v>
      </c>
      <c r="P81" s="7"/>
      <c r="Q81" s="8">
        <f>bdrate(C81:C84,D81:D84,J81:J84,K81:K84)</f>
        <v>-0.11848287002165525</v>
      </c>
      <c r="R81" s="8">
        <f>bdrate(C81:C84,E81:E84,J81:J84,L81:L84)</f>
        <v>-0.39350954574409069</v>
      </c>
      <c r="S81" s="8">
        <f>bdrate(C81:C84,F81:F84,J81:J84,M81:M84)</f>
        <v>-0.39441696231194101</v>
      </c>
      <c r="T81" s="25">
        <f>bdrate(C81:C84,H81:H84,J81:J84,O81:O84)</f>
        <v>-0.18518741281411311</v>
      </c>
      <c r="U81" s="28">
        <f t="shared" si="3"/>
        <v>1.7688470066518849</v>
      </c>
    </row>
    <row r="82" spans="1:21" x14ac:dyDescent="0.25">
      <c r="A82" s="9" t="s">
        <v>78</v>
      </c>
      <c r="B82" s="9"/>
      <c r="C82" s="31">
        <v>809.54</v>
      </c>
      <c r="D82" s="32">
        <v>42.878</v>
      </c>
      <c r="E82" s="32">
        <v>48.283999999999999</v>
      </c>
      <c r="F82" s="32">
        <v>49.241999999999997</v>
      </c>
      <c r="G82" s="18">
        <v>5.08</v>
      </c>
      <c r="H82" s="18">
        <f t="shared" si="4"/>
        <v>44.349250000000005</v>
      </c>
      <c r="I82" s="5"/>
      <c r="J82" s="17">
        <v>829.37639999999999</v>
      </c>
      <c r="K82" s="18">
        <v>43.456800000000001</v>
      </c>
      <c r="L82" s="18">
        <v>50.102200000000003</v>
      </c>
      <c r="M82" s="18">
        <v>50.781999999999996</v>
      </c>
      <c r="N82" s="18">
        <v>14.2803</v>
      </c>
      <c r="O82" s="18">
        <f t="shared" si="5"/>
        <v>45.203125</v>
      </c>
      <c r="P82" s="7"/>
      <c r="Q82" s="10"/>
      <c r="R82" s="11"/>
      <c r="S82" s="11"/>
      <c r="T82" s="26"/>
      <c r="U82" s="28">
        <f t="shared" si="3"/>
        <v>1.8110826771653543</v>
      </c>
    </row>
    <row r="83" spans="1:21" x14ac:dyDescent="0.25">
      <c r="B83" s="9"/>
      <c r="C83" s="31">
        <v>489.58</v>
      </c>
      <c r="D83" s="32">
        <v>40.216000000000001</v>
      </c>
      <c r="E83" s="32">
        <v>45.851999999999997</v>
      </c>
      <c r="F83" s="32">
        <v>47.222000000000001</v>
      </c>
      <c r="G83" s="18">
        <v>5.92</v>
      </c>
      <c r="H83" s="18">
        <f t="shared" si="4"/>
        <v>41.796249999999993</v>
      </c>
      <c r="I83" s="5"/>
      <c r="J83" s="17">
        <v>504.50009999999997</v>
      </c>
      <c r="K83" s="18">
        <v>41.1661</v>
      </c>
      <c r="L83" s="18">
        <v>48.382100000000001</v>
      </c>
      <c r="M83" s="18">
        <v>49.408700000000003</v>
      </c>
      <c r="N83" s="18">
        <v>16.886299999999999</v>
      </c>
      <c r="O83" s="18">
        <f t="shared" si="5"/>
        <v>43.098424999999999</v>
      </c>
      <c r="P83" s="7"/>
      <c r="Q83" s="10"/>
      <c r="R83" s="11"/>
      <c r="S83" s="11"/>
      <c r="T83" s="26"/>
      <c r="U83" s="28">
        <f t="shared" si="3"/>
        <v>1.8524155405405403</v>
      </c>
    </row>
    <row r="84" spans="1:21" ht="16.5" thickBot="1" x14ac:dyDescent="0.3">
      <c r="B84" s="12"/>
      <c r="C84" s="33">
        <v>248.45</v>
      </c>
      <c r="D84" s="34">
        <v>37.015999999999998</v>
      </c>
      <c r="E84" s="34">
        <v>42.96</v>
      </c>
      <c r="F84" s="34">
        <v>44.719000000000001</v>
      </c>
      <c r="G84" s="20">
        <v>7.44</v>
      </c>
      <c r="H84" s="20">
        <f t="shared" si="4"/>
        <v>38.721874999999997</v>
      </c>
      <c r="I84" s="5"/>
      <c r="J84" s="19">
        <v>256.33769999999998</v>
      </c>
      <c r="K84" s="20">
        <v>37.751899999999999</v>
      </c>
      <c r="L84" s="20">
        <v>45.474699999999999</v>
      </c>
      <c r="M84" s="20">
        <v>46.966999999999999</v>
      </c>
      <c r="N84" s="20">
        <v>22.117100000000001</v>
      </c>
      <c r="O84" s="20">
        <f t="shared" si="5"/>
        <v>39.869137499999994</v>
      </c>
      <c r="P84" s="7"/>
      <c r="Q84" s="13"/>
      <c r="R84" s="14"/>
      <c r="S84" s="14"/>
      <c r="T84" s="27"/>
      <c r="U84" s="28">
        <f t="shared" si="3"/>
        <v>1.9727284946236556</v>
      </c>
    </row>
    <row r="85" spans="1:21" x14ac:dyDescent="0.25">
      <c r="B85" s="6" t="s">
        <v>104</v>
      </c>
      <c r="C85" s="15">
        <v>1485.03</v>
      </c>
      <c r="D85" s="16">
        <v>54.210999999999999</v>
      </c>
      <c r="E85" s="16">
        <v>54.936</v>
      </c>
      <c r="F85" s="16">
        <v>55.345999999999997</v>
      </c>
      <c r="G85" s="16">
        <v>13.23</v>
      </c>
      <c r="H85" s="16">
        <f t="shared" si="4"/>
        <v>54.443499999999993</v>
      </c>
      <c r="I85" s="5"/>
      <c r="J85" s="15">
        <v>1420.54</v>
      </c>
      <c r="K85" s="16">
        <v>53.315199999999997</v>
      </c>
      <c r="L85" s="16">
        <v>54.150100000000002</v>
      </c>
      <c r="M85" s="16">
        <v>54.751399999999997</v>
      </c>
      <c r="N85" s="16">
        <v>22.619900000000001</v>
      </c>
      <c r="O85" s="16">
        <f t="shared" si="5"/>
        <v>53.599087499999996</v>
      </c>
      <c r="P85" s="7"/>
      <c r="Q85" s="8">
        <f>bdrate(C85:C88,D85:D88,J85:J88,K85:K88)</f>
        <v>1.5249884650402556E-2</v>
      </c>
      <c r="R85" s="8">
        <f>bdrate(C85:C88,E85:E88,J85:J88,L85:L88)</f>
        <v>-6.8022382951038907E-2</v>
      </c>
      <c r="S85" s="8">
        <f>bdrate(C85:C88,F85:F88,J85:J88,M85:M88)</f>
        <v>-5.9558222786988746E-2</v>
      </c>
      <c r="T85" s="25">
        <f>bdrate(C85:C88,H85:H88,J85:J88,O85:O88)</f>
        <v>-3.5962778240336002E-3</v>
      </c>
      <c r="U85" s="28">
        <f t="shared" si="3"/>
        <v>0.70974300831443693</v>
      </c>
    </row>
    <row r="86" spans="1:21" x14ac:dyDescent="0.25">
      <c r="B86" s="9"/>
      <c r="C86" s="17">
        <v>980.91</v>
      </c>
      <c r="D86" s="18">
        <v>51.594000000000001</v>
      </c>
      <c r="E86" s="18">
        <v>52.497</v>
      </c>
      <c r="F86" s="18">
        <v>53.036000000000001</v>
      </c>
      <c r="G86" s="18">
        <v>14.77</v>
      </c>
      <c r="H86" s="18">
        <f t="shared" si="4"/>
        <v>51.887125000000005</v>
      </c>
      <c r="I86" s="5"/>
      <c r="J86" s="17">
        <v>975.63670000000002</v>
      </c>
      <c r="K86" s="18">
        <v>51.463799999999999</v>
      </c>
      <c r="L86" s="18">
        <v>52.640099999999997</v>
      </c>
      <c r="M86" s="18">
        <v>53.167000000000002</v>
      </c>
      <c r="N86" s="18">
        <v>29.8537</v>
      </c>
      <c r="O86" s="18">
        <f t="shared" si="5"/>
        <v>51.823737500000007</v>
      </c>
      <c r="P86" s="7"/>
      <c r="Q86" s="10"/>
      <c r="R86" s="11"/>
      <c r="S86" s="11"/>
      <c r="T86" s="26"/>
      <c r="U86" s="28">
        <f t="shared" si="3"/>
        <v>1.0212389979688559</v>
      </c>
    </row>
    <row r="87" spans="1:21" x14ac:dyDescent="0.25">
      <c r="B87" s="9"/>
      <c r="C87" s="17">
        <v>586.04999999999995</v>
      </c>
      <c r="D87" s="18">
        <v>48.417999999999999</v>
      </c>
      <c r="E87" s="18">
        <v>49.613</v>
      </c>
      <c r="F87" s="18">
        <v>50.22</v>
      </c>
      <c r="G87" s="18">
        <v>16.850000000000001</v>
      </c>
      <c r="H87" s="18">
        <f t="shared" si="4"/>
        <v>48.792625000000001</v>
      </c>
      <c r="I87" s="5"/>
      <c r="J87" s="17">
        <v>606.89970000000005</v>
      </c>
      <c r="K87" s="18">
        <v>48.678699999999999</v>
      </c>
      <c r="L87" s="18">
        <v>50.359499999999997</v>
      </c>
      <c r="M87" s="18">
        <v>50.886800000000001</v>
      </c>
      <c r="N87" s="18">
        <v>39.447699999999998</v>
      </c>
      <c r="O87" s="18">
        <f t="shared" si="5"/>
        <v>49.164812499999996</v>
      </c>
      <c r="P87" s="7"/>
      <c r="Q87" s="10"/>
      <c r="R87" s="11"/>
      <c r="S87" s="11"/>
      <c r="T87" s="26"/>
      <c r="U87" s="28">
        <f t="shared" si="3"/>
        <v>1.341109792284866</v>
      </c>
    </row>
    <row r="88" spans="1:21" ht="16.5" thickBot="1" x14ac:dyDescent="0.3">
      <c r="B88" s="12"/>
      <c r="C88" s="19">
        <v>292.68</v>
      </c>
      <c r="D88" s="20">
        <v>44.216999999999999</v>
      </c>
      <c r="E88" s="20">
        <v>45.76</v>
      </c>
      <c r="F88" s="20">
        <v>46.393999999999998</v>
      </c>
      <c r="G88" s="20">
        <v>19.47</v>
      </c>
      <c r="H88" s="20">
        <f t="shared" si="4"/>
        <v>44.682000000000002</v>
      </c>
      <c r="I88" s="5"/>
      <c r="J88" s="19">
        <v>312.48239999999998</v>
      </c>
      <c r="K88" s="20">
        <v>44.327399999999997</v>
      </c>
      <c r="L88" s="20">
        <v>46.6389</v>
      </c>
      <c r="M88" s="20">
        <v>47.181600000000003</v>
      </c>
      <c r="N88" s="20">
        <v>50.942399999999999</v>
      </c>
      <c r="O88" s="20">
        <f t="shared" si="5"/>
        <v>44.973112499999992</v>
      </c>
      <c r="P88" s="7"/>
      <c r="Q88" s="13"/>
      <c r="R88" s="14"/>
      <c r="S88" s="14"/>
      <c r="T88" s="27"/>
      <c r="U88" s="28">
        <f t="shared" si="3"/>
        <v>1.6164560862865949</v>
      </c>
    </row>
    <row r="89" spans="1:21" x14ac:dyDescent="0.25">
      <c r="B89" s="6" t="s">
        <v>105</v>
      </c>
      <c r="C89" s="15">
        <v>1544.75</v>
      </c>
      <c r="D89" s="16">
        <v>44.026000000000003</v>
      </c>
      <c r="E89" s="16">
        <v>45.988</v>
      </c>
      <c r="F89" s="16">
        <v>46.478000000000002</v>
      </c>
      <c r="G89" s="16">
        <v>5.85</v>
      </c>
      <c r="H89" s="16">
        <f t="shared" si="4"/>
        <v>44.577750000000002</v>
      </c>
      <c r="I89" s="5"/>
      <c r="J89" s="15">
        <v>1481.7474999999999</v>
      </c>
      <c r="K89" s="16">
        <v>44.142899999999997</v>
      </c>
      <c r="L89" s="16">
        <v>46.592700000000001</v>
      </c>
      <c r="M89" s="16">
        <v>47.010199999999998</v>
      </c>
      <c r="N89" s="16">
        <v>14.1212</v>
      </c>
      <c r="O89" s="16">
        <f t="shared" si="5"/>
        <v>44.807537499999995</v>
      </c>
      <c r="P89" s="7"/>
      <c r="Q89" s="8">
        <f>bdrate(C89:C92,D89:D92,J89:J92,K89:K92)</f>
        <v>-9.1035089113757128E-2</v>
      </c>
      <c r="R89" s="8">
        <f>bdrate(C89:C92,E89:E92,J89:J92,L89:L92)</f>
        <v>-0.28105573161758168</v>
      </c>
      <c r="S89" s="8">
        <f>bdrate(C89:C92,F89:F92,J89:J92,M89:M92)</f>
        <v>-0.25759323067687223</v>
      </c>
      <c r="T89" s="25">
        <f>bdrate(C89:C92,H89:H92,J89:J92,O89:O92)</f>
        <v>-0.13074026083144497</v>
      </c>
      <c r="U89" s="28">
        <f t="shared" si="3"/>
        <v>1.4138803418803421</v>
      </c>
    </row>
    <row r="90" spans="1:21" x14ac:dyDescent="0.25">
      <c r="B90" s="9"/>
      <c r="C90" s="17">
        <v>1029.53</v>
      </c>
      <c r="D90" s="18">
        <v>41.968000000000004</v>
      </c>
      <c r="E90" s="18">
        <v>44.253</v>
      </c>
      <c r="F90" s="18">
        <v>44.75</v>
      </c>
      <c r="G90" s="18">
        <v>6.58</v>
      </c>
      <c r="H90" s="18">
        <f t="shared" si="4"/>
        <v>42.601375000000004</v>
      </c>
      <c r="I90" s="5"/>
      <c r="J90" s="17">
        <v>992.36869999999999</v>
      </c>
      <c r="K90" s="18">
        <v>42.279000000000003</v>
      </c>
      <c r="L90" s="18">
        <v>45.220999999999997</v>
      </c>
      <c r="M90" s="18">
        <v>45.605699999999999</v>
      </c>
      <c r="N90" s="18">
        <v>17.244700000000002</v>
      </c>
      <c r="O90" s="18">
        <f t="shared" si="5"/>
        <v>43.062587500000006</v>
      </c>
      <c r="P90" s="7"/>
      <c r="Q90" s="10"/>
      <c r="R90" s="11"/>
      <c r="S90" s="11"/>
      <c r="T90" s="26"/>
      <c r="U90" s="28">
        <f t="shared" si="3"/>
        <v>1.6207750759878421</v>
      </c>
    </row>
    <row r="91" spans="1:21" x14ac:dyDescent="0.25">
      <c r="B91" s="9"/>
      <c r="C91" s="17">
        <v>619.58000000000004</v>
      </c>
      <c r="D91" s="18">
        <v>39.344999999999999</v>
      </c>
      <c r="E91" s="18">
        <v>42.145000000000003</v>
      </c>
      <c r="F91" s="18">
        <v>42.670999999999999</v>
      </c>
      <c r="G91" s="18">
        <v>7.49</v>
      </c>
      <c r="H91" s="18">
        <f t="shared" si="4"/>
        <v>40.110749999999996</v>
      </c>
      <c r="I91" s="5"/>
      <c r="J91" s="17">
        <v>598.9692</v>
      </c>
      <c r="K91" s="18">
        <v>39.693399999999997</v>
      </c>
      <c r="L91" s="18">
        <v>43.382399999999997</v>
      </c>
      <c r="M91" s="18">
        <v>43.760199999999998</v>
      </c>
      <c r="N91" s="18">
        <v>21.550999999999998</v>
      </c>
      <c r="O91" s="18">
        <f t="shared" si="5"/>
        <v>40.662875</v>
      </c>
      <c r="P91" s="7"/>
      <c r="Q91" s="10"/>
      <c r="R91" s="11"/>
      <c r="S91" s="11"/>
      <c r="T91" s="26"/>
      <c r="U91" s="28">
        <f t="shared" si="3"/>
        <v>1.8773030707610143</v>
      </c>
    </row>
    <row r="92" spans="1:21" ht="16.5" thickBot="1" x14ac:dyDescent="0.3">
      <c r="B92" s="12"/>
      <c r="C92" s="19">
        <v>310.77999999999997</v>
      </c>
      <c r="D92" s="20">
        <v>35.725999999999999</v>
      </c>
      <c r="E92" s="20">
        <v>39.378</v>
      </c>
      <c r="F92" s="20">
        <v>39.972999999999999</v>
      </c>
      <c r="G92" s="20">
        <v>8.82</v>
      </c>
      <c r="H92" s="20">
        <f t="shared" ref="H92:H124" si="6">(6*D92+E92+F92)/8</f>
        <v>36.713374999999999</v>
      </c>
      <c r="I92" s="5"/>
      <c r="J92" s="19">
        <v>303.0231</v>
      </c>
      <c r="K92" s="20">
        <v>36.060899999999997</v>
      </c>
      <c r="L92" s="20">
        <v>40.968499999999999</v>
      </c>
      <c r="M92" s="20">
        <v>41.396999999999998</v>
      </c>
      <c r="N92" s="20">
        <v>27.232700000000001</v>
      </c>
      <c r="O92" s="20">
        <f t="shared" ref="O92:O124" si="7">(6*K92+L92+M92)/8</f>
        <v>37.341362499999995</v>
      </c>
      <c r="P92" s="7"/>
      <c r="Q92" s="13"/>
      <c r="R92" s="14"/>
      <c r="S92" s="14"/>
      <c r="T92" s="27"/>
      <c r="U92" s="28">
        <f t="shared" ref="U92:U124" si="8">(N92-G92)/G92</f>
        <v>2.087607709750567</v>
      </c>
    </row>
    <row r="93" spans="1:21" x14ac:dyDescent="0.25">
      <c r="B93" s="6" t="s">
        <v>106</v>
      </c>
      <c r="C93" s="15">
        <v>1374.52</v>
      </c>
      <c r="D93" s="16">
        <v>39.756</v>
      </c>
      <c r="E93" s="16">
        <v>43.877000000000002</v>
      </c>
      <c r="F93" s="16">
        <v>43.886000000000003</v>
      </c>
      <c r="G93" s="16">
        <v>4.7300000000000004</v>
      </c>
      <c r="H93" s="16">
        <f t="shared" si="6"/>
        <v>40.787375000000004</v>
      </c>
      <c r="I93" s="5"/>
      <c r="J93" s="29">
        <v>1499.4864</v>
      </c>
      <c r="K93" s="30">
        <v>40.0182</v>
      </c>
      <c r="L93" s="30">
        <v>44.713999999999999</v>
      </c>
      <c r="M93" s="30">
        <v>44.706699999999998</v>
      </c>
      <c r="N93" s="16">
        <v>12.8376</v>
      </c>
      <c r="O93" s="16">
        <f t="shared" si="7"/>
        <v>41.1912375</v>
      </c>
      <c r="P93" s="7"/>
      <c r="Q93" s="8">
        <f>bdrate(C93:C96,D93:D96,J93:J96,K93:K96)</f>
        <v>4.0970610895253001E-2</v>
      </c>
      <c r="R93" s="8">
        <f>bdrate(C93:C96,E93:E96,J93:J96,L93:L96)</f>
        <v>-0.2563239324090667</v>
      </c>
      <c r="S93" s="8">
        <f>bdrate(C93:C96,F93:F96,J93:J96,M93:M96)</f>
        <v>-0.24494418256609318</v>
      </c>
      <c r="T93" s="25">
        <f>bdrate(C93:C96,H93:H96,J93:J96,O93:O96)</f>
        <v>-2.381264341703504E-2</v>
      </c>
      <c r="U93" s="28">
        <f t="shared" si="8"/>
        <v>1.7140803382663845</v>
      </c>
    </row>
    <row r="94" spans="1:21" x14ac:dyDescent="0.25">
      <c r="B94" s="9"/>
      <c r="C94" s="17">
        <v>915.04</v>
      </c>
      <c r="D94" s="18">
        <v>37.942999999999998</v>
      </c>
      <c r="E94" s="18">
        <v>42.435000000000002</v>
      </c>
      <c r="F94" s="18">
        <v>42.429000000000002</v>
      </c>
      <c r="G94" s="18">
        <v>5.34</v>
      </c>
      <c r="H94" s="18">
        <f t="shared" si="6"/>
        <v>39.065249999999992</v>
      </c>
      <c r="I94" s="5"/>
      <c r="J94" s="31">
        <v>1000.5469000000001</v>
      </c>
      <c r="K94" s="32">
        <v>38.17</v>
      </c>
      <c r="L94" s="32">
        <v>43.481499999999997</v>
      </c>
      <c r="M94" s="32">
        <v>43.437899999999999</v>
      </c>
      <c r="N94" s="18">
        <v>15.737</v>
      </c>
      <c r="O94" s="18">
        <f t="shared" si="7"/>
        <v>39.492425000000004</v>
      </c>
      <c r="P94" s="7"/>
      <c r="Q94" s="10"/>
      <c r="R94" s="11"/>
      <c r="S94" s="11"/>
      <c r="T94" s="26"/>
      <c r="U94" s="28">
        <f t="shared" si="8"/>
        <v>1.9470037453183522</v>
      </c>
    </row>
    <row r="95" spans="1:21" x14ac:dyDescent="0.25">
      <c r="B95" s="9"/>
      <c r="C95" s="17">
        <v>546.9</v>
      </c>
      <c r="D95" s="18">
        <v>35.679000000000002</v>
      </c>
      <c r="E95" s="18">
        <v>40.695999999999998</v>
      </c>
      <c r="F95" s="18">
        <v>40.688000000000002</v>
      </c>
      <c r="G95" s="18">
        <v>6.15</v>
      </c>
      <c r="H95" s="18">
        <f t="shared" si="6"/>
        <v>36.932250000000003</v>
      </c>
      <c r="I95" s="5"/>
      <c r="J95" s="31">
        <v>600.48040000000003</v>
      </c>
      <c r="K95" s="32">
        <v>35.8889</v>
      </c>
      <c r="L95" s="32">
        <v>41.982999999999997</v>
      </c>
      <c r="M95" s="32">
        <v>41.936</v>
      </c>
      <c r="N95" s="18">
        <v>18.990100000000002</v>
      </c>
      <c r="O95" s="18">
        <f t="shared" si="7"/>
        <v>37.406549999999996</v>
      </c>
      <c r="P95" s="7"/>
      <c r="Q95" s="10"/>
      <c r="R95" s="11"/>
      <c r="S95" s="11"/>
      <c r="T95" s="26"/>
      <c r="U95" s="28">
        <f t="shared" si="8"/>
        <v>2.0878211382113823</v>
      </c>
    </row>
    <row r="96" spans="1:21" ht="16.5" thickBot="1" x14ac:dyDescent="0.3">
      <c r="B96" s="12"/>
      <c r="C96" s="19">
        <v>272.17</v>
      </c>
      <c r="D96" s="20">
        <v>32.622999999999998</v>
      </c>
      <c r="E96" s="20">
        <v>38.47</v>
      </c>
      <c r="F96" s="20">
        <v>38.438000000000002</v>
      </c>
      <c r="G96" s="20">
        <v>7.46</v>
      </c>
      <c r="H96" s="20">
        <f t="shared" si="6"/>
        <v>34.080750000000002</v>
      </c>
      <c r="I96" s="5"/>
      <c r="J96" s="33">
        <v>301.80450000000002</v>
      </c>
      <c r="K96" s="34">
        <v>32.931199999999997</v>
      </c>
      <c r="L96" s="34">
        <v>40.172499999999999</v>
      </c>
      <c r="M96" s="34">
        <v>40.088099999999997</v>
      </c>
      <c r="N96" s="20">
        <v>24.4771</v>
      </c>
      <c r="O96" s="20">
        <f t="shared" si="7"/>
        <v>34.730975000000001</v>
      </c>
      <c r="P96" s="7"/>
      <c r="Q96" s="13"/>
      <c r="R96" s="14"/>
      <c r="S96" s="14"/>
      <c r="T96" s="27"/>
      <c r="U96" s="28">
        <f t="shared" si="8"/>
        <v>2.281112600536193</v>
      </c>
    </row>
    <row r="97" spans="2:21" x14ac:dyDescent="0.25">
      <c r="B97" s="6" t="s">
        <v>107</v>
      </c>
      <c r="C97" s="29">
        <v>1519.98</v>
      </c>
      <c r="D97" s="30">
        <v>38.048000000000002</v>
      </c>
      <c r="E97" s="30">
        <v>41.933999999999997</v>
      </c>
      <c r="F97" s="30">
        <v>42.408999999999999</v>
      </c>
      <c r="G97" s="16">
        <v>6.22</v>
      </c>
      <c r="H97" s="16">
        <f t="shared" si="6"/>
        <v>39.078874999999996</v>
      </c>
      <c r="I97" s="5"/>
      <c r="J97" s="15">
        <v>1509.9623999999999</v>
      </c>
      <c r="K97" s="16">
        <v>38.204999999999998</v>
      </c>
      <c r="L97" s="16">
        <v>43.0672</v>
      </c>
      <c r="M97" s="16">
        <v>43.542700000000004</v>
      </c>
      <c r="N97" s="16">
        <v>13.9168</v>
      </c>
      <c r="O97" s="16">
        <f t="shared" si="7"/>
        <v>39.4799875</v>
      </c>
      <c r="P97" s="7"/>
      <c r="Q97" s="8">
        <f>bdrate(C97:C100,D97:D100,J97:J100,K97:K100)</f>
        <v>-4.9011948538825734E-2</v>
      </c>
      <c r="R97" s="8">
        <f>bdrate(C97:C100,E97:E100,J97:J100,L97:L100)</f>
        <v>-0.3781647995281312</v>
      </c>
      <c r="S97" s="8">
        <f>bdrate(C97:C100,F97:F100,J97:J100,M97:M100)</f>
        <v>-0.38789640396695213</v>
      </c>
      <c r="T97" s="25">
        <f>bdrate(C97:C100,H97:H100,J97:J100,O97:O100)</f>
        <v>-0.12802455667954482</v>
      </c>
      <c r="U97" s="28">
        <f t="shared" si="8"/>
        <v>1.2374276527331192</v>
      </c>
    </row>
    <row r="98" spans="2:21" x14ac:dyDescent="0.25">
      <c r="B98" s="9"/>
      <c r="C98" s="31">
        <v>1014.31</v>
      </c>
      <c r="D98" s="32">
        <v>36.155000000000001</v>
      </c>
      <c r="E98" s="32">
        <v>40.314999999999998</v>
      </c>
      <c r="F98" s="32">
        <v>40.863</v>
      </c>
      <c r="G98" s="18">
        <v>6.92</v>
      </c>
      <c r="H98" s="18">
        <f t="shared" si="6"/>
        <v>37.263500000000001</v>
      </c>
      <c r="I98" s="5"/>
      <c r="J98" s="17">
        <v>1007.6187</v>
      </c>
      <c r="K98" s="18">
        <v>36.338200000000001</v>
      </c>
      <c r="L98" s="18">
        <v>41.774799999999999</v>
      </c>
      <c r="M98" s="18">
        <v>42.326999999999998</v>
      </c>
      <c r="N98" s="18">
        <v>16.180800000000001</v>
      </c>
      <c r="O98" s="18">
        <f t="shared" si="7"/>
        <v>37.766374999999996</v>
      </c>
      <c r="P98" s="7"/>
      <c r="Q98" s="10"/>
      <c r="R98" s="11"/>
      <c r="S98" s="11"/>
      <c r="T98" s="26"/>
      <c r="U98" s="28">
        <f t="shared" si="8"/>
        <v>1.3382658959537574</v>
      </c>
    </row>
    <row r="99" spans="2:21" x14ac:dyDescent="0.25">
      <c r="B99" s="9"/>
      <c r="C99" s="31">
        <v>609.44000000000005</v>
      </c>
      <c r="D99" s="32">
        <v>33.868000000000002</v>
      </c>
      <c r="E99" s="32">
        <v>38.409999999999997</v>
      </c>
      <c r="F99" s="32">
        <v>39.052999999999997</v>
      </c>
      <c r="G99" s="18">
        <v>7.83</v>
      </c>
      <c r="H99" s="18">
        <f t="shared" si="6"/>
        <v>35.083875000000006</v>
      </c>
      <c r="I99" s="5"/>
      <c r="J99" s="17">
        <v>605.06079999999997</v>
      </c>
      <c r="K99" s="18">
        <v>34.069899999999997</v>
      </c>
      <c r="L99" s="18">
        <v>40.1297</v>
      </c>
      <c r="M99" s="18">
        <v>40.734000000000002</v>
      </c>
      <c r="N99" s="18">
        <v>19.320799999999998</v>
      </c>
      <c r="O99" s="18">
        <f t="shared" si="7"/>
        <v>35.660387499999999</v>
      </c>
      <c r="P99" s="7"/>
      <c r="Q99" s="10"/>
      <c r="R99" s="11"/>
      <c r="S99" s="11"/>
      <c r="T99" s="26"/>
      <c r="U99" s="28">
        <f t="shared" si="8"/>
        <v>1.4675351213282246</v>
      </c>
    </row>
    <row r="100" spans="2:21" ht="16.5" thickBot="1" x14ac:dyDescent="0.3">
      <c r="B100" s="12"/>
      <c r="C100" s="33">
        <v>304.35000000000002</v>
      </c>
      <c r="D100" s="34">
        <v>30.707000000000001</v>
      </c>
      <c r="E100" s="34">
        <v>36</v>
      </c>
      <c r="F100" s="34">
        <v>36.780999999999999</v>
      </c>
      <c r="G100" s="20">
        <v>9.15</v>
      </c>
      <c r="H100" s="20">
        <f t="shared" si="6"/>
        <v>32.127875000000003</v>
      </c>
      <c r="I100" s="5"/>
      <c r="J100" s="19">
        <v>303.52440000000001</v>
      </c>
      <c r="K100" s="20">
        <v>30.9529</v>
      </c>
      <c r="L100" s="20">
        <v>37.965600000000002</v>
      </c>
      <c r="M100" s="20">
        <v>38.68</v>
      </c>
      <c r="N100" s="20">
        <v>24.786899999999999</v>
      </c>
      <c r="O100" s="20">
        <f t="shared" si="7"/>
        <v>32.795375</v>
      </c>
      <c r="P100" s="7"/>
      <c r="Q100" s="13"/>
      <c r="R100" s="14"/>
      <c r="S100" s="14"/>
      <c r="T100" s="27"/>
      <c r="U100" s="28">
        <f t="shared" si="8"/>
        <v>1.708950819672131</v>
      </c>
    </row>
    <row r="101" spans="2:21" x14ac:dyDescent="0.25">
      <c r="B101" s="6" t="s">
        <v>108</v>
      </c>
      <c r="C101" s="15">
        <v>1488</v>
      </c>
      <c r="D101" s="16">
        <v>38.21</v>
      </c>
      <c r="E101" s="16">
        <v>43.494999999999997</v>
      </c>
      <c r="F101" s="16">
        <v>45.186999999999998</v>
      </c>
      <c r="G101" s="16">
        <v>4.3899999999999997</v>
      </c>
      <c r="H101" s="16">
        <f t="shared" si="6"/>
        <v>39.742750000000001</v>
      </c>
      <c r="I101" s="5"/>
      <c r="J101" s="15">
        <v>1510.2895000000001</v>
      </c>
      <c r="K101" s="16">
        <v>38.092700000000001</v>
      </c>
      <c r="L101" s="16">
        <v>44.1601</v>
      </c>
      <c r="M101" s="16">
        <v>45.662199999999999</v>
      </c>
      <c r="N101" s="16">
        <v>13.239800000000001</v>
      </c>
      <c r="O101" s="16">
        <f t="shared" si="7"/>
        <v>39.797312499999997</v>
      </c>
      <c r="P101" s="7"/>
      <c r="Q101" s="8">
        <f>bdrate(C101:C104,D101:D104,J101:J104,K101:K104)</f>
        <v>3.4429212180304258E-2</v>
      </c>
      <c r="R101" s="8">
        <f>bdrate(C101:C104,E101:E104,J101:J104,L101:L104)</f>
        <v>-0.34912262673293815</v>
      </c>
      <c r="S101" s="8">
        <f>bdrate(C101:C104,F101:F104,J101:J104,M101:M104)</f>
        <v>-0.28506802927597508</v>
      </c>
      <c r="T101" s="25">
        <f>bdrate(C101:C104,H101:H104,J101:J104,O101:O104)</f>
        <v>-4.9119583852027526E-2</v>
      </c>
      <c r="U101" s="28">
        <f t="shared" si="8"/>
        <v>2.015899772209568</v>
      </c>
    </row>
    <row r="102" spans="2:21" x14ac:dyDescent="0.25">
      <c r="B102" s="9"/>
      <c r="C102" s="17">
        <v>992.89</v>
      </c>
      <c r="D102" s="18">
        <v>36.755000000000003</v>
      </c>
      <c r="E102" s="18">
        <v>42.363999999999997</v>
      </c>
      <c r="F102" s="18">
        <v>43.984000000000002</v>
      </c>
      <c r="G102" s="18">
        <v>5.01</v>
      </c>
      <c r="H102" s="18">
        <f t="shared" si="6"/>
        <v>38.359749999999998</v>
      </c>
      <c r="I102" s="5"/>
      <c r="J102" s="17">
        <v>1008.2012999999999</v>
      </c>
      <c r="K102" s="18">
        <v>36.644100000000002</v>
      </c>
      <c r="L102" s="18">
        <v>43.216299999999997</v>
      </c>
      <c r="M102" s="18">
        <v>44.665399999999998</v>
      </c>
      <c r="N102" s="18">
        <v>15.582000000000001</v>
      </c>
      <c r="O102" s="18">
        <f t="shared" si="7"/>
        <v>38.468287499999995</v>
      </c>
      <c r="P102" s="7"/>
      <c r="Q102" s="10"/>
      <c r="R102" s="11"/>
      <c r="S102" s="11"/>
      <c r="T102" s="26"/>
      <c r="U102" s="28">
        <f t="shared" si="8"/>
        <v>2.1101796407185631</v>
      </c>
    </row>
    <row r="103" spans="2:21" x14ac:dyDescent="0.25">
      <c r="B103" s="9"/>
      <c r="C103" s="17">
        <v>595.91</v>
      </c>
      <c r="D103" s="18">
        <v>35.042000000000002</v>
      </c>
      <c r="E103" s="18">
        <v>41.058999999999997</v>
      </c>
      <c r="F103" s="18">
        <v>42.488</v>
      </c>
      <c r="G103" s="18">
        <v>5.94</v>
      </c>
      <c r="H103" s="18">
        <f t="shared" si="6"/>
        <v>36.724874999999997</v>
      </c>
      <c r="I103" s="5"/>
      <c r="J103" s="17">
        <v>604.59730000000002</v>
      </c>
      <c r="K103" s="18">
        <v>34.9985</v>
      </c>
      <c r="L103" s="18">
        <v>42.191400000000002</v>
      </c>
      <c r="M103" s="18">
        <v>43.527999999999999</v>
      </c>
      <c r="N103" s="18">
        <v>19.005800000000001</v>
      </c>
      <c r="O103" s="18">
        <f t="shared" si="7"/>
        <v>36.963799999999999</v>
      </c>
      <c r="P103" s="7"/>
      <c r="Q103" s="10"/>
      <c r="R103" s="11"/>
      <c r="S103" s="11"/>
      <c r="T103" s="26"/>
      <c r="U103" s="28">
        <f t="shared" si="8"/>
        <v>2.1996296296296296</v>
      </c>
    </row>
    <row r="104" spans="2:21" ht="16.5" thickBot="1" x14ac:dyDescent="0.3">
      <c r="B104" s="12"/>
      <c r="C104" s="19">
        <v>302.38</v>
      </c>
      <c r="D104" s="20">
        <v>32.944000000000003</v>
      </c>
      <c r="E104" s="20">
        <v>39.429000000000002</v>
      </c>
      <c r="F104" s="20">
        <v>40.674999999999997</v>
      </c>
      <c r="G104" s="20">
        <v>7.44</v>
      </c>
      <c r="H104" s="20">
        <f t="shared" si="6"/>
        <v>34.721000000000004</v>
      </c>
      <c r="I104" s="5"/>
      <c r="J104" s="19">
        <v>300.5188</v>
      </c>
      <c r="K104" s="20">
        <v>32.883299999999998</v>
      </c>
      <c r="L104" s="20">
        <v>40.826300000000003</v>
      </c>
      <c r="M104" s="20">
        <v>42.002200000000002</v>
      </c>
      <c r="N104" s="20">
        <v>24.597200000000001</v>
      </c>
      <c r="O104" s="20">
        <f t="shared" si="7"/>
        <v>35.016037500000003</v>
      </c>
      <c r="P104" s="7"/>
      <c r="Q104" s="13"/>
      <c r="R104" s="14"/>
      <c r="S104" s="14"/>
      <c r="T104" s="27"/>
      <c r="U104" s="28">
        <f t="shared" si="8"/>
        <v>2.3060752688172039</v>
      </c>
    </row>
    <row r="105" spans="2:21" x14ac:dyDescent="0.25">
      <c r="B105" s="6" t="s">
        <v>109</v>
      </c>
      <c r="C105" s="15">
        <v>1612.57</v>
      </c>
      <c r="D105" s="16">
        <v>49.697000000000003</v>
      </c>
      <c r="E105" s="16">
        <v>54.845999999999997</v>
      </c>
      <c r="F105" s="16">
        <v>56.137</v>
      </c>
      <c r="G105" s="16">
        <v>5.84</v>
      </c>
      <c r="H105" s="16">
        <f t="shared" si="6"/>
        <v>51.145625000000003</v>
      </c>
      <c r="I105" s="5"/>
      <c r="J105" s="15">
        <v>1496.7476999999999</v>
      </c>
      <c r="K105" s="16">
        <v>49.448799999999999</v>
      </c>
      <c r="L105" s="16">
        <v>54.354399999999998</v>
      </c>
      <c r="M105" s="16">
        <v>55.7181</v>
      </c>
      <c r="N105" s="16">
        <v>16.457899999999999</v>
      </c>
      <c r="O105" s="16">
        <f t="shared" si="7"/>
        <v>50.845662499999996</v>
      </c>
      <c r="P105" s="7"/>
      <c r="Q105" s="8">
        <f>bdrate(C105:C108,D105:D108,J105:J108,K105:K108)</f>
        <v>-7.5401811638906024E-2</v>
      </c>
      <c r="R105" s="8">
        <f>bdrate(C105:C108,E105:E108,J105:J108,L105:L108)</f>
        <v>-3.5833277753615889E-2</v>
      </c>
      <c r="S105" s="8">
        <f>bdrate(C105:C108,F105:F108,J105:J108,M105:M108)</f>
        <v>-5.1809052041716153E-2</v>
      </c>
      <c r="T105" s="25">
        <f>bdrate(C105:C108,H105:H108,J105:J108,O105:O108)</f>
        <v>-6.8236485371726774E-2</v>
      </c>
      <c r="U105" s="28">
        <f t="shared" si="8"/>
        <v>1.8181335616438354</v>
      </c>
    </row>
    <row r="106" spans="2:21" x14ac:dyDescent="0.25">
      <c r="B106" s="9"/>
      <c r="C106" s="17">
        <v>1068.8</v>
      </c>
      <c r="D106" s="18">
        <v>47.917999999999999</v>
      </c>
      <c r="E106" s="18">
        <v>53.264000000000003</v>
      </c>
      <c r="F106" s="18">
        <v>54.648000000000003</v>
      </c>
      <c r="G106" s="18">
        <v>6.88</v>
      </c>
      <c r="H106" s="18">
        <f t="shared" si="6"/>
        <v>49.427500000000002</v>
      </c>
      <c r="I106" s="5"/>
      <c r="J106" s="17">
        <v>1003.4499</v>
      </c>
      <c r="K106" s="18">
        <v>47.867400000000004</v>
      </c>
      <c r="L106" s="18">
        <v>52.963700000000003</v>
      </c>
      <c r="M106" s="18">
        <v>54.437600000000003</v>
      </c>
      <c r="N106" s="18">
        <v>19.316700000000001</v>
      </c>
      <c r="O106" s="18">
        <f t="shared" si="7"/>
        <v>49.325712500000009</v>
      </c>
      <c r="P106" s="7"/>
      <c r="Q106" s="10"/>
      <c r="R106" s="11"/>
      <c r="S106" s="11"/>
      <c r="T106" s="26"/>
      <c r="U106" s="28">
        <f t="shared" si="8"/>
        <v>1.8076598837209306</v>
      </c>
    </row>
    <row r="107" spans="2:21" x14ac:dyDescent="0.25">
      <c r="B107" s="9"/>
      <c r="C107" s="17">
        <v>639.42999999999995</v>
      </c>
      <c r="D107" s="18">
        <v>45.749000000000002</v>
      </c>
      <c r="E107" s="18">
        <v>51.292000000000002</v>
      </c>
      <c r="F107" s="18">
        <v>52.741999999999997</v>
      </c>
      <c r="G107" s="18">
        <v>8.39</v>
      </c>
      <c r="H107" s="18">
        <f t="shared" si="6"/>
        <v>47.31600000000001</v>
      </c>
      <c r="I107" s="5"/>
      <c r="J107" s="17">
        <v>601.31110000000001</v>
      </c>
      <c r="K107" s="18">
        <v>45.884099999999997</v>
      </c>
      <c r="L107" s="18">
        <v>51.249600000000001</v>
      </c>
      <c r="M107" s="18">
        <v>52.7515</v>
      </c>
      <c r="N107" s="18">
        <v>23.4056</v>
      </c>
      <c r="O107" s="18">
        <f t="shared" si="7"/>
        <v>47.4132125</v>
      </c>
      <c r="P107" s="7"/>
      <c r="Q107" s="10"/>
      <c r="R107" s="11"/>
      <c r="S107" s="11"/>
      <c r="T107" s="26"/>
      <c r="U107" s="28">
        <f t="shared" si="8"/>
        <v>1.7897020262216923</v>
      </c>
    </row>
    <row r="108" spans="2:21" ht="16.5" thickBot="1" x14ac:dyDescent="0.3">
      <c r="B108" s="12"/>
      <c r="C108" s="19">
        <v>318.58</v>
      </c>
      <c r="D108" s="20">
        <v>42.819000000000003</v>
      </c>
      <c r="E108" s="20">
        <v>48.470999999999997</v>
      </c>
      <c r="F108" s="20">
        <v>49.902000000000001</v>
      </c>
      <c r="G108" s="20">
        <v>10.69</v>
      </c>
      <c r="H108" s="20">
        <f t="shared" si="6"/>
        <v>44.410874999999997</v>
      </c>
      <c r="I108" s="5"/>
      <c r="J108" s="19">
        <v>302.33839999999998</v>
      </c>
      <c r="K108" s="20">
        <v>43.067900000000002</v>
      </c>
      <c r="L108" s="20">
        <v>48.777900000000002</v>
      </c>
      <c r="M108" s="20">
        <v>50.268900000000002</v>
      </c>
      <c r="N108" s="20">
        <v>30.686599999999999</v>
      </c>
      <c r="O108" s="20">
        <f t="shared" si="7"/>
        <v>44.681775000000002</v>
      </c>
      <c r="P108" s="7"/>
      <c r="Q108" s="13"/>
      <c r="R108" s="14"/>
      <c r="S108" s="14"/>
      <c r="T108" s="27"/>
      <c r="U108" s="28">
        <f t="shared" si="8"/>
        <v>1.8705893358278767</v>
      </c>
    </row>
    <row r="109" spans="2:21" x14ac:dyDescent="0.25">
      <c r="B109" s="6" t="s">
        <v>110</v>
      </c>
      <c r="C109" s="15">
        <v>1465.9</v>
      </c>
      <c r="D109" s="16">
        <v>33.215000000000003</v>
      </c>
      <c r="E109" s="16">
        <v>40.396000000000001</v>
      </c>
      <c r="F109" s="16">
        <v>39.869</v>
      </c>
      <c r="G109" s="16">
        <v>3.9</v>
      </c>
      <c r="H109" s="16">
        <f t="shared" si="6"/>
        <v>34.944375000000008</v>
      </c>
      <c r="I109" s="5"/>
      <c r="J109" s="15">
        <v>1496.1071999999999</v>
      </c>
      <c r="K109" s="16">
        <v>33.0715</v>
      </c>
      <c r="L109" s="16">
        <v>41.473500000000001</v>
      </c>
      <c r="M109" s="16">
        <v>40.865600000000001</v>
      </c>
      <c r="N109" s="16">
        <v>9.0589999999999993</v>
      </c>
      <c r="O109" s="16">
        <f t="shared" si="7"/>
        <v>35.096012500000001</v>
      </c>
      <c r="P109" s="7"/>
      <c r="Q109" s="8">
        <f>bdrate(C109:C112,D109:D112,J109:J112,K109:K112)</f>
        <v>-2.7240240676214E-2</v>
      </c>
      <c r="R109" s="8">
        <f>bdrate(C109:C112,E109:E112,J109:J112,L109:L112)</f>
        <v>-0.45739520844069648</v>
      </c>
      <c r="S109" s="8">
        <f>bdrate(C109:C112,F109:F112,J109:J112,M109:M112)</f>
        <v>-0.44361971871262618</v>
      </c>
      <c r="T109" s="25">
        <f>bdrate(C109:C112,H109:H112,J109:J112,O109:O112)</f>
        <v>-0.12086542560393898</v>
      </c>
      <c r="U109" s="28">
        <f t="shared" si="8"/>
        <v>1.3228205128205126</v>
      </c>
    </row>
    <row r="110" spans="2:21" x14ac:dyDescent="0.25">
      <c r="B110" s="9"/>
      <c r="C110" s="17">
        <v>978.31</v>
      </c>
      <c r="D110" s="18">
        <v>31.452000000000002</v>
      </c>
      <c r="E110" s="18">
        <v>39.091999999999999</v>
      </c>
      <c r="F110" s="18">
        <v>38.524000000000001</v>
      </c>
      <c r="G110" s="18">
        <v>4.4000000000000004</v>
      </c>
      <c r="H110" s="18">
        <f t="shared" si="6"/>
        <v>33.291000000000004</v>
      </c>
      <c r="I110" s="5"/>
      <c r="J110" s="17">
        <v>994.04750000000001</v>
      </c>
      <c r="K110" s="18">
        <v>31.399699999999999</v>
      </c>
      <c r="L110" s="18">
        <v>40.608199999999997</v>
      </c>
      <c r="M110" s="18">
        <v>39.981299999999997</v>
      </c>
      <c r="N110" s="18">
        <v>10.585699999999999</v>
      </c>
      <c r="O110" s="18">
        <f t="shared" si="7"/>
        <v>33.623462499999995</v>
      </c>
      <c r="P110" s="7"/>
      <c r="Q110" s="10"/>
      <c r="R110" s="11"/>
      <c r="S110" s="11"/>
      <c r="T110" s="26"/>
      <c r="U110" s="28">
        <f t="shared" si="8"/>
        <v>1.4058409090909088</v>
      </c>
    </row>
    <row r="111" spans="2:21" x14ac:dyDescent="0.25">
      <c r="B111" s="9"/>
      <c r="C111" s="17">
        <v>587.17999999999995</v>
      </c>
      <c r="D111" s="18">
        <v>29.164999999999999</v>
      </c>
      <c r="E111" s="18">
        <v>37.371000000000002</v>
      </c>
      <c r="F111" s="18">
        <v>36.704000000000001</v>
      </c>
      <c r="G111" s="18">
        <v>5.05</v>
      </c>
      <c r="H111" s="18">
        <f t="shared" si="6"/>
        <v>31.133125000000003</v>
      </c>
      <c r="I111" s="5"/>
      <c r="J111" s="17">
        <v>596.07950000000005</v>
      </c>
      <c r="K111" s="18">
        <v>29.263000000000002</v>
      </c>
      <c r="L111" s="18">
        <v>39.409700000000001</v>
      </c>
      <c r="M111" s="18">
        <v>38.756700000000002</v>
      </c>
      <c r="N111" s="18">
        <v>12.7469</v>
      </c>
      <c r="O111" s="18">
        <f t="shared" si="7"/>
        <v>31.718050000000002</v>
      </c>
      <c r="P111" s="7"/>
      <c r="Q111" s="10"/>
      <c r="R111" s="11"/>
      <c r="S111" s="11"/>
      <c r="T111" s="26"/>
      <c r="U111" s="28">
        <f t="shared" si="8"/>
        <v>1.5241386138613862</v>
      </c>
    </row>
    <row r="112" spans="2:21" ht="16.5" thickBot="1" x14ac:dyDescent="0.3">
      <c r="B112" s="12"/>
      <c r="C112" s="19">
        <v>301.76</v>
      </c>
      <c r="D112" s="20">
        <v>24.76</v>
      </c>
      <c r="E112" s="20">
        <v>33.237000000000002</v>
      </c>
      <c r="F112" s="20">
        <v>32.909999999999997</v>
      </c>
      <c r="G112" s="20">
        <v>9.7799999999999994</v>
      </c>
      <c r="H112" s="20">
        <f t="shared" si="6"/>
        <v>26.838374999999999</v>
      </c>
      <c r="I112" s="5"/>
      <c r="J112" s="19">
        <v>298.79689999999999</v>
      </c>
      <c r="K112" s="20">
        <v>26.541</v>
      </c>
      <c r="L112" s="20">
        <v>37.438000000000002</v>
      </c>
      <c r="M112" s="20">
        <v>36.787100000000002</v>
      </c>
      <c r="N112" s="20">
        <v>16.396699999999999</v>
      </c>
      <c r="O112" s="20">
        <f t="shared" si="7"/>
        <v>29.183887500000004</v>
      </c>
      <c r="P112" s="7"/>
      <c r="Q112" s="13"/>
      <c r="R112" s="14"/>
      <c r="S112" s="14"/>
      <c r="T112" s="27"/>
      <c r="U112" s="28">
        <f t="shared" si="8"/>
        <v>0.6765541922290389</v>
      </c>
    </row>
    <row r="113" spans="2:21" x14ac:dyDescent="0.25">
      <c r="B113" s="6" t="s">
        <v>111</v>
      </c>
      <c r="C113" s="15">
        <v>1666.15</v>
      </c>
      <c r="D113" s="16">
        <v>47.167000000000002</v>
      </c>
      <c r="E113" s="16">
        <v>47.982999999999997</v>
      </c>
      <c r="F113" s="16">
        <v>47.917999999999999</v>
      </c>
      <c r="G113" s="16">
        <v>6.45</v>
      </c>
      <c r="H113" s="16">
        <f t="shared" si="6"/>
        <v>47.362875000000003</v>
      </c>
      <c r="I113" s="5"/>
      <c r="J113" s="15">
        <v>1422.4167</v>
      </c>
      <c r="K113" s="16">
        <v>46.758899999999997</v>
      </c>
      <c r="L113" s="16">
        <v>48.134099999999997</v>
      </c>
      <c r="M113" s="16">
        <v>48.070900000000002</v>
      </c>
      <c r="N113" s="16">
        <v>11.793100000000001</v>
      </c>
      <c r="O113" s="16">
        <f t="shared" si="7"/>
        <v>47.094799999999999</v>
      </c>
      <c r="P113" s="7"/>
      <c r="Q113" s="8">
        <f>bdrate(C113:C116,D113:D116,J113:J116,K113:K116)</f>
        <v>-7.9526101617536038E-2</v>
      </c>
      <c r="R113" s="8">
        <f>bdrate(C113:C116,E113:E116,J113:J116,L113:L116)</f>
        <v>-0.24537617844808723</v>
      </c>
      <c r="S113" s="8">
        <f>bdrate(C113:C116,F113:F116,J113:J116,M113:M116)</f>
        <v>-0.24498870677925222</v>
      </c>
      <c r="T113" s="25">
        <f>bdrate(C113:C116,H113:H116,J113:J116,O113:O116)</f>
        <v>-0.11864557049363855</v>
      </c>
      <c r="U113" s="28">
        <f t="shared" si="8"/>
        <v>0.82838759689922492</v>
      </c>
    </row>
    <row r="114" spans="2:21" x14ac:dyDescent="0.25">
      <c r="B114" s="9"/>
      <c r="C114" s="17">
        <v>1101.92</v>
      </c>
      <c r="D114" s="18">
        <v>45.216999999999999</v>
      </c>
      <c r="E114" s="18">
        <v>46.142000000000003</v>
      </c>
      <c r="F114" s="18">
        <v>46.024000000000001</v>
      </c>
      <c r="G114" s="18">
        <v>7.28</v>
      </c>
      <c r="H114" s="18">
        <f t="shared" si="6"/>
        <v>45.433500000000002</v>
      </c>
      <c r="I114" s="5"/>
      <c r="J114" s="17">
        <v>957.26649999999995</v>
      </c>
      <c r="K114" s="18">
        <v>45.1357</v>
      </c>
      <c r="L114" s="18">
        <v>46.744399999999999</v>
      </c>
      <c r="M114" s="18">
        <v>46.662500000000001</v>
      </c>
      <c r="N114" s="18">
        <v>16.176100000000002</v>
      </c>
      <c r="O114" s="18">
        <f t="shared" si="7"/>
        <v>45.527637500000004</v>
      </c>
      <c r="P114" s="7"/>
      <c r="Q114" s="10"/>
      <c r="R114" s="11"/>
      <c r="S114" s="11"/>
      <c r="T114" s="26"/>
      <c r="U114" s="28">
        <f t="shared" si="8"/>
        <v>1.2219917582417583</v>
      </c>
    </row>
    <row r="115" spans="2:21" x14ac:dyDescent="0.25">
      <c r="B115" s="9"/>
      <c r="C115" s="17">
        <v>655.41</v>
      </c>
      <c r="D115" s="18">
        <v>42.454999999999998</v>
      </c>
      <c r="E115" s="18">
        <v>43.621000000000002</v>
      </c>
      <c r="F115" s="18">
        <v>43.460999999999999</v>
      </c>
      <c r="G115" s="18">
        <v>8.2899999999999991</v>
      </c>
      <c r="H115" s="18">
        <f t="shared" si="6"/>
        <v>42.726500000000001</v>
      </c>
      <c r="I115" s="5"/>
      <c r="J115" s="17">
        <v>594.76210000000003</v>
      </c>
      <c r="K115" s="18">
        <v>42.392200000000003</v>
      </c>
      <c r="L115" s="18">
        <v>44.580599999999997</v>
      </c>
      <c r="M115" s="18">
        <v>44.404600000000002</v>
      </c>
      <c r="N115" s="18">
        <v>21.6479</v>
      </c>
      <c r="O115" s="18">
        <f t="shared" si="7"/>
        <v>42.917300000000004</v>
      </c>
      <c r="P115" s="7"/>
      <c r="Q115" s="10"/>
      <c r="R115" s="11"/>
      <c r="S115" s="11"/>
      <c r="T115" s="26"/>
      <c r="U115" s="28">
        <f t="shared" si="8"/>
        <v>1.6113268998793731</v>
      </c>
    </row>
    <row r="116" spans="2:21" ht="16.5" thickBot="1" x14ac:dyDescent="0.3">
      <c r="B116" s="12"/>
      <c r="C116" s="19">
        <v>325.01</v>
      </c>
      <c r="D116" s="20">
        <v>38.296999999999997</v>
      </c>
      <c r="E116" s="20">
        <v>40.119999999999997</v>
      </c>
      <c r="F116" s="20">
        <v>39.862000000000002</v>
      </c>
      <c r="G116" s="20">
        <v>9.75</v>
      </c>
      <c r="H116" s="20">
        <f t="shared" si="6"/>
        <v>38.720500000000001</v>
      </c>
      <c r="I116" s="5"/>
      <c r="J116" s="19">
        <v>303.74369999999999</v>
      </c>
      <c r="K116" s="20">
        <v>38.0229</v>
      </c>
      <c r="L116" s="20">
        <v>41.206099999999999</v>
      </c>
      <c r="M116" s="20">
        <v>41.040199999999999</v>
      </c>
      <c r="N116" s="20">
        <v>27.944700000000001</v>
      </c>
      <c r="O116" s="20">
        <f t="shared" si="7"/>
        <v>38.797962499999997</v>
      </c>
      <c r="P116" s="7"/>
      <c r="Q116" s="13"/>
      <c r="R116" s="14"/>
      <c r="S116" s="14"/>
      <c r="T116" s="27"/>
      <c r="U116" s="28">
        <f t="shared" si="8"/>
        <v>1.866123076923077</v>
      </c>
    </row>
    <row r="117" spans="2:21" x14ac:dyDescent="0.25">
      <c r="B117" s="6" t="s">
        <v>112</v>
      </c>
      <c r="C117" s="15">
        <v>1964.41</v>
      </c>
      <c r="D117" s="16">
        <v>46.936</v>
      </c>
      <c r="E117" s="16">
        <v>48.975000000000001</v>
      </c>
      <c r="F117" s="16">
        <v>49.225999999999999</v>
      </c>
      <c r="G117" s="16">
        <v>7.02</v>
      </c>
      <c r="H117" s="16">
        <f t="shared" si="6"/>
        <v>47.477125000000001</v>
      </c>
      <c r="I117" s="5"/>
      <c r="J117" s="15">
        <v>1414.8475000000001</v>
      </c>
      <c r="K117" s="16">
        <v>47.031700000000001</v>
      </c>
      <c r="L117" s="16">
        <v>49.980600000000003</v>
      </c>
      <c r="M117" s="16">
        <v>50.106699999999996</v>
      </c>
      <c r="N117" s="16">
        <v>11.757099999999999</v>
      </c>
      <c r="O117" s="16">
        <f t="shared" si="7"/>
        <v>47.784687499999997</v>
      </c>
      <c r="P117" s="7"/>
      <c r="Q117" s="8">
        <f>bdrate(C117:C120,D117:D120,J117:J120,K117:K120)</f>
        <v>-0.32369134818519474</v>
      </c>
      <c r="R117" s="8">
        <f>bdrate(C117:C120,E117:E120,J117:J120,L117:L120)</f>
        <v>-0.47514452776657212</v>
      </c>
      <c r="S117" s="8">
        <f>bdrate(C117:C120,F117:F120,J117:J120,M117:M120)</f>
        <v>-0.47586698922767778</v>
      </c>
      <c r="T117" s="25">
        <f>bdrate(C117:C120,H117:H120,J117:J120,O117:O120)</f>
        <v>-0.36552015754044676</v>
      </c>
      <c r="U117" s="28">
        <f t="shared" si="8"/>
        <v>0.67480056980056979</v>
      </c>
    </row>
    <row r="118" spans="2:21" x14ac:dyDescent="0.25">
      <c r="B118" s="9"/>
      <c r="C118" s="17">
        <v>1280.79</v>
      </c>
      <c r="D118" s="18">
        <v>44.499000000000002</v>
      </c>
      <c r="E118" s="18">
        <v>46.591000000000001</v>
      </c>
      <c r="F118" s="18">
        <v>46.834000000000003</v>
      </c>
      <c r="G118" s="18">
        <v>8.06</v>
      </c>
      <c r="H118" s="18">
        <f t="shared" si="6"/>
        <v>45.052375000000005</v>
      </c>
      <c r="I118" s="5"/>
      <c r="J118" s="17">
        <v>976.02710000000002</v>
      </c>
      <c r="K118" s="18">
        <v>45.921500000000002</v>
      </c>
      <c r="L118" s="18">
        <v>49.133600000000001</v>
      </c>
      <c r="M118" s="18">
        <v>49.265700000000002</v>
      </c>
      <c r="N118" s="18">
        <v>13.715</v>
      </c>
      <c r="O118" s="18">
        <f t="shared" si="7"/>
        <v>46.741037499999997</v>
      </c>
      <c r="P118" s="7"/>
      <c r="Q118" s="10"/>
      <c r="R118" s="11"/>
      <c r="S118" s="11"/>
      <c r="T118" s="26"/>
      <c r="U118" s="28">
        <f t="shared" si="8"/>
        <v>0.70161290322580638</v>
      </c>
    </row>
    <row r="119" spans="2:21" x14ac:dyDescent="0.25">
      <c r="B119" s="9"/>
      <c r="C119" s="17">
        <v>748.71</v>
      </c>
      <c r="D119" s="18">
        <v>41.819000000000003</v>
      </c>
      <c r="E119" s="18">
        <v>43.883000000000003</v>
      </c>
      <c r="F119" s="18">
        <v>44.151000000000003</v>
      </c>
      <c r="G119" s="18">
        <v>9.33</v>
      </c>
      <c r="H119" s="18">
        <f t="shared" si="6"/>
        <v>42.368500000000004</v>
      </c>
      <c r="I119" s="5"/>
      <c r="J119" s="17">
        <v>637.94910000000004</v>
      </c>
      <c r="K119" s="18">
        <v>43.123199999999997</v>
      </c>
      <c r="L119" s="18">
        <v>46.406999999999996</v>
      </c>
      <c r="M119" s="18">
        <v>46.686300000000003</v>
      </c>
      <c r="N119" s="18">
        <v>14.161099999999999</v>
      </c>
      <c r="O119" s="18">
        <f t="shared" si="7"/>
        <v>43.979062499999998</v>
      </c>
      <c r="P119" s="7"/>
      <c r="Q119" s="10"/>
      <c r="R119" s="11"/>
      <c r="S119" s="11"/>
      <c r="T119" s="26"/>
      <c r="U119" s="28">
        <f t="shared" si="8"/>
        <v>0.51780278670953905</v>
      </c>
    </row>
    <row r="120" spans="2:21" ht="16.5" thickBot="1" x14ac:dyDescent="0.3">
      <c r="B120" s="12"/>
      <c r="C120" s="19">
        <v>359.89</v>
      </c>
      <c r="D120" s="20">
        <v>38.325000000000003</v>
      </c>
      <c r="E120" s="20">
        <v>40.624000000000002</v>
      </c>
      <c r="F120" s="20">
        <v>40.966000000000001</v>
      </c>
      <c r="G120" s="20">
        <v>11.21</v>
      </c>
      <c r="H120" s="20">
        <f t="shared" si="6"/>
        <v>38.942500000000003</v>
      </c>
      <c r="I120" s="5"/>
      <c r="J120" s="19">
        <v>359.91629999999998</v>
      </c>
      <c r="K120" s="20">
        <v>39.039099999999998</v>
      </c>
      <c r="L120" s="20">
        <v>42.818899999999999</v>
      </c>
      <c r="M120" s="20">
        <v>43.103299999999997</v>
      </c>
      <c r="N120" s="20">
        <v>23.2348</v>
      </c>
      <c r="O120" s="20">
        <f t="shared" si="7"/>
        <v>40.019599999999997</v>
      </c>
      <c r="P120" s="7"/>
      <c r="Q120" s="13"/>
      <c r="R120" s="14"/>
      <c r="S120" s="14"/>
      <c r="T120" s="27"/>
      <c r="U120" s="28">
        <f t="shared" si="8"/>
        <v>1.0726851025869757</v>
      </c>
    </row>
    <row r="121" spans="2:21" x14ac:dyDescent="0.25">
      <c r="B121" s="6" t="s">
        <v>113</v>
      </c>
      <c r="C121" s="15">
        <v>1537.18</v>
      </c>
      <c r="D121" s="16">
        <v>33.609000000000002</v>
      </c>
      <c r="E121" s="16">
        <v>36.881999999999998</v>
      </c>
      <c r="F121" s="16">
        <v>35.759</v>
      </c>
      <c r="G121" s="16">
        <v>4.62</v>
      </c>
      <c r="H121" s="16">
        <f t="shared" si="6"/>
        <v>34.286875000000002</v>
      </c>
      <c r="I121" s="5"/>
      <c r="J121" s="29">
        <v>1512.6177</v>
      </c>
      <c r="K121" s="30">
        <v>33.371499999999997</v>
      </c>
      <c r="L121" s="30">
        <v>37.816499999999998</v>
      </c>
      <c r="M121" s="30">
        <v>36.673000000000002</v>
      </c>
      <c r="N121" s="16">
        <v>10.8393</v>
      </c>
      <c r="O121" s="16">
        <f t="shared" si="7"/>
        <v>34.339812499999994</v>
      </c>
      <c r="P121" s="7"/>
      <c r="Q121" s="8">
        <f>bdrate(C121:C124,D121:D124,J121:J124,K121:K124)</f>
        <v>2.240844912979445E-2</v>
      </c>
      <c r="R121" s="8">
        <f>bdrate(C121:C124,E121:E124,J121:J124,L121:L124)</f>
        <v>-0.41672485407312287</v>
      </c>
      <c r="S121" s="8">
        <f>bdrate(C121:C124,F121:F124,J121:J124,M121:M124)</f>
        <v>-0.40094131731075067</v>
      </c>
      <c r="T121" s="25">
        <f>bdrate(C121:C124,H121:H124,J121:J124,O121:O124)</f>
        <v>-7.4454399795134796E-2</v>
      </c>
      <c r="U121" s="28">
        <f t="shared" si="8"/>
        <v>1.3461688311688311</v>
      </c>
    </row>
    <row r="122" spans="2:21" x14ac:dyDescent="0.25">
      <c r="B122" s="9"/>
      <c r="C122" s="17">
        <v>1020.77</v>
      </c>
      <c r="D122" s="18">
        <v>31.739000000000001</v>
      </c>
      <c r="E122" s="18">
        <v>35.488</v>
      </c>
      <c r="F122" s="18">
        <v>34.281999999999996</v>
      </c>
      <c r="G122" s="18">
        <v>5.21</v>
      </c>
      <c r="H122" s="18">
        <f t="shared" si="6"/>
        <v>32.525500000000001</v>
      </c>
      <c r="I122" s="5"/>
      <c r="J122" s="31">
        <v>1009.3217</v>
      </c>
      <c r="K122" s="32">
        <v>31.5001</v>
      </c>
      <c r="L122" s="32">
        <v>36.7776</v>
      </c>
      <c r="M122" s="32">
        <v>35.569200000000002</v>
      </c>
      <c r="N122" s="18">
        <v>12.4848</v>
      </c>
      <c r="O122" s="18">
        <f t="shared" si="7"/>
        <v>32.668424999999999</v>
      </c>
      <c r="P122" s="7"/>
      <c r="Q122" s="10"/>
      <c r="R122" s="11"/>
      <c r="S122" s="11"/>
      <c r="T122" s="26"/>
      <c r="U122" s="28">
        <f t="shared" si="8"/>
        <v>1.3963147792706334</v>
      </c>
    </row>
    <row r="123" spans="2:21" x14ac:dyDescent="0.25">
      <c r="B123" s="9"/>
      <c r="C123" s="17">
        <v>608.54999999999995</v>
      </c>
      <c r="D123" s="18">
        <v>29.501999999999999</v>
      </c>
      <c r="E123" s="18">
        <v>33.923999999999999</v>
      </c>
      <c r="F123" s="18">
        <v>32.616999999999997</v>
      </c>
      <c r="G123" s="18">
        <v>6.03</v>
      </c>
      <c r="H123" s="18">
        <f t="shared" si="6"/>
        <v>30.444125</v>
      </c>
      <c r="I123" s="5"/>
      <c r="J123" s="31">
        <v>606.07399999999996</v>
      </c>
      <c r="K123" s="32">
        <v>29.284300000000002</v>
      </c>
      <c r="L123" s="32">
        <v>35.514400000000002</v>
      </c>
      <c r="M123" s="32">
        <v>34.234299999999998</v>
      </c>
      <c r="N123" s="18">
        <v>14.312200000000001</v>
      </c>
      <c r="O123" s="18">
        <f t="shared" si="7"/>
        <v>30.681812499999999</v>
      </c>
      <c r="P123" s="7"/>
      <c r="Q123" s="10"/>
      <c r="R123" s="11"/>
      <c r="S123" s="11"/>
      <c r="T123" s="26"/>
      <c r="U123" s="28">
        <f t="shared" si="8"/>
        <v>1.3734991708126034</v>
      </c>
    </row>
    <row r="124" spans="2:21" ht="16.5" thickBot="1" x14ac:dyDescent="0.3">
      <c r="B124" s="12"/>
      <c r="C124" s="19">
        <v>286.92</v>
      </c>
      <c r="D124" s="20">
        <v>26.143999999999998</v>
      </c>
      <c r="E124" s="20">
        <v>31.213000000000001</v>
      </c>
      <c r="F124" s="20">
        <v>29.89</v>
      </c>
      <c r="G124" s="20">
        <v>7.82</v>
      </c>
      <c r="H124" s="20">
        <f t="shared" si="6"/>
        <v>27.245874999999998</v>
      </c>
      <c r="I124" s="5"/>
      <c r="J124" s="33">
        <v>303.81549999999999</v>
      </c>
      <c r="K124" s="34">
        <v>26.890599999999999</v>
      </c>
      <c r="L124" s="34">
        <v>33.975200000000001</v>
      </c>
      <c r="M124" s="34">
        <v>32.566499999999998</v>
      </c>
      <c r="N124" s="20">
        <v>19.487300000000001</v>
      </c>
      <c r="O124" s="20">
        <f t="shared" si="7"/>
        <v>28.485662499999997</v>
      </c>
      <c r="P124" s="7"/>
      <c r="Q124" s="13"/>
      <c r="R124" s="14"/>
      <c r="S124" s="14"/>
      <c r="T124" s="27"/>
      <c r="U124" s="28">
        <f t="shared" si="8"/>
        <v>1.4919820971867008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-4.4838538474159979E-2</v>
      </c>
      <c r="R125" s="21">
        <f>AVERAGE(R9:R124)</f>
        <v>-0.39568797380283482</v>
      </c>
      <c r="S125" s="21">
        <f>AVERAGE(S9:S124)</f>
        <v>-0.37700547295676462</v>
      </c>
      <c r="T125" s="21">
        <f>AVERAGE(T9:T124)</f>
        <v>-0.11936376200146653</v>
      </c>
      <c r="U125" s="21">
        <f>AVERAGE(U9:U124)</f>
        <v>1.5119200663638919</v>
      </c>
    </row>
    <row r="127" spans="2:21" s="35" customFormat="1" ht="15.75" customHeight="1" x14ac:dyDescent="0.25">
      <c r="B127" s="58" t="s">
        <v>29</v>
      </c>
      <c r="C127" s="60" t="s">
        <v>195</v>
      </c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2"/>
    </row>
    <row r="128" spans="2:21" s="35" customFormat="1" x14ac:dyDescent="0.25">
      <c r="B128" s="59"/>
      <c r="C128" s="63"/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5"/>
    </row>
    <row r="129" spans="1:21" ht="16.5" customHeight="1" thickBot="1" x14ac:dyDescent="0.3">
      <c r="C129" s="66" t="s">
        <v>79</v>
      </c>
      <c r="D129" s="67"/>
      <c r="E129" s="67"/>
      <c r="F129" s="67"/>
      <c r="G129" s="67"/>
      <c r="H129" s="67"/>
      <c r="I129" s="5"/>
      <c r="J129" s="66" t="s">
        <v>140</v>
      </c>
      <c r="K129" s="67"/>
      <c r="L129" s="67"/>
      <c r="M129" s="67"/>
      <c r="N129" s="67"/>
      <c r="O129" s="67"/>
      <c r="Q129" s="66" t="s">
        <v>7</v>
      </c>
      <c r="R129" s="67"/>
      <c r="S129" s="68"/>
      <c r="T129" s="36"/>
      <c r="U129" s="69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9"/>
    </row>
    <row r="131" spans="1:21" x14ac:dyDescent="0.25">
      <c r="A131" s="6" t="s">
        <v>35</v>
      </c>
      <c r="B131" s="6" t="s">
        <v>46</v>
      </c>
      <c r="C131" s="15">
        <v>3627.71</v>
      </c>
      <c r="D131" s="16">
        <v>37.771000000000001</v>
      </c>
      <c r="E131" s="16">
        <v>39.051000000000002</v>
      </c>
      <c r="F131" s="16">
        <v>41.415999999999997</v>
      </c>
      <c r="G131" s="16">
        <v>5.01</v>
      </c>
      <c r="H131" s="16">
        <f t="shared" ref="H131:H202" si="9">(6*D131+E131+F131)/8</f>
        <v>38.386625000000002</v>
      </c>
      <c r="I131" s="5"/>
      <c r="J131" s="15">
        <v>4144.1103999999996</v>
      </c>
      <c r="K131" s="16">
        <v>38.522100000000002</v>
      </c>
      <c r="L131" s="16">
        <v>40.194400000000002</v>
      </c>
      <c r="M131" s="16">
        <v>42.975499999999997</v>
      </c>
      <c r="N131" s="16">
        <v>11.194000000000001</v>
      </c>
      <c r="O131" s="16">
        <f t="shared" ref="O131:O202" si="10">(6*K131+L131+M131)/8</f>
        <v>39.287812500000001</v>
      </c>
      <c r="P131" s="7"/>
      <c r="Q131" s="8">
        <f>bdrate(C131:C134,D131:D134,J131:J134,K131:K134)</f>
        <v>-5.4984654470931926E-2</v>
      </c>
      <c r="R131" s="8">
        <f>bdrate(C131:C134,E131:E134,J131:J134,L131:L134)</f>
        <v>-0.47597484554289793</v>
      </c>
      <c r="S131" s="8">
        <f>bdrate(C131:C134,F131:F134,J131:J134,M131:M134)</f>
        <v>-0.46641571247557301</v>
      </c>
      <c r="T131" s="25">
        <f>bdrate(C131:C134,H131:H134,J131:J134,O131:O134)</f>
        <v>-0.1283765381630888</v>
      </c>
      <c r="U131" s="28">
        <f t="shared" ref="U131:U194" si="11">(N131-G131)/G131</f>
        <v>1.2343313373253495</v>
      </c>
    </row>
    <row r="132" spans="1:21" x14ac:dyDescent="0.25">
      <c r="A132" s="9" t="s">
        <v>36</v>
      </c>
      <c r="B132" s="9"/>
      <c r="C132" s="17">
        <v>2711.82</v>
      </c>
      <c r="D132" s="18">
        <v>36.924999999999997</v>
      </c>
      <c r="E132" s="18">
        <v>38.497999999999998</v>
      </c>
      <c r="F132" s="18">
        <v>40.862000000000002</v>
      </c>
      <c r="G132" s="18">
        <v>5.48</v>
      </c>
      <c r="H132" s="18">
        <f t="shared" si="9"/>
        <v>37.613750000000003</v>
      </c>
      <c r="I132" s="5"/>
      <c r="J132" s="17">
        <v>3015.5551999999998</v>
      </c>
      <c r="K132" s="18">
        <v>37.569499999999998</v>
      </c>
      <c r="L132" s="18">
        <v>39.734200000000001</v>
      </c>
      <c r="M132" s="18">
        <v>42.335900000000002</v>
      </c>
      <c r="N132" s="18">
        <v>13.619</v>
      </c>
      <c r="O132" s="18">
        <f t="shared" si="10"/>
        <v>38.435887499999993</v>
      </c>
      <c r="P132" s="7"/>
      <c r="Q132" s="10"/>
      <c r="R132" s="11"/>
      <c r="S132" s="11"/>
      <c r="T132" s="26"/>
      <c r="U132" s="28">
        <f t="shared" si="11"/>
        <v>1.4852189781021896</v>
      </c>
    </row>
    <row r="133" spans="1:21" x14ac:dyDescent="0.25">
      <c r="B133" s="9"/>
      <c r="C133" s="17">
        <v>1779.51</v>
      </c>
      <c r="D133" s="18">
        <v>35.673000000000002</v>
      </c>
      <c r="E133" s="18">
        <v>37.840000000000003</v>
      </c>
      <c r="F133" s="18">
        <v>40.204999999999998</v>
      </c>
      <c r="G133" s="18">
        <v>6.07</v>
      </c>
      <c r="H133" s="18">
        <f t="shared" si="9"/>
        <v>36.510375000000003</v>
      </c>
      <c r="I133" s="5"/>
      <c r="J133" s="17">
        <v>1971.6496</v>
      </c>
      <c r="K133" s="18">
        <v>36.197400000000002</v>
      </c>
      <c r="L133" s="18">
        <v>39.078899999999997</v>
      </c>
      <c r="M133" s="18">
        <v>41.525700000000001</v>
      </c>
      <c r="N133" s="18">
        <v>15.5844</v>
      </c>
      <c r="O133" s="18">
        <f t="shared" si="10"/>
        <v>37.223624999999998</v>
      </c>
      <c r="P133" s="7"/>
      <c r="Q133" s="10"/>
      <c r="R133" s="11"/>
      <c r="S133" s="11"/>
      <c r="T133" s="26"/>
      <c r="U133" s="28">
        <f t="shared" si="11"/>
        <v>1.5674464579901153</v>
      </c>
    </row>
    <row r="134" spans="1:21" ht="16.5" thickBot="1" x14ac:dyDescent="0.3">
      <c r="B134" s="12"/>
      <c r="C134" s="19">
        <v>858.34</v>
      </c>
      <c r="D134" s="20">
        <v>33.180999999999997</v>
      </c>
      <c r="E134" s="20">
        <v>37.064</v>
      </c>
      <c r="F134" s="20">
        <v>39.348999999999997</v>
      </c>
      <c r="G134" s="20">
        <v>7.09</v>
      </c>
      <c r="H134" s="20">
        <f t="shared" si="9"/>
        <v>34.437374999999996</v>
      </c>
      <c r="I134" s="5"/>
      <c r="J134" s="19">
        <v>913.04160000000002</v>
      </c>
      <c r="K134" s="20">
        <v>33.439799999999998</v>
      </c>
      <c r="L134" s="20">
        <v>37.7286</v>
      </c>
      <c r="M134" s="20">
        <v>40.002600000000001</v>
      </c>
      <c r="N134" s="20">
        <v>21.0379</v>
      </c>
      <c r="O134" s="20">
        <f t="shared" si="10"/>
        <v>34.796250000000001</v>
      </c>
      <c r="P134" s="7"/>
      <c r="Q134" s="13"/>
      <c r="R134" s="14"/>
      <c r="S134" s="14"/>
      <c r="T134" s="27"/>
      <c r="U134" s="28">
        <f t="shared" si="11"/>
        <v>1.9672637517630467</v>
      </c>
    </row>
    <row r="135" spans="1:21" x14ac:dyDescent="0.25">
      <c r="B135" s="6" t="s">
        <v>47</v>
      </c>
      <c r="C135" s="15">
        <v>4009.27</v>
      </c>
      <c r="D135" s="16">
        <v>30.274999999999999</v>
      </c>
      <c r="E135" s="16">
        <v>38.485999999999997</v>
      </c>
      <c r="F135" s="16">
        <v>39.768999999999998</v>
      </c>
      <c r="G135" s="16">
        <v>3.4</v>
      </c>
      <c r="H135" s="16">
        <f t="shared" si="9"/>
        <v>32.488124999999997</v>
      </c>
      <c r="I135" s="5"/>
      <c r="J135" s="15">
        <v>4161.4639999999999</v>
      </c>
      <c r="K135" s="16">
        <v>29.911300000000001</v>
      </c>
      <c r="L135" s="16">
        <v>40.8566</v>
      </c>
      <c r="M135" s="16">
        <v>41.639899999999997</v>
      </c>
      <c r="N135" s="16">
        <v>8.7971000000000004</v>
      </c>
      <c r="O135" s="16">
        <f t="shared" si="10"/>
        <v>32.745537500000005</v>
      </c>
      <c r="P135" s="7"/>
      <c r="Q135" s="8">
        <f>bdrate(C135:C138,D135:D138,J135:J138,K135:K138)</f>
        <v>4.9002897986545557E-2</v>
      </c>
      <c r="R135" s="8">
        <f>bdrate(C135:C138,E135:E138,J135:J138,L135:L138)</f>
        <v>-0.64296978858201137</v>
      </c>
      <c r="S135" s="8">
        <f>bdrate(C135:C138,F135:F138,J135:J138,M135:M138)</f>
        <v>-0.61575769767095123</v>
      </c>
      <c r="T135" s="25">
        <f>bdrate(C135:C138,H135:H138,J135:J138,O135:O138)</f>
        <v>-8.446155438163705E-2</v>
      </c>
      <c r="U135" s="28">
        <f t="shared" si="11"/>
        <v>1.5873823529411766</v>
      </c>
    </row>
    <row r="136" spans="1:21" x14ac:dyDescent="0.25">
      <c r="B136" s="9"/>
      <c r="C136" s="17">
        <v>3021.33</v>
      </c>
      <c r="D136" s="18">
        <v>28.896000000000001</v>
      </c>
      <c r="E136" s="18">
        <v>37.896999999999998</v>
      </c>
      <c r="F136" s="18">
        <v>39.286000000000001</v>
      </c>
      <c r="G136" s="18">
        <v>3.73</v>
      </c>
      <c r="H136" s="18">
        <f t="shared" si="9"/>
        <v>31.319875</v>
      </c>
      <c r="I136" s="5"/>
      <c r="J136" s="17">
        <v>3058.1776</v>
      </c>
      <c r="K136" s="18">
        <v>28.514299999999999</v>
      </c>
      <c r="L136" s="18">
        <v>40.326300000000003</v>
      </c>
      <c r="M136" s="18">
        <v>41.231099999999998</v>
      </c>
      <c r="N136" s="18">
        <v>10.2187</v>
      </c>
      <c r="O136" s="18">
        <f t="shared" si="10"/>
        <v>31.580400000000001</v>
      </c>
      <c r="P136" s="7"/>
      <c r="Q136" s="10"/>
      <c r="R136" s="11"/>
      <c r="S136" s="11"/>
      <c r="T136" s="26"/>
      <c r="U136" s="28">
        <f t="shared" si="11"/>
        <v>1.7395978552278819</v>
      </c>
    </row>
    <row r="137" spans="1:21" x14ac:dyDescent="0.25">
      <c r="B137" s="9"/>
      <c r="C137" s="17">
        <v>2011.81</v>
      </c>
      <c r="D137" s="18">
        <v>26.904</v>
      </c>
      <c r="E137" s="18">
        <v>36.901000000000003</v>
      </c>
      <c r="F137" s="18">
        <v>38.341000000000001</v>
      </c>
      <c r="G137" s="18">
        <v>4.21</v>
      </c>
      <c r="H137" s="18">
        <f t="shared" si="9"/>
        <v>29.583250000000003</v>
      </c>
      <c r="I137" s="5"/>
      <c r="J137" s="17">
        <v>2060.1583999999998</v>
      </c>
      <c r="K137" s="18">
        <v>26.821200000000001</v>
      </c>
      <c r="L137" s="18">
        <v>39.5548</v>
      </c>
      <c r="M137" s="18">
        <v>40.5794</v>
      </c>
      <c r="N137" s="18">
        <v>11.812900000000001</v>
      </c>
      <c r="O137" s="18">
        <f t="shared" si="10"/>
        <v>30.132674999999999</v>
      </c>
      <c r="P137" s="7"/>
      <c r="Q137" s="10"/>
      <c r="R137" s="11"/>
      <c r="S137" s="11"/>
      <c r="T137" s="26"/>
      <c r="U137" s="28">
        <f t="shared" si="11"/>
        <v>1.8059144893111641</v>
      </c>
    </row>
    <row r="138" spans="1:21" ht="16.5" thickBot="1" x14ac:dyDescent="0.3">
      <c r="B138" s="12"/>
      <c r="C138" s="19">
        <v>1675.38</v>
      </c>
      <c r="D138" s="20">
        <v>25.087</v>
      </c>
      <c r="E138" s="20">
        <v>35.482999999999997</v>
      </c>
      <c r="F138" s="20">
        <v>37.167999999999999</v>
      </c>
      <c r="G138" s="20">
        <v>6.01</v>
      </c>
      <c r="H138" s="20">
        <f t="shared" si="9"/>
        <v>27.896625</v>
      </c>
      <c r="I138" s="5"/>
      <c r="J138" s="19">
        <v>1421.3807999999999</v>
      </c>
      <c r="K138" s="20">
        <v>25.6584</v>
      </c>
      <c r="L138" s="20">
        <v>38.467199999999998</v>
      </c>
      <c r="M138" s="20">
        <v>39.587299999999999</v>
      </c>
      <c r="N138" s="20">
        <v>12.718299999999999</v>
      </c>
      <c r="O138" s="20">
        <f t="shared" si="10"/>
        <v>29.000612499999999</v>
      </c>
      <c r="P138" s="7"/>
      <c r="Q138" s="13"/>
      <c r="R138" s="14"/>
      <c r="S138" s="14"/>
      <c r="T138" s="27"/>
      <c r="U138" s="28">
        <f t="shared" si="11"/>
        <v>1.116189683860233</v>
      </c>
    </row>
    <row r="139" spans="1:21" x14ac:dyDescent="0.25">
      <c r="A139" s="6" t="s">
        <v>37</v>
      </c>
      <c r="B139" s="6" t="s">
        <v>48</v>
      </c>
      <c r="C139" s="15">
        <v>2007.6</v>
      </c>
      <c r="D139" s="16">
        <v>39.36</v>
      </c>
      <c r="E139" s="16">
        <v>41.643999999999998</v>
      </c>
      <c r="F139" s="16">
        <v>42.9</v>
      </c>
      <c r="G139" s="16">
        <v>5.47</v>
      </c>
      <c r="H139" s="16">
        <f t="shared" si="9"/>
        <v>40.087999999999994</v>
      </c>
      <c r="I139" s="5"/>
      <c r="J139" s="15">
        <v>2369.7759999999998</v>
      </c>
      <c r="K139" s="16">
        <v>39.383000000000003</v>
      </c>
      <c r="L139" s="16">
        <v>42.3703</v>
      </c>
      <c r="M139" s="16">
        <v>44.068899999999999</v>
      </c>
      <c r="N139" s="16">
        <v>19.795400000000001</v>
      </c>
      <c r="O139" s="16">
        <f t="shared" si="10"/>
        <v>40.342149999999997</v>
      </c>
      <c r="P139" s="7"/>
      <c r="Q139" s="8">
        <f>bdrate(C139:C142,D139:D142,J139:J142,K139:K142)</f>
        <v>0.101305961638678</v>
      </c>
      <c r="R139" s="8">
        <f>bdrate(C139:C142,E139:E142,J139:J142,L139:L142)</f>
        <v>-0.39644939708820259</v>
      </c>
      <c r="S139" s="8">
        <f>bdrate(C139:C142,F139:F142,J139:J142,M139:M142)</f>
        <v>-0.42194661986556159</v>
      </c>
      <c r="T139" s="25">
        <f>bdrate(C139:C142,H139:H142,J139:J142,O139:O142)</f>
        <v>2.1301700963460846E-4</v>
      </c>
      <c r="U139" s="28">
        <f t="shared" si="11"/>
        <v>2.618903107861061</v>
      </c>
    </row>
    <row r="140" spans="1:21" x14ac:dyDescent="0.25">
      <c r="A140" s="9" t="s">
        <v>38</v>
      </c>
      <c r="B140" s="9"/>
      <c r="C140" s="17">
        <v>1315.68</v>
      </c>
      <c r="D140" s="18">
        <v>38.037999999999997</v>
      </c>
      <c r="E140" s="18">
        <v>40.764000000000003</v>
      </c>
      <c r="F140" s="18">
        <v>41.984999999999999</v>
      </c>
      <c r="G140" s="18">
        <v>6.37</v>
      </c>
      <c r="H140" s="18">
        <f t="shared" si="9"/>
        <v>38.872124999999997</v>
      </c>
      <c r="I140" s="5"/>
      <c r="J140" s="17">
        <v>1574.0144</v>
      </c>
      <c r="K140" s="18">
        <v>38.231499999999997</v>
      </c>
      <c r="L140" s="18">
        <v>41.813000000000002</v>
      </c>
      <c r="M140" s="18">
        <v>43.308300000000003</v>
      </c>
      <c r="N140" s="18">
        <v>24.2669</v>
      </c>
      <c r="O140" s="18">
        <f t="shared" si="10"/>
        <v>39.313787500000004</v>
      </c>
      <c r="P140" s="7"/>
      <c r="Q140" s="10"/>
      <c r="R140" s="11"/>
      <c r="S140" s="11"/>
      <c r="T140" s="26"/>
      <c r="U140" s="28">
        <f t="shared" si="11"/>
        <v>2.8095604395604394</v>
      </c>
    </row>
    <row r="141" spans="1:21" x14ac:dyDescent="0.25">
      <c r="B141" s="9"/>
      <c r="C141" s="17">
        <v>809.94</v>
      </c>
      <c r="D141" s="18">
        <v>36.368000000000002</v>
      </c>
      <c r="E141" s="18">
        <v>39.796999999999997</v>
      </c>
      <c r="F141" s="18">
        <v>41.093000000000004</v>
      </c>
      <c r="G141" s="18">
        <v>7.49</v>
      </c>
      <c r="H141" s="18">
        <f t="shared" si="9"/>
        <v>37.387250000000002</v>
      </c>
      <c r="I141" s="5"/>
      <c r="J141" s="17">
        <v>966.81600000000003</v>
      </c>
      <c r="K141" s="18">
        <v>36.686100000000003</v>
      </c>
      <c r="L141" s="18">
        <v>41.112000000000002</v>
      </c>
      <c r="M141" s="18">
        <v>42.415799999999997</v>
      </c>
      <c r="N141" s="18">
        <v>29.873000000000001</v>
      </c>
      <c r="O141" s="18">
        <f t="shared" si="10"/>
        <v>37.955550000000002</v>
      </c>
      <c r="P141" s="7"/>
      <c r="Q141" s="10"/>
      <c r="R141" s="11"/>
      <c r="S141" s="11"/>
      <c r="T141" s="26"/>
      <c r="U141" s="28">
        <f t="shared" si="11"/>
        <v>2.9883845126835782</v>
      </c>
    </row>
    <row r="142" spans="1:21" ht="16.5" thickBot="1" x14ac:dyDescent="0.3">
      <c r="B142" s="12"/>
      <c r="C142" s="19">
        <v>480.91</v>
      </c>
      <c r="D142" s="20">
        <v>34.463999999999999</v>
      </c>
      <c r="E142" s="20">
        <v>38.783000000000001</v>
      </c>
      <c r="F142" s="20">
        <v>40.295999999999999</v>
      </c>
      <c r="G142" s="20">
        <v>8.7799999999999994</v>
      </c>
      <c r="H142" s="20">
        <f t="shared" si="9"/>
        <v>35.732875</v>
      </c>
      <c r="I142" s="5"/>
      <c r="J142" s="19">
        <v>564.33839999999998</v>
      </c>
      <c r="K142" s="20">
        <v>34.907400000000003</v>
      </c>
      <c r="L142" s="20">
        <v>40.404600000000002</v>
      </c>
      <c r="M142" s="20">
        <v>41.639800000000001</v>
      </c>
      <c r="N142" s="20">
        <v>36.714100000000002</v>
      </c>
      <c r="O142" s="20">
        <f t="shared" si="10"/>
        <v>36.436100000000003</v>
      </c>
      <c r="P142" s="7"/>
      <c r="Q142" s="13"/>
      <c r="R142" s="14"/>
      <c r="S142" s="14"/>
      <c r="T142" s="27"/>
      <c r="U142" s="28">
        <f t="shared" si="11"/>
        <v>3.1815603644646928</v>
      </c>
    </row>
    <row r="143" spans="1:21" x14ac:dyDescent="0.25">
      <c r="B143" s="6" t="s">
        <v>49</v>
      </c>
      <c r="C143" s="15">
        <v>2236.77</v>
      </c>
      <c r="D143" s="16">
        <v>36.273000000000003</v>
      </c>
      <c r="E143" s="16">
        <v>39.444000000000003</v>
      </c>
      <c r="F143" s="16">
        <v>40.479999999999997</v>
      </c>
      <c r="G143" s="16">
        <v>7.52</v>
      </c>
      <c r="H143" s="16">
        <f t="shared" si="9"/>
        <v>37.195250000000009</v>
      </c>
      <c r="I143" s="5"/>
      <c r="J143" s="15">
        <v>2544.7912000000001</v>
      </c>
      <c r="K143" s="16">
        <v>36.5914</v>
      </c>
      <c r="L143" s="16">
        <v>40.836799999999997</v>
      </c>
      <c r="M143" s="16">
        <v>42.196300000000001</v>
      </c>
      <c r="N143" s="16">
        <v>18.8947</v>
      </c>
      <c r="O143" s="16">
        <f t="shared" si="10"/>
        <v>37.822687500000001</v>
      </c>
      <c r="P143" s="7"/>
      <c r="Q143" s="8">
        <f>bdrate(C143:C146,D143:D146,J143:J146,K143:K146)</f>
        <v>-4.2740890649883845E-4</v>
      </c>
      <c r="R143" s="8">
        <f>bdrate(C143:C146,E143:E146,J143:J146,L143:L146)</f>
        <v>-0.48002227178250356</v>
      </c>
      <c r="S143" s="8">
        <f>bdrate(C143:C146,F143:F146,J143:J146,M143:M146)</f>
        <v>-0.52161171289585639</v>
      </c>
      <c r="T143" s="25">
        <f>bdrate(C143:C146,H143:H146,J143:J146,O143:O146)</f>
        <v>-0.10847092813505488</v>
      </c>
      <c r="U143" s="28">
        <f t="shared" si="11"/>
        <v>1.5125930851063831</v>
      </c>
    </row>
    <row r="144" spans="1:21" x14ac:dyDescent="0.25">
      <c r="B144" s="9"/>
      <c r="C144" s="17">
        <v>1483.36</v>
      </c>
      <c r="D144" s="18">
        <v>34.984999999999999</v>
      </c>
      <c r="E144" s="18">
        <v>38.543999999999997</v>
      </c>
      <c r="F144" s="18">
        <v>39.706000000000003</v>
      </c>
      <c r="G144" s="18">
        <v>8.32</v>
      </c>
      <c r="H144" s="18">
        <f t="shared" si="9"/>
        <v>36.020000000000003</v>
      </c>
      <c r="I144" s="5"/>
      <c r="J144" s="17">
        <v>1662.116</v>
      </c>
      <c r="K144" s="18">
        <v>35.352699999999999</v>
      </c>
      <c r="L144" s="18">
        <v>40.025199999999998</v>
      </c>
      <c r="M144" s="18">
        <v>41.254800000000003</v>
      </c>
      <c r="N144" s="18">
        <v>22.894200000000001</v>
      </c>
      <c r="O144" s="18">
        <f t="shared" si="10"/>
        <v>36.674524999999996</v>
      </c>
      <c r="P144" s="7"/>
      <c r="Q144" s="10"/>
      <c r="R144" s="11"/>
      <c r="S144" s="11"/>
      <c r="T144" s="26"/>
      <c r="U144" s="28">
        <f t="shared" si="11"/>
        <v>1.7517067307692309</v>
      </c>
    </row>
    <row r="145" spans="1:21" x14ac:dyDescent="0.25">
      <c r="B145" s="9"/>
      <c r="C145" s="17">
        <v>921.28</v>
      </c>
      <c r="D145" s="18">
        <v>33.512999999999998</v>
      </c>
      <c r="E145" s="18">
        <v>37.572000000000003</v>
      </c>
      <c r="F145" s="18">
        <v>39.012</v>
      </c>
      <c r="G145" s="18">
        <v>9.24</v>
      </c>
      <c r="H145" s="18">
        <f t="shared" si="9"/>
        <v>34.707749999999997</v>
      </c>
      <c r="I145" s="5"/>
      <c r="J145" s="17">
        <v>1029.7736</v>
      </c>
      <c r="K145" s="18">
        <v>33.863599999999998</v>
      </c>
      <c r="L145" s="18">
        <v>39.133299999999998</v>
      </c>
      <c r="M145" s="18">
        <v>40.359299999999998</v>
      </c>
      <c r="N145" s="18">
        <v>28.175599999999999</v>
      </c>
      <c r="O145" s="18">
        <f t="shared" si="10"/>
        <v>35.334274999999998</v>
      </c>
      <c r="P145" s="7"/>
      <c r="Q145" s="10"/>
      <c r="R145" s="11"/>
      <c r="S145" s="11"/>
      <c r="T145" s="26"/>
      <c r="U145" s="28">
        <f t="shared" si="11"/>
        <v>2.0493073593073592</v>
      </c>
    </row>
    <row r="146" spans="1:21" ht="16.5" thickBot="1" x14ac:dyDescent="0.3">
      <c r="B146" s="12"/>
      <c r="C146" s="19">
        <v>546.27</v>
      </c>
      <c r="D146" s="20">
        <v>31.92</v>
      </c>
      <c r="E146" s="20">
        <v>36.658999999999999</v>
      </c>
      <c r="F146" s="20">
        <v>38.450000000000003</v>
      </c>
      <c r="G146" s="20">
        <v>10.19</v>
      </c>
      <c r="H146" s="20">
        <f t="shared" si="9"/>
        <v>33.328625000000002</v>
      </c>
      <c r="I146" s="5"/>
      <c r="J146" s="19">
        <v>618.62159999999994</v>
      </c>
      <c r="K146" s="20">
        <v>32.278500000000001</v>
      </c>
      <c r="L146" s="20">
        <v>38.1342</v>
      </c>
      <c r="M146" s="20">
        <v>39.500999999999998</v>
      </c>
      <c r="N146" s="20">
        <v>34.266100000000002</v>
      </c>
      <c r="O146" s="20">
        <f t="shared" si="10"/>
        <v>33.913274999999999</v>
      </c>
      <c r="P146" s="7"/>
      <c r="Q146" s="13"/>
      <c r="R146" s="14"/>
      <c r="S146" s="14"/>
      <c r="T146" s="27"/>
      <c r="U146" s="28">
        <f t="shared" si="11"/>
        <v>2.3627183513248289</v>
      </c>
    </row>
    <row r="147" spans="1:21" x14ac:dyDescent="0.25">
      <c r="B147" s="6" t="s">
        <v>50</v>
      </c>
      <c r="C147" s="15">
        <v>2356.4499999999998</v>
      </c>
      <c r="D147" s="16">
        <v>34.414999999999999</v>
      </c>
      <c r="E147" s="16">
        <v>37.814999999999998</v>
      </c>
      <c r="F147" s="16">
        <v>39.597000000000001</v>
      </c>
      <c r="G147" s="16">
        <v>8.58</v>
      </c>
      <c r="H147" s="16">
        <f t="shared" si="9"/>
        <v>35.487749999999998</v>
      </c>
      <c r="I147" s="5"/>
      <c r="J147" s="15">
        <v>2408.6543999999999</v>
      </c>
      <c r="K147" s="16">
        <v>34.863300000000002</v>
      </c>
      <c r="L147" s="16">
        <v>38.607999999999997</v>
      </c>
      <c r="M147" s="16">
        <v>41.192100000000003</v>
      </c>
      <c r="N147" s="16">
        <v>27.7454</v>
      </c>
      <c r="O147" s="16">
        <f t="shared" si="10"/>
        <v>36.122487499999998</v>
      </c>
      <c r="P147" s="7"/>
      <c r="Q147" s="8">
        <f>bdrate(C147:C150,D147:D150,J147:J150,K147:K150)</f>
        <v>-9.1084130654653039E-2</v>
      </c>
      <c r="R147" s="8">
        <f>bdrate(C147:C150,E147:E150,J147:J150,L147:L150)</f>
        <v>-0.57904885307940934</v>
      </c>
      <c r="S147" s="8">
        <f>bdrate(C147:C150,F147:F150,J147:J150,M147:M150)</f>
        <v>-0.54870610154735533</v>
      </c>
      <c r="T147" s="25">
        <f>bdrate(C147:C150,H147:H150,J147:J150,O147:O150)</f>
        <v>-0.18257386415853583</v>
      </c>
      <c r="U147" s="28">
        <f t="shared" si="11"/>
        <v>2.2337296037296035</v>
      </c>
    </row>
    <row r="148" spans="1:21" x14ac:dyDescent="0.25">
      <c r="B148" s="9"/>
      <c r="C148" s="17">
        <v>1563.01</v>
      </c>
      <c r="D148" s="18">
        <v>33.29</v>
      </c>
      <c r="E148" s="18">
        <v>37.323999999999998</v>
      </c>
      <c r="F148" s="18">
        <v>38.777000000000001</v>
      </c>
      <c r="G148" s="18">
        <v>9.52</v>
      </c>
      <c r="H148" s="18">
        <f t="shared" si="9"/>
        <v>34.480125000000001</v>
      </c>
      <c r="I148" s="5"/>
      <c r="J148" s="17">
        <v>1606.7224000000001</v>
      </c>
      <c r="K148" s="18">
        <v>33.726999999999997</v>
      </c>
      <c r="L148" s="18">
        <v>38.240499999999997</v>
      </c>
      <c r="M148" s="18">
        <v>40.393999999999998</v>
      </c>
      <c r="N148" s="18">
        <v>33.5976</v>
      </c>
      <c r="O148" s="18">
        <f t="shared" si="10"/>
        <v>35.124562499999996</v>
      </c>
      <c r="P148" s="7"/>
      <c r="Q148" s="10"/>
      <c r="R148" s="11"/>
      <c r="S148" s="11"/>
      <c r="T148" s="26"/>
      <c r="U148" s="28">
        <f t="shared" si="11"/>
        <v>2.5291596638655465</v>
      </c>
    </row>
    <row r="149" spans="1:21" x14ac:dyDescent="0.25">
      <c r="B149" s="9"/>
      <c r="C149" s="17">
        <v>967.93</v>
      </c>
      <c r="D149" s="18">
        <v>31.856999999999999</v>
      </c>
      <c r="E149" s="18">
        <v>36.694000000000003</v>
      </c>
      <c r="F149" s="18">
        <v>37.78</v>
      </c>
      <c r="G149" s="18">
        <v>10.66</v>
      </c>
      <c r="H149" s="18">
        <f t="shared" si="9"/>
        <v>33.201999999999998</v>
      </c>
      <c r="I149" s="5"/>
      <c r="J149" s="17">
        <v>999.46</v>
      </c>
      <c r="K149" s="18">
        <v>32.203299999999999</v>
      </c>
      <c r="L149" s="18">
        <v>37.8202</v>
      </c>
      <c r="M149" s="18">
        <v>39.489400000000003</v>
      </c>
      <c r="N149" s="18">
        <v>40.610799999999998</v>
      </c>
      <c r="O149" s="18">
        <f t="shared" si="10"/>
        <v>33.816175000000001</v>
      </c>
      <c r="P149" s="7"/>
      <c r="Q149" s="10"/>
      <c r="R149" s="11"/>
      <c r="S149" s="11"/>
      <c r="T149" s="26"/>
      <c r="U149" s="28">
        <f t="shared" si="11"/>
        <v>2.8096435272045026</v>
      </c>
    </row>
    <row r="150" spans="1:21" ht="16.5" thickBot="1" x14ac:dyDescent="0.3">
      <c r="B150" s="12"/>
      <c r="C150" s="19">
        <v>562.66</v>
      </c>
      <c r="D150" s="20">
        <v>30.015000000000001</v>
      </c>
      <c r="E150" s="20">
        <v>35.759</v>
      </c>
      <c r="F150" s="20">
        <v>36.296999999999997</v>
      </c>
      <c r="G150" s="20">
        <v>12.13</v>
      </c>
      <c r="H150" s="20">
        <f t="shared" si="9"/>
        <v>31.518249999999998</v>
      </c>
      <c r="I150" s="5"/>
      <c r="J150" s="19">
        <v>591.36320000000001</v>
      </c>
      <c r="K150" s="20">
        <v>30.4682</v>
      </c>
      <c r="L150" s="20">
        <v>37.155700000000003</v>
      </c>
      <c r="M150" s="20">
        <v>38.3904</v>
      </c>
      <c r="N150" s="20">
        <v>49.534399999999998</v>
      </c>
      <c r="O150" s="20">
        <f t="shared" si="10"/>
        <v>32.2944125</v>
      </c>
      <c r="P150" s="7"/>
      <c r="Q150" s="13"/>
      <c r="R150" s="14"/>
      <c r="S150" s="14"/>
      <c r="T150" s="27"/>
      <c r="U150" s="28">
        <f t="shared" si="11"/>
        <v>3.0836273701566359</v>
      </c>
    </row>
    <row r="151" spans="1:21" x14ac:dyDescent="0.25">
      <c r="B151" s="6" t="s">
        <v>51</v>
      </c>
      <c r="C151" s="29">
        <v>2406.7399999999998</v>
      </c>
      <c r="D151" s="30">
        <v>34.630000000000003</v>
      </c>
      <c r="E151" s="30">
        <v>40.04</v>
      </c>
      <c r="F151" s="30">
        <v>39.658999999999999</v>
      </c>
      <c r="G151" s="16">
        <v>7.01</v>
      </c>
      <c r="H151" s="16">
        <f t="shared" si="9"/>
        <v>35.934875000000005</v>
      </c>
      <c r="I151" s="5"/>
      <c r="J151" s="29">
        <v>2443.4423999999999</v>
      </c>
      <c r="K151" s="30">
        <v>34.589300000000001</v>
      </c>
      <c r="L151" s="30">
        <v>41.152200000000001</v>
      </c>
      <c r="M151" s="30">
        <v>40.897100000000002</v>
      </c>
      <c r="N151" s="16">
        <v>23.393999999999998</v>
      </c>
      <c r="O151" s="16">
        <f t="shared" si="10"/>
        <v>36.198137500000001</v>
      </c>
      <c r="P151" s="7"/>
      <c r="Q151" s="8">
        <f>bdrate(C151:C154,D151:D154,J151:J154,K151:K154)</f>
        <v>1.3798908563038115E-2</v>
      </c>
      <c r="R151" s="8">
        <f>bdrate(C151:C154,E151:E154,J151:J154,L151:L154)</f>
        <v>-0.51565417333369312</v>
      </c>
      <c r="S151" s="8">
        <f>bdrate(C151:C154,F151:F154,J151:J154,M151:M154)</f>
        <v>-0.44547456795802798</v>
      </c>
      <c r="T151" s="25">
        <f>bdrate(C151:C154,H151:H154,J151:J154,O151:O154)</f>
        <v>-9.9829803413732043E-2</v>
      </c>
      <c r="U151" s="28">
        <f t="shared" si="11"/>
        <v>2.3372325249643366</v>
      </c>
    </row>
    <row r="152" spans="1:21" x14ac:dyDescent="0.25">
      <c r="B152" s="9"/>
      <c r="C152" s="31">
        <v>1595.7</v>
      </c>
      <c r="D152" s="32">
        <v>33.283000000000001</v>
      </c>
      <c r="E152" s="32">
        <v>39.252000000000002</v>
      </c>
      <c r="F152" s="32">
        <v>38.533999999999999</v>
      </c>
      <c r="G152" s="18">
        <v>7.79</v>
      </c>
      <c r="H152" s="18">
        <f t="shared" si="9"/>
        <v>34.685500000000005</v>
      </c>
      <c r="I152" s="5"/>
      <c r="J152" s="31">
        <v>1626.9232</v>
      </c>
      <c r="K152" s="32">
        <v>33.280500000000004</v>
      </c>
      <c r="L152" s="32">
        <v>40.505299999999998</v>
      </c>
      <c r="M152" s="32">
        <v>39.987400000000001</v>
      </c>
      <c r="N152" s="18">
        <v>26.910699999999999</v>
      </c>
      <c r="O152" s="18">
        <f t="shared" si="10"/>
        <v>35.021962500000001</v>
      </c>
      <c r="P152" s="7"/>
      <c r="Q152" s="10"/>
      <c r="R152" s="11"/>
      <c r="S152" s="11"/>
      <c r="T152" s="26"/>
      <c r="U152" s="28">
        <f t="shared" si="11"/>
        <v>2.4545186136071888</v>
      </c>
    </row>
    <row r="153" spans="1:21" x14ac:dyDescent="0.25">
      <c r="B153" s="9"/>
      <c r="C153" s="31">
        <v>990</v>
      </c>
      <c r="D153" s="32">
        <v>31.597999999999999</v>
      </c>
      <c r="E153" s="32">
        <v>38.25</v>
      </c>
      <c r="F153" s="32">
        <v>37.137</v>
      </c>
      <c r="G153" s="18">
        <v>8.73</v>
      </c>
      <c r="H153" s="18">
        <f t="shared" si="9"/>
        <v>33.121875000000003</v>
      </c>
      <c r="I153" s="5"/>
      <c r="J153" s="31">
        <v>1012.8088</v>
      </c>
      <c r="K153" s="32">
        <v>31.639900000000001</v>
      </c>
      <c r="L153" s="32">
        <v>39.775199999999998</v>
      </c>
      <c r="M153" s="32">
        <v>38.910499999999999</v>
      </c>
      <c r="N153" s="18">
        <v>32.737499999999997</v>
      </c>
      <c r="O153" s="18">
        <f t="shared" si="10"/>
        <v>33.565637500000001</v>
      </c>
      <c r="P153" s="7"/>
      <c r="Q153" s="10"/>
      <c r="R153" s="11"/>
      <c r="S153" s="11"/>
      <c r="T153" s="26"/>
      <c r="U153" s="28">
        <f t="shared" si="11"/>
        <v>2.7499999999999996</v>
      </c>
    </row>
    <row r="154" spans="1:21" ht="16.5" thickBot="1" x14ac:dyDescent="0.3">
      <c r="B154" s="12"/>
      <c r="C154" s="33">
        <v>588.91</v>
      </c>
      <c r="D154" s="34">
        <v>29.702000000000002</v>
      </c>
      <c r="E154" s="34">
        <v>36.796999999999997</v>
      </c>
      <c r="F154" s="34">
        <v>35.281999999999996</v>
      </c>
      <c r="G154" s="20">
        <v>9.8800000000000008</v>
      </c>
      <c r="H154" s="20">
        <f t="shared" si="9"/>
        <v>31.286375</v>
      </c>
      <c r="I154" s="5"/>
      <c r="J154" s="33">
        <v>605.67359999999996</v>
      </c>
      <c r="K154" s="34">
        <v>29.816500000000001</v>
      </c>
      <c r="L154" s="34">
        <v>38.729799999999997</v>
      </c>
      <c r="M154" s="34">
        <v>37.469700000000003</v>
      </c>
      <c r="N154" s="20">
        <v>39.704599999999999</v>
      </c>
      <c r="O154" s="20">
        <f t="shared" si="10"/>
        <v>31.8873125</v>
      </c>
      <c r="P154" s="7"/>
      <c r="Q154" s="13"/>
      <c r="R154" s="14"/>
      <c r="S154" s="14"/>
      <c r="T154" s="27"/>
      <c r="U154" s="28">
        <f t="shared" si="11"/>
        <v>3.0186842105263154</v>
      </c>
    </row>
    <row r="155" spans="1:21" x14ac:dyDescent="0.25">
      <c r="B155" s="6" t="s">
        <v>52</v>
      </c>
      <c r="C155" s="15">
        <v>2354.96</v>
      </c>
      <c r="D155" s="16">
        <v>33.758000000000003</v>
      </c>
      <c r="E155" s="16">
        <v>39.366999999999997</v>
      </c>
      <c r="F155" s="16">
        <v>41.999000000000002</v>
      </c>
      <c r="G155" s="16">
        <v>10.5</v>
      </c>
      <c r="H155" s="16">
        <f t="shared" si="9"/>
        <v>35.489249999999998</v>
      </c>
      <c r="I155" s="5"/>
      <c r="J155" s="15">
        <v>2419.6648</v>
      </c>
      <c r="K155" s="16">
        <v>33.992699999999999</v>
      </c>
      <c r="L155" s="16">
        <v>40.392299999999999</v>
      </c>
      <c r="M155" s="16">
        <v>42.814399999999999</v>
      </c>
      <c r="N155" s="16">
        <v>24.762699999999999</v>
      </c>
      <c r="O155" s="16">
        <f t="shared" si="10"/>
        <v>35.895362499999997</v>
      </c>
      <c r="P155" s="7"/>
      <c r="Q155" s="8">
        <f>bdrate(C155:C158,D155:D158,J155:J158,K155:K158)</f>
        <v>-0.10323629852124383</v>
      </c>
      <c r="R155" s="8">
        <f>bdrate(C155:C158,E155:E158,J155:J158,L155:L158)</f>
        <v>-0.49992270499639124</v>
      </c>
      <c r="S155" s="8">
        <f>bdrate(C155:C158,F155:F158,J155:J158,M155:M158)</f>
        <v>-0.44943446047153346</v>
      </c>
      <c r="T155" s="25">
        <f>bdrate(C155:C158,H155:H158,J155:J158,O155:O158)</f>
        <v>-0.17067425657132584</v>
      </c>
      <c r="U155" s="28">
        <f t="shared" si="11"/>
        <v>1.3583523809523808</v>
      </c>
    </row>
    <row r="156" spans="1:21" x14ac:dyDescent="0.25">
      <c r="B156" s="9"/>
      <c r="C156" s="17">
        <v>1546.76</v>
      </c>
      <c r="D156" s="18">
        <v>33.075000000000003</v>
      </c>
      <c r="E156" s="18">
        <v>38.962000000000003</v>
      </c>
      <c r="F156" s="18">
        <v>41.636000000000003</v>
      </c>
      <c r="G156" s="18">
        <v>11.34</v>
      </c>
      <c r="H156" s="18">
        <f t="shared" si="9"/>
        <v>34.881000000000007</v>
      </c>
      <c r="I156" s="5"/>
      <c r="J156" s="17">
        <v>1585.144</v>
      </c>
      <c r="K156" s="18">
        <v>33.328499999999998</v>
      </c>
      <c r="L156" s="18">
        <v>39.914000000000001</v>
      </c>
      <c r="M156" s="18">
        <v>42.397799999999997</v>
      </c>
      <c r="N156" s="18">
        <v>29.883500000000002</v>
      </c>
      <c r="O156" s="18">
        <f t="shared" si="10"/>
        <v>35.285350000000001</v>
      </c>
      <c r="P156" s="7"/>
      <c r="Q156" s="10"/>
      <c r="R156" s="11"/>
      <c r="S156" s="11"/>
      <c r="T156" s="26"/>
      <c r="U156" s="28">
        <f t="shared" si="11"/>
        <v>1.6352292768959438</v>
      </c>
    </row>
    <row r="157" spans="1:21" x14ac:dyDescent="0.25">
      <c r="B157" s="9"/>
      <c r="C157" s="17">
        <v>928.63</v>
      </c>
      <c r="D157" s="18">
        <v>31.952999999999999</v>
      </c>
      <c r="E157" s="18">
        <v>38.369</v>
      </c>
      <c r="F157" s="18">
        <v>41.131</v>
      </c>
      <c r="G157" s="18">
        <v>12.36</v>
      </c>
      <c r="H157" s="18">
        <f t="shared" si="9"/>
        <v>33.902249999999995</v>
      </c>
      <c r="I157" s="5"/>
      <c r="J157" s="17">
        <v>987.2328</v>
      </c>
      <c r="K157" s="18">
        <v>32.335099999999997</v>
      </c>
      <c r="L157" s="18">
        <v>39.224200000000003</v>
      </c>
      <c r="M157" s="18">
        <v>41.779400000000003</v>
      </c>
      <c r="N157" s="18">
        <v>36.075000000000003</v>
      </c>
      <c r="O157" s="18">
        <f t="shared" si="10"/>
        <v>34.376774999999995</v>
      </c>
      <c r="P157" s="7"/>
      <c r="Q157" s="10"/>
      <c r="R157" s="11"/>
      <c r="S157" s="11"/>
      <c r="T157" s="26"/>
      <c r="U157" s="28">
        <f t="shared" si="11"/>
        <v>1.9186893203883499</v>
      </c>
    </row>
    <row r="158" spans="1:21" ht="16.5" thickBot="1" x14ac:dyDescent="0.3">
      <c r="B158" s="12"/>
      <c r="C158" s="19">
        <v>470.64</v>
      </c>
      <c r="D158" s="20">
        <v>29.425999999999998</v>
      </c>
      <c r="E158" s="20">
        <v>37.195</v>
      </c>
      <c r="F158" s="20">
        <v>40.286000000000001</v>
      </c>
      <c r="G158" s="20">
        <v>13.65</v>
      </c>
      <c r="H158" s="20">
        <f t="shared" si="9"/>
        <v>31.754624999999997</v>
      </c>
      <c r="I158" s="5"/>
      <c r="J158" s="19">
        <v>582.75120000000004</v>
      </c>
      <c r="K158" s="20">
        <v>30.9209</v>
      </c>
      <c r="L158" s="20">
        <v>38.650399999999998</v>
      </c>
      <c r="M158" s="20">
        <v>41.248899999999999</v>
      </c>
      <c r="N158" s="20">
        <v>45.826000000000001</v>
      </c>
      <c r="O158" s="20">
        <f t="shared" si="10"/>
        <v>33.178087499999997</v>
      </c>
      <c r="P158" s="7"/>
      <c r="Q158" s="13"/>
      <c r="R158" s="14"/>
      <c r="S158" s="14"/>
      <c r="T158" s="27"/>
      <c r="U158" s="28">
        <f t="shared" si="11"/>
        <v>2.3572161172161175</v>
      </c>
    </row>
    <row r="159" spans="1:21" x14ac:dyDescent="0.25">
      <c r="A159" s="6" t="s">
        <v>39</v>
      </c>
      <c r="B159" s="6" t="s">
        <v>53</v>
      </c>
      <c r="C159" s="15">
        <v>1219.5899999999999</v>
      </c>
      <c r="D159" s="16">
        <v>35.683999999999997</v>
      </c>
      <c r="E159" s="16">
        <v>39.335999999999999</v>
      </c>
      <c r="F159" s="16">
        <v>39.415999999999997</v>
      </c>
      <c r="G159" s="16">
        <v>26.64</v>
      </c>
      <c r="H159" s="16">
        <f t="shared" si="9"/>
        <v>36.606999999999999</v>
      </c>
      <c r="I159" s="5"/>
      <c r="J159" s="15">
        <v>1213.7840000000001</v>
      </c>
      <c r="K159" s="16">
        <v>36.590600000000002</v>
      </c>
      <c r="L159" s="16">
        <v>40.962400000000002</v>
      </c>
      <c r="M159" s="16">
        <v>40.972700000000003</v>
      </c>
      <c r="N159" s="16">
        <v>76.417500000000004</v>
      </c>
      <c r="O159" s="16">
        <f t="shared" si="10"/>
        <v>37.6848375</v>
      </c>
      <c r="P159" s="7"/>
      <c r="Q159" s="8">
        <f>bdrate(C159:C162,D159:D162,J159:J162,K159:K162)</f>
        <v>-0.1188057754959656</v>
      </c>
      <c r="R159" s="8">
        <f>bdrate(C159:C162,E159:E162,J159:J162,L159:L162)</f>
        <v>-0.44114922895876185</v>
      </c>
      <c r="S159" s="8">
        <f>bdrate(C159:C162,F159:F162,J159:J162,M159:M162)</f>
        <v>-0.35773136185875132</v>
      </c>
      <c r="T159" s="25">
        <f>bdrate(C159:C162,H159:H162,J159:J162,O159:O162)</f>
        <v>-0.185718404363451</v>
      </c>
      <c r="U159" s="28">
        <f t="shared" si="11"/>
        <v>1.8685247747747749</v>
      </c>
    </row>
    <row r="160" spans="1:21" x14ac:dyDescent="0.25">
      <c r="A160" s="9" t="s">
        <v>40</v>
      </c>
      <c r="B160" s="9"/>
      <c r="C160" s="17">
        <v>814</v>
      </c>
      <c r="D160" s="18">
        <v>34.180999999999997</v>
      </c>
      <c r="E160" s="18">
        <v>38.091999999999999</v>
      </c>
      <c r="F160" s="18">
        <v>38.1</v>
      </c>
      <c r="G160" s="18">
        <v>30.1</v>
      </c>
      <c r="H160" s="18">
        <f t="shared" si="9"/>
        <v>35.159750000000003</v>
      </c>
      <c r="I160" s="5"/>
      <c r="J160" s="17">
        <v>807.08720000000005</v>
      </c>
      <c r="K160" s="18">
        <v>34.828000000000003</v>
      </c>
      <c r="L160" s="18">
        <v>39.708399999999997</v>
      </c>
      <c r="M160" s="18">
        <v>39.510300000000001</v>
      </c>
      <c r="N160" s="18">
        <v>89.015500000000003</v>
      </c>
      <c r="O160" s="18">
        <f t="shared" si="10"/>
        <v>36.023337499999997</v>
      </c>
      <c r="P160" s="7"/>
      <c r="Q160" s="10"/>
      <c r="R160" s="11"/>
      <c r="S160" s="11"/>
      <c r="T160" s="26"/>
      <c r="U160" s="28">
        <f t="shared" si="11"/>
        <v>1.9573255813953487</v>
      </c>
    </row>
    <row r="161" spans="1:21" x14ac:dyDescent="0.25">
      <c r="B161" s="9"/>
      <c r="C161" s="17">
        <v>506.5</v>
      </c>
      <c r="D161" s="18">
        <v>32.540999999999997</v>
      </c>
      <c r="E161" s="18">
        <v>36.844999999999999</v>
      </c>
      <c r="F161" s="18">
        <v>36.755000000000003</v>
      </c>
      <c r="G161" s="18">
        <v>34.909999999999997</v>
      </c>
      <c r="H161" s="18">
        <f t="shared" si="9"/>
        <v>33.60575</v>
      </c>
      <c r="I161" s="5"/>
      <c r="J161" s="17">
        <v>502.71440000000001</v>
      </c>
      <c r="K161" s="18">
        <v>32.887999999999998</v>
      </c>
      <c r="L161" s="18">
        <v>38.402900000000002</v>
      </c>
      <c r="M161" s="18">
        <v>38.016100000000002</v>
      </c>
      <c r="N161" s="18">
        <v>103.6699</v>
      </c>
      <c r="O161" s="18">
        <f t="shared" si="10"/>
        <v>34.218374999999995</v>
      </c>
      <c r="P161" s="7"/>
      <c r="Q161" s="10"/>
      <c r="R161" s="11"/>
      <c r="S161" s="11"/>
      <c r="T161" s="26"/>
      <c r="U161" s="28">
        <f t="shared" si="11"/>
        <v>1.9696333428816961</v>
      </c>
    </row>
    <row r="162" spans="1:21" ht="16.5" thickBot="1" x14ac:dyDescent="0.3">
      <c r="B162" s="12"/>
      <c r="C162" s="19">
        <v>301.14</v>
      </c>
      <c r="D162" s="20">
        <v>30.785</v>
      </c>
      <c r="E162" s="20">
        <v>35.555999999999997</v>
      </c>
      <c r="F162" s="20">
        <v>35.049999999999997</v>
      </c>
      <c r="G162" s="20">
        <v>41.14</v>
      </c>
      <c r="H162" s="20">
        <f t="shared" si="9"/>
        <v>31.914500000000004</v>
      </c>
      <c r="I162" s="5"/>
      <c r="J162" s="19">
        <v>298.29199999999997</v>
      </c>
      <c r="K162" s="20">
        <v>30.8874</v>
      </c>
      <c r="L162" s="20">
        <v>36.963000000000001</v>
      </c>
      <c r="M162" s="20">
        <v>36.453400000000002</v>
      </c>
      <c r="N162" s="20">
        <v>125.1878</v>
      </c>
      <c r="O162" s="20">
        <f t="shared" si="10"/>
        <v>32.342599999999997</v>
      </c>
      <c r="P162" s="7"/>
      <c r="Q162" s="13"/>
      <c r="R162" s="14"/>
      <c r="S162" s="14"/>
      <c r="T162" s="27"/>
      <c r="U162" s="28">
        <f t="shared" si="11"/>
        <v>2.0429703451628582</v>
      </c>
    </row>
    <row r="163" spans="1:21" x14ac:dyDescent="0.25">
      <c r="B163" s="6" t="s">
        <v>54</v>
      </c>
      <c r="C163" s="15">
        <v>1222.5999999999999</v>
      </c>
      <c r="D163" s="16">
        <v>35.756</v>
      </c>
      <c r="E163" s="16">
        <v>40.219000000000001</v>
      </c>
      <c r="F163" s="16">
        <v>41.16</v>
      </c>
      <c r="G163" s="16">
        <v>33.979999999999997</v>
      </c>
      <c r="H163" s="16">
        <f t="shared" si="9"/>
        <v>36.989374999999995</v>
      </c>
      <c r="I163" s="5"/>
      <c r="J163" s="15">
        <v>1211.7768000000001</v>
      </c>
      <c r="K163" s="16">
        <v>36.023800000000001</v>
      </c>
      <c r="L163" s="16">
        <v>41.661200000000001</v>
      </c>
      <c r="M163" s="16">
        <v>42.646900000000002</v>
      </c>
      <c r="N163" s="16">
        <v>83.798900000000003</v>
      </c>
      <c r="O163" s="16">
        <f t="shared" si="10"/>
        <v>37.556362500000006</v>
      </c>
      <c r="P163" s="7"/>
      <c r="Q163" s="8">
        <f>bdrate(C163:C166,D163:D166,J163:J166,K163:K166)</f>
        <v>-0.12213570728067757</v>
      </c>
      <c r="R163" s="8">
        <f>bdrate(C163:C166,E163:E166,J163:J166,L163:L166)</f>
        <v>-0.50186538559419414</v>
      </c>
      <c r="S163" s="8">
        <f>bdrate(C163:C166,F163:F166,J163:J166,M163:M166)</f>
        <v>-0.46828663955350958</v>
      </c>
      <c r="T163" s="25">
        <f>bdrate(C163:C166,H163:H166,J163:J166,O163:O166)</f>
        <v>-0.20210753093670386</v>
      </c>
      <c r="U163" s="28">
        <f t="shared" si="11"/>
        <v>1.4661241907004123</v>
      </c>
    </row>
    <row r="164" spans="1:21" x14ac:dyDescent="0.25">
      <c r="B164" s="9"/>
      <c r="C164" s="17">
        <v>814.7</v>
      </c>
      <c r="D164" s="18">
        <v>34.125999999999998</v>
      </c>
      <c r="E164" s="18">
        <v>39.109000000000002</v>
      </c>
      <c r="F164" s="18">
        <v>39.951000000000001</v>
      </c>
      <c r="G164" s="18">
        <v>38.35</v>
      </c>
      <c r="H164" s="18">
        <f t="shared" si="9"/>
        <v>35.476999999999997</v>
      </c>
      <c r="I164" s="5"/>
      <c r="J164" s="17">
        <v>806.55039999999997</v>
      </c>
      <c r="K164" s="18">
        <v>34.507100000000001</v>
      </c>
      <c r="L164" s="18">
        <v>40.688200000000002</v>
      </c>
      <c r="M164" s="18">
        <v>41.536000000000001</v>
      </c>
      <c r="N164" s="18">
        <v>97.118799999999993</v>
      </c>
      <c r="O164" s="18">
        <f t="shared" si="10"/>
        <v>36.158349999999999</v>
      </c>
      <c r="P164" s="7"/>
      <c r="Q164" s="10"/>
      <c r="R164" s="11"/>
      <c r="S164" s="11"/>
      <c r="T164" s="26"/>
      <c r="U164" s="28">
        <f t="shared" si="11"/>
        <v>1.5324328552803126</v>
      </c>
    </row>
    <row r="165" spans="1:21" x14ac:dyDescent="0.25">
      <c r="B165" s="9"/>
      <c r="C165" s="17">
        <v>506.13</v>
      </c>
      <c r="D165" s="18">
        <v>32.07</v>
      </c>
      <c r="E165" s="18">
        <v>37.762999999999998</v>
      </c>
      <c r="F165" s="18">
        <v>38.421999999999997</v>
      </c>
      <c r="G165" s="18">
        <v>43.36</v>
      </c>
      <c r="H165" s="18">
        <f t="shared" si="9"/>
        <v>33.575625000000002</v>
      </c>
      <c r="I165" s="5"/>
      <c r="J165" s="17">
        <v>503.95920000000001</v>
      </c>
      <c r="K165" s="18">
        <v>32.668100000000003</v>
      </c>
      <c r="L165" s="18">
        <v>39.637500000000003</v>
      </c>
      <c r="M165" s="18">
        <v>40.353000000000002</v>
      </c>
      <c r="N165" s="18">
        <v>115.85250000000001</v>
      </c>
      <c r="O165" s="18">
        <f t="shared" si="10"/>
        <v>34.4998875</v>
      </c>
      <c r="P165" s="7"/>
      <c r="Q165" s="10"/>
      <c r="R165" s="11"/>
      <c r="S165" s="11"/>
      <c r="T165" s="26"/>
      <c r="U165" s="28">
        <f t="shared" si="11"/>
        <v>1.6718750000000002</v>
      </c>
    </row>
    <row r="166" spans="1:21" ht="16.5" thickBot="1" x14ac:dyDescent="0.3">
      <c r="B166" s="12"/>
      <c r="C166" s="19">
        <v>299.62</v>
      </c>
      <c r="D166" s="20">
        <v>29.724</v>
      </c>
      <c r="E166" s="20">
        <v>36.246000000000002</v>
      </c>
      <c r="F166" s="20">
        <v>36.716000000000001</v>
      </c>
      <c r="G166" s="20">
        <v>50.94</v>
      </c>
      <c r="H166" s="20">
        <f t="shared" si="9"/>
        <v>31.413250000000001</v>
      </c>
      <c r="I166" s="5"/>
      <c r="J166" s="19">
        <v>303.59039999999999</v>
      </c>
      <c r="K166" s="20">
        <v>30.608899999999998</v>
      </c>
      <c r="L166" s="20">
        <v>38.517699999999998</v>
      </c>
      <c r="M166" s="20">
        <v>39.084099999999999</v>
      </c>
      <c r="N166" s="20">
        <v>136.8613</v>
      </c>
      <c r="O166" s="20">
        <f t="shared" si="10"/>
        <v>32.656899999999993</v>
      </c>
      <c r="P166" s="7"/>
      <c r="Q166" s="13"/>
      <c r="R166" s="14"/>
      <c r="S166" s="14"/>
      <c r="T166" s="27"/>
      <c r="U166" s="28">
        <f t="shared" si="11"/>
        <v>1.686715744012564</v>
      </c>
    </row>
    <row r="167" spans="1:21" x14ac:dyDescent="0.25">
      <c r="B167" s="6" t="s">
        <v>55</v>
      </c>
      <c r="C167" s="15">
        <v>1094.3399999999999</v>
      </c>
      <c r="D167" s="16">
        <v>30.326000000000001</v>
      </c>
      <c r="E167" s="16">
        <v>35.884999999999998</v>
      </c>
      <c r="F167" s="16">
        <v>36.655000000000001</v>
      </c>
      <c r="G167" s="16">
        <v>32.64</v>
      </c>
      <c r="H167" s="16">
        <f t="shared" si="9"/>
        <v>31.812000000000001</v>
      </c>
      <c r="I167" s="5"/>
      <c r="J167" s="15">
        <v>1199.4528</v>
      </c>
      <c r="K167" s="16">
        <v>30.982600000000001</v>
      </c>
      <c r="L167" s="16">
        <v>37.644399999999997</v>
      </c>
      <c r="M167" s="16">
        <v>38.508000000000003</v>
      </c>
      <c r="N167" s="16">
        <v>71.839100000000002</v>
      </c>
      <c r="O167" s="16">
        <f t="shared" si="10"/>
        <v>32.756</v>
      </c>
      <c r="P167" s="7"/>
      <c r="Q167" s="8">
        <f>bdrate(C167:C170,D167:D170,J167:J170,K167:K170)</f>
        <v>-0.11873598085895376</v>
      </c>
      <c r="R167" s="8">
        <f>bdrate(C167:C170,E167:E170,J167:J170,L167:L170)</f>
        <v>-0.55438070230228753</v>
      </c>
      <c r="S167" s="8">
        <f>bdrate(C167:C170,F167:F170,J167:J170,M167:M170)</f>
        <v>-0.54440511469764541</v>
      </c>
      <c r="T167" s="25">
        <f>bdrate(C167:C170,H167:H170,J167:J170,O167:O170)</f>
        <v>-0.20577969724203427</v>
      </c>
      <c r="U167" s="28">
        <f t="shared" si="11"/>
        <v>1.200952818627451</v>
      </c>
    </row>
    <row r="168" spans="1:21" x14ac:dyDescent="0.25">
      <c r="B168" s="9"/>
      <c r="C168" s="17">
        <v>727.41</v>
      </c>
      <c r="D168" s="18">
        <v>28.905999999999999</v>
      </c>
      <c r="E168" s="18">
        <v>35.128</v>
      </c>
      <c r="F168" s="18">
        <v>35.914000000000001</v>
      </c>
      <c r="G168" s="18">
        <v>37.14</v>
      </c>
      <c r="H168" s="18">
        <f t="shared" si="9"/>
        <v>30.559749999999994</v>
      </c>
      <c r="I168" s="5"/>
      <c r="J168" s="17">
        <v>800.01120000000003</v>
      </c>
      <c r="K168" s="18">
        <v>29.6067</v>
      </c>
      <c r="L168" s="18">
        <v>36.7669</v>
      </c>
      <c r="M168" s="18">
        <v>37.57</v>
      </c>
      <c r="N168" s="18">
        <v>82.399500000000003</v>
      </c>
      <c r="O168" s="18">
        <f t="shared" si="10"/>
        <v>31.497137499999997</v>
      </c>
      <c r="P168" s="7"/>
      <c r="Q168" s="10"/>
      <c r="R168" s="11"/>
      <c r="S168" s="11"/>
      <c r="T168" s="26"/>
      <c r="U168" s="28">
        <f t="shared" si="11"/>
        <v>1.2186187399030695</v>
      </c>
    </row>
    <row r="169" spans="1:21" x14ac:dyDescent="0.25">
      <c r="B169" s="9"/>
      <c r="C169" s="17">
        <v>450.57</v>
      </c>
      <c r="D169" s="18">
        <v>27.375</v>
      </c>
      <c r="E169" s="18">
        <v>34.332999999999998</v>
      </c>
      <c r="F169" s="18">
        <v>35.125</v>
      </c>
      <c r="G169" s="18">
        <v>42.45</v>
      </c>
      <c r="H169" s="18">
        <f t="shared" si="9"/>
        <v>29.2135</v>
      </c>
      <c r="I169" s="5"/>
      <c r="J169" s="17">
        <v>504.72480000000002</v>
      </c>
      <c r="K169" s="18">
        <v>28.151800000000001</v>
      </c>
      <c r="L169" s="18">
        <v>35.908900000000003</v>
      </c>
      <c r="M169" s="18">
        <v>36.677</v>
      </c>
      <c r="N169" s="18">
        <v>100.4823</v>
      </c>
      <c r="O169" s="18">
        <f t="shared" si="10"/>
        <v>30.187087500000001</v>
      </c>
      <c r="P169" s="7"/>
      <c r="Q169" s="10"/>
      <c r="R169" s="11"/>
      <c r="S169" s="11"/>
      <c r="T169" s="26"/>
      <c r="U169" s="28">
        <f t="shared" si="11"/>
        <v>1.3670742049469962</v>
      </c>
    </row>
    <row r="170" spans="1:21" ht="16.5" thickBot="1" x14ac:dyDescent="0.3">
      <c r="B170" s="12"/>
      <c r="C170" s="19">
        <v>252.87</v>
      </c>
      <c r="D170" s="20">
        <v>25.475999999999999</v>
      </c>
      <c r="E170" s="20">
        <v>33.154000000000003</v>
      </c>
      <c r="F170" s="20">
        <v>33.921999999999997</v>
      </c>
      <c r="G170" s="20">
        <v>50.8</v>
      </c>
      <c r="H170" s="20">
        <f t="shared" si="9"/>
        <v>27.491499999999998</v>
      </c>
      <c r="I170" s="5"/>
      <c r="J170" s="19">
        <v>305.16399999999999</v>
      </c>
      <c r="K170" s="20">
        <v>26.611000000000001</v>
      </c>
      <c r="L170" s="20">
        <v>35.055999999999997</v>
      </c>
      <c r="M170" s="20">
        <v>35.767000000000003</v>
      </c>
      <c r="N170" s="20">
        <v>122.3391</v>
      </c>
      <c r="O170" s="20">
        <f t="shared" si="10"/>
        <v>28.811124999999997</v>
      </c>
      <c r="P170" s="7"/>
      <c r="Q170" s="13"/>
      <c r="R170" s="14"/>
      <c r="S170" s="14"/>
      <c r="T170" s="27"/>
      <c r="U170" s="28">
        <f t="shared" si="11"/>
        <v>1.4082500000000002</v>
      </c>
    </row>
    <row r="171" spans="1:21" x14ac:dyDescent="0.25">
      <c r="B171" s="6" t="s">
        <v>56</v>
      </c>
      <c r="C171" s="15">
        <v>1102.78</v>
      </c>
      <c r="D171" s="16">
        <v>33.298000000000002</v>
      </c>
      <c r="E171" s="16">
        <v>36.991</v>
      </c>
      <c r="F171" s="16">
        <v>38.706000000000003</v>
      </c>
      <c r="G171" s="16">
        <v>21.13</v>
      </c>
      <c r="H171" s="16">
        <f t="shared" si="9"/>
        <v>34.435625000000002</v>
      </c>
      <c r="I171" s="5"/>
      <c r="J171" s="15">
        <v>1190.8</v>
      </c>
      <c r="K171" s="16">
        <v>32.995899999999999</v>
      </c>
      <c r="L171" s="16">
        <v>37.771799999999999</v>
      </c>
      <c r="M171" s="16">
        <v>39.369100000000003</v>
      </c>
      <c r="N171" s="16">
        <v>55.576099999999997</v>
      </c>
      <c r="O171" s="16">
        <f t="shared" si="10"/>
        <v>34.389537499999996</v>
      </c>
      <c r="P171" s="7"/>
      <c r="Q171" s="8">
        <f>bdrate(C171:C174,D171:D174,J171:J174,K171:K174)</f>
        <v>0.16867260845012289</v>
      </c>
      <c r="R171" s="8">
        <f>bdrate(C171:C174,E171:E174,J171:J174,L171:L174)</f>
        <v>-0.32309158814243777</v>
      </c>
      <c r="S171" s="8">
        <f>bdrate(C171:C174,F171:F174,J171:J174,M171:M174)</f>
        <v>-0.30306851794583967</v>
      </c>
      <c r="T171" s="25">
        <f>bdrate(C171:C174,H171:H174,J171:J174,O171:O174)</f>
        <v>6.5798792161668285E-2</v>
      </c>
      <c r="U171" s="28">
        <f t="shared" si="11"/>
        <v>1.6301987695220068</v>
      </c>
    </row>
    <row r="172" spans="1:21" x14ac:dyDescent="0.25">
      <c r="B172" s="9"/>
      <c r="C172" s="17">
        <v>743.15</v>
      </c>
      <c r="D172" s="18">
        <v>31.827999999999999</v>
      </c>
      <c r="E172" s="18">
        <v>36.003999999999998</v>
      </c>
      <c r="F172" s="18">
        <v>37.731000000000002</v>
      </c>
      <c r="G172" s="18">
        <v>23.86</v>
      </c>
      <c r="H172" s="18">
        <f t="shared" si="9"/>
        <v>33.087874999999997</v>
      </c>
      <c r="I172" s="5"/>
      <c r="J172" s="17">
        <v>792.78399999999999</v>
      </c>
      <c r="K172" s="18">
        <v>31.4724</v>
      </c>
      <c r="L172" s="18">
        <v>36.898699999999998</v>
      </c>
      <c r="M172" s="18">
        <v>38.523299999999999</v>
      </c>
      <c r="N172" s="18">
        <v>63.465200000000003</v>
      </c>
      <c r="O172" s="18">
        <f t="shared" si="10"/>
        <v>33.032049999999998</v>
      </c>
      <c r="P172" s="7"/>
      <c r="Q172" s="10"/>
      <c r="R172" s="11"/>
      <c r="S172" s="11"/>
      <c r="T172" s="26"/>
      <c r="U172" s="28">
        <f t="shared" si="11"/>
        <v>1.6598994132439231</v>
      </c>
    </row>
    <row r="173" spans="1:21" x14ac:dyDescent="0.25">
      <c r="B173" s="9"/>
      <c r="C173" s="17">
        <v>473.35</v>
      </c>
      <c r="D173" s="18">
        <v>30.189</v>
      </c>
      <c r="E173" s="18">
        <v>35.023000000000003</v>
      </c>
      <c r="F173" s="18">
        <v>36.654000000000003</v>
      </c>
      <c r="G173" s="18">
        <v>26.93</v>
      </c>
      <c r="H173" s="18">
        <f t="shared" si="9"/>
        <v>31.601375000000001</v>
      </c>
      <c r="I173" s="5"/>
      <c r="J173" s="17">
        <v>496.42160000000001</v>
      </c>
      <c r="K173" s="18">
        <v>29.815799999999999</v>
      </c>
      <c r="L173" s="18">
        <v>35.985399999999998</v>
      </c>
      <c r="M173" s="18">
        <v>37.644500000000001</v>
      </c>
      <c r="N173" s="18">
        <v>73.964500000000001</v>
      </c>
      <c r="O173" s="18">
        <f t="shared" si="10"/>
        <v>31.565587499999999</v>
      </c>
      <c r="P173" s="7"/>
      <c r="Q173" s="10"/>
      <c r="R173" s="11"/>
      <c r="S173" s="11"/>
      <c r="T173" s="26"/>
      <c r="U173" s="28">
        <f t="shared" si="11"/>
        <v>1.7465466023022651</v>
      </c>
    </row>
    <row r="174" spans="1:21" ht="16.5" thickBot="1" x14ac:dyDescent="0.3">
      <c r="B174" s="12"/>
      <c r="C174" s="19">
        <v>287.52</v>
      </c>
      <c r="D174" s="20">
        <v>28.5</v>
      </c>
      <c r="E174" s="20">
        <v>33.872999999999998</v>
      </c>
      <c r="F174" s="20">
        <v>35.369</v>
      </c>
      <c r="G174" s="20">
        <v>31.12</v>
      </c>
      <c r="H174" s="20">
        <f t="shared" si="9"/>
        <v>30.030249999999999</v>
      </c>
      <c r="I174" s="5"/>
      <c r="J174" s="19">
        <v>296.66640000000001</v>
      </c>
      <c r="K174" s="20">
        <v>28.171500000000002</v>
      </c>
      <c r="L174" s="20">
        <v>35.116799999999998</v>
      </c>
      <c r="M174" s="20">
        <v>36.773299999999999</v>
      </c>
      <c r="N174" s="20">
        <v>89.847300000000004</v>
      </c>
      <c r="O174" s="20">
        <f t="shared" si="10"/>
        <v>30.114887500000002</v>
      </c>
      <c r="P174" s="7"/>
      <c r="Q174" s="13"/>
      <c r="R174" s="14"/>
      <c r="S174" s="14"/>
      <c r="T174" s="27"/>
      <c r="U174" s="28">
        <f t="shared" si="11"/>
        <v>1.8871240359897172</v>
      </c>
    </row>
    <row r="175" spans="1:21" x14ac:dyDescent="0.25">
      <c r="A175" s="6" t="s">
        <v>41</v>
      </c>
      <c r="B175" s="6" t="s">
        <v>57</v>
      </c>
      <c r="C175" s="15">
        <v>638.83000000000004</v>
      </c>
      <c r="D175" s="16">
        <v>35.628</v>
      </c>
      <c r="E175" s="16">
        <v>40.061999999999998</v>
      </c>
      <c r="F175" s="16">
        <v>38.817</v>
      </c>
      <c r="G175" s="16">
        <v>48.49</v>
      </c>
      <c r="H175" s="16">
        <f t="shared" si="9"/>
        <v>36.580874999999999</v>
      </c>
      <c r="I175" s="5"/>
      <c r="J175" s="15">
        <v>601.71040000000005</v>
      </c>
      <c r="K175" s="16">
        <v>35.1768</v>
      </c>
      <c r="L175" s="16">
        <v>40.9011</v>
      </c>
      <c r="M175" s="16">
        <v>39.289499999999997</v>
      </c>
      <c r="N175" s="16">
        <v>209.46799999999999</v>
      </c>
      <c r="O175" s="16">
        <f t="shared" si="10"/>
        <v>36.406424999999999</v>
      </c>
      <c r="P175" s="7"/>
      <c r="Q175" s="8">
        <f>bdrate(C175:C178,D175:D178,J175:J178,K175:K178)</f>
        <v>6.5889966074407447E-2</v>
      </c>
      <c r="R175" s="8">
        <f>bdrate(C175:C178,E175:E178,J175:J178,L175:L178)</f>
        <v>-0.37071326571890395</v>
      </c>
      <c r="S175" s="8">
        <f>bdrate(C175:C178,F175:F178,J175:J178,M175:M178)</f>
        <v>-0.28502152602496666</v>
      </c>
      <c r="T175" s="25">
        <f>bdrate(C175:C178,H175:H178,J175:J178,O175:O178)</f>
        <v>-2.3637118509760802E-2</v>
      </c>
      <c r="U175" s="28">
        <f t="shared" si="11"/>
        <v>3.3198185192823257</v>
      </c>
    </row>
    <row r="176" spans="1:21" x14ac:dyDescent="0.25">
      <c r="A176" s="9" t="s">
        <v>42</v>
      </c>
      <c r="B176" s="9"/>
      <c r="C176" s="17">
        <v>424.86</v>
      </c>
      <c r="D176" s="18">
        <v>33.762</v>
      </c>
      <c r="E176" s="18">
        <v>38.762999999999998</v>
      </c>
      <c r="F176" s="18">
        <v>37.326000000000001</v>
      </c>
      <c r="G176" s="18">
        <v>55.64</v>
      </c>
      <c r="H176" s="18">
        <f t="shared" si="9"/>
        <v>34.832625</v>
      </c>
      <c r="I176" s="5"/>
      <c r="J176" s="17">
        <v>400.9776</v>
      </c>
      <c r="K176" s="18">
        <v>33.2789</v>
      </c>
      <c r="L176" s="18">
        <v>39.737000000000002</v>
      </c>
      <c r="M176" s="18">
        <v>37.980600000000003</v>
      </c>
      <c r="N176" s="18">
        <v>240.9639</v>
      </c>
      <c r="O176" s="18">
        <f t="shared" si="10"/>
        <v>34.673875000000002</v>
      </c>
      <c r="P176" s="7"/>
      <c r="Q176" s="10"/>
      <c r="R176" s="11"/>
      <c r="S176" s="11"/>
      <c r="T176" s="26"/>
      <c r="U176" s="28">
        <f t="shared" si="11"/>
        <v>3.330767433501078</v>
      </c>
    </row>
    <row r="177" spans="1:21" x14ac:dyDescent="0.25">
      <c r="B177" s="9"/>
      <c r="C177" s="17">
        <v>265.52999999999997</v>
      </c>
      <c r="D177" s="18">
        <v>31.783999999999999</v>
      </c>
      <c r="E177" s="18">
        <v>37.473999999999997</v>
      </c>
      <c r="F177" s="18">
        <v>35.783000000000001</v>
      </c>
      <c r="G177" s="18">
        <v>65.150000000000006</v>
      </c>
      <c r="H177" s="18">
        <f t="shared" si="9"/>
        <v>32.995125000000002</v>
      </c>
      <c r="I177" s="5"/>
      <c r="J177" s="17">
        <v>250.7192</v>
      </c>
      <c r="K177" s="18">
        <v>31.277000000000001</v>
      </c>
      <c r="L177" s="18">
        <v>38.565199999999997</v>
      </c>
      <c r="M177" s="18">
        <v>36.7209</v>
      </c>
      <c r="N177" s="18">
        <v>283.60750000000002</v>
      </c>
      <c r="O177" s="18">
        <f t="shared" si="10"/>
        <v>32.868512500000001</v>
      </c>
      <c r="P177" s="7"/>
      <c r="Q177" s="10"/>
      <c r="R177" s="11"/>
      <c r="S177" s="11"/>
      <c r="T177" s="26"/>
      <c r="U177" s="28">
        <f t="shared" si="11"/>
        <v>3.3531465848042976</v>
      </c>
    </row>
    <row r="178" spans="1:21" ht="16.5" thickBot="1" x14ac:dyDescent="0.3">
      <c r="B178" s="12"/>
      <c r="C178" s="19">
        <v>126.32</v>
      </c>
      <c r="D178" s="20">
        <v>28.908999999999999</v>
      </c>
      <c r="E178" s="20">
        <v>35.421999999999997</v>
      </c>
      <c r="F178" s="20">
        <v>33.283999999999999</v>
      </c>
      <c r="G178" s="20">
        <v>84.79</v>
      </c>
      <c r="H178" s="20">
        <f t="shared" si="9"/>
        <v>30.27</v>
      </c>
      <c r="I178" s="5"/>
      <c r="J178" s="19">
        <v>120.3432</v>
      </c>
      <c r="K178" s="20">
        <v>28.348199999999999</v>
      </c>
      <c r="L178" s="20">
        <v>36.933999999999997</v>
      </c>
      <c r="M178" s="20">
        <v>34.747399999999999</v>
      </c>
      <c r="N178" s="20">
        <v>368.45979999999997</v>
      </c>
      <c r="O178" s="20">
        <f t="shared" si="10"/>
        <v>30.221325</v>
      </c>
      <c r="P178" s="7"/>
      <c r="Q178" s="13"/>
      <c r="R178" s="14"/>
      <c r="S178" s="14"/>
      <c r="T178" s="27"/>
      <c r="U178" s="28">
        <f t="shared" si="11"/>
        <v>3.3455572591107434</v>
      </c>
    </row>
    <row r="179" spans="1:21" x14ac:dyDescent="0.25">
      <c r="B179" s="6" t="s">
        <v>58</v>
      </c>
      <c r="C179" s="15">
        <v>550.79999999999995</v>
      </c>
      <c r="D179" s="16">
        <v>33.369</v>
      </c>
      <c r="E179" s="16">
        <v>40.116</v>
      </c>
      <c r="F179" s="16">
        <v>41</v>
      </c>
      <c r="G179" s="16">
        <v>89.86</v>
      </c>
      <c r="H179" s="16">
        <f t="shared" si="9"/>
        <v>35.166249999999998</v>
      </c>
      <c r="I179" s="5"/>
      <c r="J179" s="15">
        <v>597.61360000000002</v>
      </c>
      <c r="K179" s="16">
        <v>34.133200000000002</v>
      </c>
      <c r="L179" s="16">
        <v>42.073599999999999</v>
      </c>
      <c r="M179" s="16">
        <v>43.0398</v>
      </c>
      <c r="N179" s="16">
        <v>244.99799999999999</v>
      </c>
      <c r="O179" s="16">
        <f t="shared" si="10"/>
        <v>36.239075</v>
      </c>
      <c r="P179" s="7"/>
      <c r="Q179" s="8">
        <f>bdrate(C179:C182,D179:D182,J179:J182,K179:K182)</f>
        <v>-0.14661080232398005</v>
      </c>
      <c r="R179" s="8">
        <f>bdrate(C179:C182,E179:E182,J179:J182,L179:L182)</f>
        <v>-0.54419413761368696</v>
      </c>
      <c r="S179" s="8">
        <f>bdrate(C179:C182,F179:F182,J179:J182,M179:M182)</f>
        <v>-0.51008062314874181</v>
      </c>
      <c r="T179" s="25">
        <f>bdrate(C179:C182,H179:H182,J179:J182,O179:O182)</f>
        <v>-0.21705217757367157</v>
      </c>
      <c r="U179" s="28">
        <f t="shared" si="11"/>
        <v>1.7264411306476739</v>
      </c>
    </row>
    <row r="180" spans="1:21" x14ac:dyDescent="0.25">
      <c r="B180" s="9"/>
      <c r="C180" s="17">
        <v>363.4</v>
      </c>
      <c r="D180" s="18">
        <v>31.995000000000001</v>
      </c>
      <c r="E180" s="18">
        <v>39.435000000000002</v>
      </c>
      <c r="F180" s="18">
        <v>40.380000000000003</v>
      </c>
      <c r="G180" s="18">
        <v>102.83</v>
      </c>
      <c r="H180" s="18">
        <f t="shared" si="9"/>
        <v>33.973125000000003</v>
      </c>
      <c r="I180" s="5"/>
      <c r="J180" s="17">
        <v>397.21199999999999</v>
      </c>
      <c r="K180" s="18">
        <v>32.797199999999997</v>
      </c>
      <c r="L180" s="18">
        <v>41.141599999999997</v>
      </c>
      <c r="M180" s="18">
        <v>42.005400000000002</v>
      </c>
      <c r="N180" s="18">
        <v>300.60120000000001</v>
      </c>
      <c r="O180" s="18">
        <f t="shared" si="10"/>
        <v>34.991274999999995</v>
      </c>
      <c r="P180" s="7"/>
      <c r="Q180" s="10"/>
      <c r="R180" s="11"/>
      <c r="S180" s="11"/>
      <c r="T180" s="26"/>
      <c r="U180" s="28">
        <f t="shared" si="11"/>
        <v>1.9232830885928234</v>
      </c>
    </row>
    <row r="181" spans="1:21" x14ac:dyDescent="0.25">
      <c r="B181" s="9"/>
      <c r="C181" s="17">
        <v>224.94</v>
      </c>
      <c r="D181" s="18">
        <v>30.398</v>
      </c>
      <c r="E181" s="18">
        <v>38.75</v>
      </c>
      <c r="F181" s="18">
        <v>39.542999999999999</v>
      </c>
      <c r="G181" s="18">
        <v>116.19</v>
      </c>
      <c r="H181" s="18">
        <f t="shared" si="9"/>
        <v>32.585124999999998</v>
      </c>
      <c r="I181" s="5"/>
      <c r="J181" s="17">
        <v>248.4144</v>
      </c>
      <c r="K181" s="18">
        <v>31.261700000000001</v>
      </c>
      <c r="L181" s="18">
        <v>40.136099999999999</v>
      </c>
      <c r="M181" s="18">
        <v>40.9985</v>
      </c>
      <c r="N181" s="18">
        <v>359.49669999999998</v>
      </c>
      <c r="O181" s="18">
        <f t="shared" si="10"/>
        <v>33.588099999999997</v>
      </c>
      <c r="P181" s="7"/>
      <c r="Q181" s="10"/>
      <c r="R181" s="11"/>
      <c r="S181" s="11"/>
      <c r="T181" s="26"/>
      <c r="U181" s="28">
        <f t="shared" si="11"/>
        <v>2.0940416559084256</v>
      </c>
    </row>
    <row r="182" spans="1:21" ht="16.5" thickBot="1" x14ac:dyDescent="0.3">
      <c r="B182" s="12"/>
      <c r="C182" s="19">
        <v>103.24</v>
      </c>
      <c r="D182" s="20">
        <v>27.494</v>
      </c>
      <c r="E182" s="20">
        <v>37.664000000000001</v>
      </c>
      <c r="F182" s="20">
        <v>38.433999999999997</v>
      </c>
      <c r="G182" s="20">
        <v>149.07</v>
      </c>
      <c r="H182" s="20">
        <f t="shared" si="9"/>
        <v>30.132749999999998</v>
      </c>
      <c r="I182" s="5"/>
      <c r="J182" s="19">
        <v>118.76560000000001</v>
      </c>
      <c r="K182" s="20">
        <v>28.7119</v>
      </c>
      <c r="L182" s="20">
        <v>38.924199999999999</v>
      </c>
      <c r="M182" s="20">
        <v>39.628</v>
      </c>
      <c r="N182" s="20">
        <v>493.01560000000001</v>
      </c>
      <c r="O182" s="20">
        <f t="shared" si="10"/>
        <v>31.35295</v>
      </c>
      <c r="P182" s="7"/>
      <c r="Q182" s="13"/>
      <c r="R182" s="14"/>
      <c r="S182" s="14"/>
      <c r="T182" s="27"/>
      <c r="U182" s="28">
        <f t="shared" si="11"/>
        <v>2.3072757764808483</v>
      </c>
    </row>
    <row r="183" spans="1:21" x14ac:dyDescent="0.25">
      <c r="B183" s="6" t="s">
        <v>59</v>
      </c>
      <c r="C183" s="29">
        <v>626.38</v>
      </c>
      <c r="D183" s="30">
        <v>33.572000000000003</v>
      </c>
      <c r="E183" s="30">
        <v>37.713000000000001</v>
      </c>
      <c r="F183" s="30">
        <v>38.298000000000002</v>
      </c>
      <c r="G183" s="16">
        <v>68.19</v>
      </c>
      <c r="H183" s="16">
        <f t="shared" si="9"/>
        <v>34.680374999999998</v>
      </c>
      <c r="I183" s="5"/>
      <c r="J183" s="29">
        <v>595.93600000000004</v>
      </c>
      <c r="K183" s="30">
        <v>33.4512</v>
      </c>
      <c r="L183" s="30">
        <v>38.905900000000003</v>
      </c>
      <c r="M183" s="30">
        <v>39.772100000000002</v>
      </c>
      <c r="N183" s="16">
        <v>233.97290000000001</v>
      </c>
      <c r="O183" s="16">
        <f t="shared" si="10"/>
        <v>34.92315</v>
      </c>
      <c r="P183" s="7"/>
      <c r="Q183" s="8">
        <f>bdrate(C183:C186,D183:D186,J183:J186,K183:K186)</f>
        <v>-6.9056717479228702E-2</v>
      </c>
      <c r="R183" s="8">
        <f>bdrate(C183:C186,E183:E186,J183:J186,L183:L186)</f>
        <v>-0.44381558783219166</v>
      </c>
      <c r="S183" s="8">
        <f>bdrate(C183:C186,F183:F186,J183:J186,M183:M186)</f>
        <v>-0.49895315537153417</v>
      </c>
      <c r="T183" s="25">
        <f>bdrate(C183:C186,H183:H186,J183:J186,O183:O186)</f>
        <v>-0.15839907774489148</v>
      </c>
      <c r="U183" s="28">
        <f t="shared" si="11"/>
        <v>2.4311907904384809</v>
      </c>
    </row>
    <row r="184" spans="1:21" x14ac:dyDescent="0.25">
      <c r="B184" s="9"/>
      <c r="C184" s="31">
        <v>417.03</v>
      </c>
      <c r="D184" s="32">
        <v>31.931999999999999</v>
      </c>
      <c r="E184" s="32">
        <v>36.661000000000001</v>
      </c>
      <c r="F184" s="32">
        <v>37.170999999999999</v>
      </c>
      <c r="G184" s="18">
        <v>78.739999999999995</v>
      </c>
      <c r="H184" s="18">
        <f t="shared" si="9"/>
        <v>33.177999999999997</v>
      </c>
      <c r="I184" s="5"/>
      <c r="J184" s="31">
        <v>395.93360000000001</v>
      </c>
      <c r="K184" s="32">
        <v>31.919</v>
      </c>
      <c r="L184" s="32">
        <v>37.852499999999999</v>
      </c>
      <c r="M184" s="32">
        <v>38.649799999999999</v>
      </c>
      <c r="N184" s="18">
        <v>269.25150000000002</v>
      </c>
      <c r="O184" s="18">
        <f t="shared" si="10"/>
        <v>33.5020375</v>
      </c>
      <c r="P184" s="7"/>
      <c r="Q184" s="10"/>
      <c r="R184" s="11"/>
      <c r="S184" s="11"/>
      <c r="T184" s="26"/>
      <c r="U184" s="28">
        <f t="shared" si="11"/>
        <v>2.4195008890017782</v>
      </c>
    </row>
    <row r="185" spans="1:21" x14ac:dyDescent="0.25">
      <c r="B185" s="9"/>
      <c r="C185" s="31">
        <v>259.44</v>
      </c>
      <c r="D185" s="32">
        <v>30.143999999999998</v>
      </c>
      <c r="E185" s="32">
        <v>35.512</v>
      </c>
      <c r="F185" s="32">
        <v>36.017000000000003</v>
      </c>
      <c r="G185" s="18">
        <v>90.29</v>
      </c>
      <c r="H185" s="18">
        <f t="shared" si="9"/>
        <v>31.549124999999997</v>
      </c>
      <c r="I185" s="5"/>
      <c r="J185" s="31">
        <v>248.48240000000001</v>
      </c>
      <c r="K185" s="32">
        <v>30.2729</v>
      </c>
      <c r="L185" s="32">
        <v>36.778399999999998</v>
      </c>
      <c r="M185" s="32">
        <v>37.561100000000003</v>
      </c>
      <c r="N185" s="18">
        <v>327.0111</v>
      </c>
      <c r="O185" s="18">
        <f t="shared" si="10"/>
        <v>31.997112500000004</v>
      </c>
      <c r="P185" s="7"/>
      <c r="Q185" s="10"/>
      <c r="R185" s="11"/>
      <c r="S185" s="11"/>
      <c r="T185" s="26"/>
      <c r="U185" s="28">
        <f t="shared" si="11"/>
        <v>2.6217864658323178</v>
      </c>
    </row>
    <row r="186" spans="1:21" ht="16.5" thickBot="1" x14ac:dyDescent="0.3">
      <c r="B186" s="12"/>
      <c r="C186" s="33">
        <v>121.91</v>
      </c>
      <c r="D186" s="34">
        <v>27.5</v>
      </c>
      <c r="E186" s="34">
        <v>33.817</v>
      </c>
      <c r="F186" s="34">
        <v>34.195999999999998</v>
      </c>
      <c r="G186" s="20">
        <v>115.29</v>
      </c>
      <c r="H186" s="20">
        <f t="shared" si="9"/>
        <v>29.126625000000001</v>
      </c>
      <c r="I186" s="5"/>
      <c r="J186" s="33">
        <v>119.44799999999999</v>
      </c>
      <c r="K186" s="34">
        <v>27.844000000000001</v>
      </c>
      <c r="L186" s="34">
        <v>35.276800000000001</v>
      </c>
      <c r="M186" s="34">
        <v>36.0017</v>
      </c>
      <c r="N186" s="20">
        <v>433.2756</v>
      </c>
      <c r="O186" s="20">
        <f t="shared" si="10"/>
        <v>29.792812500000004</v>
      </c>
      <c r="P186" s="7"/>
      <c r="Q186" s="13"/>
      <c r="R186" s="14"/>
      <c r="S186" s="14"/>
      <c r="T186" s="27"/>
      <c r="U186" s="28">
        <f t="shared" si="11"/>
        <v>2.7581368722352324</v>
      </c>
    </row>
    <row r="187" spans="1:21" x14ac:dyDescent="0.25">
      <c r="B187" s="6" t="s">
        <v>60</v>
      </c>
      <c r="C187" s="15">
        <v>574.29999999999995</v>
      </c>
      <c r="D187" s="16">
        <v>35.061</v>
      </c>
      <c r="E187" s="16">
        <v>38.192999999999998</v>
      </c>
      <c r="F187" s="16">
        <v>39.396999999999998</v>
      </c>
      <c r="G187" s="16">
        <v>40.31</v>
      </c>
      <c r="H187" s="16">
        <f t="shared" si="9"/>
        <v>35.994499999999995</v>
      </c>
      <c r="I187" s="5"/>
      <c r="J187" s="15">
        <v>588.24239999999998</v>
      </c>
      <c r="K187" s="16">
        <v>34.526800000000001</v>
      </c>
      <c r="L187" s="16">
        <v>38.69</v>
      </c>
      <c r="M187" s="16">
        <v>39.835099999999997</v>
      </c>
      <c r="N187" s="16">
        <v>142.45009999999999</v>
      </c>
      <c r="O187" s="16">
        <f t="shared" si="10"/>
        <v>35.7107375</v>
      </c>
      <c r="P187" s="7"/>
      <c r="Q187" s="8">
        <f>bdrate(C187:C190,D187:D190,J187:J190,K187:K190)</f>
        <v>0.15473722266286249</v>
      </c>
      <c r="R187" s="8">
        <f>bdrate(C187:C190,E187:E190,J187:J190,L187:L190)</f>
        <v>-0.2325194552122013</v>
      </c>
      <c r="S187" s="8">
        <f>bdrate(C187:C190,F187:F190,J187:J190,M187:M190)</f>
        <v>-0.22583115602823334</v>
      </c>
      <c r="T187" s="25">
        <f>bdrate(C187:C190,H187:H190,J187:J190,O187:O190)</f>
        <v>6.6819694179832023E-2</v>
      </c>
      <c r="U187" s="28">
        <f t="shared" si="11"/>
        <v>2.5338650458943186</v>
      </c>
    </row>
    <row r="188" spans="1:21" x14ac:dyDescent="0.25">
      <c r="B188" s="9"/>
      <c r="C188" s="17">
        <v>385.43</v>
      </c>
      <c r="D188" s="18">
        <v>33.192</v>
      </c>
      <c r="E188" s="18">
        <v>36.924999999999997</v>
      </c>
      <c r="F188" s="18">
        <v>38.122999999999998</v>
      </c>
      <c r="G188" s="18">
        <v>45.89</v>
      </c>
      <c r="H188" s="18">
        <f t="shared" si="9"/>
        <v>34.274999999999999</v>
      </c>
      <c r="I188" s="5"/>
      <c r="J188" s="17">
        <v>390.63839999999999</v>
      </c>
      <c r="K188" s="18">
        <v>32.5717</v>
      </c>
      <c r="L188" s="18">
        <v>37.523299999999999</v>
      </c>
      <c r="M188" s="18">
        <v>38.689799999999998</v>
      </c>
      <c r="N188" s="18">
        <v>168.63409999999999</v>
      </c>
      <c r="O188" s="18">
        <f t="shared" si="10"/>
        <v>33.955412500000001</v>
      </c>
      <c r="P188" s="7"/>
      <c r="Q188" s="10"/>
      <c r="R188" s="11"/>
      <c r="S188" s="11"/>
      <c r="T188" s="26"/>
      <c r="U188" s="28">
        <f t="shared" si="11"/>
        <v>2.6747461320549135</v>
      </c>
    </row>
    <row r="189" spans="1:21" x14ac:dyDescent="0.25">
      <c r="B189" s="9"/>
      <c r="C189" s="17">
        <v>242.11</v>
      </c>
      <c r="D189" s="18">
        <v>31.213000000000001</v>
      </c>
      <c r="E189" s="18">
        <v>35.561999999999998</v>
      </c>
      <c r="F189" s="18">
        <v>36.713999999999999</v>
      </c>
      <c r="G189" s="18">
        <v>54.48</v>
      </c>
      <c r="H189" s="18">
        <f t="shared" si="9"/>
        <v>32.444250000000004</v>
      </c>
      <c r="I189" s="5"/>
      <c r="J189" s="17">
        <v>245.31200000000001</v>
      </c>
      <c r="K189" s="18">
        <v>30.718499999999999</v>
      </c>
      <c r="L189" s="18">
        <v>36.339700000000001</v>
      </c>
      <c r="M189" s="18">
        <v>37.498800000000003</v>
      </c>
      <c r="N189" s="18">
        <v>202.42910000000001</v>
      </c>
      <c r="O189" s="18">
        <f t="shared" si="10"/>
        <v>32.268687499999999</v>
      </c>
      <c r="P189" s="7"/>
      <c r="Q189" s="10"/>
      <c r="R189" s="11"/>
      <c r="S189" s="11"/>
      <c r="T189" s="26"/>
      <c r="U189" s="28">
        <f t="shared" si="11"/>
        <v>2.7156589574155658</v>
      </c>
    </row>
    <row r="190" spans="1:21" ht="16.5" thickBot="1" x14ac:dyDescent="0.3">
      <c r="B190" s="12"/>
      <c r="C190" s="19">
        <v>116</v>
      </c>
      <c r="D190" s="20">
        <v>28.513000000000002</v>
      </c>
      <c r="E190" s="20">
        <v>33.505000000000003</v>
      </c>
      <c r="F190" s="20">
        <v>34.521999999999998</v>
      </c>
      <c r="G190" s="20">
        <v>72.03</v>
      </c>
      <c r="H190" s="20">
        <f t="shared" si="9"/>
        <v>29.888124999999999</v>
      </c>
      <c r="I190" s="5"/>
      <c r="J190" s="19">
        <v>117.66</v>
      </c>
      <c r="K190" s="20">
        <v>28.078499999999998</v>
      </c>
      <c r="L190" s="20">
        <v>34.860900000000001</v>
      </c>
      <c r="M190" s="20">
        <v>35.96</v>
      </c>
      <c r="N190" s="20">
        <v>267.14159999999998</v>
      </c>
      <c r="O190" s="20">
        <f t="shared" si="10"/>
        <v>29.911487500000003</v>
      </c>
      <c r="P190" s="7"/>
      <c r="Q190" s="13"/>
      <c r="R190" s="14"/>
      <c r="S190" s="14"/>
      <c r="T190" s="27"/>
      <c r="U190" s="28">
        <f t="shared" si="11"/>
        <v>2.7087546855476883</v>
      </c>
    </row>
    <row r="191" spans="1:21" x14ac:dyDescent="0.25">
      <c r="A191" s="6" t="s">
        <v>43</v>
      </c>
      <c r="B191" s="6" t="s">
        <v>61</v>
      </c>
      <c r="C191" s="15">
        <v>1384.74</v>
      </c>
      <c r="D191" s="16">
        <v>41.320999999999998</v>
      </c>
      <c r="E191" s="16">
        <v>45.314999999999998</v>
      </c>
      <c r="F191" s="16">
        <v>46.637999999999998</v>
      </c>
      <c r="G191" s="16">
        <v>27.01</v>
      </c>
      <c r="H191" s="16">
        <f t="shared" si="9"/>
        <v>42.484874999999995</v>
      </c>
      <c r="I191" s="5"/>
      <c r="J191" s="15">
        <v>1500.9344000000001</v>
      </c>
      <c r="K191" s="16">
        <v>41.893000000000001</v>
      </c>
      <c r="L191" s="16">
        <v>46.505000000000003</v>
      </c>
      <c r="M191" s="16">
        <v>47.790100000000002</v>
      </c>
      <c r="N191" s="16">
        <v>58.519500000000001</v>
      </c>
      <c r="O191" s="16">
        <f t="shared" si="10"/>
        <v>43.206637499999999</v>
      </c>
      <c r="P191" s="7"/>
      <c r="Q191" s="8">
        <f>bdrate(C191:C194,D191:D194,J191:J194,K191:K194)</f>
        <v>-6.0387226500909552E-2</v>
      </c>
      <c r="R191" s="8">
        <f>bdrate(C191:C194,E191:E194,J191:J194,L191:L194)</f>
        <v>-0.35445037607686858</v>
      </c>
      <c r="S191" s="8">
        <f>bdrate(C191:C194,F191:F194,J191:J194,M191:M194)</f>
        <v>-0.29993071361633339</v>
      </c>
      <c r="T191" s="25">
        <f>bdrate(C191:C194,H191:H194,J191:J194,O191:O194)</f>
        <v>-0.1198799496854579</v>
      </c>
      <c r="U191" s="28">
        <f t="shared" si="11"/>
        <v>1.1665864494631617</v>
      </c>
    </row>
    <row r="192" spans="1:21" x14ac:dyDescent="0.25">
      <c r="A192" s="9" t="s">
        <v>44</v>
      </c>
      <c r="B192" s="9"/>
      <c r="C192" s="17">
        <v>912.83</v>
      </c>
      <c r="D192" s="18">
        <v>40.204000000000001</v>
      </c>
      <c r="E192" s="18">
        <v>44.314</v>
      </c>
      <c r="F192" s="18">
        <v>45.683999999999997</v>
      </c>
      <c r="G192" s="18">
        <v>29.72</v>
      </c>
      <c r="H192" s="18">
        <f t="shared" si="9"/>
        <v>41.402749999999997</v>
      </c>
      <c r="I192" s="5"/>
      <c r="J192" s="17">
        <v>995.35919999999999</v>
      </c>
      <c r="K192" s="18">
        <v>40.898899999999998</v>
      </c>
      <c r="L192" s="18">
        <v>45.712200000000003</v>
      </c>
      <c r="M192" s="18">
        <v>46.932499999999997</v>
      </c>
      <c r="N192" s="18">
        <v>71.352099999999993</v>
      </c>
      <c r="O192" s="18">
        <f t="shared" si="10"/>
        <v>42.254762499999998</v>
      </c>
      <c r="P192" s="7"/>
      <c r="Q192" s="10"/>
      <c r="R192" s="11"/>
      <c r="S192" s="11"/>
      <c r="T192" s="26"/>
      <c r="U192" s="28">
        <f t="shared" si="11"/>
        <v>1.4008109017496633</v>
      </c>
    </row>
    <row r="193" spans="1:21" x14ac:dyDescent="0.25">
      <c r="B193" s="9"/>
      <c r="C193" s="17">
        <v>540.79</v>
      </c>
      <c r="D193" s="18">
        <v>38.491999999999997</v>
      </c>
      <c r="E193" s="18">
        <v>42.890999999999998</v>
      </c>
      <c r="F193" s="18">
        <v>44.271999999999998</v>
      </c>
      <c r="G193" s="18">
        <v>32.590000000000003</v>
      </c>
      <c r="H193" s="18">
        <f t="shared" si="9"/>
        <v>39.764375000000001</v>
      </c>
      <c r="I193" s="5"/>
      <c r="J193" s="17">
        <v>592.80240000000003</v>
      </c>
      <c r="K193" s="18">
        <v>39.127200000000002</v>
      </c>
      <c r="L193" s="18">
        <v>44.331899999999997</v>
      </c>
      <c r="M193" s="18">
        <v>45.475200000000001</v>
      </c>
      <c r="N193" s="18">
        <v>89.445400000000006</v>
      </c>
      <c r="O193" s="18">
        <f t="shared" si="10"/>
        <v>40.571287499999997</v>
      </c>
      <c r="P193" s="7"/>
      <c r="Q193" s="10"/>
      <c r="R193" s="11"/>
      <c r="S193" s="11"/>
      <c r="T193" s="26"/>
      <c r="U193" s="28">
        <f t="shared" si="11"/>
        <v>1.7445658177355017</v>
      </c>
    </row>
    <row r="194" spans="1:21" ht="16.5" thickBot="1" x14ac:dyDescent="0.3">
      <c r="B194" s="12"/>
      <c r="C194" s="19">
        <v>259.74</v>
      </c>
      <c r="D194" s="20">
        <v>35.97</v>
      </c>
      <c r="E194" s="20">
        <v>41.597000000000001</v>
      </c>
      <c r="F194" s="20">
        <v>42.706000000000003</v>
      </c>
      <c r="G194" s="20">
        <v>36.590000000000003</v>
      </c>
      <c r="H194" s="20">
        <f t="shared" si="9"/>
        <v>37.515374999999999</v>
      </c>
      <c r="I194" s="5"/>
      <c r="J194" s="19">
        <v>290.90320000000003</v>
      </c>
      <c r="K194" s="20">
        <v>35.993699999999997</v>
      </c>
      <c r="L194" s="20">
        <v>42.328299999999999</v>
      </c>
      <c r="M194" s="20">
        <v>43.505899999999997</v>
      </c>
      <c r="N194" s="20">
        <v>119.8083</v>
      </c>
      <c r="O194" s="20">
        <f t="shared" si="10"/>
        <v>37.724550000000001</v>
      </c>
      <c r="P194" s="7"/>
      <c r="Q194" s="13"/>
      <c r="R194" s="14"/>
      <c r="S194" s="14"/>
      <c r="T194" s="27"/>
      <c r="U194" s="28">
        <f t="shared" si="11"/>
        <v>2.2743454495763866</v>
      </c>
    </row>
    <row r="195" spans="1:21" x14ac:dyDescent="0.25">
      <c r="B195" s="6" t="s">
        <v>62</v>
      </c>
      <c r="C195" s="15">
        <v>1427</v>
      </c>
      <c r="D195" s="16">
        <v>42.679000000000002</v>
      </c>
      <c r="E195" s="16">
        <v>47.59</v>
      </c>
      <c r="F195" s="16">
        <v>48.228999999999999</v>
      </c>
      <c r="G195" s="16">
        <v>26.43</v>
      </c>
      <c r="H195" s="16">
        <f t="shared" si="9"/>
        <v>43.986624999999997</v>
      </c>
      <c r="I195" s="5"/>
      <c r="J195" s="15">
        <v>1503.8072</v>
      </c>
      <c r="K195" s="16">
        <v>42.911499999999997</v>
      </c>
      <c r="L195" s="16">
        <v>48.325899999999997</v>
      </c>
      <c r="M195" s="16">
        <v>49.055500000000002</v>
      </c>
      <c r="N195" s="16">
        <v>65.638300000000001</v>
      </c>
      <c r="O195" s="16">
        <f t="shared" si="10"/>
        <v>44.356299999999997</v>
      </c>
      <c r="P195" s="7"/>
      <c r="Q195" s="8">
        <f>bdrate(C195:C198,D195:D198,J195:J198,K195:K198)</f>
        <v>-0.13052294268338061</v>
      </c>
      <c r="R195" s="8">
        <f>bdrate(C195:C198,E195:E198,J195:J198,L195:L198)</f>
        <v>-0.42857726617884295</v>
      </c>
      <c r="S195" s="8">
        <f>bdrate(C195:C198,F195:F198,J195:J198,M195:M198)</f>
        <v>-0.42459972057506001</v>
      </c>
      <c r="T195" s="25">
        <f>bdrate(C195:C198,H195:H198,J195:J198,O195:O198)</f>
        <v>-0.21716593384536986</v>
      </c>
      <c r="U195" s="28">
        <f t="shared" ref="U195:U213" si="12">(N195-G195)/G195</f>
        <v>1.4834771093454409</v>
      </c>
    </row>
    <row r="196" spans="1:21" x14ac:dyDescent="0.25">
      <c r="B196" s="9"/>
      <c r="C196" s="17">
        <v>940.41</v>
      </c>
      <c r="D196" s="18">
        <v>42.170999999999999</v>
      </c>
      <c r="E196" s="18">
        <v>46.993000000000002</v>
      </c>
      <c r="F196" s="18">
        <v>47.655000000000001</v>
      </c>
      <c r="G196" s="18">
        <v>29.43</v>
      </c>
      <c r="H196" s="18">
        <f t="shared" si="9"/>
        <v>43.459249999999997</v>
      </c>
      <c r="I196" s="5"/>
      <c r="J196" s="17">
        <v>997.6952</v>
      </c>
      <c r="K196" s="18">
        <v>42.476199999999999</v>
      </c>
      <c r="L196" s="18">
        <v>47.988</v>
      </c>
      <c r="M196" s="18">
        <v>48.668999999999997</v>
      </c>
      <c r="N196" s="18">
        <v>79.797799999999995</v>
      </c>
      <c r="O196" s="18">
        <f t="shared" si="10"/>
        <v>43.939274999999995</v>
      </c>
      <c r="P196" s="7"/>
      <c r="Q196" s="10"/>
      <c r="R196" s="11"/>
      <c r="S196" s="11"/>
      <c r="T196" s="26"/>
      <c r="U196" s="28">
        <f t="shared" si="12"/>
        <v>1.7114441046551137</v>
      </c>
    </row>
    <row r="197" spans="1:21" x14ac:dyDescent="0.25">
      <c r="B197" s="9"/>
      <c r="C197" s="17">
        <v>554.96</v>
      </c>
      <c r="D197" s="18">
        <v>41.348999999999997</v>
      </c>
      <c r="E197" s="18">
        <v>46.079000000000001</v>
      </c>
      <c r="F197" s="18">
        <v>46.78</v>
      </c>
      <c r="G197" s="18">
        <v>32.270000000000003</v>
      </c>
      <c r="H197" s="18">
        <f t="shared" si="9"/>
        <v>42.619124999999997</v>
      </c>
      <c r="I197" s="5"/>
      <c r="J197" s="17">
        <v>573.7328</v>
      </c>
      <c r="K197" s="18">
        <v>41.686700000000002</v>
      </c>
      <c r="L197" s="18">
        <v>47.2166</v>
      </c>
      <c r="M197" s="18">
        <v>47.929299999999998</v>
      </c>
      <c r="N197" s="18">
        <v>100.6711</v>
      </c>
      <c r="O197" s="18">
        <f t="shared" si="10"/>
        <v>43.158262500000006</v>
      </c>
      <c r="P197" s="7"/>
      <c r="Q197" s="10"/>
      <c r="R197" s="11"/>
      <c r="S197" s="11"/>
      <c r="T197" s="26"/>
      <c r="U197" s="28">
        <f t="shared" si="12"/>
        <v>2.1196498295630608</v>
      </c>
    </row>
    <row r="198" spans="1:21" ht="16.5" thickBot="1" x14ac:dyDescent="0.3">
      <c r="B198" s="12"/>
      <c r="C198" s="19">
        <v>265.72000000000003</v>
      </c>
      <c r="D198" s="20">
        <v>39.658999999999999</v>
      </c>
      <c r="E198" s="20">
        <v>44.634999999999998</v>
      </c>
      <c r="F198" s="20">
        <v>45.262999999999998</v>
      </c>
      <c r="G198" s="20">
        <v>35.61</v>
      </c>
      <c r="H198" s="20">
        <f t="shared" si="9"/>
        <v>40.981499999999997</v>
      </c>
      <c r="I198" s="5"/>
      <c r="J198" s="19">
        <v>274.1576</v>
      </c>
      <c r="K198" s="20">
        <v>39.909199999999998</v>
      </c>
      <c r="L198" s="20">
        <v>45.464100000000002</v>
      </c>
      <c r="M198" s="20">
        <v>46.025799999999997</v>
      </c>
      <c r="N198" s="20">
        <v>132.8904</v>
      </c>
      <c r="O198" s="20">
        <f t="shared" si="10"/>
        <v>41.368137500000003</v>
      </c>
      <c r="P198" s="7"/>
      <c r="Q198" s="13"/>
      <c r="R198" s="14"/>
      <c r="S198" s="14"/>
      <c r="T198" s="27"/>
      <c r="U198" s="28">
        <f t="shared" si="12"/>
        <v>2.7318281381634373</v>
      </c>
    </row>
    <row r="199" spans="1:21" x14ac:dyDescent="0.25">
      <c r="B199" s="6" t="s">
        <v>63</v>
      </c>
      <c r="C199" s="15">
        <v>1486.03</v>
      </c>
      <c r="D199" s="16">
        <v>42.561</v>
      </c>
      <c r="E199" s="16">
        <v>46.784999999999997</v>
      </c>
      <c r="F199" s="16">
        <v>47.692</v>
      </c>
      <c r="G199" s="16">
        <v>23.48</v>
      </c>
      <c r="H199" s="16">
        <f t="shared" si="9"/>
        <v>43.730374999999995</v>
      </c>
      <c r="I199" s="5"/>
      <c r="J199" s="15">
        <v>1537.8032000000001</v>
      </c>
      <c r="K199" s="16">
        <v>42.845100000000002</v>
      </c>
      <c r="L199" s="16">
        <v>47.521099999999997</v>
      </c>
      <c r="M199" s="16">
        <v>48.446399999999997</v>
      </c>
      <c r="N199" s="16">
        <v>60.8581</v>
      </c>
      <c r="O199" s="16">
        <f t="shared" si="10"/>
        <v>44.129762499999998</v>
      </c>
      <c r="P199" s="7"/>
      <c r="Q199" s="8">
        <f>bdrate(C199:C202,D199:D202,J199:J202,K199:K202)</f>
        <v>-7.7915218557612298E-2</v>
      </c>
      <c r="R199" s="8">
        <f>bdrate(C199:C202,E199:E202,J199:J202,L199:L202)</f>
        <v>-0.34611692345616552</v>
      </c>
      <c r="S199" s="8">
        <f>bdrate(C199:C202,F199:F202,J199:J202,M199:M202)</f>
        <v>-0.32627885254317812</v>
      </c>
      <c r="T199" s="25">
        <f>bdrate(C199:C202,H199:H202,J199:J202,O199:O202)</f>
        <v>-0.14333769021376319</v>
      </c>
      <c r="U199" s="28">
        <f t="shared" si="12"/>
        <v>1.5919122657580922</v>
      </c>
    </row>
    <row r="200" spans="1:21" x14ac:dyDescent="0.25">
      <c r="B200" s="9"/>
      <c r="C200" s="17">
        <v>986.95</v>
      </c>
      <c r="D200" s="18">
        <v>41.811</v>
      </c>
      <c r="E200" s="18">
        <v>45.930999999999997</v>
      </c>
      <c r="F200" s="18">
        <v>46.906999999999996</v>
      </c>
      <c r="G200" s="18">
        <v>26.08</v>
      </c>
      <c r="H200" s="18">
        <f t="shared" si="9"/>
        <v>42.962999999999994</v>
      </c>
      <c r="I200" s="5"/>
      <c r="J200" s="17">
        <v>1021.1824</v>
      </c>
      <c r="K200" s="18">
        <v>42.1248</v>
      </c>
      <c r="L200" s="18">
        <v>46.905700000000003</v>
      </c>
      <c r="M200" s="18">
        <v>47.781599999999997</v>
      </c>
      <c r="N200" s="18">
        <v>75.566800000000001</v>
      </c>
      <c r="O200" s="18">
        <f t="shared" si="10"/>
        <v>43.429512500000001</v>
      </c>
      <c r="P200" s="7"/>
      <c r="Q200" s="10"/>
      <c r="R200" s="11"/>
      <c r="S200" s="11"/>
      <c r="T200" s="26"/>
      <c r="U200" s="28">
        <f t="shared" si="12"/>
        <v>1.8975000000000002</v>
      </c>
    </row>
    <row r="201" spans="1:21" x14ac:dyDescent="0.25">
      <c r="B201" s="9"/>
      <c r="C201" s="17">
        <v>588.21</v>
      </c>
      <c r="D201" s="18">
        <v>40.520000000000003</v>
      </c>
      <c r="E201" s="18">
        <v>44.718000000000004</v>
      </c>
      <c r="F201" s="18">
        <v>45.621000000000002</v>
      </c>
      <c r="G201" s="18">
        <v>28.83</v>
      </c>
      <c r="H201" s="18">
        <f t="shared" si="9"/>
        <v>41.682375</v>
      </c>
      <c r="I201" s="5"/>
      <c r="J201" s="17">
        <v>602.55280000000005</v>
      </c>
      <c r="K201" s="18">
        <v>40.854700000000001</v>
      </c>
      <c r="L201" s="18">
        <v>45.785299999999999</v>
      </c>
      <c r="M201" s="18">
        <v>46.647500000000001</v>
      </c>
      <c r="N201" s="18">
        <v>95.663300000000007</v>
      </c>
      <c r="O201" s="18">
        <f t="shared" si="10"/>
        <v>42.195124999999997</v>
      </c>
      <c r="P201" s="7"/>
      <c r="Q201" s="10"/>
      <c r="R201" s="11"/>
      <c r="S201" s="11"/>
      <c r="T201" s="26"/>
      <c r="U201" s="28">
        <f t="shared" si="12"/>
        <v>2.3181859174471042</v>
      </c>
    </row>
    <row r="202" spans="1:21" ht="16.5" thickBot="1" x14ac:dyDescent="0.3">
      <c r="B202" s="12"/>
      <c r="C202" s="19">
        <v>285.87</v>
      </c>
      <c r="D202" s="20">
        <v>38.363999999999997</v>
      </c>
      <c r="E202" s="20">
        <v>43.048000000000002</v>
      </c>
      <c r="F202" s="20">
        <v>43.975999999999999</v>
      </c>
      <c r="G202" s="20">
        <v>32.630000000000003</v>
      </c>
      <c r="H202" s="20">
        <f t="shared" si="9"/>
        <v>39.650999999999996</v>
      </c>
      <c r="I202" s="5"/>
      <c r="J202" s="19">
        <v>294.56639999999999</v>
      </c>
      <c r="K202" s="20">
        <v>38.435699999999997</v>
      </c>
      <c r="L202" s="20">
        <v>43.9985</v>
      </c>
      <c r="M202" s="20">
        <v>44.878300000000003</v>
      </c>
      <c r="N202" s="20">
        <v>127.7683</v>
      </c>
      <c r="O202" s="20">
        <f t="shared" si="10"/>
        <v>39.936374999999998</v>
      </c>
      <c r="P202" s="7"/>
      <c r="Q202" s="13"/>
      <c r="R202" s="14"/>
      <c r="S202" s="14"/>
      <c r="T202" s="27"/>
      <c r="U202" s="28">
        <f t="shared" si="12"/>
        <v>2.9156696291756048</v>
      </c>
    </row>
    <row r="203" spans="1:21" x14ac:dyDescent="0.25">
      <c r="A203" s="6" t="s">
        <v>102</v>
      </c>
      <c r="B203" s="6" t="s">
        <v>103</v>
      </c>
      <c r="C203" s="29">
        <v>1209.4000000000001</v>
      </c>
      <c r="D203" s="30">
        <v>44.951999999999998</v>
      </c>
      <c r="E203" s="30">
        <v>50.024000000000001</v>
      </c>
      <c r="F203" s="30">
        <v>50.927</v>
      </c>
      <c r="G203" s="16">
        <v>14.23</v>
      </c>
      <c r="H203" s="16">
        <f t="shared" ref="H203:H213" si="13">(6*D203+E203+F203)/8</f>
        <v>46.332875000000001</v>
      </c>
      <c r="I203" s="5"/>
      <c r="J203" s="15">
        <v>1231.8549</v>
      </c>
      <c r="K203" s="16">
        <v>45.126600000000003</v>
      </c>
      <c r="L203" s="16">
        <v>51.3232</v>
      </c>
      <c r="M203" s="16">
        <v>51.901800000000001</v>
      </c>
      <c r="N203" s="16">
        <v>42.107199999999999</v>
      </c>
      <c r="O203" s="16">
        <f t="shared" ref="O203:O213" si="14">(6*K203+L203+M203)/8</f>
        <v>46.748075</v>
      </c>
      <c r="P203" s="7"/>
      <c r="Q203" s="8">
        <f>bdrate(C203:C206,D203:D206,J203:J206,K203:K206)</f>
        <v>-0.11340831296874132</v>
      </c>
      <c r="R203" s="8">
        <f>bdrate(C203:C206,E203:E206,J203:J206,L203:L206)</f>
        <v>-0.3885955314119115</v>
      </c>
      <c r="S203" s="8">
        <f>bdrate(C203:C206,F203:F206,J203:J206,M203:M206)</f>
        <v>-0.37457151650611475</v>
      </c>
      <c r="T203" s="25">
        <f>bdrate(C203:C206,H203:H206,J203:J206,O203:O206)</f>
        <v>-0.17809327695646249</v>
      </c>
      <c r="U203" s="28">
        <f t="shared" si="12"/>
        <v>1.959044272663387</v>
      </c>
    </row>
    <row r="204" spans="1:21" x14ac:dyDescent="0.25">
      <c r="A204" s="9" t="s">
        <v>78</v>
      </c>
      <c r="B204" s="9"/>
      <c r="C204" s="31">
        <v>810.22</v>
      </c>
      <c r="D204" s="32">
        <v>42.756</v>
      </c>
      <c r="E204" s="32">
        <v>48.115000000000002</v>
      </c>
      <c r="F204" s="32">
        <v>49.15</v>
      </c>
      <c r="G204" s="18">
        <v>15.97</v>
      </c>
      <c r="H204" s="18">
        <f t="shared" si="13"/>
        <v>44.225124999999998</v>
      </c>
      <c r="I204" s="5"/>
      <c r="J204" s="17">
        <v>830.35320000000002</v>
      </c>
      <c r="K204" s="18">
        <v>43.430100000000003</v>
      </c>
      <c r="L204" s="18">
        <v>50.055399999999999</v>
      </c>
      <c r="M204" s="18">
        <v>50.724499999999999</v>
      </c>
      <c r="N204" s="18">
        <v>48.197899999999997</v>
      </c>
      <c r="O204" s="18">
        <f t="shared" si="14"/>
        <v>45.1700625</v>
      </c>
      <c r="P204" s="7"/>
      <c r="Q204" s="10"/>
      <c r="R204" s="11"/>
      <c r="S204" s="11"/>
      <c r="T204" s="26"/>
      <c r="U204" s="28">
        <f t="shared" si="12"/>
        <v>2.0180275516593613</v>
      </c>
    </row>
    <row r="205" spans="1:21" x14ac:dyDescent="0.25">
      <c r="B205" s="9"/>
      <c r="C205" s="31">
        <v>490.8</v>
      </c>
      <c r="D205" s="32">
        <v>39.933999999999997</v>
      </c>
      <c r="E205" s="32">
        <v>45.665999999999997</v>
      </c>
      <c r="F205" s="32">
        <v>46.906999999999996</v>
      </c>
      <c r="G205" s="18">
        <v>18.170000000000002</v>
      </c>
      <c r="H205" s="18">
        <f t="shared" si="13"/>
        <v>41.522124999999996</v>
      </c>
      <c r="I205" s="5"/>
      <c r="J205" s="17">
        <v>506.67630000000003</v>
      </c>
      <c r="K205" s="18">
        <v>40.855400000000003</v>
      </c>
      <c r="L205" s="18">
        <v>48.154800000000002</v>
      </c>
      <c r="M205" s="18">
        <v>49.096200000000003</v>
      </c>
      <c r="N205" s="18">
        <v>57.005299999999998</v>
      </c>
      <c r="O205" s="18">
        <f t="shared" si="14"/>
        <v>42.797925000000006</v>
      </c>
      <c r="P205" s="7"/>
      <c r="Q205" s="10"/>
      <c r="R205" s="11"/>
      <c r="S205" s="11"/>
      <c r="T205" s="26"/>
      <c r="U205" s="28">
        <f t="shared" si="12"/>
        <v>2.1373307649972477</v>
      </c>
    </row>
    <row r="206" spans="1:21" ht="16.5" thickBot="1" x14ac:dyDescent="0.3">
      <c r="B206" s="12"/>
      <c r="C206" s="33">
        <v>248.04</v>
      </c>
      <c r="D206" s="34">
        <v>36.603000000000002</v>
      </c>
      <c r="E206" s="34">
        <v>42.963000000000001</v>
      </c>
      <c r="F206" s="34">
        <v>44.258000000000003</v>
      </c>
      <c r="G206" s="20">
        <v>22.46</v>
      </c>
      <c r="H206" s="20">
        <f t="shared" si="13"/>
        <v>38.354875</v>
      </c>
      <c r="I206" s="5"/>
      <c r="J206" s="19">
        <v>257.43360000000001</v>
      </c>
      <c r="K206" s="20">
        <v>37.416800000000002</v>
      </c>
      <c r="L206" s="20">
        <v>45.239100000000001</v>
      </c>
      <c r="M206" s="20">
        <v>46.624699999999997</v>
      </c>
      <c r="N206" s="20">
        <v>74.104600000000005</v>
      </c>
      <c r="O206" s="20">
        <f t="shared" si="14"/>
        <v>39.545575000000007</v>
      </c>
      <c r="P206" s="7"/>
      <c r="Q206" s="13"/>
      <c r="R206" s="14"/>
      <c r="S206" s="14"/>
      <c r="T206" s="27"/>
      <c r="U206" s="28">
        <f t="shared" si="12"/>
        <v>2.2994033837934107</v>
      </c>
    </row>
    <row r="207" spans="1:21" x14ac:dyDescent="0.25">
      <c r="B207" s="6" t="s">
        <v>104</v>
      </c>
      <c r="C207" s="15">
        <v>1483.2</v>
      </c>
      <c r="D207" s="16">
        <v>54.098999999999997</v>
      </c>
      <c r="E207" s="16">
        <v>54.783999999999999</v>
      </c>
      <c r="F207" s="16">
        <v>55.198</v>
      </c>
      <c r="G207" s="16">
        <v>35.69</v>
      </c>
      <c r="H207" s="16">
        <f t="shared" si="13"/>
        <v>54.321999999999996</v>
      </c>
      <c r="I207" s="5"/>
      <c r="J207" s="15">
        <v>1430.1007</v>
      </c>
      <c r="K207" s="16">
        <v>53.299199999999999</v>
      </c>
      <c r="L207" s="16">
        <v>54.11</v>
      </c>
      <c r="M207" s="16">
        <v>54.691000000000003</v>
      </c>
      <c r="N207" s="16">
        <v>72.786100000000005</v>
      </c>
      <c r="O207" s="16">
        <f t="shared" si="14"/>
        <v>53.574525000000008</v>
      </c>
      <c r="P207" s="7"/>
      <c r="Q207" s="8">
        <f>bdrate(C207:C210,D207:D210,J207:J210,K207:K210)</f>
        <v>1.4072228995055447E-2</v>
      </c>
      <c r="R207" s="8">
        <f>bdrate(C207:C210,E207:E210,J207:J210,L207:L210)</f>
        <v>-6.9051704555647908E-2</v>
      </c>
      <c r="S207" s="8">
        <f>bdrate(C207:C210,F207:F210,J207:J210,M207:M210)</f>
        <v>-6.2817688723965093E-2</v>
      </c>
      <c r="T207" s="25">
        <f>bdrate(C207:C210,H207:H210,J207:J210,O207:O210)</f>
        <v>-5.1908818004421375E-3</v>
      </c>
      <c r="U207" s="28">
        <f t="shared" si="12"/>
        <v>1.0393975903614461</v>
      </c>
    </row>
    <row r="208" spans="1:21" x14ac:dyDescent="0.25">
      <c r="B208" s="9"/>
      <c r="C208" s="17">
        <v>979.16</v>
      </c>
      <c r="D208" s="18">
        <v>51.442</v>
      </c>
      <c r="E208" s="18">
        <v>52.317</v>
      </c>
      <c r="F208" s="18">
        <v>52.869</v>
      </c>
      <c r="G208" s="18">
        <v>39.25</v>
      </c>
      <c r="H208" s="18">
        <f t="shared" si="13"/>
        <v>51.729749999999996</v>
      </c>
      <c r="I208" s="5"/>
      <c r="J208" s="17">
        <v>972.46720000000005</v>
      </c>
      <c r="K208" s="18">
        <v>51.258499999999998</v>
      </c>
      <c r="L208" s="18">
        <v>52.432499999999997</v>
      </c>
      <c r="M208" s="18">
        <v>52.991300000000003</v>
      </c>
      <c r="N208" s="18">
        <v>91.3566</v>
      </c>
      <c r="O208" s="18">
        <f t="shared" si="14"/>
        <v>51.621850000000002</v>
      </c>
      <c r="P208" s="7"/>
      <c r="Q208" s="10"/>
      <c r="R208" s="11"/>
      <c r="S208" s="11"/>
      <c r="T208" s="26"/>
      <c r="U208" s="28">
        <f t="shared" si="12"/>
        <v>1.3275566878980891</v>
      </c>
    </row>
    <row r="209" spans="2:21" x14ac:dyDescent="0.25">
      <c r="B209" s="9"/>
      <c r="C209" s="17">
        <v>585.87</v>
      </c>
      <c r="D209" s="18">
        <v>48.25</v>
      </c>
      <c r="E209" s="18">
        <v>49.365000000000002</v>
      </c>
      <c r="F209" s="18">
        <v>49.997999999999998</v>
      </c>
      <c r="G209" s="18">
        <v>44.09</v>
      </c>
      <c r="H209" s="18">
        <f t="shared" si="13"/>
        <v>48.607875</v>
      </c>
      <c r="I209" s="5"/>
      <c r="J209" s="17">
        <v>602.63930000000005</v>
      </c>
      <c r="K209" s="18">
        <v>48.465299999999999</v>
      </c>
      <c r="L209" s="18">
        <v>50.078800000000001</v>
      </c>
      <c r="M209" s="18">
        <v>50.642000000000003</v>
      </c>
      <c r="N209" s="18">
        <v>115.9644</v>
      </c>
      <c r="O209" s="18">
        <f t="shared" si="14"/>
        <v>48.939074999999995</v>
      </c>
      <c r="P209" s="7"/>
      <c r="Q209" s="10"/>
      <c r="R209" s="11"/>
      <c r="S209" s="11"/>
      <c r="T209" s="26"/>
      <c r="U209" s="28">
        <f t="shared" si="12"/>
        <v>1.6301746427761394</v>
      </c>
    </row>
    <row r="210" spans="2:21" ht="16.5" thickBot="1" x14ac:dyDescent="0.3">
      <c r="B210" s="12"/>
      <c r="C210" s="19">
        <v>293.08</v>
      </c>
      <c r="D210" s="20">
        <v>43.953000000000003</v>
      </c>
      <c r="E210" s="20">
        <v>45.398000000000003</v>
      </c>
      <c r="F210" s="20">
        <v>46.034999999999997</v>
      </c>
      <c r="G210" s="20">
        <v>49.61</v>
      </c>
      <c r="H210" s="20">
        <f t="shared" si="13"/>
        <v>44.393875000000008</v>
      </c>
      <c r="I210" s="5"/>
      <c r="J210" s="19">
        <v>308.18439999999998</v>
      </c>
      <c r="K210" s="20">
        <v>44.090400000000002</v>
      </c>
      <c r="L210" s="20">
        <v>46.372199999999999</v>
      </c>
      <c r="M210" s="20">
        <v>46.907600000000002</v>
      </c>
      <c r="N210" s="20">
        <v>147.5531</v>
      </c>
      <c r="O210" s="20">
        <f t="shared" si="14"/>
        <v>44.727775000000008</v>
      </c>
      <c r="P210" s="7"/>
      <c r="Q210" s="13"/>
      <c r="R210" s="14"/>
      <c r="S210" s="14"/>
      <c r="T210" s="27"/>
      <c r="U210" s="28">
        <f t="shared" si="12"/>
        <v>1.974261237653699</v>
      </c>
    </row>
    <row r="211" spans="2:21" x14ac:dyDescent="0.25">
      <c r="B211" s="6" t="s">
        <v>105</v>
      </c>
      <c r="C211" s="15">
        <v>1543.59</v>
      </c>
      <c r="D211" s="16">
        <v>43.951999999999998</v>
      </c>
      <c r="E211" s="16">
        <v>45.902000000000001</v>
      </c>
      <c r="F211" s="16">
        <v>46.396999999999998</v>
      </c>
      <c r="G211" s="16">
        <v>17.72</v>
      </c>
      <c r="H211" s="16">
        <f t="shared" si="13"/>
        <v>44.501374999999996</v>
      </c>
      <c r="I211" s="5"/>
      <c r="J211" s="15">
        <v>1489.8068000000001</v>
      </c>
      <c r="K211" s="16">
        <v>44.106699999999996</v>
      </c>
      <c r="L211" s="16">
        <v>46.586599999999997</v>
      </c>
      <c r="M211" s="16">
        <v>47.005099999999999</v>
      </c>
      <c r="N211" s="16">
        <v>45.476399999999998</v>
      </c>
      <c r="O211" s="16">
        <f t="shared" si="14"/>
        <v>44.778987499999999</v>
      </c>
      <c r="P211" s="7"/>
      <c r="Q211" s="8">
        <f>bdrate(C211:C214,D211:D214,J211:J214,K211:K214)</f>
        <v>-9.2133739246719637E-2</v>
      </c>
      <c r="R211" s="8">
        <f>bdrate(C211:C214,E211:E214,J211:J214,L211:L214)</f>
        <v>-0.27765205761943756</v>
      </c>
      <c r="S211" s="8">
        <f>bdrate(C211:C214,F211:F214,J211:J214,M211:M214)</f>
        <v>-0.25721565454292472</v>
      </c>
      <c r="T211" s="25">
        <f>bdrate(C211:C214,H211:H214,J211:J214,O211:O214)</f>
        <v>-0.13121189338781969</v>
      </c>
      <c r="U211" s="28">
        <f t="shared" si="12"/>
        <v>1.5663882618510159</v>
      </c>
    </row>
    <row r="212" spans="2:21" x14ac:dyDescent="0.25">
      <c r="B212" s="9"/>
      <c r="C212" s="17">
        <v>1029.1500000000001</v>
      </c>
      <c r="D212" s="18">
        <v>41.883000000000003</v>
      </c>
      <c r="E212" s="18">
        <v>44.162999999999997</v>
      </c>
      <c r="F212" s="18">
        <v>44.664999999999999</v>
      </c>
      <c r="G212" s="18">
        <v>20</v>
      </c>
      <c r="H212" s="18">
        <f t="shared" si="13"/>
        <v>42.515750000000004</v>
      </c>
      <c r="I212" s="5"/>
      <c r="J212" s="17">
        <v>991.63959999999997</v>
      </c>
      <c r="K212" s="18">
        <v>42.217300000000002</v>
      </c>
      <c r="L212" s="18">
        <v>45.168599999999998</v>
      </c>
      <c r="M212" s="18">
        <v>45.56</v>
      </c>
      <c r="N212" s="18">
        <v>55.022300000000001</v>
      </c>
      <c r="O212" s="18">
        <f t="shared" si="14"/>
        <v>43.004049999999999</v>
      </c>
      <c r="P212" s="7"/>
      <c r="Q212" s="10"/>
      <c r="R212" s="11"/>
      <c r="S212" s="11"/>
      <c r="T212" s="26"/>
      <c r="U212" s="28">
        <f t="shared" si="12"/>
        <v>1.751115</v>
      </c>
    </row>
    <row r="213" spans="2:21" x14ac:dyDescent="0.25">
      <c r="B213" s="9"/>
      <c r="C213" s="17">
        <v>618.66999999999996</v>
      </c>
      <c r="D213" s="18">
        <v>39.168999999999997</v>
      </c>
      <c r="E213" s="18">
        <v>42.012</v>
      </c>
      <c r="F213" s="18">
        <v>42.521999999999998</v>
      </c>
      <c r="G213" s="18">
        <v>22.29</v>
      </c>
      <c r="H213" s="18">
        <f t="shared" si="13"/>
        <v>39.943499999999993</v>
      </c>
      <c r="I213" s="5"/>
      <c r="J213" s="17">
        <v>598.48069999999996</v>
      </c>
      <c r="K213" s="18">
        <v>39.475700000000003</v>
      </c>
      <c r="L213" s="18">
        <v>43.201099999999997</v>
      </c>
      <c r="M213" s="18">
        <v>43.601700000000001</v>
      </c>
      <c r="N213" s="18">
        <v>66.696299999999994</v>
      </c>
      <c r="O213" s="18">
        <f t="shared" si="14"/>
        <v>40.457124999999998</v>
      </c>
      <c r="P213" s="7"/>
      <c r="Q213" s="10"/>
      <c r="R213" s="11"/>
      <c r="S213" s="11"/>
      <c r="T213" s="26"/>
      <c r="U213" s="28">
        <f t="shared" si="12"/>
        <v>1.9922072678331089</v>
      </c>
    </row>
    <row r="214" spans="2:21" ht="16.5" thickBot="1" x14ac:dyDescent="0.3">
      <c r="B214" s="12"/>
      <c r="C214" s="19">
        <v>311.11</v>
      </c>
      <c r="D214" s="20">
        <v>35.466000000000001</v>
      </c>
      <c r="E214" s="20">
        <v>39.134999999999998</v>
      </c>
      <c r="F214" s="20">
        <v>39.743000000000002</v>
      </c>
      <c r="G214" s="20">
        <v>25.61</v>
      </c>
      <c r="H214" s="20">
        <f t="shared" ref="H214:H246" si="15">(6*D214+E214+F214)/8</f>
        <v>36.459249999999997</v>
      </c>
      <c r="I214" s="5"/>
      <c r="J214" s="19">
        <v>302.18689999999998</v>
      </c>
      <c r="K214" s="20">
        <v>35.943899999999999</v>
      </c>
      <c r="L214" s="20">
        <v>40.881799999999998</v>
      </c>
      <c r="M214" s="20">
        <v>41.267699999999998</v>
      </c>
      <c r="N214" s="20">
        <v>82.413799999999995</v>
      </c>
      <c r="O214" s="20">
        <f t="shared" ref="O214:O246" si="16">(6*K214+L214+M214)/8</f>
        <v>37.226612500000002</v>
      </c>
      <c r="P214" s="7"/>
      <c r="Q214" s="13"/>
      <c r="R214" s="14"/>
      <c r="S214" s="14"/>
      <c r="T214" s="27"/>
      <c r="U214" s="28">
        <f t="shared" ref="U214:U246" si="17">(N214-G214)/G214</f>
        <v>2.2180320187426785</v>
      </c>
    </row>
    <row r="215" spans="2:21" x14ac:dyDescent="0.25">
      <c r="B215" s="6" t="s">
        <v>106</v>
      </c>
      <c r="C215" s="15">
        <v>1373.84</v>
      </c>
      <c r="D215" s="16">
        <v>39.695</v>
      </c>
      <c r="E215" s="16">
        <v>43.802999999999997</v>
      </c>
      <c r="F215" s="16">
        <v>43.808999999999997</v>
      </c>
      <c r="G215" s="16">
        <v>14.74</v>
      </c>
      <c r="H215" s="16">
        <f t="shared" si="15"/>
        <v>40.722750000000005</v>
      </c>
      <c r="I215" s="5"/>
      <c r="J215" s="29">
        <v>1496.3993</v>
      </c>
      <c r="K215" s="30">
        <v>39.995600000000003</v>
      </c>
      <c r="L215" s="30">
        <v>44.706400000000002</v>
      </c>
      <c r="M215" s="30">
        <v>44.686399999999999</v>
      </c>
      <c r="N215" s="16">
        <v>44.362299999999998</v>
      </c>
      <c r="O215" s="16">
        <f t="shared" si="16"/>
        <v>41.170800000000007</v>
      </c>
      <c r="P215" s="7"/>
      <c r="Q215" s="8">
        <f>bdrate(C215:C218,D215:D218,J215:J218,K215:K218)</f>
        <v>2.9923950007935796E-2</v>
      </c>
      <c r="R215" s="8">
        <f>bdrate(C215:C218,E215:E218,J215:J218,L215:L218)</f>
        <v>-0.2739251000531997</v>
      </c>
      <c r="S215" s="8">
        <f>bdrate(C215:C218,F215:F218,J215:J218,M215:M218)</f>
        <v>-0.25982435977788143</v>
      </c>
      <c r="T215" s="25">
        <f>bdrate(C215:C218,H215:H218,J215:J218,O215:O218)</f>
        <v>-3.5903119595456889E-2</v>
      </c>
      <c r="U215" s="28">
        <f t="shared" si="17"/>
        <v>2.0096540027137038</v>
      </c>
    </row>
    <row r="216" spans="2:21" x14ac:dyDescent="0.25">
      <c r="B216" s="9"/>
      <c r="C216" s="17">
        <v>914.55</v>
      </c>
      <c r="D216" s="18">
        <v>37.853999999999999</v>
      </c>
      <c r="E216" s="18">
        <v>42.341000000000001</v>
      </c>
      <c r="F216" s="18">
        <v>42.347000000000001</v>
      </c>
      <c r="G216" s="18">
        <v>16.72</v>
      </c>
      <c r="H216" s="18">
        <f t="shared" si="15"/>
        <v>38.976499999999994</v>
      </c>
      <c r="I216" s="5"/>
      <c r="J216" s="31">
        <v>997.77480000000003</v>
      </c>
      <c r="K216" s="32">
        <v>38.115900000000003</v>
      </c>
      <c r="L216" s="32">
        <v>43.462699999999998</v>
      </c>
      <c r="M216" s="32">
        <v>43.401800000000001</v>
      </c>
      <c r="N216" s="18">
        <v>52.469000000000001</v>
      </c>
      <c r="O216" s="18">
        <f t="shared" si="16"/>
        <v>39.444987499999996</v>
      </c>
      <c r="P216" s="7"/>
      <c r="Q216" s="10"/>
      <c r="R216" s="11"/>
      <c r="S216" s="11"/>
      <c r="T216" s="26"/>
      <c r="U216" s="28">
        <f t="shared" si="17"/>
        <v>2.1380980861244021</v>
      </c>
    </row>
    <row r="217" spans="2:21" x14ac:dyDescent="0.25">
      <c r="B217" s="9"/>
      <c r="C217" s="17">
        <v>546.64</v>
      </c>
      <c r="D217" s="18">
        <v>35.524000000000001</v>
      </c>
      <c r="E217" s="18">
        <v>40.578000000000003</v>
      </c>
      <c r="F217" s="18">
        <v>40.546999999999997</v>
      </c>
      <c r="G217" s="18">
        <v>18.79</v>
      </c>
      <c r="H217" s="18">
        <f t="shared" si="15"/>
        <v>36.783625000000001</v>
      </c>
      <c r="I217" s="5"/>
      <c r="J217" s="31">
        <v>598.56150000000002</v>
      </c>
      <c r="K217" s="32">
        <v>35.7806</v>
      </c>
      <c r="L217" s="32">
        <v>41.966999999999999</v>
      </c>
      <c r="M217" s="32">
        <v>41.8949</v>
      </c>
      <c r="N217" s="18">
        <v>62.402500000000003</v>
      </c>
      <c r="O217" s="18">
        <f t="shared" si="16"/>
        <v>37.318187500000001</v>
      </c>
      <c r="P217" s="7"/>
      <c r="Q217" s="10"/>
      <c r="R217" s="11"/>
      <c r="S217" s="11"/>
      <c r="T217" s="26"/>
      <c r="U217" s="28">
        <f t="shared" si="17"/>
        <v>2.3210484300159662</v>
      </c>
    </row>
    <row r="218" spans="2:21" ht="16.5" thickBot="1" x14ac:dyDescent="0.3">
      <c r="B218" s="12"/>
      <c r="C218" s="19">
        <v>272.14999999999998</v>
      </c>
      <c r="D218" s="20">
        <v>32.390999999999998</v>
      </c>
      <c r="E218" s="20">
        <v>38.265000000000001</v>
      </c>
      <c r="F218" s="20">
        <v>38.226999999999997</v>
      </c>
      <c r="G218" s="20">
        <v>22.36</v>
      </c>
      <c r="H218" s="20">
        <f t="shared" si="15"/>
        <v>33.854749999999996</v>
      </c>
      <c r="I218" s="5"/>
      <c r="J218" s="33">
        <v>299.94189999999998</v>
      </c>
      <c r="K218" s="34">
        <v>32.731499999999997</v>
      </c>
      <c r="L218" s="34">
        <v>40.030299999999997</v>
      </c>
      <c r="M218" s="34">
        <v>39.976300000000002</v>
      </c>
      <c r="N218" s="20">
        <v>79.6143</v>
      </c>
      <c r="O218" s="20">
        <f t="shared" si="16"/>
        <v>34.549449999999993</v>
      </c>
      <c r="P218" s="7"/>
      <c r="Q218" s="13"/>
      <c r="R218" s="14"/>
      <c r="S218" s="14"/>
      <c r="T218" s="27"/>
      <c r="U218" s="28">
        <f t="shared" si="17"/>
        <v>2.5605679785330948</v>
      </c>
    </row>
    <row r="219" spans="2:21" x14ac:dyDescent="0.25">
      <c r="B219" s="6" t="s">
        <v>107</v>
      </c>
      <c r="C219" s="29">
        <v>1519.33</v>
      </c>
      <c r="D219" s="30">
        <v>38.002000000000002</v>
      </c>
      <c r="E219" s="30">
        <v>41.872999999999998</v>
      </c>
      <c r="F219" s="30">
        <v>42.353000000000002</v>
      </c>
      <c r="G219" s="16">
        <v>19.14</v>
      </c>
      <c r="H219" s="16">
        <f t="shared" si="15"/>
        <v>39.02975</v>
      </c>
      <c r="I219" s="5"/>
      <c r="J219" s="15">
        <v>1511.1850999999999</v>
      </c>
      <c r="K219" s="16">
        <v>38.144799999999996</v>
      </c>
      <c r="L219" s="16">
        <v>43.070999999999998</v>
      </c>
      <c r="M219" s="16">
        <v>43.566000000000003</v>
      </c>
      <c r="N219" s="16">
        <v>46.675699999999999</v>
      </c>
      <c r="O219" s="16">
        <f t="shared" si="16"/>
        <v>39.438225000000003</v>
      </c>
      <c r="P219" s="7"/>
      <c r="Q219" s="8">
        <f>bdrate(C219:C222,D219:D222,J219:J222,K219:K222)</f>
        <v>-3.1077132779209871E-2</v>
      </c>
      <c r="R219" s="8">
        <f>bdrate(C219:C222,E219:E222,J219:J222,L219:L222)</f>
        <v>-0.36598485329331776</v>
      </c>
      <c r="S219" s="8">
        <f>bdrate(C219:C222,F219:F222,J219:J222,M219:M222)</f>
        <v>-0.37557694634376915</v>
      </c>
      <c r="T219" s="25">
        <f>bdrate(C219:C222,H219:H222,J219:J222,O219:O222)</f>
        <v>-0.11123452881340745</v>
      </c>
      <c r="U219" s="28">
        <f t="shared" si="17"/>
        <v>1.4386468129571577</v>
      </c>
    </row>
    <row r="220" spans="2:21" x14ac:dyDescent="0.25">
      <c r="B220" s="9"/>
      <c r="C220" s="31">
        <v>1014.17</v>
      </c>
      <c r="D220" s="32">
        <v>36.093000000000004</v>
      </c>
      <c r="E220" s="32">
        <v>40.234000000000002</v>
      </c>
      <c r="F220" s="32">
        <v>40.783999999999999</v>
      </c>
      <c r="G220" s="18">
        <v>21.08</v>
      </c>
      <c r="H220" s="18">
        <f t="shared" si="15"/>
        <v>37.197000000000003</v>
      </c>
      <c r="I220" s="5"/>
      <c r="J220" s="17">
        <v>1008.7264</v>
      </c>
      <c r="K220" s="18">
        <v>36.212800000000001</v>
      </c>
      <c r="L220" s="18">
        <v>41.728000000000002</v>
      </c>
      <c r="M220" s="18">
        <v>42.292999999999999</v>
      </c>
      <c r="N220" s="18">
        <v>54.086500000000001</v>
      </c>
      <c r="O220" s="18">
        <f t="shared" si="16"/>
        <v>37.662224999999999</v>
      </c>
      <c r="P220" s="7"/>
      <c r="Q220" s="10"/>
      <c r="R220" s="11"/>
      <c r="S220" s="11"/>
      <c r="T220" s="26"/>
      <c r="U220" s="28">
        <f t="shared" si="17"/>
        <v>1.565773244781784</v>
      </c>
    </row>
    <row r="221" spans="2:21" x14ac:dyDescent="0.25">
      <c r="B221" s="9"/>
      <c r="C221" s="31">
        <v>608.85</v>
      </c>
      <c r="D221" s="32">
        <v>33.758000000000003</v>
      </c>
      <c r="E221" s="32">
        <v>38.305</v>
      </c>
      <c r="F221" s="32">
        <v>38.975999999999999</v>
      </c>
      <c r="G221" s="18">
        <v>23.44</v>
      </c>
      <c r="H221" s="18">
        <f t="shared" si="15"/>
        <v>34.978625000000001</v>
      </c>
      <c r="I221" s="5"/>
      <c r="J221" s="17">
        <v>604.99090000000001</v>
      </c>
      <c r="K221" s="18">
        <v>33.848300000000002</v>
      </c>
      <c r="L221" s="18">
        <v>39.9529</v>
      </c>
      <c r="M221" s="18">
        <v>40.566899999999997</v>
      </c>
      <c r="N221" s="18">
        <v>62.523899999999998</v>
      </c>
      <c r="O221" s="18">
        <f t="shared" si="16"/>
        <v>35.4512</v>
      </c>
      <c r="P221" s="7"/>
      <c r="Q221" s="10"/>
      <c r="R221" s="11"/>
      <c r="S221" s="11"/>
      <c r="T221" s="26"/>
      <c r="U221" s="28">
        <f t="shared" si="17"/>
        <v>1.6674018771331056</v>
      </c>
    </row>
    <row r="222" spans="2:21" ht="16.5" thickBot="1" x14ac:dyDescent="0.3">
      <c r="B222" s="12"/>
      <c r="C222" s="33">
        <v>303.7</v>
      </c>
      <c r="D222" s="34">
        <v>30.49</v>
      </c>
      <c r="E222" s="34">
        <v>35.826000000000001</v>
      </c>
      <c r="F222" s="34">
        <v>36.683</v>
      </c>
      <c r="G222" s="20">
        <v>26.81</v>
      </c>
      <c r="H222" s="20">
        <f t="shared" si="15"/>
        <v>31.931124999999998</v>
      </c>
      <c r="I222" s="5"/>
      <c r="J222" s="19">
        <v>303.09050000000002</v>
      </c>
      <c r="K222" s="20">
        <v>30.701000000000001</v>
      </c>
      <c r="L222" s="20">
        <v>37.796300000000002</v>
      </c>
      <c r="M222" s="20">
        <v>38.542200000000001</v>
      </c>
      <c r="N222" s="20">
        <v>81.201800000000006</v>
      </c>
      <c r="O222" s="20">
        <f t="shared" si="16"/>
        <v>32.568062500000003</v>
      </c>
      <c r="P222" s="7"/>
      <c r="Q222" s="13"/>
      <c r="R222" s="14"/>
      <c r="S222" s="14"/>
      <c r="T222" s="27"/>
      <c r="U222" s="28">
        <f t="shared" si="17"/>
        <v>2.0287877657590454</v>
      </c>
    </row>
    <row r="223" spans="2:21" x14ac:dyDescent="0.25">
      <c r="B223" s="6" t="s">
        <v>108</v>
      </c>
      <c r="C223" s="15">
        <v>1486.61</v>
      </c>
      <c r="D223" s="16">
        <v>38.152000000000001</v>
      </c>
      <c r="E223" s="16">
        <v>43.423999999999999</v>
      </c>
      <c r="F223" s="16">
        <v>45.116999999999997</v>
      </c>
      <c r="G223" s="16">
        <v>13.93</v>
      </c>
      <c r="H223" s="16">
        <f t="shared" si="15"/>
        <v>39.681625000000004</v>
      </c>
      <c r="I223" s="5"/>
      <c r="J223" s="15">
        <v>1517.2655999999999</v>
      </c>
      <c r="K223" s="16">
        <v>38.009099999999997</v>
      </c>
      <c r="L223" s="16">
        <v>44.114400000000003</v>
      </c>
      <c r="M223" s="16">
        <v>45.616199999999999</v>
      </c>
      <c r="N223" s="16">
        <v>42.651000000000003</v>
      </c>
      <c r="O223" s="16">
        <f t="shared" si="16"/>
        <v>39.723149999999997</v>
      </c>
      <c r="P223" s="7"/>
      <c r="Q223" s="8">
        <f>bdrate(C223:C226,D223:D226,J223:J226,K223:K226)</f>
        <v>3.8430283717181268E-2</v>
      </c>
      <c r="R223" s="8">
        <f>bdrate(C223:C226,E223:E226,J223:J226,L223:L226)</f>
        <v>-0.3596000039172168</v>
      </c>
      <c r="S223" s="8">
        <f>bdrate(C223:C226,F223:F226,J223:J226,M223:M226)</f>
        <v>-0.28814603991052601</v>
      </c>
      <c r="T223" s="25">
        <f>bdrate(C223:C226,H223:H226,J223:J226,O223:O226)</f>
        <v>-4.8057766502918597E-2</v>
      </c>
      <c r="U223" s="28">
        <f t="shared" si="17"/>
        <v>2.0618090452261311</v>
      </c>
    </row>
    <row r="224" spans="2:21" x14ac:dyDescent="0.25">
      <c r="B224" s="9"/>
      <c r="C224" s="17">
        <v>992.41</v>
      </c>
      <c r="D224" s="18">
        <v>36.688000000000002</v>
      </c>
      <c r="E224" s="18">
        <v>42.298000000000002</v>
      </c>
      <c r="F224" s="18">
        <v>43.932000000000002</v>
      </c>
      <c r="G224" s="18">
        <v>15.75</v>
      </c>
      <c r="H224" s="18">
        <f t="shared" si="15"/>
        <v>38.294750000000008</v>
      </c>
      <c r="I224" s="5"/>
      <c r="J224" s="17">
        <v>1007.9016</v>
      </c>
      <c r="K224" s="18">
        <v>36.581000000000003</v>
      </c>
      <c r="L224" s="18">
        <v>43.204999999999998</v>
      </c>
      <c r="M224" s="18">
        <v>44.628300000000003</v>
      </c>
      <c r="N224" s="18">
        <v>51.212000000000003</v>
      </c>
      <c r="O224" s="18">
        <f t="shared" si="16"/>
        <v>38.414912500000007</v>
      </c>
      <c r="P224" s="7"/>
      <c r="Q224" s="10"/>
      <c r="R224" s="11"/>
      <c r="S224" s="11"/>
      <c r="T224" s="26"/>
      <c r="U224" s="28">
        <f t="shared" si="17"/>
        <v>2.251555555555556</v>
      </c>
    </row>
    <row r="225" spans="2:21" x14ac:dyDescent="0.25">
      <c r="B225" s="9"/>
      <c r="C225" s="17">
        <v>595.33000000000004</v>
      </c>
      <c r="D225" s="18">
        <v>34.944000000000003</v>
      </c>
      <c r="E225" s="18">
        <v>40.944000000000003</v>
      </c>
      <c r="F225" s="18">
        <v>42.372999999999998</v>
      </c>
      <c r="G225" s="18">
        <v>18.12</v>
      </c>
      <c r="H225" s="18">
        <f t="shared" si="15"/>
        <v>36.622624999999999</v>
      </c>
      <c r="I225" s="5"/>
      <c r="J225" s="17">
        <v>602.82330000000002</v>
      </c>
      <c r="K225" s="18">
        <v>34.877099999999999</v>
      </c>
      <c r="L225" s="18">
        <v>42.136400000000002</v>
      </c>
      <c r="M225" s="18">
        <v>43.450600000000001</v>
      </c>
      <c r="N225" s="18">
        <v>62.1633</v>
      </c>
      <c r="O225" s="18">
        <f t="shared" si="16"/>
        <v>36.856200000000001</v>
      </c>
      <c r="P225" s="7"/>
      <c r="Q225" s="10"/>
      <c r="R225" s="11"/>
      <c r="S225" s="11"/>
      <c r="T225" s="26"/>
      <c r="U225" s="28">
        <f t="shared" si="17"/>
        <v>2.4306456953642384</v>
      </c>
    </row>
    <row r="226" spans="2:21" ht="16.5" thickBot="1" x14ac:dyDescent="0.3">
      <c r="B226" s="12"/>
      <c r="C226" s="19">
        <v>302.45999999999998</v>
      </c>
      <c r="D226" s="20">
        <v>32.790999999999997</v>
      </c>
      <c r="E226" s="20">
        <v>39.344000000000001</v>
      </c>
      <c r="F226" s="20">
        <v>40.481999999999999</v>
      </c>
      <c r="G226" s="20">
        <v>22.16</v>
      </c>
      <c r="H226" s="20">
        <f t="shared" si="15"/>
        <v>34.5715</v>
      </c>
      <c r="I226" s="5"/>
      <c r="J226" s="19">
        <v>300.61720000000003</v>
      </c>
      <c r="K226" s="20">
        <v>32.707999999999998</v>
      </c>
      <c r="L226" s="20">
        <v>40.744900000000001</v>
      </c>
      <c r="M226" s="20">
        <v>41.881399999999999</v>
      </c>
      <c r="N226" s="20">
        <v>79.960899999999995</v>
      </c>
      <c r="O226" s="20">
        <f t="shared" si="16"/>
        <v>34.859287500000001</v>
      </c>
      <c r="P226" s="7"/>
      <c r="Q226" s="13"/>
      <c r="R226" s="14"/>
      <c r="S226" s="14"/>
      <c r="T226" s="27"/>
      <c r="U226" s="28">
        <f t="shared" si="17"/>
        <v>2.6083438628158846</v>
      </c>
    </row>
    <row r="227" spans="2:21" x14ac:dyDescent="0.25">
      <c r="B227" s="6" t="s">
        <v>109</v>
      </c>
      <c r="C227" s="15">
        <v>1611.94</v>
      </c>
      <c r="D227" s="16">
        <v>49.649000000000001</v>
      </c>
      <c r="E227" s="16">
        <v>54.756999999999998</v>
      </c>
      <c r="F227" s="16">
        <v>56.066000000000003</v>
      </c>
      <c r="G227" s="16">
        <v>17.670000000000002</v>
      </c>
      <c r="H227" s="16">
        <f t="shared" si="15"/>
        <v>51.089624999999998</v>
      </c>
      <c r="I227" s="5"/>
      <c r="J227" s="15">
        <v>1499.7262000000001</v>
      </c>
      <c r="K227" s="16">
        <v>49.398800000000001</v>
      </c>
      <c r="L227" s="16">
        <v>54.319099999999999</v>
      </c>
      <c r="M227" s="16">
        <v>55.715600000000002</v>
      </c>
      <c r="N227" s="16">
        <v>54.755699999999997</v>
      </c>
      <c r="O227" s="16">
        <f t="shared" si="16"/>
        <v>50.803437500000001</v>
      </c>
      <c r="P227" s="7"/>
      <c r="Q227" s="8">
        <f>bdrate(C227:C230,D227:D230,J227:J230,K227:K230)</f>
        <v>-7.6137377091219038E-2</v>
      </c>
      <c r="R227" s="8">
        <f>bdrate(C227:C230,E227:E230,J227:J230,L227:L230)</f>
        <v>-6.0758781395086614E-2</v>
      </c>
      <c r="S227" s="8">
        <f>bdrate(C227:C230,F227:F230,J227:J230,M227:M230)</f>
        <v>-6.9690985126449334E-2</v>
      </c>
      <c r="T227" s="25">
        <f>bdrate(C227:C230,H227:H230,J227:J230,O227:O230)</f>
        <v>-7.3663813080698692E-2</v>
      </c>
      <c r="U227" s="28">
        <f t="shared" si="17"/>
        <v>2.0987945670628179</v>
      </c>
    </row>
    <row r="228" spans="2:21" x14ac:dyDescent="0.25">
      <c r="B228" s="9"/>
      <c r="C228" s="17">
        <v>1068.18</v>
      </c>
      <c r="D228" s="18">
        <v>47.850999999999999</v>
      </c>
      <c r="E228" s="18">
        <v>53.151000000000003</v>
      </c>
      <c r="F228" s="18">
        <v>54.573</v>
      </c>
      <c r="G228" s="18">
        <v>20.7</v>
      </c>
      <c r="H228" s="18">
        <f t="shared" si="15"/>
        <v>49.353749999999998</v>
      </c>
      <c r="I228" s="5"/>
      <c r="J228" s="17">
        <v>999.64120000000003</v>
      </c>
      <c r="K228" s="18">
        <v>47.771900000000002</v>
      </c>
      <c r="L228" s="18">
        <v>52.92</v>
      </c>
      <c r="M228" s="18">
        <v>54.392600000000002</v>
      </c>
      <c r="N228" s="18">
        <v>63.432200000000002</v>
      </c>
      <c r="O228" s="18">
        <f t="shared" si="16"/>
        <v>49.243000000000002</v>
      </c>
      <c r="P228" s="7"/>
      <c r="Q228" s="10"/>
      <c r="R228" s="11"/>
      <c r="S228" s="11"/>
      <c r="T228" s="26"/>
      <c r="U228" s="28">
        <f t="shared" si="17"/>
        <v>2.0643574879227056</v>
      </c>
    </row>
    <row r="229" spans="2:21" x14ac:dyDescent="0.25">
      <c r="B229" s="9"/>
      <c r="C229" s="17">
        <v>637.84</v>
      </c>
      <c r="D229" s="18">
        <v>45.598999999999997</v>
      </c>
      <c r="E229" s="18">
        <v>51.119</v>
      </c>
      <c r="F229" s="18">
        <v>52.594999999999999</v>
      </c>
      <c r="G229" s="18">
        <v>24.93</v>
      </c>
      <c r="H229" s="18">
        <f t="shared" si="15"/>
        <v>47.163499999999999</v>
      </c>
      <c r="I229" s="5"/>
      <c r="J229" s="17">
        <v>601.67089999999996</v>
      </c>
      <c r="K229" s="18">
        <v>45.759900000000002</v>
      </c>
      <c r="L229" s="18">
        <v>51.201300000000003</v>
      </c>
      <c r="M229" s="18">
        <v>52.713900000000002</v>
      </c>
      <c r="N229" s="18">
        <v>76.312899999999999</v>
      </c>
      <c r="O229" s="18">
        <f t="shared" si="16"/>
        <v>47.309325000000001</v>
      </c>
      <c r="P229" s="7"/>
      <c r="Q229" s="10"/>
      <c r="R229" s="11"/>
      <c r="S229" s="11"/>
      <c r="T229" s="26"/>
      <c r="U229" s="28">
        <f t="shared" si="17"/>
        <v>2.0610870437224227</v>
      </c>
    </row>
    <row r="230" spans="2:21" ht="16.5" thickBot="1" x14ac:dyDescent="0.3">
      <c r="B230" s="12"/>
      <c r="C230" s="19">
        <v>318.02999999999997</v>
      </c>
      <c r="D230" s="20">
        <v>42.54</v>
      </c>
      <c r="E230" s="20">
        <v>48.185000000000002</v>
      </c>
      <c r="F230" s="20">
        <v>49.661000000000001</v>
      </c>
      <c r="G230" s="20">
        <v>30.05</v>
      </c>
      <c r="H230" s="20">
        <f t="shared" si="15"/>
        <v>44.135750000000002</v>
      </c>
      <c r="I230" s="5"/>
      <c r="J230" s="19">
        <v>301.61900000000003</v>
      </c>
      <c r="K230" s="20">
        <v>42.8202</v>
      </c>
      <c r="L230" s="20">
        <v>48.621299999999998</v>
      </c>
      <c r="M230" s="20">
        <v>50.081800000000001</v>
      </c>
      <c r="N230" s="20">
        <v>98.791899999999998</v>
      </c>
      <c r="O230" s="20">
        <f t="shared" si="16"/>
        <v>44.453037500000001</v>
      </c>
      <c r="P230" s="7"/>
      <c r="Q230" s="13"/>
      <c r="R230" s="14"/>
      <c r="S230" s="14"/>
      <c r="T230" s="27"/>
      <c r="U230" s="28">
        <f t="shared" si="17"/>
        <v>2.2875840266222962</v>
      </c>
    </row>
    <row r="231" spans="2:21" x14ac:dyDescent="0.25">
      <c r="B231" s="6" t="s">
        <v>110</v>
      </c>
      <c r="C231" s="15">
        <v>1465.84</v>
      </c>
      <c r="D231" s="16">
        <v>33.168999999999997</v>
      </c>
      <c r="E231" s="16">
        <v>40.340000000000003</v>
      </c>
      <c r="F231" s="16">
        <v>39.817999999999998</v>
      </c>
      <c r="G231" s="16">
        <v>12.4</v>
      </c>
      <c r="H231" s="16">
        <f t="shared" si="15"/>
        <v>34.896499999999996</v>
      </c>
      <c r="I231" s="5"/>
      <c r="J231" s="15">
        <v>1493.694</v>
      </c>
      <c r="K231" s="16">
        <v>33.014099999999999</v>
      </c>
      <c r="L231" s="16">
        <v>41.479399999999998</v>
      </c>
      <c r="M231" s="16">
        <v>40.860399999999998</v>
      </c>
      <c r="N231" s="16">
        <v>31.327200000000001</v>
      </c>
      <c r="O231" s="16">
        <f t="shared" si="16"/>
        <v>35.053049999999999</v>
      </c>
      <c r="P231" s="7"/>
      <c r="Q231" s="8">
        <f>bdrate(C231:C234,D231:D234,J231:J234,K231:K234)</f>
        <v>-3.1302106985431122E-2</v>
      </c>
      <c r="R231" s="8">
        <f>bdrate(C231:C234,E231:E234,J231:J234,L231:L234)</f>
        <v>-0.45436097026525413</v>
      </c>
      <c r="S231" s="8">
        <f>bdrate(C231:C234,F231:F234,J231:J234,M231:M234)</f>
        <v>-0.44276517187391595</v>
      </c>
      <c r="T231" s="25">
        <f>bdrate(C231:C234,H231:H234,J231:J234,O231:O234)</f>
        <v>-0.12314407130664362</v>
      </c>
      <c r="U231" s="28">
        <f t="shared" si="17"/>
        <v>1.5263870967741935</v>
      </c>
    </row>
    <row r="232" spans="2:21" x14ac:dyDescent="0.25">
      <c r="B232" s="9"/>
      <c r="C232" s="17">
        <v>978.13</v>
      </c>
      <c r="D232" s="18">
        <v>31.38</v>
      </c>
      <c r="E232" s="18">
        <v>39.021999999999998</v>
      </c>
      <c r="F232" s="18">
        <v>38.450000000000003</v>
      </c>
      <c r="G232" s="18">
        <v>13.81</v>
      </c>
      <c r="H232" s="18">
        <f t="shared" si="15"/>
        <v>33.219000000000001</v>
      </c>
      <c r="I232" s="5"/>
      <c r="J232" s="17">
        <v>993.8768</v>
      </c>
      <c r="K232" s="18">
        <v>31.328199999999999</v>
      </c>
      <c r="L232" s="18">
        <v>40.585599999999999</v>
      </c>
      <c r="M232" s="18">
        <v>39.965299999999999</v>
      </c>
      <c r="N232" s="18">
        <v>36.244300000000003</v>
      </c>
      <c r="O232" s="18">
        <f t="shared" si="16"/>
        <v>33.565012500000002</v>
      </c>
      <c r="P232" s="7"/>
      <c r="Q232" s="10"/>
      <c r="R232" s="11"/>
      <c r="S232" s="11"/>
      <c r="T232" s="26"/>
      <c r="U232" s="28">
        <f t="shared" si="17"/>
        <v>1.6244967414916727</v>
      </c>
    </row>
    <row r="233" spans="2:21" x14ac:dyDescent="0.25">
      <c r="B233" s="9"/>
      <c r="C233" s="17">
        <v>586.62</v>
      </c>
      <c r="D233" s="18">
        <v>29.062000000000001</v>
      </c>
      <c r="E233" s="18">
        <v>37.29</v>
      </c>
      <c r="F233" s="18">
        <v>36.613</v>
      </c>
      <c r="G233" s="18">
        <v>15.44</v>
      </c>
      <c r="H233" s="18">
        <f t="shared" si="15"/>
        <v>31.034375000000001</v>
      </c>
      <c r="I233" s="5"/>
      <c r="J233" s="17">
        <v>596.47850000000005</v>
      </c>
      <c r="K233" s="18">
        <v>29.161799999999999</v>
      </c>
      <c r="L233" s="18">
        <v>39.339199999999998</v>
      </c>
      <c r="M233" s="18">
        <v>38.690899999999999</v>
      </c>
      <c r="N233" s="18">
        <v>43.804099999999998</v>
      </c>
      <c r="O233" s="18">
        <f t="shared" si="16"/>
        <v>31.6251125</v>
      </c>
      <c r="P233" s="7"/>
      <c r="Q233" s="10"/>
      <c r="R233" s="11"/>
      <c r="S233" s="11"/>
      <c r="T233" s="26"/>
      <c r="U233" s="28">
        <f t="shared" si="17"/>
        <v>1.8370531088082902</v>
      </c>
    </row>
    <row r="234" spans="2:21" ht="16.5" thickBot="1" x14ac:dyDescent="0.3">
      <c r="B234" s="12"/>
      <c r="C234" s="19">
        <v>321.79000000000002</v>
      </c>
      <c r="D234" s="20">
        <v>24.605</v>
      </c>
      <c r="E234" s="20">
        <v>32.920999999999999</v>
      </c>
      <c r="F234" s="20">
        <v>32.707999999999998</v>
      </c>
      <c r="G234" s="20">
        <v>29.33</v>
      </c>
      <c r="H234" s="20">
        <f t="shared" si="15"/>
        <v>26.657374999999998</v>
      </c>
      <c r="I234" s="5"/>
      <c r="J234" s="19">
        <v>298.90129999999999</v>
      </c>
      <c r="K234" s="20">
        <v>26.395800000000001</v>
      </c>
      <c r="L234" s="20">
        <v>37.316600000000001</v>
      </c>
      <c r="M234" s="20">
        <v>36.671399999999998</v>
      </c>
      <c r="N234" s="20">
        <v>56.067799999999998</v>
      </c>
      <c r="O234" s="20">
        <f t="shared" si="16"/>
        <v>29.045349999999999</v>
      </c>
      <c r="P234" s="7"/>
      <c r="Q234" s="13"/>
      <c r="R234" s="14"/>
      <c r="S234" s="14"/>
      <c r="T234" s="27"/>
      <c r="U234" s="28">
        <f t="shared" si="17"/>
        <v>0.91161950221616095</v>
      </c>
    </row>
    <row r="235" spans="2:21" x14ac:dyDescent="0.25">
      <c r="B235" s="6" t="s">
        <v>111</v>
      </c>
      <c r="C235" s="15">
        <v>1665.86</v>
      </c>
      <c r="D235" s="16">
        <v>47.113</v>
      </c>
      <c r="E235" s="16">
        <v>47.904000000000003</v>
      </c>
      <c r="F235" s="16">
        <v>47.835000000000001</v>
      </c>
      <c r="G235" s="16">
        <v>19.940000000000001</v>
      </c>
      <c r="H235" s="16">
        <f t="shared" si="15"/>
        <v>47.302124999999997</v>
      </c>
      <c r="I235" s="5"/>
      <c r="J235" s="15">
        <v>1416.1552999999999</v>
      </c>
      <c r="K235" s="16">
        <v>46.703499999999998</v>
      </c>
      <c r="L235" s="16">
        <v>48.072099999999999</v>
      </c>
      <c r="M235" s="16">
        <v>47.998399999999997</v>
      </c>
      <c r="N235" s="16">
        <v>39.046399999999998</v>
      </c>
      <c r="O235" s="16">
        <f t="shared" si="16"/>
        <v>47.036437499999998</v>
      </c>
      <c r="P235" s="7"/>
      <c r="Q235" s="8">
        <f>bdrate(C235:C238,D235:D238,J235:J238,K235:K238)</f>
        <v>-7.9846054900522989E-2</v>
      </c>
      <c r="R235" s="8">
        <f>bdrate(C235:C238,E235:E238,J235:J238,L235:L238)</f>
        <v>-0.25036489579925336</v>
      </c>
      <c r="S235" s="8">
        <f>bdrate(C235:C238,F235:F238,J235:J238,M235:M238)</f>
        <v>-0.24755775671508928</v>
      </c>
      <c r="T235" s="25">
        <f>bdrate(C235:C238,H235:H238,J235:J238,O235:O238)</f>
        <v>-0.12015050888757817</v>
      </c>
      <c r="U235" s="28">
        <f t="shared" si="17"/>
        <v>0.95819458375125355</v>
      </c>
    </row>
    <row r="236" spans="2:21" x14ac:dyDescent="0.25">
      <c r="B236" s="9"/>
      <c r="C236" s="17">
        <v>1100.0999999999999</v>
      </c>
      <c r="D236" s="18">
        <v>45.112000000000002</v>
      </c>
      <c r="E236" s="18">
        <v>46.011000000000003</v>
      </c>
      <c r="F236" s="18">
        <v>45.911999999999999</v>
      </c>
      <c r="G236" s="18">
        <v>22.08</v>
      </c>
      <c r="H236" s="18">
        <f t="shared" si="15"/>
        <v>45.324375000000003</v>
      </c>
      <c r="I236" s="5"/>
      <c r="J236" s="17">
        <v>959.63109999999995</v>
      </c>
      <c r="K236" s="18">
        <v>45.084699999999998</v>
      </c>
      <c r="L236" s="18">
        <v>46.705500000000001</v>
      </c>
      <c r="M236" s="18">
        <v>46.614600000000003</v>
      </c>
      <c r="N236" s="18">
        <v>52.902299999999997</v>
      </c>
      <c r="O236" s="18">
        <f t="shared" si="16"/>
        <v>45.478537500000002</v>
      </c>
      <c r="P236" s="7"/>
      <c r="Q236" s="10"/>
      <c r="R236" s="11"/>
      <c r="S236" s="11"/>
      <c r="T236" s="26"/>
      <c r="U236" s="28">
        <f t="shared" si="17"/>
        <v>1.3959375000000001</v>
      </c>
    </row>
    <row r="237" spans="2:21" x14ac:dyDescent="0.25">
      <c r="B237" s="9"/>
      <c r="C237" s="17">
        <v>654.98</v>
      </c>
      <c r="D237" s="18">
        <v>42.329000000000001</v>
      </c>
      <c r="E237" s="18">
        <v>43.472999999999999</v>
      </c>
      <c r="F237" s="18">
        <v>43.302999999999997</v>
      </c>
      <c r="G237" s="18">
        <v>24.68</v>
      </c>
      <c r="H237" s="18">
        <f t="shared" si="15"/>
        <v>42.59375</v>
      </c>
      <c r="I237" s="5"/>
      <c r="J237" s="17">
        <v>594.36149999999998</v>
      </c>
      <c r="K237" s="18">
        <v>42.2395</v>
      </c>
      <c r="L237" s="18">
        <v>44.472299999999997</v>
      </c>
      <c r="M237" s="18">
        <v>44.2849</v>
      </c>
      <c r="N237" s="18">
        <v>69.034300000000002</v>
      </c>
      <c r="O237" s="18">
        <f t="shared" si="16"/>
        <v>42.774275000000003</v>
      </c>
      <c r="P237" s="7"/>
      <c r="Q237" s="10"/>
      <c r="R237" s="11"/>
      <c r="S237" s="11"/>
      <c r="T237" s="26"/>
      <c r="U237" s="28">
        <f t="shared" si="17"/>
        <v>1.7971758508914102</v>
      </c>
    </row>
    <row r="238" spans="2:21" ht="16.5" thickBot="1" x14ac:dyDescent="0.3">
      <c r="B238" s="12"/>
      <c r="C238" s="19">
        <v>323.20999999999998</v>
      </c>
      <c r="D238" s="20">
        <v>37.991999999999997</v>
      </c>
      <c r="E238" s="20">
        <v>39.82</v>
      </c>
      <c r="F238" s="20">
        <v>39.557000000000002</v>
      </c>
      <c r="G238" s="20">
        <v>28.67</v>
      </c>
      <c r="H238" s="20">
        <f t="shared" si="15"/>
        <v>38.416125000000001</v>
      </c>
      <c r="I238" s="5"/>
      <c r="J238" s="19">
        <v>303.9479</v>
      </c>
      <c r="K238" s="20">
        <v>37.789099999999998</v>
      </c>
      <c r="L238" s="20">
        <v>40.985999999999997</v>
      </c>
      <c r="M238" s="20">
        <v>40.788899999999998</v>
      </c>
      <c r="N238" s="20">
        <v>87.869200000000006</v>
      </c>
      <c r="O238" s="20">
        <f t="shared" si="16"/>
        <v>38.5636875</v>
      </c>
      <c r="P238" s="7"/>
      <c r="Q238" s="13"/>
      <c r="R238" s="14"/>
      <c r="S238" s="14"/>
      <c r="T238" s="27"/>
      <c r="U238" s="28">
        <f t="shared" si="17"/>
        <v>2.0648482734565747</v>
      </c>
    </row>
    <row r="239" spans="2:21" x14ac:dyDescent="0.25">
      <c r="B239" s="6" t="s">
        <v>112</v>
      </c>
      <c r="C239" s="15">
        <v>1963.53</v>
      </c>
      <c r="D239" s="16">
        <v>46.795999999999999</v>
      </c>
      <c r="E239" s="16">
        <v>48.805999999999997</v>
      </c>
      <c r="F239" s="16">
        <v>49.036999999999999</v>
      </c>
      <c r="G239" s="16">
        <v>21.84</v>
      </c>
      <c r="H239" s="16">
        <f t="shared" si="15"/>
        <v>47.327374999999996</v>
      </c>
      <c r="I239" s="5"/>
      <c r="J239" s="15">
        <v>1422.7367999999999</v>
      </c>
      <c r="K239" s="16">
        <v>47.011000000000003</v>
      </c>
      <c r="L239" s="16">
        <v>49.972999999999999</v>
      </c>
      <c r="M239" s="16">
        <v>50.0989</v>
      </c>
      <c r="N239" s="16">
        <v>38.902900000000002</v>
      </c>
      <c r="O239" s="16">
        <f t="shared" si="16"/>
        <v>47.767237500000007</v>
      </c>
      <c r="P239" s="7"/>
      <c r="Q239" s="8">
        <f>bdrate(C239:C242,D239:D242,J239:J242,K239:K242)</f>
        <v>-0.28530926889271191</v>
      </c>
      <c r="R239" s="8">
        <f>bdrate(C239:C242,E239:E242,J239:J242,L239:L242)</f>
        <v>-0.4415256342131666</v>
      </c>
      <c r="S239" s="8">
        <f>bdrate(C239:C242,F239:F242,J239:J242,M239:M242)</f>
        <v>-0.44439481180789997</v>
      </c>
      <c r="T239" s="25">
        <f>bdrate(C239:C242,H239:H242,J239:J242,O239:O242)</f>
        <v>-0.32799448690644772</v>
      </c>
      <c r="U239" s="28">
        <f t="shared" si="17"/>
        <v>0.78126831501831517</v>
      </c>
    </row>
    <row r="240" spans="2:21" x14ac:dyDescent="0.25">
      <c r="B240" s="9"/>
      <c r="C240" s="17">
        <v>1278.8499999999999</v>
      </c>
      <c r="D240" s="18">
        <v>44.430999999999997</v>
      </c>
      <c r="E240" s="18">
        <v>46.503999999999998</v>
      </c>
      <c r="F240" s="18">
        <v>46.74</v>
      </c>
      <c r="G240" s="18">
        <v>24.41</v>
      </c>
      <c r="H240" s="18">
        <f t="shared" si="15"/>
        <v>44.978750000000005</v>
      </c>
      <c r="I240" s="5"/>
      <c r="J240" s="17">
        <v>978.53989999999999</v>
      </c>
      <c r="K240" s="18">
        <v>45.6935</v>
      </c>
      <c r="L240" s="18">
        <v>48.877699999999997</v>
      </c>
      <c r="M240" s="18">
        <v>49.0441</v>
      </c>
      <c r="N240" s="18">
        <v>46.582599999999999</v>
      </c>
      <c r="O240" s="18">
        <f t="shared" si="16"/>
        <v>46.510350000000003</v>
      </c>
      <c r="P240" s="7"/>
      <c r="Q240" s="10"/>
      <c r="R240" s="11"/>
      <c r="S240" s="11"/>
      <c r="T240" s="26"/>
      <c r="U240" s="28">
        <f t="shared" si="17"/>
        <v>0.90834084391642766</v>
      </c>
    </row>
    <row r="241" spans="2:21" x14ac:dyDescent="0.25">
      <c r="B241" s="9"/>
      <c r="C241" s="17">
        <v>747.69</v>
      </c>
      <c r="D241" s="18">
        <v>41.734000000000002</v>
      </c>
      <c r="E241" s="18">
        <v>43.792000000000002</v>
      </c>
      <c r="F241" s="18">
        <v>44.048000000000002</v>
      </c>
      <c r="G241" s="18">
        <v>27.79</v>
      </c>
      <c r="H241" s="18">
        <f t="shared" si="15"/>
        <v>42.280500000000004</v>
      </c>
      <c r="I241" s="5"/>
      <c r="J241" s="17">
        <v>639.05229999999995</v>
      </c>
      <c r="K241" s="18">
        <v>42.685699999999997</v>
      </c>
      <c r="L241" s="18">
        <v>45.984200000000001</v>
      </c>
      <c r="M241" s="18">
        <v>46.285200000000003</v>
      </c>
      <c r="N241" s="18">
        <v>47.6342</v>
      </c>
      <c r="O241" s="18">
        <f t="shared" si="16"/>
        <v>43.54795</v>
      </c>
      <c r="P241" s="7"/>
      <c r="Q241" s="10"/>
      <c r="R241" s="11"/>
      <c r="S241" s="11"/>
      <c r="T241" s="26"/>
      <c r="U241" s="28">
        <f t="shared" si="17"/>
        <v>0.7140770061173084</v>
      </c>
    </row>
    <row r="242" spans="2:21" ht="16.5" thickBot="1" x14ac:dyDescent="0.3">
      <c r="B242" s="12"/>
      <c r="C242" s="19">
        <v>357.98</v>
      </c>
      <c r="D242" s="20">
        <v>38.036999999999999</v>
      </c>
      <c r="E242" s="20">
        <v>40.351999999999997</v>
      </c>
      <c r="F242" s="20">
        <v>40.700000000000003</v>
      </c>
      <c r="G242" s="20">
        <v>32.14</v>
      </c>
      <c r="H242" s="20">
        <f t="shared" si="15"/>
        <v>38.659249999999993</v>
      </c>
      <c r="I242" s="5"/>
      <c r="J242" s="19">
        <v>352.22280000000001</v>
      </c>
      <c r="K242" s="20">
        <v>38.477800000000002</v>
      </c>
      <c r="L242" s="20">
        <v>42.278100000000002</v>
      </c>
      <c r="M242" s="20">
        <v>42.555900000000001</v>
      </c>
      <c r="N242" s="20">
        <v>79.677700000000002</v>
      </c>
      <c r="O242" s="20">
        <f t="shared" si="16"/>
        <v>39.462600000000002</v>
      </c>
      <c r="P242" s="7"/>
      <c r="Q242" s="13"/>
      <c r="R242" s="14"/>
      <c r="S242" s="14"/>
      <c r="T242" s="27"/>
      <c r="U242" s="28">
        <f t="shared" si="17"/>
        <v>1.479082140634723</v>
      </c>
    </row>
    <row r="243" spans="2:21" x14ac:dyDescent="0.25">
      <c r="B243" s="6" t="s">
        <v>113</v>
      </c>
      <c r="C243" s="15">
        <v>1535.31</v>
      </c>
      <c r="D243" s="16">
        <v>33.558999999999997</v>
      </c>
      <c r="E243" s="16">
        <v>36.817</v>
      </c>
      <c r="F243" s="16">
        <v>35.691000000000003</v>
      </c>
      <c r="G243" s="16">
        <v>14.43</v>
      </c>
      <c r="H243" s="16">
        <f t="shared" si="15"/>
        <v>34.232749999999996</v>
      </c>
      <c r="I243" s="5"/>
      <c r="J243" s="29">
        <v>1514.2923000000001</v>
      </c>
      <c r="K243" s="30">
        <v>33.278300000000002</v>
      </c>
      <c r="L243" s="30">
        <v>37.775199999999998</v>
      </c>
      <c r="M243" s="30">
        <v>36.616900000000001</v>
      </c>
      <c r="N243" s="16">
        <v>36.913200000000003</v>
      </c>
      <c r="O243" s="16">
        <f t="shared" si="16"/>
        <v>34.257737499999998</v>
      </c>
      <c r="P243" s="7"/>
      <c r="Q243" s="8">
        <f>bdrate(C243:C246,D243:D246,J243:J246,K243:K246)</f>
        <v>1.9197472730934306E-2</v>
      </c>
      <c r="R243" s="8">
        <f>bdrate(C243:C246,E243:E246,J243:J246,L243:L246)</f>
        <v>-0.41623266933374359</v>
      </c>
      <c r="S243" s="8">
        <f>bdrate(C243:C246,F243:F246,J243:J246,M243:M246)</f>
        <v>-0.39677034932825306</v>
      </c>
      <c r="T243" s="25">
        <f>bdrate(C243:C246,H243:H246,J243:J246,O243:O246)</f>
        <v>-7.488254363720892E-2</v>
      </c>
      <c r="U243" s="28">
        <f t="shared" si="17"/>
        <v>1.5580873180873183</v>
      </c>
    </row>
    <row r="244" spans="2:21" x14ac:dyDescent="0.25">
      <c r="B244" s="9"/>
      <c r="C244" s="17">
        <v>1019.4</v>
      </c>
      <c r="D244" s="18">
        <v>31.664999999999999</v>
      </c>
      <c r="E244" s="18">
        <v>35.405000000000001</v>
      </c>
      <c r="F244" s="18">
        <v>34.207999999999998</v>
      </c>
      <c r="G244" s="18">
        <v>16.350000000000001</v>
      </c>
      <c r="H244" s="18">
        <f t="shared" si="15"/>
        <v>32.450375000000001</v>
      </c>
      <c r="I244" s="5"/>
      <c r="J244" s="31">
        <v>1008.8763</v>
      </c>
      <c r="K244" s="32">
        <v>31.414200000000001</v>
      </c>
      <c r="L244" s="32">
        <v>36.701099999999997</v>
      </c>
      <c r="M244" s="32">
        <v>35.4955</v>
      </c>
      <c r="N244" s="18">
        <v>42.184199999999997</v>
      </c>
      <c r="O244" s="18">
        <f t="shared" si="16"/>
        <v>32.585225000000001</v>
      </c>
      <c r="P244" s="7"/>
      <c r="Q244" s="10"/>
      <c r="R244" s="11"/>
      <c r="S244" s="11"/>
      <c r="T244" s="26"/>
      <c r="U244" s="28">
        <f t="shared" si="17"/>
        <v>1.5800733944954124</v>
      </c>
    </row>
    <row r="245" spans="2:21" x14ac:dyDescent="0.25">
      <c r="B245" s="9"/>
      <c r="C245" s="17">
        <v>607.99</v>
      </c>
      <c r="D245" s="18">
        <v>29.393000000000001</v>
      </c>
      <c r="E245" s="18">
        <v>33.82</v>
      </c>
      <c r="F245" s="18">
        <v>32.512</v>
      </c>
      <c r="G245" s="18">
        <v>18.71</v>
      </c>
      <c r="H245" s="18">
        <f t="shared" si="15"/>
        <v>30.33625</v>
      </c>
      <c r="I245" s="5"/>
      <c r="J245" s="31">
        <v>605.36590000000001</v>
      </c>
      <c r="K245" s="32">
        <v>29.164200000000001</v>
      </c>
      <c r="L245" s="32">
        <v>35.447800000000001</v>
      </c>
      <c r="M245" s="32">
        <v>34.144799999999996</v>
      </c>
      <c r="N245" s="18">
        <v>50.807299999999998</v>
      </c>
      <c r="O245" s="18">
        <f t="shared" si="16"/>
        <v>30.572225000000003</v>
      </c>
      <c r="P245" s="7"/>
      <c r="Q245" s="10"/>
      <c r="R245" s="11"/>
      <c r="S245" s="11"/>
      <c r="T245" s="26"/>
      <c r="U245" s="28">
        <f t="shared" si="17"/>
        <v>1.7155157669695347</v>
      </c>
    </row>
    <row r="246" spans="2:21" ht="16.5" thickBot="1" x14ac:dyDescent="0.3">
      <c r="B246" s="12"/>
      <c r="C246" s="19">
        <v>275.48</v>
      </c>
      <c r="D246" s="20">
        <v>25.433</v>
      </c>
      <c r="E246" s="20">
        <v>30.51</v>
      </c>
      <c r="F246" s="20">
        <v>29.21</v>
      </c>
      <c r="G246" s="20">
        <v>24.94</v>
      </c>
      <c r="H246" s="20">
        <f t="shared" si="15"/>
        <v>26.539750000000002</v>
      </c>
      <c r="I246" s="5"/>
      <c r="J246" s="33">
        <v>304.57920000000001</v>
      </c>
      <c r="K246" s="34">
        <v>26.711500000000001</v>
      </c>
      <c r="L246" s="34">
        <v>33.826799999999999</v>
      </c>
      <c r="M246" s="34">
        <v>32.410699999999999</v>
      </c>
      <c r="N246" s="20">
        <v>63.854700000000001</v>
      </c>
      <c r="O246" s="20">
        <f t="shared" si="16"/>
        <v>28.313312499999999</v>
      </c>
      <c r="P246" s="7"/>
      <c r="Q246" s="13"/>
      <c r="R246" s="14"/>
      <c r="S246" s="14"/>
      <c r="T246" s="27"/>
      <c r="U246" s="28">
        <f t="shared" si="17"/>
        <v>1.5603327987169204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-3.9589150199028637E-2</v>
      </c>
      <c r="R247" s="21">
        <f>AVERAGE(R131:R246)</f>
        <v>-0.39617131563272023</v>
      </c>
      <c r="S247" s="21">
        <f>AVERAGE(S131:S246)</f>
        <v>-0.37699536327260152</v>
      </c>
      <c r="T247" s="21">
        <f>AVERAGE(T131:T246)</f>
        <v>-0.11531585905042854</v>
      </c>
      <c r="U247" s="21">
        <f>AVERAGE(U131:U246)</f>
        <v>1.9837755102509951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557" priority="453" operator="greaterThan">
      <formula>0.03</formula>
    </cfRule>
    <cfRule type="cellIs" dxfId="556" priority="454" stopIfTrue="1" operator="lessThan">
      <formula>-0.03</formula>
    </cfRule>
  </conditionalFormatting>
  <conditionalFormatting sqref="Q33:T36">
    <cfRule type="cellIs" dxfId="555" priority="451" operator="greaterThan">
      <formula>0.03</formula>
    </cfRule>
    <cfRule type="cellIs" dxfId="554" priority="452" stopIfTrue="1" operator="lessThan">
      <formula>-0.03</formula>
    </cfRule>
  </conditionalFormatting>
  <conditionalFormatting sqref="Q46:T48 Q62:T64">
    <cfRule type="cellIs" dxfId="553" priority="449" operator="greaterThan">
      <formula>0.03</formula>
    </cfRule>
    <cfRule type="cellIs" dxfId="552" priority="450" stopIfTrue="1" operator="lessThan">
      <formula>-0.03</formula>
    </cfRule>
  </conditionalFormatting>
  <conditionalFormatting sqref="Q50:T52 Q54:T56 Q58:T60">
    <cfRule type="cellIs" dxfId="551" priority="447" operator="greaterThan">
      <formula>0.03</formula>
    </cfRule>
    <cfRule type="cellIs" dxfId="550" priority="448" stopIfTrue="1" operator="lessThan">
      <formula>-0.03</formula>
    </cfRule>
  </conditionalFormatting>
  <conditionalFormatting sqref="Q70:T72 Q74:T76">
    <cfRule type="cellIs" dxfId="549" priority="445" operator="greaterThan">
      <formula>0.03</formula>
    </cfRule>
    <cfRule type="cellIs" dxfId="548" priority="446" stopIfTrue="1" operator="lessThan">
      <formula>-0.03</formula>
    </cfRule>
  </conditionalFormatting>
  <conditionalFormatting sqref="Q66:T68">
    <cfRule type="cellIs" dxfId="547" priority="443" operator="greaterThan">
      <formula>0.03</formula>
    </cfRule>
    <cfRule type="cellIs" dxfId="546" priority="444" stopIfTrue="1" operator="lessThan">
      <formula>-0.03</formula>
    </cfRule>
  </conditionalFormatting>
  <conditionalFormatting sqref="Q78:T80">
    <cfRule type="cellIs" dxfId="545" priority="441" operator="greaterThan">
      <formula>0.03</formula>
    </cfRule>
    <cfRule type="cellIs" dxfId="544" priority="442" stopIfTrue="1" operator="lessThan">
      <formula>-0.03</formula>
    </cfRule>
  </conditionalFormatting>
  <conditionalFormatting sqref="Q21:T28">
    <cfRule type="cellIs" dxfId="543" priority="423" operator="greaterThan">
      <formula>0.03</formula>
    </cfRule>
    <cfRule type="cellIs" dxfId="542" priority="424" stopIfTrue="1" operator="lessThan">
      <formula>-0.03</formula>
    </cfRule>
  </conditionalFormatting>
  <conditionalFormatting sqref="Q151:T154 Q159:T166 Q131:T142">
    <cfRule type="cellIs" dxfId="541" priority="419" operator="greaterThan">
      <formula>0.03</formula>
    </cfRule>
    <cfRule type="cellIs" dxfId="540" priority="420" stopIfTrue="1" operator="lessThan">
      <formula>-0.03</formula>
    </cfRule>
  </conditionalFormatting>
  <conditionalFormatting sqref="Q155:T158">
    <cfRule type="cellIs" dxfId="539" priority="417" operator="greaterThan">
      <formula>0.03</formula>
    </cfRule>
    <cfRule type="cellIs" dxfId="538" priority="418" stopIfTrue="1" operator="lessThan">
      <formula>-0.03</formula>
    </cfRule>
  </conditionalFormatting>
  <conditionalFormatting sqref="Q167:T170 Q183:T186">
    <cfRule type="cellIs" dxfId="537" priority="415" operator="greaterThan">
      <formula>0.03</formula>
    </cfRule>
    <cfRule type="cellIs" dxfId="536" priority="416" stopIfTrue="1" operator="lessThan">
      <formula>-0.03</formula>
    </cfRule>
  </conditionalFormatting>
  <conditionalFormatting sqref="Q171:T182">
    <cfRule type="cellIs" dxfId="535" priority="413" operator="greaterThan">
      <formula>0.03</formula>
    </cfRule>
    <cfRule type="cellIs" dxfId="534" priority="414" stopIfTrue="1" operator="lessThan">
      <formula>-0.03</formula>
    </cfRule>
  </conditionalFormatting>
  <conditionalFormatting sqref="Q191:T198">
    <cfRule type="cellIs" dxfId="533" priority="411" operator="greaterThan">
      <formula>0.03</formula>
    </cfRule>
    <cfRule type="cellIs" dxfId="532" priority="412" stopIfTrue="1" operator="lessThan">
      <formula>-0.03</formula>
    </cfRule>
  </conditionalFormatting>
  <conditionalFormatting sqref="Q187:T190">
    <cfRule type="cellIs" dxfId="531" priority="409" operator="greaterThan">
      <formula>0.03</formula>
    </cfRule>
    <cfRule type="cellIs" dxfId="530" priority="410" stopIfTrue="1" operator="lessThan">
      <formula>-0.03</formula>
    </cfRule>
  </conditionalFormatting>
  <conditionalFormatting sqref="Q199:T202">
    <cfRule type="cellIs" dxfId="529" priority="407" operator="greaterThan">
      <formula>0.03</formula>
    </cfRule>
    <cfRule type="cellIs" dxfId="528" priority="408" stopIfTrue="1" operator="lessThan">
      <formula>-0.03</formula>
    </cfRule>
  </conditionalFormatting>
  <conditionalFormatting sqref="Q143:T150">
    <cfRule type="cellIs" dxfId="527" priority="405" operator="greaterThan">
      <formula>0.03</formula>
    </cfRule>
    <cfRule type="cellIs" dxfId="526" priority="406" stopIfTrue="1" operator="lessThan">
      <formula>-0.03</formula>
    </cfRule>
  </conditionalFormatting>
  <conditionalFormatting sqref="Q45:T45">
    <cfRule type="cellIs" dxfId="525" priority="403" operator="greaterThan">
      <formula>0.03</formula>
    </cfRule>
    <cfRule type="cellIs" dxfId="524" priority="404" stopIfTrue="1" operator="lessThan">
      <formula>-0.03</formula>
    </cfRule>
  </conditionalFormatting>
  <conditionalFormatting sqref="Q49:T49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Q53:T53">
    <cfRule type="cellIs" dxfId="521" priority="399" operator="greaterThan">
      <formula>0.03</formula>
    </cfRule>
    <cfRule type="cellIs" dxfId="520" priority="400" stopIfTrue="1" operator="lessThan">
      <formula>-0.03</formula>
    </cfRule>
  </conditionalFormatting>
  <conditionalFormatting sqref="Q57:T57">
    <cfRule type="cellIs" dxfId="519" priority="397" operator="greaterThan">
      <formula>0.03</formula>
    </cfRule>
    <cfRule type="cellIs" dxfId="518" priority="398" stopIfTrue="1" operator="lessThan">
      <formula>-0.03</formula>
    </cfRule>
  </conditionalFormatting>
  <conditionalFormatting sqref="Q61:T61">
    <cfRule type="cellIs" dxfId="517" priority="395" operator="greaterThan">
      <formula>0.03</formula>
    </cfRule>
    <cfRule type="cellIs" dxfId="516" priority="396" stopIfTrue="1" operator="lessThan">
      <formula>-0.03</formula>
    </cfRule>
  </conditionalFormatting>
  <conditionalFormatting sqref="Q65:T65">
    <cfRule type="cellIs" dxfId="515" priority="393" operator="greaterThan">
      <formula>0.03</formula>
    </cfRule>
    <cfRule type="cellIs" dxfId="514" priority="394" stopIfTrue="1" operator="lessThan">
      <formula>-0.03</formula>
    </cfRule>
  </conditionalFormatting>
  <conditionalFormatting sqref="Q69:T69">
    <cfRule type="cellIs" dxfId="513" priority="391" operator="greaterThan">
      <formula>0.03</formula>
    </cfRule>
    <cfRule type="cellIs" dxfId="512" priority="392" stopIfTrue="1" operator="lessThan">
      <formula>-0.03</formula>
    </cfRule>
  </conditionalFormatting>
  <conditionalFormatting sqref="Q73:T73">
    <cfRule type="cellIs" dxfId="511" priority="389" operator="greaterThan">
      <formula>0.03</formula>
    </cfRule>
    <cfRule type="cellIs" dxfId="510" priority="390" stopIfTrue="1" operator="lessThan">
      <formula>-0.03</formula>
    </cfRule>
  </conditionalFormatting>
  <conditionalFormatting sqref="Q77:T77">
    <cfRule type="cellIs" dxfId="509" priority="387" operator="greaterThan">
      <formula>0.03</formula>
    </cfRule>
    <cfRule type="cellIs" dxfId="508" priority="388" stopIfTrue="1" operator="lessThan">
      <formula>-0.03</formula>
    </cfRule>
  </conditionalFormatting>
  <conditionalFormatting sqref="Q117:T117">
    <cfRule type="cellIs" dxfId="507" priority="99" operator="greaterThan">
      <formula>0.03</formula>
    </cfRule>
    <cfRule type="cellIs" dxfId="506" priority="100" stopIfTrue="1" operator="lessThan">
      <formula>-0.03</formula>
    </cfRule>
  </conditionalFormatting>
  <conditionalFormatting sqref="Q93:T96 Q101:T108 Q81:T84">
    <cfRule type="cellIs" dxfId="505" priority="113" operator="greaterThan">
      <formula>0.03</formula>
    </cfRule>
    <cfRule type="cellIs" dxfId="504" priority="114" stopIfTrue="1" operator="lessThan">
      <formula>-0.03</formula>
    </cfRule>
  </conditionalFormatting>
  <conditionalFormatting sqref="Q97:T100">
    <cfRule type="cellIs" dxfId="503" priority="111" operator="greaterThan">
      <formula>0.03</formula>
    </cfRule>
    <cfRule type="cellIs" dxfId="502" priority="112" stopIfTrue="1" operator="lessThan">
      <formula>-0.03</formula>
    </cfRule>
  </conditionalFormatting>
  <conditionalFormatting sqref="Q110:T112 Q122:T124">
    <cfRule type="cellIs" dxfId="501" priority="109" operator="greaterThan">
      <formula>0.03</formula>
    </cfRule>
    <cfRule type="cellIs" dxfId="500" priority="110" stopIfTrue="1" operator="lessThan">
      <formula>-0.03</formula>
    </cfRule>
  </conditionalFormatting>
  <conditionalFormatting sqref="Q114:T116 Q118:T120">
    <cfRule type="cellIs" dxfId="499" priority="107" operator="greaterThan">
      <formula>0.03</formula>
    </cfRule>
    <cfRule type="cellIs" dxfId="498" priority="108" stopIfTrue="1" operator="lessThan">
      <formula>-0.03</formula>
    </cfRule>
  </conditionalFormatting>
  <conditionalFormatting sqref="Q85:T92">
    <cfRule type="cellIs" dxfId="497" priority="105" operator="greaterThan">
      <formula>0.03</formula>
    </cfRule>
    <cfRule type="cellIs" dxfId="496" priority="106" stopIfTrue="1" operator="lessThan">
      <formula>-0.03</formula>
    </cfRule>
  </conditionalFormatting>
  <conditionalFormatting sqref="Q109:T109">
    <cfRule type="cellIs" dxfId="495" priority="103" operator="greaterThan">
      <formula>0.03</formula>
    </cfRule>
    <cfRule type="cellIs" dxfId="494" priority="104" stopIfTrue="1" operator="lessThan">
      <formula>-0.03</formula>
    </cfRule>
  </conditionalFormatting>
  <conditionalFormatting sqref="Q113:T113">
    <cfRule type="cellIs" dxfId="493" priority="101" operator="greaterThan">
      <formula>0.03</formula>
    </cfRule>
    <cfRule type="cellIs" dxfId="492" priority="102" stopIfTrue="1" operator="lessThan">
      <formula>-0.03</formula>
    </cfRule>
  </conditionalFormatting>
  <conditionalFormatting sqref="Q121:T121">
    <cfRule type="cellIs" dxfId="491" priority="97" operator="greaterThan">
      <formula>0.03</formula>
    </cfRule>
    <cfRule type="cellIs" dxfId="490" priority="98" stopIfTrue="1" operator="lessThan">
      <formula>-0.03</formula>
    </cfRule>
  </conditionalFormatting>
  <conditionalFormatting sqref="Q239:T239">
    <cfRule type="cellIs" dxfId="489" priority="33" operator="greaterThan">
      <formula>0.03</formula>
    </cfRule>
    <cfRule type="cellIs" dxfId="488" priority="34" stopIfTrue="1" operator="lessThan">
      <formula>-0.03</formula>
    </cfRule>
  </conditionalFormatting>
  <conditionalFormatting sqref="Q215:T218 Q223:T230 Q203:T206">
    <cfRule type="cellIs" dxfId="487" priority="47" operator="greaterThan">
      <formula>0.03</formula>
    </cfRule>
    <cfRule type="cellIs" dxfId="486" priority="48" stopIfTrue="1" operator="lessThan">
      <formula>-0.03</formula>
    </cfRule>
  </conditionalFormatting>
  <conditionalFormatting sqref="Q219:T222">
    <cfRule type="cellIs" dxfId="485" priority="45" operator="greaterThan">
      <formula>0.03</formula>
    </cfRule>
    <cfRule type="cellIs" dxfId="484" priority="46" stopIfTrue="1" operator="lessThan">
      <formula>-0.03</formula>
    </cfRule>
  </conditionalFormatting>
  <conditionalFormatting sqref="Q232:T234 Q244:T246">
    <cfRule type="cellIs" dxfId="483" priority="43" operator="greaterThan">
      <formula>0.03</formula>
    </cfRule>
    <cfRule type="cellIs" dxfId="482" priority="44" stopIfTrue="1" operator="lessThan">
      <formula>-0.03</formula>
    </cfRule>
  </conditionalFormatting>
  <conditionalFormatting sqref="Q236:T238 Q240:T242">
    <cfRule type="cellIs" dxfId="481" priority="41" operator="greaterThan">
      <formula>0.03</formula>
    </cfRule>
    <cfRule type="cellIs" dxfId="480" priority="42" stopIfTrue="1" operator="lessThan">
      <formula>-0.03</formula>
    </cfRule>
  </conditionalFormatting>
  <conditionalFormatting sqref="Q207:T214">
    <cfRule type="cellIs" dxfId="479" priority="39" operator="greaterThan">
      <formula>0.03</formula>
    </cfRule>
    <cfRule type="cellIs" dxfId="478" priority="40" stopIfTrue="1" operator="lessThan">
      <formula>-0.03</formula>
    </cfRule>
  </conditionalFormatting>
  <conditionalFormatting sqref="Q231:T231">
    <cfRule type="cellIs" dxfId="477" priority="37" operator="greaterThan">
      <formula>0.03</formula>
    </cfRule>
    <cfRule type="cellIs" dxfId="476" priority="38" stopIfTrue="1" operator="lessThan">
      <formula>-0.03</formula>
    </cfRule>
  </conditionalFormatting>
  <conditionalFormatting sqref="Q235:T235">
    <cfRule type="cellIs" dxfId="475" priority="35" operator="greaterThan">
      <formula>0.03</formula>
    </cfRule>
    <cfRule type="cellIs" dxfId="474" priority="36" stopIfTrue="1" operator="lessThan">
      <formula>-0.03</formula>
    </cfRule>
  </conditionalFormatting>
  <conditionalFormatting sqref="Q243:T243">
    <cfRule type="cellIs" dxfId="473" priority="31" operator="greaterThan">
      <formula>0.03</formula>
    </cfRule>
    <cfRule type="cellIs" dxfId="472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96</v>
      </c>
    </row>
    <row r="2" spans="1:21" x14ac:dyDescent="0.25">
      <c r="A2" t="s">
        <v>95</v>
      </c>
    </row>
    <row r="3" spans="1:21" x14ac:dyDescent="0.25">
      <c r="A3" t="s">
        <v>91</v>
      </c>
    </row>
    <row r="4" spans="1:21" x14ac:dyDescent="0.25">
      <c r="A4" t="s">
        <v>94</v>
      </c>
    </row>
    <row r="5" spans="1:21" s="35" customFormat="1" ht="15.75" customHeight="1" x14ac:dyDescent="0.25">
      <c r="B5" s="58" t="s">
        <v>29</v>
      </c>
      <c r="C5" s="60" t="s">
        <v>196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2"/>
    </row>
    <row r="6" spans="1:21" s="35" customFormat="1" x14ac:dyDescent="0.25">
      <c r="B6" s="59"/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5"/>
    </row>
    <row r="7" spans="1:21" ht="16.5" customHeight="1" thickBot="1" x14ac:dyDescent="0.3">
      <c r="C7" s="66" t="s">
        <v>84</v>
      </c>
      <c r="D7" s="67"/>
      <c r="E7" s="67"/>
      <c r="F7" s="67"/>
      <c r="G7" s="67"/>
      <c r="H7" s="67"/>
      <c r="I7" s="5"/>
      <c r="J7" s="66" t="s">
        <v>136</v>
      </c>
      <c r="K7" s="67"/>
      <c r="L7" s="67"/>
      <c r="M7" s="67"/>
      <c r="N7" s="67"/>
      <c r="O7" s="67"/>
      <c r="Q7" s="66" t="s">
        <v>7</v>
      </c>
      <c r="R7" s="67"/>
      <c r="S7" s="68"/>
      <c r="T7" s="36"/>
      <c r="U7" s="6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9"/>
    </row>
    <row r="9" spans="1:21" x14ac:dyDescent="0.25">
      <c r="A9" s="6" t="s">
        <v>35</v>
      </c>
      <c r="B9" s="6" t="s">
        <v>46</v>
      </c>
      <c r="C9" s="15">
        <v>3548.49</v>
      </c>
      <c r="D9" s="16">
        <v>38.057000000000002</v>
      </c>
      <c r="E9" s="16">
        <v>39.247</v>
      </c>
      <c r="F9" s="16">
        <v>41.619</v>
      </c>
      <c r="G9" s="16">
        <v>1.0900000000000001</v>
      </c>
      <c r="H9" s="16">
        <f t="shared" ref="H9:H80" si="0">(6*D9+E9+F9)/8</f>
        <v>38.650999999999996</v>
      </c>
      <c r="I9" s="5"/>
      <c r="J9" s="15">
        <v>4099.2608</v>
      </c>
      <c r="K9" s="16">
        <v>38.763800000000003</v>
      </c>
      <c r="L9" s="16">
        <v>40.285899999999998</v>
      </c>
      <c r="M9" s="16">
        <v>43.0764</v>
      </c>
      <c r="N9" s="16">
        <v>1.7606999999999999</v>
      </c>
      <c r="O9" s="16">
        <f t="shared" ref="O9:O80" si="1">(6*K9+L9+M9)/8</f>
        <v>39.493137499999996</v>
      </c>
      <c r="P9" s="7"/>
      <c r="Q9" s="8">
        <f>bdrate(C9:C12,D9:D12,J9:J12,K9:K12)</f>
        <v>-4.842600566080657E-3</v>
      </c>
      <c r="R9" s="8">
        <f>bdrate(C9:C12,E9:E12,J9:J12,L9:L12)</f>
        <v>-0.41545843453473619</v>
      </c>
      <c r="S9" s="8">
        <f>bdrate(C9:C12,F9:F12,J9:J12,M9:M12)</f>
        <v>-0.40877278000578521</v>
      </c>
      <c r="T9" s="25">
        <f>bdrate(C9:C12,H9:H12,J9:J12,O9:O12)</f>
        <v>-7.5480554171272418E-2</v>
      </c>
      <c r="U9" s="28">
        <f t="shared" ref="U9:U72" si="2">(N9-G9)/G9</f>
        <v>0.61532110091743097</v>
      </c>
    </row>
    <row r="10" spans="1:21" x14ac:dyDescent="0.25">
      <c r="A10" s="9" t="s">
        <v>36</v>
      </c>
      <c r="B10" s="9"/>
      <c r="C10" s="17">
        <v>2650.26</v>
      </c>
      <c r="D10" s="18">
        <v>37.228000000000002</v>
      </c>
      <c r="E10" s="18">
        <v>38.695</v>
      </c>
      <c r="F10" s="18">
        <v>41.058999999999997</v>
      </c>
      <c r="G10" s="18">
        <v>1.2</v>
      </c>
      <c r="H10" s="18">
        <f t="shared" si="0"/>
        <v>37.890249999999995</v>
      </c>
      <c r="I10" s="5"/>
      <c r="J10" s="17">
        <v>3002.8624</v>
      </c>
      <c r="K10" s="18">
        <v>37.816299999999998</v>
      </c>
      <c r="L10" s="18">
        <v>39.824800000000003</v>
      </c>
      <c r="M10" s="18">
        <v>42.427799999999998</v>
      </c>
      <c r="N10" s="18">
        <v>2.1141999999999999</v>
      </c>
      <c r="O10" s="18">
        <f t="shared" si="1"/>
        <v>38.643799999999999</v>
      </c>
      <c r="P10" s="7"/>
      <c r="Q10" s="10"/>
      <c r="R10" s="11"/>
      <c r="S10" s="11"/>
      <c r="T10" s="26"/>
      <c r="U10" s="28">
        <f t="shared" si="2"/>
        <v>0.76183333333333325</v>
      </c>
    </row>
    <row r="11" spans="1:21" x14ac:dyDescent="0.25">
      <c r="B11" s="9"/>
      <c r="C11" s="17">
        <v>1750.41</v>
      </c>
      <c r="D11" s="18">
        <v>36.021000000000001</v>
      </c>
      <c r="E11" s="18">
        <v>38.020000000000003</v>
      </c>
      <c r="F11" s="18">
        <v>40.383000000000003</v>
      </c>
      <c r="G11" s="18">
        <v>1.37</v>
      </c>
      <c r="H11" s="18">
        <f t="shared" si="0"/>
        <v>36.816125</v>
      </c>
      <c r="I11" s="5"/>
      <c r="J11" s="17">
        <v>1971.7760000000001</v>
      </c>
      <c r="K11" s="18">
        <v>36.442500000000003</v>
      </c>
      <c r="L11" s="18">
        <v>39.150100000000002</v>
      </c>
      <c r="M11" s="18">
        <v>41.607900000000001</v>
      </c>
      <c r="N11" s="18">
        <v>2.6621000000000001</v>
      </c>
      <c r="O11" s="18">
        <f t="shared" si="1"/>
        <v>37.426625000000001</v>
      </c>
      <c r="P11" s="7"/>
      <c r="Q11" s="10"/>
      <c r="R11" s="11"/>
      <c r="S11" s="11"/>
      <c r="T11" s="26"/>
      <c r="U11" s="28">
        <f t="shared" si="2"/>
        <v>0.94313868613138685</v>
      </c>
    </row>
    <row r="12" spans="1:21" ht="16.5" thickBot="1" x14ac:dyDescent="0.3">
      <c r="B12" s="12"/>
      <c r="C12" s="19">
        <v>841.33</v>
      </c>
      <c r="D12" s="20">
        <v>33.552999999999997</v>
      </c>
      <c r="E12" s="20">
        <v>37.253</v>
      </c>
      <c r="F12" s="20">
        <v>39.566000000000003</v>
      </c>
      <c r="G12" s="20">
        <v>1.74</v>
      </c>
      <c r="H12" s="20">
        <f t="shared" si="0"/>
        <v>34.767124999999993</v>
      </c>
      <c r="I12" s="5"/>
      <c r="J12" s="19">
        <v>904.94399999999996</v>
      </c>
      <c r="K12" s="20">
        <v>33.603999999999999</v>
      </c>
      <c r="L12" s="20">
        <v>37.743200000000002</v>
      </c>
      <c r="M12" s="20">
        <v>40.010399999999997</v>
      </c>
      <c r="N12" s="20">
        <v>4.1969000000000003</v>
      </c>
      <c r="O12" s="20">
        <f t="shared" si="1"/>
        <v>34.922199999999997</v>
      </c>
      <c r="P12" s="7"/>
      <c r="Q12" s="13"/>
      <c r="R12" s="14"/>
      <c r="S12" s="14"/>
      <c r="T12" s="27"/>
      <c r="U12" s="28">
        <f t="shared" si="2"/>
        <v>1.4120114942528736</v>
      </c>
    </row>
    <row r="13" spans="1:21" x14ac:dyDescent="0.25">
      <c r="B13" s="6" t="s">
        <v>47</v>
      </c>
      <c r="C13" s="15">
        <v>4006.48</v>
      </c>
      <c r="D13" s="16">
        <v>30.898</v>
      </c>
      <c r="E13" s="16">
        <v>38.756999999999998</v>
      </c>
      <c r="F13" s="16">
        <v>39.844000000000001</v>
      </c>
      <c r="G13" s="16">
        <v>0.83</v>
      </c>
      <c r="H13" s="16">
        <f t="shared" si="0"/>
        <v>32.998625000000004</v>
      </c>
      <c r="I13" s="5"/>
      <c r="J13" s="15">
        <v>4112.32</v>
      </c>
      <c r="K13" s="16">
        <v>30.174299999999999</v>
      </c>
      <c r="L13" s="16">
        <v>41.105699999999999</v>
      </c>
      <c r="M13" s="16">
        <v>41.896099999999997</v>
      </c>
      <c r="N13" s="16">
        <v>1.2716000000000001</v>
      </c>
      <c r="O13" s="16">
        <f t="shared" si="1"/>
        <v>33.005949999999999</v>
      </c>
      <c r="P13" s="7"/>
      <c r="Q13" s="8">
        <f>bdrate(C13:C16,D13:D16,J13:J16,K13:K16)</f>
        <v>0.10832214012735819</v>
      </c>
      <c r="R13" s="8">
        <f>bdrate(C13:C16,E13:E16,J13:J16,L13:L16)</f>
        <v>-0.62961222415354068</v>
      </c>
      <c r="S13" s="8">
        <f>bdrate(C13:C16,F13:F16,J13:J16,M13:M16)</f>
        <v>-0.64279319003561386</v>
      </c>
      <c r="T13" s="25">
        <f>bdrate(C13:C16,H13:H16,J13:J16,O13:O16)</f>
        <v>-3.5205779279406713E-2</v>
      </c>
      <c r="U13" s="28">
        <f t="shared" si="2"/>
        <v>0.5320481927710845</v>
      </c>
    </row>
    <row r="14" spans="1:21" x14ac:dyDescent="0.25">
      <c r="B14" s="9"/>
      <c r="C14" s="17">
        <v>3000.24</v>
      </c>
      <c r="D14" s="18">
        <v>29.498999999999999</v>
      </c>
      <c r="E14" s="18">
        <v>38.148000000000003</v>
      </c>
      <c r="F14" s="18">
        <v>39.322000000000003</v>
      </c>
      <c r="G14" s="18">
        <v>0.95</v>
      </c>
      <c r="H14" s="18">
        <f t="shared" si="0"/>
        <v>31.808</v>
      </c>
      <c r="I14" s="5"/>
      <c r="J14" s="17">
        <v>3067.4144000000001</v>
      </c>
      <c r="K14" s="18">
        <v>28.848500000000001</v>
      </c>
      <c r="L14" s="18">
        <v>40.563299999999998</v>
      </c>
      <c r="M14" s="18">
        <v>41.465000000000003</v>
      </c>
      <c r="N14" s="18">
        <v>1.4921</v>
      </c>
      <c r="O14" s="18">
        <f t="shared" si="1"/>
        <v>31.889912500000001</v>
      </c>
      <c r="P14" s="7"/>
      <c r="Q14" s="10"/>
      <c r="R14" s="11"/>
      <c r="S14" s="11"/>
      <c r="T14" s="26"/>
      <c r="U14" s="28">
        <f t="shared" si="2"/>
        <v>0.57063157894736849</v>
      </c>
    </row>
    <row r="15" spans="1:21" x14ac:dyDescent="0.25">
      <c r="B15" s="9"/>
      <c r="C15" s="17">
        <v>2003.06</v>
      </c>
      <c r="D15" s="18">
        <v>27.533000000000001</v>
      </c>
      <c r="E15" s="18">
        <v>37.122999999999998</v>
      </c>
      <c r="F15" s="18">
        <v>38.456000000000003</v>
      </c>
      <c r="G15" s="18">
        <v>1.1399999999999999</v>
      </c>
      <c r="H15" s="18">
        <f t="shared" si="0"/>
        <v>30.097124999999998</v>
      </c>
      <c r="I15" s="5"/>
      <c r="J15" s="17">
        <v>2059.1743999999999</v>
      </c>
      <c r="K15" s="18">
        <v>27.0932</v>
      </c>
      <c r="L15" s="18">
        <v>39.745800000000003</v>
      </c>
      <c r="M15" s="18">
        <v>40.804400000000001</v>
      </c>
      <c r="N15" s="18">
        <v>1.8976</v>
      </c>
      <c r="O15" s="18">
        <f t="shared" si="1"/>
        <v>30.388674999999999</v>
      </c>
      <c r="P15" s="7"/>
      <c r="Q15" s="10"/>
      <c r="R15" s="11"/>
      <c r="S15" s="11"/>
      <c r="T15" s="26"/>
      <c r="U15" s="28">
        <f t="shared" si="2"/>
        <v>0.66456140350877202</v>
      </c>
    </row>
    <row r="16" spans="1:21" ht="16.5" thickBot="1" x14ac:dyDescent="0.3">
      <c r="B16" s="12"/>
      <c r="C16" s="19">
        <v>1738.45</v>
      </c>
      <c r="D16" s="20">
        <v>25.914000000000001</v>
      </c>
      <c r="E16" s="20">
        <v>36.073999999999998</v>
      </c>
      <c r="F16" s="20">
        <v>37.470999999999997</v>
      </c>
      <c r="G16" s="20">
        <v>1.24</v>
      </c>
      <c r="H16" s="20">
        <f t="shared" si="0"/>
        <v>28.628625</v>
      </c>
      <c r="I16" s="5"/>
      <c r="J16" s="19">
        <v>1390.3568</v>
      </c>
      <c r="K16" s="20">
        <v>25.843900000000001</v>
      </c>
      <c r="L16" s="20">
        <v>38.586199999999998</v>
      </c>
      <c r="M16" s="20">
        <v>39.775100000000002</v>
      </c>
      <c r="N16" s="20">
        <v>2.2018</v>
      </c>
      <c r="O16" s="20">
        <f t="shared" si="1"/>
        <v>29.1780875</v>
      </c>
      <c r="P16" s="7"/>
      <c r="Q16" s="13"/>
      <c r="R16" s="14"/>
      <c r="S16" s="14"/>
      <c r="T16" s="27"/>
      <c r="U16" s="28">
        <f t="shared" si="2"/>
        <v>0.77564516129032257</v>
      </c>
    </row>
    <row r="17" spans="1:21" x14ac:dyDescent="0.25">
      <c r="A17" s="6" t="s">
        <v>37</v>
      </c>
      <c r="B17" s="6" t="s">
        <v>48</v>
      </c>
      <c r="C17" s="15">
        <v>1986.1</v>
      </c>
      <c r="D17" s="16">
        <v>39.412999999999997</v>
      </c>
      <c r="E17" s="16">
        <v>41.704999999999998</v>
      </c>
      <c r="F17" s="16">
        <v>42.999000000000002</v>
      </c>
      <c r="G17" s="16">
        <v>1.5</v>
      </c>
      <c r="H17" s="16">
        <f t="shared" si="0"/>
        <v>40.147750000000002</v>
      </c>
      <c r="I17" s="5"/>
      <c r="J17" s="15">
        <v>2368.3184000000001</v>
      </c>
      <c r="K17" s="16">
        <v>39.581200000000003</v>
      </c>
      <c r="L17" s="16">
        <v>42.519300000000001</v>
      </c>
      <c r="M17" s="16">
        <v>44.275100000000002</v>
      </c>
      <c r="N17" s="16">
        <v>2.2452000000000001</v>
      </c>
      <c r="O17" s="16">
        <f t="shared" si="1"/>
        <v>40.535200000000003</v>
      </c>
      <c r="P17" s="7"/>
      <c r="Q17" s="8">
        <f>bdrate(C17:C20,D17:D20,J17:J20,K17:K20)</f>
        <v>6.9924053192734537E-2</v>
      </c>
      <c r="R17" s="8">
        <f>bdrate(C17:C20,E17:E20,J17:J20,L17:L20)</f>
        <v>-0.40782044961139408</v>
      </c>
      <c r="S17" s="8">
        <f>bdrate(C17:C20,F17:F20,J17:J20,M17:M20)</f>
        <v>-0.43816007941243906</v>
      </c>
      <c r="T17" s="25">
        <f>bdrate(C17:C20,H17:H20,J17:J20,O17:O20)</f>
        <v>-2.6454441901475056E-2</v>
      </c>
      <c r="U17" s="28">
        <f t="shared" si="2"/>
        <v>0.49680000000000007</v>
      </c>
    </row>
    <row r="18" spans="1:21" x14ac:dyDescent="0.25">
      <c r="A18" s="9" t="s">
        <v>38</v>
      </c>
      <c r="B18" s="9"/>
      <c r="C18" s="17">
        <v>1301.69</v>
      </c>
      <c r="D18" s="18">
        <v>38.1</v>
      </c>
      <c r="E18" s="18">
        <v>40.847999999999999</v>
      </c>
      <c r="F18" s="18">
        <v>42.048999999999999</v>
      </c>
      <c r="G18" s="18">
        <v>1.78</v>
      </c>
      <c r="H18" s="18">
        <f t="shared" si="0"/>
        <v>38.937125000000002</v>
      </c>
      <c r="I18" s="5"/>
      <c r="J18" s="17">
        <v>1568.9007999999999</v>
      </c>
      <c r="K18" s="18">
        <v>38.454999999999998</v>
      </c>
      <c r="L18" s="18">
        <v>41.940800000000003</v>
      </c>
      <c r="M18" s="18">
        <v>43.462000000000003</v>
      </c>
      <c r="N18" s="18">
        <v>2.8279999999999998</v>
      </c>
      <c r="O18" s="18">
        <f t="shared" si="1"/>
        <v>39.516599999999997</v>
      </c>
      <c r="P18" s="7"/>
      <c r="Q18" s="10"/>
      <c r="R18" s="11"/>
      <c r="S18" s="11"/>
      <c r="T18" s="26"/>
      <c r="U18" s="28">
        <f t="shared" si="2"/>
        <v>0.58876404494382006</v>
      </c>
    </row>
    <row r="19" spans="1:21" x14ac:dyDescent="0.25">
      <c r="B19" s="9"/>
      <c r="C19" s="17">
        <v>803.23</v>
      </c>
      <c r="D19" s="18">
        <v>36.488</v>
      </c>
      <c r="E19" s="18">
        <v>39.954000000000001</v>
      </c>
      <c r="F19" s="18">
        <v>41.226999999999997</v>
      </c>
      <c r="G19" s="18">
        <v>2.11</v>
      </c>
      <c r="H19" s="18">
        <f t="shared" si="0"/>
        <v>37.513624999999998</v>
      </c>
      <c r="I19" s="5"/>
      <c r="J19" s="17">
        <v>972.62800000000004</v>
      </c>
      <c r="K19" s="18">
        <v>36.921500000000002</v>
      </c>
      <c r="L19" s="18">
        <v>41.252000000000002</v>
      </c>
      <c r="M19" s="18">
        <v>42.585700000000003</v>
      </c>
      <c r="N19" s="18">
        <v>3.7816999999999998</v>
      </c>
      <c r="O19" s="18">
        <f t="shared" si="1"/>
        <v>38.170837500000005</v>
      </c>
      <c r="P19" s="7"/>
      <c r="Q19" s="10"/>
      <c r="R19" s="11"/>
      <c r="S19" s="11"/>
      <c r="T19" s="26"/>
      <c r="U19" s="28">
        <f t="shared" si="2"/>
        <v>0.79227488151658776</v>
      </c>
    </row>
    <row r="20" spans="1:21" ht="16.5" thickBot="1" x14ac:dyDescent="0.3">
      <c r="B20" s="12"/>
      <c r="C20" s="19">
        <v>476.57</v>
      </c>
      <c r="D20" s="20">
        <v>34.640999999999998</v>
      </c>
      <c r="E20" s="20">
        <v>39.033000000000001</v>
      </c>
      <c r="F20" s="20">
        <v>40.46</v>
      </c>
      <c r="G20" s="20">
        <v>2.5</v>
      </c>
      <c r="H20" s="20">
        <f t="shared" si="0"/>
        <v>35.917375</v>
      </c>
      <c r="I20" s="5"/>
      <c r="J20" s="19">
        <v>566.28160000000003</v>
      </c>
      <c r="K20" s="20">
        <v>35.105899999999998</v>
      </c>
      <c r="L20" s="20">
        <v>40.471800000000002</v>
      </c>
      <c r="M20" s="20">
        <v>41.7333</v>
      </c>
      <c r="N20" s="20">
        <v>5.1315999999999997</v>
      </c>
      <c r="O20" s="20">
        <f t="shared" si="1"/>
        <v>36.605062500000003</v>
      </c>
      <c r="P20" s="7"/>
      <c r="Q20" s="13"/>
      <c r="R20" s="14"/>
      <c r="S20" s="14"/>
      <c r="T20" s="27"/>
      <c r="U20" s="28">
        <f t="shared" si="2"/>
        <v>1.0526399999999998</v>
      </c>
    </row>
    <row r="21" spans="1:21" x14ac:dyDescent="0.25">
      <c r="B21" s="6" t="s">
        <v>49</v>
      </c>
      <c r="C21" s="15">
        <v>2231.2800000000002</v>
      </c>
      <c r="D21" s="16">
        <v>36.537999999999997</v>
      </c>
      <c r="E21" s="16">
        <v>39.656999999999996</v>
      </c>
      <c r="F21" s="16">
        <v>40.677</v>
      </c>
      <c r="G21" s="16">
        <v>1.61</v>
      </c>
      <c r="H21" s="16">
        <f t="shared" si="0"/>
        <v>37.445250000000001</v>
      </c>
      <c r="I21" s="5"/>
      <c r="J21" s="15">
        <v>2552.0344</v>
      </c>
      <c r="K21" s="16">
        <v>36.871899999999997</v>
      </c>
      <c r="L21" s="16">
        <v>40.9895</v>
      </c>
      <c r="M21" s="16">
        <v>42.372999999999998</v>
      </c>
      <c r="N21" s="16">
        <v>2.5280999999999998</v>
      </c>
      <c r="O21" s="16">
        <f t="shared" si="1"/>
        <v>38.074237499999995</v>
      </c>
      <c r="P21" s="7"/>
      <c r="Q21" s="8">
        <f>bdrate(C21:C24,D21:D24,J21:J24,K21:K24)</f>
        <v>2.3618025499757556E-2</v>
      </c>
      <c r="R21" s="8">
        <f>bdrate(C21:C24,E21:E24,J21:J24,L21:L24)</f>
        <v>-0.44624514029910289</v>
      </c>
      <c r="S21" s="8">
        <f>bdrate(C21:C24,F21:F24,J21:J24,M21:M24)</f>
        <v>-0.4905057737774815</v>
      </c>
      <c r="T21" s="25">
        <f>bdrate(C21:C24,H21:H24,J21:J24,O21:O24)</f>
        <v>-8.2347476941658893E-2</v>
      </c>
      <c r="U21" s="28">
        <f t="shared" si="2"/>
        <v>0.5702484472049687</v>
      </c>
    </row>
    <row r="22" spans="1:21" x14ac:dyDescent="0.25">
      <c r="B22" s="9"/>
      <c r="C22" s="17">
        <v>1481.37</v>
      </c>
      <c r="D22" s="18">
        <v>35.256999999999998</v>
      </c>
      <c r="E22" s="18">
        <v>38.72</v>
      </c>
      <c r="F22" s="18">
        <v>39.869</v>
      </c>
      <c r="G22" s="18">
        <v>1.89</v>
      </c>
      <c r="H22" s="18">
        <f t="shared" si="0"/>
        <v>36.266374999999996</v>
      </c>
      <c r="I22" s="5"/>
      <c r="J22" s="17">
        <v>1659.8696</v>
      </c>
      <c r="K22" s="18">
        <v>35.568199999999997</v>
      </c>
      <c r="L22" s="18">
        <v>40.1267</v>
      </c>
      <c r="M22" s="18">
        <v>41.3825</v>
      </c>
      <c r="N22" s="18">
        <v>3.2176999999999998</v>
      </c>
      <c r="O22" s="18">
        <f t="shared" si="1"/>
        <v>36.864800000000002</v>
      </c>
      <c r="P22" s="7"/>
      <c r="Q22" s="10"/>
      <c r="R22" s="11"/>
      <c r="S22" s="11"/>
      <c r="T22" s="26"/>
      <c r="U22" s="28">
        <f t="shared" si="2"/>
        <v>0.70248677248677249</v>
      </c>
    </row>
    <row r="23" spans="1:21" x14ac:dyDescent="0.25">
      <c r="B23" s="9"/>
      <c r="C23" s="17">
        <v>919.74</v>
      </c>
      <c r="D23" s="18">
        <v>33.789000000000001</v>
      </c>
      <c r="E23" s="18">
        <v>37.758000000000003</v>
      </c>
      <c r="F23" s="18">
        <v>39.139000000000003</v>
      </c>
      <c r="G23" s="18">
        <v>2.2000000000000002</v>
      </c>
      <c r="H23" s="18">
        <f t="shared" si="0"/>
        <v>34.953875000000004</v>
      </c>
      <c r="I23" s="5"/>
      <c r="J23" s="17">
        <v>1030.2264</v>
      </c>
      <c r="K23" s="18">
        <v>34.054600000000001</v>
      </c>
      <c r="L23" s="18">
        <v>39.190300000000001</v>
      </c>
      <c r="M23" s="18">
        <v>40.4392</v>
      </c>
      <c r="N23" s="18">
        <v>4.1906999999999996</v>
      </c>
      <c r="O23" s="18">
        <f t="shared" si="1"/>
        <v>35.494637500000003</v>
      </c>
      <c r="P23" s="7"/>
      <c r="Q23" s="10"/>
      <c r="R23" s="11"/>
      <c r="S23" s="11"/>
      <c r="T23" s="26"/>
      <c r="U23" s="28">
        <f t="shared" si="2"/>
        <v>0.90486363636363609</v>
      </c>
    </row>
    <row r="24" spans="1:21" ht="16.5" thickBot="1" x14ac:dyDescent="0.3">
      <c r="B24" s="12"/>
      <c r="C24" s="19">
        <v>543.66999999999996</v>
      </c>
      <c r="D24" s="20">
        <v>32.183</v>
      </c>
      <c r="E24" s="20">
        <v>36.853999999999999</v>
      </c>
      <c r="F24" s="20">
        <v>38.58</v>
      </c>
      <c r="G24" s="20">
        <v>2.57</v>
      </c>
      <c r="H24" s="20">
        <f t="shared" si="0"/>
        <v>33.566499999999998</v>
      </c>
      <c r="I24" s="5"/>
      <c r="J24" s="19">
        <v>613.66240000000005</v>
      </c>
      <c r="K24" s="20">
        <v>32.447499999999998</v>
      </c>
      <c r="L24" s="20">
        <v>38.203499999999998</v>
      </c>
      <c r="M24" s="20">
        <v>39.537100000000002</v>
      </c>
      <c r="N24" s="20">
        <v>5.6638999999999999</v>
      </c>
      <c r="O24" s="20">
        <f t="shared" si="1"/>
        <v>34.053199999999997</v>
      </c>
      <c r="P24" s="7"/>
      <c r="Q24" s="13"/>
      <c r="R24" s="14"/>
      <c r="S24" s="14"/>
      <c r="T24" s="27"/>
      <c r="U24" s="28">
        <f t="shared" si="2"/>
        <v>1.203852140077821</v>
      </c>
    </row>
    <row r="25" spans="1:21" x14ac:dyDescent="0.25">
      <c r="B25" s="6" t="s">
        <v>50</v>
      </c>
      <c r="C25" s="15">
        <v>2356.29</v>
      </c>
      <c r="D25" s="16">
        <v>34.68</v>
      </c>
      <c r="E25" s="16">
        <v>37.968000000000004</v>
      </c>
      <c r="F25" s="16">
        <v>39.798000000000002</v>
      </c>
      <c r="G25" s="16">
        <v>2.1</v>
      </c>
      <c r="H25" s="16">
        <f t="shared" si="0"/>
        <v>35.73075</v>
      </c>
      <c r="I25" s="5"/>
      <c r="J25" s="15">
        <v>2408.7192</v>
      </c>
      <c r="K25" s="16">
        <v>35.136000000000003</v>
      </c>
      <c r="L25" s="16">
        <v>38.702800000000003</v>
      </c>
      <c r="M25" s="16">
        <v>41.369199999999999</v>
      </c>
      <c r="N25" s="16">
        <v>3.5143</v>
      </c>
      <c r="O25" s="16">
        <f t="shared" si="1"/>
        <v>36.361000000000004</v>
      </c>
      <c r="P25" s="7"/>
      <c r="Q25" s="8">
        <f>bdrate(C25:C28,D25:D28,J25:J28,K25:K28)</f>
        <v>-8.0513618298138079E-2</v>
      </c>
      <c r="R25" s="8">
        <f>bdrate(C25:C28,E25:E28,J25:J28,L25:L28)</f>
        <v>-0.53213869992959673</v>
      </c>
      <c r="S25" s="8">
        <f>bdrate(C25:C28,F25:F28,J25:J28,M25:M28)</f>
        <v>-0.51542525474616507</v>
      </c>
      <c r="T25" s="25">
        <f>bdrate(C25:C28,H25:H28,J25:J28,O25:O28)</f>
        <v>-0.16345024339660452</v>
      </c>
      <c r="U25" s="28">
        <f t="shared" si="2"/>
        <v>0.67347619047619045</v>
      </c>
    </row>
    <row r="26" spans="1:21" x14ac:dyDescent="0.25">
      <c r="B26" s="9"/>
      <c r="C26" s="17">
        <v>1560.95</v>
      </c>
      <c r="D26" s="18">
        <v>33.570999999999998</v>
      </c>
      <c r="E26" s="18">
        <v>37.503</v>
      </c>
      <c r="F26" s="18">
        <v>39.031999999999996</v>
      </c>
      <c r="G26" s="18">
        <v>2.44</v>
      </c>
      <c r="H26" s="18">
        <f t="shared" si="0"/>
        <v>34.745124999999994</v>
      </c>
      <c r="I26" s="5"/>
      <c r="J26" s="17">
        <v>1600.8768</v>
      </c>
      <c r="K26" s="18">
        <v>34.012099999999997</v>
      </c>
      <c r="L26" s="18">
        <v>38.330199999999998</v>
      </c>
      <c r="M26" s="18">
        <v>40.548699999999997</v>
      </c>
      <c r="N26" s="18">
        <v>4.4386000000000001</v>
      </c>
      <c r="O26" s="18">
        <f t="shared" si="1"/>
        <v>35.368937499999994</v>
      </c>
      <c r="P26" s="7"/>
      <c r="Q26" s="10"/>
      <c r="R26" s="11"/>
      <c r="S26" s="11"/>
      <c r="T26" s="26"/>
      <c r="U26" s="28">
        <f t="shared" si="2"/>
        <v>0.81909836065573782</v>
      </c>
    </row>
    <row r="27" spans="1:21" x14ac:dyDescent="0.25">
      <c r="B27" s="9"/>
      <c r="C27" s="17">
        <v>969.27</v>
      </c>
      <c r="D27" s="18">
        <v>32.188000000000002</v>
      </c>
      <c r="E27" s="18">
        <v>36.951000000000001</v>
      </c>
      <c r="F27" s="18">
        <v>38.113999999999997</v>
      </c>
      <c r="G27" s="18">
        <v>2.86</v>
      </c>
      <c r="H27" s="18">
        <f t="shared" si="0"/>
        <v>33.524124999999998</v>
      </c>
      <c r="I27" s="5"/>
      <c r="J27" s="17">
        <v>996.90319999999997</v>
      </c>
      <c r="K27" s="18">
        <v>32.4771</v>
      </c>
      <c r="L27" s="18">
        <v>37.871000000000002</v>
      </c>
      <c r="M27" s="18">
        <v>39.592599999999997</v>
      </c>
      <c r="N27" s="18">
        <v>5.8270999999999997</v>
      </c>
      <c r="O27" s="18">
        <f t="shared" si="1"/>
        <v>34.040774999999996</v>
      </c>
      <c r="P27" s="7"/>
      <c r="Q27" s="10"/>
      <c r="R27" s="11"/>
      <c r="S27" s="11"/>
      <c r="T27" s="26"/>
      <c r="U27" s="28">
        <f t="shared" si="2"/>
        <v>1.0374475524475524</v>
      </c>
    </row>
    <row r="28" spans="1:21" ht="16.5" thickBot="1" x14ac:dyDescent="0.3">
      <c r="B28" s="12"/>
      <c r="C28" s="19">
        <v>563.35</v>
      </c>
      <c r="D28" s="20">
        <v>30.43</v>
      </c>
      <c r="E28" s="20">
        <v>36.130000000000003</v>
      </c>
      <c r="F28" s="20">
        <v>36.807000000000002</v>
      </c>
      <c r="G28" s="20">
        <v>3.4</v>
      </c>
      <c r="H28" s="20">
        <f t="shared" si="0"/>
        <v>31.939624999999999</v>
      </c>
      <c r="I28" s="5"/>
      <c r="J28" s="19">
        <v>591.71839999999997</v>
      </c>
      <c r="K28" s="20">
        <v>30.704799999999999</v>
      </c>
      <c r="L28" s="20">
        <v>37.216299999999997</v>
      </c>
      <c r="M28" s="20">
        <v>38.502699999999997</v>
      </c>
      <c r="N28" s="20">
        <v>8.1471999999999998</v>
      </c>
      <c r="O28" s="20">
        <f t="shared" si="1"/>
        <v>32.493474999999997</v>
      </c>
      <c r="P28" s="7"/>
      <c r="Q28" s="13"/>
      <c r="R28" s="14"/>
      <c r="S28" s="14"/>
      <c r="T28" s="27"/>
      <c r="U28" s="28">
        <f t="shared" si="2"/>
        <v>1.396235294117647</v>
      </c>
    </row>
    <row r="29" spans="1:21" x14ac:dyDescent="0.25">
      <c r="B29" s="6" t="s">
        <v>51</v>
      </c>
      <c r="C29" s="29">
        <v>2415.08</v>
      </c>
      <c r="D29" s="30">
        <v>34.959000000000003</v>
      </c>
      <c r="E29" s="30">
        <v>40.302999999999997</v>
      </c>
      <c r="F29" s="30">
        <v>40.066000000000003</v>
      </c>
      <c r="G29" s="16">
        <v>1.78</v>
      </c>
      <c r="H29" s="16">
        <f t="shared" si="0"/>
        <v>36.265375000000006</v>
      </c>
      <c r="I29" s="5"/>
      <c r="J29" s="29">
        <v>2443.0016000000001</v>
      </c>
      <c r="K29" s="30">
        <v>34.912100000000002</v>
      </c>
      <c r="L29" s="30">
        <v>41.365299999999998</v>
      </c>
      <c r="M29" s="30">
        <v>41.161499999999997</v>
      </c>
      <c r="N29" s="16">
        <v>2.9864999999999999</v>
      </c>
      <c r="O29" s="16">
        <f t="shared" si="1"/>
        <v>36.499924999999998</v>
      </c>
      <c r="P29" s="7"/>
      <c r="Q29" s="8">
        <f>bdrate(C29:C32,D29:D32,J29:J32,K29:K32)</f>
        <v>3.3763938886038236E-2</v>
      </c>
      <c r="R29" s="8">
        <f>bdrate(C29:C32,E29:E32,J29:J32,L29:L32)</f>
        <v>-0.49481641352792261</v>
      </c>
      <c r="S29" s="8">
        <f>bdrate(C29:C32,F29:F32,J29:J32,M29:M32)</f>
        <v>-0.40017737234549844</v>
      </c>
      <c r="T29" s="25">
        <f>bdrate(C29:C32,H29:H32,J29:J32,O29:O32)</f>
        <v>-7.3158471344466292E-2</v>
      </c>
      <c r="U29" s="28">
        <f t="shared" si="2"/>
        <v>0.67780898876404483</v>
      </c>
    </row>
    <row r="30" spans="1:21" x14ac:dyDescent="0.25">
      <c r="B30" s="9"/>
      <c r="C30" s="31">
        <v>1605.2</v>
      </c>
      <c r="D30" s="32">
        <v>33.655999999999999</v>
      </c>
      <c r="E30" s="32">
        <v>39.534999999999997</v>
      </c>
      <c r="F30" s="32">
        <v>39.006999999999998</v>
      </c>
      <c r="G30" s="18">
        <v>2.06</v>
      </c>
      <c r="H30" s="18">
        <f t="shared" si="0"/>
        <v>35.059749999999994</v>
      </c>
      <c r="I30" s="5"/>
      <c r="J30" s="31">
        <v>1630.2048</v>
      </c>
      <c r="K30" s="32">
        <v>33.607799999999997</v>
      </c>
      <c r="L30" s="32">
        <v>40.706000000000003</v>
      </c>
      <c r="M30" s="32">
        <v>40.238799999999998</v>
      </c>
      <c r="N30" s="18">
        <v>3.7635999999999998</v>
      </c>
      <c r="O30" s="18">
        <f t="shared" si="1"/>
        <v>35.323949999999996</v>
      </c>
      <c r="P30" s="7"/>
      <c r="Q30" s="10"/>
      <c r="R30" s="11"/>
      <c r="S30" s="11"/>
      <c r="T30" s="26"/>
      <c r="U30" s="28">
        <f t="shared" si="2"/>
        <v>0.82699029126213575</v>
      </c>
    </row>
    <row r="31" spans="1:21" x14ac:dyDescent="0.25">
      <c r="B31" s="9"/>
      <c r="C31" s="31">
        <v>994.21</v>
      </c>
      <c r="D31" s="32">
        <v>32.017000000000003</v>
      </c>
      <c r="E31" s="32">
        <v>38.631999999999998</v>
      </c>
      <c r="F31" s="32">
        <v>37.697000000000003</v>
      </c>
      <c r="G31" s="18">
        <v>2.41</v>
      </c>
      <c r="H31" s="18">
        <f t="shared" si="0"/>
        <v>33.553875000000005</v>
      </c>
      <c r="I31" s="5"/>
      <c r="J31" s="31">
        <v>1015.04</v>
      </c>
      <c r="K31" s="32">
        <v>31.970199999999998</v>
      </c>
      <c r="L31" s="32">
        <v>39.972299999999997</v>
      </c>
      <c r="M31" s="32">
        <v>39.179299999999998</v>
      </c>
      <c r="N31" s="18">
        <v>4.8948</v>
      </c>
      <c r="O31" s="18">
        <f t="shared" si="1"/>
        <v>33.871599999999994</v>
      </c>
      <c r="P31" s="7"/>
      <c r="Q31" s="10"/>
      <c r="R31" s="11"/>
      <c r="S31" s="11"/>
      <c r="T31" s="26"/>
      <c r="U31" s="28">
        <f t="shared" si="2"/>
        <v>1.03103734439834</v>
      </c>
    </row>
    <row r="32" spans="1:21" ht="16.5" thickBot="1" x14ac:dyDescent="0.3">
      <c r="B32" s="12"/>
      <c r="C32" s="33">
        <v>593.26</v>
      </c>
      <c r="D32" s="34">
        <v>30.187000000000001</v>
      </c>
      <c r="E32" s="34">
        <v>37.277999999999999</v>
      </c>
      <c r="F32" s="34">
        <v>36.021999999999998</v>
      </c>
      <c r="G32" s="20">
        <v>2.79</v>
      </c>
      <c r="H32" s="20">
        <f t="shared" si="0"/>
        <v>31.80275</v>
      </c>
      <c r="I32" s="5"/>
      <c r="J32" s="33">
        <v>607.69759999999997</v>
      </c>
      <c r="K32" s="34">
        <v>30.119800000000001</v>
      </c>
      <c r="L32" s="34">
        <v>38.945</v>
      </c>
      <c r="M32" s="34">
        <v>37.7057</v>
      </c>
      <c r="N32" s="20">
        <v>6.8822999999999999</v>
      </c>
      <c r="O32" s="20">
        <f t="shared" si="1"/>
        <v>32.171187500000002</v>
      </c>
      <c r="P32" s="7"/>
      <c r="Q32" s="13"/>
      <c r="R32" s="14"/>
      <c r="S32" s="14"/>
      <c r="T32" s="27"/>
      <c r="U32" s="28">
        <f t="shared" si="2"/>
        <v>1.4667741935483871</v>
      </c>
    </row>
    <row r="33" spans="1:21" x14ac:dyDescent="0.25">
      <c r="B33" s="6" t="s">
        <v>52</v>
      </c>
      <c r="C33" s="15">
        <v>2314.62</v>
      </c>
      <c r="D33" s="16">
        <v>33.987000000000002</v>
      </c>
      <c r="E33" s="16">
        <v>39.655000000000001</v>
      </c>
      <c r="F33" s="16">
        <v>42.26</v>
      </c>
      <c r="G33" s="16">
        <v>2.4</v>
      </c>
      <c r="H33" s="16">
        <f t="shared" si="0"/>
        <v>35.729625000000006</v>
      </c>
      <c r="I33" s="5"/>
      <c r="J33" s="15">
        <v>2395.8760000000002</v>
      </c>
      <c r="K33" s="16">
        <v>34.136600000000001</v>
      </c>
      <c r="L33" s="16">
        <v>40.463299999999997</v>
      </c>
      <c r="M33" s="16">
        <v>42.886400000000002</v>
      </c>
      <c r="N33" s="16">
        <v>4.2222999999999997</v>
      </c>
      <c r="O33" s="16">
        <f t="shared" si="1"/>
        <v>36.021162500000003</v>
      </c>
      <c r="P33" s="7"/>
      <c r="Q33" s="8">
        <f>bdrate(C33:C36,D33:D36,J33:J36,K33:K36)</f>
        <v>-2.860971542933477E-2</v>
      </c>
      <c r="R33" s="8">
        <f>bdrate(C33:C36,E33:E36,J33:J36,L33:L36)</f>
        <v>-0.38354621110361509</v>
      </c>
      <c r="S33" s="8">
        <f>bdrate(C33:C36,F33:F36,J33:J36,M33:M36)</f>
        <v>-0.31586172676762148</v>
      </c>
      <c r="T33" s="25">
        <f>bdrate(C33:C36,H33:H36,J33:J36,O33:O36)</f>
        <v>-8.6217859379251971E-2</v>
      </c>
      <c r="U33" s="28">
        <f t="shared" si="2"/>
        <v>0.75929166666666659</v>
      </c>
    </row>
    <row r="34" spans="1:21" x14ac:dyDescent="0.25">
      <c r="B34" s="9"/>
      <c r="C34" s="17">
        <v>1515.31</v>
      </c>
      <c r="D34" s="18">
        <v>33.360999999999997</v>
      </c>
      <c r="E34" s="18">
        <v>39.256999999999998</v>
      </c>
      <c r="F34" s="18">
        <v>41.912999999999997</v>
      </c>
      <c r="G34" s="18">
        <v>2.66</v>
      </c>
      <c r="H34" s="18">
        <f t="shared" si="0"/>
        <v>35.167000000000002</v>
      </c>
      <c r="I34" s="5"/>
      <c r="J34" s="17">
        <v>1587.4472000000001</v>
      </c>
      <c r="K34" s="18">
        <v>33.495699999999999</v>
      </c>
      <c r="L34" s="18">
        <v>40.004199999999997</v>
      </c>
      <c r="M34" s="18">
        <v>42.485300000000002</v>
      </c>
      <c r="N34" s="18">
        <v>5.4828000000000001</v>
      </c>
      <c r="O34" s="18">
        <f t="shared" si="1"/>
        <v>35.432962500000002</v>
      </c>
      <c r="P34" s="7"/>
      <c r="Q34" s="10"/>
      <c r="R34" s="11"/>
      <c r="S34" s="11"/>
      <c r="T34" s="26"/>
      <c r="U34" s="28">
        <f t="shared" si="2"/>
        <v>1.061203007518797</v>
      </c>
    </row>
    <row r="35" spans="1:21" x14ac:dyDescent="0.25">
      <c r="B35" s="9"/>
      <c r="C35" s="17">
        <v>911.06</v>
      </c>
      <c r="D35" s="18">
        <v>32.292999999999999</v>
      </c>
      <c r="E35" s="18">
        <v>38.673999999999999</v>
      </c>
      <c r="F35" s="18">
        <v>41.445</v>
      </c>
      <c r="G35" s="18">
        <v>2.98</v>
      </c>
      <c r="H35" s="18">
        <f t="shared" si="0"/>
        <v>34.234625000000001</v>
      </c>
      <c r="I35" s="5"/>
      <c r="J35" s="17">
        <v>982.6576</v>
      </c>
      <c r="K35" s="18">
        <v>32.504600000000003</v>
      </c>
      <c r="L35" s="18">
        <v>39.290799999999997</v>
      </c>
      <c r="M35" s="18">
        <v>41.845300000000002</v>
      </c>
      <c r="N35" s="18">
        <v>7.5666000000000002</v>
      </c>
      <c r="O35" s="18">
        <f t="shared" si="1"/>
        <v>34.520462500000001</v>
      </c>
      <c r="P35" s="7"/>
      <c r="Q35" s="10"/>
      <c r="R35" s="11"/>
      <c r="S35" s="11"/>
      <c r="T35" s="26"/>
      <c r="U35" s="28">
        <f t="shared" si="2"/>
        <v>1.5391275167785237</v>
      </c>
    </row>
    <row r="36" spans="1:21" ht="16.5" thickBot="1" x14ac:dyDescent="0.3">
      <c r="B36" s="12"/>
      <c r="C36" s="19">
        <v>488.31</v>
      </c>
      <c r="D36" s="20">
        <v>30.111999999999998</v>
      </c>
      <c r="E36" s="20">
        <v>37.655000000000001</v>
      </c>
      <c r="F36" s="20">
        <v>40.737000000000002</v>
      </c>
      <c r="G36" s="20">
        <v>3.31</v>
      </c>
      <c r="H36" s="20">
        <f t="shared" si="0"/>
        <v>32.383000000000003</v>
      </c>
      <c r="I36" s="5"/>
      <c r="J36" s="19">
        <v>583.45119999999997</v>
      </c>
      <c r="K36" s="20">
        <v>31.111899999999999</v>
      </c>
      <c r="L36" s="20">
        <v>38.728099999999998</v>
      </c>
      <c r="M36" s="20">
        <v>41.338099999999997</v>
      </c>
      <c r="N36" s="20">
        <v>10.548299999999999</v>
      </c>
      <c r="O36" s="20">
        <f t="shared" si="1"/>
        <v>33.342199999999998</v>
      </c>
      <c r="P36" s="7"/>
      <c r="Q36" s="13"/>
      <c r="R36" s="14"/>
      <c r="S36" s="14"/>
      <c r="T36" s="27"/>
      <c r="U36" s="28">
        <f t="shared" si="2"/>
        <v>2.1867975830815705</v>
      </c>
    </row>
    <row r="37" spans="1:21" x14ac:dyDescent="0.25">
      <c r="A37" s="6" t="s">
        <v>39</v>
      </c>
      <c r="B37" s="6" t="s">
        <v>53</v>
      </c>
      <c r="C37" s="15">
        <v>1218.22</v>
      </c>
      <c r="D37" s="16">
        <v>36.110999999999997</v>
      </c>
      <c r="E37" s="16">
        <v>39.713000000000001</v>
      </c>
      <c r="F37" s="16">
        <v>39.795000000000002</v>
      </c>
      <c r="G37" s="16">
        <v>5.53</v>
      </c>
      <c r="H37" s="16">
        <f t="shared" si="0"/>
        <v>37.021750000000004</v>
      </c>
      <c r="I37" s="5"/>
      <c r="J37" s="15">
        <v>1197.1528000000001</v>
      </c>
      <c r="K37" s="16">
        <v>37.040500000000002</v>
      </c>
      <c r="L37" s="16">
        <v>41.2361</v>
      </c>
      <c r="M37" s="16">
        <v>41.243000000000002</v>
      </c>
      <c r="N37" s="16">
        <v>8.7073</v>
      </c>
      <c r="O37" s="16">
        <f t="shared" si="1"/>
        <v>38.090262500000001</v>
      </c>
      <c r="P37" s="7"/>
      <c r="Q37" s="8">
        <f>bdrate(C37:C40,D37:D40,J37:J40,K37:K40)</f>
        <v>-0.1121401936202483</v>
      </c>
      <c r="R37" s="8">
        <f>bdrate(C37:C40,E37:E40,J37:J40,L37:L40)</f>
        <v>-0.40236871180441758</v>
      </c>
      <c r="S37" s="8">
        <f>bdrate(C37:C40,F37:F40,J37:J40,M37:M40)</f>
        <v>-0.33032563259489112</v>
      </c>
      <c r="T37" s="25">
        <f>bdrate(C37:C40,H37:H40,J37:J40,O37:O40)</f>
        <v>-0.17024210992657363</v>
      </c>
      <c r="U37" s="28">
        <f t="shared" si="2"/>
        <v>0.57455696202531636</v>
      </c>
    </row>
    <row r="38" spans="1:21" x14ac:dyDescent="0.25">
      <c r="A38" s="9" t="s">
        <v>40</v>
      </c>
      <c r="B38" s="9"/>
      <c r="C38" s="17">
        <v>813.72</v>
      </c>
      <c r="D38" s="18">
        <v>34.557000000000002</v>
      </c>
      <c r="E38" s="18">
        <v>38.402999999999999</v>
      </c>
      <c r="F38" s="18">
        <v>38.405999999999999</v>
      </c>
      <c r="G38" s="18">
        <v>6.64</v>
      </c>
      <c r="H38" s="18">
        <f t="shared" si="0"/>
        <v>35.518875000000001</v>
      </c>
      <c r="I38" s="5"/>
      <c r="J38" s="17">
        <v>796.34320000000002</v>
      </c>
      <c r="K38" s="18">
        <v>35.191000000000003</v>
      </c>
      <c r="L38" s="18">
        <v>39.869</v>
      </c>
      <c r="M38" s="18">
        <v>39.702599999999997</v>
      </c>
      <c r="N38" s="18">
        <v>10.5396</v>
      </c>
      <c r="O38" s="18">
        <f t="shared" si="1"/>
        <v>36.339700000000001</v>
      </c>
      <c r="P38" s="7"/>
      <c r="Q38" s="10"/>
      <c r="R38" s="11"/>
      <c r="S38" s="11"/>
      <c r="T38" s="26"/>
      <c r="U38" s="28">
        <f t="shared" si="2"/>
        <v>0.58728915662650616</v>
      </c>
    </row>
    <row r="39" spans="1:21" x14ac:dyDescent="0.25">
      <c r="B39" s="9"/>
      <c r="C39" s="17">
        <v>506.03</v>
      </c>
      <c r="D39" s="18">
        <v>32.908000000000001</v>
      </c>
      <c r="E39" s="18">
        <v>37.215000000000003</v>
      </c>
      <c r="F39" s="18">
        <v>37.113999999999997</v>
      </c>
      <c r="G39" s="18">
        <v>8.19</v>
      </c>
      <c r="H39" s="18">
        <f t="shared" si="0"/>
        <v>33.972124999999998</v>
      </c>
      <c r="I39" s="5"/>
      <c r="J39" s="17">
        <v>502.52480000000003</v>
      </c>
      <c r="K39" s="18">
        <v>33.2303</v>
      </c>
      <c r="L39" s="18">
        <v>38.5411</v>
      </c>
      <c r="M39" s="18">
        <v>38.244399999999999</v>
      </c>
      <c r="N39" s="18">
        <v>13.489800000000001</v>
      </c>
      <c r="O39" s="18">
        <f t="shared" si="1"/>
        <v>34.520912500000001</v>
      </c>
      <c r="P39" s="7"/>
      <c r="Q39" s="10"/>
      <c r="R39" s="11"/>
      <c r="S39" s="11"/>
      <c r="T39" s="26"/>
      <c r="U39" s="28">
        <f t="shared" si="2"/>
        <v>0.64710622710622734</v>
      </c>
    </row>
    <row r="40" spans="1:21" ht="16.5" thickBot="1" x14ac:dyDescent="0.3">
      <c r="B40" s="12"/>
      <c r="C40" s="19">
        <v>301.55</v>
      </c>
      <c r="D40" s="20">
        <v>31.239000000000001</v>
      </c>
      <c r="E40" s="20">
        <v>36.01</v>
      </c>
      <c r="F40" s="20">
        <v>35.588999999999999</v>
      </c>
      <c r="G40" s="20">
        <v>10.47</v>
      </c>
      <c r="H40" s="20">
        <f t="shared" si="0"/>
        <v>32.379125000000002</v>
      </c>
      <c r="I40" s="5"/>
      <c r="J40" s="19">
        <v>300.45280000000002</v>
      </c>
      <c r="K40" s="20">
        <v>31.186</v>
      </c>
      <c r="L40" s="20">
        <v>37.161900000000003</v>
      </c>
      <c r="M40" s="20">
        <v>36.6111</v>
      </c>
      <c r="N40" s="20">
        <v>18.200299999999999</v>
      </c>
      <c r="O40" s="20">
        <f t="shared" si="1"/>
        <v>32.611125000000001</v>
      </c>
      <c r="P40" s="7"/>
      <c r="Q40" s="13"/>
      <c r="R40" s="14"/>
      <c r="S40" s="14"/>
      <c r="T40" s="27"/>
      <c r="U40" s="28">
        <f t="shared" si="2"/>
        <v>0.73832855778414497</v>
      </c>
    </row>
    <row r="41" spans="1:21" x14ac:dyDescent="0.25">
      <c r="B41" s="6" t="s">
        <v>54</v>
      </c>
      <c r="C41" s="15">
        <v>1226.26</v>
      </c>
      <c r="D41" s="16">
        <v>36.142000000000003</v>
      </c>
      <c r="E41" s="16">
        <v>40.473999999999997</v>
      </c>
      <c r="F41" s="16">
        <v>41.405999999999999</v>
      </c>
      <c r="G41" s="16">
        <v>6.78</v>
      </c>
      <c r="H41" s="16">
        <f t="shared" si="0"/>
        <v>37.341500000000003</v>
      </c>
      <c r="I41" s="5"/>
      <c r="J41" s="15">
        <v>1209.6848</v>
      </c>
      <c r="K41" s="16">
        <v>36.393500000000003</v>
      </c>
      <c r="L41" s="16">
        <v>41.838700000000003</v>
      </c>
      <c r="M41" s="16">
        <v>42.907400000000003</v>
      </c>
      <c r="N41" s="16">
        <v>10.7668</v>
      </c>
      <c r="O41" s="16">
        <f t="shared" si="1"/>
        <v>37.8883875</v>
      </c>
      <c r="P41" s="7"/>
      <c r="Q41" s="8">
        <f>bdrate(C41:C44,D41:D44,J41:J44,K41:K44)</f>
        <v>-0.10428715645179498</v>
      </c>
      <c r="R41" s="8">
        <f>bdrate(C41:C44,E41:E44,J41:J44,L41:L44)</f>
        <v>-0.48024403304391272</v>
      </c>
      <c r="S41" s="8">
        <f>bdrate(C41:C44,F41:F44,J41:J44,M41:M44)</f>
        <v>-0.45892096819994266</v>
      </c>
      <c r="T41" s="25">
        <f>bdrate(C41:C44,H41:H44,J41:J44,O41:O44)</f>
        <v>-0.18512199113344507</v>
      </c>
      <c r="U41" s="28">
        <f t="shared" si="2"/>
        <v>0.58802359882005895</v>
      </c>
    </row>
    <row r="42" spans="1:21" x14ac:dyDescent="0.25">
      <c r="B42" s="9"/>
      <c r="C42" s="17">
        <v>816.9</v>
      </c>
      <c r="D42" s="18">
        <v>34.518999999999998</v>
      </c>
      <c r="E42" s="18">
        <v>39.356999999999999</v>
      </c>
      <c r="F42" s="18">
        <v>40.195</v>
      </c>
      <c r="G42" s="18">
        <v>8.02</v>
      </c>
      <c r="H42" s="18">
        <f t="shared" si="0"/>
        <v>35.83325</v>
      </c>
      <c r="I42" s="5"/>
      <c r="J42" s="17">
        <v>806.21280000000002</v>
      </c>
      <c r="K42" s="18">
        <v>34.846299999999999</v>
      </c>
      <c r="L42" s="18">
        <v>40.941299999999998</v>
      </c>
      <c r="M42" s="18">
        <v>41.834899999999998</v>
      </c>
      <c r="N42" s="18">
        <v>13.5664</v>
      </c>
      <c r="O42" s="18">
        <f t="shared" si="1"/>
        <v>36.481749999999998</v>
      </c>
      <c r="P42" s="7"/>
      <c r="Q42" s="10"/>
      <c r="R42" s="11"/>
      <c r="S42" s="11"/>
      <c r="T42" s="26"/>
      <c r="U42" s="28">
        <f t="shared" si="2"/>
        <v>0.69157107231920201</v>
      </c>
    </row>
    <row r="43" spans="1:21" x14ac:dyDescent="0.25">
      <c r="B43" s="9"/>
      <c r="C43" s="17">
        <v>508.39</v>
      </c>
      <c r="D43" s="18">
        <v>32.514000000000003</v>
      </c>
      <c r="E43" s="18">
        <v>38.055999999999997</v>
      </c>
      <c r="F43" s="18">
        <v>38.774000000000001</v>
      </c>
      <c r="G43" s="18">
        <v>9.7100000000000009</v>
      </c>
      <c r="H43" s="18">
        <f t="shared" si="0"/>
        <v>33.989249999999998</v>
      </c>
      <c r="I43" s="5"/>
      <c r="J43" s="17">
        <v>504.78160000000003</v>
      </c>
      <c r="K43" s="18">
        <v>32.986199999999997</v>
      </c>
      <c r="L43" s="18">
        <v>39.779499999999999</v>
      </c>
      <c r="M43" s="18">
        <v>40.536700000000003</v>
      </c>
      <c r="N43" s="18">
        <v>17.331499999999998</v>
      </c>
      <c r="O43" s="18">
        <f t="shared" si="1"/>
        <v>34.779174999999995</v>
      </c>
      <c r="P43" s="7"/>
      <c r="Q43" s="10"/>
      <c r="R43" s="11"/>
      <c r="S43" s="11"/>
      <c r="T43" s="26"/>
      <c r="U43" s="28">
        <f t="shared" si="2"/>
        <v>0.78491246138002024</v>
      </c>
    </row>
    <row r="44" spans="1:21" ht="16.5" thickBot="1" x14ac:dyDescent="0.3">
      <c r="B44" s="12"/>
      <c r="C44" s="19">
        <v>301.22000000000003</v>
      </c>
      <c r="D44" s="20">
        <v>30.18</v>
      </c>
      <c r="E44" s="20">
        <v>36.587000000000003</v>
      </c>
      <c r="F44" s="20">
        <v>37.14</v>
      </c>
      <c r="G44" s="20">
        <v>12</v>
      </c>
      <c r="H44" s="20">
        <f t="shared" si="0"/>
        <v>31.850874999999995</v>
      </c>
      <c r="I44" s="5"/>
      <c r="J44" s="19">
        <v>304.38639999999998</v>
      </c>
      <c r="K44" s="20">
        <v>30.870200000000001</v>
      </c>
      <c r="L44" s="20">
        <v>38.6267</v>
      </c>
      <c r="M44" s="20">
        <v>39.301299999999998</v>
      </c>
      <c r="N44" s="20">
        <v>22.976199999999999</v>
      </c>
      <c r="O44" s="20">
        <f t="shared" si="1"/>
        <v>32.893650000000001</v>
      </c>
      <c r="P44" s="7"/>
      <c r="Q44" s="13"/>
      <c r="R44" s="14"/>
      <c r="S44" s="14"/>
      <c r="T44" s="27"/>
      <c r="U44" s="28">
        <f t="shared" si="2"/>
        <v>0.91468333333333318</v>
      </c>
    </row>
    <row r="45" spans="1:21" x14ac:dyDescent="0.25">
      <c r="B45" s="6" t="s">
        <v>55</v>
      </c>
      <c r="C45" s="15">
        <v>1091.1400000000001</v>
      </c>
      <c r="D45" s="16">
        <v>30.643000000000001</v>
      </c>
      <c r="E45" s="16">
        <v>36.058</v>
      </c>
      <c r="F45" s="16">
        <v>36.854999999999997</v>
      </c>
      <c r="G45" s="16">
        <v>6.06</v>
      </c>
      <c r="H45" s="16">
        <f t="shared" si="0"/>
        <v>32.096375000000002</v>
      </c>
      <c r="I45" s="5"/>
      <c r="J45" s="15">
        <v>1189.5808</v>
      </c>
      <c r="K45" s="16">
        <v>31.3001</v>
      </c>
      <c r="L45" s="16">
        <v>37.764000000000003</v>
      </c>
      <c r="M45" s="16">
        <v>38.6342</v>
      </c>
      <c r="N45" s="16">
        <v>11.148300000000001</v>
      </c>
      <c r="O45" s="16">
        <f t="shared" si="1"/>
        <v>33.024850000000001</v>
      </c>
      <c r="P45" s="7"/>
      <c r="Q45" s="8">
        <f>bdrate(C45:C48,D45:D48,J45:J48,K45:K48)</f>
        <v>-0.10214924467227826</v>
      </c>
      <c r="R45" s="8">
        <f>bdrate(C45:C48,E45:E48,J45:J48,L45:L48)</f>
        <v>-0.54170950344934599</v>
      </c>
      <c r="S45" s="8">
        <f>bdrate(C45:C48,F45:F48,J45:J48,M45:M48)</f>
        <v>-0.52619826014489657</v>
      </c>
      <c r="T45" s="25">
        <f>bdrate(C45:C48,H45:H48,J45:J48,O45:O48)</f>
        <v>-0.1875755951335446</v>
      </c>
      <c r="U45" s="28">
        <f t="shared" si="2"/>
        <v>0.83965346534653484</v>
      </c>
    </row>
    <row r="46" spans="1:21" x14ac:dyDescent="0.25">
      <c r="B46" s="9"/>
      <c r="C46" s="17">
        <v>725.45</v>
      </c>
      <c r="D46" s="18">
        <v>29.215</v>
      </c>
      <c r="E46" s="18">
        <v>35.295999999999999</v>
      </c>
      <c r="F46" s="18">
        <v>36.118000000000002</v>
      </c>
      <c r="G46" s="18">
        <v>7.31</v>
      </c>
      <c r="H46" s="18">
        <f t="shared" si="0"/>
        <v>30.837999999999997</v>
      </c>
      <c r="I46" s="5"/>
      <c r="J46" s="17">
        <v>795.58240000000001</v>
      </c>
      <c r="K46" s="18">
        <v>29.895600000000002</v>
      </c>
      <c r="L46" s="18">
        <v>36.891100000000002</v>
      </c>
      <c r="M46" s="18">
        <v>37.688800000000001</v>
      </c>
      <c r="N46" s="18">
        <v>14.033099999999999</v>
      </c>
      <c r="O46" s="18">
        <f t="shared" si="1"/>
        <v>31.744187500000002</v>
      </c>
      <c r="P46" s="7"/>
      <c r="Q46" s="10"/>
      <c r="R46" s="11"/>
      <c r="S46" s="11"/>
      <c r="T46" s="26"/>
      <c r="U46" s="28">
        <f t="shared" si="2"/>
        <v>0.91971272229822165</v>
      </c>
    </row>
    <row r="47" spans="1:21" x14ac:dyDescent="0.25">
      <c r="B47" s="9"/>
      <c r="C47" s="17">
        <v>449.25</v>
      </c>
      <c r="D47" s="18">
        <v>27.672000000000001</v>
      </c>
      <c r="E47" s="18">
        <v>34.515000000000001</v>
      </c>
      <c r="F47" s="18">
        <v>35.325000000000003</v>
      </c>
      <c r="G47" s="18">
        <v>8.99</v>
      </c>
      <c r="H47" s="18">
        <f t="shared" si="0"/>
        <v>29.484000000000002</v>
      </c>
      <c r="I47" s="5"/>
      <c r="J47" s="17">
        <v>502.98079999999999</v>
      </c>
      <c r="K47" s="18">
        <v>28.37</v>
      </c>
      <c r="L47" s="18">
        <v>36.040399999999998</v>
      </c>
      <c r="M47" s="18">
        <v>36.820399999999999</v>
      </c>
      <c r="N47" s="18">
        <v>18.248799999999999</v>
      </c>
      <c r="O47" s="18">
        <f t="shared" si="1"/>
        <v>30.385100000000001</v>
      </c>
      <c r="P47" s="7"/>
      <c r="Q47" s="10"/>
      <c r="R47" s="11"/>
      <c r="S47" s="11"/>
      <c r="T47" s="26"/>
      <c r="U47" s="28">
        <f t="shared" si="2"/>
        <v>1.0298998887652946</v>
      </c>
    </row>
    <row r="48" spans="1:21" ht="16.5" thickBot="1" x14ac:dyDescent="0.3">
      <c r="B48" s="12"/>
      <c r="C48" s="19">
        <v>253.66</v>
      </c>
      <c r="D48" s="20">
        <v>25.85</v>
      </c>
      <c r="E48" s="20">
        <v>33.402000000000001</v>
      </c>
      <c r="F48" s="20">
        <v>34.201000000000001</v>
      </c>
      <c r="G48" s="20">
        <v>11.67</v>
      </c>
      <c r="H48" s="20">
        <f t="shared" si="0"/>
        <v>27.837875</v>
      </c>
      <c r="I48" s="5"/>
      <c r="J48" s="19">
        <v>304.56</v>
      </c>
      <c r="K48" s="20">
        <v>26.8096</v>
      </c>
      <c r="L48" s="20">
        <v>35.1569</v>
      </c>
      <c r="M48" s="20">
        <v>35.881300000000003</v>
      </c>
      <c r="N48" s="20">
        <v>24.2624</v>
      </c>
      <c r="O48" s="20">
        <f t="shared" si="1"/>
        <v>28.986975000000001</v>
      </c>
      <c r="P48" s="7"/>
      <c r="Q48" s="13"/>
      <c r="R48" s="14"/>
      <c r="S48" s="14"/>
      <c r="T48" s="27"/>
      <c r="U48" s="28">
        <f t="shared" si="2"/>
        <v>1.0790402742073693</v>
      </c>
    </row>
    <row r="49" spans="1:21" x14ac:dyDescent="0.25">
      <c r="B49" s="6" t="s">
        <v>56</v>
      </c>
      <c r="C49" s="15">
        <v>1093.93</v>
      </c>
      <c r="D49" s="16">
        <v>33.701999999999998</v>
      </c>
      <c r="E49" s="16">
        <v>37.235999999999997</v>
      </c>
      <c r="F49" s="16">
        <v>38.953000000000003</v>
      </c>
      <c r="G49" s="16">
        <v>4.08</v>
      </c>
      <c r="H49" s="16">
        <f t="shared" si="0"/>
        <v>34.800124999999994</v>
      </c>
      <c r="I49" s="5"/>
      <c r="J49" s="15">
        <v>1191.3040000000001</v>
      </c>
      <c r="K49" s="16">
        <v>33.563099999999999</v>
      </c>
      <c r="L49" s="16">
        <v>38.156500000000001</v>
      </c>
      <c r="M49" s="16">
        <v>39.7849</v>
      </c>
      <c r="N49" s="16">
        <v>6.4855</v>
      </c>
      <c r="O49" s="16">
        <f t="shared" si="1"/>
        <v>34.914999999999999</v>
      </c>
      <c r="P49" s="7"/>
      <c r="Q49" s="8">
        <f>bdrate(C49:C52,D49:D52,J49:J52,K49:K52)</f>
        <v>0.14874841728867239</v>
      </c>
      <c r="R49" s="8">
        <f>bdrate(C49:C52,E49:E52,J49:J52,L49:L52)</f>
        <v>-0.32577308232776336</v>
      </c>
      <c r="S49" s="8">
        <f>bdrate(C49:C52,F49:F52,J49:J52,M49:M52)</f>
        <v>-0.31657471853145469</v>
      </c>
      <c r="T49" s="25">
        <f>bdrate(C49:C52,H49:H52,J49:J52,O49:O52)</f>
        <v>5.3630523452225187E-2</v>
      </c>
      <c r="U49" s="28">
        <f t="shared" si="2"/>
        <v>0.58958333333333335</v>
      </c>
    </row>
    <row r="50" spans="1:21" x14ac:dyDescent="0.25">
      <c r="B50" s="9"/>
      <c r="C50" s="17">
        <v>739.9</v>
      </c>
      <c r="D50" s="18">
        <v>32.223999999999997</v>
      </c>
      <c r="E50" s="18">
        <v>36.271000000000001</v>
      </c>
      <c r="F50" s="18">
        <v>38.012999999999998</v>
      </c>
      <c r="G50" s="18">
        <v>4.82</v>
      </c>
      <c r="H50" s="18">
        <f t="shared" si="0"/>
        <v>33.453499999999998</v>
      </c>
      <c r="I50" s="5"/>
      <c r="J50" s="17">
        <v>794.98720000000003</v>
      </c>
      <c r="K50" s="18">
        <v>31.980599999999999</v>
      </c>
      <c r="L50" s="18">
        <v>37.217500000000001</v>
      </c>
      <c r="M50" s="18">
        <v>38.896000000000001</v>
      </c>
      <c r="N50" s="18">
        <v>7.9196999999999997</v>
      </c>
      <c r="O50" s="18">
        <f t="shared" si="1"/>
        <v>33.499637499999999</v>
      </c>
      <c r="P50" s="7"/>
      <c r="Q50" s="10"/>
      <c r="R50" s="11"/>
      <c r="S50" s="11"/>
      <c r="T50" s="26"/>
      <c r="U50" s="28">
        <f t="shared" si="2"/>
        <v>0.64309128630705381</v>
      </c>
    </row>
    <row r="51" spans="1:21" x14ac:dyDescent="0.25">
      <c r="B51" s="9"/>
      <c r="C51" s="17">
        <v>470.45</v>
      </c>
      <c r="D51" s="18">
        <v>30.571999999999999</v>
      </c>
      <c r="E51" s="18">
        <v>35.344999999999999</v>
      </c>
      <c r="F51" s="18">
        <v>37.000999999999998</v>
      </c>
      <c r="G51" s="18">
        <v>5.91</v>
      </c>
      <c r="H51" s="18">
        <f t="shared" si="0"/>
        <v>31.972249999999999</v>
      </c>
      <c r="I51" s="5"/>
      <c r="J51" s="17">
        <v>495.76960000000003</v>
      </c>
      <c r="K51" s="18">
        <v>30.247900000000001</v>
      </c>
      <c r="L51" s="18">
        <v>36.283299999999997</v>
      </c>
      <c r="M51" s="18">
        <v>37.975499999999997</v>
      </c>
      <c r="N51" s="18">
        <v>10</v>
      </c>
      <c r="O51" s="18">
        <f t="shared" si="1"/>
        <v>31.968274999999998</v>
      </c>
      <c r="P51" s="7"/>
      <c r="Q51" s="10"/>
      <c r="R51" s="11"/>
      <c r="S51" s="11"/>
      <c r="T51" s="26"/>
      <c r="U51" s="28">
        <f t="shared" si="2"/>
        <v>0.69204737732656507</v>
      </c>
    </row>
    <row r="52" spans="1:21" ht="16.5" thickBot="1" x14ac:dyDescent="0.3">
      <c r="B52" s="12"/>
      <c r="C52" s="19">
        <v>285.8</v>
      </c>
      <c r="D52" s="20">
        <v>28.864000000000001</v>
      </c>
      <c r="E52" s="20">
        <v>34.292999999999999</v>
      </c>
      <c r="F52" s="20">
        <v>35.814999999999998</v>
      </c>
      <c r="G52" s="20">
        <v>7.42</v>
      </c>
      <c r="H52" s="20">
        <f t="shared" si="0"/>
        <v>30.4115</v>
      </c>
      <c r="I52" s="5"/>
      <c r="J52" s="19">
        <v>295.7688</v>
      </c>
      <c r="K52" s="20">
        <v>28.506799999999998</v>
      </c>
      <c r="L52" s="20">
        <v>35.310299999999998</v>
      </c>
      <c r="M52" s="20">
        <v>37.017200000000003</v>
      </c>
      <c r="N52" s="20">
        <v>13.2996</v>
      </c>
      <c r="O52" s="20">
        <f t="shared" si="1"/>
        <v>30.421037499999997</v>
      </c>
      <c r="P52" s="7"/>
      <c r="Q52" s="13"/>
      <c r="R52" s="14"/>
      <c r="S52" s="14"/>
      <c r="T52" s="27"/>
      <c r="U52" s="28">
        <f t="shared" si="2"/>
        <v>0.79239892183288407</v>
      </c>
    </row>
    <row r="53" spans="1:21" x14ac:dyDescent="0.25">
      <c r="A53" s="6" t="s">
        <v>41</v>
      </c>
      <c r="B53" s="6" t="s">
        <v>57</v>
      </c>
      <c r="C53" s="15">
        <v>635.5</v>
      </c>
      <c r="D53" s="16">
        <v>36.128999999999998</v>
      </c>
      <c r="E53" s="16">
        <v>40.328000000000003</v>
      </c>
      <c r="F53" s="16">
        <v>39.137999999999998</v>
      </c>
      <c r="G53" s="16">
        <v>9.4</v>
      </c>
      <c r="H53" s="16">
        <f t="shared" si="0"/>
        <v>37.029999999999994</v>
      </c>
      <c r="I53" s="5"/>
      <c r="J53" s="15">
        <v>603.78560000000004</v>
      </c>
      <c r="K53" s="16">
        <v>35.822699999999998</v>
      </c>
      <c r="L53" s="16">
        <v>41.358600000000003</v>
      </c>
      <c r="M53" s="16">
        <v>39.760199999999998</v>
      </c>
      <c r="N53" s="16">
        <v>23.158899999999999</v>
      </c>
      <c r="O53" s="16">
        <f t="shared" si="1"/>
        <v>37.006875000000001</v>
      </c>
      <c r="P53" s="7"/>
      <c r="Q53" s="8">
        <f>bdrate(C53:C56,D53:D56,J53:J56,K53:K56)</f>
        <v>5.6159998610611828E-2</v>
      </c>
      <c r="R53" s="8">
        <f>bdrate(C53:C56,E53:E56,J53:J56,L53:L56)</f>
        <v>-0.39140721295055725</v>
      </c>
      <c r="S53" s="8">
        <f>bdrate(C53:C56,F53:F56,J53:J56,M53:M56)</f>
        <v>-0.28409493197231195</v>
      </c>
      <c r="T53" s="25">
        <f>bdrate(C53:C56,H53:H56,J53:J56,O53:O56)</f>
        <v>-3.013549034391394E-2</v>
      </c>
      <c r="U53" s="28">
        <f t="shared" si="2"/>
        <v>1.4637127659574467</v>
      </c>
    </row>
    <row r="54" spans="1:21" x14ac:dyDescent="0.25">
      <c r="A54" s="9" t="s">
        <v>42</v>
      </c>
      <c r="B54" s="9"/>
      <c r="C54" s="17">
        <v>424.08</v>
      </c>
      <c r="D54" s="18">
        <v>34.222000000000001</v>
      </c>
      <c r="E54" s="18">
        <v>39</v>
      </c>
      <c r="F54" s="18">
        <v>37.631999999999998</v>
      </c>
      <c r="G54" s="18">
        <v>11.36</v>
      </c>
      <c r="H54" s="18">
        <f t="shared" si="0"/>
        <v>35.2455</v>
      </c>
      <c r="I54" s="5"/>
      <c r="J54" s="17">
        <v>402.73039999999997</v>
      </c>
      <c r="K54" s="18">
        <v>33.862499999999997</v>
      </c>
      <c r="L54" s="18">
        <v>40.167299999999997</v>
      </c>
      <c r="M54" s="18">
        <v>38.408299999999997</v>
      </c>
      <c r="N54" s="18">
        <v>27.841200000000001</v>
      </c>
      <c r="O54" s="18">
        <f t="shared" si="1"/>
        <v>35.218824999999995</v>
      </c>
      <c r="P54" s="7"/>
      <c r="Q54" s="10"/>
      <c r="R54" s="11"/>
      <c r="S54" s="11"/>
      <c r="T54" s="26"/>
      <c r="U54" s="28">
        <f t="shared" si="2"/>
        <v>1.4508098591549297</v>
      </c>
    </row>
    <row r="55" spans="1:21" x14ac:dyDescent="0.25">
      <c r="B55" s="9"/>
      <c r="C55" s="17">
        <v>265.64999999999998</v>
      </c>
      <c r="D55" s="18">
        <v>32.228000000000002</v>
      </c>
      <c r="E55" s="18">
        <v>37.75</v>
      </c>
      <c r="F55" s="18">
        <v>36.142000000000003</v>
      </c>
      <c r="G55" s="18">
        <v>14.09</v>
      </c>
      <c r="H55" s="18">
        <f t="shared" si="0"/>
        <v>33.407499999999999</v>
      </c>
      <c r="I55" s="5"/>
      <c r="J55" s="17">
        <v>250.5384</v>
      </c>
      <c r="K55" s="18">
        <v>31.695900000000002</v>
      </c>
      <c r="L55" s="18">
        <v>38.9193</v>
      </c>
      <c r="M55" s="18">
        <v>37.031500000000001</v>
      </c>
      <c r="N55" s="18">
        <v>34.497</v>
      </c>
      <c r="O55" s="18">
        <f t="shared" si="1"/>
        <v>33.265775000000005</v>
      </c>
      <c r="P55" s="7"/>
      <c r="Q55" s="10"/>
      <c r="R55" s="11"/>
      <c r="S55" s="11"/>
      <c r="T55" s="26"/>
      <c r="U55" s="28">
        <f t="shared" si="2"/>
        <v>1.44833215046132</v>
      </c>
    </row>
    <row r="56" spans="1:21" ht="16.5" thickBot="1" x14ac:dyDescent="0.3">
      <c r="B56" s="12"/>
      <c r="C56" s="19">
        <v>126.38</v>
      </c>
      <c r="D56" s="20">
        <v>29.265000000000001</v>
      </c>
      <c r="E56" s="20">
        <v>35.718000000000004</v>
      </c>
      <c r="F56" s="20">
        <v>33.747999999999998</v>
      </c>
      <c r="G56" s="20">
        <v>20.12</v>
      </c>
      <c r="H56" s="20">
        <f t="shared" si="0"/>
        <v>30.631999999999998</v>
      </c>
      <c r="I56" s="5"/>
      <c r="J56" s="19">
        <v>120.56480000000001</v>
      </c>
      <c r="K56" s="20">
        <v>28.673999999999999</v>
      </c>
      <c r="L56" s="20">
        <v>37.180700000000002</v>
      </c>
      <c r="M56" s="20">
        <v>34.991599999999998</v>
      </c>
      <c r="N56" s="20">
        <v>50.241199999999999</v>
      </c>
      <c r="O56" s="20">
        <f t="shared" si="1"/>
        <v>30.527037499999999</v>
      </c>
      <c r="P56" s="7"/>
      <c r="Q56" s="13"/>
      <c r="R56" s="14"/>
      <c r="S56" s="14"/>
      <c r="T56" s="27"/>
      <c r="U56" s="28">
        <f t="shared" si="2"/>
        <v>1.4970775347912524</v>
      </c>
    </row>
    <row r="57" spans="1:21" x14ac:dyDescent="0.25">
      <c r="B57" s="6" t="s">
        <v>58</v>
      </c>
      <c r="C57" s="15">
        <v>549.53</v>
      </c>
      <c r="D57" s="16">
        <v>33.679000000000002</v>
      </c>
      <c r="E57" s="16">
        <v>40.389000000000003</v>
      </c>
      <c r="F57" s="16">
        <v>41.2</v>
      </c>
      <c r="G57" s="16">
        <v>13.69</v>
      </c>
      <c r="H57" s="16">
        <f t="shared" si="0"/>
        <v>35.457875000000001</v>
      </c>
      <c r="I57" s="5"/>
      <c r="J57" s="15">
        <v>596.64400000000001</v>
      </c>
      <c r="K57" s="16">
        <v>34.643999999999998</v>
      </c>
      <c r="L57" s="16">
        <v>42.262599999999999</v>
      </c>
      <c r="M57" s="16">
        <v>43.2376</v>
      </c>
      <c r="N57" s="16">
        <v>32.815600000000003</v>
      </c>
      <c r="O57" s="16">
        <f t="shared" si="1"/>
        <v>36.670524999999998</v>
      </c>
      <c r="P57" s="7"/>
      <c r="Q57" s="8">
        <f>bdrate(C57:C60,D57:D60,J57:J60,K57:K60)</f>
        <v>-0.1527039989998108</v>
      </c>
      <c r="R57" s="8">
        <f>bdrate(C57:C60,E57:E60,J57:J60,L57:L60)</f>
        <v>-0.4858537806545512</v>
      </c>
      <c r="S57" s="8">
        <f>bdrate(C57:C60,F57:F60,J57:J60,M57:M60)</f>
        <v>-0.49080968733310626</v>
      </c>
      <c r="T57" s="25">
        <f>bdrate(C57:C60,H57:H60,J57:J60,O57:O60)</f>
        <v>-0.21402872350028002</v>
      </c>
      <c r="U57" s="28">
        <f t="shared" si="2"/>
        <v>1.3970489408327251</v>
      </c>
    </row>
    <row r="58" spans="1:21" x14ac:dyDescent="0.25">
      <c r="B58" s="9"/>
      <c r="C58" s="17">
        <v>362.07</v>
      </c>
      <c r="D58" s="18">
        <v>32.293999999999997</v>
      </c>
      <c r="E58" s="18">
        <v>39.661999999999999</v>
      </c>
      <c r="F58" s="18">
        <v>40.530999999999999</v>
      </c>
      <c r="G58" s="18">
        <v>15.97</v>
      </c>
      <c r="H58" s="18">
        <f t="shared" si="0"/>
        <v>34.244624999999999</v>
      </c>
      <c r="I58" s="5"/>
      <c r="J58" s="17">
        <v>397.42959999999999</v>
      </c>
      <c r="K58" s="18">
        <v>33.235599999999998</v>
      </c>
      <c r="L58" s="18">
        <v>41.387900000000002</v>
      </c>
      <c r="M58" s="18">
        <v>42.327800000000003</v>
      </c>
      <c r="N58" s="18">
        <v>42.357900000000001</v>
      </c>
      <c r="O58" s="18">
        <f t="shared" si="1"/>
        <v>35.3911625</v>
      </c>
      <c r="P58" s="7"/>
      <c r="Q58" s="10"/>
      <c r="R58" s="11"/>
      <c r="S58" s="11"/>
      <c r="T58" s="26"/>
      <c r="U58" s="28">
        <f t="shared" si="2"/>
        <v>1.6523418910457108</v>
      </c>
    </row>
    <row r="59" spans="1:21" x14ac:dyDescent="0.25">
      <c r="B59" s="9"/>
      <c r="C59" s="17">
        <v>224.61</v>
      </c>
      <c r="D59" s="18">
        <v>30.719000000000001</v>
      </c>
      <c r="E59" s="18">
        <v>39.04</v>
      </c>
      <c r="F59" s="18">
        <v>39.798999999999999</v>
      </c>
      <c r="G59" s="18">
        <v>19.05</v>
      </c>
      <c r="H59" s="18">
        <f t="shared" si="0"/>
        <v>32.894125000000003</v>
      </c>
      <c r="I59" s="5"/>
      <c r="J59" s="17">
        <v>248.1592</v>
      </c>
      <c r="K59" s="18">
        <v>31.6159</v>
      </c>
      <c r="L59" s="18">
        <v>40.303800000000003</v>
      </c>
      <c r="M59" s="18">
        <v>41.168199999999999</v>
      </c>
      <c r="N59" s="18">
        <v>57.9206</v>
      </c>
      <c r="O59" s="18">
        <f t="shared" si="1"/>
        <v>33.895924999999998</v>
      </c>
      <c r="P59" s="7"/>
      <c r="Q59" s="10"/>
      <c r="R59" s="11"/>
      <c r="S59" s="11"/>
      <c r="T59" s="26"/>
      <c r="U59" s="28">
        <f t="shared" si="2"/>
        <v>2.0404514435695535</v>
      </c>
    </row>
    <row r="60" spans="1:21" ht="16.5" thickBot="1" x14ac:dyDescent="0.3">
      <c r="B60" s="12"/>
      <c r="C60" s="19">
        <v>102.92</v>
      </c>
      <c r="D60" s="20">
        <v>27.867999999999999</v>
      </c>
      <c r="E60" s="20">
        <v>37.886000000000003</v>
      </c>
      <c r="F60" s="20">
        <v>38.601999999999997</v>
      </c>
      <c r="G60" s="20">
        <v>25.37</v>
      </c>
      <c r="H60" s="20">
        <f t="shared" si="0"/>
        <v>30.462</v>
      </c>
      <c r="I60" s="5"/>
      <c r="J60" s="19">
        <v>118.5744</v>
      </c>
      <c r="K60" s="20">
        <v>28.945599999999999</v>
      </c>
      <c r="L60" s="20">
        <v>38.875500000000002</v>
      </c>
      <c r="M60" s="20">
        <v>39.717700000000001</v>
      </c>
      <c r="N60" s="20">
        <v>96.400999999999996</v>
      </c>
      <c r="O60" s="20">
        <f t="shared" si="1"/>
        <v>31.533350000000002</v>
      </c>
      <c r="P60" s="7"/>
      <c r="Q60" s="13"/>
      <c r="R60" s="14"/>
      <c r="S60" s="14"/>
      <c r="T60" s="27"/>
      <c r="U60" s="28">
        <f t="shared" si="2"/>
        <v>2.799802916830902</v>
      </c>
    </row>
    <row r="61" spans="1:21" x14ac:dyDescent="0.25">
      <c r="B61" s="6" t="s">
        <v>59</v>
      </c>
      <c r="C61" s="29">
        <v>625.64</v>
      </c>
      <c r="D61" s="30">
        <v>33.981999999999999</v>
      </c>
      <c r="E61" s="30">
        <v>37.923000000000002</v>
      </c>
      <c r="F61" s="30">
        <v>38.523000000000003</v>
      </c>
      <c r="G61" s="16">
        <v>10.66</v>
      </c>
      <c r="H61" s="16">
        <f t="shared" si="0"/>
        <v>35.042250000000003</v>
      </c>
      <c r="I61" s="5"/>
      <c r="J61" s="29">
        <v>593.57920000000001</v>
      </c>
      <c r="K61" s="30">
        <v>34.018300000000004</v>
      </c>
      <c r="L61" s="30">
        <v>39.155799999999999</v>
      </c>
      <c r="M61" s="30">
        <v>40.06</v>
      </c>
      <c r="N61" s="16">
        <v>26.466200000000001</v>
      </c>
      <c r="O61" s="16">
        <f t="shared" si="1"/>
        <v>35.415700000000001</v>
      </c>
      <c r="P61" s="7"/>
      <c r="Q61" s="8">
        <f>bdrate(C61:C64,D61:D64,J61:J64,K61:K64)</f>
        <v>-9.5753604743415766E-2</v>
      </c>
      <c r="R61" s="8">
        <f>bdrate(C61:C64,E61:E64,J61:J64,L61:L64)</f>
        <v>-0.423200495072798</v>
      </c>
      <c r="S61" s="8">
        <f>bdrate(C61:C64,F61:F64,J61:J64,M61:M64)</f>
        <v>-0.47932464348313586</v>
      </c>
      <c r="T61" s="25">
        <f>bdrate(C61:C64,H61:H64,J61:J64,O61:O64)</f>
        <v>-0.17418842462049644</v>
      </c>
      <c r="U61" s="28">
        <f t="shared" si="2"/>
        <v>1.4827579737335834</v>
      </c>
    </row>
    <row r="62" spans="1:21" x14ac:dyDescent="0.25">
      <c r="B62" s="9"/>
      <c r="C62" s="31">
        <v>416.63</v>
      </c>
      <c r="D62" s="32">
        <v>32.295999999999999</v>
      </c>
      <c r="E62" s="32">
        <v>36.844999999999999</v>
      </c>
      <c r="F62" s="32">
        <v>37.371000000000002</v>
      </c>
      <c r="G62" s="18">
        <v>12.81</v>
      </c>
      <c r="H62" s="18">
        <f t="shared" si="0"/>
        <v>33.499000000000002</v>
      </c>
      <c r="I62" s="5"/>
      <c r="J62" s="31">
        <v>396.44479999999999</v>
      </c>
      <c r="K62" s="32">
        <v>32.433999999999997</v>
      </c>
      <c r="L62" s="32">
        <v>38.040399999999998</v>
      </c>
      <c r="M62" s="32">
        <v>38.904000000000003</v>
      </c>
      <c r="N62" s="18">
        <v>33.0426</v>
      </c>
      <c r="O62" s="18">
        <f t="shared" si="1"/>
        <v>33.943550000000002</v>
      </c>
      <c r="P62" s="7"/>
      <c r="Q62" s="10"/>
      <c r="R62" s="11"/>
      <c r="S62" s="11"/>
      <c r="T62" s="26"/>
      <c r="U62" s="28">
        <f t="shared" si="2"/>
        <v>1.5794379391100701</v>
      </c>
    </row>
    <row r="63" spans="1:21" x14ac:dyDescent="0.25">
      <c r="B63" s="9"/>
      <c r="C63" s="31">
        <v>259.43</v>
      </c>
      <c r="D63" s="32">
        <v>30.446999999999999</v>
      </c>
      <c r="E63" s="32">
        <v>35.658000000000001</v>
      </c>
      <c r="F63" s="32">
        <v>36.176000000000002</v>
      </c>
      <c r="G63" s="18">
        <v>15.84</v>
      </c>
      <c r="H63" s="18">
        <f t="shared" si="0"/>
        <v>31.814499999999995</v>
      </c>
      <c r="I63" s="5"/>
      <c r="J63" s="31">
        <v>247.1464</v>
      </c>
      <c r="K63" s="32">
        <v>30.671500000000002</v>
      </c>
      <c r="L63" s="32">
        <v>36.85</v>
      </c>
      <c r="M63" s="32">
        <v>37.647599999999997</v>
      </c>
      <c r="N63" s="18">
        <v>41.142099999999999</v>
      </c>
      <c r="O63" s="18">
        <f t="shared" si="1"/>
        <v>32.315824999999997</v>
      </c>
      <c r="P63" s="7"/>
      <c r="Q63" s="10"/>
      <c r="R63" s="11"/>
      <c r="S63" s="11"/>
      <c r="T63" s="26"/>
      <c r="U63" s="28">
        <f t="shared" si="2"/>
        <v>1.597354797979798</v>
      </c>
    </row>
    <row r="64" spans="1:21" ht="16.5" thickBot="1" x14ac:dyDescent="0.3">
      <c r="B64" s="12"/>
      <c r="C64" s="33">
        <v>121.77</v>
      </c>
      <c r="D64" s="34">
        <v>27.748000000000001</v>
      </c>
      <c r="E64" s="34">
        <v>33.966999999999999</v>
      </c>
      <c r="F64" s="34">
        <v>34.399000000000001</v>
      </c>
      <c r="G64" s="20">
        <v>22.12</v>
      </c>
      <c r="H64" s="20">
        <f t="shared" si="0"/>
        <v>29.356749999999998</v>
      </c>
      <c r="I64" s="5"/>
      <c r="J64" s="33">
        <v>118.71599999999999</v>
      </c>
      <c r="K64" s="34">
        <v>28.1081</v>
      </c>
      <c r="L64" s="34">
        <v>35.345300000000002</v>
      </c>
      <c r="M64" s="34">
        <v>36.090699999999998</v>
      </c>
      <c r="N64" s="20">
        <v>61.515700000000002</v>
      </c>
      <c r="O64" s="20">
        <f t="shared" si="1"/>
        <v>30.010574999999999</v>
      </c>
      <c r="P64" s="7"/>
      <c r="Q64" s="13"/>
      <c r="R64" s="14"/>
      <c r="S64" s="14"/>
      <c r="T64" s="27"/>
      <c r="U64" s="28">
        <f t="shared" si="2"/>
        <v>1.7809990958408681</v>
      </c>
    </row>
    <row r="65" spans="1:21" x14ac:dyDescent="0.25">
      <c r="B65" s="6" t="s">
        <v>60</v>
      </c>
      <c r="C65" s="15">
        <v>574.19000000000005</v>
      </c>
      <c r="D65" s="16">
        <v>35.619</v>
      </c>
      <c r="E65" s="16">
        <v>38.481999999999999</v>
      </c>
      <c r="F65" s="16">
        <v>39.701999999999998</v>
      </c>
      <c r="G65" s="16">
        <v>6.78</v>
      </c>
      <c r="H65" s="16">
        <f t="shared" si="0"/>
        <v>36.487250000000003</v>
      </c>
      <c r="I65" s="5"/>
      <c r="J65" s="15">
        <v>588.50080000000003</v>
      </c>
      <c r="K65" s="16">
        <v>35.313499999999998</v>
      </c>
      <c r="L65" s="16">
        <v>39.195399999999999</v>
      </c>
      <c r="M65" s="16">
        <v>40.370199999999997</v>
      </c>
      <c r="N65" s="16">
        <v>14.4809</v>
      </c>
      <c r="O65" s="16">
        <f t="shared" si="1"/>
        <v>36.430824999999999</v>
      </c>
      <c r="P65" s="7"/>
      <c r="Q65" s="8">
        <f>bdrate(C65:C68,D65:D68,J65:J68,K65:K68)</f>
        <v>0.12130359197659879</v>
      </c>
      <c r="R65" s="8">
        <f>bdrate(C65:C68,E65:E68,J65:J68,L65:L68)</f>
        <v>-0.24542005568217551</v>
      </c>
      <c r="S65" s="8">
        <f>bdrate(C65:C68,F65:F68,J65:J68,M65:M68)</f>
        <v>-0.24546876355209335</v>
      </c>
      <c r="T65" s="25">
        <f>bdrate(C65:C68,H65:H68,J65:J68,O65:O68)</f>
        <v>4.2186727451107631E-2</v>
      </c>
      <c r="U65" s="28">
        <f t="shared" si="2"/>
        <v>1.1358259587020649</v>
      </c>
    </row>
    <row r="66" spans="1:21" x14ac:dyDescent="0.25">
      <c r="B66" s="9"/>
      <c r="C66" s="17">
        <v>385.42</v>
      </c>
      <c r="D66" s="18">
        <v>33.698999999999998</v>
      </c>
      <c r="E66" s="18">
        <v>37.203000000000003</v>
      </c>
      <c r="F66" s="18">
        <v>38.435000000000002</v>
      </c>
      <c r="G66" s="18">
        <v>8.19</v>
      </c>
      <c r="H66" s="18">
        <f t="shared" si="0"/>
        <v>34.728999999999999</v>
      </c>
      <c r="I66" s="5"/>
      <c r="J66" s="17">
        <v>392.9864</v>
      </c>
      <c r="K66" s="18">
        <v>33.302900000000001</v>
      </c>
      <c r="L66" s="18">
        <v>37.956699999999998</v>
      </c>
      <c r="M66" s="18">
        <v>39.154899999999998</v>
      </c>
      <c r="N66" s="18">
        <v>17.822099999999999</v>
      </c>
      <c r="O66" s="18">
        <f t="shared" si="1"/>
        <v>34.616125000000004</v>
      </c>
      <c r="P66" s="7"/>
      <c r="Q66" s="10"/>
      <c r="R66" s="11"/>
      <c r="S66" s="11"/>
      <c r="T66" s="26"/>
      <c r="U66" s="28">
        <f t="shared" si="2"/>
        <v>1.1760805860805861</v>
      </c>
    </row>
    <row r="67" spans="1:21" x14ac:dyDescent="0.25">
      <c r="B67" s="9"/>
      <c r="C67" s="17">
        <v>241.99</v>
      </c>
      <c r="D67" s="18">
        <v>31.673999999999999</v>
      </c>
      <c r="E67" s="18">
        <v>35.878999999999998</v>
      </c>
      <c r="F67" s="18">
        <v>37.018000000000001</v>
      </c>
      <c r="G67" s="18">
        <v>10.33</v>
      </c>
      <c r="H67" s="18">
        <f t="shared" si="0"/>
        <v>32.867624999999997</v>
      </c>
      <c r="I67" s="5"/>
      <c r="J67" s="17">
        <v>243.72479999999999</v>
      </c>
      <c r="K67" s="18">
        <v>31.2058</v>
      </c>
      <c r="L67" s="18">
        <v>36.648000000000003</v>
      </c>
      <c r="M67" s="18">
        <v>37.8444</v>
      </c>
      <c r="N67" s="18">
        <v>22.4131</v>
      </c>
      <c r="O67" s="18">
        <f t="shared" si="1"/>
        <v>32.715899999999998</v>
      </c>
      <c r="P67" s="7"/>
      <c r="Q67" s="10"/>
      <c r="R67" s="11"/>
      <c r="S67" s="11"/>
      <c r="T67" s="26"/>
      <c r="U67" s="28">
        <f t="shared" si="2"/>
        <v>1.1697095837366893</v>
      </c>
    </row>
    <row r="68" spans="1:21" ht="16.5" thickBot="1" x14ac:dyDescent="0.3">
      <c r="B68" s="12"/>
      <c r="C68" s="19">
        <v>116</v>
      </c>
      <c r="D68" s="20">
        <v>28.88</v>
      </c>
      <c r="E68" s="20">
        <v>33.9</v>
      </c>
      <c r="F68" s="20">
        <v>34.911999999999999</v>
      </c>
      <c r="G68" s="20">
        <v>14.64</v>
      </c>
      <c r="H68" s="20">
        <f t="shared" si="0"/>
        <v>30.261500000000002</v>
      </c>
      <c r="I68" s="5"/>
      <c r="J68" s="19">
        <v>117.41679999999999</v>
      </c>
      <c r="K68" s="20">
        <v>28.444199999999999</v>
      </c>
      <c r="L68" s="20">
        <v>35.081800000000001</v>
      </c>
      <c r="M68" s="20">
        <v>36.211100000000002</v>
      </c>
      <c r="N68" s="20">
        <v>32.985199999999999</v>
      </c>
      <c r="O68" s="20">
        <f t="shared" si="1"/>
        <v>30.2447625</v>
      </c>
      <c r="P68" s="7"/>
      <c r="Q68" s="13"/>
      <c r="R68" s="14"/>
      <c r="S68" s="14"/>
      <c r="T68" s="27"/>
      <c r="U68" s="28">
        <f t="shared" si="2"/>
        <v>1.2530874316939888</v>
      </c>
    </row>
    <row r="69" spans="1:21" x14ac:dyDescent="0.25">
      <c r="A69" s="6" t="s">
        <v>43</v>
      </c>
      <c r="B69" s="6" t="s">
        <v>61</v>
      </c>
      <c r="C69" s="15">
        <v>1379.56</v>
      </c>
      <c r="D69" s="16">
        <v>41.533000000000001</v>
      </c>
      <c r="E69" s="16">
        <v>45.584000000000003</v>
      </c>
      <c r="F69" s="16">
        <v>46.872999999999998</v>
      </c>
      <c r="G69" s="16">
        <v>6.01</v>
      </c>
      <c r="H69" s="16">
        <f t="shared" si="0"/>
        <v>42.706875000000004</v>
      </c>
      <c r="I69" s="5"/>
      <c r="J69" s="15">
        <v>1503.8055999999999</v>
      </c>
      <c r="K69" s="16">
        <v>42.113900000000001</v>
      </c>
      <c r="L69" s="16">
        <v>46.678100000000001</v>
      </c>
      <c r="M69" s="16">
        <v>47.959099999999999</v>
      </c>
      <c r="N69" s="16">
        <v>7.7229999999999999</v>
      </c>
      <c r="O69" s="16">
        <f t="shared" si="1"/>
        <v>43.415074999999995</v>
      </c>
      <c r="P69" s="7"/>
      <c r="Q69" s="8">
        <f>bdrate(C69:C72,D69:D72,J69:J72,K69:K72)</f>
        <v>-3.5812676180385528E-2</v>
      </c>
      <c r="R69" s="8">
        <f>bdrate(C69:C72,E69:E72,J69:J72,L69:L72)</f>
        <v>-0.29290294186643773</v>
      </c>
      <c r="S69" s="8">
        <f>bdrate(C69:C72,F69:F72,J69:J72,M69:M72)</f>
        <v>-0.25635584900754138</v>
      </c>
      <c r="T69" s="25">
        <f>bdrate(C69:C72,H69:H72,J69:J72,O69:O72)</f>
        <v>-8.3577657521129556E-2</v>
      </c>
      <c r="U69" s="28">
        <f t="shared" si="2"/>
        <v>0.28502495840266223</v>
      </c>
    </row>
    <row r="70" spans="1:21" x14ac:dyDescent="0.25">
      <c r="A70" s="9" t="s">
        <v>44</v>
      </c>
      <c r="B70" s="9"/>
      <c r="C70" s="17">
        <v>908.64</v>
      </c>
      <c r="D70" s="18">
        <v>40.502000000000002</v>
      </c>
      <c r="E70" s="18">
        <v>44.579000000000001</v>
      </c>
      <c r="F70" s="18">
        <v>45.929000000000002</v>
      </c>
      <c r="G70" s="18">
        <v>6.65</v>
      </c>
      <c r="H70" s="18">
        <f t="shared" si="0"/>
        <v>41.69</v>
      </c>
      <c r="I70" s="5"/>
      <c r="J70" s="17">
        <v>995.2296</v>
      </c>
      <c r="K70" s="18">
        <v>41.1372</v>
      </c>
      <c r="L70" s="18">
        <v>45.842300000000002</v>
      </c>
      <c r="M70" s="18">
        <v>47.064599999999999</v>
      </c>
      <c r="N70" s="18">
        <v>9.9475999999999996</v>
      </c>
      <c r="O70" s="18">
        <f t="shared" si="1"/>
        <v>42.466262499999999</v>
      </c>
      <c r="P70" s="7"/>
      <c r="Q70" s="10"/>
      <c r="R70" s="11"/>
      <c r="S70" s="11"/>
      <c r="T70" s="26"/>
      <c r="U70" s="28">
        <f t="shared" si="2"/>
        <v>0.49587969924812014</v>
      </c>
    </row>
    <row r="71" spans="1:21" x14ac:dyDescent="0.25">
      <c r="B71" s="9"/>
      <c r="C71" s="17">
        <v>539.79999999999995</v>
      </c>
      <c r="D71" s="18">
        <v>38.874000000000002</v>
      </c>
      <c r="E71" s="18">
        <v>43.283000000000001</v>
      </c>
      <c r="F71" s="18">
        <v>44.567</v>
      </c>
      <c r="G71" s="18">
        <v>7.68</v>
      </c>
      <c r="H71" s="18">
        <f t="shared" si="0"/>
        <v>40.136750000000006</v>
      </c>
      <c r="I71" s="5"/>
      <c r="J71" s="17">
        <v>589.45920000000001</v>
      </c>
      <c r="K71" s="18">
        <v>39.386099999999999</v>
      </c>
      <c r="L71" s="18">
        <v>44.441200000000002</v>
      </c>
      <c r="M71" s="18">
        <v>45.628500000000003</v>
      </c>
      <c r="N71" s="18">
        <v>13.6243</v>
      </c>
      <c r="O71" s="18">
        <f t="shared" si="1"/>
        <v>40.798287500000001</v>
      </c>
      <c r="P71" s="7"/>
      <c r="Q71" s="10"/>
      <c r="R71" s="11"/>
      <c r="S71" s="11"/>
      <c r="T71" s="26"/>
      <c r="U71" s="28">
        <f t="shared" si="2"/>
        <v>0.77399739583333338</v>
      </c>
    </row>
    <row r="72" spans="1:21" ht="16.5" thickBot="1" x14ac:dyDescent="0.3">
      <c r="B72" s="12"/>
      <c r="C72" s="19">
        <v>260.10000000000002</v>
      </c>
      <c r="D72" s="20">
        <v>36.417000000000002</v>
      </c>
      <c r="E72" s="20">
        <v>41.912999999999997</v>
      </c>
      <c r="F72" s="20">
        <v>43.05</v>
      </c>
      <c r="G72" s="20">
        <v>9.52</v>
      </c>
      <c r="H72" s="20">
        <f t="shared" si="0"/>
        <v>37.933125000000004</v>
      </c>
      <c r="I72" s="5"/>
      <c r="J72" s="19">
        <v>289.69760000000002</v>
      </c>
      <c r="K72" s="20">
        <v>36.228700000000003</v>
      </c>
      <c r="L72" s="20">
        <v>42.3964</v>
      </c>
      <c r="M72" s="20">
        <v>43.536999999999999</v>
      </c>
      <c r="N72" s="20">
        <v>20.992999999999999</v>
      </c>
      <c r="O72" s="20">
        <f t="shared" si="1"/>
        <v>37.913199999999996</v>
      </c>
      <c r="P72" s="7"/>
      <c r="Q72" s="13"/>
      <c r="R72" s="14"/>
      <c r="S72" s="14"/>
      <c r="T72" s="27"/>
      <c r="U72" s="28">
        <f t="shared" si="2"/>
        <v>1.2051470588235293</v>
      </c>
    </row>
    <row r="73" spans="1:21" x14ac:dyDescent="0.25">
      <c r="B73" s="6" t="s">
        <v>62</v>
      </c>
      <c r="C73" s="15">
        <v>1421.17</v>
      </c>
      <c r="D73" s="16">
        <v>42.753999999999998</v>
      </c>
      <c r="E73" s="16">
        <v>47.804000000000002</v>
      </c>
      <c r="F73" s="16">
        <v>48.451999999999998</v>
      </c>
      <c r="G73" s="16">
        <v>6.13</v>
      </c>
      <c r="H73" s="16">
        <f t="shared" si="0"/>
        <v>44.097499999999997</v>
      </c>
      <c r="I73" s="5"/>
      <c r="J73" s="15">
        <v>1506.76</v>
      </c>
      <c r="K73" s="16">
        <v>43.055199999999999</v>
      </c>
      <c r="L73" s="16">
        <v>48.497100000000003</v>
      </c>
      <c r="M73" s="16">
        <v>49.2209</v>
      </c>
      <c r="N73" s="16">
        <v>8.8721999999999994</v>
      </c>
      <c r="O73" s="16">
        <f t="shared" si="1"/>
        <v>44.506149999999991</v>
      </c>
      <c r="P73" s="7"/>
      <c r="Q73" s="8">
        <f>bdrate(C73:C76,D73:D76,J73:J76,K73:K76)</f>
        <v>-0.12178735034508403</v>
      </c>
      <c r="R73" s="8">
        <f>bdrate(C73:C76,E73:E76,J73:J76,L73:L76)</f>
        <v>-0.40528650199466465</v>
      </c>
      <c r="S73" s="8">
        <f>bdrate(C73:C76,F73:F76,J73:J76,M73:M76)</f>
        <v>-0.38902219660085768</v>
      </c>
      <c r="T73" s="25">
        <f>bdrate(C73:C76,H73:H76,J73:J76,O73:O76)</f>
        <v>-0.20280932638238469</v>
      </c>
      <c r="U73" s="28">
        <f t="shared" ref="U73:U91" si="3">(N73-G73)/G73</f>
        <v>0.44734094616639469</v>
      </c>
    </row>
    <row r="74" spans="1:21" x14ac:dyDescent="0.25">
      <c r="B74" s="9"/>
      <c r="C74" s="17">
        <v>937.02</v>
      </c>
      <c r="D74" s="18">
        <v>42.3</v>
      </c>
      <c r="E74" s="18">
        <v>47.155999999999999</v>
      </c>
      <c r="F74" s="18">
        <v>47.856000000000002</v>
      </c>
      <c r="G74" s="18">
        <v>6.83</v>
      </c>
      <c r="H74" s="18">
        <f t="shared" si="0"/>
        <v>43.601499999999994</v>
      </c>
      <c r="I74" s="5"/>
      <c r="J74" s="17">
        <v>996.56079999999997</v>
      </c>
      <c r="K74" s="18">
        <v>42.637900000000002</v>
      </c>
      <c r="L74" s="18">
        <v>48.125100000000003</v>
      </c>
      <c r="M74" s="18">
        <v>48.822699999999998</v>
      </c>
      <c r="N74" s="18">
        <v>11.116099999999999</v>
      </c>
      <c r="O74" s="18">
        <f t="shared" si="1"/>
        <v>44.096899999999998</v>
      </c>
      <c r="P74" s="7"/>
      <c r="Q74" s="10"/>
      <c r="R74" s="11"/>
      <c r="S74" s="11"/>
      <c r="T74" s="26"/>
      <c r="U74" s="28">
        <f t="shared" si="3"/>
        <v>0.6275402635431917</v>
      </c>
    </row>
    <row r="75" spans="1:21" x14ac:dyDescent="0.25">
      <c r="B75" s="9"/>
      <c r="C75" s="17">
        <v>551.14</v>
      </c>
      <c r="D75" s="18">
        <v>41.542999999999999</v>
      </c>
      <c r="E75" s="18">
        <v>46.317999999999998</v>
      </c>
      <c r="F75" s="18">
        <v>46.972000000000001</v>
      </c>
      <c r="G75" s="18">
        <v>7.64</v>
      </c>
      <c r="H75" s="18">
        <f t="shared" si="0"/>
        <v>42.818499999999993</v>
      </c>
      <c r="I75" s="5"/>
      <c r="J75" s="17">
        <v>577.11680000000001</v>
      </c>
      <c r="K75" s="18">
        <v>41.8827</v>
      </c>
      <c r="L75" s="18">
        <v>47.3842</v>
      </c>
      <c r="M75" s="18">
        <v>48.054200000000002</v>
      </c>
      <c r="N75" s="18">
        <v>15.2979</v>
      </c>
      <c r="O75" s="18">
        <f t="shared" si="1"/>
        <v>43.341825</v>
      </c>
      <c r="P75" s="7"/>
      <c r="Q75" s="10"/>
      <c r="R75" s="11"/>
      <c r="S75" s="11"/>
      <c r="T75" s="26"/>
      <c r="U75" s="28">
        <f t="shared" si="3"/>
        <v>1.0023429319371728</v>
      </c>
    </row>
    <row r="76" spans="1:21" ht="16.5" thickBot="1" x14ac:dyDescent="0.3">
      <c r="B76" s="12"/>
      <c r="C76" s="19">
        <v>263.94</v>
      </c>
      <c r="D76" s="20">
        <v>39.993000000000002</v>
      </c>
      <c r="E76" s="20">
        <v>44.951999999999998</v>
      </c>
      <c r="F76" s="20">
        <v>45.390999999999998</v>
      </c>
      <c r="G76" s="20">
        <v>8.84</v>
      </c>
      <c r="H76" s="20">
        <f t="shared" si="0"/>
        <v>41.287625000000006</v>
      </c>
      <c r="I76" s="5"/>
      <c r="J76" s="19">
        <v>275.27199999999999</v>
      </c>
      <c r="K76" s="20">
        <v>40.0959</v>
      </c>
      <c r="L76" s="20">
        <v>45.586300000000001</v>
      </c>
      <c r="M76" s="20">
        <v>46.101700000000001</v>
      </c>
      <c r="N76" s="20">
        <v>24.0077</v>
      </c>
      <c r="O76" s="20">
        <f t="shared" si="1"/>
        <v>41.532924999999999</v>
      </c>
      <c r="P76" s="7"/>
      <c r="Q76" s="13"/>
      <c r="R76" s="14"/>
      <c r="S76" s="14"/>
      <c r="T76" s="27"/>
      <c r="U76" s="28">
        <f t="shared" si="3"/>
        <v>1.7158031674208145</v>
      </c>
    </row>
    <row r="77" spans="1:21" x14ac:dyDescent="0.25">
      <c r="B77" s="6" t="s">
        <v>63</v>
      </c>
      <c r="C77" s="15">
        <v>1485.4</v>
      </c>
      <c r="D77" s="16">
        <v>42.67</v>
      </c>
      <c r="E77" s="16">
        <v>46.951000000000001</v>
      </c>
      <c r="F77" s="16">
        <v>47.863</v>
      </c>
      <c r="G77" s="16">
        <v>5.41</v>
      </c>
      <c r="H77" s="16">
        <f t="shared" si="0"/>
        <v>43.85425</v>
      </c>
      <c r="I77" s="5"/>
      <c r="J77" s="15">
        <v>1542.9903999999999</v>
      </c>
      <c r="K77" s="16">
        <v>43.010399999999997</v>
      </c>
      <c r="L77" s="16">
        <v>47.687899999999999</v>
      </c>
      <c r="M77" s="16">
        <v>48.612499999999997</v>
      </c>
      <c r="N77" s="16">
        <v>7.9236000000000004</v>
      </c>
      <c r="O77" s="16">
        <f t="shared" si="1"/>
        <v>44.295349999999999</v>
      </c>
      <c r="P77" s="7"/>
      <c r="Q77" s="8">
        <f>bdrate(C77:C80,D77:D80,J77:J80,K77:K80)</f>
        <v>-7.1332330557880685E-2</v>
      </c>
      <c r="R77" s="8">
        <f>bdrate(C77:C80,E77:E80,J77:J80,L77:L80)</f>
        <v>-0.29679498562954687</v>
      </c>
      <c r="S77" s="8">
        <f>bdrate(C77:C80,F77:F80,J77:J80,M77:M80)</f>
        <v>-0.30288954073620744</v>
      </c>
      <c r="T77" s="25">
        <f>bdrate(C77:C80,H77:H80,J77:J80,O77:O80)</f>
        <v>-0.12735781130541513</v>
      </c>
      <c r="U77" s="28">
        <f t="shared" si="3"/>
        <v>0.46462107208872461</v>
      </c>
    </row>
    <row r="78" spans="1:21" x14ac:dyDescent="0.25">
      <c r="B78" s="9"/>
      <c r="C78" s="17">
        <v>985.58</v>
      </c>
      <c r="D78" s="18">
        <v>41.962000000000003</v>
      </c>
      <c r="E78" s="18">
        <v>46.237000000000002</v>
      </c>
      <c r="F78" s="18">
        <v>47.091000000000001</v>
      </c>
      <c r="G78" s="18">
        <v>6.06</v>
      </c>
      <c r="H78" s="18">
        <f t="shared" si="0"/>
        <v>43.137500000000003</v>
      </c>
      <c r="I78" s="5"/>
      <c r="J78" s="17">
        <v>1024.3896</v>
      </c>
      <c r="K78" s="18">
        <v>42.331699999999998</v>
      </c>
      <c r="L78" s="18">
        <v>47.112000000000002</v>
      </c>
      <c r="M78" s="18">
        <v>48.020200000000003</v>
      </c>
      <c r="N78" s="18">
        <v>9.9580000000000002</v>
      </c>
      <c r="O78" s="18">
        <f t="shared" si="1"/>
        <v>43.640299999999996</v>
      </c>
      <c r="P78" s="7"/>
      <c r="Q78" s="10"/>
      <c r="R78" s="11"/>
      <c r="S78" s="11"/>
      <c r="T78" s="26"/>
      <c r="U78" s="28">
        <f t="shared" si="3"/>
        <v>0.64323432343234332</v>
      </c>
    </row>
    <row r="79" spans="1:21" x14ac:dyDescent="0.25">
      <c r="B79" s="9"/>
      <c r="C79" s="17">
        <v>588.28</v>
      </c>
      <c r="D79" s="18">
        <v>40.761000000000003</v>
      </c>
      <c r="E79" s="18">
        <v>45.051000000000002</v>
      </c>
      <c r="F79" s="18">
        <v>45.914999999999999</v>
      </c>
      <c r="G79" s="18">
        <v>6.93</v>
      </c>
      <c r="H79" s="18">
        <f t="shared" si="0"/>
        <v>41.941500000000005</v>
      </c>
      <c r="I79" s="5"/>
      <c r="J79" s="17">
        <v>600.98400000000004</v>
      </c>
      <c r="K79" s="18">
        <v>41.052199999999999</v>
      </c>
      <c r="L79" s="18">
        <v>45.918199999999999</v>
      </c>
      <c r="M79" s="18">
        <v>46.799799999999998</v>
      </c>
      <c r="N79" s="18">
        <v>13.6144</v>
      </c>
      <c r="O79" s="18">
        <f t="shared" si="1"/>
        <v>42.378900000000002</v>
      </c>
      <c r="P79" s="7"/>
      <c r="Q79" s="10"/>
      <c r="R79" s="11"/>
      <c r="S79" s="11"/>
      <c r="T79" s="26"/>
      <c r="U79" s="28">
        <f t="shared" si="3"/>
        <v>0.96455988455988462</v>
      </c>
    </row>
    <row r="80" spans="1:21" ht="16.5" thickBot="1" x14ac:dyDescent="0.3">
      <c r="B80" s="12"/>
      <c r="C80" s="19">
        <v>286.32</v>
      </c>
      <c r="D80" s="20">
        <v>38.69</v>
      </c>
      <c r="E80" s="20">
        <v>43.456000000000003</v>
      </c>
      <c r="F80" s="20">
        <v>44.204999999999998</v>
      </c>
      <c r="G80" s="20">
        <v>8.24</v>
      </c>
      <c r="H80" s="20">
        <f t="shared" si="0"/>
        <v>39.975124999999998</v>
      </c>
      <c r="I80" s="5"/>
      <c r="J80" s="19">
        <v>293.536</v>
      </c>
      <c r="K80" s="20">
        <v>38.618200000000002</v>
      </c>
      <c r="L80" s="20">
        <v>44.138100000000001</v>
      </c>
      <c r="M80" s="20">
        <v>44.995699999999999</v>
      </c>
      <c r="N80" s="20">
        <v>21.631</v>
      </c>
      <c r="O80" s="20">
        <f t="shared" si="1"/>
        <v>40.105375000000002</v>
      </c>
      <c r="P80" s="7"/>
      <c r="Q80" s="13"/>
      <c r="R80" s="14"/>
      <c r="S80" s="14"/>
      <c r="T80" s="27"/>
      <c r="U80" s="28">
        <f t="shared" si="3"/>
        <v>1.6251213592233009</v>
      </c>
    </row>
    <row r="81" spans="1:21" x14ac:dyDescent="0.25">
      <c r="A81" s="6" t="s">
        <v>102</v>
      </c>
      <c r="B81" s="6" t="s">
        <v>103</v>
      </c>
      <c r="C81" s="29">
        <v>1290.8499999999999</v>
      </c>
      <c r="D81" s="30">
        <v>46.024999999999999</v>
      </c>
      <c r="E81" s="30">
        <v>51.088000000000001</v>
      </c>
      <c r="F81" s="30">
        <v>51.978999999999999</v>
      </c>
      <c r="G81" s="16">
        <v>3.39</v>
      </c>
      <c r="H81" s="16">
        <f t="shared" ref="H81:H91" si="4">(6*D81+E81+F81)/8</f>
        <v>47.402124999999998</v>
      </c>
      <c r="I81" s="5"/>
      <c r="J81" s="15">
        <v>1228.7022999999999</v>
      </c>
      <c r="K81" s="16">
        <v>45.713900000000002</v>
      </c>
      <c r="L81" s="16">
        <v>51.793900000000001</v>
      </c>
      <c r="M81" s="16">
        <v>52.390099999999997</v>
      </c>
      <c r="N81" s="16">
        <v>4.4560000000000004</v>
      </c>
      <c r="O81" s="16">
        <f t="shared" ref="O81:O91" si="5">(6*K81+L81+M81)/8</f>
        <v>47.308425000000007</v>
      </c>
      <c r="P81" s="7"/>
      <c r="Q81" s="8">
        <f>bdrate(C81:C84,D81:D84,J81:J84,K81:K84)</f>
        <v>-9.43912217615821E-2</v>
      </c>
      <c r="R81" s="8">
        <f>bdrate(C81:C84,E81:E84,J81:J84,L81:L84)</f>
        <v>-0.31567628378409474</v>
      </c>
      <c r="S81" s="8">
        <f>bdrate(C81:C84,F81:F84,J81:J84,M81:M84)</f>
        <v>-0.30199050758429058</v>
      </c>
      <c r="T81" s="25">
        <f>bdrate(C81:C84,H81:H84,J81:J84,O81:O84)</f>
        <v>-0.14242746113784799</v>
      </c>
      <c r="U81" s="28">
        <f t="shared" si="3"/>
        <v>0.31445427728613579</v>
      </c>
    </row>
    <row r="82" spans="1:21" x14ac:dyDescent="0.25">
      <c r="A82" s="9" t="s">
        <v>78</v>
      </c>
      <c r="B82" s="9"/>
      <c r="C82" s="31">
        <v>861.21</v>
      </c>
      <c r="D82" s="32">
        <v>43.793999999999997</v>
      </c>
      <c r="E82" s="32">
        <v>49.225999999999999</v>
      </c>
      <c r="F82" s="32">
        <v>50.13</v>
      </c>
      <c r="G82" s="18">
        <v>3.96</v>
      </c>
      <c r="H82" s="18">
        <f t="shared" si="4"/>
        <v>45.265000000000001</v>
      </c>
      <c r="I82" s="5"/>
      <c r="J82" s="17">
        <v>828.15729999999996</v>
      </c>
      <c r="K82" s="18">
        <v>44.011000000000003</v>
      </c>
      <c r="L82" s="18">
        <v>50.5809</v>
      </c>
      <c r="M82" s="18">
        <v>51.166800000000002</v>
      </c>
      <c r="N82" s="18">
        <v>5.4252000000000002</v>
      </c>
      <c r="O82" s="18">
        <f t="shared" si="5"/>
        <v>45.726712500000005</v>
      </c>
      <c r="P82" s="7"/>
      <c r="Q82" s="10"/>
      <c r="R82" s="11"/>
      <c r="S82" s="11"/>
      <c r="T82" s="26"/>
      <c r="U82" s="28">
        <f t="shared" si="3"/>
        <v>0.37000000000000005</v>
      </c>
    </row>
    <row r="83" spans="1:21" x14ac:dyDescent="0.25">
      <c r="B83" s="9"/>
      <c r="C83" s="31">
        <v>520.13</v>
      </c>
      <c r="D83" s="32">
        <v>41.021999999999998</v>
      </c>
      <c r="E83" s="32">
        <v>46.976999999999997</v>
      </c>
      <c r="F83" s="32">
        <v>48.177999999999997</v>
      </c>
      <c r="G83" s="18">
        <v>4.82</v>
      </c>
      <c r="H83" s="18">
        <f t="shared" si="4"/>
        <v>42.660874999999997</v>
      </c>
      <c r="I83" s="5"/>
      <c r="J83" s="17">
        <v>504.45240000000001</v>
      </c>
      <c r="K83" s="18">
        <v>41.5092</v>
      </c>
      <c r="L83" s="18">
        <v>48.548900000000003</v>
      </c>
      <c r="M83" s="18">
        <v>49.550600000000003</v>
      </c>
      <c r="N83" s="18">
        <v>7.0355999999999996</v>
      </c>
      <c r="O83" s="18">
        <f t="shared" si="5"/>
        <v>43.394337500000006</v>
      </c>
      <c r="P83" s="7"/>
      <c r="Q83" s="10"/>
      <c r="R83" s="11"/>
      <c r="S83" s="11"/>
      <c r="T83" s="26"/>
      <c r="U83" s="28">
        <f t="shared" si="3"/>
        <v>0.45966804979253095</v>
      </c>
    </row>
    <row r="84" spans="1:21" ht="16.5" thickBot="1" x14ac:dyDescent="0.3">
      <c r="B84" s="12"/>
      <c r="C84" s="33">
        <v>261.95</v>
      </c>
      <c r="D84" s="34">
        <v>37.505000000000003</v>
      </c>
      <c r="E84" s="34">
        <v>43.82</v>
      </c>
      <c r="F84" s="34">
        <v>45.170999999999999</v>
      </c>
      <c r="G84" s="20">
        <v>6.36</v>
      </c>
      <c r="H84" s="20">
        <f t="shared" si="4"/>
        <v>39.252625000000002</v>
      </c>
      <c r="I84" s="5"/>
      <c r="J84" s="19">
        <v>257.93729999999999</v>
      </c>
      <c r="K84" s="20">
        <v>37.988599999999998</v>
      </c>
      <c r="L84" s="20">
        <v>45.655700000000003</v>
      </c>
      <c r="M84" s="20">
        <v>47.074199999999998</v>
      </c>
      <c r="N84" s="20">
        <v>10.5847</v>
      </c>
      <c r="O84" s="20">
        <f t="shared" si="5"/>
        <v>40.082687500000006</v>
      </c>
      <c r="P84" s="7"/>
      <c r="Q84" s="13"/>
      <c r="R84" s="14"/>
      <c r="S84" s="14"/>
      <c r="T84" s="27"/>
      <c r="U84" s="28">
        <f t="shared" si="3"/>
        <v>0.66426100628930806</v>
      </c>
    </row>
    <row r="85" spans="1:21" x14ac:dyDescent="0.25">
      <c r="B85" s="6" t="s">
        <v>104</v>
      </c>
      <c r="C85" s="15">
        <v>1475.11</v>
      </c>
      <c r="D85" s="16">
        <v>54.832999999999998</v>
      </c>
      <c r="E85" s="16">
        <v>55.377000000000002</v>
      </c>
      <c r="F85" s="16">
        <v>55.756</v>
      </c>
      <c r="G85" s="16">
        <v>6.72</v>
      </c>
      <c r="H85" s="16">
        <f t="shared" si="4"/>
        <v>55.016374999999996</v>
      </c>
      <c r="I85" s="5"/>
      <c r="J85" s="15">
        <v>1400.2001</v>
      </c>
      <c r="K85" s="16">
        <v>53.811799999999998</v>
      </c>
      <c r="L85" s="16">
        <v>54.6205</v>
      </c>
      <c r="M85" s="16">
        <v>55.241100000000003</v>
      </c>
      <c r="N85" s="16">
        <v>11.867900000000001</v>
      </c>
      <c r="O85" s="16">
        <f t="shared" si="5"/>
        <v>54.091549999999998</v>
      </c>
      <c r="P85" s="7"/>
      <c r="Q85" s="8">
        <f>bdrate(C85:C88,D85:D88,J85:J88,K85:K88)</f>
        <v>3.1073718694432095E-2</v>
      </c>
      <c r="R85" s="8">
        <f>bdrate(C85:C88,E85:E88,J85:J88,L85:L88)</f>
        <v>-4.6598476117294618E-2</v>
      </c>
      <c r="S85" s="8">
        <f>bdrate(C85:C88,F85:F88,J85:J88,M85:M88)</f>
        <v>-4.7389332791426986E-2</v>
      </c>
      <c r="T85" s="25">
        <f>bdrate(C85:C88,H85:H88,J85:J88,O85:O88)</f>
        <v>1.2595048113638985E-2</v>
      </c>
      <c r="U85" s="28">
        <f t="shared" si="3"/>
        <v>0.76605654761904773</v>
      </c>
    </row>
    <row r="86" spans="1:21" x14ac:dyDescent="0.25">
      <c r="B86" s="9"/>
      <c r="C86" s="17">
        <v>972.77</v>
      </c>
      <c r="D86" s="18">
        <v>52.176000000000002</v>
      </c>
      <c r="E86" s="18">
        <v>52.881</v>
      </c>
      <c r="F86" s="18">
        <v>53.381</v>
      </c>
      <c r="G86" s="18">
        <v>7.71</v>
      </c>
      <c r="H86" s="18">
        <f t="shared" si="4"/>
        <v>52.414749999999998</v>
      </c>
      <c r="I86" s="5"/>
      <c r="J86" s="17">
        <v>966.50519999999995</v>
      </c>
      <c r="K86" s="18">
        <v>51.916499999999999</v>
      </c>
      <c r="L86" s="18">
        <v>52.958599999999997</v>
      </c>
      <c r="M86" s="18">
        <v>53.519199999999998</v>
      </c>
      <c r="N86" s="18">
        <v>13.5725</v>
      </c>
      <c r="O86" s="18">
        <f t="shared" si="5"/>
        <v>52.247100000000003</v>
      </c>
      <c r="P86" s="7"/>
      <c r="Q86" s="10"/>
      <c r="R86" s="11"/>
      <c r="S86" s="11"/>
      <c r="T86" s="26"/>
      <c r="U86" s="28">
        <f t="shared" si="3"/>
        <v>0.76037613488975353</v>
      </c>
    </row>
    <row r="87" spans="1:21" x14ac:dyDescent="0.25">
      <c r="B87" s="9"/>
      <c r="C87" s="17">
        <v>581.21</v>
      </c>
      <c r="D87" s="18">
        <v>49.09</v>
      </c>
      <c r="E87" s="18">
        <v>50.054000000000002</v>
      </c>
      <c r="F87" s="18">
        <v>50.63</v>
      </c>
      <c r="G87" s="18">
        <v>9.14</v>
      </c>
      <c r="H87" s="18">
        <f t="shared" si="4"/>
        <v>49.403000000000006</v>
      </c>
      <c r="I87" s="5"/>
      <c r="J87" s="17">
        <v>601.02639999999997</v>
      </c>
      <c r="K87" s="18">
        <v>49.275700000000001</v>
      </c>
      <c r="L87" s="18">
        <v>50.653700000000001</v>
      </c>
      <c r="M87" s="18">
        <v>51.206499999999998</v>
      </c>
      <c r="N87" s="18">
        <v>16.420100000000001</v>
      </c>
      <c r="O87" s="18">
        <f t="shared" si="5"/>
        <v>49.689300000000003</v>
      </c>
      <c r="P87" s="7"/>
      <c r="Q87" s="10"/>
      <c r="R87" s="11"/>
      <c r="S87" s="11"/>
      <c r="T87" s="26"/>
      <c r="U87" s="28">
        <f t="shared" si="3"/>
        <v>0.79650984682713355</v>
      </c>
    </row>
    <row r="88" spans="1:21" ht="16.5" thickBot="1" x14ac:dyDescent="0.3">
      <c r="B88" s="12"/>
      <c r="C88" s="19">
        <v>291.04000000000002</v>
      </c>
      <c r="D88" s="20">
        <v>44.841000000000001</v>
      </c>
      <c r="E88" s="20">
        <v>46.122999999999998</v>
      </c>
      <c r="F88" s="20">
        <v>46.762999999999998</v>
      </c>
      <c r="G88" s="20">
        <v>11.71</v>
      </c>
      <c r="H88" s="20">
        <f t="shared" si="4"/>
        <v>45.241499999999995</v>
      </c>
      <c r="I88" s="5"/>
      <c r="J88" s="19">
        <v>309.03050000000002</v>
      </c>
      <c r="K88" s="20">
        <v>44.7547</v>
      </c>
      <c r="L88" s="20">
        <v>46.761899999999997</v>
      </c>
      <c r="M88" s="20">
        <v>47.3125</v>
      </c>
      <c r="N88" s="20">
        <v>22.771599999999999</v>
      </c>
      <c r="O88" s="20">
        <f t="shared" si="5"/>
        <v>45.325324999999992</v>
      </c>
      <c r="P88" s="7"/>
      <c r="Q88" s="13"/>
      <c r="R88" s="14"/>
      <c r="S88" s="14"/>
      <c r="T88" s="27"/>
      <c r="U88" s="28">
        <f t="shared" si="3"/>
        <v>0.94462852263023034</v>
      </c>
    </row>
    <row r="89" spans="1:21" x14ac:dyDescent="0.25">
      <c r="B89" s="6" t="s">
        <v>105</v>
      </c>
      <c r="C89" s="15">
        <v>1547.36</v>
      </c>
      <c r="D89" s="16">
        <v>44.731000000000002</v>
      </c>
      <c r="E89" s="16">
        <v>46.491999999999997</v>
      </c>
      <c r="F89" s="16">
        <v>46.98</v>
      </c>
      <c r="G89" s="16">
        <v>3.88</v>
      </c>
      <c r="H89" s="16">
        <f t="shared" si="4"/>
        <v>45.232250000000008</v>
      </c>
      <c r="I89" s="5"/>
      <c r="J89" s="15">
        <v>1486.4960000000001</v>
      </c>
      <c r="K89" s="16">
        <v>44.836100000000002</v>
      </c>
      <c r="L89" s="16">
        <v>47.089300000000001</v>
      </c>
      <c r="M89" s="16">
        <v>47.526899999999998</v>
      </c>
      <c r="N89" s="16">
        <v>5.3743999999999996</v>
      </c>
      <c r="O89" s="16">
        <f t="shared" si="5"/>
        <v>45.454100000000004</v>
      </c>
      <c r="P89" s="7"/>
      <c r="Q89" s="8">
        <f>bdrate(C89:C92,D89:D92,J89:J92,K89:K92)</f>
        <v>-7.2555568176457697E-2</v>
      </c>
      <c r="R89" s="8">
        <f>bdrate(C89:C92,E89:E92,J89:J92,L89:L92)</f>
        <v>-0.23896869885916272</v>
      </c>
      <c r="S89" s="8">
        <f>bdrate(C89:C92,F89:F92,J89:J92,M89:M92)</f>
        <v>-0.23532083546586369</v>
      </c>
      <c r="T89" s="25">
        <f>bdrate(C89:C92,H89:H92,J89:J92,O89:O92)</f>
        <v>-0.10883945777333626</v>
      </c>
      <c r="U89" s="28">
        <f t="shared" si="3"/>
        <v>0.38515463917525766</v>
      </c>
    </row>
    <row r="90" spans="1:21" x14ac:dyDescent="0.25">
      <c r="B90" s="9"/>
      <c r="C90" s="17">
        <v>1032.45</v>
      </c>
      <c r="D90" s="18">
        <v>42.692999999999998</v>
      </c>
      <c r="E90" s="18">
        <v>44.798000000000002</v>
      </c>
      <c r="F90" s="18">
        <v>45.232999999999997</v>
      </c>
      <c r="G90" s="18">
        <v>4.49</v>
      </c>
      <c r="H90" s="18">
        <f t="shared" si="4"/>
        <v>43.273625000000003</v>
      </c>
      <c r="I90" s="5"/>
      <c r="J90" s="17">
        <v>995.26369999999997</v>
      </c>
      <c r="K90" s="18">
        <v>42.912799999999997</v>
      </c>
      <c r="L90" s="18">
        <v>45.616500000000002</v>
      </c>
      <c r="M90" s="18">
        <v>46.030799999999999</v>
      </c>
      <c r="N90" s="18">
        <v>6.5255000000000001</v>
      </c>
      <c r="O90" s="18">
        <f t="shared" si="5"/>
        <v>43.6405125</v>
      </c>
      <c r="P90" s="7"/>
      <c r="Q90" s="10"/>
      <c r="R90" s="11"/>
      <c r="S90" s="11"/>
      <c r="T90" s="26"/>
      <c r="U90" s="28">
        <f t="shared" si="3"/>
        <v>0.4533407572383073</v>
      </c>
    </row>
    <row r="91" spans="1:21" x14ac:dyDescent="0.25">
      <c r="B91" s="9"/>
      <c r="C91" s="17">
        <v>620.9</v>
      </c>
      <c r="D91" s="18">
        <v>39.991</v>
      </c>
      <c r="E91" s="18">
        <v>42.651000000000003</v>
      </c>
      <c r="F91" s="18">
        <v>43.07</v>
      </c>
      <c r="G91" s="18">
        <v>5.32</v>
      </c>
      <c r="H91" s="18">
        <f t="shared" si="4"/>
        <v>40.708374999999997</v>
      </c>
      <c r="I91" s="5"/>
      <c r="J91" s="17">
        <v>598.33870000000002</v>
      </c>
      <c r="K91" s="18">
        <v>40.203400000000002</v>
      </c>
      <c r="L91" s="18">
        <v>43.621899999999997</v>
      </c>
      <c r="M91" s="18">
        <v>44.042700000000004</v>
      </c>
      <c r="N91" s="18">
        <v>8.3666</v>
      </c>
      <c r="O91" s="18">
        <f t="shared" si="5"/>
        <v>41.110625000000006</v>
      </c>
      <c r="P91" s="7"/>
      <c r="Q91" s="10"/>
      <c r="R91" s="11"/>
      <c r="S91" s="11"/>
      <c r="T91" s="26"/>
      <c r="U91" s="28">
        <f t="shared" si="3"/>
        <v>0.57266917293233077</v>
      </c>
    </row>
    <row r="92" spans="1:21" ht="16.5" thickBot="1" x14ac:dyDescent="0.3">
      <c r="B92" s="12"/>
      <c r="C92" s="19">
        <v>311.62</v>
      </c>
      <c r="D92" s="20">
        <v>36.292999999999999</v>
      </c>
      <c r="E92" s="20">
        <v>39.902999999999999</v>
      </c>
      <c r="F92" s="20">
        <v>40.36</v>
      </c>
      <c r="G92" s="20">
        <v>6.62</v>
      </c>
      <c r="H92" s="20">
        <f t="shared" ref="H92:H124" si="6">(6*D92+E92+F92)/8</f>
        <v>37.252625000000002</v>
      </c>
      <c r="I92" s="5"/>
      <c r="J92" s="19">
        <v>300.01159999999999</v>
      </c>
      <c r="K92" s="20">
        <v>36.468200000000003</v>
      </c>
      <c r="L92" s="20">
        <v>41.165700000000001</v>
      </c>
      <c r="M92" s="20">
        <v>41.581899999999997</v>
      </c>
      <c r="N92" s="20">
        <v>12.023999999999999</v>
      </c>
      <c r="O92" s="20">
        <f t="shared" ref="O92:O124" si="7">(6*K92+L92+M92)/8</f>
        <v>37.694600000000008</v>
      </c>
      <c r="P92" s="7"/>
      <c r="Q92" s="13"/>
      <c r="R92" s="14"/>
      <c r="S92" s="14"/>
      <c r="T92" s="27"/>
      <c r="U92" s="28">
        <f t="shared" ref="U92:U124" si="8">(N92-G92)/G92</f>
        <v>0.81631419939577021</v>
      </c>
    </row>
    <row r="93" spans="1:21" x14ac:dyDescent="0.25">
      <c r="B93" s="6" t="s">
        <v>106</v>
      </c>
      <c r="C93" s="15">
        <v>1374.22</v>
      </c>
      <c r="D93" s="16">
        <v>40.253</v>
      </c>
      <c r="E93" s="16">
        <v>44.204999999999998</v>
      </c>
      <c r="F93" s="16">
        <v>44.207999999999998</v>
      </c>
      <c r="G93" s="16">
        <v>3.39</v>
      </c>
      <c r="H93" s="16">
        <f t="shared" si="6"/>
        <v>41.241375000000005</v>
      </c>
      <c r="I93" s="5"/>
      <c r="J93" s="29">
        <v>1495.5361</v>
      </c>
      <c r="K93" s="30">
        <v>40.617199999999997</v>
      </c>
      <c r="L93" s="30">
        <v>45.162999999999997</v>
      </c>
      <c r="M93" s="30">
        <v>45.132599999999996</v>
      </c>
      <c r="N93" s="16">
        <v>4.7397</v>
      </c>
      <c r="O93" s="16">
        <f t="shared" si="7"/>
        <v>41.749849999999995</v>
      </c>
      <c r="P93" s="7"/>
      <c r="Q93" s="8">
        <f>bdrate(C93:C96,D93:D96,J93:J96,K93:K96)</f>
        <v>3.2108892263912558E-2</v>
      </c>
      <c r="R93" s="8">
        <f>bdrate(C93:C96,E93:E96,J93:J96,L93:L96)</f>
        <v>-0.2398201053470066</v>
      </c>
      <c r="S93" s="8">
        <f>bdrate(C93:C96,F93:F96,J93:J96,M93:M96)</f>
        <v>-0.23507161190582393</v>
      </c>
      <c r="T93" s="25">
        <f>bdrate(C93:C96,H93:H96,J93:J96,O93:O96)</f>
        <v>-2.6581744636891447E-2</v>
      </c>
      <c r="U93" s="28">
        <f t="shared" si="8"/>
        <v>0.39814159292035395</v>
      </c>
    </row>
    <row r="94" spans="1:21" x14ac:dyDescent="0.25">
      <c r="B94" s="9"/>
      <c r="C94" s="17">
        <v>914.6</v>
      </c>
      <c r="D94" s="18">
        <v>38.381999999999998</v>
      </c>
      <c r="E94" s="18">
        <v>42.771999999999998</v>
      </c>
      <c r="F94" s="18">
        <v>42.768999999999998</v>
      </c>
      <c r="G94" s="18">
        <v>3.95</v>
      </c>
      <c r="H94" s="18">
        <f t="shared" si="6"/>
        <v>39.479124999999996</v>
      </c>
      <c r="I94" s="5"/>
      <c r="J94" s="31">
        <v>997.44209999999998</v>
      </c>
      <c r="K94" s="32">
        <v>38.691299999999998</v>
      </c>
      <c r="L94" s="32">
        <v>43.839100000000002</v>
      </c>
      <c r="M94" s="32">
        <v>43.826099999999997</v>
      </c>
      <c r="N94" s="18">
        <v>5.7915999999999999</v>
      </c>
      <c r="O94" s="18">
        <f t="shared" si="7"/>
        <v>39.976624999999999</v>
      </c>
      <c r="P94" s="7"/>
      <c r="Q94" s="10"/>
      <c r="R94" s="11"/>
      <c r="S94" s="11"/>
      <c r="T94" s="26"/>
      <c r="U94" s="28">
        <f t="shared" si="8"/>
        <v>0.46622784810126572</v>
      </c>
    </row>
    <row r="95" spans="1:21" x14ac:dyDescent="0.25">
      <c r="B95" s="9"/>
      <c r="C95" s="17">
        <v>546.95000000000005</v>
      </c>
      <c r="D95" s="18">
        <v>36.049999999999997</v>
      </c>
      <c r="E95" s="18">
        <v>41.057000000000002</v>
      </c>
      <c r="F95" s="18">
        <v>41.037999999999997</v>
      </c>
      <c r="G95" s="18">
        <v>4.75</v>
      </c>
      <c r="H95" s="18">
        <f t="shared" si="6"/>
        <v>37.299374999999998</v>
      </c>
      <c r="I95" s="5"/>
      <c r="J95" s="31">
        <v>598.2441</v>
      </c>
      <c r="K95" s="32">
        <v>36.289200000000001</v>
      </c>
      <c r="L95" s="32">
        <v>42.221899999999998</v>
      </c>
      <c r="M95" s="32">
        <v>42.210700000000003</v>
      </c>
      <c r="N95" s="18">
        <v>7.5045000000000002</v>
      </c>
      <c r="O95" s="18">
        <f t="shared" si="7"/>
        <v>37.770975000000007</v>
      </c>
      <c r="P95" s="7"/>
      <c r="Q95" s="10"/>
      <c r="R95" s="11"/>
      <c r="S95" s="11"/>
      <c r="T95" s="26"/>
      <c r="U95" s="28">
        <f t="shared" si="8"/>
        <v>0.57989473684210535</v>
      </c>
    </row>
    <row r="96" spans="1:21" ht="16.5" thickBot="1" x14ac:dyDescent="0.3">
      <c r="B96" s="12"/>
      <c r="C96" s="19">
        <v>272.08999999999997</v>
      </c>
      <c r="D96" s="20">
        <v>32.945999999999998</v>
      </c>
      <c r="E96" s="20">
        <v>38.796999999999997</v>
      </c>
      <c r="F96" s="20">
        <v>38.746000000000002</v>
      </c>
      <c r="G96" s="20">
        <v>6.01</v>
      </c>
      <c r="H96" s="20">
        <f t="shared" si="6"/>
        <v>34.402374999999999</v>
      </c>
      <c r="I96" s="5"/>
      <c r="J96" s="33">
        <v>299.39960000000002</v>
      </c>
      <c r="K96" s="34">
        <v>33.155999999999999</v>
      </c>
      <c r="L96" s="34">
        <v>40.353900000000003</v>
      </c>
      <c r="M96" s="34">
        <v>40.226999999999997</v>
      </c>
      <c r="N96" s="20">
        <v>11.042</v>
      </c>
      <c r="O96" s="20">
        <f t="shared" si="7"/>
        <v>34.939612499999996</v>
      </c>
      <c r="P96" s="7"/>
      <c r="Q96" s="13"/>
      <c r="R96" s="14"/>
      <c r="S96" s="14"/>
      <c r="T96" s="27"/>
      <c r="U96" s="28">
        <f t="shared" si="8"/>
        <v>0.83727121464226295</v>
      </c>
    </row>
    <row r="97" spans="2:21" x14ac:dyDescent="0.25">
      <c r="B97" s="6" t="s">
        <v>107</v>
      </c>
      <c r="C97" s="29">
        <v>1519.46</v>
      </c>
      <c r="D97" s="30">
        <v>38.752000000000002</v>
      </c>
      <c r="E97" s="30">
        <v>42.421999999999997</v>
      </c>
      <c r="F97" s="30">
        <v>42.898000000000003</v>
      </c>
      <c r="G97" s="16">
        <v>3.65</v>
      </c>
      <c r="H97" s="16">
        <f t="shared" si="6"/>
        <v>39.728999999999999</v>
      </c>
      <c r="I97" s="5"/>
      <c r="J97" s="15">
        <v>1508.2043000000001</v>
      </c>
      <c r="K97" s="16">
        <v>38.907200000000003</v>
      </c>
      <c r="L97" s="16">
        <v>43.643999999999998</v>
      </c>
      <c r="M97" s="16">
        <v>44.1357</v>
      </c>
      <c r="N97" s="16">
        <v>5.9320000000000004</v>
      </c>
      <c r="O97" s="16">
        <f t="shared" si="7"/>
        <v>40.152862499999998</v>
      </c>
      <c r="P97" s="7"/>
      <c r="Q97" s="8">
        <f>bdrate(C97:C100,D97:D100,J97:J100,K97:K100)</f>
        <v>-9.8136052837483057E-3</v>
      </c>
      <c r="R97" s="8">
        <f>bdrate(C97:C100,E97:E100,J97:J100,L97:L100)</f>
        <v>-0.34035918600420734</v>
      </c>
      <c r="S97" s="8">
        <f>bdrate(C97:C100,F97:F100,J97:J100,M97:M100)</f>
        <v>-0.35080922451807484</v>
      </c>
      <c r="T97" s="25">
        <f>bdrate(C97:C100,H97:H100,J97:J100,O97:O100)</f>
        <v>-8.8337745253230793E-2</v>
      </c>
      <c r="U97" s="28">
        <f t="shared" si="8"/>
        <v>0.62520547945205496</v>
      </c>
    </row>
    <row r="98" spans="2:21" x14ac:dyDescent="0.25">
      <c r="B98" s="9"/>
      <c r="C98" s="31">
        <v>1014.22</v>
      </c>
      <c r="D98" s="32">
        <v>36.837000000000003</v>
      </c>
      <c r="E98" s="32">
        <v>40.783999999999999</v>
      </c>
      <c r="F98" s="32">
        <v>41.308</v>
      </c>
      <c r="G98" s="18">
        <v>4.26</v>
      </c>
      <c r="H98" s="18">
        <f t="shared" si="6"/>
        <v>37.889250000000004</v>
      </c>
      <c r="I98" s="5"/>
      <c r="J98" s="17">
        <v>1013.1001</v>
      </c>
      <c r="K98" s="18">
        <v>36.970399999999998</v>
      </c>
      <c r="L98" s="18">
        <v>42.222000000000001</v>
      </c>
      <c r="M98" s="18">
        <v>42.766100000000002</v>
      </c>
      <c r="N98" s="18">
        <v>7.2717999999999998</v>
      </c>
      <c r="O98" s="18">
        <f t="shared" si="7"/>
        <v>38.351312499999999</v>
      </c>
      <c r="P98" s="7"/>
      <c r="Q98" s="10"/>
      <c r="R98" s="11"/>
      <c r="S98" s="11"/>
      <c r="T98" s="26"/>
      <c r="U98" s="28">
        <f t="shared" si="8"/>
        <v>0.7069953051643193</v>
      </c>
    </row>
    <row r="99" spans="2:21" x14ac:dyDescent="0.25">
      <c r="B99" s="9"/>
      <c r="C99" s="31">
        <v>609.74</v>
      </c>
      <c r="D99" s="32">
        <v>34.487000000000002</v>
      </c>
      <c r="E99" s="32">
        <v>38.872</v>
      </c>
      <c r="F99" s="32">
        <v>39.494</v>
      </c>
      <c r="G99" s="18">
        <v>5.12</v>
      </c>
      <c r="H99" s="18">
        <f t="shared" si="6"/>
        <v>35.661000000000001</v>
      </c>
      <c r="I99" s="5"/>
      <c r="J99" s="17">
        <v>603.18190000000004</v>
      </c>
      <c r="K99" s="18">
        <v>34.458500000000001</v>
      </c>
      <c r="L99" s="18">
        <v>40.369799999999998</v>
      </c>
      <c r="M99" s="18">
        <v>40.967100000000002</v>
      </c>
      <c r="N99" s="18">
        <v>9.2996999999999996</v>
      </c>
      <c r="O99" s="18">
        <f t="shared" si="7"/>
        <v>36.010987499999999</v>
      </c>
      <c r="P99" s="7"/>
      <c r="Q99" s="10"/>
      <c r="R99" s="11"/>
      <c r="S99" s="11"/>
      <c r="T99" s="26"/>
      <c r="U99" s="28">
        <f t="shared" si="8"/>
        <v>0.81634765624999994</v>
      </c>
    </row>
    <row r="100" spans="2:21" ht="16.5" thickBot="1" x14ac:dyDescent="0.3">
      <c r="B100" s="12"/>
      <c r="C100" s="33">
        <v>304.27999999999997</v>
      </c>
      <c r="D100" s="34">
        <v>31.248999999999999</v>
      </c>
      <c r="E100" s="34">
        <v>36.412999999999997</v>
      </c>
      <c r="F100" s="34">
        <v>37.183</v>
      </c>
      <c r="G100" s="20">
        <v>6.51</v>
      </c>
      <c r="H100" s="20">
        <f t="shared" si="6"/>
        <v>32.636249999999997</v>
      </c>
      <c r="I100" s="5"/>
      <c r="J100" s="19">
        <v>304.89749999999998</v>
      </c>
      <c r="K100" s="20">
        <v>31.139900000000001</v>
      </c>
      <c r="L100" s="20">
        <v>38.103499999999997</v>
      </c>
      <c r="M100" s="20">
        <v>38.825000000000003</v>
      </c>
      <c r="N100" s="20">
        <v>13.138400000000001</v>
      </c>
      <c r="O100" s="20">
        <f t="shared" si="7"/>
        <v>32.9709875</v>
      </c>
      <c r="P100" s="7"/>
      <c r="Q100" s="13"/>
      <c r="R100" s="14"/>
      <c r="S100" s="14"/>
      <c r="T100" s="27"/>
      <c r="U100" s="28">
        <f t="shared" si="8"/>
        <v>1.0181874039938559</v>
      </c>
    </row>
    <row r="101" spans="2:21" x14ac:dyDescent="0.25">
      <c r="B101" s="6" t="s">
        <v>108</v>
      </c>
      <c r="C101" s="15">
        <v>1509.67</v>
      </c>
      <c r="D101" s="16">
        <v>38.631999999999998</v>
      </c>
      <c r="E101" s="16">
        <v>43.71</v>
      </c>
      <c r="F101" s="16">
        <v>45.487000000000002</v>
      </c>
      <c r="G101" s="16">
        <v>3.07</v>
      </c>
      <c r="H101" s="16">
        <f t="shared" si="6"/>
        <v>40.123624999999997</v>
      </c>
      <c r="I101" s="5"/>
      <c r="J101" s="15">
        <v>1510.1267</v>
      </c>
      <c r="K101" s="16">
        <v>38.584899999999998</v>
      </c>
      <c r="L101" s="16">
        <v>44.537799999999997</v>
      </c>
      <c r="M101" s="16">
        <v>46.1036</v>
      </c>
      <c r="N101" s="16">
        <v>4.2763</v>
      </c>
      <c r="O101" s="16">
        <f t="shared" si="7"/>
        <v>40.26885</v>
      </c>
      <c r="P101" s="7"/>
      <c r="Q101" s="8">
        <f>bdrate(C101:C104,D101:D104,J101:J104,K101:K104)</f>
        <v>1.857453164714773E-2</v>
      </c>
      <c r="R101" s="8">
        <f>bdrate(C101:C104,E101:E104,J101:J104,L101:L104)</f>
        <v>-0.38173474107800487</v>
      </c>
      <c r="S101" s="8">
        <f>bdrate(C101:C104,F101:F104,J101:J104,M101:M104)</f>
        <v>-0.30519090044073149</v>
      </c>
      <c r="T101" s="25">
        <f>bdrate(C101:C104,H101:H104,J101:J104,O101:O104)</f>
        <v>-6.6042320503342578E-2</v>
      </c>
      <c r="U101" s="28">
        <f t="shared" si="8"/>
        <v>0.39293159609120526</v>
      </c>
    </row>
    <row r="102" spans="2:21" x14ac:dyDescent="0.25">
      <c r="B102" s="9"/>
      <c r="C102" s="17">
        <v>1006.19</v>
      </c>
      <c r="D102" s="18">
        <v>37.143000000000001</v>
      </c>
      <c r="E102" s="18">
        <v>42.625999999999998</v>
      </c>
      <c r="F102" s="18">
        <v>44.320999999999998</v>
      </c>
      <c r="G102" s="18">
        <v>3.6</v>
      </c>
      <c r="H102" s="18">
        <f t="shared" si="6"/>
        <v>38.725624999999994</v>
      </c>
      <c r="I102" s="5"/>
      <c r="J102" s="17">
        <v>1008.1327</v>
      </c>
      <c r="K102" s="18">
        <v>37.139699999999998</v>
      </c>
      <c r="L102" s="18">
        <v>43.645600000000002</v>
      </c>
      <c r="M102" s="18">
        <v>45.148800000000001</v>
      </c>
      <c r="N102" s="18">
        <v>5.3044000000000002</v>
      </c>
      <c r="O102" s="18">
        <f t="shared" si="7"/>
        <v>38.954074999999996</v>
      </c>
      <c r="P102" s="7"/>
      <c r="Q102" s="10"/>
      <c r="R102" s="11"/>
      <c r="S102" s="11"/>
      <c r="T102" s="26"/>
      <c r="U102" s="28">
        <f t="shared" si="8"/>
        <v>0.47344444444444445</v>
      </c>
    </row>
    <row r="103" spans="2:21" x14ac:dyDescent="0.25">
      <c r="B103" s="9"/>
      <c r="C103" s="17">
        <v>603.82000000000005</v>
      </c>
      <c r="D103" s="18">
        <v>35.39</v>
      </c>
      <c r="E103" s="18">
        <v>41.283000000000001</v>
      </c>
      <c r="F103" s="18">
        <v>42.872</v>
      </c>
      <c r="G103" s="18">
        <v>4.49</v>
      </c>
      <c r="H103" s="18">
        <f t="shared" si="6"/>
        <v>37.061875000000001</v>
      </c>
      <c r="I103" s="5"/>
      <c r="J103" s="17">
        <v>603.03689999999995</v>
      </c>
      <c r="K103" s="18">
        <v>35.320599999999999</v>
      </c>
      <c r="L103" s="18">
        <v>42.502499999999998</v>
      </c>
      <c r="M103" s="18">
        <v>43.890300000000003</v>
      </c>
      <c r="N103" s="18">
        <v>7.0399000000000003</v>
      </c>
      <c r="O103" s="18">
        <f t="shared" si="7"/>
        <v>37.289549999999998</v>
      </c>
      <c r="P103" s="7"/>
      <c r="Q103" s="10"/>
      <c r="R103" s="11"/>
      <c r="S103" s="11"/>
      <c r="T103" s="26"/>
      <c r="U103" s="28">
        <f t="shared" si="8"/>
        <v>0.56790645879732737</v>
      </c>
    </row>
    <row r="104" spans="2:21" ht="16.5" thickBot="1" x14ac:dyDescent="0.3">
      <c r="B104" s="12"/>
      <c r="C104" s="19">
        <v>302.07</v>
      </c>
      <c r="D104" s="20">
        <v>33.210999999999999</v>
      </c>
      <c r="E104" s="20">
        <v>39.674999999999997</v>
      </c>
      <c r="F104" s="20">
        <v>41.008000000000003</v>
      </c>
      <c r="G104" s="20">
        <v>5.92</v>
      </c>
      <c r="H104" s="20">
        <f t="shared" si="6"/>
        <v>34.993624999999994</v>
      </c>
      <c r="I104" s="5"/>
      <c r="J104" s="19">
        <v>300.48649999999998</v>
      </c>
      <c r="K104" s="20">
        <v>33.031500000000001</v>
      </c>
      <c r="L104" s="20">
        <v>41.017200000000003</v>
      </c>
      <c r="M104" s="20">
        <v>42.216200000000001</v>
      </c>
      <c r="N104" s="20">
        <v>10.4857</v>
      </c>
      <c r="O104" s="20">
        <f t="shared" si="7"/>
        <v>35.177800000000005</v>
      </c>
      <c r="P104" s="7"/>
      <c r="Q104" s="13"/>
      <c r="R104" s="14"/>
      <c r="S104" s="14"/>
      <c r="T104" s="27"/>
      <c r="U104" s="28">
        <f t="shared" si="8"/>
        <v>0.77123310810810808</v>
      </c>
    </row>
    <row r="105" spans="2:21" x14ac:dyDescent="0.25">
      <c r="B105" s="6" t="s">
        <v>109</v>
      </c>
      <c r="C105" s="15">
        <v>1618.41</v>
      </c>
      <c r="D105" s="16">
        <v>50.488</v>
      </c>
      <c r="E105" s="16">
        <v>55.286999999999999</v>
      </c>
      <c r="F105" s="16">
        <v>56.558999999999997</v>
      </c>
      <c r="G105" s="16">
        <v>3.75</v>
      </c>
      <c r="H105" s="16">
        <f t="shared" si="6"/>
        <v>51.84675</v>
      </c>
      <c r="I105" s="5"/>
      <c r="J105" s="15">
        <v>1491.7997</v>
      </c>
      <c r="K105" s="16">
        <v>50.652500000000003</v>
      </c>
      <c r="L105" s="16">
        <v>55.351900000000001</v>
      </c>
      <c r="M105" s="16">
        <v>56.7119</v>
      </c>
      <c r="N105" s="16">
        <v>5.3391000000000002</v>
      </c>
      <c r="O105" s="16">
        <f t="shared" si="7"/>
        <v>51.997350000000004</v>
      </c>
      <c r="P105" s="7"/>
      <c r="Q105" s="8">
        <f>bdrate(C105:C108,D105:D108,J105:J108,K105:K108)</f>
        <v>-0.13134627760545137</v>
      </c>
      <c r="R105" s="8">
        <f>bdrate(C105:C108,E105:E108,J105:J108,L105:L108)</f>
        <v>-0.14172854516752609</v>
      </c>
      <c r="S105" s="8">
        <f>bdrate(C105:C108,F105:F108,J105:J108,M105:M108)</f>
        <v>-0.15701733876108637</v>
      </c>
      <c r="T105" s="25">
        <f>bdrate(C105:C108,H105:H108,J105:J108,O105:O108)</f>
        <v>-0.13560587843173122</v>
      </c>
      <c r="U105" s="28">
        <f t="shared" si="8"/>
        <v>0.42376000000000003</v>
      </c>
    </row>
    <row r="106" spans="2:21" x14ac:dyDescent="0.25">
      <c r="B106" s="9"/>
      <c r="C106" s="17">
        <v>1074.1199999999999</v>
      </c>
      <c r="D106" s="18">
        <v>48.726999999999997</v>
      </c>
      <c r="E106" s="18">
        <v>53.765000000000001</v>
      </c>
      <c r="F106" s="18">
        <v>55.145000000000003</v>
      </c>
      <c r="G106" s="18">
        <v>4.53</v>
      </c>
      <c r="H106" s="18">
        <f t="shared" si="6"/>
        <v>50.158999999999992</v>
      </c>
      <c r="I106" s="5"/>
      <c r="J106" s="17">
        <v>997.84460000000001</v>
      </c>
      <c r="K106" s="18">
        <v>49.0154</v>
      </c>
      <c r="L106" s="18">
        <v>53.944400000000002</v>
      </c>
      <c r="M106" s="18">
        <v>55.403300000000002</v>
      </c>
      <c r="N106" s="18">
        <v>6.6272000000000002</v>
      </c>
      <c r="O106" s="18">
        <f t="shared" si="7"/>
        <v>50.430012499999997</v>
      </c>
      <c r="P106" s="7"/>
      <c r="Q106" s="10"/>
      <c r="R106" s="11"/>
      <c r="S106" s="11"/>
      <c r="T106" s="26"/>
      <c r="U106" s="28">
        <f t="shared" si="8"/>
        <v>0.46295805739514345</v>
      </c>
    </row>
    <row r="107" spans="2:21" x14ac:dyDescent="0.25">
      <c r="B107" s="9"/>
      <c r="C107" s="17">
        <v>640.59</v>
      </c>
      <c r="D107" s="18">
        <v>46.484999999999999</v>
      </c>
      <c r="E107" s="18">
        <v>51.805999999999997</v>
      </c>
      <c r="F107" s="18">
        <v>53.268999999999998</v>
      </c>
      <c r="G107" s="18">
        <v>5.63</v>
      </c>
      <c r="H107" s="18">
        <f t="shared" si="6"/>
        <v>47.998124999999995</v>
      </c>
      <c r="I107" s="5"/>
      <c r="J107" s="17">
        <v>601.25990000000002</v>
      </c>
      <c r="K107" s="18">
        <v>46.875500000000002</v>
      </c>
      <c r="L107" s="18">
        <v>52.209899999999998</v>
      </c>
      <c r="M107" s="18">
        <v>53.711399999999998</v>
      </c>
      <c r="N107" s="18">
        <v>8.9413</v>
      </c>
      <c r="O107" s="18">
        <f t="shared" si="7"/>
        <v>48.396787500000002</v>
      </c>
      <c r="P107" s="7"/>
      <c r="Q107" s="10"/>
      <c r="R107" s="11"/>
      <c r="S107" s="11"/>
      <c r="T107" s="26"/>
      <c r="U107" s="28">
        <f t="shared" si="8"/>
        <v>0.58815275310834814</v>
      </c>
    </row>
    <row r="108" spans="2:21" ht="16.5" thickBot="1" x14ac:dyDescent="0.3">
      <c r="B108" s="12"/>
      <c r="C108" s="19">
        <v>318.95999999999998</v>
      </c>
      <c r="D108" s="20">
        <v>43.505000000000003</v>
      </c>
      <c r="E108" s="20">
        <v>48.951999999999998</v>
      </c>
      <c r="F108" s="20">
        <v>50.408999999999999</v>
      </c>
      <c r="G108" s="20">
        <v>7.18</v>
      </c>
      <c r="H108" s="20">
        <f t="shared" si="6"/>
        <v>45.048875000000002</v>
      </c>
      <c r="I108" s="5"/>
      <c r="J108" s="19">
        <v>301.21679999999998</v>
      </c>
      <c r="K108" s="20">
        <v>43.742100000000001</v>
      </c>
      <c r="L108" s="20">
        <v>49.4681</v>
      </c>
      <c r="M108" s="20">
        <v>50.973599999999998</v>
      </c>
      <c r="N108" s="20">
        <v>13.847099999999999</v>
      </c>
      <c r="O108" s="20">
        <f t="shared" si="7"/>
        <v>45.361787499999998</v>
      </c>
      <c r="P108" s="7"/>
      <c r="Q108" s="13"/>
      <c r="R108" s="14"/>
      <c r="S108" s="14"/>
      <c r="T108" s="27"/>
      <c r="U108" s="28">
        <f t="shared" si="8"/>
        <v>0.92856545961002779</v>
      </c>
    </row>
    <row r="109" spans="2:21" x14ac:dyDescent="0.25">
      <c r="B109" s="6" t="s">
        <v>110</v>
      </c>
      <c r="C109" s="15">
        <v>1465.76</v>
      </c>
      <c r="D109" s="16">
        <v>33.789000000000001</v>
      </c>
      <c r="E109" s="16">
        <v>40.877000000000002</v>
      </c>
      <c r="F109" s="16">
        <v>40.393000000000001</v>
      </c>
      <c r="G109" s="16">
        <v>2.93</v>
      </c>
      <c r="H109" s="16">
        <f t="shared" si="6"/>
        <v>35.500500000000002</v>
      </c>
      <c r="I109" s="5"/>
      <c r="J109" s="15">
        <v>1495.3823</v>
      </c>
      <c r="K109" s="16">
        <v>33.614899999999999</v>
      </c>
      <c r="L109" s="16">
        <v>41.906199999999998</v>
      </c>
      <c r="M109" s="16">
        <v>41.347099999999998</v>
      </c>
      <c r="N109" s="16">
        <v>3.7317</v>
      </c>
      <c r="O109" s="16">
        <f t="shared" si="7"/>
        <v>35.6178375</v>
      </c>
      <c r="P109" s="7"/>
      <c r="Q109" s="8">
        <f>bdrate(C109:C112,D109:D112,J109:J112,K109:K112)</f>
        <v>-1.5800279474635914E-2</v>
      </c>
      <c r="R109" s="8">
        <f>bdrate(C109:C112,E109:E112,J109:J112,L109:L112)</f>
        <v>-0.4136297207511731</v>
      </c>
      <c r="S109" s="8">
        <f>bdrate(C109:C112,F109:F112,J109:J112,M109:M112)</f>
        <v>-0.40035338210945581</v>
      </c>
      <c r="T109" s="25">
        <f>bdrate(C109:C112,H109:H112,J109:J112,O109:O112)</f>
        <v>-9.721173122236948E-2</v>
      </c>
      <c r="U109" s="28">
        <f t="shared" si="8"/>
        <v>0.27361774744027295</v>
      </c>
    </row>
    <row r="110" spans="2:21" x14ac:dyDescent="0.25">
      <c r="B110" s="9"/>
      <c r="C110" s="17">
        <v>974.87</v>
      </c>
      <c r="D110" s="18">
        <v>32.036999999999999</v>
      </c>
      <c r="E110" s="18">
        <v>39.630000000000003</v>
      </c>
      <c r="F110" s="18">
        <v>39.094999999999999</v>
      </c>
      <c r="G110" s="18">
        <v>3.5</v>
      </c>
      <c r="H110" s="18">
        <f t="shared" si="6"/>
        <v>33.868375</v>
      </c>
      <c r="I110" s="5"/>
      <c r="J110" s="17">
        <v>996.35519999999997</v>
      </c>
      <c r="K110" s="18">
        <v>31.936900000000001</v>
      </c>
      <c r="L110" s="18">
        <v>40.9786</v>
      </c>
      <c r="M110" s="18">
        <v>40.418700000000001</v>
      </c>
      <c r="N110" s="18">
        <v>4.5670999999999999</v>
      </c>
      <c r="O110" s="18">
        <f t="shared" si="7"/>
        <v>34.127337499999996</v>
      </c>
      <c r="P110" s="7"/>
      <c r="Q110" s="10"/>
      <c r="R110" s="11"/>
      <c r="S110" s="11"/>
      <c r="T110" s="26"/>
      <c r="U110" s="28">
        <f t="shared" si="8"/>
        <v>0.30488571428571426</v>
      </c>
    </row>
    <row r="111" spans="2:21" x14ac:dyDescent="0.25">
      <c r="B111" s="9"/>
      <c r="C111" s="17">
        <v>584.86</v>
      </c>
      <c r="D111" s="18">
        <v>29.736999999999998</v>
      </c>
      <c r="E111" s="18">
        <v>38.009</v>
      </c>
      <c r="F111" s="18">
        <v>37.417000000000002</v>
      </c>
      <c r="G111" s="18">
        <v>4.3600000000000003</v>
      </c>
      <c r="H111" s="18">
        <f t="shared" si="6"/>
        <v>31.730999999999998</v>
      </c>
      <c r="I111" s="5"/>
      <c r="J111" s="17">
        <v>597.09230000000002</v>
      </c>
      <c r="K111" s="18">
        <v>29.74</v>
      </c>
      <c r="L111" s="18">
        <v>39.758899999999997</v>
      </c>
      <c r="M111" s="18">
        <v>39.151499999999999</v>
      </c>
      <c r="N111" s="18">
        <v>6.0392000000000001</v>
      </c>
      <c r="O111" s="18">
        <f t="shared" si="7"/>
        <v>32.168799999999997</v>
      </c>
      <c r="P111" s="7"/>
      <c r="Q111" s="10"/>
      <c r="R111" s="11"/>
      <c r="S111" s="11"/>
      <c r="T111" s="26"/>
      <c r="U111" s="28">
        <f t="shared" si="8"/>
        <v>0.38513761467889901</v>
      </c>
    </row>
    <row r="112" spans="2:21" ht="16.5" thickBot="1" x14ac:dyDescent="0.3">
      <c r="B112" s="12"/>
      <c r="C112" s="19">
        <v>323.18</v>
      </c>
      <c r="D112" s="20">
        <v>24.952999999999999</v>
      </c>
      <c r="E112" s="20">
        <v>34.014000000000003</v>
      </c>
      <c r="F112" s="20">
        <v>33.520000000000003</v>
      </c>
      <c r="G112" s="20">
        <v>6.05</v>
      </c>
      <c r="H112" s="20">
        <f t="shared" si="6"/>
        <v>27.156500000000001</v>
      </c>
      <c r="I112" s="5"/>
      <c r="J112" s="19">
        <v>298.68869999999998</v>
      </c>
      <c r="K112" s="20">
        <v>26.844100000000001</v>
      </c>
      <c r="L112" s="20">
        <v>37.709499999999998</v>
      </c>
      <c r="M112" s="20">
        <v>37.090800000000002</v>
      </c>
      <c r="N112" s="20">
        <v>9.1549999999999994</v>
      </c>
      <c r="O112" s="20">
        <f t="shared" si="7"/>
        <v>29.483112500000001</v>
      </c>
      <c r="P112" s="7"/>
      <c r="Q112" s="13"/>
      <c r="R112" s="14"/>
      <c r="S112" s="14"/>
      <c r="T112" s="27"/>
      <c r="U112" s="28">
        <f t="shared" si="8"/>
        <v>0.5132231404958677</v>
      </c>
    </row>
    <row r="113" spans="2:21" x14ac:dyDescent="0.25">
      <c r="B113" s="6" t="s">
        <v>111</v>
      </c>
      <c r="C113" s="15">
        <v>1663.34</v>
      </c>
      <c r="D113" s="16">
        <v>47.97</v>
      </c>
      <c r="E113" s="16">
        <v>48.600999999999999</v>
      </c>
      <c r="F113" s="16">
        <v>48.572000000000003</v>
      </c>
      <c r="G113" s="16">
        <v>4</v>
      </c>
      <c r="H113" s="16">
        <f t="shared" si="6"/>
        <v>48.124124999999999</v>
      </c>
      <c r="I113" s="5"/>
      <c r="J113" s="15">
        <v>1406.7319</v>
      </c>
      <c r="K113" s="16">
        <v>47.424300000000002</v>
      </c>
      <c r="L113" s="16">
        <v>48.649799999999999</v>
      </c>
      <c r="M113" s="16">
        <v>48.560499999999998</v>
      </c>
      <c r="N113" s="16">
        <v>5.7065999999999999</v>
      </c>
      <c r="O113" s="16">
        <f t="shared" si="7"/>
        <v>47.7195125</v>
      </c>
      <c r="P113" s="7"/>
      <c r="Q113" s="8">
        <f>bdrate(C113:C116,D113:D116,J113:J116,K113:K116)</f>
        <v>-7.2669434859907733E-2</v>
      </c>
      <c r="R113" s="8">
        <f>bdrate(C113:C116,E113:E116,J113:J116,L113:L116)</f>
        <v>-0.22358824622550455</v>
      </c>
      <c r="S113" s="8">
        <f>bdrate(C113:C116,F113:F116,J113:J116,M113:M116)</f>
        <v>-0.21907818736021278</v>
      </c>
      <c r="T113" s="25">
        <f>bdrate(C113:C116,H113:H116,J113:J116,O113:O116)</f>
        <v>-0.1071946516127501</v>
      </c>
      <c r="U113" s="28">
        <f t="shared" si="8"/>
        <v>0.42664999999999997</v>
      </c>
    </row>
    <row r="114" spans="2:21" x14ac:dyDescent="0.25">
      <c r="B114" s="9"/>
      <c r="C114" s="17">
        <v>1099.4100000000001</v>
      </c>
      <c r="D114" s="18">
        <v>46.033000000000001</v>
      </c>
      <c r="E114" s="18">
        <v>46.781999999999996</v>
      </c>
      <c r="F114" s="18">
        <v>46.698</v>
      </c>
      <c r="G114" s="18">
        <v>4.63</v>
      </c>
      <c r="H114" s="18">
        <f t="shared" si="6"/>
        <v>46.209749999999993</v>
      </c>
      <c r="I114" s="5"/>
      <c r="J114" s="17">
        <v>949.64200000000005</v>
      </c>
      <c r="K114" s="18">
        <v>45.889800000000001</v>
      </c>
      <c r="L114" s="18">
        <v>47.252699999999997</v>
      </c>
      <c r="M114" s="18">
        <v>47.166699999999999</v>
      </c>
      <c r="N114" s="18">
        <v>6.9394999999999998</v>
      </c>
      <c r="O114" s="18">
        <f t="shared" si="7"/>
        <v>46.219774999999998</v>
      </c>
      <c r="P114" s="7"/>
      <c r="Q114" s="10"/>
      <c r="R114" s="11"/>
      <c r="S114" s="11"/>
      <c r="T114" s="26"/>
      <c r="U114" s="28">
        <f t="shared" si="8"/>
        <v>0.49881209503239737</v>
      </c>
    </row>
    <row r="115" spans="2:21" x14ac:dyDescent="0.25">
      <c r="B115" s="9"/>
      <c r="C115" s="17">
        <v>654.26</v>
      </c>
      <c r="D115" s="18">
        <v>43.366</v>
      </c>
      <c r="E115" s="18">
        <v>44.341999999999999</v>
      </c>
      <c r="F115" s="18">
        <v>44.213999999999999</v>
      </c>
      <c r="G115" s="18">
        <v>5.58</v>
      </c>
      <c r="H115" s="18">
        <f t="shared" si="6"/>
        <v>43.594000000000001</v>
      </c>
      <c r="I115" s="5"/>
      <c r="J115" s="17">
        <v>592.67110000000002</v>
      </c>
      <c r="K115" s="18">
        <v>43.287700000000001</v>
      </c>
      <c r="L115" s="18">
        <v>45.1753</v>
      </c>
      <c r="M115" s="18">
        <v>45.032800000000002</v>
      </c>
      <c r="N115" s="18">
        <v>8.9811999999999994</v>
      </c>
      <c r="O115" s="18">
        <f t="shared" si="7"/>
        <v>43.741787500000001</v>
      </c>
      <c r="P115" s="7"/>
      <c r="Q115" s="10"/>
      <c r="R115" s="11"/>
      <c r="S115" s="11"/>
      <c r="T115" s="26"/>
      <c r="U115" s="28">
        <f t="shared" si="8"/>
        <v>0.60953405017921136</v>
      </c>
    </row>
    <row r="116" spans="2:21" ht="16.5" thickBot="1" x14ac:dyDescent="0.3">
      <c r="B116" s="12"/>
      <c r="C116" s="19">
        <v>323.16000000000003</v>
      </c>
      <c r="D116" s="20">
        <v>39.095999999999997</v>
      </c>
      <c r="E116" s="20">
        <v>40.710999999999999</v>
      </c>
      <c r="F116" s="20">
        <v>40.512999999999998</v>
      </c>
      <c r="G116" s="20">
        <v>7.05</v>
      </c>
      <c r="H116" s="20">
        <f t="shared" si="6"/>
        <v>39.474999999999994</v>
      </c>
      <c r="I116" s="5"/>
      <c r="J116" s="19">
        <v>301.85489999999999</v>
      </c>
      <c r="K116" s="20">
        <v>38.679299999999998</v>
      </c>
      <c r="L116" s="20">
        <v>41.566600000000001</v>
      </c>
      <c r="M116" s="20">
        <v>41.366700000000002</v>
      </c>
      <c r="N116" s="20">
        <v>12.932600000000001</v>
      </c>
      <c r="O116" s="20">
        <f t="shared" si="7"/>
        <v>39.376137499999999</v>
      </c>
      <c r="P116" s="7"/>
      <c r="Q116" s="13"/>
      <c r="R116" s="14"/>
      <c r="S116" s="14"/>
      <c r="T116" s="27"/>
      <c r="U116" s="28">
        <f t="shared" si="8"/>
        <v>0.83441134751773061</v>
      </c>
    </row>
    <row r="117" spans="2:21" x14ac:dyDescent="0.25">
      <c r="B117" s="6" t="s">
        <v>112</v>
      </c>
      <c r="C117" s="15">
        <v>1943.89</v>
      </c>
      <c r="D117" s="16">
        <v>47.683999999999997</v>
      </c>
      <c r="E117" s="16">
        <v>49.5</v>
      </c>
      <c r="F117" s="16">
        <v>49.744999999999997</v>
      </c>
      <c r="G117" s="16">
        <v>3.76</v>
      </c>
      <c r="H117" s="16">
        <f t="shared" si="6"/>
        <v>48.168624999999999</v>
      </c>
      <c r="I117" s="5"/>
      <c r="J117" s="15">
        <v>1415.3512000000001</v>
      </c>
      <c r="K117" s="16">
        <v>47.597299999999997</v>
      </c>
      <c r="L117" s="16">
        <v>50.241999999999997</v>
      </c>
      <c r="M117" s="16">
        <v>50.308</v>
      </c>
      <c r="N117" s="16">
        <v>7.4608999999999996</v>
      </c>
      <c r="O117" s="16">
        <f t="shared" si="7"/>
        <v>48.266725000000001</v>
      </c>
      <c r="P117" s="7"/>
      <c r="Q117" s="8">
        <f>bdrate(C117:C120,D117:D120,J117:J120,K117:K120)</f>
        <v>-0.27374007873320194</v>
      </c>
      <c r="R117" s="8">
        <f>bdrate(C117:C120,E117:E120,J117:J120,L117:L120)</f>
        <v>-0.41827896504988016</v>
      </c>
      <c r="S117" s="8">
        <f>bdrate(C117:C120,F117:F120,J117:J120,M117:M120)</f>
        <v>-0.41589659250013145</v>
      </c>
      <c r="T117" s="25">
        <f>bdrate(C117:C120,H117:H120,J117:J120,O117:O120)</f>
        <v>-0.31138679982640516</v>
      </c>
      <c r="U117" s="28">
        <f t="shared" si="8"/>
        <v>0.98428191489361705</v>
      </c>
    </row>
    <row r="118" spans="2:21" x14ac:dyDescent="0.25">
      <c r="B118" s="9"/>
      <c r="C118" s="17">
        <v>1267.5999999999999</v>
      </c>
      <c r="D118" s="18">
        <v>45.131</v>
      </c>
      <c r="E118" s="18">
        <v>47.061</v>
      </c>
      <c r="F118" s="18">
        <v>47.298999999999999</v>
      </c>
      <c r="G118" s="18">
        <v>4.42</v>
      </c>
      <c r="H118" s="18">
        <f t="shared" si="6"/>
        <v>45.643249999999995</v>
      </c>
      <c r="I118" s="5"/>
      <c r="J118" s="17">
        <v>978.75279999999998</v>
      </c>
      <c r="K118" s="18">
        <v>46.340800000000002</v>
      </c>
      <c r="L118" s="18">
        <v>49.228299999999997</v>
      </c>
      <c r="M118" s="18">
        <v>49.307000000000002</v>
      </c>
      <c r="N118" s="18">
        <v>9.0632000000000001</v>
      </c>
      <c r="O118" s="18">
        <f t="shared" si="7"/>
        <v>47.072512500000002</v>
      </c>
      <c r="P118" s="7"/>
      <c r="Q118" s="10"/>
      <c r="R118" s="11"/>
      <c r="S118" s="11"/>
      <c r="T118" s="26"/>
      <c r="U118" s="28">
        <f t="shared" si="8"/>
        <v>1.0504977375565612</v>
      </c>
    </row>
    <row r="119" spans="2:21" x14ac:dyDescent="0.25">
      <c r="B119" s="9"/>
      <c r="C119" s="17">
        <v>742.18</v>
      </c>
      <c r="D119" s="18">
        <v>42.338999999999999</v>
      </c>
      <c r="E119" s="18">
        <v>44.320999999999998</v>
      </c>
      <c r="F119" s="18">
        <v>44.594999999999999</v>
      </c>
      <c r="G119" s="18">
        <v>5.4</v>
      </c>
      <c r="H119" s="18">
        <f t="shared" si="6"/>
        <v>42.868750000000006</v>
      </c>
      <c r="I119" s="5"/>
      <c r="J119" s="17">
        <v>638.64589999999998</v>
      </c>
      <c r="K119" s="18">
        <v>43.264099999999999</v>
      </c>
      <c r="L119" s="18">
        <v>46.32</v>
      </c>
      <c r="M119" s="18">
        <v>46.593499999999999</v>
      </c>
      <c r="N119" s="18">
        <v>11.0266</v>
      </c>
      <c r="O119" s="18">
        <f t="shared" si="7"/>
        <v>44.062262500000003</v>
      </c>
      <c r="P119" s="7"/>
      <c r="Q119" s="10"/>
      <c r="R119" s="11"/>
      <c r="S119" s="11"/>
      <c r="T119" s="26"/>
      <c r="U119" s="28">
        <f t="shared" si="8"/>
        <v>1.0419629629629628</v>
      </c>
    </row>
    <row r="120" spans="2:21" ht="16.5" thickBot="1" x14ac:dyDescent="0.3">
      <c r="B120" s="12"/>
      <c r="C120" s="19">
        <v>356.05</v>
      </c>
      <c r="D120" s="20">
        <v>38.603000000000002</v>
      </c>
      <c r="E120" s="20">
        <v>40.822000000000003</v>
      </c>
      <c r="F120" s="20">
        <v>41.173999999999999</v>
      </c>
      <c r="G120" s="20">
        <v>6.94</v>
      </c>
      <c r="H120" s="20">
        <f t="shared" si="6"/>
        <v>39.201749999999997</v>
      </c>
      <c r="I120" s="5"/>
      <c r="J120" s="19">
        <v>355.84809999999999</v>
      </c>
      <c r="K120" s="20">
        <v>39.1282</v>
      </c>
      <c r="L120" s="20">
        <v>42.715800000000002</v>
      </c>
      <c r="M120" s="20">
        <v>43.0075</v>
      </c>
      <c r="N120" s="20">
        <v>16.697700000000001</v>
      </c>
      <c r="O120" s="20">
        <f t="shared" si="7"/>
        <v>40.061562500000001</v>
      </c>
      <c r="P120" s="7"/>
      <c r="Q120" s="13"/>
      <c r="R120" s="14"/>
      <c r="S120" s="14"/>
      <c r="T120" s="27"/>
      <c r="U120" s="28">
        <f t="shared" si="8"/>
        <v>1.4060086455331411</v>
      </c>
    </row>
    <row r="121" spans="2:21" x14ac:dyDescent="0.25">
      <c r="B121" s="6" t="s">
        <v>113</v>
      </c>
      <c r="C121" s="15">
        <v>1535.49</v>
      </c>
      <c r="D121" s="16">
        <v>34.287999999999997</v>
      </c>
      <c r="E121" s="16">
        <v>37.357999999999997</v>
      </c>
      <c r="F121" s="16">
        <v>36.262</v>
      </c>
      <c r="G121" s="16">
        <v>3.26</v>
      </c>
      <c r="H121" s="16">
        <f t="shared" si="6"/>
        <v>34.918499999999995</v>
      </c>
      <c r="I121" s="5"/>
      <c r="J121" s="29">
        <v>1510.8924999999999</v>
      </c>
      <c r="K121" s="30">
        <v>33.819699999999997</v>
      </c>
      <c r="L121" s="30">
        <v>38.052500000000002</v>
      </c>
      <c r="M121" s="30">
        <v>36.892600000000002</v>
      </c>
      <c r="N121" s="16">
        <v>4.6623000000000001</v>
      </c>
      <c r="O121" s="16">
        <f t="shared" si="7"/>
        <v>34.732912499999998</v>
      </c>
      <c r="P121" s="7"/>
      <c r="Q121" s="8">
        <f>bdrate(C121:C124,D121:D124,J121:J124,K121:K124)</f>
        <v>6.4208273204469313E-2</v>
      </c>
      <c r="R121" s="8">
        <f>bdrate(C121:C124,E121:E124,J121:J124,L121:L124)</f>
        <v>-0.34289956664098087</v>
      </c>
      <c r="S121" s="8">
        <f>bdrate(C121:C124,F121:F124,J121:J124,M121:M124)</f>
        <v>-0.32199276470519644</v>
      </c>
      <c r="T121" s="25">
        <f>bdrate(C121:C124,H121:H124,J121:J124,O121:O124)</f>
        <v>-2.1746594160297783E-2</v>
      </c>
      <c r="U121" s="28">
        <f t="shared" si="8"/>
        <v>0.43015337423312894</v>
      </c>
    </row>
    <row r="122" spans="2:21" x14ac:dyDescent="0.25">
      <c r="B122" s="9"/>
      <c r="C122" s="17">
        <v>1019.88</v>
      </c>
      <c r="D122" s="18">
        <v>32.340000000000003</v>
      </c>
      <c r="E122" s="18">
        <v>35.99</v>
      </c>
      <c r="F122" s="18">
        <v>34.814999999999998</v>
      </c>
      <c r="G122" s="18">
        <v>3.84</v>
      </c>
      <c r="H122" s="18">
        <f t="shared" si="6"/>
        <v>33.105625000000003</v>
      </c>
      <c r="I122" s="5"/>
      <c r="J122" s="31">
        <v>1010.2969000000001</v>
      </c>
      <c r="K122" s="32">
        <v>31.912299999999998</v>
      </c>
      <c r="L122" s="32">
        <v>36.9739</v>
      </c>
      <c r="M122" s="32">
        <v>35.758499999999998</v>
      </c>
      <c r="N122" s="18">
        <v>5.5972999999999997</v>
      </c>
      <c r="O122" s="18">
        <f t="shared" si="7"/>
        <v>33.025774999999996</v>
      </c>
      <c r="P122" s="7"/>
      <c r="Q122" s="10"/>
      <c r="R122" s="11"/>
      <c r="S122" s="11"/>
      <c r="T122" s="26"/>
      <c r="U122" s="28">
        <f t="shared" si="8"/>
        <v>0.45763020833333329</v>
      </c>
    </row>
    <row r="123" spans="2:21" x14ac:dyDescent="0.25">
      <c r="B123" s="9"/>
      <c r="C123" s="17">
        <v>608.33000000000004</v>
      </c>
      <c r="D123" s="18">
        <v>30</v>
      </c>
      <c r="E123" s="18">
        <v>34.414000000000001</v>
      </c>
      <c r="F123" s="18">
        <v>33.134999999999998</v>
      </c>
      <c r="G123" s="18">
        <v>4.7300000000000004</v>
      </c>
      <c r="H123" s="18">
        <f t="shared" si="6"/>
        <v>30.943624999999997</v>
      </c>
      <c r="I123" s="5"/>
      <c r="J123" s="31">
        <v>606.30809999999997</v>
      </c>
      <c r="K123" s="32">
        <v>29.618300000000001</v>
      </c>
      <c r="L123" s="32">
        <v>35.691099999999999</v>
      </c>
      <c r="M123" s="32">
        <v>34.405299999999997</v>
      </c>
      <c r="N123" s="18">
        <v>7.2439999999999998</v>
      </c>
      <c r="O123" s="18">
        <f t="shared" si="7"/>
        <v>30.975774999999999</v>
      </c>
      <c r="P123" s="7"/>
      <c r="Q123" s="10"/>
      <c r="R123" s="11"/>
      <c r="S123" s="11"/>
      <c r="T123" s="26"/>
      <c r="U123" s="28">
        <f t="shared" si="8"/>
        <v>0.53150105708245221</v>
      </c>
    </row>
    <row r="124" spans="2:21" ht="16.5" thickBot="1" x14ac:dyDescent="0.3">
      <c r="B124" s="12"/>
      <c r="C124" s="19">
        <v>287.42</v>
      </c>
      <c r="D124" s="20">
        <v>26.506</v>
      </c>
      <c r="E124" s="20">
        <v>31.706</v>
      </c>
      <c r="F124" s="20">
        <v>30.396999999999998</v>
      </c>
      <c r="G124" s="20">
        <v>6.4</v>
      </c>
      <c r="H124" s="20">
        <f t="shared" si="6"/>
        <v>27.642374999999998</v>
      </c>
      <c r="I124" s="5"/>
      <c r="J124" s="33">
        <v>304.53050000000002</v>
      </c>
      <c r="K124" s="34">
        <v>27.017800000000001</v>
      </c>
      <c r="L124" s="34">
        <v>34.025300000000001</v>
      </c>
      <c r="M124" s="34">
        <v>32.612499999999997</v>
      </c>
      <c r="N124" s="20">
        <v>10.4818</v>
      </c>
      <c r="O124" s="20">
        <f t="shared" si="7"/>
        <v>28.593075000000006</v>
      </c>
      <c r="P124" s="7"/>
      <c r="Q124" s="13"/>
      <c r="R124" s="14"/>
      <c r="S124" s="14"/>
      <c r="T124" s="27"/>
      <c r="U124" s="28">
        <f t="shared" si="8"/>
        <v>0.63778124999999986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-3.0084254288541508E-2</v>
      </c>
      <c r="R125" s="21">
        <f>AVERAGE(R9:R124)</f>
        <v>-0.36909935905727292</v>
      </c>
      <c r="S125" s="21">
        <f>AVERAGE(S9:S124)</f>
        <v>-0.35454455335825302</v>
      </c>
      <c r="T125" s="21">
        <f>AVERAGE(T9:T124)</f>
        <v>-0.10049358764905346</v>
      </c>
      <c r="U125" s="21">
        <f>AVERAGE(U9:U124)</f>
        <v>0.87152152208359179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71" priority="337" operator="greaterThan">
      <formula>0.03</formula>
    </cfRule>
    <cfRule type="cellIs" dxfId="470" priority="338" stopIfTrue="1" operator="lessThan">
      <formula>-0.03</formula>
    </cfRule>
  </conditionalFormatting>
  <conditionalFormatting sqref="Q33:T36">
    <cfRule type="cellIs" dxfId="469" priority="335" operator="greaterThan">
      <formula>0.03</formula>
    </cfRule>
    <cfRule type="cellIs" dxfId="468" priority="336" stopIfTrue="1" operator="lessThan">
      <formula>-0.03</formula>
    </cfRule>
  </conditionalFormatting>
  <conditionalFormatting sqref="Q45:T48 Q61:T64">
    <cfRule type="cellIs" dxfId="467" priority="333" operator="greaterThan">
      <formula>0.03</formula>
    </cfRule>
    <cfRule type="cellIs" dxfId="466" priority="334" stopIfTrue="1" operator="lessThan">
      <formula>-0.03</formula>
    </cfRule>
  </conditionalFormatting>
  <conditionalFormatting sqref="Q49:T60">
    <cfRule type="cellIs" dxfId="465" priority="331" operator="greaterThan">
      <formula>0.03</formula>
    </cfRule>
    <cfRule type="cellIs" dxfId="464" priority="332" stopIfTrue="1" operator="lessThan">
      <formula>-0.03</formula>
    </cfRule>
  </conditionalFormatting>
  <conditionalFormatting sqref="Q69:T76">
    <cfRule type="cellIs" dxfId="463" priority="329" operator="greaterThan">
      <formula>0.03</formula>
    </cfRule>
    <cfRule type="cellIs" dxfId="462" priority="330" stopIfTrue="1" operator="lessThan">
      <formula>-0.03</formula>
    </cfRule>
  </conditionalFormatting>
  <conditionalFormatting sqref="Q65:T68">
    <cfRule type="cellIs" dxfId="461" priority="327" operator="greaterThan">
      <formula>0.03</formula>
    </cfRule>
    <cfRule type="cellIs" dxfId="460" priority="328" stopIfTrue="1" operator="lessThan">
      <formula>-0.03</formula>
    </cfRule>
  </conditionalFormatting>
  <conditionalFormatting sqref="Q77:T80">
    <cfRule type="cellIs" dxfId="459" priority="325" operator="greaterThan">
      <formula>0.03</formula>
    </cfRule>
    <cfRule type="cellIs" dxfId="458" priority="326" stopIfTrue="1" operator="lessThan">
      <formula>-0.03</formula>
    </cfRule>
  </conditionalFormatting>
  <conditionalFormatting sqref="Q21:T28">
    <cfRule type="cellIs" dxfId="457" priority="323" operator="greaterThan">
      <formula>0.03</formula>
    </cfRule>
    <cfRule type="cellIs" dxfId="456" priority="324" stopIfTrue="1" operator="lessThan">
      <formula>-0.03</formula>
    </cfRule>
  </conditionalFormatting>
  <conditionalFormatting sqref="Q117:T117">
    <cfRule type="cellIs" dxfId="455" priority="33" operator="greaterThan">
      <formula>0.03</formula>
    </cfRule>
    <cfRule type="cellIs" dxfId="454" priority="34" stopIfTrue="1" operator="lessThan">
      <formula>-0.03</formula>
    </cfRule>
  </conditionalFormatting>
  <conditionalFormatting sqref="Q93:T96 Q101:T108 Q81:T84">
    <cfRule type="cellIs" dxfId="453" priority="47" operator="greaterThan">
      <formula>0.03</formula>
    </cfRule>
    <cfRule type="cellIs" dxfId="452" priority="48" stopIfTrue="1" operator="lessThan">
      <formula>-0.03</formula>
    </cfRule>
  </conditionalFormatting>
  <conditionalFormatting sqref="Q97:T100">
    <cfRule type="cellIs" dxfId="451" priority="45" operator="greaterThan">
      <formula>0.03</formula>
    </cfRule>
    <cfRule type="cellIs" dxfId="450" priority="46" stopIfTrue="1" operator="lessThan">
      <formula>-0.03</formula>
    </cfRule>
  </conditionalFormatting>
  <conditionalFormatting sqref="Q110:T112 Q122:T124">
    <cfRule type="cellIs" dxfId="449" priority="43" operator="greaterThan">
      <formula>0.03</formula>
    </cfRule>
    <cfRule type="cellIs" dxfId="448" priority="44" stopIfTrue="1" operator="lessThan">
      <formula>-0.03</formula>
    </cfRule>
  </conditionalFormatting>
  <conditionalFormatting sqref="Q114:T116 Q118:T120">
    <cfRule type="cellIs" dxfId="447" priority="41" operator="greaterThan">
      <formula>0.03</formula>
    </cfRule>
    <cfRule type="cellIs" dxfId="446" priority="42" stopIfTrue="1" operator="lessThan">
      <formula>-0.03</formula>
    </cfRule>
  </conditionalFormatting>
  <conditionalFormatting sqref="Q85:T92">
    <cfRule type="cellIs" dxfId="445" priority="39" operator="greaterThan">
      <formula>0.03</formula>
    </cfRule>
    <cfRule type="cellIs" dxfId="444" priority="40" stopIfTrue="1" operator="lessThan">
      <formula>-0.03</formula>
    </cfRule>
  </conditionalFormatting>
  <conditionalFormatting sqref="Q109:T109">
    <cfRule type="cellIs" dxfId="443" priority="37" operator="greaterThan">
      <formula>0.03</formula>
    </cfRule>
    <cfRule type="cellIs" dxfId="442" priority="38" stopIfTrue="1" operator="lessThan">
      <formula>-0.03</formula>
    </cfRule>
  </conditionalFormatting>
  <conditionalFormatting sqref="Q113:T113">
    <cfRule type="cellIs" dxfId="441" priority="35" operator="greaterThan">
      <formula>0.03</formula>
    </cfRule>
    <cfRule type="cellIs" dxfId="440" priority="36" stopIfTrue="1" operator="lessThan">
      <formula>-0.03</formula>
    </cfRule>
  </conditionalFormatting>
  <conditionalFormatting sqref="Q121:T121">
    <cfRule type="cellIs" dxfId="439" priority="31" operator="greaterThan">
      <formula>0.03</formula>
    </cfRule>
    <cfRule type="cellIs" dxfId="438" priority="3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>
      <selection sqref="A1:XFD1048576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130</v>
      </c>
    </row>
    <row r="2" spans="1:21" x14ac:dyDescent="0.25">
      <c r="A2" t="s">
        <v>85</v>
      </c>
    </row>
    <row r="3" spans="1:21" x14ac:dyDescent="0.25">
      <c r="A3" t="s">
        <v>151</v>
      </c>
    </row>
    <row r="4" spans="1:21" x14ac:dyDescent="0.25">
      <c r="A4" t="s">
        <v>85</v>
      </c>
    </row>
    <row r="5" spans="1:21" s="35" customFormat="1" ht="15.75" customHeight="1" x14ac:dyDescent="0.25">
      <c r="B5" s="58" t="s">
        <v>29</v>
      </c>
      <c r="C5" s="60" t="s">
        <v>159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2"/>
    </row>
    <row r="6" spans="1:21" s="35" customFormat="1" x14ac:dyDescent="0.25">
      <c r="B6" s="59"/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5"/>
    </row>
    <row r="7" spans="1:21" ht="16.5" customHeight="1" thickBot="1" x14ac:dyDescent="0.3">
      <c r="C7" s="66" t="s">
        <v>126</v>
      </c>
      <c r="D7" s="67"/>
      <c r="E7" s="67"/>
      <c r="F7" s="67"/>
      <c r="G7" s="67"/>
      <c r="H7" s="67"/>
      <c r="I7" s="5"/>
      <c r="J7" s="66" t="s">
        <v>154</v>
      </c>
      <c r="K7" s="67"/>
      <c r="L7" s="67"/>
      <c r="M7" s="67"/>
      <c r="N7" s="67"/>
      <c r="O7" s="67"/>
      <c r="Q7" s="66" t="s">
        <v>7</v>
      </c>
      <c r="R7" s="67"/>
      <c r="S7" s="68"/>
      <c r="T7" s="36"/>
      <c r="U7" s="6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9"/>
    </row>
    <row r="9" spans="1:21" x14ac:dyDescent="0.25">
      <c r="A9" s="6" t="s">
        <v>35</v>
      </c>
      <c r="B9" s="6" t="s">
        <v>46</v>
      </c>
      <c r="C9" s="15">
        <v>4240.2294921875</v>
      </c>
      <c r="D9" s="16">
        <v>36.122</v>
      </c>
      <c r="E9" s="16">
        <v>38.588000000000001</v>
      </c>
      <c r="F9" s="16">
        <v>40.881</v>
      </c>
      <c r="G9" s="16">
        <v>14.23</v>
      </c>
      <c r="H9" s="16">
        <f t="shared" ref="H9:H80" si="0">(6*D9+E9+F9)/8</f>
        <v>37.025125000000003</v>
      </c>
      <c r="I9" s="5"/>
      <c r="J9" s="15">
        <v>4029.4960000000001</v>
      </c>
      <c r="K9" s="16">
        <v>37.590299999999999</v>
      </c>
      <c r="L9" s="16">
        <v>39.3748</v>
      </c>
      <c r="M9" s="16">
        <v>41.844299999999997</v>
      </c>
      <c r="N9" s="16">
        <v>22.57</v>
      </c>
      <c r="O9" s="16">
        <f t="shared" ref="O9:O80" si="1">(6*K9+L9+M9)/8</f>
        <v>38.345112499999999</v>
      </c>
      <c r="P9" s="7"/>
      <c r="Q9" s="8">
        <f>bdrate(C9:C12,D9:D12,J9:J12,K9:K12)</f>
        <v>-0.34651943703544863</v>
      </c>
      <c r="R9" s="8">
        <f>bdrate(C9:C12,E9:E12,J9:J12,L9:L12)</f>
        <v>-0.4420531450733054</v>
      </c>
      <c r="S9" s="8">
        <f>bdrate(C9:C12,F9:F12,J9:J12,M9:M12)</f>
        <v>-0.460408752159715</v>
      </c>
      <c r="T9" s="25">
        <f>bdrate(C9:C12,H9:H12,J9:J12,O9:O12)</f>
        <v>-0.36485627615963634</v>
      </c>
      <c r="U9" s="28">
        <f t="shared" ref="U9:U72" si="2">(N9-G9)/G9</f>
        <v>0.58608573436401967</v>
      </c>
    </row>
    <row r="10" spans="1:21" x14ac:dyDescent="0.25">
      <c r="A10" s="9" t="s">
        <v>36</v>
      </c>
      <c r="B10" s="9"/>
      <c r="C10" s="17">
        <v>3170.7421875</v>
      </c>
      <c r="D10" s="18">
        <v>35.216000000000001</v>
      </c>
      <c r="E10" s="18">
        <v>38.058</v>
      </c>
      <c r="F10" s="18">
        <v>40.283999999999999</v>
      </c>
      <c r="G10" s="18">
        <v>14.68</v>
      </c>
      <c r="H10" s="18">
        <f t="shared" si="0"/>
        <v>36.204749999999997</v>
      </c>
      <c r="I10" s="5"/>
      <c r="J10" s="17">
        <v>2920.2991999999999</v>
      </c>
      <c r="K10" s="18">
        <v>36.589599999999997</v>
      </c>
      <c r="L10" s="18">
        <v>38.804299999999998</v>
      </c>
      <c r="M10" s="18">
        <v>41.152200000000001</v>
      </c>
      <c r="N10" s="18">
        <v>25.848700000000001</v>
      </c>
      <c r="O10" s="18">
        <f t="shared" si="1"/>
        <v>37.4367625</v>
      </c>
      <c r="P10" s="7"/>
      <c r="Q10" s="10"/>
      <c r="R10" s="11"/>
      <c r="S10" s="11"/>
      <c r="T10" s="26"/>
      <c r="U10" s="28">
        <f t="shared" si="2"/>
        <v>0.76081062670299737</v>
      </c>
    </row>
    <row r="11" spans="1:21" x14ac:dyDescent="0.25">
      <c r="B11" s="9"/>
      <c r="C11" s="17">
        <v>2137.521484375</v>
      </c>
      <c r="D11" s="18">
        <v>33.895000000000003</v>
      </c>
      <c r="E11" s="18">
        <v>37.265999999999998</v>
      </c>
      <c r="F11" s="18">
        <v>39.402999999999999</v>
      </c>
      <c r="G11" s="18">
        <v>15.59</v>
      </c>
      <c r="H11" s="18">
        <f t="shared" si="0"/>
        <v>35.004874999999998</v>
      </c>
      <c r="I11" s="5"/>
      <c r="J11" s="17">
        <v>1933.7103999999999</v>
      </c>
      <c r="K11" s="18">
        <v>35.058599999999998</v>
      </c>
      <c r="L11" s="18">
        <v>38.155999999999999</v>
      </c>
      <c r="M11" s="18">
        <v>40.447400000000002</v>
      </c>
      <c r="N11" s="18">
        <v>30.048100000000002</v>
      </c>
      <c r="O11" s="18">
        <f t="shared" si="1"/>
        <v>36.119374999999998</v>
      </c>
      <c r="P11" s="7"/>
      <c r="Q11" s="10"/>
      <c r="R11" s="11"/>
      <c r="S11" s="11"/>
      <c r="T11" s="26"/>
      <c r="U11" s="28">
        <f t="shared" si="2"/>
        <v>0.92739576651699818</v>
      </c>
    </row>
    <row r="12" spans="1:21" ht="16.5" thickBot="1" x14ac:dyDescent="0.3">
      <c r="B12" s="12"/>
      <c r="C12" s="19">
        <v>1096.005859375</v>
      </c>
      <c r="D12" s="20">
        <v>31.102</v>
      </c>
      <c r="E12" s="20">
        <v>35.744999999999997</v>
      </c>
      <c r="F12" s="20">
        <v>37.673999999999999</v>
      </c>
      <c r="G12" s="20">
        <v>18.36</v>
      </c>
      <c r="H12" s="20">
        <f t="shared" si="0"/>
        <v>32.503875000000001</v>
      </c>
      <c r="I12" s="5"/>
      <c r="J12" s="19">
        <v>919.44320000000005</v>
      </c>
      <c r="K12" s="20">
        <v>32.147399999999998</v>
      </c>
      <c r="L12" s="20">
        <v>36.871200000000002</v>
      </c>
      <c r="M12" s="20">
        <v>39.082299999999996</v>
      </c>
      <c r="N12" s="20">
        <v>39.082900000000002</v>
      </c>
      <c r="O12" s="20">
        <f t="shared" si="1"/>
        <v>33.604737499999992</v>
      </c>
      <c r="P12" s="7"/>
      <c r="Q12" s="13"/>
      <c r="R12" s="14"/>
      <c r="S12" s="14"/>
      <c r="T12" s="27"/>
      <c r="U12" s="28">
        <f t="shared" si="2"/>
        <v>1.1286982570806101</v>
      </c>
    </row>
    <row r="13" spans="1:21" x14ac:dyDescent="0.25">
      <c r="B13" s="6" t="s">
        <v>47</v>
      </c>
      <c r="C13" s="15">
        <v>4762.2294921875</v>
      </c>
      <c r="D13" s="16">
        <v>28.03</v>
      </c>
      <c r="E13" s="16">
        <v>38.781999999999996</v>
      </c>
      <c r="F13" s="16">
        <v>39.816000000000003</v>
      </c>
      <c r="G13" s="16">
        <v>12.3</v>
      </c>
      <c r="H13" s="16">
        <f t="shared" si="0"/>
        <v>30.847249999999999</v>
      </c>
      <c r="I13" s="5"/>
      <c r="J13" s="15">
        <v>4059.6352000000002</v>
      </c>
      <c r="K13" s="16">
        <v>29.1127</v>
      </c>
      <c r="L13" s="16">
        <v>39.244700000000002</v>
      </c>
      <c r="M13" s="16">
        <v>40.198399999999999</v>
      </c>
      <c r="N13" s="16">
        <v>16.607600000000001</v>
      </c>
      <c r="O13" s="16">
        <f t="shared" si="1"/>
        <v>31.764912499999998</v>
      </c>
      <c r="P13" s="7"/>
      <c r="Q13" s="8">
        <f>bdrate(C13:C16,D13:D16,J13:J16,K13:K16)</f>
        <v>-0.23387924240298663</v>
      </c>
      <c r="R13" s="8">
        <f>bdrate(C13:C16,E13:E16,J13:J16,L13:L16)</f>
        <v>-0.50812368791065898</v>
      </c>
      <c r="S13" s="8">
        <f>bdrate(C13:C16,F13:F16,J13:J16,M13:M16)</f>
        <v>-0.53454498582914001</v>
      </c>
      <c r="T13" s="25">
        <f>bdrate(C13:C16,H13:H16,J13:J16,O13:O16)</f>
        <v>-0.28234591903240147</v>
      </c>
      <c r="U13" s="28">
        <f t="shared" si="2"/>
        <v>0.35021138211382119</v>
      </c>
    </row>
    <row r="14" spans="1:21" x14ac:dyDescent="0.25">
      <c r="B14" s="9"/>
      <c r="C14" s="17">
        <v>4095.2666015625</v>
      </c>
      <c r="D14" s="18">
        <v>27.666</v>
      </c>
      <c r="E14" s="18">
        <v>38.234000000000002</v>
      </c>
      <c r="F14" s="18">
        <v>39.261000000000003</v>
      </c>
      <c r="G14" s="18">
        <v>12.62</v>
      </c>
      <c r="H14" s="18">
        <f t="shared" si="0"/>
        <v>30.436375000000002</v>
      </c>
      <c r="I14" s="5"/>
      <c r="J14" s="17">
        <v>3034.3152</v>
      </c>
      <c r="K14" s="18">
        <v>27.769600000000001</v>
      </c>
      <c r="L14" s="18">
        <v>38.767699999999998</v>
      </c>
      <c r="M14" s="18">
        <v>39.786900000000003</v>
      </c>
      <c r="N14" s="18">
        <v>19.7837</v>
      </c>
      <c r="O14" s="18">
        <f t="shared" si="1"/>
        <v>30.646525</v>
      </c>
      <c r="P14" s="7"/>
      <c r="Q14" s="10"/>
      <c r="R14" s="11"/>
      <c r="S14" s="11"/>
      <c r="T14" s="26"/>
      <c r="U14" s="28">
        <f t="shared" si="2"/>
        <v>0.56764659270998419</v>
      </c>
    </row>
    <row r="15" spans="1:21" x14ac:dyDescent="0.25">
      <c r="B15" s="9"/>
      <c r="C15" s="17">
        <v>3409.58203125</v>
      </c>
      <c r="D15" s="18">
        <v>27.236000000000001</v>
      </c>
      <c r="E15" s="18">
        <v>37.610999999999997</v>
      </c>
      <c r="F15" s="18">
        <v>38.527999999999999</v>
      </c>
      <c r="G15" s="18">
        <v>12.29</v>
      </c>
      <c r="H15" s="18">
        <f t="shared" si="0"/>
        <v>29.944374999999997</v>
      </c>
      <c r="I15" s="5"/>
      <c r="J15" s="17">
        <v>2017.9903999999999</v>
      </c>
      <c r="K15" s="18">
        <v>25.97</v>
      </c>
      <c r="L15" s="18">
        <v>38.030799999999999</v>
      </c>
      <c r="M15" s="18">
        <v>39.1828</v>
      </c>
      <c r="N15" s="18">
        <v>25.303599999999999</v>
      </c>
      <c r="O15" s="18">
        <f t="shared" si="1"/>
        <v>29.129199999999997</v>
      </c>
      <c r="P15" s="7"/>
      <c r="Q15" s="10"/>
      <c r="R15" s="11"/>
      <c r="S15" s="11"/>
      <c r="T15" s="26"/>
      <c r="U15" s="28">
        <f t="shared" si="2"/>
        <v>1.0588771358828317</v>
      </c>
    </row>
    <row r="16" spans="1:21" ht="16.5" thickBot="1" x14ac:dyDescent="0.3">
      <c r="B16" s="12"/>
      <c r="C16" s="19">
        <v>2870.1015625</v>
      </c>
      <c r="D16" s="20">
        <v>26.567</v>
      </c>
      <c r="E16" s="20">
        <v>36.459000000000003</v>
      </c>
      <c r="F16" s="20">
        <v>37.225999999999999</v>
      </c>
      <c r="G16" s="20">
        <v>12.65</v>
      </c>
      <c r="H16" s="20">
        <f t="shared" si="0"/>
        <v>29.135874999999999</v>
      </c>
      <c r="I16" s="5"/>
      <c r="J16" s="19">
        <v>1125.5488</v>
      </c>
      <c r="K16" s="20">
        <v>23.934999999999999</v>
      </c>
      <c r="L16" s="20">
        <v>36.505000000000003</v>
      </c>
      <c r="M16" s="20">
        <v>37.7532</v>
      </c>
      <c r="N16" s="20">
        <v>32.161200000000001</v>
      </c>
      <c r="O16" s="20">
        <f t="shared" si="1"/>
        <v>27.233524999999997</v>
      </c>
      <c r="P16" s="7"/>
      <c r="Q16" s="13"/>
      <c r="R16" s="14"/>
      <c r="S16" s="14"/>
      <c r="T16" s="27"/>
      <c r="U16" s="28">
        <f t="shared" si="2"/>
        <v>1.5423873517786562</v>
      </c>
    </row>
    <row r="17" spans="1:21" x14ac:dyDescent="0.25">
      <c r="A17" s="6" t="s">
        <v>37</v>
      </c>
      <c r="B17" s="6" t="s">
        <v>48</v>
      </c>
      <c r="C17" s="15">
        <v>2016.111328125</v>
      </c>
      <c r="D17" s="16">
        <v>36.972999999999999</v>
      </c>
      <c r="E17" s="16">
        <v>40.981999999999999</v>
      </c>
      <c r="F17" s="16">
        <v>42.165999999999997</v>
      </c>
      <c r="G17" s="16">
        <v>24.02</v>
      </c>
      <c r="H17" s="16">
        <f t="shared" si="0"/>
        <v>38.123249999999999</v>
      </c>
      <c r="I17" s="5"/>
      <c r="J17" s="15">
        <v>2377.8719999999998</v>
      </c>
      <c r="K17" s="16">
        <v>38.938099999999999</v>
      </c>
      <c r="L17" s="16">
        <v>41.838700000000003</v>
      </c>
      <c r="M17" s="16">
        <v>43.180399999999999</v>
      </c>
      <c r="N17" s="16">
        <v>44.851399999999998</v>
      </c>
      <c r="O17" s="16">
        <f t="shared" si="1"/>
        <v>39.830962500000005</v>
      </c>
      <c r="P17" s="7"/>
      <c r="Q17" s="8">
        <f>bdrate(C17:C20,D17:D20,J17:J20,K17:K20)</f>
        <v>-0.41524586437870503</v>
      </c>
      <c r="R17" s="8">
        <f>bdrate(C17:C20,E17:E20,J17:J20,L17:L20)</f>
        <v>-0.35894789153960527</v>
      </c>
      <c r="S17" s="8">
        <f>bdrate(C17:C20,F17:F20,J17:J20,M17:M20)</f>
        <v>-0.36394651118389476</v>
      </c>
      <c r="T17" s="25">
        <f>bdrate(C17:C20,H17:H20,J17:J20,O17:O20)</f>
        <v>-0.4082586344984902</v>
      </c>
      <c r="U17" s="28">
        <f t="shared" si="2"/>
        <v>0.86725228975853452</v>
      </c>
    </row>
    <row r="18" spans="1:21" x14ac:dyDescent="0.25">
      <c r="A18" s="9" t="s">
        <v>38</v>
      </c>
      <c r="B18" s="9"/>
      <c r="C18" s="17">
        <v>1416.314453125</v>
      </c>
      <c r="D18" s="18">
        <v>35.607999999999997</v>
      </c>
      <c r="E18" s="18">
        <v>40.335000000000001</v>
      </c>
      <c r="F18" s="18">
        <v>41.488</v>
      </c>
      <c r="G18" s="18">
        <v>26.23</v>
      </c>
      <c r="H18" s="18">
        <f t="shared" si="0"/>
        <v>36.933875</v>
      </c>
      <c r="I18" s="5"/>
      <c r="J18" s="17">
        <v>1571.3248000000001</v>
      </c>
      <c r="K18" s="18">
        <v>37.702300000000001</v>
      </c>
      <c r="L18" s="18">
        <v>41.188200000000002</v>
      </c>
      <c r="M18" s="18">
        <v>42.417099999999998</v>
      </c>
      <c r="N18" s="18">
        <v>50.114800000000002</v>
      </c>
      <c r="O18" s="18">
        <f t="shared" si="1"/>
        <v>38.727387499999999</v>
      </c>
      <c r="P18" s="7"/>
      <c r="Q18" s="10"/>
      <c r="R18" s="11"/>
      <c r="S18" s="11"/>
      <c r="T18" s="26"/>
      <c r="U18" s="28">
        <f t="shared" si="2"/>
        <v>0.91059092642012973</v>
      </c>
    </row>
    <row r="19" spans="1:21" x14ac:dyDescent="0.25">
      <c r="B19" s="9"/>
      <c r="C19" s="17">
        <v>958.91015625</v>
      </c>
      <c r="D19" s="18">
        <v>33.926000000000002</v>
      </c>
      <c r="E19" s="18">
        <v>39.448999999999998</v>
      </c>
      <c r="F19" s="18">
        <v>40.609000000000002</v>
      </c>
      <c r="G19" s="18">
        <v>28.5</v>
      </c>
      <c r="H19" s="18">
        <f t="shared" si="0"/>
        <v>35.451749999999997</v>
      </c>
      <c r="I19" s="5"/>
      <c r="J19" s="17">
        <v>960.69439999999997</v>
      </c>
      <c r="K19" s="18">
        <v>36.087600000000002</v>
      </c>
      <c r="L19" s="18">
        <v>40.366999999999997</v>
      </c>
      <c r="M19" s="18">
        <v>41.5379</v>
      </c>
      <c r="N19" s="18">
        <v>58.953600000000002</v>
      </c>
      <c r="O19" s="18">
        <f t="shared" si="1"/>
        <v>37.303812499999999</v>
      </c>
      <c r="P19" s="7"/>
      <c r="Q19" s="10"/>
      <c r="R19" s="11"/>
      <c r="S19" s="11"/>
      <c r="T19" s="26"/>
      <c r="U19" s="28">
        <f t="shared" si="2"/>
        <v>1.0685473684210527</v>
      </c>
    </row>
    <row r="20" spans="1:21" ht="16.5" thickBot="1" x14ac:dyDescent="0.3">
      <c r="B20" s="12"/>
      <c r="C20" s="19">
        <v>591.73046875</v>
      </c>
      <c r="D20" s="20">
        <v>31.788</v>
      </c>
      <c r="E20" s="20">
        <v>38.286000000000001</v>
      </c>
      <c r="F20" s="20">
        <v>39.418999999999997</v>
      </c>
      <c r="G20" s="20">
        <v>31.68</v>
      </c>
      <c r="H20" s="20">
        <f t="shared" si="0"/>
        <v>33.554124999999999</v>
      </c>
      <c r="I20" s="5"/>
      <c r="J20" s="19">
        <v>555.34079999999994</v>
      </c>
      <c r="K20" s="20">
        <v>34.224499999999999</v>
      </c>
      <c r="L20" s="20">
        <v>39.620899999999999</v>
      </c>
      <c r="M20" s="20">
        <v>40.822400000000002</v>
      </c>
      <c r="N20" s="20">
        <v>69.605599999999995</v>
      </c>
      <c r="O20" s="20">
        <f t="shared" si="1"/>
        <v>35.7237875</v>
      </c>
      <c r="P20" s="7"/>
      <c r="Q20" s="13"/>
      <c r="R20" s="14"/>
      <c r="S20" s="14"/>
      <c r="T20" s="27"/>
      <c r="U20" s="28">
        <f t="shared" si="2"/>
        <v>1.1971464646464645</v>
      </c>
    </row>
    <row r="21" spans="1:21" x14ac:dyDescent="0.25">
      <c r="B21" s="6" t="s">
        <v>49</v>
      </c>
      <c r="C21" s="15">
        <v>2483.6513671875</v>
      </c>
      <c r="D21" s="16">
        <v>34.587000000000003</v>
      </c>
      <c r="E21" s="16">
        <v>38.743000000000002</v>
      </c>
      <c r="F21" s="16">
        <v>39.991</v>
      </c>
      <c r="G21" s="16">
        <v>24.2</v>
      </c>
      <c r="H21" s="16">
        <f t="shared" si="0"/>
        <v>35.782000000000004</v>
      </c>
      <c r="I21" s="5"/>
      <c r="J21" s="15">
        <v>2448.8975999999998</v>
      </c>
      <c r="K21" s="16">
        <v>35.759599999999999</v>
      </c>
      <c r="L21" s="16">
        <v>39.803199999999997</v>
      </c>
      <c r="M21" s="16">
        <v>41.0413</v>
      </c>
      <c r="N21" s="16">
        <v>39.447699999999998</v>
      </c>
      <c r="O21" s="16">
        <f t="shared" si="1"/>
        <v>36.925262499999995</v>
      </c>
      <c r="P21" s="7"/>
      <c r="Q21" s="8">
        <f>bdrate(C21:C24,D21:D24,J21:J24,K21:K24)</f>
        <v>-0.29444686474131798</v>
      </c>
      <c r="R21" s="8">
        <f>bdrate(C21:C24,E21:E24,J21:J24,L21:L24)</f>
        <v>-0.45449412701977321</v>
      </c>
      <c r="S21" s="8">
        <f>bdrate(C21:C24,F21:F24,J21:J24,M21:M24)</f>
        <v>-0.44932219813200236</v>
      </c>
      <c r="T21" s="25">
        <f>bdrate(C21:C24,H21:H24,J21:J24,O21:O24)</f>
        <v>-0.32282722098838856</v>
      </c>
      <c r="U21" s="28">
        <f t="shared" si="2"/>
        <v>0.63007024793388422</v>
      </c>
    </row>
    <row r="22" spans="1:21" x14ac:dyDescent="0.25">
      <c r="B22" s="9"/>
      <c r="C22" s="17">
        <v>1678.5498046875</v>
      </c>
      <c r="D22" s="18">
        <v>33.509</v>
      </c>
      <c r="E22" s="18">
        <v>38.015999999999998</v>
      </c>
      <c r="F22" s="18">
        <v>39.377000000000002</v>
      </c>
      <c r="G22" s="18">
        <v>25.38</v>
      </c>
      <c r="H22" s="18">
        <f t="shared" si="0"/>
        <v>34.805875</v>
      </c>
      <c r="I22" s="5"/>
      <c r="J22" s="17">
        <v>1660.8055999999999</v>
      </c>
      <c r="K22" s="18">
        <v>34.524999999999999</v>
      </c>
      <c r="L22" s="18">
        <v>39.068300000000001</v>
      </c>
      <c r="M22" s="18">
        <v>40.295499999999997</v>
      </c>
      <c r="N22" s="18">
        <v>46.341000000000001</v>
      </c>
      <c r="O22" s="18">
        <f t="shared" si="1"/>
        <v>35.814224999999993</v>
      </c>
      <c r="P22" s="7"/>
      <c r="Q22" s="10"/>
      <c r="R22" s="11"/>
      <c r="S22" s="11"/>
      <c r="T22" s="26"/>
      <c r="U22" s="28">
        <f t="shared" si="2"/>
        <v>0.8258865248226952</v>
      </c>
    </row>
    <row r="23" spans="1:21" x14ac:dyDescent="0.25">
      <c r="B23" s="9"/>
      <c r="C23" s="17">
        <v>1042.265625</v>
      </c>
      <c r="D23" s="18">
        <v>32.146000000000001</v>
      </c>
      <c r="E23" s="18">
        <v>37.091000000000001</v>
      </c>
      <c r="F23" s="18">
        <v>38.646000000000001</v>
      </c>
      <c r="G23" s="18">
        <v>27.19</v>
      </c>
      <c r="H23" s="18">
        <f t="shared" si="0"/>
        <v>33.576625</v>
      </c>
      <c r="I23" s="5"/>
      <c r="J23" s="17">
        <v>1008.4968</v>
      </c>
      <c r="K23" s="18">
        <v>33.053600000000003</v>
      </c>
      <c r="L23" s="18">
        <v>38.178699999999999</v>
      </c>
      <c r="M23" s="18">
        <v>39.489100000000001</v>
      </c>
      <c r="N23" s="18">
        <v>55.749099999999999</v>
      </c>
      <c r="O23" s="18">
        <f t="shared" si="1"/>
        <v>34.498674999999999</v>
      </c>
      <c r="P23" s="7"/>
      <c r="Q23" s="10"/>
      <c r="R23" s="11"/>
      <c r="S23" s="11"/>
      <c r="T23" s="26"/>
      <c r="U23" s="28">
        <f t="shared" si="2"/>
        <v>1.0503530709819786</v>
      </c>
    </row>
    <row r="24" spans="1:21" ht="16.5" thickBot="1" x14ac:dyDescent="0.3">
      <c r="B24" s="12"/>
      <c r="C24" s="19">
        <v>625.6708984375</v>
      </c>
      <c r="D24" s="20">
        <v>30.579000000000001</v>
      </c>
      <c r="E24" s="20">
        <v>36.159999999999997</v>
      </c>
      <c r="F24" s="20">
        <v>37.936</v>
      </c>
      <c r="G24" s="20">
        <v>29.75</v>
      </c>
      <c r="H24" s="20">
        <f t="shared" si="0"/>
        <v>32.196249999999999</v>
      </c>
      <c r="I24" s="5"/>
      <c r="J24" s="19">
        <v>594.7568</v>
      </c>
      <c r="K24" s="20">
        <v>31.453700000000001</v>
      </c>
      <c r="L24" s="20">
        <v>37.2453</v>
      </c>
      <c r="M24" s="20">
        <v>38.777900000000002</v>
      </c>
      <c r="N24" s="20">
        <v>66.889600000000002</v>
      </c>
      <c r="O24" s="20">
        <f t="shared" si="1"/>
        <v>33.093175000000002</v>
      </c>
      <c r="P24" s="7"/>
      <c r="Q24" s="13"/>
      <c r="R24" s="14"/>
      <c r="S24" s="14"/>
      <c r="T24" s="27"/>
      <c r="U24" s="28">
        <f t="shared" si="2"/>
        <v>1.2483899159663867</v>
      </c>
    </row>
    <row r="25" spans="1:21" x14ac:dyDescent="0.25">
      <c r="B25" s="6" t="s">
        <v>50</v>
      </c>
      <c r="C25" s="15">
        <v>2443.83203125</v>
      </c>
      <c r="D25" s="16">
        <v>32.697000000000003</v>
      </c>
      <c r="E25" s="16">
        <v>37.456000000000003</v>
      </c>
      <c r="F25" s="16">
        <v>38.76</v>
      </c>
      <c r="G25" s="16">
        <v>30.99</v>
      </c>
      <c r="H25" s="16">
        <f t="shared" si="0"/>
        <v>34.049750000000003</v>
      </c>
      <c r="I25" s="5"/>
      <c r="J25" s="15">
        <v>2413.4504000000002</v>
      </c>
      <c r="K25" s="16">
        <v>33.847000000000001</v>
      </c>
      <c r="L25" s="16">
        <v>38.037599999999998</v>
      </c>
      <c r="M25" s="16">
        <v>40.003300000000003</v>
      </c>
      <c r="N25" s="16">
        <v>54.048200000000001</v>
      </c>
      <c r="O25" s="16">
        <f t="shared" si="1"/>
        <v>35.140362500000002</v>
      </c>
      <c r="P25" s="7"/>
      <c r="Q25" s="8">
        <f>bdrate(C25:C28,D25:D28,J25:J28,K25:K28)</f>
        <v>-0.34757434513717445</v>
      </c>
      <c r="R25" s="8">
        <f>bdrate(C25:C28,E25:E28,J25:J28,L25:L28)</f>
        <v>-0.50047390842602768</v>
      </c>
      <c r="S25" s="8">
        <f>bdrate(C25:C28,F25:F28,J25:J28,M25:M28)</f>
        <v>-0.51764809475715279</v>
      </c>
      <c r="T25" s="25">
        <f>bdrate(C25:C28,H25:H28,J25:J28,O25:O28)</f>
        <v>-0.3795382240337849</v>
      </c>
      <c r="U25" s="28">
        <f t="shared" si="2"/>
        <v>0.74405292029687009</v>
      </c>
    </row>
    <row r="26" spans="1:21" x14ac:dyDescent="0.25">
      <c r="B26" s="9"/>
      <c r="C26" s="17">
        <v>1638.05859375</v>
      </c>
      <c r="D26" s="18">
        <v>31.349</v>
      </c>
      <c r="E26" s="18">
        <v>36.707000000000001</v>
      </c>
      <c r="F26" s="18">
        <v>37.566000000000003</v>
      </c>
      <c r="G26" s="18">
        <v>33.14</v>
      </c>
      <c r="H26" s="18">
        <f t="shared" si="0"/>
        <v>32.795874999999995</v>
      </c>
      <c r="I26" s="5"/>
      <c r="J26" s="17">
        <v>1606.8920000000001</v>
      </c>
      <c r="K26" s="18">
        <v>32.633299999999998</v>
      </c>
      <c r="L26" s="18">
        <v>37.612699999999997</v>
      </c>
      <c r="M26" s="18">
        <v>39.197499999999998</v>
      </c>
      <c r="N26" s="18">
        <v>64.491200000000006</v>
      </c>
      <c r="O26" s="18">
        <f t="shared" si="1"/>
        <v>34.076250000000002</v>
      </c>
      <c r="P26" s="7"/>
      <c r="Q26" s="10"/>
      <c r="R26" s="11"/>
      <c r="S26" s="11"/>
      <c r="T26" s="26"/>
      <c r="U26" s="28">
        <f t="shared" si="2"/>
        <v>0.94602293301146667</v>
      </c>
    </row>
    <row r="27" spans="1:21" x14ac:dyDescent="0.25">
      <c r="B27" s="9"/>
      <c r="C27" s="17">
        <v>1050.5712890625</v>
      </c>
      <c r="D27" s="18">
        <v>29.584</v>
      </c>
      <c r="E27" s="18">
        <v>35.676000000000002</v>
      </c>
      <c r="F27" s="18">
        <v>36.015000000000001</v>
      </c>
      <c r="G27" s="18">
        <v>37.450000000000003</v>
      </c>
      <c r="H27" s="18">
        <f t="shared" si="0"/>
        <v>31.149374999999999</v>
      </c>
      <c r="I27" s="5"/>
      <c r="J27" s="17">
        <v>996.41520000000003</v>
      </c>
      <c r="K27" s="18">
        <v>31.043399999999998</v>
      </c>
      <c r="L27" s="18">
        <v>37.027200000000001</v>
      </c>
      <c r="M27" s="18">
        <v>38.160400000000003</v>
      </c>
      <c r="N27" s="18">
        <v>76.499399999999994</v>
      </c>
      <c r="O27" s="18">
        <f t="shared" si="1"/>
        <v>32.680999999999997</v>
      </c>
      <c r="P27" s="7"/>
      <c r="Q27" s="10"/>
      <c r="R27" s="11"/>
      <c r="S27" s="11"/>
      <c r="T27" s="26"/>
      <c r="U27" s="28">
        <f t="shared" si="2"/>
        <v>1.0427076101468622</v>
      </c>
    </row>
    <row r="28" spans="1:21" ht="16.5" thickBot="1" x14ac:dyDescent="0.3">
      <c r="B28" s="12"/>
      <c r="C28" s="19">
        <v>822.51171875</v>
      </c>
      <c r="D28" s="20">
        <v>28.585999999999999</v>
      </c>
      <c r="E28" s="20">
        <v>34.831000000000003</v>
      </c>
      <c r="F28" s="20">
        <v>34.781999999999996</v>
      </c>
      <c r="G28" s="20">
        <v>36.380000000000003</v>
      </c>
      <c r="H28" s="20">
        <f t="shared" si="0"/>
        <v>30.141124999999995</v>
      </c>
      <c r="I28" s="5"/>
      <c r="J28" s="19">
        <v>598.73680000000002</v>
      </c>
      <c r="K28" s="20">
        <v>29.253399999999999</v>
      </c>
      <c r="L28" s="20">
        <v>36.366799999999998</v>
      </c>
      <c r="M28" s="20">
        <v>37.097900000000003</v>
      </c>
      <c r="N28" s="20">
        <v>91.058099999999996</v>
      </c>
      <c r="O28" s="20">
        <f t="shared" si="1"/>
        <v>31.123137500000002</v>
      </c>
      <c r="P28" s="7"/>
      <c r="Q28" s="13"/>
      <c r="R28" s="14"/>
      <c r="S28" s="14"/>
      <c r="T28" s="27"/>
      <c r="U28" s="28">
        <f t="shared" si="2"/>
        <v>1.5029714128642109</v>
      </c>
    </row>
    <row r="29" spans="1:21" x14ac:dyDescent="0.25">
      <c r="B29" s="6" t="s">
        <v>51</v>
      </c>
      <c r="C29" s="29">
        <v>2254.8193359375</v>
      </c>
      <c r="D29" s="30">
        <v>31.608000000000001</v>
      </c>
      <c r="E29" s="30">
        <v>38.442</v>
      </c>
      <c r="F29" s="30">
        <v>37.198999999999998</v>
      </c>
      <c r="G29" s="16">
        <v>29.63</v>
      </c>
      <c r="H29" s="16">
        <f t="shared" si="0"/>
        <v>33.161124999999998</v>
      </c>
      <c r="I29" s="5"/>
      <c r="J29" s="29">
        <v>2418.5551999999998</v>
      </c>
      <c r="K29" s="30">
        <v>33.8232</v>
      </c>
      <c r="L29" s="30">
        <v>40.194200000000002</v>
      </c>
      <c r="M29" s="30">
        <v>39.772199999999998</v>
      </c>
      <c r="N29" s="16">
        <v>46.996899999999997</v>
      </c>
      <c r="O29" s="16">
        <f t="shared" si="1"/>
        <v>35.363199999999999</v>
      </c>
      <c r="P29" s="7"/>
      <c r="Q29" s="8">
        <f>bdrate(C29:C32,D29:D32,J29:J32,K29:K32)</f>
        <v>-0.4572233234560924</v>
      </c>
      <c r="R29" s="8">
        <f>bdrate(C29:C32,E29:E32,J29:J32,L29:L32)</f>
        <v>-0.56742665964037187</v>
      </c>
      <c r="S29" s="8">
        <f>bdrate(C29:C32,F29:F32,J29:J32,M29:M32)</f>
        <v>-0.62561951792153492</v>
      </c>
      <c r="T29" s="25">
        <f>bdrate(C29:C32,H29:H32,J29:J32,O29:O32)</f>
        <v>-0.49205778166959802</v>
      </c>
      <c r="U29" s="28">
        <f t="shared" si="2"/>
        <v>0.58612554843064457</v>
      </c>
    </row>
    <row r="30" spans="1:21" x14ac:dyDescent="0.25">
      <c r="B30" s="9"/>
      <c r="C30" s="31">
        <v>1648.83984375</v>
      </c>
      <c r="D30" s="32">
        <v>30.27</v>
      </c>
      <c r="E30" s="32">
        <v>37.439</v>
      </c>
      <c r="F30" s="32">
        <v>35.948999999999998</v>
      </c>
      <c r="G30" s="18">
        <v>32.119999999999997</v>
      </c>
      <c r="H30" s="18">
        <f t="shared" si="0"/>
        <v>31.875999999999998</v>
      </c>
      <c r="I30" s="5"/>
      <c r="J30" s="31">
        <v>1609.5024000000001</v>
      </c>
      <c r="K30" s="32">
        <v>32.430300000000003</v>
      </c>
      <c r="L30" s="32">
        <v>39.422699999999999</v>
      </c>
      <c r="M30" s="32">
        <v>38.804200000000002</v>
      </c>
      <c r="N30" s="18">
        <v>55.352600000000002</v>
      </c>
      <c r="O30" s="18">
        <f t="shared" si="1"/>
        <v>34.101087499999998</v>
      </c>
      <c r="P30" s="7"/>
      <c r="Q30" s="10"/>
      <c r="R30" s="11"/>
      <c r="S30" s="11"/>
      <c r="T30" s="26"/>
      <c r="U30" s="28">
        <f t="shared" si="2"/>
        <v>0.72330635118306374</v>
      </c>
    </row>
    <row r="31" spans="1:21" x14ac:dyDescent="0.25">
      <c r="B31" s="9"/>
      <c r="C31" s="31">
        <v>1261.32421875</v>
      </c>
      <c r="D31" s="32">
        <v>29.193000000000001</v>
      </c>
      <c r="E31" s="32">
        <v>36.334000000000003</v>
      </c>
      <c r="F31" s="32">
        <v>34.857999999999997</v>
      </c>
      <c r="G31" s="18">
        <v>33.4</v>
      </c>
      <c r="H31" s="18">
        <f t="shared" si="0"/>
        <v>30.793750000000003</v>
      </c>
      <c r="I31" s="5"/>
      <c r="J31" s="31">
        <v>1002.9544</v>
      </c>
      <c r="K31" s="32">
        <v>30.689</v>
      </c>
      <c r="L31" s="32">
        <v>38.393099999999997</v>
      </c>
      <c r="M31" s="32">
        <v>37.579599999999999</v>
      </c>
      <c r="N31" s="18">
        <v>66.225200000000001</v>
      </c>
      <c r="O31" s="18">
        <f t="shared" si="1"/>
        <v>32.513337500000006</v>
      </c>
      <c r="P31" s="7"/>
      <c r="Q31" s="10"/>
      <c r="R31" s="11"/>
      <c r="S31" s="11"/>
      <c r="T31" s="26"/>
      <c r="U31" s="28">
        <f t="shared" si="2"/>
        <v>0.98279041916167675</v>
      </c>
    </row>
    <row r="32" spans="1:21" ht="16.5" thickBot="1" x14ac:dyDescent="0.3">
      <c r="B32" s="12"/>
      <c r="C32" s="33">
        <v>1137.3134765625</v>
      </c>
      <c r="D32" s="34">
        <v>28.753</v>
      </c>
      <c r="E32" s="34">
        <v>35.685000000000002</v>
      </c>
      <c r="F32" s="34">
        <v>34.293999999999997</v>
      </c>
      <c r="G32" s="20">
        <v>32.520000000000003</v>
      </c>
      <c r="H32" s="20">
        <f t="shared" si="0"/>
        <v>30.312125000000002</v>
      </c>
      <c r="I32" s="5"/>
      <c r="J32" s="33">
        <v>591.7704</v>
      </c>
      <c r="K32" s="34">
        <v>28.765999999999998</v>
      </c>
      <c r="L32" s="34">
        <v>36.895899999999997</v>
      </c>
      <c r="M32" s="34">
        <v>35.898899999999998</v>
      </c>
      <c r="N32" s="20">
        <v>79.3399</v>
      </c>
      <c r="O32" s="20">
        <f t="shared" si="1"/>
        <v>30.673849999999998</v>
      </c>
      <c r="P32" s="7"/>
      <c r="Q32" s="13"/>
      <c r="R32" s="14"/>
      <c r="S32" s="14"/>
      <c r="T32" s="27"/>
      <c r="U32" s="28">
        <f t="shared" si="2"/>
        <v>1.4397263222632224</v>
      </c>
    </row>
    <row r="33" spans="1:21" x14ac:dyDescent="0.25">
      <c r="B33" s="6" t="s">
        <v>52</v>
      </c>
      <c r="C33" s="15">
        <v>2493.087890625</v>
      </c>
      <c r="D33" s="16">
        <v>31.408999999999999</v>
      </c>
      <c r="E33" s="16">
        <v>38.481000000000002</v>
      </c>
      <c r="F33" s="16">
        <v>41.033000000000001</v>
      </c>
      <c r="G33" s="16">
        <v>29.02</v>
      </c>
      <c r="H33" s="16">
        <f t="shared" si="0"/>
        <v>33.496000000000002</v>
      </c>
      <c r="I33" s="5"/>
      <c r="J33" s="15">
        <v>2436.4088000000002</v>
      </c>
      <c r="K33" s="16">
        <v>33.3889</v>
      </c>
      <c r="L33" s="16">
        <v>39.698599999999999</v>
      </c>
      <c r="M33" s="16">
        <v>42.202399999999997</v>
      </c>
      <c r="N33" s="16">
        <v>59.814599999999999</v>
      </c>
      <c r="O33" s="16">
        <f t="shared" si="1"/>
        <v>35.279299999999999</v>
      </c>
      <c r="P33" s="7"/>
      <c r="Q33" s="8">
        <f>bdrate(C33:C36,D33:D36,J33:J36,K33:K36)</f>
        <v>-0.60285352199511277</v>
      </c>
      <c r="R33" s="8">
        <f>bdrate(C33:C36,E33:E36,J33:J36,L33:L36)</f>
        <v>-0.65026755223049837</v>
      </c>
      <c r="S33" s="8">
        <f>bdrate(C33:C36,F33:F36,J33:J36,M33:M36)</f>
        <v>-0.64817517072282249</v>
      </c>
      <c r="T33" s="25">
        <f>bdrate(C33:C36,H33:H36,J33:J36,O33:O36)</f>
        <v>-0.61064811739550584</v>
      </c>
      <c r="U33" s="28">
        <f t="shared" si="2"/>
        <v>1.0611509303928326</v>
      </c>
    </row>
    <row r="34" spans="1:21" x14ac:dyDescent="0.25">
      <c r="B34" s="9"/>
      <c r="C34" s="17">
        <v>1664.498046875</v>
      </c>
      <c r="D34" s="18">
        <v>30.427</v>
      </c>
      <c r="E34" s="18">
        <v>37.857999999999997</v>
      </c>
      <c r="F34" s="18">
        <v>40.374000000000002</v>
      </c>
      <c r="G34" s="18">
        <v>31.1</v>
      </c>
      <c r="H34" s="18">
        <f t="shared" si="0"/>
        <v>32.599250000000005</v>
      </c>
      <c r="I34" s="5"/>
      <c r="J34" s="17">
        <v>1631.26</v>
      </c>
      <c r="K34" s="18">
        <v>32.683</v>
      </c>
      <c r="L34" s="18">
        <v>39.252699999999997</v>
      </c>
      <c r="M34" s="18">
        <v>41.816400000000002</v>
      </c>
      <c r="N34" s="18">
        <v>68.563599999999994</v>
      </c>
      <c r="O34" s="18">
        <f t="shared" si="1"/>
        <v>34.645887500000001</v>
      </c>
      <c r="P34" s="7"/>
      <c r="Q34" s="10"/>
      <c r="R34" s="11"/>
      <c r="S34" s="11"/>
      <c r="T34" s="26"/>
      <c r="U34" s="28">
        <f t="shared" si="2"/>
        <v>1.2046173633440511</v>
      </c>
    </row>
    <row r="35" spans="1:21" x14ac:dyDescent="0.25">
      <c r="B35" s="9"/>
      <c r="C35" s="17">
        <v>1050.4501953125</v>
      </c>
      <c r="D35" s="18">
        <v>28.981999999999999</v>
      </c>
      <c r="E35" s="18">
        <v>37.04</v>
      </c>
      <c r="F35" s="18">
        <v>39.33</v>
      </c>
      <c r="G35" s="18">
        <v>34.03</v>
      </c>
      <c r="H35" s="18">
        <f t="shared" si="0"/>
        <v>31.28275</v>
      </c>
      <c r="I35" s="5"/>
      <c r="J35" s="17">
        <v>1032.8072</v>
      </c>
      <c r="K35" s="18">
        <v>31.594999999999999</v>
      </c>
      <c r="L35" s="18">
        <v>38.5916</v>
      </c>
      <c r="M35" s="18">
        <v>41.145800000000001</v>
      </c>
      <c r="N35" s="18">
        <v>78.328999999999994</v>
      </c>
      <c r="O35" s="18">
        <f t="shared" si="1"/>
        <v>33.663424999999997</v>
      </c>
      <c r="P35" s="7"/>
      <c r="Q35" s="10"/>
      <c r="R35" s="11"/>
      <c r="S35" s="11"/>
      <c r="T35" s="26"/>
      <c r="U35" s="28">
        <f t="shared" si="2"/>
        <v>1.3017631501616218</v>
      </c>
    </row>
    <row r="36" spans="1:21" ht="16.5" thickBot="1" x14ac:dyDescent="0.3">
      <c r="B36" s="12"/>
      <c r="C36" s="19">
        <v>749.2080078125</v>
      </c>
      <c r="D36" s="20">
        <v>27.54</v>
      </c>
      <c r="E36" s="20">
        <v>36.212000000000003</v>
      </c>
      <c r="F36" s="20">
        <v>38.137999999999998</v>
      </c>
      <c r="G36" s="20">
        <v>35.729999999999997</v>
      </c>
      <c r="H36" s="20">
        <f t="shared" si="0"/>
        <v>29.94875</v>
      </c>
      <c r="I36" s="5"/>
      <c r="J36" s="19">
        <v>600.8152</v>
      </c>
      <c r="K36" s="20">
        <v>30.109100000000002</v>
      </c>
      <c r="L36" s="20">
        <v>38.059199999999997</v>
      </c>
      <c r="M36" s="20">
        <v>40.585000000000001</v>
      </c>
      <c r="N36" s="20">
        <v>88.823099999999997</v>
      </c>
      <c r="O36" s="20">
        <f t="shared" si="1"/>
        <v>32.412350000000004</v>
      </c>
      <c r="P36" s="7"/>
      <c r="Q36" s="13"/>
      <c r="R36" s="14"/>
      <c r="S36" s="14"/>
      <c r="T36" s="27"/>
      <c r="U36" s="28">
        <f t="shared" si="2"/>
        <v>1.4859529806884972</v>
      </c>
    </row>
    <row r="37" spans="1:21" x14ac:dyDescent="0.25">
      <c r="A37" s="6" t="s">
        <v>39</v>
      </c>
      <c r="B37" s="6" t="s">
        <v>53</v>
      </c>
      <c r="C37" s="15">
        <v>1241.1337890625</v>
      </c>
      <c r="D37" s="16">
        <v>33.451000000000001</v>
      </c>
      <c r="E37" s="16">
        <v>37.723999999999997</v>
      </c>
      <c r="F37" s="16">
        <v>37.186</v>
      </c>
      <c r="G37" s="16">
        <v>136.47999999999999</v>
      </c>
      <c r="H37" s="16">
        <f t="shared" si="0"/>
        <v>34.451999999999998</v>
      </c>
      <c r="I37" s="5"/>
      <c r="J37" s="15">
        <v>1215.8016</v>
      </c>
      <c r="K37" s="16">
        <v>34.738599999999998</v>
      </c>
      <c r="L37" s="16">
        <v>38.869599999999998</v>
      </c>
      <c r="M37" s="16">
        <v>38.650700000000001</v>
      </c>
      <c r="N37" s="16">
        <v>176.11840000000001</v>
      </c>
      <c r="O37" s="16">
        <f t="shared" si="1"/>
        <v>35.743987500000003</v>
      </c>
      <c r="P37" s="7"/>
      <c r="Q37" s="8">
        <f>bdrate(C37:C40,D37:D40,J37:J40,K37:K40)</f>
        <v>-0.28006074285476179</v>
      </c>
      <c r="R37" s="8">
        <f>bdrate(C37:C40,E37:E40,J37:J40,L37:L40)</f>
        <v>-0.37939960521439775</v>
      </c>
      <c r="S37" s="8">
        <f>bdrate(C37:C40,F37:F40,J37:J40,M37:M40)</f>
        <v>-0.41429404936353031</v>
      </c>
      <c r="T37" s="25">
        <f>bdrate(C37:C40,H37:H40,J37:J40,O37:O40)</f>
        <v>-0.30831237964607827</v>
      </c>
      <c r="U37" s="28">
        <f t="shared" si="2"/>
        <v>0.29043376318874575</v>
      </c>
    </row>
    <row r="38" spans="1:21" x14ac:dyDescent="0.25">
      <c r="A38" s="9" t="s">
        <v>40</v>
      </c>
      <c r="B38" s="9"/>
      <c r="C38" s="17">
        <v>835.7138671875</v>
      </c>
      <c r="D38" s="18">
        <v>32.061</v>
      </c>
      <c r="E38" s="18">
        <v>36.558</v>
      </c>
      <c r="F38" s="18">
        <v>35.883000000000003</v>
      </c>
      <c r="G38" s="18">
        <v>149.47</v>
      </c>
      <c r="H38" s="18">
        <f t="shared" si="0"/>
        <v>33.100874999999995</v>
      </c>
      <c r="I38" s="5"/>
      <c r="J38" s="17">
        <v>810.94240000000002</v>
      </c>
      <c r="K38" s="18">
        <v>33.227600000000002</v>
      </c>
      <c r="L38" s="18">
        <v>37.7104</v>
      </c>
      <c r="M38" s="18">
        <v>37.335799999999999</v>
      </c>
      <c r="N38" s="18">
        <v>209.46799999999999</v>
      </c>
      <c r="O38" s="18">
        <f t="shared" si="1"/>
        <v>34.301475000000003</v>
      </c>
      <c r="P38" s="7"/>
      <c r="Q38" s="10"/>
      <c r="R38" s="11"/>
      <c r="S38" s="11"/>
      <c r="T38" s="26"/>
      <c r="U38" s="28">
        <f t="shared" si="2"/>
        <v>0.40140496420686417</v>
      </c>
    </row>
    <row r="39" spans="1:21" x14ac:dyDescent="0.25">
      <c r="B39" s="9"/>
      <c r="C39" s="17">
        <v>522.380859375</v>
      </c>
      <c r="D39" s="18">
        <v>30.417999999999999</v>
      </c>
      <c r="E39" s="18">
        <v>35.171999999999997</v>
      </c>
      <c r="F39" s="18">
        <v>34.308999999999997</v>
      </c>
      <c r="G39" s="18">
        <v>167.66</v>
      </c>
      <c r="H39" s="18">
        <f t="shared" si="0"/>
        <v>31.498624999999997</v>
      </c>
      <c r="I39" s="5"/>
      <c r="J39" s="17">
        <v>506.82080000000002</v>
      </c>
      <c r="K39" s="18">
        <v>31.4499</v>
      </c>
      <c r="L39" s="18">
        <v>36.472099999999998</v>
      </c>
      <c r="M39" s="18">
        <v>35.965600000000002</v>
      </c>
      <c r="N39" s="18">
        <v>256.41030000000001</v>
      </c>
      <c r="O39" s="18">
        <f t="shared" si="1"/>
        <v>32.642137499999997</v>
      </c>
      <c r="P39" s="7"/>
      <c r="Q39" s="10"/>
      <c r="R39" s="11"/>
      <c r="S39" s="11"/>
      <c r="T39" s="26"/>
      <c r="U39" s="28">
        <f t="shared" si="2"/>
        <v>0.52934689252057743</v>
      </c>
    </row>
    <row r="40" spans="1:21" ht="16.5" thickBot="1" x14ac:dyDescent="0.3">
      <c r="B40" s="12"/>
      <c r="C40" s="19">
        <v>323.890625</v>
      </c>
      <c r="D40" s="20">
        <v>28.629000000000001</v>
      </c>
      <c r="E40" s="20">
        <v>33.552999999999997</v>
      </c>
      <c r="F40" s="20">
        <v>32.539000000000001</v>
      </c>
      <c r="G40" s="20">
        <v>191.46</v>
      </c>
      <c r="H40" s="20">
        <f t="shared" si="0"/>
        <v>29.733249999999998</v>
      </c>
      <c r="I40" s="5"/>
      <c r="J40" s="19">
        <v>303.77999999999997</v>
      </c>
      <c r="K40" s="20">
        <v>29.547999999999998</v>
      </c>
      <c r="L40" s="20">
        <v>35.250900000000001</v>
      </c>
      <c r="M40" s="20">
        <v>34.581099999999999</v>
      </c>
      <c r="N40" s="20">
        <v>320.51280000000003</v>
      </c>
      <c r="O40" s="20">
        <f t="shared" si="1"/>
        <v>30.889999999999997</v>
      </c>
      <c r="P40" s="7"/>
      <c r="Q40" s="13"/>
      <c r="R40" s="14"/>
      <c r="S40" s="14"/>
      <c r="T40" s="27"/>
      <c r="U40" s="28">
        <f t="shared" si="2"/>
        <v>0.6740457536822313</v>
      </c>
    </row>
    <row r="41" spans="1:21" x14ac:dyDescent="0.25">
      <c r="B41" s="6" t="s">
        <v>54</v>
      </c>
      <c r="C41" s="15">
        <v>1229.83984375</v>
      </c>
      <c r="D41" s="16">
        <v>32.732999999999997</v>
      </c>
      <c r="E41" s="16">
        <v>38.936</v>
      </c>
      <c r="F41" s="16">
        <v>39.54</v>
      </c>
      <c r="G41" s="16">
        <v>138.4</v>
      </c>
      <c r="H41" s="16">
        <f t="shared" si="0"/>
        <v>34.359249999999996</v>
      </c>
      <c r="I41" s="5"/>
      <c r="J41" s="15">
        <v>1246.9192</v>
      </c>
      <c r="K41" s="16">
        <v>34.919899999999998</v>
      </c>
      <c r="L41" s="16">
        <v>40.342700000000001</v>
      </c>
      <c r="M41" s="16">
        <v>41.158700000000003</v>
      </c>
      <c r="N41" s="16">
        <v>182.31540000000001</v>
      </c>
      <c r="O41" s="16">
        <f t="shared" si="1"/>
        <v>36.377600000000001</v>
      </c>
      <c r="P41" s="7"/>
      <c r="Q41" s="8">
        <f>bdrate(C41:C44,D41:D44,J41:J44,K41:K44)</f>
        <v>-0.40395880598499978</v>
      </c>
      <c r="R41" s="8">
        <f>bdrate(C41:C44,E41:E44,J41:J44,L41:L44)</f>
        <v>-0.49994777339548524</v>
      </c>
      <c r="S41" s="8">
        <f>bdrate(C41:C44,F41:F44,J41:J44,M41:M44)</f>
        <v>-0.50248085947298859</v>
      </c>
      <c r="T41" s="25">
        <f>bdrate(C41:C44,H41:H44,J41:J44,O41:O44)</f>
        <v>-0.42427459883014507</v>
      </c>
      <c r="U41" s="28">
        <f t="shared" si="2"/>
        <v>0.31730780346820814</v>
      </c>
    </row>
    <row r="42" spans="1:21" x14ac:dyDescent="0.25">
      <c r="B42" s="9"/>
      <c r="C42" s="17">
        <v>821.720703125</v>
      </c>
      <c r="D42" s="18">
        <v>31.314</v>
      </c>
      <c r="E42" s="18">
        <v>37.890999999999998</v>
      </c>
      <c r="F42" s="18">
        <v>38.375</v>
      </c>
      <c r="G42" s="18">
        <v>149.72999999999999</v>
      </c>
      <c r="H42" s="18">
        <f t="shared" si="0"/>
        <v>33.018749999999997</v>
      </c>
      <c r="I42" s="5"/>
      <c r="J42" s="17">
        <v>830.7</v>
      </c>
      <c r="K42" s="18">
        <v>33.3658</v>
      </c>
      <c r="L42" s="18">
        <v>39.429299999999998</v>
      </c>
      <c r="M42" s="18">
        <v>40.156500000000001</v>
      </c>
      <c r="N42" s="18">
        <v>217.23390000000001</v>
      </c>
      <c r="O42" s="18">
        <f t="shared" si="1"/>
        <v>34.972574999999999</v>
      </c>
      <c r="P42" s="7"/>
      <c r="Q42" s="10"/>
      <c r="R42" s="11"/>
      <c r="S42" s="11"/>
      <c r="T42" s="26"/>
      <c r="U42" s="28">
        <f t="shared" si="2"/>
        <v>0.45083750751352447</v>
      </c>
    </row>
    <row r="43" spans="1:21" x14ac:dyDescent="0.25">
      <c r="B43" s="9"/>
      <c r="C43" s="17">
        <v>524.2470703125</v>
      </c>
      <c r="D43" s="18">
        <v>29.611000000000001</v>
      </c>
      <c r="E43" s="18">
        <v>36.686</v>
      </c>
      <c r="F43" s="18">
        <v>36.997999999999998</v>
      </c>
      <c r="G43" s="18">
        <v>163.81</v>
      </c>
      <c r="H43" s="18">
        <f t="shared" si="0"/>
        <v>31.418749999999999</v>
      </c>
      <c r="I43" s="5"/>
      <c r="J43" s="17">
        <v>518.66</v>
      </c>
      <c r="K43" s="18">
        <v>31.542100000000001</v>
      </c>
      <c r="L43" s="18">
        <v>38.4313</v>
      </c>
      <c r="M43" s="18">
        <v>38.979100000000003</v>
      </c>
      <c r="N43" s="18">
        <v>258.17559999999997</v>
      </c>
      <c r="O43" s="18">
        <f t="shared" si="1"/>
        <v>33.332875000000001</v>
      </c>
      <c r="P43" s="7"/>
      <c r="Q43" s="10"/>
      <c r="R43" s="11"/>
      <c r="S43" s="11"/>
      <c r="T43" s="26"/>
      <c r="U43" s="28">
        <f t="shared" si="2"/>
        <v>0.57606739515292094</v>
      </c>
    </row>
    <row r="44" spans="1:21" ht="16.5" thickBot="1" x14ac:dyDescent="0.3">
      <c r="B44" s="12"/>
      <c r="C44" s="19">
        <v>357.025390625</v>
      </c>
      <c r="D44" s="20">
        <v>28.006</v>
      </c>
      <c r="E44" s="20">
        <v>35.609000000000002</v>
      </c>
      <c r="F44" s="20">
        <v>35.787999999999997</v>
      </c>
      <c r="G44" s="20">
        <v>172.44</v>
      </c>
      <c r="H44" s="20">
        <f t="shared" si="0"/>
        <v>29.929124999999999</v>
      </c>
      <c r="I44" s="5"/>
      <c r="J44" s="19">
        <v>311.02480000000003</v>
      </c>
      <c r="K44" s="20">
        <v>29.495799999999999</v>
      </c>
      <c r="L44" s="20">
        <v>37.344000000000001</v>
      </c>
      <c r="M44" s="20">
        <v>37.823700000000002</v>
      </c>
      <c r="N44" s="20">
        <v>328.58710000000002</v>
      </c>
      <c r="O44" s="20">
        <f t="shared" si="1"/>
        <v>31.517812499999998</v>
      </c>
      <c r="P44" s="7"/>
      <c r="Q44" s="13"/>
      <c r="R44" s="14"/>
      <c r="S44" s="14"/>
      <c r="T44" s="27"/>
      <c r="U44" s="28">
        <f t="shared" si="2"/>
        <v>0.90551554163767123</v>
      </c>
    </row>
    <row r="45" spans="1:21" x14ac:dyDescent="0.25">
      <c r="B45" s="6" t="s">
        <v>55</v>
      </c>
      <c r="C45" s="15">
        <v>1326.212890625</v>
      </c>
      <c r="D45" s="16">
        <v>28.44</v>
      </c>
      <c r="E45" s="16">
        <v>35.277000000000001</v>
      </c>
      <c r="F45" s="16">
        <v>36.091999999999999</v>
      </c>
      <c r="G45" s="16">
        <v>110.82</v>
      </c>
      <c r="H45" s="16">
        <f t="shared" si="0"/>
        <v>30.251125000000002</v>
      </c>
      <c r="I45" s="5"/>
      <c r="J45" s="15">
        <v>1227.0512000000001</v>
      </c>
      <c r="K45" s="16">
        <v>30.008299999999998</v>
      </c>
      <c r="L45" s="16">
        <v>36.568100000000001</v>
      </c>
      <c r="M45" s="16">
        <v>37.356900000000003</v>
      </c>
      <c r="N45" s="16">
        <v>163.559</v>
      </c>
      <c r="O45" s="16">
        <f t="shared" si="1"/>
        <v>31.746850000000002</v>
      </c>
      <c r="P45" s="7"/>
      <c r="Q45" s="8">
        <f>bdrate(C45:C48,D45:D48,J45:J48,K45:K48)</f>
        <v>-0.40236043725009685</v>
      </c>
      <c r="R45" s="8">
        <f>bdrate(C45:C48,E45:E48,J45:J48,L45:L48)</f>
        <v>-0.56092058247256216</v>
      </c>
      <c r="S45" s="8">
        <f>bdrate(C45:C48,F45:F48,J45:J48,M45:M48)</f>
        <v>-0.53700978826909052</v>
      </c>
      <c r="T45" s="25">
        <f>bdrate(C45:C48,H45:H48,J45:J48,O45:O48)</f>
        <v>-0.43306107219132628</v>
      </c>
      <c r="U45" s="28">
        <f t="shared" si="2"/>
        <v>0.47589785237321791</v>
      </c>
    </row>
    <row r="46" spans="1:21" x14ac:dyDescent="0.25">
      <c r="B46" s="9"/>
      <c r="C46" s="17">
        <v>905.3251953125</v>
      </c>
      <c r="D46" s="18">
        <v>27.382999999999999</v>
      </c>
      <c r="E46" s="18">
        <v>34.518999999999998</v>
      </c>
      <c r="F46" s="18">
        <v>35.341000000000001</v>
      </c>
      <c r="G46" s="18">
        <v>117.63</v>
      </c>
      <c r="H46" s="18">
        <f t="shared" si="0"/>
        <v>29.269750000000002</v>
      </c>
      <c r="I46" s="5"/>
      <c r="J46" s="17">
        <v>816.68240000000003</v>
      </c>
      <c r="K46" s="18">
        <v>28.689699999999998</v>
      </c>
      <c r="L46" s="18">
        <v>35.790100000000002</v>
      </c>
      <c r="M46" s="18">
        <v>36.533499999999997</v>
      </c>
      <c r="N46" s="18">
        <v>201.5316</v>
      </c>
      <c r="O46" s="18">
        <f t="shared" si="1"/>
        <v>30.557724999999998</v>
      </c>
      <c r="P46" s="7"/>
      <c r="Q46" s="10"/>
      <c r="R46" s="11"/>
      <c r="S46" s="11"/>
      <c r="T46" s="26"/>
      <c r="U46" s="28">
        <f t="shared" si="2"/>
        <v>0.7132670237184392</v>
      </c>
    </row>
    <row r="47" spans="1:21" x14ac:dyDescent="0.25">
      <c r="B47" s="9"/>
      <c r="C47" s="17">
        <v>568.490234375</v>
      </c>
      <c r="D47" s="18">
        <v>26.164999999999999</v>
      </c>
      <c r="E47" s="18">
        <v>33.625</v>
      </c>
      <c r="F47" s="18">
        <v>34.369999999999997</v>
      </c>
      <c r="G47" s="18">
        <v>126.65</v>
      </c>
      <c r="H47" s="18">
        <f t="shared" si="0"/>
        <v>28.123125000000002</v>
      </c>
      <c r="I47" s="5"/>
      <c r="J47" s="17">
        <v>514.57039999999995</v>
      </c>
      <c r="K47" s="18">
        <v>27.2775</v>
      </c>
      <c r="L47" s="18">
        <v>34.973199999999999</v>
      </c>
      <c r="M47" s="18">
        <v>35.7074</v>
      </c>
      <c r="N47" s="18">
        <v>246.54830000000001</v>
      </c>
      <c r="O47" s="18">
        <f t="shared" si="1"/>
        <v>29.293199999999999</v>
      </c>
      <c r="P47" s="7"/>
      <c r="Q47" s="10"/>
      <c r="R47" s="11"/>
      <c r="S47" s="11"/>
      <c r="T47" s="26"/>
      <c r="U47" s="28">
        <f t="shared" si="2"/>
        <v>0.94669009080142119</v>
      </c>
    </row>
    <row r="48" spans="1:21" ht="16.5" thickBot="1" x14ac:dyDescent="0.3">
      <c r="B48" s="12"/>
      <c r="C48" s="19">
        <v>366.2333984375</v>
      </c>
      <c r="D48" s="20">
        <v>24.989000000000001</v>
      </c>
      <c r="E48" s="20">
        <v>32.651000000000003</v>
      </c>
      <c r="F48" s="20">
        <v>33.463000000000001</v>
      </c>
      <c r="G48" s="20">
        <v>134.76</v>
      </c>
      <c r="H48" s="20">
        <f t="shared" si="0"/>
        <v>27.006</v>
      </c>
      <c r="I48" s="5"/>
      <c r="J48" s="19">
        <v>308.55680000000001</v>
      </c>
      <c r="K48" s="20">
        <v>25.763400000000001</v>
      </c>
      <c r="L48" s="20">
        <v>34.154899999999998</v>
      </c>
      <c r="M48" s="20">
        <v>34.826900000000002</v>
      </c>
      <c r="N48" s="20">
        <v>311.1388</v>
      </c>
      <c r="O48" s="20">
        <f t="shared" si="1"/>
        <v>27.945274999999999</v>
      </c>
      <c r="P48" s="7"/>
      <c r="Q48" s="13"/>
      <c r="R48" s="14"/>
      <c r="S48" s="14"/>
      <c r="T48" s="27"/>
      <c r="U48" s="28">
        <f t="shared" si="2"/>
        <v>1.308836449985159</v>
      </c>
    </row>
    <row r="49" spans="1:21" x14ac:dyDescent="0.25">
      <c r="B49" s="6" t="s">
        <v>56</v>
      </c>
      <c r="C49" s="15">
        <v>1162.6240234375</v>
      </c>
      <c r="D49" s="16">
        <v>30.82</v>
      </c>
      <c r="E49" s="16">
        <v>35.447000000000003</v>
      </c>
      <c r="F49" s="16">
        <v>37.020000000000003</v>
      </c>
      <c r="G49" s="16">
        <v>105.33</v>
      </c>
      <c r="H49" s="16">
        <f t="shared" si="0"/>
        <v>32.173375</v>
      </c>
      <c r="I49" s="5"/>
      <c r="J49" s="15">
        <v>1213.8688</v>
      </c>
      <c r="K49" s="16">
        <v>32.029699999999998</v>
      </c>
      <c r="L49" s="16">
        <v>36.6633</v>
      </c>
      <c r="M49" s="16">
        <v>38.245100000000001</v>
      </c>
      <c r="N49" s="16">
        <v>115.8301</v>
      </c>
      <c r="O49" s="16">
        <f t="shared" si="1"/>
        <v>33.385824999999997</v>
      </c>
      <c r="P49" s="7"/>
      <c r="Q49" s="8">
        <f>bdrate(C49:C52,D49:D52,J49:J52,K49:K52)</f>
        <v>-0.26215802940675148</v>
      </c>
      <c r="R49" s="8">
        <f>bdrate(C49:C52,E49:E52,J49:J52,L49:L52)</f>
        <v>-0.49459705312452729</v>
      </c>
      <c r="S49" s="8">
        <f>bdrate(C49:C52,F49:F52,J49:J52,M49:M52)</f>
        <v>-0.48755596027890369</v>
      </c>
      <c r="T49" s="25">
        <f>bdrate(C49:C52,H49:H52,J49:J52,O49:O52)</f>
        <v>-0.31381670624019942</v>
      </c>
      <c r="U49" s="28">
        <f t="shared" si="2"/>
        <v>9.9687648343302043E-2</v>
      </c>
    </row>
    <row r="50" spans="1:21" x14ac:dyDescent="0.25">
      <c r="B50" s="9"/>
      <c r="C50" s="17">
        <v>835.6748046875</v>
      </c>
      <c r="D50" s="18">
        <v>29.667999999999999</v>
      </c>
      <c r="E50" s="18">
        <v>34.594000000000001</v>
      </c>
      <c r="F50" s="18">
        <v>36.136000000000003</v>
      </c>
      <c r="G50" s="18">
        <v>113.98</v>
      </c>
      <c r="H50" s="18">
        <f t="shared" si="0"/>
        <v>31.092249999999996</v>
      </c>
      <c r="I50" s="5"/>
      <c r="J50" s="17">
        <v>810.23919999999998</v>
      </c>
      <c r="K50" s="18">
        <v>30.5623</v>
      </c>
      <c r="L50" s="18">
        <v>35.83</v>
      </c>
      <c r="M50" s="18">
        <v>37.379300000000001</v>
      </c>
      <c r="N50" s="18">
        <v>141.37610000000001</v>
      </c>
      <c r="O50" s="18">
        <f t="shared" si="1"/>
        <v>32.0728875</v>
      </c>
      <c r="P50" s="7"/>
      <c r="Q50" s="10"/>
      <c r="R50" s="11"/>
      <c r="S50" s="11"/>
      <c r="T50" s="26"/>
      <c r="U50" s="28">
        <f t="shared" si="2"/>
        <v>0.24035883488331289</v>
      </c>
    </row>
    <row r="51" spans="1:21" x14ac:dyDescent="0.25">
      <c r="B51" s="9"/>
      <c r="C51" s="17">
        <v>558.33203125</v>
      </c>
      <c r="D51" s="18">
        <v>28.263999999999999</v>
      </c>
      <c r="E51" s="18">
        <v>33.500999999999998</v>
      </c>
      <c r="F51" s="18">
        <v>34.899000000000001</v>
      </c>
      <c r="G51" s="18">
        <v>125.24</v>
      </c>
      <c r="H51" s="18">
        <f t="shared" si="0"/>
        <v>29.748000000000001</v>
      </c>
      <c r="I51" s="5"/>
      <c r="J51" s="17">
        <v>504.98</v>
      </c>
      <c r="K51" s="18">
        <v>28.965399999999999</v>
      </c>
      <c r="L51" s="18">
        <v>34.961599999999997</v>
      </c>
      <c r="M51" s="18">
        <v>36.486199999999997</v>
      </c>
      <c r="N51" s="18">
        <v>174.8252</v>
      </c>
      <c r="O51" s="18">
        <f t="shared" si="1"/>
        <v>30.655024999999998</v>
      </c>
      <c r="P51" s="7"/>
      <c r="Q51" s="10"/>
      <c r="R51" s="11"/>
      <c r="S51" s="11"/>
      <c r="T51" s="26"/>
      <c r="U51" s="28">
        <f t="shared" si="2"/>
        <v>0.39592143085276271</v>
      </c>
    </row>
    <row r="52" spans="1:21" ht="16.5" thickBot="1" x14ac:dyDescent="0.3">
      <c r="B52" s="12"/>
      <c r="C52" s="19">
        <v>361.3974609375</v>
      </c>
      <c r="D52" s="20">
        <v>26.954999999999998</v>
      </c>
      <c r="E52" s="20">
        <v>32.399000000000001</v>
      </c>
      <c r="F52" s="20">
        <v>33.656999999999996</v>
      </c>
      <c r="G52" s="20">
        <v>135.41999999999999</v>
      </c>
      <c r="H52" s="20">
        <f t="shared" si="0"/>
        <v>28.47325</v>
      </c>
      <c r="I52" s="5"/>
      <c r="J52" s="19">
        <v>302.53039999999999</v>
      </c>
      <c r="K52" s="20">
        <v>27.364899999999999</v>
      </c>
      <c r="L52" s="20">
        <v>34.018500000000003</v>
      </c>
      <c r="M52" s="20">
        <v>35.464100000000002</v>
      </c>
      <c r="N52" s="20">
        <v>228.833</v>
      </c>
      <c r="O52" s="20">
        <f t="shared" si="1"/>
        <v>29.209</v>
      </c>
      <c r="P52" s="7"/>
      <c r="Q52" s="13"/>
      <c r="R52" s="14"/>
      <c r="S52" s="14"/>
      <c r="T52" s="27"/>
      <c r="U52" s="28">
        <f t="shared" si="2"/>
        <v>0.68980209717914653</v>
      </c>
    </row>
    <row r="53" spans="1:21" x14ac:dyDescent="0.25">
      <c r="A53" s="6" t="s">
        <v>41</v>
      </c>
      <c r="B53" s="6" t="s">
        <v>57</v>
      </c>
      <c r="C53" s="15">
        <v>580.1328125</v>
      </c>
      <c r="D53" s="16">
        <v>32.665999999999997</v>
      </c>
      <c r="E53" s="16">
        <v>38.325000000000003</v>
      </c>
      <c r="F53" s="16">
        <v>36.042999999999999</v>
      </c>
      <c r="G53" s="16">
        <v>436.2</v>
      </c>
      <c r="H53" s="16">
        <f t="shared" si="0"/>
        <v>33.795499999999997</v>
      </c>
      <c r="I53" s="5"/>
      <c r="J53" s="15">
        <v>607.11440000000005</v>
      </c>
      <c r="K53" s="16">
        <v>34.029499999999999</v>
      </c>
      <c r="L53" s="16">
        <v>39.392699999999998</v>
      </c>
      <c r="M53" s="16">
        <v>37.852400000000003</v>
      </c>
      <c r="N53" s="16">
        <v>451.6712</v>
      </c>
      <c r="O53" s="16">
        <f t="shared" si="1"/>
        <v>35.1777625</v>
      </c>
      <c r="P53" s="7"/>
      <c r="Q53" s="8">
        <f>bdrate(C53:C56,D53:D56,J53:J56,K53:K56)</f>
        <v>-0.20329734628811269</v>
      </c>
      <c r="R53" s="8">
        <f>bdrate(C53:C56,E53:E56,J53:J56,L53:L56)</f>
        <v>-0.36302326362478143</v>
      </c>
      <c r="S53" s="8">
        <f>bdrate(C53:C56,F53:F56,J53:J56,M53:M56)</f>
        <v>-0.497267386172357</v>
      </c>
      <c r="T53" s="25">
        <f>bdrate(C53:C56,H53:H56,J53:J56,O53:O56)</f>
        <v>-0.25663137153808258</v>
      </c>
      <c r="U53" s="28">
        <f t="shared" si="2"/>
        <v>3.5468133883539685E-2</v>
      </c>
    </row>
    <row r="54" spans="1:21" x14ac:dyDescent="0.25">
      <c r="A54" s="9" t="s">
        <v>42</v>
      </c>
      <c r="B54" s="9"/>
      <c r="C54" s="17">
        <v>403.4228515625</v>
      </c>
      <c r="D54" s="18">
        <v>31.222999999999999</v>
      </c>
      <c r="E54" s="18">
        <v>37.334000000000003</v>
      </c>
      <c r="F54" s="18">
        <v>34.86</v>
      </c>
      <c r="G54" s="18">
        <v>465.47</v>
      </c>
      <c r="H54" s="18">
        <f t="shared" si="0"/>
        <v>32.441499999999998</v>
      </c>
      <c r="I54" s="5"/>
      <c r="J54" s="17">
        <v>404.60079999999999</v>
      </c>
      <c r="K54" s="18">
        <v>32.252499999999998</v>
      </c>
      <c r="L54" s="18">
        <v>38.273099999999999</v>
      </c>
      <c r="M54" s="18">
        <v>36.603700000000003</v>
      </c>
      <c r="N54" s="18">
        <v>561.79780000000005</v>
      </c>
      <c r="O54" s="18">
        <f t="shared" si="1"/>
        <v>33.548974999999999</v>
      </c>
      <c r="P54" s="7"/>
      <c r="Q54" s="10"/>
      <c r="R54" s="11"/>
      <c r="S54" s="11"/>
      <c r="T54" s="26"/>
      <c r="U54" s="28">
        <f t="shared" si="2"/>
        <v>0.20694738651255723</v>
      </c>
    </row>
    <row r="55" spans="1:21" x14ac:dyDescent="0.25">
      <c r="B55" s="9"/>
      <c r="C55" s="17">
        <v>258.79296875</v>
      </c>
      <c r="D55" s="18">
        <v>29.582999999999998</v>
      </c>
      <c r="E55" s="18">
        <v>36.131999999999998</v>
      </c>
      <c r="F55" s="18">
        <v>33.456000000000003</v>
      </c>
      <c r="G55" s="18">
        <v>511.97</v>
      </c>
      <c r="H55" s="18">
        <f t="shared" si="0"/>
        <v>30.885750000000002</v>
      </c>
      <c r="I55" s="5"/>
      <c r="J55" s="17">
        <v>254.6448</v>
      </c>
      <c r="K55" s="18">
        <v>30.362300000000001</v>
      </c>
      <c r="L55" s="18">
        <v>37.235500000000002</v>
      </c>
      <c r="M55" s="18">
        <v>35.429400000000001</v>
      </c>
      <c r="N55" s="18">
        <v>654.45029999999997</v>
      </c>
      <c r="O55" s="18">
        <f t="shared" si="1"/>
        <v>31.854837500000002</v>
      </c>
      <c r="P55" s="7"/>
      <c r="Q55" s="10"/>
      <c r="R55" s="11"/>
      <c r="S55" s="11"/>
      <c r="T55" s="26"/>
      <c r="U55" s="28">
        <f t="shared" si="2"/>
        <v>0.27829814246928519</v>
      </c>
    </row>
    <row r="56" spans="1:21" ht="16.5" thickBot="1" x14ac:dyDescent="0.3">
      <c r="B56" s="12"/>
      <c r="C56" s="19">
        <v>139.201171875</v>
      </c>
      <c r="D56" s="20">
        <v>27.431999999999999</v>
      </c>
      <c r="E56" s="20">
        <v>34.439</v>
      </c>
      <c r="F56" s="20">
        <v>31.608000000000001</v>
      </c>
      <c r="G56" s="20">
        <v>571.04999999999995</v>
      </c>
      <c r="H56" s="20">
        <f t="shared" si="0"/>
        <v>28.829874999999998</v>
      </c>
      <c r="I56" s="5"/>
      <c r="J56" s="19">
        <v>122.768</v>
      </c>
      <c r="K56" s="20">
        <v>27.646100000000001</v>
      </c>
      <c r="L56" s="20">
        <v>35.734900000000003</v>
      </c>
      <c r="M56" s="20">
        <v>33.594299999999997</v>
      </c>
      <c r="N56" s="20">
        <v>943.39620000000002</v>
      </c>
      <c r="O56" s="20">
        <f t="shared" si="1"/>
        <v>29.400725000000001</v>
      </c>
      <c r="P56" s="7"/>
      <c r="Q56" s="13"/>
      <c r="R56" s="14"/>
      <c r="S56" s="14"/>
      <c r="T56" s="27"/>
      <c r="U56" s="28">
        <f t="shared" si="2"/>
        <v>0.65203782505910179</v>
      </c>
    </row>
    <row r="57" spans="1:21" x14ac:dyDescent="0.25">
      <c r="B57" s="6" t="s">
        <v>58</v>
      </c>
      <c r="C57" s="15">
        <v>639.7802734375</v>
      </c>
      <c r="D57" s="16">
        <v>29.722999999999999</v>
      </c>
      <c r="E57" s="16">
        <v>39.828000000000003</v>
      </c>
      <c r="F57" s="16">
        <v>40.57</v>
      </c>
      <c r="G57" s="16">
        <v>399.05</v>
      </c>
      <c r="H57" s="16">
        <f t="shared" si="0"/>
        <v>32.341999999999999</v>
      </c>
      <c r="I57" s="5"/>
      <c r="J57" s="15">
        <v>605.17280000000005</v>
      </c>
      <c r="K57" s="16">
        <v>33.258800000000001</v>
      </c>
      <c r="L57" s="16">
        <v>41.142600000000002</v>
      </c>
      <c r="M57" s="16">
        <v>41.867100000000001</v>
      </c>
      <c r="N57" s="16">
        <v>534.28319999999997</v>
      </c>
      <c r="O57" s="16">
        <f t="shared" si="1"/>
        <v>35.3203125</v>
      </c>
      <c r="P57" s="7"/>
      <c r="Q57" s="8">
        <f>bdrate(C57:C60,D57:D60,J57:J60,K57:K60)</f>
        <v>-0.66774003465586351</v>
      </c>
      <c r="R57" s="8">
        <f>bdrate(C57:C60,E57:E60,J57:J60,L57:L60)</f>
        <v>-0.45822903446077734</v>
      </c>
      <c r="S57" s="8">
        <f>bdrate(C57:C60,F57:F60,J57:J60,M57:M60)</f>
        <v>-0.45339612866720136</v>
      </c>
      <c r="T57" s="25">
        <f>bdrate(C57:C60,H57:H60,J57:J60,O57:O60)</f>
        <v>-0.63868416598268474</v>
      </c>
      <c r="U57" s="28">
        <f t="shared" si="2"/>
        <v>0.33888785866432763</v>
      </c>
    </row>
    <row r="58" spans="1:21" x14ac:dyDescent="0.25">
      <c r="B58" s="9"/>
      <c r="C58" s="17">
        <v>436.140625</v>
      </c>
      <c r="D58" s="18">
        <v>28.638999999999999</v>
      </c>
      <c r="E58" s="18">
        <v>39.195</v>
      </c>
      <c r="F58" s="18">
        <v>39.831000000000003</v>
      </c>
      <c r="G58" s="18">
        <v>424.36</v>
      </c>
      <c r="H58" s="18">
        <f t="shared" si="0"/>
        <v>31.357500000000002</v>
      </c>
      <c r="I58" s="5"/>
      <c r="J58" s="17">
        <v>402.33199999999999</v>
      </c>
      <c r="K58" s="18">
        <v>31.974</v>
      </c>
      <c r="L58" s="18">
        <v>40.319400000000002</v>
      </c>
      <c r="M58" s="18">
        <v>41.051000000000002</v>
      </c>
      <c r="N58" s="18">
        <v>686.49890000000005</v>
      </c>
      <c r="O58" s="18">
        <f t="shared" si="1"/>
        <v>34.151800000000001</v>
      </c>
      <c r="P58" s="7"/>
      <c r="Q58" s="10"/>
      <c r="R58" s="11"/>
      <c r="S58" s="11"/>
      <c r="T58" s="26"/>
      <c r="U58" s="28">
        <f t="shared" si="2"/>
        <v>0.6177276369120559</v>
      </c>
    </row>
    <row r="59" spans="1:21" x14ac:dyDescent="0.25">
      <c r="B59" s="9"/>
      <c r="C59" s="17">
        <v>272.6572265625</v>
      </c>
      <c r="D59" s="18">
        <v>27.41</v>
      </c>
      <c r="E59" s="18">
        <v>38.424999999999997</v>
      </c>
      <c r="F59" s="18">
        <v>38.987000000000002</v>
      </c>
      <c r="G59" s="18">
        <v>446.05</v>
      </c>
      <c r="H59" s="18">
        <f t="shared" si="0"/>
        <v>30.233999999999998</v>
      </c>
      <c r="I59" s="5"/>
      <c r="J59" s="17">
        <v>252.79759999999999</v>
      </c>
      <c r="K59" s="18">
        <v>30.471399999999999</v>
      </c>
      <c r="L59" s="18">
        <v>39.327399999999997</v>
      </c>
      <c r="M59" s="18">
        <v>40.0015</v>
      </c>
      <c r="N59" s="18">
        <v>801.06809999999996</v>
      </c>
      <c r="O59" s="18">
        <f t="shared" si="1"/>
        <v>32.769662500000003</v>
      </c>
      <c r="P59" s="7"/>
      <c r="Q59" s="10"/>
      <c r="R59" s="11"/>
      <c r="S59" s="11"/>
      <c r="T59" s="26"/>
      <c r="U59" s="28">
        <f t="shared" si="2"/>
        <v>0.7959154803273174</v>
      </c>
    </row>
    <row r="60" spans="1:21" ht="16.5" thickBot="1" x14ac:dyDescent="0.3">
      <c r="B60" s="12"/>
      <c r="C60" s="19">
        <v>131.091796875</v>
      </c>
      <c r="D60" s="20">
        <v>25.457999999999998</v>
      </c>
      <c r="E60" s="20">
        <v>37.393999999999998</v>
      </c>
      <c r="F60" s="20">
        <v>37.57</v>
      </c>
      <c r="G60" s="20">
        <v>502.48</v>
      </c>
      <c r="H60" s="20">
        <f t="shared" si="0"/>
        <v>28.463999999999999</v>
      </c>
      <c r="I60" s="5"/>
      <c r="J60" s="19">
        <v>121.3056</v>
      </c>
      <c r="K60" s="20">
        <v>27.986699999999999</v>
      </c>
      <c r="L60" s="20">
        <v>38.073900000000002</v>
      </c>
      <c r="M60" s="20">
        <v>38.497399999999999</v>
      </c>
      <c r="N60" s="20">
        <v>1132.0754999999999</v>
      </c>
      <c r="O60" s="20">
        <f t="shared" si="1"/>
        <v>30.5614375</v>
      </c>
      <c r="P60" s="7"/>
      <c r="Q60" s="13"/>
      <c r="R60" s="14"/>
      <c r="S60" s="14"/>
      <c r="T60" s="27"/>
      <c r="U60" s="28">
        <f t="shared" si="2"/>
        <v>1.2529762378602132</v>
      </c>
    </row>
    <row r="61" spans="1:21" x14ac:dyDescent="0.25">
      <c r="B61" s="6" t="s">
        <v>59</v>
      </c>
      <c r="C61" s="29">
        <v>648.056640625</v>
      </c>
      <c r="D61" s="30">
        <v>30.600999999999999</v>
      </c>
      <c r="E61" s="30">
        <v>36.307000000000002</v>
      </c>
      <c r="F61" s="30">
        <v>37.051000000000002</v>
      </c>
      <c r="G61" s="16">
        <v>391.17</v>
      </c>
      <c r="H61" s="16">
        <f t="shared" si="0"/>
        <v>32.1205</v>
      </c>
      <c r="I61" s="5"/>
      <c r="J61" s="29">
        <v>642.33040000000005</v>
      </c>
      <c r="K61" s="30">
        <v>32.861600000000003</v>
      </c>
      <c r="L61" s="30">
        <v>37.895800000000001</v>
      </c>
      <c r="M61" s="30">
        <v>38.674900000000001</v>
      </c>
      <c r="N61" s="16">
        <v>493.09660000000002</v>
      </c>
      <c r="O61" s="16">
        <f t="shared" si="1"/>
        <v>34.217537499999999</v>
      </c>
      <c r="P61" s="7"/>
      <c r="Q61" s="8">
        <f>bdrate(C61:C64,D61:D64,J61:J64,K61:K64)</f>
        <v>-0.4186138195228376</v>
      </c>
      <c r="R61" s="8">
        <f>bdrate(C61:C64,E61:E64,J61:J64,L61:L64)</f>
        <v>-0.51884304976718643</v>
      </c>
      <c r="S61" s="8">
        <f>bdrate(C61:C64,F61:F64,J61:J64,M61:M64)</f>
        <v>-0.51408750562078276</v>
      </c>
      <c r="T61" s="25">
        <f>bdrate(C61:C64,H61:H64,J61:J64,O61:O64)</f>
        <v>-0.44086112735316729</v>
      </c>
      <c r="U61" s="28">
        <f t="shared" si="2"/>
        <v>0.26056855075798246</v>
      </c>
    </row>
    <row r="62" spans="1:21" x14ac:dyDescent="0.25">
      <c r="B62" s="9"/>
      <c r="C62" s="31">
        <v>441.921875</v>
      </c>
      <c r="D62" s="32">
        <v>29.454999999999998</v>
      </c>
      <c r="E62" s="32">
        <v>35.328000000000003</v>
      </c>
      <c r="F62" s="32">
        <v>36.031999999999996</v>
      </c>
      <c r="G62" s="18">
        <v>410.2</v>
      </c>
      <c r="H62" s="18">
        <f t="shared" si="0"/>
        <v>31.011249999999997</v>
      </c>
      <c r="I62" s="5"/>
      <c r="J62" s="31">
        <v>426.70639999999997</v>
      </c>
      <c r="K62" s="32">
        <v>31.338899999999999</v>
      </c>
      <c r="L62" s="32">
        <v>36.9373</v>
      </c>
      <c r="M62" s="32">
        <v>37.652099999999997</v>
      </c>
      <c r="N62" s="18">
        <v>604.59490000000005</v>
      </c>
      <c r="O62" s="18">
        <f t="shared" si="1"/>
        <v>32.827849999999998</v>
      </c>
      <c r="P62" s="7"/>
      <c r="Q62" s="10"/>
      <c r="R62" s="11"/>
      <c r="S62" s="11"/>
      <c r="T62" s="26"/>
      <c r="U62" s="28">
        <f t="shared" si="2"/>
        <v>0.4739027303754268</v>
      </c>
    </row>
    <row r="63" spans="1:21" x14ac:dyDescent="0.25">
      <c r="B63" s="9"/>
      <c r="C63" s="31">
        <v>279.0693359375</v>
      </c>
      <c r="D63" s="32">
        <v>28.202999999999999</v>
      </c>
      <c r="E63" s="32">
        <v>34.328000000000003</v>
      </c>
      <c r="F63" s="32">
        <v>35</v>
      </c>
      <c r="G63" s="18">
        <v>436.44</v>
      </c>
      <c r="H63" s="18">
        <f t="shared" si="0"/>
        <v>29.818249999999999</v>
      </c>
      <c r="I63" s="5"/>
      <c r="J63" s="31">
        <v>266.38639999999998</v>
      </c>
      <c r="K63" s="32">
        <v>29.674099999999999</v>
      </c>
      <c r="L63" s="32">
        <v>35.839300000000001</v>
      </c>
      <c r="M63" s="32">
        <v>36.508600000000001</v>
      </c>
      <c r="N63" s="18">
        <v>745.15650000000005</v>
      </c>
      <c r="O63" s="18">
        <f t="shared" si="1"/>
        <v>31.299062500000002</v>
      </c>
      <c r="P63" s="7"/>
      <c r="Q63" s="10"/>
      <c r="R63" s="11"/>
      <c r="S63" s="11"/>
      <c r="T63" s="26"/>
      <c r="U63" s="28">
        <f t="shared" si="2"/>
        <v>0.70735152598295314</v>
      </c>
    </row>
    <row r="64" spans="1:21" ht="16.5" thickBot="1" x14ac:dyDescent="0.3">
      <c r="B64" s="12"/>
      <c r="C64" s="33">
        <v>134.6240234375</v>
      </c>
      <c r="D64" s="34">
        <v>26.349</v>
      </c>
      <c r="E64" s="34">
        <v>32.901000000000003</v>
      </c>
      <c r="F64" s="34">
        <v>33.56</v>
      </c>
      <c r="G64" s="20">
        <v>485.99</v>
      </c>
      <c r="H64" s="20">
        <f t="shared" si="0"/>
        <v>28.069375000000001</v>
      </c>
      <c r="I64" s="5"/>
      <c r="J64" s="33">
        <v>130.17519999999999</v>
      </c>
      <c r="K64" s="34">
        <v>27.388300000000001</v>
      </c>
      <c r="L64" s="34">
        <v>34.308900000000001</v>
      </c>
      <c r="M64" s="34">
        <v>35.034599999999998</v>
      </c>
      <c r="N64" s="20">
        <v>1068.3761</v>
      </c>
      <c r="O64" s="20">
        <f t="shared" si="1"/>
        <v>29.209162499999998</v>
      </c>
      <c r="P64" s="7"/>
      <c r="Q64" s="13"/>
      <c r="R64" s="14"/>
      <c r="S64" s="14"/>
      <c r="T64" s="27"/>
      <c r="U64" s="28">
        <f t="shared" si="2"/>
        <v>1.198349966048684</v>
      </c>
    </row>
    <row r="65" spans="1:21" x14ac:dyDescent="0.25">
      <c r="B65" s="6" t="s">
        <v>60</v>
      </c>
      <c r="C65" s="15">
        <v>589.5283203125</v>
      </c>
      <c r="D65" s="16">
        <v>32.191000000000003</v>
      </c>
      <c r="E65" s="16">
        <v>36.058</v>
      </c>
      <c r="F65" s="16">
        <v>37.139000000000003</v>
      </c>
      <c r="G65" s="16">
        <v>348.5</v>
      </c>
      <c r="H65" s="16">
        <f t="shared" si="0"/>
        <v>33.292875000000002</v>
      </c>
      <c r="I65" s="5"/>
      <c r="J65" s="15">
        <v>609.8048</v>
      </c>
      <c r="K65" s="16">
        <v>33.411999999999999</v>
      </c>
      <c r="L65" s="16">
        <v>37.405000000000001</v>
      </c>
      <c r="M65" s="16">
        <v>38.474600000000002</v>
      </c>
      <c r="N65" s="16">
        <v>337.07870000000003</v>
      </c>
      <c r="O65" s="16">
        <f t="shared" si="1"/>
        <v>34.543949999999995</v>
      </c>
      <c r="P65" s="7"/>
      <c r="Q65" s="8">
        <f>bdrate(C65:C68,D65:D68,J65:J68,K65:K68)</f>
        <v>-0.21686643718988285</v>
      </c>
      <c r="R65" s="8">
        <f>bdrate(C65:C68,E65:E68,J65:J68,L65:L68)</f>
        <v>-0.44667078465418775</v>
      </c>
      <c r="S65" s="8">
        <f>bdrate(C65:C68,F65:F68,J65:J68,M65:M68)</f>
        <v>-0.43240481172419509</v>
      </c>
      <c r="T65" s="25">
        <f>bdrate(C65:C68,H65:H68,J65:J68,O65:O68)</f>
        <v>-0.26695606291164597</v>
      </c>
      <c r="U65" s="28">
        <f t="shared" si="2"/>
        <v>-3.2772740315638378E-2</v>
      </c>
    </row>
    <row r="66" spans="1:21" x14ac:dyDescent="0.25">
      <c r="B66" s="9"/>
      <c r="C66" s="17">
        <v>423.3896484375</v>
      </c>
      <c r="D66" s="18">
        <v>30.899000000000001</v>
      </c>
      <c r="E66" s="18">
        <v>35.106999999999999</v>
      </c>
      <c r="F66" s="18">
        <v>36.218000000000004</v>
      </c>
      <c r="G66" s="18">
        <v>376.65</v>
      </c>
      <c r="H66" s="18">
        <f t="shared" si="0"/>
        <v>32.089874999999999</v>
      </c>
      <c r="I66" s="5"/>
      <c r="J66" s="17">
        <v>404.41680000000002</v>
      </c>
      <c r="K66" s="18">
        <v>31.671700000000001</v>
      </c>
      <c r="L66" s="18">
        <v>36.359699999999997</v>
      </c>
      <c r="M66" s="18">
        <v>37.435499999999998</v>
      </c>
      <c r="N66" s="18">
        <v>427.35039999999998</v>
      </c>
      <c r="O66" s="18">
        <f t="shared" si="1"/>
        <v>32.978175</v>
      </c>
      <c r="P66" s="7"/>
      <c r="Q66" s="10"/>
      <c r="R66" s="11"/>
      <c r="S66" s="11"/>
      <c r="T66" s="26"/>
      <c r="U66" s="28">
        <f t="shared" si="2"/>
        <v>0.13460878799946902</v>
      </c>
    </row>
    <row r="67" spans="1:21" x14ac:dyDescent="0.25">
      <c r="B67" s="9"/>
      <c r="C67" s="17">
        <v>281.4755859375</v>
      </c>
      <c r="D67" s="18">
        <v>29.41</v>
      </c>
      <c r="E67" s="18">
        <v>33.979999999999997</v>
      </c>
      <c r="F67" s="18">
        <v>35.069000000000003</v>
      </c>
      <c r="G67" s="18">
        <v>401.82</v>
      </c>
      <c r="H67" s="18">
        <f t="shared" si="0"/>
        <v>30.688625000000002</v>
      </c>
      <c r="I67" s="5"/>
      <c r="J67" s="17">
        <v>252.7544</v>
      </c>
      <c r="K67" s="18">
        <v>29.877700000000001</v>
      </c>
      <c r="L67" s="18">
        <v>35.194099999999999</v>
      </c>
      <c r="M67" s="18">
        <v>36.2453</v>
      </c>
      <c r="N67" s="18">
        <v>505.90219999999999</v>
      </c>
      <c r="O67" s="18">
        <f t="shared" si="1"/>
        <v>31.338200000000001</v>
      </c>
      <c r="P67" s="7"/>
      <c r="Q67" s="10"/>
      <c r="R67" s="11"/>
      <c r="S67" s="11"/>
      <c r="T67" s="26"/>
      <c r="U67" s="28">
        <f t="shared" si="2"/>
        <v>0.25902692747996614</v>
      </c>
    </row>
    <row r="68" spans="1:21" ht="16.5" thickBot="1" x14ac:dyDescent="0.3">
      <c r="B68" s="12"/>
      <c r="C68" s="19">
        <v>140.935546875</v>
      </c>
      <c r="D68" s="20">
        <v>27.11</v>
      </c>
      <c r="E68" s="20">
        <v>32.149000000000001</v>
      </c>
      <c r="F68" s="20">
        <v>33.097000000000001</v>
      </c>
      <c r="G68" s="20">
        <v>462.99</v>
      </c>
      <c r="H68" s="20">
        <f t="shared" si="0"/>
        <v>28.488250000000001</v>
      </c>
      <c r="I68" s="5"/>
      <c r="J68" s="19">
        <v>121.724</v>
      </c>
      <c r="K68" s="20">
        <v>27.463799999999999</v>
      </c>
      <c r="L68" s="20">
        <v>33.731499999999997</v>
      </c>
      <c r="M68" s="20">
        <v>34.6708</v>
      </c>
      <c r="N68" s="20">
        <v>740.74069999999995</v>
      </c>
      <c r="O68" s="20">
        <f t="shared" si="1"/>
        <v>29.148137499999997</v>
      </c>
      <c r="P68" s="7"/>
      <c r="Q68" s="13"/>
      <c r="R68" s="14"/>
      <c r="S68" s="14"/>
      <c r="T68" s="27"/>
      <c r="U68" s="28">
        <f t="shared" si="2"/>
        <v>0.5999064774617161</v>
      </c>
    </row>
    <row r="69" spans="1:21" x14ac:dyDescent="0.25">
      <c r="A69" s="6" t="s">
        <v>43</v>
      </c>
      <c r="B69" s="6" t="s">
        <v>61</v>
      </c>
      <c r="C69" s="15">
        <v>1497.3505859375</v>
      </c>
      <c r="D69" s="16">
        <v>39.994</v>
      </c>
      <c r="E69" s="16">
        <v>45.09</v>
      </c>
      <c r="F69" s="16">
        <v>46.256</v>
      </c>
      <c r="G69" s="16">
        <v>85.85</v>
      </c>
      <c r="H69" s="16">
        <f t="shared" si="0"/>
        <v>41.413749999999993</v>
      </c>
      <c r="I69" s="5"/>
      <c r="J69" s="15">
        <v>1498.5655999999999</v>
      </c>
      <c r="K69" s="16">
        <v>41.147399999999998</v>
      </c>
      <c r="L69" s="16">
        <v>45.509399999999999</v>
      </c>
      <c r="M69" s="16">
        <v>46.708599999999997</v>
      </c>
      <c r="N69" s="16">
        <v>141.37610000000001</v>
      </c>
      <c r="O69" s="16">
        <f t="shared" si="1"/>
        <v>42.387799999999991</v>
      </c>
      <c r="P69" s="7"/>
      <c r="Q69" s="8">
        <f>bdrate(C69:C72,D69:D72,J69:J72,K69:K72)</f>
        <v>-0.3339851885624141</v>
      </c>
      <c r="R69" s="8">
        <f>bdrate(C69:C72,E69:E72,J69:J72,L69:L72)</f>
        <v>-0.25738437177121565</v>
      </c>
      <c r="S69" s="8">
        <f>bdrate(C69:C72,F69:F72,J69:J72,M69:M72)</f>
        <v>-0.25121675744321104</v>
      </c>
      <c r="T69" s="25">
        <f>bdrate(C69:C72,H69:H72,J69:J72,O69:O72)</f>
        <v>-0.32044777003731306</v>
      </c>
      <c r="U69" s="28">
        <f t="shared" si="2"/>
        <v>0.64678043098427507</v>
      </c>
    </row>
    <row r="70" spans="1:21" x14ac:dyDescent="0.25">
      <c r="A70" s="9" t="s">
        <v>44</v>
      </c>
      <c r="B70" s="9"/>
      <c r="C70" s="17">
        <v>1001.3349609375</v>
      </c>
      <c r="D70" s="18">
        <v>38.713000000000001</v>
      </c>
      <c r="E70" s="18">
        <v>44.073</v>
      </c>
      <c r="F70" s="18">
        <v>45.215000000000003</v>
      </c>
      <c r="G70" s="18">
        <v>89.99</v>
      </c>
      <c r="H70" s="18">
        <f t="shared" si="0"/>
        <v>40.195750000000004</v>
      </c>
      <c r="I70" s="5"/>
      <c r="J70" s="17">
        <v>984.48879999999997</v>
      </c>
      <c r="K70" s="18">
        <v>40.036900000000003</v>
      </c>
      <c r="L70" s="18">
        <v>44.619199999999999</v>
      </c>
      <c r="M70" s="18">
        <v>45.7821</v>
      </c>
      <c r="N70" s="18">
        <v>160.25640000000001</v>
      </c>
      <c r="O70" s="18">
        <f t="shared" si="1"/>
        <v>41.327837500000001</v>
      </c>
      <c r="P70" s="7"/>
      <c r="Q70" s="10"/>
      <c r="R70" s="11"/>
      <c r="S70" s="11"/>
      <c r="T70" s="26"/>
      <c r="U70" s="28">
        <f t="shared" si="2"/>
        <v>0.78082453605956248</v>
      </c>
    </row>
    <row r="71" spans="1:21" x14ac:dyDescent="0.25">
      <c r="B71" s="9"/>
      <c r="C71" s="17">
        <v>601.8681640625</v>
      </c>
      <c r="D71" s="18">
        <v>36.634999999999998</v>
      </c>
      <c r="E71" s="18">
        <v>42.488999999999997</v>
      </c>
      <c r="F71" s="18">
        <v>43.558</v>
      </c>
      <c r="G71" s="18">
        <v>94.96</v>
      </c>
      <c r="H71" s="18">
        <f t="shared" si="0"/>
        <v>38.232124999999996</v>
      </c>
      <c r="I71" s="5"/>
      <c r="J71" s="17">
        <v>575.08799999999997</v>
      </c>
      <c r="K71" s="18">
        <v>38.105200000000004</v>
      </c>
      <c r="L71" s="18">
        <v>43.235799999999998</v>
      </c>
      <c r="M71" s="18">
        <v>44.288800000000002</v>
      </c>
      <c r="N71" s="18">
        <v>183.15020000000001</v>
      </c>
      <c r="O71" s="18">
        <f t="shared" si="1"/>
        <v>39.519475</v>
      </c>
      <c r="P71" s="7"/>
      <c r="Q71" s="10"/>
      <c r="R71" s="11"/>
      <c r="S71" s="11"/>
      <c r="T71" s="26"/>
      <c r="U71" s="28">
        <f t="shared" si="2"/>
        <v>0.92870893007582167</v>
      </c>
    </row>
    <row r="72" spans="1:21" ht="16.5" thickBot="1" x14ac:dyDescent="0.3">
      <c r="B72" s="12"/>
      <c r="C72" s="19">
        <v>302.0390625</v>
      </c>
      <c r="D72" s="20">
        <v>33.006</v>
      </c>
      <c r="E72" s="20">
        <v>39.960999999999999</v>
      </c>
      <c r="F72" s="20">
        <v>40.743000000000002</v>
      </c>
      <c r="G72" s="20">
        <v>102.44</v>
      </c>
      <c r="H72" s="20">
        <f t="shared" si="0"/>
        <v>34.842500000000001</v>
      </c>
      <c r="I72" s="5"/>
      <c r="J72" s="19">
        <v>282.00880000000001</v>
      </c>
      <c r="K72" s="20">
        <v>34.999099999999999</v>
      </c>
      <c r="L72" s="20">
        <v>41.478299999999997</v>
      </c>
      <c r="M72" s="20">
        <v>42.502699999999997</v>
      </c>
      <c r="N72" s="20">
        <v>222.30459999999999</v>
      </c>
      <c r="O72" s="20">
        <f t="shared" si="1"/>
        <v>36.746949999999998</v>
      </c>
      <c r="P72" s="7"/>
      <c r="Q72" s="13"/>
      <c r="R72" s="14"/>
      <c r="S72" s="14"/>
      <c r="T72" s="27"/>
      <c r="U72" s="28">
        <f t="shared" si="2"/>
        <v>1.1700956657555641</v>
      </c>
    </row>
    <row r="73" spans="1:21" x14ac:dyDescent="0.25">
      <c r="B73" s="6" t="s">
        <v>62</v>
      </c>
      <c r="C73" s="15">
        <v>1506.7958984375</v>
      </c>
      <c r="D73" s="16">
        <v>41.268999999999998</v>
      </c>
      <c r="E73" s="16">
        <v>47.134</v>
      </c>
      <c r="F73" s="16">
        <v>47.774000000000001</v>
      </c>
      <c r="G73" s="16">
        <v>82.83</v>
      </c>
      <c r="H73" s="16">
        <f t="shared" si="0"/>
        <v>42.815249999999999</v>
      </c>
      <c r="I73" s="5"/>
      <c r="J73" s="15">
        <v>1488.0216</v>
      </c>
      <c r="K73" s="16">
        <v>42.498800000000003</v>
      </c>
      <c r="L73" s="16">
        <v>47.5901</v>
      </c>
      <c r="M73" s="16">
        <v>48.219299999999997</v>
      </c>
      <c r="N73" s="16">
        <v>155.0788</v>
      </c>
      <c r="O73" s="16">
        <f t="shared" si="1"/>
        <v>43.850274999999996</v>
      </c>
      <c r="P73" s="7"/>
      <c r="Q73" s="8">
        <f>bdrate(C73:C76,D73:D76,J73:J76,K73:K76)</f>
        <v>-0.52882083142992853</v>
      </c>
      <c r="R73" s="8">
        <f>bdrate(C73:C76,E73:E76,J73:J76,L73:L76)</f>
        <v>-0.37935894236591561</v>
      </c>
      <c r="S73" s="8">
        <f>bdrate(C73:C76,F73:F76,J73:J76,M73:M76)</f>
        <v>-0.38674193418241287</v>
      </c>
      <c r="T73" s="25">
        <f>bdrate(C73:C76,H73:H76,J73:J76,O73:O76)</f>
        <v>-0.49614484433465289</v>
      </c>
      <c r="U73" s="28">
        <f t="shared" ref="U73:U124" si="3">(N73-G73)/G73</f>
        <v>0.87225401424604621</v>
      </c>
    </row>
    <row r="74" spans="1:21" x14ac:dyDescent="0.25">
      <c r="B74" s="9"/>
      <c r="C74" s="17">
        <v>999.5673828125</v>
      </c>
      <c r="D74" s="18">
        <v>40.593000000000004</v>
      </c>
      <c r="E74" s="18">
        <v>46.487000000000002</v>
      </c>
      <c r="F74" s="18">
        <v>47.093000000000004</v>
      </c>
      <c r="G74" s="18">
        <v>89</v>
      </c>
      <c r="H74" s="18">
        <f t="shared" si="0"/>
        <v>42.142250000000004</v>
      </c>
      <c r="I74" s="5"/>
      <c r="J74" s="17">
        <v>978.94560000000001</v>
      </c>
      <c r="K74" s="18">
        <v>41.936199999999999</v>
      </c>
      <c r="L74" s="18">
        <v>47.138100000000001</v>
      </c>
      <c r="M74" s="18">
        <v>47.7821</v>
      </c>
      <c r="N74" s="18">
        <v>182.26</v>
      </c>
      <c r="O74" s="18">
        <f t="shared" si="1"/>
        <v>43.317174999999999</v>
      </c>
      <c r="P74" s="7"/>
      <c r="Q74" s="10"/>
      <c r="R74" s="11"/>
      <c r="S74" s="11"/>
      <c r="T74" s="26"/>
      <c r="U74" s="28">
        <f t="shared" si="3"/>
        <v>1.0478651685393257</v>
      </c>
    </row>
    <row r="75" spans="1:21" x14ac:dyDescent="0.25">
      <c r="B75" s="9"/>
      <c r="C75" s="17">
        <v>603.232421875</v>
      </c>
      <c r="D75" s="18">
        <v>39.481000000000002</v>
      </c>
      <c r="E75" s="18">
        <v>45.271000000000001</v>
      </c>
      <c r="F75" s="18">
        <v>45.871000000000002</v>
      </c>
      <c r="G75" s="18">
        <v>93.15</v>
      </c>
      <c r="H75" s="18">
        <f t="shared" si="0"/>
        <v>41.003500000000003</v>
      </c>
      <c r="I75" s="5"/>
      <c r="J75" s="17">
        <v>581.29200000000003</v>
      </c>
      <c r="K75" s="18">
        <v>41.063499999999998</v>
      </c>
      <c r="L75" s="18">
        <v>46.297600000000003</v>
      </c>
      <c r="M75" s="18">
        <v>46.933900000000001</v>
      </c>
      <c r="N75" s="18">
        <v>202.42910000000001</v>
      </c>
      <c r="O75" s="18">
        <f t="shared" si="1"/>
        <v>42.451562499999994</v>
      </c>
      <c r="P75" s="7"/>
      <c r="Q75" s="10"/>
      <c r="R75" s="11"/>
      <c r="S75" s="11"/>
      <c r="T75" s="26"/>
      <c r="U75" s="28">
        <f t="shared" si="3"/>
        <v>1.173151905528717</v>
      </c>
    </row>
    <row r="76" spans="1:21" ht="16.5" thickBot="1" x14ac:dyDescent="0.3">
      <c r="B76" s="12"/>
      <c r="C76" s="19">
        <v>296.3916015625</v>
      </c>
      <c r="D76" s="20">
        <v>37.203000000000003</v>
      </c>
      <c r="E76" s="20">
        <v>43.01</v>
      </c>
      <c r="F76" s="20">
        <v>43.469000000000001</v>
      </c>
      <c r="G76" s="20">
        <v>100.43</v>
      </c>
      <c r="H76" s="20">
        <f t="shared" si="0"/>
        <v>38.712125</v>
      </c>
      <c r="I76" s="5"/>
      <c r="J76" s="19">
        <v>282.16239999999999</v>
      </c>
      <c r="K76" s="20">
        <v>39.276600000000002</v>
      </c>
      <c r="L76" s="20">
        <v>44.545099999999998</v>
      </c>
      <c r="M76" s="20">
        <v>45.156799999999997</v>
      </c>
      <c r="N76" s="20">
        <v>234.4666</v>
      </c>
      <c r="O76" s="20">
        <f t="shared" si="1"/>
        <v>40.670187499999997</v>
      </c>
      <c r="P76" s="7"/>
      <c r="Q76" s="13"/>
      <c r="R76" s="14"/>
      <c r="S76" s="14"/>
      <c r="T76" s="27"/>
      <c r="U76" s="28">
        <f t="shared" si="3"/>
        <v>1.3346271034551427</v>
      </c>
    </row>
    <row r="77" spans="1:21" x14ac:dyDescent="0.25">
      <c r="B77" s="6" t="s">
        <v>63</v>
      </c>
      <c r="C77" s="15">
        <v>1500.056640625</v>
      </c>
      <c r="D77" s="16">
        <v>41.063000000000002</v>
      </c>
      <c r="E77" s="16">
        <v>46.079000000000001</v>
      </c>
      <c r="F77" s="16">
        <v>46.933999999999997</v>
      </c>
      <c r="G77" s="16">
        <v>81</v>
      </c>
      <c r="H77" s="16">
        <f t="shared" si="0"/>
        <v>42.423874999999995</v>
      </c>
      <c r="I77" s="5"/>
      <c r="J77" s="15">
        <v>1532.9408000000001</v>
      </c>
      <c r="K77" s="16">
        <v>42.372199999999999</v>
      </c>
      <c r="L77" s="16">
        <v>46.6648</v>
      </c>
      <c r="M77" s="16">
        <v>47.5501</v>
      </c>
      <c r="N77" s="16">
        <v>136.89250000000001</v>
      </c>
      <c r="O77" s="16">
        <f t="shared" si="1"/>
        <v>43.556012500000001</v>
      </c>
      <c r="P77" s="7"/>
      <c r="Q77" s="8">
        <f>bdrate(C77:C80,D77:D80,J77:J80,K77:K80)</f>
        <v>-0.43492907965995942</v>
      </c>
      <c r="R77" s="8">
        <f>bdrate(C77:C80,E77:E80,J77:J80,L77:L80)</f>
        <v>-0.30138394050926953</v>
      </c>
      <c r="S77" s="8">
        <f>bdrate(C77:C80,F77:F80,J77:J80,M77:M80)</f>
        <v>-0.29492500108015207</v>
      </c>
      <c r="T77" s="25">
        <f>bdrate(C77:C80,H77:H80,J77:J80,O77:O80)</f>
        <v>-0.40747933379606882</v>
      </c>
      <c r="U77" s="28">
        <f t="shared" si="3"/>
        <v>0.69003086419753101</v>
      </c>
    </row>
    <row r="78" spans="1:21" x14ac:dyDescent="0.25">
      <c r="B78" s="9"/>
      <c r="C78" s="17">
        <v>1003.35546875</v>
      </c>
      <c r="D78" s="18">
        <v>39.994999999999997</v>
      </c>
      <c r="E78" s="18">
        <v>45.212000000000003</v>
      </c>
      <c r="F78" s="18">
        <v>46.029000000000003</v>
      </c>
      <c r="G78" s="18">
        <v>86.51</v>
      </c>
      <c r="H78" s="18">
        <f t="shared" si="0"/>
        <v>41.401374999999994</v>
      </c>
      <c r="I78" s="5"/>
      <c r="J78" s="17">
        <v>1016.84</v>
      </c>
      <c r="K78" s="18">
        <v>41.548999999999999</v>
      </c>
      <c r="L78" s="18">
        <v>45.914999999999999</v>
      </c>
      <c r="M78" s="18">
        <v>46.767400000000002</v>
      </c>
      <c r="N78" s="18">
        <v>158.89830000000001</v>
      </c>
      <c r="O78" s="18">
        <f t="shared" si="1"/>
        <v>42.747050000000002</v>
      </c>
      <c r="P78" s="7"/>
      <c r="Q78" s="10"/>
      <c r="R78" s="11"/>
      <c r="S78" s="11"/>
      <c r="T78" s="26"/>
      <c r="U78" s="28">
        <f t="shared" si="3"/>
        <v>0.83676222402034439</v>
      </c>
    </row>
    <row r="79" spans="1:21" x14ac:dyDescent="0.25">
      <c r="B79" s="9"/>
      <c r="C79" s="17">
        <v>606.22265625</v>
      </c>
      <c r="D79" s="18">
        <v>38.238999999999997</v>
      </c>
      <c r="E79" s="18">
        <v>43.698</v>
      </c>
      <c r="F79" s="18">
        <v>44.500999999999998</v>
      </c>
      <c r="G79" s="18">
        <v>91.91</v>
      </c>
      <c r="H79" s="18">
        <f t="shared" si="0"/>
        <v>39.704124999999991</v>
      </c>
      <c r="I79" s="5"/>
      <c r="J79" s="17">
        <v>605.97919999999999</v>
      </c>
      <c r="K79" s="18">
        <v>40.194099999999999</v>
      </c>
      <c r="L79" s="18">
        <v>44.752400000000002</v>
      </c>
      <c r="M79" s="18">
        <v>45.529899999999998</v>
      </c>
      <c r="N79" s="18">
        <v>178.89089999999999</v>
      </c>
      <c r="O79" s="18">
        <f t="shared" si="1"/>
        <v>41.430862500000003</v>
      </c>
      <c r="P79" s="7"/>
      <c r="Q79" s="10"/>
      <c r="R79" s="11"/>
      <c r="S79" s="11"/>
      <c r="T79" s="26"/>
      <c r="U79" s="28">
        <f t="shared" si="3"/>
        <v>0.94637036231095628</v>
      </c>
    </row>
    <row r="80" spans="1:21" ht="16.5" thickBot="1" x14ac:dyDescent="0.3">
      <c r="B80" s="12"/>
      <c r="C80" s="19">
        <v>303.068359375</v>
      </c>
      <c r="D80" s="20">
        <v>35.055999999999997</v>
      </c>
      <c r="E80" s="20">
        <v>41.009</v>
      </c>
      <c r="F80" s="20">
        <v>41.789000000000001</v>
      </c>
      <c r="G80" s="20">
        <v>104.83</v>
      </c>
      <c r="H80" s="20">
        <f t="shared" si="0"/>
        <v>36.641749999999995</v>
      </c>
      <c r="I80" s="5"/>
      <c r="J80" s="19">
        <v>294.91039999999998</v>
      </c>
      <c r="K80" s="20">
        <v>37.561</v>
      </c>
      <c r="L80" s="20">
        <v>42.656100000000002</v>
      </c>
      <c r="M80" s="20">
        <v>43.444800000000001</v>
      </c>
      <c r="N80" s="20">
        <v>216.06049999999999</v>
      </c>
      <c r="O80" s="20">
        <f t="shared" si="1"/>
        <v>38.933362499999994</v>
      </c>
      <c r="P80" s="7"/>
      <c r="Q80" s="13"/>
      <c r="R80" s="14"/>
      <c r="S80" s="14"/>
      <c r="T80" s="27"/>
      <c r="U80" s="28">
        <f t="shared" si="3"/>
        <v>1.061055995421158</v>
      </c>
    </row>
    <row r="81" spans="1:21" x14ac:dyDescent="0.25">
      <c r="A81" s="6" t="s">
        <v>102</v>
      </c>
      <c r="B81" s="6" t="s">
        <v>103</v>
      </c>
      <c r="C81" s="15">
        <v>1458.4326171875</v>
      </c>
      <c r="D81" s="16">
        <v>44.305</v>
      </c>
      <c r="E81" s="16">
        <v>49.655000000000001</v>
      </c>
      <c r="F81" s="16">
        <v>50.122</v>
      </c>
      <c r="G81" s="16">
        <v>65.239999999999995</v>
      </c>
      <c r="H81" s="16">
        <f t="shared" ref="H81:H124" si="4">(6*D81+E81+F81)/8</f>
        <v>45.700875000000003</v>
      </c>
      <c r="I81" s="5"/>
      <c r="J81" s="15">
        <v>1297.0123000000001</v>
      </c>
      <c r="K81" s="16">
        <v>42.966299999999997</v>
      </c>
      <c r="L81" s="16">
        <v>48.245100000000001</v>
      </c>
      <c r="M81" s="16">
        <v>49.566600000000001</v>
      </c>
      <c r="N81" s="16">
        <v>85.340400000000002</v>
      </c>
      <c r="O81" s="16">
        <f t="shared" ref="O81:O124" si="5">(6*K81+L81+M81)/8</f>
        <v>44.451187499999996</v>
      </c>
      <c r="P81" s="7"/>
      <c r="Q81" s="8">
        <f>bdrate(C81:C84,D81:D84,J81:J84,K81:K84)</f>
        <v>-0.15374960663395121</v>
      </c>
      <c r="R81" s="8">
        <f>bdrate(C81:C84,E81:E84,J81:J84,L81:L84)</f>
        <v>-0.24854735831338781</v>
      </c>
      <c r="S81" s="8">
        <f>bdrate(C81:C84,F81:F84,J81:J84,M81:M84)</f>
        <v>-0.26183051954413883</v>
      </c>
      <c r="T81" s="25">
        <f>bdrate(C81:C84,H81:H84,J81:J84,O81:O84)</f>
        <v>-0.17467789684790713</v>
      </c>
      <c r="U81" s="28">
        <f t="shared" si="3"/>
        <v>0.30809932556713687</v>
      </c>
    </row>
    <row r="82" spans="1:21" x14ac:dyDescent="0.25">
      <c r="A82" s="9" t="s">
        <v>78</v>
      </c>
      <c r="B82" s="9"/>
      <c r="C82" s="17">
        <v>1025.666015625</v>
      </c>
      <c r="D82" s="18">
        <v>42.235999999999997</v>
      </c>
      <c r="E82" s="18">
        <v>47.847999999999999</v>
      </c>
      <c r="F82" s="18">
        <v>48.381</v>
      </c>
      <c r="G82" s="18">
        <v>70.77</v>
      </c>
      <c r="H82" s="18">
        <f t="shared" si="4"/>
        <v>43.705624999999998</v>
      </c>
      <c r="I82" s="5"/>
      <c r="J82" s="17">
        <v>893.04309999999998</v>
      </c>
      <c r="K82" s="18">
        <v>41.528100000000002</v>
      </c>
      <c r="L82" s="18">
        <v>47.725900000000003</v>
      </c>
      <c r="M82" s="18">
        <v>48.490699999999997</v>
      </c>
      <c r="N82" s="18">
        <v>101.1293</v>
      </c>
      <c r="O82" s="18">
        <f t="shared" si="5"/>
        <v>43.173150000000007</v>
      </c>
      <c r="P82" s="7"/>
      <c r="Q82" s="10"/>
      <c r="R82" s="11"/>
      <c r="S82" s="11"/>
      <c r="T82" s="26"/>
      <c r="U82" s="28">
        <f t="shared" si="3"/>
        <v>0.42898544581037173</v>
      </c>
    </row>
    <row r="83" spans="1:21" x14ac:dyDescent="0.25">
      <c r="B83" s="9"/>
      <c r="C83" s="17">
        <v>679.900390625</v>
      </c>
      <c r="D83" s="18">
        <v>39.457000000000001</v>
      </c>
      <c r="E83" s="18">
        <v>45.625999999999998</v>
      </c>
      <c r="F83" s="18">
        <v>46.271999999999998</v>
      </c>
      <c r="G83" s="18">
        <v>77.75</v>
      </c>
      <c r="H83" s="18">
        <f t="shared" si="4"/>
        <v>41.08</v>
      </c>
      <c r="I83" s="5"/>
      <c r="J83" s="17">
        <v>554.93050000000005</v>
      </c>
      <c r="K83" s="18">
        <v>39.2639</v>
      </c>
      <c r="L83" s="18">
        <v>45.9895</v>
      </c>
      <c r="M83" s="18">
        <v>46.940600000000003</v>
      </c>
      <c r="N83" s="18">
        <v>122.6242</v>
      </c>
      <c r="O83" s="18">
        <f t="shared" si="5"/>
        <v>41.064187500000003</v>
      </c>
      <c r="P83" s="7"/>
      <c r="Q83" s="10"/>
      <c r="R83" s="11"/>
      <c r="S83" s="11"/>
      <c r="T83" s="26"/>
      <c r="U83" s="28">
        <f t="shared" si="3"/>
        <v>0.57716012861736332</v>
      </c>
    </row>
    <row r="84" spans="1:21" ht="16.5" thickBot="1" x14ac:dyDescent="0.3">
      <c r="B84" s="12"/>
      <c r="C84" s="19">
        <v>453.0390625</v>
      </c>
      <c r="D84" s="20">
        <v>35.972000000000001</v>
      </c>
      <c r="E84" s="20">
        <v>42.774000000000001</v>
      </c>
      <c r="F84" s="20">
        <v>43.664999999999999</v>
      </c>
      <c r="G84" s="20">
        <v>80.900000000000006</v>
      </c>
      <c r="H84" s="20">
        <f t="shared" si="4"/>
        <v>37.783875000000002</v>
      </c>
      <c r="I84" s="5"/>
      <c r="J84" s="19">
        <v>288.1576</v>
      </c>
      <c r="K84" s="20">
        <v>36.491199999999999</v>
      </c>
      <c r="L84" s="20">
        <v>43.479300000000002</v>
      </c>
      <c r="M84" s="20">
        <v>45.069499999999998</v>
      </c>
      <c r="N84" s="20">
        <v>158.9264</v>
      </c>
      <c r="O84" s="20">
        <f t="shared" si="5"/>
        <v>38.437000000000005</v>
      </c>
      <c r="P84" s="7"/>
      <c r="Q84" s="13"/>
      <c r="R84" s="14"/>
      <c r="S84" s="14"/>
      <c r="T84" s="27"/>
      <c r="U84" s="28">
        <f t="shared" si="3"/>
        <v>0.96447960444993808</v>
      </c>
    </row>
    <row r="85" spans="1:21" x14ac:dyDescent="0.25">
      <c r="B85" s="6" t="s">
        <v>104</v>
      </c>
      <c r="C85" s="15">
        <v>1625.017578125</v>
      </c>
      <c r="D85" s="16">
        <v>50.427</v>
      </c>
      <c r="E85" s="16">
        <v>51.241999999999997</v>
      </c>
      <c r="F85" s="16">
        <v>51.607999999999997</v>
      </c>
      <c r="G85" s="16">
        <v>131.77000000000001</v>
      </c>
      <c r="H85" s="16">
        <f t="shared" si="4"/>
        <v>50.676500000000004</v>
      </c>
      <c r="I85" s="5"/>
      <c r="J85" s="15">
        <v>1445.0987</v>
      </c>
      <c r="K85" s="16">
        <v>51.581299999999999</v>
      </c>
      <c r="L85" s="16">
        <v>52.011499999999998</v>
      </c>
      <c r="M85" s="16">
        <v>52.457000000000001</v>
      </c>
      <c r="N85" s="16">
        <v>141.0548</v>
      </c>
      <c r="O85" s="16">
        <f t="shared" si="5"/>
        <v>51.7445375</v>
      </c>
      <c r="P85" s="7"/>
      <c r="Q85" s="8">
        <f>bdrate(C85:C88,D85:D88,J85:J88,K85:K88)</f>
        <v>-0.307163088699141</v>
      </c>
      <c r="R85" s="8">
        <f>bdrate(C85:C88,E85:E88,J85:J88,L85:L88)</f>
        <v>-0.30903348492520943</v>
      </c>
      <c r="S85" s="8">
        <f>bdrate(C85:C88,F85:F88,J85:J88,M85:M88)</f>
        <v>-0.3221231737424799</v>
      </c>
      <c r="T85" s="25">
        <f>bdrate(C85:C88,H85:H88,J85:J88,O85:O88)</f>
        <v>-0.30921564251375355</v>
      </c>
      <c r="U85" s="28">
        <f t="shared" si="3"/>
        <v>7.0462168930712527E-2</v>
      </c>
    </row>
    <row r="86" spans="1:21" x14ac:dyDescent="0.25">
      <c r="B86" s="9"/>
      <c r="C86" s="17">
        <v>1138.873046875</v>
      </c>
      <c r="D86" s="18">
        <v>48.231000000000002</v>
      </c>
      <c r="E86" s="18">
        <v>49.192999999999998</v>
      </c>
      <c r="F86" s="18">
        <v>49.595999999999997</v>
      </c>
      <c r="G86" s="18">
        <v>138.29</v>
      </c>
      <c r="H86" s="18">
        <f t="shared" si="4"/>
        <v>48.521875000000001</v>
      </c>
      <c r="I86" s="5"/>
      <c r="J86" s="17">
        <v>979.55330000000004</v>
      </c>
      <c r="K86" s="18">
        <v>49.526699999999998</v>
      </c>
      <c r="L86" s="18">
        <v>50.252099999999999</v>
      </c>
      <c r="M86" s="18">
        <v>50.743600000000001</v>
      </c>
      <c r="N86" s="18">
        <v>170.42230000000001</v>
      </c>
      <c r="O86" s="18">
        <f t="shared" si="5"/>
        <v>49.769487499999997</v>
      </c>
      <c r="P86" s="7"/>
      <c r="Q86" s="10"/>
      <c r="R86" s="11"/>
      <c r="S86" s="11"/>
      <c r="T86" s="26"/>
      <c r="U86" s="28">
        <f t="shared" si="3"/>
        <v>0.23235447248535698</v>
      </c>
    </row>
    <row r="87" spans="1:21" x14ac:dyDescent="0.25">
      <c r="B87" s="9"/>
      <c r="C87" s="17">
        <v>717.3173828125</v>
      </c>
      <c r="D87" s="18">
        <v>45.372999999999998</v>
      </c>
      <c r="E87" s="18">
        <v>46.552</v>
      </c>
      <c r="F87" s="18">
        <v>46.976999999999997</v>
      </c>
      <c r="G87" s="18">
        <v>146.43</v>
      </c>
      <c r="H87" s="18">
        <f t="shared" si="4"/>
        <v>45.720874999999999</v>
      </c>
      <c r="I87" s="5"/>
      <c r="J87" s="17">
        <v>593.93110000000001</v>
      </c>
      <c r="K87" s="18">
        <v>46.429400000000001</v>
      </c>
      <c r="L87" s="18">
        <v>47.578699999999998</v>
      </c>
      <c r="M87" s="18">
        <v>48.105499999999999</v>
      </c>
      <c r="N87" s="18">
        <v>200.3339</v>
      </c>
      <c r="O87" s="18">
        <f t="shared" si="5"/>
        <v>46.782575000000008</v>
      </c>
      <c r="P87" s="7"/>
      <c r="Q87" s="10"/>
      <c r="R87" s="11"/>
      <c r="S87" s="11"/>
      <c r="T87" s="26"/>
      <c r="U87" s="28">
        <f t="shared" si="3"/>
        <v>0.36812060370142724</v>
      </c>
    </row>
    <row r="88" spans="1:21" ht="16.5" thickBot="1" x14ac:dyDescent="0.3">
      <c r="B88" s="12"/>
      <c r="C88" s="19">
        <v>397.3798828125</v>
      </c>
      <c r="D88" s="20">
        <v>41.73</v>
      </c>
      <c r="E88" s="20">
        <v>43.246000000000002</v>
      </c>
      <c r="F88" s="20">
        <v>43.640999999999998</v>
      </c>
      <c r="G88" s="20">
        <v>152.85</v>
      </c>
      <c r="H88" s="20">
        <f t="shared" si="4"/>
        <v>42.158374999999999</v>
      </c>
      <c r="I88" s="5"/>
      <c r="J88" s="19">
        <v>303.09440000000001</v>
      </c>
      <c r="K88" s="20">
        <v>42.491599999999998</v>
      </c>
      <c r="L88" s="20">
        <v>44.092599999999997</v>
      </c>
      <c r="M88" s="20">
        <v>44.575200000000002</v>
      </c>
      <c r="N88" s="20">
        <v>223.63030000000001</v>
      </c>
      <c r="O88" s="20">
        <f t="shared" si="5"/>
        <v>42.952174999999997</v>
      </c>
      <c r="P88" s="7"/>
      <c r="Q88" s="13"/>
      <c r="R88" s="14"/>
      <c r="S88" s="14"/>
      <c r="T88" s="27"/>
      <c r="U88" s="28">
        <f t="shared" si="3"/>
        <v>0.46307033038927059</v>
      </c>
    </row>
    <row r="89" spans="1:21" x14ac:dyDescent="0.25">
      <c r="B89" s="6" t="s">
        <v>105</v>
      </c>
      <c r="C89" s="15">
        <v>1806.998046875</v>
      </c>
      <c r="D89" s="16">
        <v>40.75</v>
      </c>
      <c r="E89" s="16">
        <v>43.576000000000001</v>
      </c>
      <c r="F89" s="16">
        <v>43.966999999999999</v>
      </c>
      <c r="G89" s="16">
        <v>74.010000000000005</v>
      </c>
      <c r="H89" s="16">
        <f t="shared" si="4"/>
        <v>41.505375000000001</v>
      </c>
      <c r="I89" s="5"/>
      <c r="J89" s="15">
        <v>1498.4142999999999</v>
      </c>
      <c r="K89" s="16">
        <v>42.252200000000002</v>
      </c>
      <c r="L89" s="16">
        <v>44.558500000000002</v>
      </c>
      <c r="M89" s="16">
        <v>44.980200000000004</v>
      </c>
      <c r="N89" s="16">
        <v>105.56570000000001</v>
      </c>
      <c r="O89" s="16">
        <f t="shared" si="5"/>
        <v>42.881487500000006</v>
      </c>
      <c r="P89" s="7"/>
      <c r="Q89" s="8">
        <f>bdrate(C89:C92,D89:D92,J89:J92,K89:K92)</f>
        <v>-0.41127602849625655</v>
      </c>
      <c r="R89" s="8">
        <f>bdrate(C89:C92,E89:E92,J89:J92,L89:L92)</f>
        <v>-0.44529833261603691</v>
      </c>
      <c r="S89" s="8">
        <f>bdrate(C89:C92,F89:F92,J89:J92,M89:M92)</f>
        <v>-0.45034303396877784</v>
      </c>
      <c r="T89" s="25">
        <f>bdrate(C89:C92,H89:H92,J89:J92,O89:O92)</f>
        <v>-0.41956339061876335</v>
      </c>
      <c r="U89" s="28">
        <f t="shared" si="3"/>
        <v>0.42637076070801244</v>
      </c>
    </row>
    <row r="90" spans="1:21" x14ac:dyDescent="0.25">
      <c r="B90" s="9"/>
      <c r="C90" s="17">
        <v>1277.310546875</v>
      </c>
      <c r="D90" s="18">
        <v>38.912999999999997</v>
      </c>
      <c r="E90" s="18">
        <v>42.048000000000002</v>
      </c>
      <c r="F90" s="18">
        <v>42.47</v>
      </c>
      <c r="G90" s="18">
        <v>78.989999999999995</v>
      </c>
      <c r="H90" s="18">
        <f t="shared" si="4"/>
        <v>39.749499999999998</v>
      </c>
      <c r="I90" s="5"/>
      <c r="J90" s="17">
        <v>997.88810000000001</v>
      </c>
      <c r="K90" s="18">
        <v>40.285200000000003</v>
      </c>
      <c r="L90" s="18">
        <v>43.129100000000001</v>
      </c>
      <c r="M90" s="18">
        <v>43.564700000000002</v>
      </c>
      <c r="N90" s="18">
        <v>123.8049</v>
      </c>
      <c r="O90" s="18">
        <f t="shared" si="5"/>
        <v>41.050625000000004</v>
      </c>
      <c r="P90" s="7"/>
      <c r="Q90" s="10"/>
      <c r="R90" s="11"/>
      <c r="S90" s="11"/>
      <c r="T90" s="26"/>
      <c r="U90" s="28">
        <f t="shared" si="3"/>
        <v>0.56734903152297778</v>
      </c>
    </row>
    <row r="91" spans="1:21" x14ac:dyDescent="0.25">
      <c r="B91" s="9"/>
      <c r="C91" s="17">
        <v>834.0654296875</v>
      </c>
      <c r="D91" s="18">
        <v>36.640999999999998</v>
      </c>
      <c r="E91" s="18">
        <v>40.207999999999998</v>
      </c>
      <c r="F91" s="18">
        <v>40.619999999999997</v>
      </c>
      <c r="G91" s="18">
        <v>83.01</v>
      </c>
      <c r="H91" s="18">
        <f t="shared" si="4"/>
        <v>37.584249999999997</v>
      </c>
      <c r="I91" s="5"/>
      <c r="J91" s="17">
        <v>599.61289999999997</v>
      </c>
      <c r="K91" s="18">
        <v>37.678699999999999</v>
      </c>
      <c r="L91" s="18">
        <v>41.2821</v>
      </c>
      <c r="M91" s="18">
        <v>41.7331</v>
      </c>
      <c r="N91" s="18">
        <v>146.0565</v>
      </c>
      <c r="O91" s="18">
        <f t="shared" si="5"/>
        <v>38.635925</v>
      </c>
      <c r="P91" s="7"/>
      <c r="Q91" s="10"/>
      <c r="R91" s="11"/>
      <c r="S91" s="11"/>
      <c r="T91" s="26"/>
      <c r="U91" s="28">
        <f t="shared" si="3"/>
        <v>0.75950487893024921</v>
      </c>
    </row>
    <row r="92" spans="1:21" ht="16.5" thickBot="1" x14ac:dyDescent="0.3">
      <c r="B92" s="12"/>
      <c r="C92" s="19">
        <v>498.79296875</v>
      </c>
      <c r="D92" s="20">
        <v>33.728000000000002</v>
      </c>
      <c r="E92" s="20">
        <v>37.898000000000003</v>
      </c>
      <c r="F92" s="20">
        <v>38.402000000000001</v>
      </c>
      <c r="G92" s="20">
        <v>86.76</v>
      </c>
      <c r="H92" s="20">
        <f t="shared" si="4"/>
        <v>34.833500000000001</v>
      </c>
      <c r="I92" s="5"/>
      <c r="J92" s="19">
        <v>303.58839999999998</v>
      </c>
      <c r="K92" s="20">
        <v>34.1768</v>
      </c>
      <c r="L92" s="20">
        <v>39.036900000000003</v>
      </c>
      <c r="M92" s="20">
        <v>39.5092</v>
      </c>
      <c r="N92" s="20">
        <v>176.43600000000001</v>
      </c>
      <c r="O92" s="20">
        <f t="shared" si="5"/>
        <v>35.450862499999999</v>
      </c>
      <c r="P92" s="7"/>
      <c r="Q92" s="13"/>
      <c r="R92" s="14"/>
      <c r="S92" s="14"/>
      <c r="T92" s="27"/>
      <c r="U92" s="28">
        <f t="shared" si="3"/>
        <v>1.0336099585062239</v>
      </c>
    </row>
    <row r="93" spans="1:21" x14ac:dyDescent="0.25">
      <c r="B93" s="6" t="s">
        <v>106</v>
      </c>
      <c r="C93" s="29">
        <v>1677.7998046875</v>
      </c>
      <c r="D93" s="30">
        <v>37.116999999999997</v>
      </c>
      <c r="E93" s="30">
        <v>42.008000000000003</v>
      </c>
      <c r="F93" s="30">
        <v>42.006</v>
      </c>
      <c r="G93" s="16">
        <v>62.95</v>
      </c>
      <c r="H93" s="16">
        <f t="shared" si="4"/>
        <v>38.339500000000001</v>
      </c>
      <c r="I93" s="5"/>
      <c r="J93" s="29">
        <v>1504.2053000000001</v>
      </c>
      <c r="K93" s="30">
        <v>38.651200000000003</v>
      </c>
      <c r="L93" s="30">
        <v>43.203400000000002</v>
      </c>
      <c r="M93" s="30">
        <v>43.1599</v>
      </c>
      <c r="N93" s="16">
        <v>90.497699999999995</v>
      </c>
      <c r="O93" s="16">
        <f t="shared" si="5"/>
        <v>39.783812500000003</v>
      </c>
      <c r="P93" s="7"/>
      <c r="Q93" s="8">
        <f>bdrate(C93:C96,D93:D96,J93:J96,K93:K96)</f>
        <v>-0.40235983098926664</v>
      </c>
      <c r="R93" s="8">
        <f>bdrate(C93:C96,E93:E96,J93:J96,L93:L96)</f>
        <v>-0.50263888391882527</v>
      </c>
      <c r="S93" s="8">
        <f>bdrate(C93:C96,F93:F96,J93:J96,M93:M96)</f>
        <v>-0.49628791399979189</v>
      </c>
      <c r="T93" s="25">
        <f>bdrate(C93:C96,H93:H96,J93:J96,O93:O96)</f>
        <v>-0.4243105379185913</v>
      </c>
      <c r="U93" s="28">
        <f t="shared" si="3"/>
        <v>0.43761239078633823</v>
      </c>
    </row>
    <row r="94" spans="1:21" x14ac:dyDescent="0.25">
      <c r="B94" s="9"/>
      <c r="C94" s="31">
        <v>1175.52734375</v>
      </c>
      <c r="D94" s="32">
        <v>35.341000000000001</v>
      </c>
      <c r="E94" s="32">
        <v>40.496000000000002</v>
      </c>
      <c r="F94" s="32">
        <v>40.502000000000002</v>
      </c>
      <c r="G94" s="18">
        <v>66.430000000000007</v>
      </c>
      <c r="H94" s="18">
        <f t="shared" si="4"/>
        <v>36.630499999999998</v>
      </c>
      <c r="I94" s="5"/>
      <c r="J94" s="31">
        <v>1003.2865</v>
      </c>
      <c r="K94" s="32">
        <v>36.845399999999998</v>
      </c>
      <c r="L94" s="32">
        <v>42.031100000000002</v>
      </c>
      <c r="M94" s="32">
        <v>42.008000000000003</v>
      </c>
      <c r="N94" s="18">
        <v>105.36790000000001</v>
      </c>
      <c r="O94" s="18">
        <f t="shared" si="5"/>
        <v>38.138937499999997</v>
      </c>
      <c r="P94" s="7"/>
      <c r="Q94" s="10"/>
      <c r="R94" s="11"/>
      <c r="S94" s="11"/>
      <c r="T94" s="26"/>
      <c r="U94" s="28">
        <f t="shared" si="3"/>
        <v>0.58614933012193282</v>
      </c>
    </row>
    <row r="95" spans="1:21" x14ac:dyDescent="0.25">
      <c r="B95" s="9"/>
      <c r="C95" s="31">
        <v>724.0390625</v>
      </c>
      <c r="D95" s="32">
        <v>33.058999999999997</v>
      </c>
      <c r="E95" s="32">
        <v>38.651000000000003</v>
      </c>
      <c r="F95" s="32">
        <v>38.628999999999998</v>
      </c>
      <c r="G95" s="18">
        <v>72.64</v>
      </c>
      <c r="H95" s="18">
        <f t="shared" si="4"/>
        <v>34.454250000000002</v>
      </c>
      <c r="I95" s="5"/>
      <c r="J95" s="31">
        <v>601.46529999999996</v>
      </c>
      <c r="K95" s="32">
        <v>34.594000000000001</v>
      </c>
      <c r="L95" s="32">
        <v>40.530099999999997</v>
      </c>
      <c r="M95" s="32">
        <v>40.492100000000001</v>
      </c>
      <c r="N95" s="18">
        <v>125.971</v>
      </c>
      <c r="O95" s="18">
        <f t="shared" si="5"/>
        <v>36.073275000000002</v>
      </c>
      <c r="P95" s="7"/>
      <c r="Q95" s="10"/>
      <c r="R95" s="11"/>
      <c r="S95" s="11"/>
      <c r="T95" s="26"/>
      <c r="U95" s="28">
        <f t="shared" si="3"/>
        <v>0.73418226872246695</v>
      </c>
    </row>
    <row r="96" spans="1:21" ht="16.5" thickBot="1" x14ac:dyDescent="0.3">
      <c r="B96" s="12"/>
      <c r="C96" s="33">
        <v>426.232421875</v>
      </c>
      <c r="D96" s="34">
        <v>30.484000000000002</v>
      </c>
      <c r="E96" s="34">
        <v>36.433</v>
      </c>
      <c r="F96" s="34">
        <v>36.338999999999999</v>
      </c>
      <c r="G96" s="20">
        <v>76.739999999999995</v>
      </c>
      <c r="H96" s="20">
        <f t="shared" si="4"/>
        <v>31.959499999999998</v>
      </c>
      <c r="I96" s="5"/>
      <c r="J96" s="33">
        <v>301.3415</v>
      </c>
      <c r="K96" s="34">
        <v>31.586200000000002</v>
      </c>
      <c r="L96" s="34">
        <v>38.663400000000003</v>
      </c>
      <c r="M96" s="34">
        <v>38.535299999999999</v>
      </c>
      <c r="N96" s="20">
        <v>160.48500000000001</v>
      </c>
      <c r="O96" s="20">
        <f t="shared" si="5"/>
        <v>33.339487499999997</v>
      </c>
      <c r="P96" s="7"/>
      <c r="Q96" s="13"/>
      <c r="R96" s="14"/>
      <c r="S96" s="14"/>
      <c r="T96" s="27"/>
      <c r="U96" s="28">
        <f t="shared" si="3"/>
        <v>1.0912822517591871</v>
      </c>
    </row>
    <row r="97" spans="2:21" x14ac:dyDescent="0.25">
      <c r="B97" s="6" t="s">
        <v>107</v>
      </c>
      <c r="C97" s="15">
        <v>1570.998046875</v>
      </c>
      <c r="D97" s="16">
        <v>34.725999999999999</v>
      </c>
      <c r="E97" s="16">
        <v>39.396000000000001</v>
      </c>
      <c r="F97" s="16">
        <v>40.158999999999999</v>
      </c>
      <c r="G97" s="16">
        <v>69.319999999999993</v>
      </c>
      <c r="H97" s="16">
        <f t="shared" si="4"/>
        <v>35.988875</v>
      </c>
      <c r="I97" s="5"/>
      <c r="J97" s="15">
        <v>1499.6541</v>
      </c>
      <c r="K97" s="16">
        <v>36.516599999999997</v>
      </c>
      <c r="L97" s="16">
        <v>41.095700000000001</v>
      </c>
      <c r="M97" s="16">
        <v>41.677</v>
      </c>
      <c r="N97" s="16">
        <v>92.975200000000001</v>
      </c>
      <c r="O97" s="16">
        <f t="shared" si="5"/>
        <v>37.734037499999999</v>
      </c>
      <c r="P97" s="7"/>
      <c r="Q97" s="8">
        <f>bdrate(C97:C100,D97:D100,J97:J100,K97:K100)</f>
        <v>-0.33212387865801651</v>
      </c>
      <c r="R97" s="8">
        <f>bdrate(C97:C100,E97:E100,J97:J100,L97:L100)</f>
        <v>-0.48622929791349434</v>
      </c>
      <c r="S97" s="8">
        <f>bdrate(C97:C100,F97:F100,J97:J100,M97:M100)</f>
        <v>-0.4631967944804225</v>
      </c>
      <c r="T97" s="25">
        <f>bdrate(C97:C100,H97:H100,J97:J100,O97:O100)</f>
        <v>-0.36659975125501421</v>
      </c>
      <c r="U97" s="28">
        <f t="shared" si="3"/>
        <v>0.34124639353721886</v>
      </c>
    </row>
    <row r="98" spans="2:21" x14ac:dyDescent="0.25">
      <c r="B98" s="9"/>
      <c r="C98" s="17">
        <v>1074.0390625</v>
      </c>
      <c r="D98" s="18">
        <v>33.055999999999997</v>
      </c>
      <c r="E98" s="18">
        <v>37.9</v>
      </c>
      <c r="F98" s="18">
        <v>38.729999999999997</v>
      </c>
      <c r="G98" s="18">
        <v>71.27</v>
      </c>
      <c r="H98" s="18">
        <f t="shared" si="4"/>
        <v>34.370750000000001</v>
      </c>
      <c r="I98" s="5"/>
      <c r="J98" s="17">
        <v>1004.3579999999999</v>
      </c>
      <c r="K98" s="18">
        <v>34.579300000000003</v>
      </c>
      <c r="L98" s="18">
        <v>39.7241</v>
      </c>
      <c r="M98" s="18">
        <v>40.366700000000002</v>
      </c>
      <c r="N98" s="18">
        <v>108.3424</v>
      </c>
      <c r="O98" s="18">
        <f t="shared" si="5"/>
        <v>35.945824999999999</v>
      </c>
      <c r="P98" s="7"/>
      <c r="Q98" s="10"/>
      <c r="R98" s="11"/>
      <c r="S98" s="11"/>
      <c r="T98" s="26"/>
      <c r="U98" s="28">
        <f t="shared" si="3"/>
        <v>0.5201683737898134</v>
      </c>
    </row>
    <row r="99" spans="2:21" x14ac:dyDescent="0.25">
      <c r="B99" s="9"/>
      <c r="C99" s="17">
        <v>660.611328125</v>
      </c>
      <c r="D99" s="18">
        <v>30.885000000000002</v>
      </c>
      <c r="E99" s="18">
        <v>35.97</v>
      </c>
      <c r="F99" s="18">
        <v>36.89</v>
      </c>
      <c r="G99" s="18">
        <v>76.849999999999994</v>
      </c>
      <c r="H99" s="18">
        <f t="shared" si="4"/>
        <v>32.271250000000002</v>
      </c>
      <c r="I99" s="5"/>
      <c r="J99" s="17">
        <v>596.53210000000001</v>
      </c>
      <c r="K99" s="18">
        <v>32.252099999999999</v>
      </c>
      <c r="L99" s="18">
        <v>38.072499999999998</v>
      </c>
      <c r="M99" s="18">
        <v>38.748600000000003</v>
      </c>
      <c r="N99" s="18">
        <v>128.63570000000001</v>
      </c>
      <c r="O99" s="18">
        <f t="shared" si="5"/>
        <v>33.791712499999996</v>
      </c>
      <c r="P99" s="7"/>
      <c r="Q99" s="10"/>
      <c r="R99" s="11"/>
      <c r="S99" s="11"/>
      <c r="T99" s="26"/>
      <c r="U99" s="28">
        <f t="shared" si="3"/>
        <v>0.67385426154847139</v>
      </c>
    </row>
    <row r="100" spans="2:21" ht="16.5" thickBot="1" x14ac:dyDescent="0.3">
      <c r="B100" s="12"/>
      <c r="C100" s="19">
        <v>408.3720703125</v>
      </c>
      <c r="D100" s="20">
        <v>28.818000000000001</v>
      </c>
      <c r="E100" s="20">
        <v>34.142000000000003</v>
      </c>
      <c r="F100" s="20">
        <v>35.043999999999997</v>
      </c>
      <c r="G100" s="20">
        <v>79.45</v>
      </c>
      <c r="H100" s="20">
        <f t="shared" si="4"/>
        <v>30.261749999999999</v>
      </c>
      <c r="I100" s="5"/>
      <c r="J100" s="19">
        <v>298.45960000000002</v>
      </c>
      <c r="K100" s="20">
        <v>29.102499999999999</v>
      </c>
      <c r="L100" s="20">
        <v>36.029600000000002</v>
      </c>
      <c r="M100" s="20">
        <v>36.783499999999997</v>
      </c>
      <c r="N100" s="20">
        <v>163.20609999999999</v>
      </c>
      <c r="O100" s="20">
        <f t="shared" si="5"/>
        <v>30.928512500000004</v>
      </c>
      <c r="P100" s="7"/>
      <c r="Q100" s="13"/>
      <c r="R100" s="14"/>
      <c r="S100" s="14"/>
      <c r="T100" s="27"/>
      <c r="U100" s="28">
        <f t="shared" si="3"/>
        <v>1.054198867212083</v>
      </c>
    </row>
    <row r="101" spans="2:21" x14ac:dyDescent="0.25">
      <c r="B101" s="6" t="s">
        <v>108</v>
      </c>
      <c r="C101" s="15">
        <v>1618.66015625</v>
      </c>
      <c r="D101" s="16">
        <v>35.786000000000001</v>
      </c>
      <c r="E101" s="16">
        <v>41.58</v>
      </c>
      <c r="F101" s="16">
        <v>43.192999999999998</v>
      </c>
      <c r="G101" s="16">
        <v>57.44</v>
      </c>
      <c r="H101" s="16">
        <f t="shared" si="4"/>
        <v>37.436124999999997</v>
      </c>
      <c r="I101" s="5"/>
      <c r="J101" s="15">
        <v>1506.2828</v>
      </c>
      <c r="K101" s="16">
        <v>36.7498</v>
      </c>
      <c r="L101" s="16">
        <v>42.664400000000001</v>
      </c>
      <c r="M101" s="16">
        <v>44.059800000000003</v>
      </c>
      <c r="N101" s="16">
        <v>89.512200000000007</v>
      </c>
      <c r="O101" s="16">
        <f t="shared" si="5"/>
        <v>38.402875000000002</v>
      </c>
      <c r="P101" s="7"/>
      <c r="Q101" s="8">
        <f>bdrate(C101:C104,D101:D104,J101:J104,K101:K104)</f>
        <v>-0.36214188692994687</v>
      </c>
      <c r="R101" s="8">
        <f>bdrate(C101:C104,E101:E104,J101:J104,L101:L104)</f>
        <v>-0.53171212546742352</v>
      </c>
      <c r="S101" s="8">
        <f>bdrate(C101:C104,F101:F104,J101:J104,M101:M104)</f>
        <v>-0.47041430423845454</v>
      </c>
      <c r="T101" s="25">
        <f>bdrate(C101:C104,H101:H104,J101:J104,O101:O104)</f>
        <v>-0.3955309804690994</v>
      </c>
      <c r="U101" s="28">
        <f t="shared" si="3"/>
        <v>0.55836002785515337</v>
      </c>
    </row>
    <row r="102" spans="2:21" x14ac:dyDescent="0.25">
      <c r="B102" s="9"/>
      <c r="C102" s="17">
        <v>1094.7587890625</v>
      </c>
      <c r="D102" s="18">
        <v>34.338000000000001</v>
      </c>
      <c r="E102" s="18">
        <v>40.399000000000001</v>
      </c>
      <c r="F102" s="18">
        <v>41.814999999999998</v>
      </c>
      <c r="G102" s="18">
        <v>61.44</v>
      </c>
      <c r="H102" s="18">
        <f t="shared" si="4"/>
        <v>36.030250000000002</v>
      </c>
      <c r="I102" s="5"/>
      <c r="J102" s="17">
        <v>1003.1169</v>
      </c>
      <c r="K102" s="18">
        <v>35.420699999999997</v>
      </c>
      <c r="L102" s="18">
        <v>41.831699999999998</v>
      </c>
      <c r="M102" s="18">
        <v>43.085299999999997</v>
      </c>
      <c r="N102" s="18">
        <v>104.7974</v>
      </c>
      <c r="O102" s="18">
        <f t="shared" si="5"/>
        <v>37.180149999999998</v>
      </c>
      <c r="P102" s="7"/>
      <c r="Q102" s="10"/>
      <c r="R102" s="11"/>
      <c r="S102" s="11"/>
      <c r="T102" s="26"/>
      <c r="U102" s="28">
        <f t="shared" si="3"/>
        <v>0.70568684895833333</v>
      </c>
    </row>
    <row r="103" spans="2:21" x14ac:dyDescent="0.25">
      <c r="B103" s="9"/>
      <c r="C103" s="17">
        <v>658.6806640625</v>
      </c>
      <c r="D103" s="18">
        <v>32.488</v>
      </c>
      <c r="E103" s="18">
        <v>38.844000000000001</v>
      </c>
      <c r="F103" s="18">
        <v>39.917999999999999</v>
      </c>
      <c r="G103" s="18">
        <v>69.39</v>
      </c>
      <c r="H103" s="18">
        <f t="shared" si="4"/>
        <v>34.21125</v>
      </c>
      <c r="I103" s="5"/>
      <c r="J103" s="17">
        <v>604.11749999999995</v>
      </c>
      <c r="K103" s="18">
        <v>33.756799999999998</v>
      </c>
      <c r="L103" s="18">
        <v>40.750300000000003</v>
      </c>
      <c r="M103" s="18">
        <v>41.864800000000002</v>
      </c>
      <c r="N103" s="18">
        <v>124.4727</v>
      </c>
      <c r="O103" s="18">
        <f t="shared" si="5"/>
        <v>35.644487499999997</v>
      </c>
      <c r="P103" s="7"/>
      <c r="Q103" s="10"/>
      <c r="R103" s="11"/>
      <c r="S103" s="11"/>
      <c r="T103" s="26"/>
      <c r="U103" s="28">
        <f t="shared" si="3"/>
        <v>0.79381322957198441</v>
      </c>
    </row>
    <row r="104" spans="2:21" ht="16.5" thickBot="1" x14ac:dyDescent="0.3">
      <c r="B104" s="12"/>
      <c r="C104" s="19">
        <v>360.1376953125</v>
      </c>
      <c r="D104" s="20">
        <v>30.533000000000001</v>
      </c>
      <c r="E104" s="20">
        <v>36.963999999999999</v>
      </c>
      <c r="F104" s="20">
        <v>37.536000000000001</v>
      </c>
      <c r="G104" s="20">
        <v>78.260000000000005</v>
      </c>
      <c r="H104" s="20">
        <f t="shared" si="4"/>
        <v>32.212249999999997</v>
      </c>
      <c r="I104" s="5"/>
      <c r="J104" s="19">
        <v>301.15469999999999</v>
      </c>
      <c r="K104" s="20">
        <v>31.751200000000001</v>
      </c>
      <c r="L104" s="20">
        <v>39.303899999999999</v>
      </c>
      <c r="M104" s="20">
        <v>40.150500000000001</v>
      </c>
      <c r="N104" s="20">
        <v>157.63200000000001</v>
      </c>
      <c r="O104" s="20">
        <f t="shared" si="5"/>
        <v>33.745200000000004</v>
      </c>
      <c r="P104" s="7"/>
      <c r="Q104" s="13"/>
      <c r="R104" s="14"/>
      <c r="S104" s="14"/>
      <c r="T104" s="27"/>
      <c r="U104" s="28">
        <f t="shared" si="3"/>
        <v>1.0142090467671863</v>
      </c>
    </row>
    <row r="105" spans="2:21" x14ac:dyDescent="0.25">
      <c r="B105" s="6" t="s">
        <v>109</v>
      </c>
      <c r="C105" s="15">
        <v>1403.8125</v>
      </c>
      <c r="D105" s="16">
        <v>44.003</v>
      </c>
      <c r="E105" s="16">
        <v>48.750999999999998</v>
      </c>
      <c r="F105" s="16">
        <v>50.404000000000003</v>
      </c>
      <c r="G105" s="16">
        <v>81.14</v>
      </c>
      <c r="H105" s="16">
        <f t="shared" si="4"/>
        <v>45.396625</v>
      </c>
      <c r="I105" s="5"/>
      <c r="J105" s="15">
        <v>1498.4519</v>
      </c>
      <c r="K105" s="16">
        <v>46.726300000000002</v>
      </c>
      <c r="L105" s="16">
        <v>51.48</v>
      </c>
      <c r="M105" s="16">
        <v>52.9026</v>
      </c>
      <c r="N105" s="16">
        <v>110.9877</v>
      </c>
      <c r="O105" s="16">
        <f t="shared" si="5"/>
        <v>48.092550000000003</v>
      </c>
      <c r="P105" s="7"/>
      <c r="Q105" s="8">
        <f>bdrate(C105:C108,D105:D108,J105:J108,K105:K108)</f>
        <v>-0.427614373604844</v>
      </c>
      <c r="R105" s="8">
        <f>bdrate(C105:C108,E105:E108,J105:J108,L105:L108)</f>
        <v>-0.52948606763140282</v>
      </c>
      <c r="S105" s="8">
        <f>bdrate(C105:C108,F105:F108,J105:J108,M105:M108)</f>
        <v>-0.4941993328114318</v>
      </c>
      <c r="T105" s="25">
        <f>bdrate(C105:C108,H105:H108,J105:J108,O105:O108)</f>
        <v>-0.44898826802400793</v>
      </c>
      <c r="U105" s="28">
        <f t="shared" si="3"/>
        <v>0.36785432585654426</v>
      </c>
    </row>
    <row r="106" spans="2:21" x14ac:dyDescent="0.25">
      <c r="B106" s="9"/>
      <c r="C106" s="17">
        <v>1006.4443359375</v>
      </c>
      <c r="D106" s="18">
        <v>42.47</v>
      </c>
      <c r="E106" s="18">
        <v>47.372</v>
      </c>
      <c r="F106" s="18">
        <v>49.088000000000001</v>
      </c>
      <c r="G106" s="18">
        <v>87.67</v>
      </c>
      <c r="H106" s="18">
        <f t="shared" si="4"/>
        <v>43.910000000000004</v>
      </c>
      <c r="I106" s="5"/>
      <c r="J106" s="17">
        <v>1005.6292</v>
      </c>
      <c r="K106" s="18">
        <v>44.9617</v>
      </c>
      <c r="L106" s="18">
        <v>50.205800000000004</v>
      </c>
      <c r="M106" s="18">
        <v>51.6492</v>
      </c>
      <c r="N106" s="18">
        <v>130.60839999999999</v>
      </c>
      <c r="O106" s="18">
        <f t="shared" si="5"/>
        <v>46.453150000000001</v>
      </c>
      <c r="P106" s="7"/>
      <c r="Q106" s="10"/>
      <c r="R106" s="11"/>
      <c r="S106" s="11"/>
      <c r="T106" s="26"/>
      <c r="U106" s="28">
        <f t="shared" si="3"/>
        <v>0.48977301243298721</v>
      </c>
    </row>
    <row r="107" spans="2:21" x14ac:dyDescent="0.25">
      <c r="B107" s="9"/>
      <c r="C107" s="17">
        <v>622.7744140625</v>
      </c>
      <c r="D107" s="18">
        <v>40.448999999999998</v>
      </c>
      <c r="E107" s="18">
        <v>45.433999999999997</v>
      </c>
      <c r="F107" s="18">
        <v>47.078000000000003</v>
      </c>
      <c r="G107" s="18">
        <v>97.5</v>
      </c>
      <c r="H107" s="18">
        <f t="shared" si="4"/>
        <v>41.900750000000002</v>
      </c>
      <c r="I107" s="5"/>
      <c r="J107" s="17">
        <v>602.68460000000005</v>
      </c>
      <c r="K107" s="18">
        <v>42.760199999999998</v>
      </c>
      <c r="L107" s="18">
        <v>48.341500000000003</v>
      </c>
      <c r="M107" s="18">
        <v>49.726999999999997</v>
      </c>
      <c r="N107" s="18">
        <v>154.59309999999999</v>
      </c>
      <c r="O107" s="18">
        <f t="shared" si="5"/>
        <v>44.328712499999995</v>
      </c>
      <c r="P107" s="7"/>
      <c r="Q107" s="10"/>
      <c r="R107" s="11"/>
      <c r="S107" s="11"/>
      <c r="T107" s="26"/>
      <c r="U107" s="28">
        <f t="shared" si="3"/>
        <v>0.58557025641025628</v>
      </c>
    </row>
    <row r="108" spans="2:21" ht="16.5" thickBot="1" x14ac:dyDescent="0.3">
      <c r="B108" s="12"/>
      <c r="C108" s="19">
        <v>316.3583984375</v>
      </c>
      <c r="D108" s="20">
        <v>37.837000000000003</v>
      </c>
      <c r="E108" s="20">
        <v>42.817</v>
      </c>
      <c r="F108" s="20">
        <v>44.503999999999998</v>
      </c>
      <c r="G108" s="20">
        <v>110.74</v>
      </c>
      <c r="H108" s="20">
        <f t="shared" si="4"/>
        <v>39.292875000000002</v>
      </c>
      <c r="I108" s="5"/>
      <c r="J108" s="19">
        <v>302.33370000000002</v>
      </c>
      <c r="K108" s="20">
        <v>39.569800000000001</v>
      </c>
      <c r="L108" s="20">
        <v>45.5107</v>
      </c>
      <c r="M108" s="20">
        <v>46.945399999999999</v>
      </c>
      <c r="N108" s="20">
        <v>190.28980000000001</v>
      </c>
      <c r="O108" s="20">
        <f t="shared" si="5"/>
        <v>41.234362500000003</v>
      </c>
      <c r="P108" s="7"/>
      <c r="Q108" s="13"/>
      <c r="R108" s="14"/>
      <c r="S108" s="14"/>
      <c r="T108" s="27"/>
      <c r="U108" s="28">
        <f t="shared" si="3"/>
        <v>0.71834748058515463</v>
      </c>
    </row>
    <row r="109" spans="2:21" x14ac:dyDescent="0.25">
      <c r="B109" s="6" t="s">
        <v>110</v>
      </c>
      <c r="C109" s="15">
        <v>1529.75</v>
      </c>
      <c r="D109" s="16">
        <v>29.802</v>
      </c>
      <c r="E109" s="16">
        <v>38.110999999999997</v>
      </c>
      <c r="F109" s="16">
        <v>37.517000000000003</v>
      </c>
      <c r="G109" s="16">
        <v>53.33</v>
      </c>
      <c r="H109" s="16">
        <f t="shared" si="4"/>
        <v>31.805</v>
      </c>
      <c r="I109" s="5"/>
      <c r="J109" s="15">
        <v>1495.2945</v>
      </c>
      <c r="K109" s="16">
        <v>31.4282</v>
      </c>
      <c r="L109" s="16">
        <v>39.863599999999998</v>
      </c>
      <c r="M109" s="16">
        <v>39.216099999999997</v>
      </c>
      <c r="N109" s="16">
        <v>70.7881</v>
      </c>
      <c r="O109" s="16">
        <f t="shared" si="5"/>
        <v>33.456112499999996</v>
      </c>
      <c r="P109" s="7"/>
      <c r="Q109" s="8">
        <f>bdrate(C109:C112,D109:D112,J109:J112,K109:K112)</f>
        <v>-0.32135282347071437</v>
      </c>
      <c r="R109" s="8">
        <f>bdrate(C109:C112,E109:E112,J109:J112,L109:L112)</f>
        <v>-0.57806979245273338</v>
      </c>
      <c r="S109" s="8">
        <f>bdrate(C109:C112,F109:F112,J109:J112,M109:M112)</f>
        <v>-0.5605986649264334</v>
      </c>
      <c r="T109" s="25">
        <f>bdrate(C109:C112,H109:H112,J109:J112,O109:O112)</f>
        <v>-0.38131490233203413</v>
      </c>
      <c r="U109" s="28">
        <f t="shared" si="3"/>
        <v>0.3273598349896869</v>
      </c>
    </row>
    <row r="110" spans="2:21" x14ac:dyDescent="0.25">
      <c r="B110" s="9"/>
      <c r="C110" s="17">
        <v>1114.9189453125</v>
      </c>
      <c r="D110" s="18">
        <v>28.47</v>
      </c>
      <c r="E110" s="18">
        <v>36.863999999999997</v>
      </c>
      <c r="F110" s="18">
        <v>36.317999999999998</v>
      </c>
      <c r="G110" s="18">
        <v>57.73</v>
      </c>
      <c r="H110" s="18">
        <f t="shared" si="4"/>
        <v>30.500250000000001</v>
      </c>
      <c r="I110" s="5"/>
      <c r="J110" s="17">
        <v>995.64679999999998</v>
      </c>
      <c r="K110" s="18">
        <v>29.710699999999999</v>
      </c>
      <c r="L110" s="18">
        <v>38.9298</v>
      </c>
      <c r="M110" s="18">
        <v>38.244</v>
      </c>
      <c r="N110" s="18">
        <v>84.037499999999994</v>
      </c>
      <c r="O110" s="18">
        <f t="shared" si="5"/>
        <v>31.929749999999999</v>
      </c>
      <c r="P110" s="7"/>
      <c r="Q110" s="10"/>
      <c r="R110" s="11"/>
      <c r="S110" s="11"/>
      <c r="T110" s="26"/>
      <c r="U110" s="28">
        <f t="shared" si="3"/>
        <v>0.45569894335700672</v>
      </c>
    </row>
    <row r="111" spans="2:21" x14ac:dyDescent="0.25">
      <c r="B111" s="9"/>
      <c r="C111" s="17">
        <v>847.54296875</v>
      </c>
      <c r="D111" s="18">
        <v>27.555</v>
      </c>
      <c r="E111" s="18">
        <v>35.863</v>
      </c>
      <c r="F111" s="18">
        <v>35.311</v>
      </c>
      <c r="G111" s="18">
        <v>59.86</v>
      </c>
      <c r="H111" s="18">
        <f t="shared" si="4"/>
        <v>29.562999999999999</v>
      </c>
      <c r="I111" s="5"/>
      <c r="J111" s="17">
        <v>598.04240000000004</v>
      </c>
      <c r="K111" s="18">
        <v>27.588899999999999</v>
      </c>
      <c r="L111" s="18">
        <v>37.6098</v>
      </c>
      <c r="M111" s="18">
        <v>36.892200000000003</v>
      </c>
      <c r="N111" s="18">
        <v>107.9396</v>
      </c>
      <c r="O111" s="18">
        <f t="shared" si="5"/>
        <v>30.004425000000001</v>
      </c>
      <c r="P111" s="7"/>
      <c r="Q111" s="10"/>
      <c r="R111" s="11"/>
      <c r="S111" s="11"/>
      <c r="T111" s="26"/>
      <c r="U111" s="28">
        <f t="shared" si="3"/>
        <v>0.80320080187103238</v>
      </c>
    </row>
    <row r="112" spans="2:21" ht="16.5" thickBot="1" x14ac:dyDescent="0.3">
      <c r="B112" s="12"/>
      <c r="C112" s="19">
        <v>669.427734375</v>
      </c>
      <c r="D112" s="20">
        <v>26.614999999999998</v>
      </c>
      <c r="E112" s="20">
        <v>34.654000000000003</v>
      </c>
      <c r="F112" s="20">
        <v>34.19</v>
      </c>
      <c r="G112" s="20">
        <v>60.55</v>
      </c>
      <c r="H112" s="20">
        <f t="shared" si="4"/>
        <v>28.566749999999999</v>
      </c>
      <c r="I112" s="5"/>
      <c r="J112" s="19">
        <v>299.1431</v>
      </c>
      <c r="K112" s="20">
        <v>24.9163</v>
      </c>
      <c r="L112" s="20">
        <v>35.333599999999997</v>
      </c>
      <c r="M112" s="20">
        <v>34.732599999999998</v>
      </c>
      <c r="N112" s="20">
        <v>140.71289999999999</v>
      </c>
      <c r="O112" s="20">
        <f t="shared" si="5"/>
        <v>27.445499999999996</v>
      </c>
      <c r="P112" s="7"/>
      <c r="Q112" s="13"/>
      <c r="R112" s="14"/>
      <c r="S112" s="14"/>
      <c r="T112" s="27"/>
      <c r="U112" s="28">
        <f t="shared" si="3"/>
        <v>1.3239124690338562</v>
      </c>
    </row>
    <row r="113" spans="2:21" x14ac:dyDescent="0.25">
      <c r="B113" s="6" t="s">
        <v>111</v>
      </c>
      <c r="C113" s="15">
        <v>1982.09765625</v>
      </c>
      <c r="D113" s="16">
        <v>44.127000000000002</v>
      </c>
      <c r="E113" s="16">
        <v>45.351999999999997</v>
      </c>
      <c r="F113" s="16">
        <v>45.225000000000001</v>
      </c>
      <c r="G113" s="16">
        <v>73.56</v>
      </c>
      <c r="H113" s="16">
        <f t="shared" si="4"/>
        <v>44.417375</v>
      </c>
      <c r="I113" s="5"/>
      <c r="J113" s="15">
        <v>1415.1560999999999</v>
      </c>
      <c r="K113" s="16">
        <v>44.438800000000001</v>
      </c>
      <c r="L113" s="16">
        <v>45.368099999999998</v>
      </c>
      <c r="M113" s="16">
        <v>45.257899999999999</v>
      </c>
      <c r="N113" s="16">
        <v>95.440100000000001</v>
      </c>
      <c r="O113" s="16">
        <f t="shared" si="5"/>
        <v>44.657350000000001</v>
      </c>
      <c r="P113" s="7"/>
      <c r="Q113" s="8">
        <f>bdrate(C113:C116,D113:D116,J113:J116,K113:K116)</f>
        <v>-0.37428427097983463</v>
      </c>
      <c r="R113" s="8">
        <f>bdrate(C113:C116,E113:E116,J113:J116,L113:L116)</f>
        <v>-0.38601060121408781</v>
      </c>
      <c r="S113" s="8">
        <f>bdrate(C113:C116,F113:F116,J113:J116,M113:M116)</f>
        <v>-0.39112318004825219</v>
      </c>
      <c r="T113" s="25">
        <f>bdrate(C113:C116,H113:H116,J113:J116,O113:O116)</f>
        <v>-0.37782488550663751</v>
      </c>
      <c r="U113" s="28">
        <f t="shared" si="3"/>
        <v>0.29744562262098967</v>
      </c>
    </row>
    <row r="114" spans="2:21" x14ac:dyDescent="0.25">
      <c r="B114" s="9"/>
      <c r="C114" s="17">
        <v>1405.853515625</v>
      </c>
      <c r="D114" s="18">
        <v>41.957000000000001</v>
      </c>
      <c r="E114" s="18">
        <v>43.462000000000003</v>
      </c>
      <c r="F114" s="18">
        <v>43.304000000000002</v>
      </c>
      <c r="G114" s="18">
        <v>81.709999999999994</v>
      </c>
      <c r="H114" s="18">
        <f t="shared" si="4"/>
        <v>42.313500000000005</v>
      </c>
      <c r="I114" s="5"/>
      <c r="J114" s="17">
        <v>960.59519999999998</v>
      </c>
      <c r="K114" s="18">
        <v>42.456899999999997</v>
      </c>
      <c r="L114" s="18">
        <v>43.760800000000003</v>
      </c>
      <c r="M114" s="18">
        <v>43.633600000000001</v>
      </c>
      <c r="N114" s="18">
        <v>122.2328</v>
      </c>
      <c r="O114" s="18">
        <f t="shared" si="5"/>
        <v>42.766975000000002</v>
      </c>
      <c r="P114" s="7"/>
      <c r="Q114" s="10"/>
      <c r="R114" s="11"/>
      <c r="S114" s="11"/>
      <c r="T114" s="26"/>
      <c r="U114" s="28">
        <f t="shared" si="3"/>
        <v>0.49593440215395923</v>
      </c>
    </row>
    <row r="115" spans="2:21" x14ac:dyDescent="0.25">
      <c r="B115" s="9"/>
      <c r="C115" s="17">
        <v>903.5712890625</v>
      </c>
      <c r="D115" s="18">
        <v>39.216999999999999</v>
      </c>
      <c r="E115" s="18">
        <v>41.034999999999997</v>
      </c>
      <c r="F115" s="18">
        <v>40.859000000000002</v>
      </c>
      <c r="G115" s="18">
        <v>89.34</v>
      </c>
      <c r="H115" s="18">
        <f t="shared" si="4"/>
        <v>39.649499999999996</v>
      </c>
      <c r="I115" s="5"/>
      <c r="J115" s="17">
        <v>586.66330000000005</v>
      </c>
      <c r="K115" s="18">
        <v>39.461100000000002</v>
      </c>
      <c r="L115" s="18">
        <v>41.3491</v>
      </c>
      <c r="M115" s="18">
        <v>41.229900000000001</v>
      </c>
      <c r="N115" s="18">
        <v>148.5026</v>
      </c>
      <c r="O115" s="18">
        <f t="shared" si="5"/>
        <v>39.918199999999999</v>
      </c>
      <c r="P115" s="7"/>
      <c r="Q115" s="10"/>
      <c r="R115" s="11"/>
      <c r="S115" s="11"/>
      <c r="T115" s="26"/>
      <c r="U115" s="28">
        <f t="shared" si="3"/>
        <v>0.6622184911573763</v>
      </c>
    </row>
    <row r="116" spans="2:21" ht="16.5" thickBot="1" x14ac:dyDescent="0.3">
      <c r="B116" s="12"/>
      <c r="C116" s="19">
        <v>528.53515625</v>
      </c>
      <c r="D116" s="20">
        <v>35.722999999999999</v>
      </c>
      <c r="E116" s="20">
        <v>37.881</v>
      </c>
      <c r="F116" s="20">
        <v>37.658000000000001</v>
      </c>
      <c r="G116" s="20">
        <v>94.39</v>
      </c>
      <c r="H116" s="20">
        <f t="shared" si="4"/>
        <v>36.234625000000001</v>
      </c>
      <c r="I116" s="5"/>
      <c r="J116" s="19">
        <v>294.49639999999999</v>
      </c>
      <c r="K116" s="20">
        <v>35.188800000000001</v>
      </c>
      <c r="L116" s="20">
        <v>38.193899999999999</v>
      </c>
      <c r="M116" s="20">
        <v>38.0379</v>
      </c>
      <c r="N116" s="20">
        <v>182.87110000000001</v>
      </c>
      <c r="O116" s="20">
        <f t="shared" si="5"/>
        <v>35.920574999999999</v>
      </c>
      <c r="P116" s="7"/>
      <c r="Q116" s="13"/>
      <c r="R116" s="14"/>
      <c r="S116" s="14"/>
      <c r="T116" s="27"/>
      <c r="U116" s="28">
        <f t="shared" si="3"/>
        <v>0.93739908888653467</v>
      </c>
    </row>
    <row r="117" spans="2:21" x14ac:dyDescent="0.25">
      <c r="B117" s="6" t="s">
        <v>112</v>
      </c>
      <c r="C117" s="15">
        <v>2141.20703125</v>
      </c>
      <c r="D117" s="16">
        <v>45.381999999999998</v>
      </c>
      <c r="E117" s="16">
        <v>46.844999999999999</v>
      </c>
      <c r="F117" s="16">
        <v>47.076999999999998</v>
      </c>
      <c r="G117" s="16">
        <v>76.92</v>
      </c>
      <c r="H117" s="16">
        <f t="shared" si="4"/>
        <v>45.776749999999993</v>
      </c>
      <c r="I117" s="5"/>
      <c r="J117" s="15">
        <v>1404.8924</v>
      </c>
      <c r="K117" s="16">
        <v>45.396799999999999</v>
      </c>
      <c r="L117" s="16">
        <v>47.5779</v>
      </c>
      <c r="M117" s="16">
        <v>47.838200000000001</v>
      </c>
      <c r="N117" s="16">
        <v>89.650400000000005</v>
      </c>
      <c r="O117" s="16">
        <f t="shared" si="5"/>
        <v>45.974612500000006</v>
      </c>
      <c r="P117" s="7"/>
      <c r="Q117" s="8">
        <f>bdrate(C117:C120,D117:D120,J117:J120,K117:K120)</f>
        <v>-0.26066938610254553</v>
      </c>
      <c r="R117" s="8">
        <f>bdrate(C117:C120,E117:E120,J117:J120,L117:L120)</f>
        <v>-0.34899028240054275</v>
      </c>
      <c r="S117" s="8">
        <f>bdrate(C117:C120,F117:F120,J117:J120,M117:M120)</f>
        <v>-0.35158787824345239</v>
      </c>
      <c r="T117" s="25">
        <f>bdrate(C117:C120,H117:H120,J117:J120,O117:O120)</f>
        <v>-0.28256963864642004</v>
      </c>
      <c r="U117" s="28">
        <f t="shared" si="3"/>
        <v>0.16550182007280295</v>
      </c>
    </row>
    <row r="118" spans="2:21" x14ac:dyDescent="0.25">
      <c r="B118" s="9"/>
      <c r="C118" s="17">
        <v>1618.609375</v>
      </c>
      <c r="D118" s="18">
        <v>44.411000000000001</v>
      </c>
      <c r="E118" s="18">
        <v>46.021000000000001</v>
      </c>
      <c r="F118" s="18">
        <v>46.250999999999998</v>
      </c>
      <c r="G118" s="18">
        <v>80.87</v>
      </c>
      <c r="H118" s="18">
        <f t="shared" si="4"/>
        <v>44.84225</v>
      </c>
      <c r="I118" s="5"/>
      <c r="J118" s="17">
        <v>973.99549999999999</v>
      </c>
      <c r="K118" s="18">
        <v>43.825499999999998</v>
      </c>
      <c r="L118" s="18">
        <v>46.292200000000001</v>
      </c>
      <c r="M118" s="18">
        <v>46.546999999999997</v>
      </c>
      <c r="N118" s="18">
        <v>97.783600000000007</v>
      </c>
      <c r="O118" s="18">
        <f t="shared" si="5"/>
        <v>44.474024999999997</v>
      </c>
      <c r="P118" s="7"/>
      <c r="Q118" s="10"/>
      <c r="R118" s="11"/>
      <c r="S118" s="11"/>
      <c r="T118" s="26"/>
      <c r="U118" s="28">
        <f t="shared" si="3"/>
        <v>0.20914554222826762</v>
      </c>
    </row>
    <row r="119" spans="2:21" x14ac:dyDescent="0.25">
      <c r="B119" s="9"/>
      <c r="C119" s="17">
        <v>939.1728515625</v>
      </c>
      <c r="D119" s="18">
        <v>41.802</v>
      </c>
      <c r="E119" s="18">
        <v>43.906999999999996</v>
      </c>
      <c r="F119" s="18">
        <v>44.149000000000001</v>
      </c>
      <c r="G119" s="18">
        <v>84.07</v>
      </c>
      <c r="H119" s="18">
        <f t="shared" si="4"/>
        <v>42.358499999999999</v>
      </c>
      <c r="I119" s="5"/>
      <c r="J119" s="17">
        <v>634.76649999999995</v>
      </c>
      <c r="K119" s="18">
        <v>41.2072</v>
      </c>
      <c r="L119" s="18">
        <v>44.003100000000003</v>
      </c>
      <c r="M119" s="18">
        <v>44.260399999999997</v>
      </c>
      <c r="N119" s="18">
        <v>112.45780000000001</v>
      </c>
      <c r="O119" s="18">
        <f t="shared" si="5"/>
        <v>41.938337500000003</v>
      </c>
      <c r="P119" s="7"/>
      <c r="Q119" s="10"/>
      <c r="R119" s="11"/>
      <c r="S119" s="11"/>
      <c r="T119" s="26"/>
      <c r="U119" s="28">
        <f t="shared" si="3"/>
        <v>0.3376686094920901</v>
      </c>
    </row>
    <row r="120" spans="2:21" ht="16.5" thickBot="1" x14ac:dyDescent="0.3">
      <c r="B120" s="12"/>
      <c r="C120" s="19">
        <v>501.2119140625</v>
      </c>
      <c r="D120" s="20">
        <v>38.503999999999998</v>
      </c>
      <c r="E120" s="20">
        <v>40.975000000000001</v>
      </c>
      <c r="F120" s="20">
        <v>41.207000000000001</v>
      </c>
      <c r="G120" s="20">
        <v>91.17</v>
      </c>
      <c r="H120" s="20">
        <f t="shared" si="4"/>
        <v>39.150750000000002</v>
      </c>
      <c r="I120" s="5"/>
      <c r="J120" s="19">
        <v>341.14929999999998</v>
      </c>
      <c r="K120" s="20">
        <v>37.125500000000002</v>
      </c>
      <c r="L120" s="20">
        <v>40.386499999999998</v>
      </c>
      <c r="M120" s="20">
        <v>40.665199999999999</v>
      </c>
      <c r="N120" s="20">
        <v>175.35310000000001</v>
      </c>
      <c r="O120" s="20">
        <f t="shared" si="5"/>
        <v>37.975587500000003</v>
      </c>
      <c r="P120" s="7"/>
      <c r="Q120" s="13"/>
      <c r="R120" s="14"/>
      <c r="S120" s="14"/>
      <c r="T120" s="27"/>
      <c r="U120" s="28">
        <f t="shared" si="3"/>
        <v>0.92336404519030391</v>
      </c>
    </row>
    <row r="121" spans="2:21" x14ac:dyDescent="0.25">
      <c r="B121" s="6" t="s">
        <v>113</v>
      </c>
      <c r="C121" s="29">
        <v>1706.587890625</v>
      </c>
      <c r="D121" s="30">
        <v>31.315999999999999</v>
      </c>
      <c r="E121" s="30">
        <v>35.030999999999999</v>
      </c>
      <c r="F121" s="30">
        <v>33.764000000000003</v>
      </c>
      <c r="G121" s="16">
        <v>58.71</v>
      </c>
      <c r="H121" s="16">
        <f t="shared" si="4"/>
        <v>32.086374999999997</v>
      </c>
      <c r="I121" s="5"/>
      <c r="J121" s="29">
        <v>1507.4123</v>
      </c>
      <c r="K121" s="30">
        <v>31.998200000000001</v>
      </c>
      <c r="L121" s="30">
        <v>36.337499999999999</v>
      </c>
      <c r="M121" s="30">
        <v>35.2318</v>
      </c>
      <c r="N121" s="16">
        <v>79.575599999999994</v>
      </c>
      <c r="O121" s="16">
        <f t="shared" si="5"/>
        <v>32.944812500000005</v>
      </c>
      <c r="P121" s="7"/>
      <c r="Q121" s="8">
        <f>bdrate(C121:C124,D121:D124,J121:J124,K121:K124)</f>
        <v>-0.22385440684824487</v>
      </c>
      <c r="R121" s="8">
        <f>bdrate(C121:C124,E121:E124,J121:J124,L121:L124)</f>
        <v>-0.54153018391951502</v>
      </c>
      <c r="S121" s="8">
        <f>bdrate(C121:C124,F121:F124,J121:J124,M121:M124)</f>
        <v>-0.5417482619812648</v>
      </c>
      <c r="T121" s="25">
        <f>bdrate(C121:C124,H121:H124,J121:J124,O121:O124)</f>
        <v>-0.29844589651255471</v>
      </c>
      <c r="U121" s="28">
        <f t="shared" si="3"/>
        <v>0.35540112416964731</v>
      </c>
    </row>
    <row r="122" spans="2:21" x14ac:dyDescent="0.25">
      <c r="B122" s="9"/>
      <c r="C122" s="31">
        <v>1177.84375</v>
      </c>
      <c r="D122" s="32">
        <v>29.77</v>
      </c>
      <c r="E122" s="32">
        <v>33.835999999999999</v>
      </c>
      <c r="F122" s="32">
        <v>32.540999999999997</v>
      </c>
      <c r="G122" s="18">
        <v>62.56</v>
      </c>
      <c r="H122" s="18">
        <f t="shared" si="4"/>
        <v>30.624625000000002</v>
      </c>
      <c r="I122" s="5"/>
      <c r="J122" s="31">
        <v>1007.1919</v>
      </c>
      <c r="K122" s="32">
        <v>30.174800000000001</v>
      </c>
      <c r="L122" s="32">
        <v>35.323099999999997</v>
      </c>
      <c r="M122" s="32">
        <v>34.150300000000001</v>
      </c>
      <c r="N122" s="18">
        <v>92.903199999999998</v>
      </c>
      <c r="O122" s="18">
        <f t="shared" si="5"/>
        <v>31.315275</v>
      </c>
      <c r="P122" s="7"/>
      <c r="Q122" s="10"/>
      <c r="R122" s="11"/>
      <c r="S122" s="11"/>
      <c r="T122" s="26"/>
      <c r="U122" s="28">
        <f t="shared" si="3"/>
        <v>0.48502557544757025</v>
      </c>
    </row>
    <row r="123" spans="2:21" x14ac:dyDescent="0.25">
      <c r="B123" s="9"/>
      <c r="C123" s="31">
        <v>807.1904296875</v>
      </c>
      <c r="D123" s="32">
        <v>28.29</v>
      </c>
      <c r="E123" s="32">
        <v>32.625999999999998</v>
      </c>
      <c r="F123" s="32">
        <v>31.324999999999999</v>
      </c>
      <c r="G123" s="18">
        <v>65.45</v>
      </c>
      <c r="H123" s="18">
        <f t="shared" si="4"/>
        <v>29.211375</v>
      </c>
      <c r="I123" s="5"/>
      <c r="J123" s="31">
        <v>602.17089999999996</v>
      </c>
      <c r="K123" s="32">
        <v>28.078299999999999</v>
      </c>
      <c r="L123" s="32">
        <v>34.090800000000002</v>
      </c>
      <c r="M123" s="32">
        <v>32.821800000000003</v>
      </c>
      <c r="N123" s="18">
        <v>119.56950000000001</v>
      </c>
      <c r="O123" s="18">
        <f t="shared" si="5"/>
        <v>29.422799999999999</v>
      </c>
      <c r="P123" s="7"/>
      <c r="Q123" s="10"/>
      <c r="R123" s="11"/>
      <c r="S123" s="11"/>
      <c r="T123" s="26"/>
      <c r="U123" s="28">
        <f t="shared" si="3"/>
        <v>0.82688311688311689</v>
      </c>
    </row>
    <row r="124" spans="2:21" ht="16.5" thickBot="1" x14ac:dyDescent="0.3">
      <c r="B124" s="12"/>
      <c r="C124" s="33">
        <v>561.96875</v>
      </c>
      <c r="D124" s="34">
        <v>26.759</v>
      </c>
      <c r="E124" s="34">
        <v>31.294</v>
      </c>
      <c r="F124" s="34">
        <v>30.024999999999999</v>
      </c>
      <c r="G124" s="20">
        <v>65.81</v>
      </c>
      <c r="H124" s="20">
        <f t="shared" si="4"/>
        <v>27.734125000000002</v>
      </c>
      <c r="I124" s="5"/>
      <c r="J124" s="33">
        <v>303.10469999999998</v>
      </c>
      <c r="K124" s="34">
        <v>25.605399999999999</v>
      </c>
      <c r="L124" s="34">
        <v>32.328400000000002</v>
      </c>
      <c r="M124" s="34">
        <v>30.9269</v>
      </c>
      <c r="N124" s="20">
        <v>159.3767</v>
      </c>
      <c r="O124" s="20">
        <f t="shared" si="5"/>
        <v>27.110962499999999</v>
      </c>
      <c r="P124" s="7"/>
      <c r="Q124" s="13"/>
      <c r="R124" s="14"/>
      <c r="S124" s="14"/>
      <c r="T124" s="27"/>
      <c r="U124" s="28">
        <f t="shared" si="3"/>
        <v>1.421770247682723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-0.35955596321949007</v>
      </c>
      <c r="R125" s="21">
        <f>AVERAGE(R9:R124)</f>
        <v>-0.44996868220597264</v>
      </c>
      <c r="S125" s="21">
        <f>AVERAGE(S9:S124)</f>
        <v>-0.45429305072296505</v>
      </c>
      <c r="T125" s="21">
        <f>AVERAGE(T9:T124)</f>
        <v>-0.38090494473392938</v>
      </c>
      <c r="U125" s="21">
        <f>AVERAGE(U9:U124)</f>
        <v>0.71486630677929364</v>
      </c>
    </row>
    <row r="127" spans="2:21" s="35" customFormat="1" ht="15.75" customHeight="1" x14ac:dyDescent="0.25">
      <c r="B127" s="58" t="s">
        <v>29</v>
      </c>
      <c r="C127" s="60" t="s">
        <v>160</v>
      </c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2"/>
    </row>
    <row r="128" spans="2:21" s="35" customFormat="1" x14ac:dyDescent="0.25">
      <c r="B128" s="59"/>
      <c r="C128" s="63"/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5"/>
    </row>
    <row r="129" spans="1:21" ht="16.5" customHeight="1" thickBot="1" x14ac:dyDescent="0.3">
      <c r="C129" s="66" t="s">
        <v>127</v>
      </c>
      <c r="D129" s="67"/>
      <c r="E129" s="67"/>
      <c r="F129" s="67"/>
      <c r="G129" s="67"/>
      <c r="H129" s="67"/>
      <c r="I129" s="5"/>
      <c r="J129" s="66" t="s">
        <v>157</v>
      </c>
      <c r="K129" s="67"/>
      <c r="L129" s="67"/>
      <c r="M129" s="67"/>
      <c r="N129" s="67"/>
      <c r="O129" s="67"/>
      <c r="Q129" s="66" t="s">
        <v>7</v>
      </c>
      <c r="R129" s="67"/>
      <c r="S129" s="68"/>
      <c r="T129" s="36"/>
      <c r="U129" s="69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9"/>
    </row>
    <row r="131" spans="1:21" x14ac:dyDescent="0.25">
      <c r="A131" s="6" t="s">
        <v>35</v>
      </c>
      <c r="B131" s="6" t="s">
        <v>46</v>
      </c>
      <c r="C131" s="15">
        <v>4240.2294921875</v>
      </c>
      <c r="D131" s="16">
        <v>36.122</v>
      </c>
      <c r="E131" s="16">
        <v>38.588000000000001</v>
      </c>
      <c r="F131" s="16">
        <v>40.881</v>
      </c>
      <c r="G131" s="16">
        <v>37.67</v>
      </c>
      <c r="H131" s="16">
        <f t="shared" ref="H131:H202" si="6">(6*D131+E131+F131)/8</f>
        <v>37.025125000000003</v>
      </c>
      <c r="I131" s="5"/>
      <c r="J131" s="15">
        <v>4024.4656</v>
      </c>
      <c r="K131" s="16">
        <v>37.536900000000003</v>
      </c>
      <c r="L131" s="16">
        <v>39.373199999999997</v>
      </c>
      <c r="M131" s="16">
        <v>41.851399999999998</v>
      </c>
      <c r="N131" s="16">
        <v>61.652299999999997</v>
      </c>
      <c r="O131" s="16">
        <f t="shared" ref="O131:O202" si="7">(6*K131+L131+M131)/8</f>
        <v>38.305750000000003</v>
      </c>
      <c r="P131" s="7"/>
      <c r="Q131" s="8">
        <f>bdrate(C131:C134,D131:D134,J131:J134,K131:K134)</f>
        <v>-0.33245862276050031</v>
      </c>
      <c r="R131" s="8">
        <f>bdrate(C131:C134,E131:E134,J131:J134,L131:L134)</f>
        <v>-0.43005310841581845</v>
      </c>
      <c r="S131" s="8">
        <f>bdrate(C131:C134,F131:F134,J131:J134,M131:M134)</f>
        <v>-0.45027224703827173</v>
      </c>
      <c r="T131" s="25">
        <f>bdrate(C131:C134,H131:H134,J131:J134,O131:O134)</f>
        <v>-0.35142925218805809</v>
      </c>
      <c r="U131" s="28">
        <f t="shared" ref="U131:U194" si="8">(N131-G131)/G131</f>
        <v>0.63664189009822125</v>
      </c>
    </row>
    <row r="132" spans="1:21" x14ac:dyDescent="0.25">
      <c r="A132" s="9" t="s">
        <v>36</v>
      </c>
      <c r="B132" s="9"/>
      <c r="C132" s="17">
        <v>3170.7421875</v>
      </c>
      <c r="D132" s="18">
        <v>35.216000000000001</v>
      </c>
      <c r="E132" s="18">
        <v>38.058</v>
      </c>
      <c r="F132" s="18">
        <v>40.283999999999999</v>
      </c>
      <c r="G132" s="18">
        <v>40.729999999999997</v>
      </c>
      <c r="H132" s="18">
        <f t="shared" si="6"/>
        <v>36.204749999999997</v>
      </c>
      <c r="I132" s="5"/>
      <c r="J132" s="17">
        <v>2958.1264000000001</v>
      </c>
      <c r="K132" s="18">
        <v>36.595300000000002</v>
      </c>
      <c r="L132" s="18">
        <v>38.8127</v>
      </c>
      <c r="M132" s="18">
        <v>41.159100000000002</v>
      </c>
      <c r="N132" s="18">
        <v>68.681299999999993</v>
      </c>
      <c r="O132" s="18">
        <f t="shared" si="7"/>
        <v>37.442950000000003</v>
      </c>
      <c r="P132" s="7"/>
      <c r="Q132" s="10"/>
      <c r="R132" s="11"/>
      <c r="S132" s="11"/>
      <c r="T132" s="26"/>
      <c r="U132" s="28">
        <f t="shared" si="8"/>
        <v>0.68625828627547258</v>
      </c>
    </row>
    <row r="133" spans="1:21" x14ac:dyDescent="0.25">
      <c r="B133" s="9"/>
      <c r="C133" s="17">
        <v>2137.521484375</v>
      </c>
      <c r="D133" s="18">
        <v>33.895000000000003</v>
      </c>
      <c r="E133" s="18">
        <v>37.265999999999998</v>
      </c>
      <c r="F133" s="18">
        <v>39.402999999999999</v>
      </c>
      <c r="G133" s="18">
        <v>41.76</v>
      </c>
      <c r="H133" s="18">
        <f t="shared" si="6"/>
        <v>35.004874999999998</v>
      </c>
      <c r="I133" s="5"/>
      <c r="J133" s="17">
        <v>1933.8943999999999</v>
      </c>
      <c r="K133" s="18">
        <v>34.977899999999998</v>
      </c>
      <c r="L133" s="18">
        <v>38.115699999999997</v>
      </c>
      <c r="M133" s="18">
        <v>40.405500000000004</v>
      </c>
      <c r="N133" s="18">
        <v>75.528700000000001</v>
      </c>
      <c r="O133" s="18">
        <f t="shared" si="7"/>
        <v>36.048575</v>
      </c>
      <c r="P133" s="7"/>
      <c r="Q133" s="10"/>
      <c r="R133" s="11"/>
      <c r="S133" s="11"/>
      <c r="T133" s="26"/>
      <c r="U133" s="28">
        <f t="shared" si="8"/>
        <v>0.80863745210727977</v>
      </c>
    </row>
    <row r="134" spans="1:21" ht="16.5" thickBot="1" x14ac:dyDescent="0.3">
      <c r="B134" s="12"/>
      <c r="C134" s="19">
        <v>1096.005859375</v>
      </c>
      <c r="D134" s="20">
        <v>31.102</v>
      </c>
      <c r="E134" s="20">
        <v>35.744999999999997</v>
      </c>
      <c r="F134" s="20">
        <v>37.673999999999999</v>
      </c>
      <c r="G134" s="20">
        <v>49.91</v>
      </c>
      <c r="H134" s="20">
        <f t="shared" si="6"/>
        <v>32.503875000000001</v>
      </c>
      <c r="I134" s="5"/>
      <c r="J134" s="19">
        <v>923.28160000000003</v>
      </c>
      <c r="K134" s="20">
        <v>32.0854</v>
      </c>
      <c r="L134" s="20">
        <v>36.857900000000001</v>
      </c>
      <c r="M134" s="20">
        <v>39.088900000000002</v>
      </c>
      <c r="N134" s="20">
        <v>86.655100000000004</v>
      </c>
      <c r="O134" s="20">
        <f t="shared" si="7"/>
        <v>33.557400000000001</v>
      </c>
      <c r="P134" s="7"/>
      <c r="Q134" s="13"/>
      <c r="R134" s="14"/>
      <c r="S134" s="14"/>
      <c r="T134" s="27"/>
      <c r="U134" s="28">
        <f t="shared" si="8"/>
        <v>0.73622720897615734</v>
      </c>
    </row>
    <row r="135" spans="1:21" x14ac:dyDescent="0.25">
      <c r="B135" s="6" t="s">
        <v>47</v>
      </c>
      <c r="C135" s="15">
        <v>4762.2294921875</v>
      </c>
      <c r="D135" s="16">
        <v>28.03</v>
      </c>
      <c r="E135" s="16">
        <v>38.781999999999996</v>
      </c>
      <c r="F135" s="16">
        <v>39.816000000000003</v>
      </c>
      <c r="G135" s="16">
        <v>34.119999999999997</v>
      </c>
      <c r="H135" s="16">
        <f t="shared" si="6"/>
        <v>30.847249999999999</v>
      </c>
      <c r="I135" s="5"/>
      <c r="J135" s="15">
        <v>4044.0848000000001</v>
      </c>
      <c r="K135" s="16">
        <v>28.9941</v>
      </c>
      <c r="L135" s="16">
        <v>39.227800000000002</v>
      </c>
      <c r="M135" s="16">
        <v>40.202100000000002</v>
      </c>
      <c r="N135" s="16">
        <v>49.554000000000002</v>
      </c>
      <c r="O135" s="16">
        <f t="shared" si="7"/>
        <v>31.674312499999999</v>
      </c>
      <c r="P135" s="7"/>
      <c r="Q135" s="8">
        <f>bdrate(C135:C138,D135:D138,J135:J138,K135:K138)</f>
        <v>-0.21573145103595348</v>
      </c>
      <c r="R135" s="8">
        <f>bdrate(C135:C138,E135:E138,J135:J138,L135:L138)</f>
        <v>-0.49693089792022582</v>
      </c>
      <c r="S135" s="8">
        <f>bdrate(C135:C138,F135:F138,J135:J138,M135:M138)</f>
        <v>-0.51563052449430491</v>
      </c>
      <c r="T135" s="25">
        <f>bdrate(C135:C138,H135:H138,J135:J138,O135:O138)</f>
        <v>-0.2650595935871638</v>
      </c>
      <c r="U135" s="28">
        <f t="shared" si="8"/>
        <v>0.45234466588511152</v>
      </c>
    </row>
    <row r="136" spans="1:21" x14ac:dyDescent="0.25">
      <c r="B136" s="9"/>
      <c r="C136" s="17">
        <v>4095.2666015625</v>
      </c>
      <c r="D136" s="18">
        <v>27.666</v>
      </c>
      <c r="E136" s="18">
        <v>38.234000000000002</v>
      </c>
      <c r="F136" s="18">
        <v>39.261000000000003</v>
      </c>
      <c r="G136" s="18">
        <v>34.729999999999997</v>
      </c>
      <c r="H136" s="18">
        <f t="shared" si="6"/>
        <v>30.436375000000002</v>
      </c>
      <c r="I136" s="5"/>
      <c r="J136" s="17">
        <v>3038.4432000000002</v>
      </c>
      <c r="K136" s="18">
        <v>27.666499999999999</v>
      </c>
      <c r="L136" s="18">
        <v>38.723300000000002</v>
      </c>
      <c r="M136" s="18">
        <v>39.770000000000003</v>
      </c>
      <c r="N136" s="18">
        <v>57.915100000000002</v>
      </c>
      <c r="O136" s="18">
        <f t="shared" si="7"/>
        <v>30.5615375</v>
      </c>
      <c r="P136" s="7"/>
      <c r="Q136" s="10"/>
      <c r="R136" s="11"/>
      <c r="S136" s="11"/>
      <c r="T136" s="26"/>
      <c r="U136" s="28">
        <f t="shared" si="8"/>
        <v>0.66758134177944162</v>
      </c>
    </row>
    <row r="137" spans="1:21" x14ac:dyDescent="0.25">
      <c r="B137" s="9"/>
      <c r="C137" s="17">
        <v>3409.58203125</v>
      </c>
      <c r="D137" s="18">
        <v>27.236000000000001</v>
      </c>
      <c r="E137" s="18">
        <v>37.610999999999997</v>
      </c>
      <c r="F137" s="18">
        <v>38.527999999999999</v>
      </c>
      <c r="G137" s="18">
        <v>35.07</v>
      </c>
      <c r="H137" s="18">
        <f t="shared" si="6"/>
        <v>29.944374999999997</v>
      </c>
      <c r="I137" s="5"/>
      <c r="J137" s="17">
        <v>2010.8815999999999</v>
      </c>
      <c r="K137" s="18">
        <v>25.859200000000001</v>
      </c>
      <c r="L137" s="18">
        <v>37.984099999999998</v>
      </c>
      <c r="M137" s="18">
        <v>39.096600000000002</v>
      </c>
      <c r="N137" s="18">
        <v>67.689499999999995</v>
      </c>
      <c r="O137" s="18">
        <f t="shared" si="7"/>
        <v>29.029487499999998</v>
      </c>
      <c r="P137" s="7"/>
      <c r="Q137" s="10"/>
      <c r="R137" s="11"/>
      <c r="S137" s="11"/>
      <c r="T137" s="26"/>
      <c r="U137" s="28">
        <f t="shared" si="8"/>
        <v>0.93012546335899615</v>
      </c>
    </row>
    <row r="138" spans="1:21" ht="16.5" thickBot="1" x14ac:dyDescent="0.3">
      <c r="B138" s="12"/>
      <c r="C138" s="19">
        <v>2870.1015625</v>
      </c>
      <c r="D138" s="20">
        <v>26.567</v>
      </c>
      <c r="E138" s="20">
        <v>36.459000000000003</v>
      </c>
      <c r="F138" s="20">
        <v>37.225999999999999</v>
      </c>
      <c r="G138" s="20">
        <v>35.26</v>
      </c>
      <c r="H138" s="20">
        <f t="shared" si="6"/>
        <v>29.135874999999999</v>
      </c>
      <c r="I138" s="5"/>
      <c r="J138" s="19">
        <v>1158.2464</v>
      </c>
      <c r="K138" s="20">
        <v>23.910499999999999</v>
      </c>
      <c r="L138" s="20">
        <v>36.500599999999999</v>
      </c>
      <c r="M138" s="20">
        <v>37.776200000000003</v>
      </c>
      <c r="N138" s="20">
        <v>78.206500000000005</v>
      </c>
      <c r="O138" s="20">
        <f t="shared" si="7"/>
        <v>27.217475</v>
      </c>
      <c r="P138" s="7"/>
      <c r="Q138" s="13"/>
      <c r="R138" s="14"/>
      <c r="S138" s="14"/>
      <c r="T138" s="27"/>
      <c r="U138" s="28">
        <f t="shared" si="8"/>
        <v>1.21799489506523</v>
      </c>
    </row>
    <row r="139" spans="1:21" x14ac:dyDescent="0.25">
      <c r="A139" s="6" t="s">
        <v>37</v>
      </c>
      <c r="B139" s="6" t="s">
        <v>48</v>
      </c>
      <c r="C139" s="15">
        <v>2016.111328125</v>
      </c>
      <c r="D139" s="16">
        <v>36.972999999999999</v>
      </c>
      <c r="E139" s="16">
        <v>40.981999999999999</v>
      </c>
      <c r="F139" s="16">
        <v>42.165999999999997</v>
      </c>
      <c r="G139" s="16">
        <v>65.33</v>
      </c>
      <c r="H139" s="16">
        <f t="shared" si="6"/>
        <v>38.123249999999999</v>
      </c>
      <c r="I139" s="5"/>
      <c r="J139" s="15">
        <v>2395.2592</v>
      </c>
      <c r="K139" s="16">
        <v>38.930900000000001</v>
      </c>
      <c r="L139" s="16">
        <v>41.83</v>
      </c>
      <c r="M139" s="16">
        <v>43.159500000000001</v>
      </c>
      <c r="N139" s="16">
        <v>121.15089999999999</v>
      </c>
      <c r="O139" s="16">
        <f t="shared" si="7"/>
        <v>39.821862499999995</v>
      </c>
      <c r="P139" s="7"/>
      <c r="Q139" s="8">
        <f>bdrate(C139:C142,D139:D142,J139:J142,K139:K142)</f>
        <v>-0.41014279719417934</v>
      </c>
      <c r="R139" s="8">
        <f>bdrate(C139:C142,E139:E142,J139:J142,L139:L142)</f>
        <v>-0.36580352379918901</v>
      </c>
      <c r="S139" s="8">
        <f>bdrate(C139:C142,F139:F142,J139:J142,M139:M142)</f>
        <v>-0.37041347019818749</v>
      </c>
      <c r="T139" s="25">
        <f>bdrate(C139:C142,H139:H142,J139:J142,O139:O142)</f>
        <v>-0.40476140790954296</v>
      </c>
      <c r="U139" s="28">
        <f t="shared" si="8"/>
        <v>0.85444512475126277</v>
      </c>
    </row>
    <row r="140" spans="1:21" x14ac:dyDescent="0.25">
      <c r="A140" s="9" t="s">
        <v>38</v>
      </c>
      <c r="B140" s="9"/>
      <c r="C140" s="17">
        <v>1416.314453125</v>
      </c>
      <c r="D140" s="18">
        <v>35.607999999999997</v>
      </c>
      <c r="E140" s="18">
        <v>40.335000000000001</v>
      </c>
      <c r="F140" s="18">
        <v>41.488</v>
      </c>
      <c r="G140" s="18">
        <v>71.61</v>
      </c>
      <c r="H140" s="18">
        <f t="shared" si="6"/>
        <v>36.933875</v>
      </c>
      <c r="I140" s="5"/>
      <c r="J140" s="17">
        <v>1571.6152</v>
      </c>
      <c r="K140" s="18">
        <v>37.654200000000003</v>
      </c>
      <c r="L140" s="18">
        <v>41.144799999999996</v>
      </c>
      <c r="M140" s="18">
        <v>42.383800000000001</v>
      </c>
      <c r="N140" s="18">
        <v>139.86009999999999</v>
      </c>
      <c r="O140" s="18">
        <f t="shared" si="7"/>
        <v>38.681725</v>
      </c>
      <c r="P140" s="7"/>
      <c r="Q140" s="10"/>
      <c r="R140" s="11"/>
      <c r="S140" s="11"/>
      <c r="T140" s="26"/>
      <c r="U140" s="28">
        <f t="shared" si="8"/>
        <v>0.95308057533863966</v>
      </c>
    </row>
    <row r="141" spans="1:21" x14ac:dyDescent="0.25">
      <c r="B141" s="9"/>
      <c r="C141" s="17">
        <v>958.91015625</v>
      </c>
      <c r="D141" s="18">
        <v>33.926000000000002</v>
      </c>
      <c r="E141" s="18">
        <v>39.448999999999998</v>
      </c>
      <c r="F141" s="18">
        <v>40.609000000000002</v>
      </c>
      <c r="G141" s="18">
        <v>76.64</v>
      </c>
      <c r="H141" s="18">
        <f t="shared" si="6"/>
        <v>35.451749999999997</v>
      </c>
      <c r="I141" s="5"/>
      <c r="J141" s="17">
        <v>961.54560000000004</v>
      </c>
      <c r="K141" s="18">
        <v>36.067700000000002</v>
      </c>
      <c r="L141" s="18">
        <v>40.4056</v>
      </c>
      <c r="M141" s="18">
        <v>41.572099999999999</v>
      </c>
      <c r="N141" s="18">
        <v>152.381</v>
      </c>
      <c r="O141" s="18">
        <f t="shared" si="7"/>
        <v>37.297987499999998</v>
      </c>
      <c r="P141" s="7"/>
      <c r="Q141" s="10"/>
      <c r="R141" s="11"/>
      <c r="S141" s="11"/>
      <c r="T141" s="26"/>
      <c r="U141" s="28">
        <f t="shared" si="8"/>
        <v>0.98826983298538618</v>
      </c>
    </row>
    <row r="142" spans="1:21" ht="16.5" thickBot="1" x14ac:dyDescent="0.3">
      <c r="B142" s="12"/>
      <c r="C142" s="19">
        <v>591.73046875</v>
      </c>
      <c r="D142" s="20">
        <v>31.788</v>
      </c>
      <c r="E142" s="20">
        <v>38.286000000000001</v>
      </c>
      <c r="F142" s="20">
        <v>39.418999999999997</v>
      </c>
      <c r="G142" s="20">
        <v>84.76</v>
      </c>
      <c r="H142" s="20">
        <f t="shared" si="6"/>
        <v>33.554124999999999</v>
      </c>
      <c r="I142" s="5"/>
      <c r="J142" s="19">
        <v>559.78560000000004</v>
      </c>
      <c r="K142" s="20">
        <v>34.195999999999998</v>
      </c>
      <c r="L142" s="20">
        <v>39.603200000000001</v>
      </c>
      <c r="M142" s="20">
        <v>40.8127</v>
      </c>
      <c r="N142" s="20">
        <v>167.2474</v>
      </c>
      <c r="O142" s="20">
        <f t="shared" si="7"/>
        <v>35.698987500000001</v>
      </c>
      <c r="P142" s="7"/>
      <c r="Q142" s="13"/>
      <c r="R142" s="14"/>
      <c r="S142" s="14"/>
      <c r="T142" s="27"/>
      <c r="U142" s="28">
        <f t="shared" si="8"/>
        <v>0.97318782444549301</v>
      </c>
    </row>
    <row r="143" spans="1:21" x14ac:dyDescent="0.25">
      <c r="B143" s="6" t="s">
        <v>49</v>
      </c>
      <c r="C143" s="15">
        <v>2483.6513671875</v>
      </c>
      <c r="D143" s="16">
        <v>34.587000000000003</v>
      </c>
      <c r="E143" s="16">
        <v>38.743000000000002</v>
      </c>
      <c r="F143" s="16">
        <v>39.991</v>
      </c>
      <c r="G143" s="16">
        <v>64.459999999999994</v>
      </c>
      <c r="H143" s="16">
        <f t="shared" si="6"/>
        <v>35.782000000000004</v>
      </c>
      <c r="I143" s="5"/>
      <c r="J143" s="15">
        <v>2447.44</v>
      </c>
      <c r="K143" s="16">
        <v>35.734999999999999</v>
      </c>
      <c r="L143" s="16">
        <v>39.786700000000003</v>
      </c>
      <c r="M143" s="16">
        <v>41.006900000000002</v>
      </c>
      <c r="N143" s="16">
        <v>103.98609999999999</v>
      </c>
      <c r="O143" s="16">
        <f t="shared" si="7"/>
        <v>36.900449999999999</v>
      </c>
      <c r="P143" s="7"/>
      <c r="Q143" s="8">
        <f>bdrate(C143:C146,D143:D146,J143:J146,K143:K146)</f>
        <v>-0.2747973684817816</v>
      </c>
      <c r="R143" s="8">
        <f>bdrate(C143:C146,E143:E146,J143:J146,L143:L146)</f>
        <v>-0.43921477414746457</v>
      </c>
      <c r="S143" s="8">
        <f>bdrate(C143:C146,F143:F146,J143:J146,M143:M146)</f>
        <v>-0.43877023903243972</v>
      </c>
      <c r="T143" s="25">
        <f>bdrate(C143:C146,H143:H146,J143:J146,O143:O146)</f>
        <v>-0.3043884001048458</v>
      </c>
      <c r="U143" s="28">
        <f t="shared" si="8"/>
        <v>0.61318802358051505</v>
      </c>
    </row>
    <row r="144" spans="1:21" x14ac:dyDescent="0.25">
      <c r="B144" s="9"/>
      <c r="C144" s="17">
        <v>1678.5498046875</v>
      </c>
      <c r="D144" s="18">
        <v>33.509</v>
      </c>
      <c r="E144" s="18">
        <v>38.015999999999998</v>
      </c>
      <c r="F144" s="18">
        <v>39.377000000000002</v>
      </c>
      <c r="G144" s="18">
        <v>68.180000000000007</v>
      </c>
      <c r="H144" s="18">
        <f t="shared" si="6"/>
        <v>34.805875</v>
      </c>
      <c r="I144" s="5"/>
      <c r="J144" s="17">
        <v>1663.3751999999999</v>
      </c>
      <c r="K144" s="18">
        <v>34.502000000000002</v>
      </c>
      <c r="L144" s="18">
        <v>39.064599999999999</v>
      </c>
      <c r="M144" s="18">
        <v>40.3065</v>
      </c>
      <c r="N144" s="18">
        <v>129.31030000000001</v>
      </c>
      <c r="O144" s="18">
        <f t="shared" si="7"/>
        <v>35.797887500000002</v>
      </c>
      <c r="P144" s="7"/>
      <c r="Q144" s="10"/>
      <c r="R144" s="11"/>
      <c r="S144" s="11"/>
      <c r="T144" s="26"/>
      <c r="U144" s="28">
        <f t="shared" si="8"/>
        <v>0.89660164271047227</v>
      </c>
    </row>
    <row r="145" spans="1:21" x14ac:dyDescent="0.25">
      <c r="B145" s="9"/>
      <c r="C145" s="17">
        <v>1042.265625</v>
      </c>
      <c r="D145" s="18">
        <v>32.146000000000001</v>
      </c>
      <c r="E145" s="18">
        <v>37.091000000000001</v>
      </c>
      <c r="F145" s="18">
        <v>38.646000000000001</v>
      </c>
      <c r="G145" s="18">
        <v>73.180000000000007</v>
      </c>
      <c r="H145" s="18">
        <f t="shared" si="6"/>
        <v>33.576625</v>
      </c>
      <c r="I145" s="5"/>
      <c r="J145" s="17">
        <v>1021.1128</v>
      </c>
      <c r="K145" s="18">
        <v>32.990699999999997</v>
      </c>
      <c r="L145" s="18">
        <v>38.136200000000002</v>
      </c>
      <c r="M145" s="18">
        <v>39.476799999999997</v>
      </c>
      <c r="N145" s="18">
        <v>142.51779999999999</v>
      </c>
      <c r="O145" s="18">
        <f t="shared" si="7"/>
        <v>34.444649999999996</v>
      </c>
      <c r="P145" s="7"/>
      <c r="Q145" s="10"/>
      <c r="R145" s="11"/>
      <c r="S145" s="11"/>
      <c r="T145" s="26"/>
      <c r="U145" s="28">
        <f t="shared" si="8"/>
        <v>0.94749658376605606</v>
      </c>
    </row>
    <row r="146" spans="1:21" ht="16.5" thickBot="1" x14ac:dyDescent="0.3">
      <c r="B146" s="12"/>
      <c r="C146" s="19">
        <v>625.6708984375</v>
      </c>
      <c r="D146" s="20">
        <v>30.579000000000001</v>
      </c>
      <c r="E146" s="20">
        <v>36.159999999999997</v>
      </c>
      <c r="F146" s="20">
        <v>37.936</v>
      </c>
      <c r="G146" s="20">
        <v>78.66</v>
      </c>
      <c r="H146" s="20">
        <f t="shared" si="6"/>
        <v>32.196249999999999</v>
      </c>
      <c r="I146" s="5"/>
      <c r="J146" s="19">
        <v>586.05439999999999</v>
      </c>
      <c r="K146" s="20">
        <v>31.331800000000001</v>
      </c>
      <c r="L146" s="20">
        <v>37.1952</v>
      </c>
      <c r="M146" s="20">
        <v>38.716099999999997</v>
      </c>
      <c r="N146" s="20">
        <v>163.5992</v>
      </c>
      <c r="O146" s="20">
        <f t="shared" si="7"/>
        <v>32.987762500000002</v>
      </c>
      <c r="P146" s="7"/>
      <c r="Q146" s="13"/>
      <c r="R146" s="14"/>
      <c r="S146" s="14"/>
      <c r="T146" s="27"/>
      <c r="U146" s="28">
        <f t="shared" si="8"/>
        <v>1.0798271039918637</v>
      </c>
    </row>
    <row r="147" spans="1:21" x14ac:dyDescent="0.25">
      <c r="B147" s="6" t="s">
        <v>50</v>
      </c>
      <c r="C147" s="15">
        <v>2443.83203125</v>
      </c>
      <c r="D147" s="16">
        <v>32.697000000000003</v>
      </c>
      <c r="E147" s="16">
        <v>37.456000000000003</v>
      </c>
      <c r="F147" s="16">
        <v>38.76</v>
      </c>
      <c r="G147" s="16">
        <v>68.62</v>
      </c>
      <c r="H147" s="16">
        <f t="shared" si="6"/>
        <v>34.049750000000003</v>
      </c>
      <c r="I147" s="5"/>
      <c r="J147" s="15">
        <v>2409.0176000000001</v>
      </c>
      <c r="K147" s="16">
        <v>33.795200000000001</v>
      </c>
      <c r="L147" s="16">
        <v>38.050699999999999</v>
      </c>
      <c r="M147" s="16">
        <v>40.0077</v>
      </c>
      <c r="N147" s="16">
        <v>130.20830000000001</v>
      </c>
      <c r="O147" s="16">
        <f t="shared" si="7"/>
        <v>35.103700000000003</v>
      </c>
      <c r="P147" s="7"/>
      <c r="Q147" s="8">
        <f>bdrate(C147:C150,D147:D150,J147:J150,K147:K150)</f>
        <v>-0.32513234720648909</v>
      </c>
      <c r="R147" s="8">
        <f>bdrate(C147:C150,E147:E150,J147:J150,L147:L150)</f>
        <v>-0.4927419655314681</v>
      </c>
      <c r="S147" s="8">
        <f>bdrate(C147:C150,F147:F150,J147:J150,M147:M150)</f>
        <v>-0.50582711396406765</v>
      </c>
      <c r="T147" s="25">
        <f>bdrate(C147:C150,H147:H150,J147:J150,O147:O150)</f>
        <v>-0.35956623548633515</v>
      </c>
      <c r="U147" s="28">
        <f t="shared" si="8"/>
        <v>0.89752696006995047</v>
      </c>
    </row>
    <row r="148" spans="1:21" x14ac:dyDescent="0.25">
      <c r="B148" s="9"/>
      <c r="C148" s="17">
        <v>1638.05859375</v>
      </c>
      <c r="D148" s="18">
        <v>31.349</v>
      </c>
      <c r="E148" s="18">
        <v>36.707000000000001</v>
      </c>
      <c r="F148" s="18">
        <v>37.566000000000003</v>
      </c>
      <c r="G148" s="18">
        <v>74.290000000000006</v>
      </c>
      <c r="H148" s="18">
        <f t="shared" si="6"/>
        <v>32.795874999999995</v>
      </c>
      <c r="I148" s="5"/>
      <c r="J148" s="17">
        <v>1605.3584000000001</v>
      </c>
      <c r="K148" s="18">
        <v>32.551299999999998</v>
      </c>
      <c r="L148" s="18">
        <v>37.595300000000002</v>
      </c>
      <c r="M148" s="18">
        <v>39.149500000000003</v>
      </c>
      <c r="N148" s="18">
        <v>162.65450000000001</v>
      </c>
      <c r="O148" s="18">
        <f t="shared" si="7"/>
        <v>34.006574999999998</v>
      </c>
      <c r="P148" s="7"/>
      <c r="Q148" s="10"/>
      <c r="R148" s="11"/>
      <c r="S148" s="11"/>
      <c r="T148" s="26"/>
      <c r="U148" s="28">
        <f t="shared" si="8"/>
        <v>1.1894534930677076</v>
      </c>
    </row>
    <row r="149" spans="1:21" x14ac:dyDescent="0.25">
      <c r="B149" s="9"/>
      <c r="C149" s="17">
        <v>1050.5712890625</v>
      </c>
      <c r="D149" s="18">
        <v>29.584</v>
      </c>
      <c r="E149" s="18">
        <v>35.676000000000002</v>
      </c>
      <c r="F149" s="18">
        <v>36.015000000000001</v>
      </c>
      <c r="G149" s="18">
        <v>81.61</v>
      </c>
      <c r="H149" s="18">
        <f t="shared" si="6"/>
        <v>31.149374999999999</v>
      </c>
      <c r="I149" s="5"/>
      <c r="J149" s="17">
        <v>997.94079999999997</v>
      </c>
      <c r="K149" s="18">
        <v>30.923200000000001</v>
      </c>
      <c r="L149" s="18">
        <v>37.011600000000001</v>
      </c>
      <c r="M149" s="18">
        <v>38.113300000000002</v>
      </c>
      <c r="N149" s="18">
        <v>176.92850000000001</v>
      </c>
      <c r="O149" s="18">
        <f t="shared" si="7"/>
        <v>32.583012499999995</v>
      </c>
      <c r="P149" s="7"/>
      <c r="Q149" s="10"/>
      <c r="R149" s="11"/>
      <c r="S149" s="11"/>
      <c r="T149" s="26"/>
      <c r="U149" s="28">
        <f t="shared" si="8"/>
        <v>1.1679757382673694</v>
      </c>
    </row>
    <row r="150" spans="1:21" ht="16.5" thickBot="1" x14ac:dyDescent="0.3">
      <c r="B150" s="12"/>
      <c r="C150" s="19">
        <v>822.51171875</v>
      </c>
      <c r="D150" s="20">
        <v>28.585999999999999</v>
      </c>
      <c r="E150" s="20">
        <v>34.831000000000003</v>
      </c>
      <c r="F150" s="20">
        <v>34.781999999999996</v>
      </c>
      <c r="G150" s="20">
        <v>82.74</v>
      </c>
      <c r="H150" s="20">
        <f t="shared" si="6"/>
        <v>30.141124999999995</v>
      </c>
      <c r="I150" s="5"/>
      <c r="J150" s="19">
        <v>600.27520000000004</v>
      </c>
      <c r="K150" s="20">
        <v>29.089300000000001</v>
      </c>
      <c r="L150" s="20">
        <v>36.275700000000001</v>
      </c>
      <c r="M150" s="20">
        <v>36.959400000000002</v>
      </c>
      <c r="N150" s="20">
        <v>189.60939999999999</v>
      </c>
      <c r="O150" s="20">
        <f t="shared" si="7"/>
        <v>30.971362499999998</v>
      </c>
      <c r="P150" s="7"/>
      <c r="Q150" s="13"/>
      <c r="R150" s="14"/>
      <c r="S150" s="14"/>
      <c r="T150" s="27"/>
      <c r="U150" s="28">
        <f t="shared" si="8"/>
        <v>1.2916291999033116</v>
      </c>
    </row>
    <row r="151" spans="1:21" x14ac:dyDescent="0.25">
      <c r="B151" s="6" t="s">
        <v>51</v>
      </c>
      <c r="C151" s="29">
        <v>2254.8193359375</v>
      </c>
      <c r="D151" s="30">
        <v>31.608000000000001</v>
      </c>
      <c r="E151" s="30">
        <v>38.442</v>
      </c>
      <c r="F151" s="30">
        <v>37.198999999999998</v>
      </c>
      <c r="G151" s="16">
        <v>75</v>
      </c>
      <c r="H151" s="16">
        <f t="shared" si="6"/>
        <v>33.161124999999998</v>
      </c>
      <c r="I151" s="5"/>
      <c r="J151" s="29">
        <v>2416.8416000000002</v>
      </c>
      <c r="K151" s="30">
        <v>33.760300000000001</v>
      </c>
      <c r="L151" s="30">
        <v>40.164900000000003</v>
      </c>
      <c r="M151" s="30">
        <v>39.726999999999997</v>
      </c>
      <c r="N151" s="16">
        <v>123.24379999999999</v>
      </c>
      <c r="O151" s="16">
        <f t="shared" si="7"/>
        <v>35.306712499999996</v>
      </c>
      <c r="P151" s="7"/>
      <c r="Q151" s="8">
        <f>bdrate(C151:C154,D151:D154,J151:J154,K151:K154)</f>
        <v>-0.4342248677962377</v>
      </c>
      <c r="R151" s="8">
        <f>bdrate(C151:C154,E151:E154,J151:J154,L151:L154)</f>
        <v>-0.56068131668056043</v>
      </c>
      <c r="S151" s="8">
        <f>bdrate(C151:C154,F151:F154,J151:J154,M151:M154)</f>
        <v>-0.6082320102497607</v>
      </c>
      <c r="T151" s="25">
        <f>bdrate(C151:C154,H151:H154,J151:J154,O151:O154)</f>
        <v>-0.47236056482118738</v>
      </c>
      <c r="U151" s="28">
        <f t="shared" si="8"/>
        <v>0.64325066666666653</v>
      </c>
    </row>
    <row r="152" spans="1:21" x14ac:dyDescent="0.25">
      <c r="B152" s="9"/>
      <c r="C152" s="31">
        <v>1648.83984375</v>
      </c>
      <c r="D152" s="32">
        <v>30.27</v>
      </c>
      <c r="E152" s="32">
        <v>37.439</v>
      </c>
      <c r="F152" s="32">
        <v>35.948999999999998</v>
      </c>
      <c r="G152" s="18">
        <v>81.209999999999994</v>
      </c>
      <c r="H152" s="18">
        <f t="shared" si="6"/>
        <v>31.875999999999998</v>
      </c>
      <c r="I152" s="5"/>
      <c r="J152" s="31">
        <v>1608.7503999999999</v>
      </c>
      <c r="K152" s="32">
        <v>32.332999999999998</v>
      </c>
      <c r="L152" s="32">
        <v>39.3581</v>
      </c>
      <c r="M152" s="32">
        <v>38.720199999999998</v>
      </c>
      <c r="N152" s="18">
        <v>145.6876</v>
      </c>
      <c r="O152" s="18">
        <f t="shared" si="7"/>
        <v>34.0095375</v>
      </c>
      <c r="P152" s="7"/>
      <c r="Q152" s="10"/>
      <c r="R152" s="11"/>
      <c r="S152" s="11"/>
      <c r="T152" s="26"/>
      <c r="U152" s="28">
        <f t="shared" si="8"/>
        <v>0.79396133481098408</v>
      </c>
    </row>
    <row r="153" spans="1:21" x14ac:dyDescent="0.25">
      <c r="B153" s="9"/>
      <c r="C153" s="31">
        <v>1261.32421875</v>
      </c>
      <c r="D153" s="32">
        <v>29.193000000000001</v>
      </c>
      <c r="E153" s="32">
        <v>36.334000000000003</v>
      </c>
      <c r="F153" s="32">
        <v>34.857999999999997</v>
      </c>
      <c r="G153" s="18">
        <v>83.84</v>
      </c>
      <c r="H153" s="18">
        <f t="shared" si="6"/>
        <v>30.793750000000003</v>
      </c>
      <c r="I153" s="5"/>
      <c r="J153" s="31">
        <v>1000.6808</v>
      </c>
      <c r="K153" s="32">
        <v>30.541799999999999</v>
      </c>
      <c r="L153" s="32">
        <v>38.375300000000003</v>
      </c>
      <c r="M153" s="32">
        <v>37.448999999999998</v>
      </c>
      <c r="N153" s="18">
        <v>161.8647</v>
      </c>
      <c r="O153" s="18">
        <f t="shared" si="7"/>
        <v>32.384387500000003</v>
      </c>
      <c r="P153" s="7"/>
      <c r="Q153" s="10"/>
      <c r="R153" s="11"/>
      <c r="S153" s="11"/>
      <c r="T153" s="26"/>
      <c r="U153" s="28">
        <f t="shared" si="8"/>
        <v>0.93063812022900749</v>
      </c>
    </row>
    <row r="154" spans="1:21" ht="16.5" thickBot="1" x14ac:dyDescent="0.3">
      <c r="B154" s="12"/>
      <c r="C154" s="33">
        <v>1137.3134765625</v>
      </c>
      <c r="D154" s="34">
        <v>28.753</v>
      </c>
      <c r="E154" s="34">
        <v>35.685000000000002</v>
      </c>
      <c r="F154" s="34">
        <v>34.293999999999997</v>
      </c>
      <c r="G154" s="20">
        <v>83.86</v>
      </c>
      <c r="H154" s="20">
        <f t="shared" si="6"/>
        <v>30.312125000000002</v>
      </c>
      <c r="I154" s="5"/>
      <c r="J154" s="33">
        <v>600.32719999999995</v>
      </c>
      <c r="K154" s="34">
        <v>28.6082</v>
      </c>
      <c r="L154" s="34">
        <v>36.784999999999997</v>
      </c>
      <c r="M154" s="34">
        <v>35.764400000000002</v>
      </c>
      <c r="N154" s="20">
        <v>179.01900000000001</v>
      </c>
      <c r="O154" s="20">
        <f t="shared" si="7"/>
        <v>30.524825</v>
      </c>
      <c r="P154" s="7"/>
      <c r="Q154" s="13"/>
      <c r="R154" s="14"/>
      <c r="S154" s="14"/>
      <c r="T154" s="27"/>
      <c r="U154" s="28">
        <f t="shared" si="8"/>
        <v>1.1347364655378012</v>
      </c>
    </row>
    <row r="155" spans="1:21" x14ac:dyDescent="0.25">
      <c r="B155" s="6" t="s">
        <v>52</v>
      </c>
      <c r="C155" s="15">
        <v>2493.087890625</v>
      </c>
      <c r="D155" s="16">
        <v>31.408999999999999</v>
      </c>
      <c r="E155" s="16">
        <v>38.481000000000002</v>
      </c>
      <c r="F155" s="16">
        <v>41.033000000000001</v>
      </c>
      <c r="G155" s="16">
        <v>77.900000000000006</v>
      </c>
      <c r="H155" s="16">
        <f t="shared" si="6"/>
        <v>33.496000000000002</v>
      </c>
      <c r="I155" s="5"/>
      <c r="J155" s="15">
        <v>2419.0104000000001</v>
      </c>
      <c r="K155" s="16">
        <v>33.35</v>
      </c>
      <c r="L155" s="16">
        <v>39.6982</v>
      </c>
      <c r="M155" s="16">
        <v>42.177999999999997</v>
      </c>
      <c r="N155" s="16">
        <v>135.28749999999999</v>
      </c>
      <c r="O155" s="16">
        <f t="shared" si="7"/>
        <v>35.247025000000001</v>
      </c>
      <c r="P155" s="7"/>
      <c r="Q155" s="8">
        <f>bdrate(C155:C158,D155:D158,J155:J158,K155:K158)</f>
        <v>-0.58674554372858578</v>
      </c>
      <c r="R155" s="8">
        <f>bdrate(C155:C158,E155:E158,J155:J158,L155:L158)</f>
        <v>-0.64117814130116202</v>
      </c>
      <c r="S155" s="8">
        <f>bdrate(C155:C158,F155:F158,J155:J158,M155:M158)</f>
        <v>-0.64601600591536412</v>
      </c>
      <c r="T155" s="25">
        <f>bdrate(C155:C158,H155:H158,J155:J158,O155:O158)</f>
        <v>-0.596464627414097</v>
      </c>
      <c r="U155" s="28">
        <f t="shared" si="8"/>
        <v>0.73668164313222062</v>
      </c>
    </row>
    <row r="156" spans="1:21" x14ac:dyDescent="0.25">
      <c r="B156" s="9"/>
      <c r="C156" s="17">
        <v>1664.498046875</v>
      </c>
      <c r="D156" s="18">
        <v>30.427</v>
      </c>
      <c r="E156" s="18">
        <v>37.857999999999997</v>
      </c>
      <c r="F156" s="18">
        <v>40.374000000000002</v>
      </c>
      <c r="G156" s="18">
        <v>83.56</v>
      </c>
      <c r="H156" s="18">
        <f t="shared" si="6"/>
        <v>32.599250000000005</v>
      </c>
      <c r="I156" s="5"/>
      <c r="J156" s="17">
        <v>1616.692</v>
      </c>
      <c r="K156" s="18">
        <v>32.636099999999999</v>
      </c>
      <c r="L156" s="18">
        <v>39.192500000000003</v>
      </c>
      <c r="M156" s="18">
        <v>41.777000000000001</v>
      </c>
      <c r="N156" s="18">
        <v>160.9442</v>
      </c>
      <c r="O156" s="18">
        <f t="shared" si="7"/>
        <v>34.598262499999997</v>
      </c>
      <c r="P156" s="7"/>
      <c r="Q156" s="10"/>
      <c r="R156" s="11"/>
      <c r="S156" s="11"/>
      <c r="T156" s="26"/>
      <c r="U156" s="28">
        <f t="shared" si="8"/>
        <v>0.92609143130684524</v>
      </c>
    </row>
    <row r="157" spans="1:21" x14ac:dyDescent="0.25">
      <c r="B157" s="9"/>
      <c r="C157" s="17">
        <v>1050.4501953125</v>
      </c>
      <c r="D157" s="18">
        <v>28.981999999999999</v>
      </c>
      <c r="E157" s="18">
        <v>37.04</v>
      </c>
      <c r="F157" s="18">
        <v>39.33</v>
      </c>
      <c r="G157" s="18">
        <v>89.78</v>
      </c>
      <c r="H157" s="18">
        <f t="shared" si="6"/>
        <v>31.28275</v>
      </c>
      <c r="I157" s="5"/>
      <c r="J157" s="17">
        <v>1030.6656</v>
      </c>
      <c r="K157" s="18">
        <v>31.514800000000001</v>
      </c>
      <c r="L157" s="18">
        <v>38.563699999999997</v>
      </c>
      <c r="M157" s="18">
        <v>41.139800000000001</v>
      </c>
      <c r="N157" s="18">
        <v>174.06440000000001</v>
      </c>
      <c r="O157" s="18">
        <f t="shared" si="7"/>
        <v>33.599037499999994</v>
      </c>
      <c r="P157" s="7"/>
      <c r="Q157" s="10"/>
      <c r="R157" s="11"/>
      <c r="S157" s="11"/>
      <c r="T157" s="26"/>
      <c r="U157" s="28">
        <f t="shared" si="8"/>
        <v>0.93878814880819783</v>
      </c>
    </row>
    <row r="158" spans="1:21" ht="16.5" thickBot="1" x14ac:dyDescent="0.3">
      <c r="B158" s="12"/>
      <c r="C158" s="19">
        <v>749.2080078125</v>
      </c>
      <c r="D158" s="20">
        <v>27.54</v>
      </c>
      <c r="E158" s="20">
        <v>36.212000000000003</v>
      </c>
      <c r="F158" s="20">
        <v>38.137999999999998</v>
      </c>
      <c r="G158" s="20">
        <v>93.59</v>
      </c>
      <c r="H158" s="20">
        <f t="shared" si="6"/>
        <v>29.94875</v>
      </c>
      <c r="I158" s="5"/>
      <c r="J158" s="19">
        <v>599.98320000000001</v>
      </c>
      <c r="K158" s="20">
        <v>29.973099999999999</v>
      </c>
      <c r="L158" s="20">
        <v>38.0154</v>
      </c>
      <c r="M158" s="20">
        <v>40.566200000000002</v>
      </c>
      <c r="N158" s="20">
        <v>186.7414</v>
      </c>
      <c r="O158" s="20">
        <f t="shared" si="7"/>
        <v>32.302524999999996</v>
      </c>
      <c r="P158" s="7"/>
      <c r="Q158" s="13"/>
      <c r="R158" s="14"/>
      <c r="S158" s="14"/>
      <c r="T158" s="27"/>
      <c r="U158" s="28">
        <f t="shared" si="8"/>
        <v>0.99531360188054274</v>
      </c>
    </row>
    <row r="159" spans="1:21" x14ac:dyDescent="0.25">
      <c r="A159" s="6" t="s">
        <v>39</v>
      </c>
      <c r="B159" s="6" t="s">
        <v>53</v>
      </c>
      <c r="C159" s="15">
        <v>1241.1337890625</v>
      </c>
      <c r="D159" s="16">
        <v>33.451000000000001</v>
      </c>
      <c r="E159" s="16">
        <v>37.723999999999997</v>
      </c>
      <c r="F159" s="16">
        <v>37.186</v>
      </c>
      <c r="G159" s="16">
        <v>221.65</v>
      </c>
      <c r="H159" s="16">
        <f t="shared" si="6"/>
        <v>34.451999999999998</v>
      </c>
      <c r="I159" s="5"/>
      <c r="J159" s="15">
        <v>1210.6695999999999</v>
      </c>
      <c r="K159" s="16">
        <v>34.638599999999997</v>
      </c>
      <c r="L159" s="16">
        <v>38.794899999999998</v>
      </c>
      <c r="M159" s="16">
        <v>38.579300000000003</v>
      </c>
      <c r="N159" s="16">
        <v>464.25259999999997</v>
      </c>
      <c r="O159" s="16">
        <f t="shared" si="7"/>
        <v>35.650724999999994</v>
      </c>
      <c r="P159" s="7"/>
      <c r="Q159" s="8">
        <f>bdrate(C159:C162,D159:D162,J159:J162,K159:K162)</f>
        <v>-0.25392066388753287</v>
      </c>
      <c r="R159" s="8">
        <f>bdrate(C159:C162,E159:E162,J159:J162,L159:L162)</f>
        <v>-0.36968639316540663</v>
      </c>
      <c r="S159" s="8">
        <f>bdrate(C159:C162,F159:F162,J159:J162,M159:M162)</f>
        <v>-0.40060954668576154</v>
      </c>
      <c r="T159" s="25">
        <f>bdrate(C159:C162,H159:H162,J159:J162,O159:O162)</f>
        <v>-0.28548225824914708</v>
      </c>
      <c r="U159" s="28">
        <f t="shared" si="8"/>
        <v>1.0945301150462439</v>
      </c>
    </row>
    <row r="160" spans="1:21" x14ac:dyDescent="0.25">
      <c r="A160" s="9" t="s">
        <v>40</v>
      </c>
      <c r="B160" s="9"/>
      <c r="C160" s="17">
        <v>835.7138671875</v>
      </c>
      <c r="D160" s="18">
        <v>32.061</v>
      </c>
      <c r="E160" s="18">
        <v>36.558</v>
      </c>
      <c r="F160" s="18">
        <v>35.883000000000003</v>
      </c>
      <c r="G160" s="18">
        <v>241.29</v>
      </c>
      <c r="H160" s="18">
        <f t="shared" si="6"/>
        <v>33.100874999999995</v>
      </c>
      <c r="I160" s="5"/>
      <c r="J160" s="17">
        <v>804.78</v>
      </c>
      <c r="K160" s="18">
        <v>33.0884</v>
      </c>
      <c r="L160" s="18">
        <v>37.630200000000002</v>
      </c>
      <c r="M160" s="18">
        <v>37.254800000000003</v>
      </c>
      <c r="N160" s="18">
        <v>562.42970000000003</v>
      </c>
      <c r="O160" s="18">
        <f t="shared" si="7"/>
        <v>34.176924999999997</v>
      </c>
      <c r="P160" s="7"/>
      <c r="Q160" s="10"/>
      <c r="R160" s="11"/>
      <c r="S160" s="11"/>
      <c r="T160" s="26"/>
      <c r="U160" s="28">
        <f t="shared" si="8"/>
        <v>1.3309283434870904</v>
      </c>
    </row>
    <row r="161" spans="1:21" x14ac:dyDescent="0.25">
      <c r="B161" s="9"/>
      <c r="C161" s="17">
        <v>522.380859375</v>
      </c>
      <c r="D161" s="18">
        <v>30.417999999999999</v>
      </c>
      <c r="E161" s="18">
        <v>35.171999999999997</v>
      </c>
      <c r="F161" s="18">
        <v>34.308999999999997</v>
      </c>
      <c r="G161" s="18">
        <v>271.86</v>
      </c>
      <c r="H161" s="18">
        <f t="shared" si="6"/>
        <v>31.498624999999997</v>
      </c>
      <c r="I161" s="5"/>
      <c r="J161" s="17">
        <v>502.45519999999999</v>
      </c>
      <c r="K161" s="18">
        <v>31.290400000000002</v>
      </c>
      <c r="L161" s="18">
        <v>36.430500000000002</v>
      </c>
      <c r="M161" s="18">
        <v>35.878700000000002</v>
      </c>
      <c r="N161" s="18">
        <v>681.19889999999998</v>
      </c>
      <c r="O161" s="18">
        <f t="shared" si="7"/>
        <v>32.506450000000001</v>
      </c>
      <c r="P161" s="7"/>
      <c r="Q161" s="10"/>
      <c r="R161" s="11"/>
      <c r="S161" s="11"/>
      <c r="T161" s="26"/>
      <c r="U161" s="28">
        <f t="shared" si="8"/>
        <v>1.5056974177885674</v>
      </c>
    </row>
    <row r="162" spans="1:21" ht="16.5" thickBot="1" x14ac:dyDescent="0.3">
      <c r="B162" s="12"/>
      <c r="C162" s="19">
        <v>323.890625</v>
      </c>
      <c r="D162" s="20">
        <v>28.629000000000001</v>
      </c>
      <c r="E162" s="20">
        <v>33.552999999999997</v>
      </c>
      <c r="F162" s="20">
        <v>32.539000000000001</v>
      </c>
      <c r="G162" s="20">
        <v>308.11</v>
      </c>
      <c r="H162" s="20">
        <f t="shared" si="6"/>
        <v>29.733249999999998</v>
      </c>
      <c r="I162" s="5"/>
      <c r="J162" s="19">
        <v>300.69760000000002</v>
      </c>
      <c r="K162" s="20">
        <v>29.348199999999999</v>
      </c>
      <c r="L162" s="20">
        <v>35.080599999999997</v>
      </c>
      <c r="M162" s="20">
        <v>34.4026</v>
      </c>
      <c r="N162" s="20">
        <v>745.15650000000005</v>
      </c>
      <c r="O162" s="20">
        <f t="shared" si="7"/>
        <v>30.696550000000002</v>
      </c>
      <c r="P162" s="7"/>
      <c r="Q162" s="13"/>
      <c r="R162" s="14"/>
      <c r="S162" s="14"/>
      <c r="T162" s="27"/>
      <c r="U162" s="28">
        <f t="shared" si="8"/>
        <v>1.4184755444484114</v>
      </c>
    </row>
    <row r="163" spans="1:21" x14ac:dyDescent="0.25">
      <c r="B163" s="6" t="s">
        <v>54</v>
      </c>
      <c r="C163" s="15">
        <v>1229.83984375</v>
      </c>
      <c r="D163" s="16">
        <v>32.732999999999997</v>
      </c>
      <c r="E163" s="16">
        <v>38.936</v>
      </c>
      <c r="F163" s="16">
        <v>39.54</v>
      </c>
      <c r="G163" s="16">
        <v>233.43</v>
      </c>
      <c r="H163" s="16">
        <f t="shared" si="6"/>
        <v>34.359249999999996</v>
      </c>
      <c r="I163" s="5"/>
      <c r="J163" s="15">
        <v>1234.4223999999999</v>
      </c>
      <c r="K163" s="16">
        <v>34.826099999999997</v>
      </c>
      <c r="L163" s="16">
        <v>40.346200000000003</v>
      </c>
      <c r="M163" s="16">
        <v>41.1479</v>
      </c>
      <c r="N163" s="16">
        <v>499.58370000000002</v>
      </c>
      <c r="O163" s="16">
        <f t="shared" si="7"/>
        <v>36.306337499999998</v>
      </c>
      <c r="P163" s="7"/>
      <c r="Q163" s="8">
        <f>bdrate(C163:C166,D163:D166,J163:J166,K163:K166)</f>
        <v>-0.38464472206264266</v>
      </c>
      <c r="R163" s="8">
        <f>bdrate(C163:C166,E163:E166,J163:J166,L163:L166)</f>
        <v>-0.49571782625866512</v>
      </c>
      <c r="S163" s="8">
        <f>bdrate(C163:C166,F163:F166,J163:J166,M163:M166)</f>
        <v>-0.49563153267865645</v>
      </c>
      <c r="T163" s="25">
        <f>bdrate(C163:C166,H163:H166,J163:J166,O163:O166)</f>
        <v>-0.40765307055295297</v>
      </c>
      <c r="U163" s="28">
        <f t="shared" si="8"/>
        <v>1.1401863513687187</v>
      </c>
    </row>
    <row r="164" spans="1:21" x14ac:dyDescent="0.25">
      <c r="B164" s="9"/>
      <c r="C164" s="17">
        <v>821.720703125</v>
      </c>
      <c r="D164" s="18">
        <v>31.314</v>
      </c>
      <c r="E164" s="18">
        <v>37.890999999999998</v>
      </c>
      <c r="F164" s="18">
        <v>38.375</v>
      </c>
      <c r="G164" s="18">
        <v>254.4</v>
      </c>
      <c r="H164" s="18">
        <f t="shared" si="6"/>
        <v>33.018749999999997</v>
      </c>
      <c r="I164" s="5"/>
      <c r="J164" s="17">
        <v>824.51520000000005</v>
      </c>
      <c r="K164" s="18">
        <v>33.2667</v>
      </c>
      <c r="L164" s="18">
        <v>39.3782</v>
      </c>
      <c r="M164" s="18">
        <v>40.095500000000001</v>
      </c>
      <c r="N164" s="18">
        <v>541.51620000000003</v>
      </c>
      <c r="O164" s="18">
        <f t="shared" si="7"/>
        <v>34.884237499999998</v>
      </c>
      <c r="P164" s="7"/>
      <c r="Q164" s="10"/>
      <c r="R164" s="11"/>
      <c r="S164" s="11"/>
      <c r="T164" s="26"/>
      <c r="U164" s="28">
        <f t="shared" si="8"/>
        <v>1.1286014150943398</v>
      </c>
    </row>
    <row r="165" spans="1:21" x14ac:dyDescent="0.25">
      <c r="B165" s="9"/>
      <c r="C165" s="17">
        <v>524.2470703125</v>
      </c>
      <c r="D165" s="18">
        <v>29.611000000000001</v>
      </c>
      <c r="E165" s="18">
        <v>36.686</v>
      </c>
      <c r="F165" s="18">
        <v>36.997999999999998</v>
      </c>
      <c r="G165" s="18">
        <v>277.38</v>
      </c>
      <c r="H165" s="18">
        <f t="shared" si="6"/>
        <v>31.418749999999999</v>
      </c>
      <c r="I165" s="5"/>
      <c r="J165" s="17">
        <v>514.88879999999995</v>
      </c>
      <c r="K165" s="18">
        <v>31.398199999999999</v>
      </c>
      <c r="L165" s="18">
        <v>38.4024</v>
      </c>
      <c r="M165" s="18">
        <v>38.937100000000001</v>
      </c>
      <c r="N165" s="18">
        <v>651.46579999999994</v>
      </c>
      <c r="O165" s="18">
        <f t="shared" si="7"/>
        <v>33.2160875</v>
      </c>
      <c r="P165" s="7"/>
      <c r="Q165" s="10"/>
      <c r="R165" s="11"/>
      <c r="S165" s="11"/>
      <c r="T165" s="26"/>
      <c r="U165" s="28">
        <f t="shared" si="8"/>
        <v>1.3486401326699833</v>
      </c>
    </row>
    <row r="166" spans="1:21" ht="16.5" thickBot="1" x14ac:dyDescent="0.3">
      <c r="B166" s="12"/>
      <c r="C166" s="19">
        <v>357.025390625</v>
      </c>
      <c r="D166" s="20">
        <v>28.006</v>
      </c>
      <c r="E166" s="20">
        <v>35.609000000000002</v>
      </c>
      <c r="F166" s="20">
        <v>35.787999999999997</v>
      </c>
      <c r="G166" s="20">
        <v>294.35000000000002</v>
      </c>
      <c r="H166" s="20">
        <f t="shared" si="6"/>
        <v>29.929124999999999</v>
      </c>
      <c r="I166" s="5"/>
      <c r="J166" s="19">
        <v>308.67439999999999</v>
      </c>
      <c r="K166" s="20">
        <v>29.310099999999998</v>
      </c>
      <c r="L166" s="20">
        <v>37.276200000000003</v>
      </c>
      <c r="M166" s="20">
        <v>37.709499999999998</v>
      </c>
      <c r="N166" s="20">
        <v>785.34029999999996</v>
      </c>
      <c r="O166" s="20">
        <f t="shared" si="7"/>
        <v>31.355787499999998</v>
      </c>
      <c r="P166" s="7"/>
      <c r="Q166" s="13"/>
      <c r="R166" s="14"/>
      <c r="S166" s="14"/>
      <c r="T166" s="27"/>
      <c r="U166" s="28">
        <f t="shared" si="8"/>
        <v>1.6680492610837434</v>
      </c>
    </row>
    <row r="167" spans="1:21" x14ac:dyDescent="0.25">
      <c r="B167" s="6" t="s">
        <v>55</v>
      </c>
      <c r="C167" s="15">
        <v>1326.212890625</v>
      </c>
      <c r="D167" s="16">
        <v>28.44</v>
      </c>
      <c r="E167" s="16">
        <v>35.277000000000001</v>
      </c>
      <c r="F167" s="16">
        <v>36.091999999999999</v>
      </c>
      <c r="G167" s="16">
        <v>188.31</v>
      </c>
      <c r="H167" s="16">
        <f t="shared" si="6"/>
        <v>30.251125000000002</v>
      </c>
      <c r="I167" s="5"/>
      <c r="J167" s="15">
        <v>1215.556</v>
      </c>
      <c r="K167" s="16">
        <v>29.928699999999999</v>
      </c>
      <c r="L167" s="16">
        <v>36.531799999999997</v>
      </c>
      <c r="M167" s="16">
        <v>37.294499999999999</v>
      </c>
      <c r="N167" s="16">
        <v>471.25349999999997</v>
      </c>
      <c r="O167" s="16">
        <f t="shared" si="7"/>
        <v>31.674812500000002</v>
      </c>
      <c r="P167" s="7"/>
      <c r="Q167" s="8">
        <f>bdrate(C167:C170,D167:D170,J167:J170,K167:K170)</f>
        <v>-0.38731614829714212</v>
      </c>
      <c r="R167" s="8">
        <f>bdrate(C167:C170,E167:E170,J167:J170,L167:L170)</f>
        <v>-0.55307705430117249</v>
      </c>
      <c r="S167" s="8">
        <f>bdrate(C167:C170,F167:F170,J167:J170,M167:M170)</f>
        <v>-0.52875062531720141</v>
      </c>
      <c r="T167" s="25">
        <f>bdrate(C167:C170,H167:H170,J167:J170,O167:O170)</f>
        <v>-0.41949121387421229</v>
      </c>
      <c r="U167" s="28">
        <f t="shared" si="8"/>
        <v>1.5025410227815834</v>
      </c>
    </row>
    <row r="168" spans="1:21" x14ac:dyDescent="0.25">
      <c r="B168" s="9"/>
      <c r="C168" s="17">
        <v>905.3251953125</v>
      </c>
      <c r="D168" s="18">
        <v>27.382999999999999</v>
      </c>
      <c r="E168" s="18">
        <v>34.518999999999998</v>
      </c>
      <c r="F168" s="18">
        <v>35.341000000000001</v>
      </c>
      <c r="G168" s="18">
        <v>200.81</v>
      </c>
      <c r="H168" s="18">
        <f t="shared" si="6"/>
        <v>29.269750000000002</v>
      </c>
      <c r="I168" s="5"/>
      <c r="J168" s="17">
        <v>809.83280000000002</v>
      </c>
      <c r="K168" s="18">
        <v>28.613800000000001</v>
      </c>
      <c r="L168" s="18">
        <v>35.726999999999997</v>
      </c>
      <c r="M168" s="18">
        <v>36.517699999999998</v>
      </c>
      <c r="N168" s="18">
        <v>562.42970000000003</v>
      </c>
      <c r="O168" s="18">
        <f t="shared" si="7"/>
        <v>30.490937500000001</v>
      </c>
      <c r="P168" s="7"/>
      <c r="Q168" s="10"/>
      <c r="R168" s="11"/>
      <c r="S168" s="11"/>
      <c r="T168" s="26"/>
      <c r="U168" s="28">
        <f t="shared" si="8"/>
        <v>1.8008052387829292</v>
      </c>
    </row>
    <row r="169" spans="1:21" x14ac:dyDescent="0.25">
      <c r="B169" s="9"/>
      <c r="C169" s="17">
        <v>568.490234375</v>
      </c>
      <c r="D169" s="18">
        <v>26.164999999999999</v>
      </c>
      <c r="E169" s="18">
        <v>33.625</v>
      </c>
      <c r="F169" s="18">
        <v>34.369999999999997</v>
      </c>
      <c r="G169" s="18">
        <v>217</v>
      </c>
      <c r="H169" s="18">
        <f t="shared" si="6"/>
        <v>28.123125000000002</v>
      </c>
      <c r="I169" s="5"/>
      <c r="J169" s="17">
        <v>510.18239999999997</v>
      </c>
      <c r="K169" s="18">
        <v>27.186800000000002</v>
      </c>
      <c r="L169" s="18">
        <v>34.936100000000003</v>
      </c>
      <c r="M169" s="18">
        <v>35.673000000000002</v>
      </c>
      <c r="N169" s="18">
        <v>641.02560000000005</v>
      </c>
      <c r="O169" s="18">
        <f t="shared" si="7"/>
        <v>29.216237500000002</v>
      </c>
      <c r="P169" s="7"/>
      <c r="Q169" s="10"/>
      <c r="R169" s="11"/>
      <c r="S169" s="11"/>
      <c r="T169" s="26"/>
      <c r="U169" s="28">
        <f t="shared" si="8"/>
        <v>1.9540350230414749</v>
      </c>
    </row>
    <row r="170" spans="1:21" ht="16.5" thickBot="1" x14ac:dyDescent="0.3">
      <c r="B170" s="12"/>
      <c r="C170" s="19">
        <v>366.2333984375</v>
      </c>
      <c r="D170" s="20">
        <v>24.989000000000001</v>
      </c>
      <c r="E170" s="20">
        <v>32.651000000000003</v>
      </c>
      <c r="F170" s="20">
        <v>33.463000000000001</v>
      </c>
      <c r="G170" s="20">
        <v>232.63</v>
      </c>
      <c r="H170" s="20">
        <f t="shared" si="6"/>
        <v>27.006</v>
      </c>
      <c r="I170" s="5"/>
      <c r="J170" s="19">
        <v>306.12799999999999</v>
      </c>
      <c r="K170" s="20">
        <v>25.6526</v>
      </c>
      <c r="L170" s="20">
        <v>34.075600000000001</v>
      </c>
      <c r="M170" s="20">
        <v>34.722099999999998</v>
      </c>
      <c r="N170" s="20">
        <v>667.55669999999998</v>
      </c>
      <c r="O170" s="20">
        <f t="shared" si="7"/>
        <v>27.8391625</v>
      </c>
      <c r="P170" s="7"/>
      <c r="Q170" s="13"/>
      <c r="R170" s="14"/>
      <c r="S170" s="14"/>
      <c r="T170" s="27"/>
      <c r="U170" s="28">
        <f t="shared" si="8"/>
        <v>1.8696071014056657</v>
      </c>
    </row>
    <row r="171" spans="1:21" x14ac:dyDescent="0.25">
      <c r="B171" s="6" t="s">
        <v>56</v>
      </c>
      <c r="C171" s="15">
        <v>1162.6240234375</v>
      </c>
      <c r="D171" s="16">
        <v>30.82</v>
      </c>
      <c r="E171" s="16">
        <v>35.447000000000003</v>
      </c>
      <c r="F171" s="16">
        <v>37.020000000000003</v>
      </c>
      <c r="G171" s="16">
        <v>173.25</v>
      </c>
      <c r="H171" s="16">
        <f t="shared" si="6"/>
        <v>32.173375</v>
      </c>
      <c r="I171" s="5"/>
      <c r="J171" s="15">
        <v>1197.1895999999999</v>
      </c>
      <c r="K171" s="16">
        <v>31.9026</v>
      </c>
      <c r="L171" s="16">
        <v>36.605400000000003</v>
      </c>
      <c r="M171" s="16">
        <v>38.164499999999997</v>
      </c>
      <c r="N171" s="16">
        <v>376.88440000000003</v>
      </c>
      <c r="O171" s="16">
        <f t="shared" si="7"/>
        <v>33.273187499999999</v>
      </c>
      <c r="P171" s="7"/>
      <c r="Q171" s="8">
        <f>bdrate(C171:C174,D171:D174,J171:J174,K171:K174)</f>
        <v>-0.23391003734731142</v>
      </c>
      <c r="R171" s="8">
        <f>bdrate(C171:C174,E171:E174,J171:J174,L171:L174)</f>
        <v>-0.48257319118831021</v>
      </c>
      <c r="S171" s="8">
        <f>bdrate(C171:C174,F171:F174,J171:J174,M171:M174)</f>
        <v>-0.47075065296974317</v>
      </c>
      <c r="T171" s="25">
        <f>bdrate(C171:C174,H171:H174,J171:J174,O171:O174)</f>
        <v>-0.2893118453620187</v>
      </c>
      <c r="U171" s="28">
        <f t="shared" si="8"/>
        <v>1.1753789321789323</v>
      </c>
    </row>
    <row r="172" spans="1:21" x14ac:dyDescent="0.25">
      <c r="B172" s="9"/>
      <c r="C172" s="17">
        <v>835.6748046875</v>
      </c>
      <c r="D172" s="18">
        <v>29.667999999999999</v>
      </c>
      <c r="E172" s="18">
        <v>34.594000000000001</v>
      </c>
      <c r="F172" s="18">
        <v>36.136000000000003</v>
      </c>
      <c r="G172" s="18">
        <v>187.61</v>
      </c>
      <c r="H172" s="18">
        <f t="shared" si="6"/>
        <v>31.092249999999996</v>
      </c>
      <c r="I172" s="5"/>
      <c r="J172" s="17">
        <v>796.13599999999997</v>
      </c>
      <c r="K172" s="18">
        <v>30.3871</v>
      </c>
      <c r="L172" s="18">
        <v>35.778199999999998</v>
      </c>
      <c r="M172" s="18">
        <v>37.2896</v>
      </c>
      <c r="N172" s="18">
        <v>437.31779999999998</v>
      </c>
      <c r="O172" s="18">
        <f t="shared" si="7"/>
        <v>31.9238</v>
      </c>
      <c r="P172" s="7"/>
      <c r="Q172" s="10"/>
      <c r="R172" s="11"/>
      <c r="S172" s="11"/>
      <c r="T172" s="26"/>
      <c r="U172" s="28">
        <f t="shared" si="8"/>
        <v>1.3309940834710301</v>
      </c>
    </row>
    <row r="173" spans="1:21" x14ac:dyDescent="0.25">
      <c r="B173" s="9"/>
      <c r="C173" s="17">
        <v>558.33203125</v>
      </c>
      <c r="D173" s="18">
        <v>28.263999999999999</v>
      </c>
      <c r="E173" s="18">
        <v>33.500999999999998</v>
      </c>
      <c r="F173" s="18">
        <v>34.899000000000001</v>
      </c>
      <c r="G173" s="18">
        <v>207.77</v>
      </c>
      <c r="H173" s="18">
        <f t="shared" si="6"/>
        <v>29.748000000000001</v>
      </c>
      <c r="I173" s="5"/>
      <c r="J173" s="17">
        <v>499.0616</v>
      </c>
      <c r="K173" s="18">
        <v>28.800599999999999</v>
      </c>
      <c r="L173" s="18">
        <v>34.889699999999998</v>
      </c>
      <c r="M173" s="18">
        <v>36.391199999999998</v>
      </c>
      <c r="N173" s="18">
        <v>480.76920000000001</v>
      </c>
      <c r="O173" s="18">
        <f t="shared" si="7"/>
        <v>30.510562499999999</v>
      </c>
      <c r="P173" s="7"/>
      <c r="Q173" s="10"/>
      <c r="R173" s="11"/>
      <c r="S173" s="11"/>
      <c r="T173" s="26"/>
      <c r="U173" s="28">
        <f t="shared" si="8"/>
        <v>1.3139490783077439</v>
      </c>
    </row>
    <row r="174" spans="1:21" ht="16.5" thickBot="1" x14ac:dyDescent="0.3">
      <c r="B174" s="12"/>
      <c r="C174" s="19">
        <v>361.3974609375</v>
      </c>
      <c r="D174" s="20">
        <v>26.954999999999998</v>
      </c>
      <c r="E174" s="20">
        <v>32.399000000000001</v>
      </c>
      <c r="F174" s="20">
        <v>33.656999999999996</v>
      </c>
      <c r="G174" s="20">
        <v>225.97</v>
      </c>
      <c r="H174" s="20">
        <f t="shared" si="6"/>
        <v>28.47325</v>
      </c>
      <c r="I174" s="5"/>
      <c r="J174" s="19">
        <v>300.56560000000002</v>
      </c>
      <c r="K174" s="20">
        <v>27.21</v>
      </c>
      <c r="L174" s="20">
        <v>33.909399999999998</v>
      </c>
      <c r="M174" s="20">
        <v>35.304400000000001</v>
      </c>
      <c r="N174" s="20">
        <v>583.6576</v>
      </c>
      <c r="O174" s="20">
        <f t="shared" si="7"/>
        <v>29.059224999999998</v>
      </c>
      <c r="P174" s="7"/>
      <c r="Q174" s="13"/>
      <c r="R174" s="14"/>
      <c r="S174" s="14"/>
      <c r="T174" s="27"/>
      <c r="U174" s="28">
        <f t="shared" si="8"/>
        <v>1.5828986148603796</v>
      </c>
    </row>
    <row r="175" spans="1:21" x14ac:dyDescent="0.25">
      <c r="A175" s="6" t="s">
        <v>41</v>
      </c>
      <c r="B175" s="6" t="s">
        <v>57</v>
      </c>
      <c r="C175" s="15">
        <v>580.1328125</v>
      </c>
      <c r="D175" s="16">
        <v>32.665999999999997</v>
      </c>
      <c r="E175" s="16">
        <v>38.325000000000003</v>
      </c>
      <c r="F175" s="16">
        <v>36.042999999999999</v>
      </c>
      <c r="G175" s="16">
        <v>433.47</v>
      </c>
      <c r="H175" s="16">
        <f t="shared" si="6"/>
        <v>33.795499999999997</v>
      </c>
      <c r="I175" s="5"/>
      <c r="J175" s="15">
        <v>603.33360000000005</v>
      </c>
      <c r="K175" s="16">
        <v>33.9435</v>
      </c>
      <c r="L175" s="16">
        <v>39.368600000000001</v>
      </c>
      <c r="M175" s="16">
        <v>37.812399999999997</v>
      </c>
      <c r="N175" s="16">
        <v>1144.1648</v>
      </c>
      <c r="O175" s="16">
        <f t="shared" si="7"/>
        <v>35.105249999999998</v>
      </c>
      <c r="P175" s="7"/>
      <c r="Q175" s="8">
        <f>bdrate(C175:C178,D175:D178,J175:J178,K175:K178)</f>
        <v>-0.18242642467675729</v>
      </c>
      <c r="R175" s="8">
        <f>bdrate(C175:C178,E175:E178,J175:J178,L175:L178)</f>
        <v>-0.34603130614434885</v>
      </c>
      <c r="S175" s="8">
        <f>bdrate(C175:C178,F175:F178,J175:J178,M175:M178)</f>
        <v>-0.48424594302368162</v>
      </c>
      <c r="T175" s="25">
        <f>bdrate(C175:C178,H175:H178,J175:J178,O175:O178)</f>
        <v>-0.23766693994933785</v>
      </c>
      <c r="U175" s="28">
        <f t="shared" si="8"/>
        <v>1.6395478349136041</v>
      </c>
    </row>
    <row r="176" spans="1:21" x14ac:dyDescent="0.25">
      <c r="A176" s="9" t="s">
        <v>42</v>
      </c>
      <c r="B176" s="9"/>
      <c r="C176" s="17">
        <v>403.4228515625</v>
      </c>
      <c r="D176" s="18">
        <v>31.222999999999999</v>
      </c>
      <c r="E176" s="18">
        <v>37.334000000000003</v>
      </c>
      <c r="F176" s="18">
        <v>34.86</v>
      </c>
      <c r="G176" s="18">
        <v>466.6</v>
      </c>
      <c r="H176" s="18">
        <f t="shared" si="6"/>
        <v>32.441499999999998</v>
      </c>
      <c r="I176" s="5"/>
      <c r="J176" s="17">
        <v>401.86880000000002</v>
      </c>
      <c r="K176" s="18">
        <v>32.159799999999997</v>
      </c>
      <c r="L176" s="18">
        <v>38.235300000000002</v>
      </c>
      <c r="M176" s="18">
        <v>36.566600000000001</v>
      </c>
      <c r="N176" s="18">
        <v>1336.8984</v>
      </c>
      <c r="O176" s="18">
        <f t="shared" si="7"/>
        <v>33.470087499999998</v>
      </c>
      <c r="P176" s="7"/>
      <c r="Q176" s="10"/>
      <c r="R176" s="11"/>
      <c r="S176" s="11"/>
      <c r="T176" s="26"/>
      <c r="U176" s="28">
        <f t="shared" si="8"/>
        <v>1.8651915987998284</v>
      </c>
    </row>
    <row r="177" spans="1:21" x14ac:dyDescent="0.25">
      <c r="B177" s="9"/>
      <c r="C177" s="17">
        <v>258.79296875</v>
      </c>
      <c r="D177" s="18">
        <v>29.582999999999998</v>
      </c>
      <c r="E177" s="18">
        <v>36.131999999999998</v>
      </c>
      <c r="F177" s="18">
        <v>33.456000000000003</v>
      </c>
      <c r="G177" s="18">
        <v>510.56</v>
      </c>
      <c r="H177" s="18">
        <f t="shared" si="6"/>
        <v>30.885750000000002</v>
      </c>
      <c r="I177" s="5"/>
      <c r="J177" s="17">
        <v>253.04560000000001</v>
      </c>
      <c r="K177" s="18">
        <v>30.242899999999999</v>
      </c>
      <c r="L177" s="18">
        <v>37.144300000000001</v>
      </c>
      <c r="M177" s="18">
        <v>35.342100000000002</v>
      </c>
      <c r="N177" s="18">
        <v>1453.4884</v>
      </c>
      <c r="O177" s="18">
        <f t="shared" si="7"/>
        <v>31.742975000000001</v>
      </c>
      <c r="P177" s="7"/>
      <c r="Q177" s="10"/>
      <c r="R177" s="11"/>
      <c r="S177" s="11"/>
      <c r="T177" s="26"/>
      <c r="U177" s="28">
        <f t="shared" si="8"/>
        <v>1.8468513005327483</v>
      </c>
    </row>
    <row r="178" spans="1:21" ht="16.5" thickBot="1" x14ac:dyDescent="0.3">
      <c r="B178" s="12"/>
      <c r="C178" s="19">
        <v>139.201171875</v>
      </c>
      <c r="D178" s="20">
        <v>27.431999999999999</v>
      </c>
      <c r="E178" s="20">
        <v>34.439</v>
      </c>
      <c r="F178" s="20">
        <v>31.608000000000001</v>
      </c>
      <c r="G178" s="20">
        <v>569.82000000000005</v>
      </c>
      <c r="H178" s="20">
        <f t="shared" si="6"/>
        <v>28.829874999999998</v>
      </c>
      <c r="I178" s="5"/>
      <c r="J178" s="19">
        <v>121.52800000000001</v>
      </c>
      <c r="K178" s="20">
        <v>27.483799999999999</v>
      </c>
      <c r="L178" s="20">
        <v>35.647799999999997</v>
      </c>
      <c r="M178" s="20">
        <v>33.4908</v>
      </c>
      <c r="N178" s="20">
        <v>2000</v>
      </c>
      <c r="O178" s="20">
        <f t="shared" si="7"/>
        <v>29.255174999999998</v>
      </c>
      <c r="P178" s="7"/>
      <c r="Q178" s="13"/>
      <c r="R178" s="14"/>
      <c r="S178" s="14"/>
      <c r="T178" s="27"/>
      <c r="U178" s="28">
        <f t="shared" si="8"/>
        <v>2.5098803130813234</v>
      </c>
    </row>
    <row r="179" spans="1:21" x14ac:dyDescent="0.25">
      <c r="B179" s="6" t="s">
        <v>58</v>
      </c>
      <c r="C179" s="15">
        <v>639.7802734375</v>
      </c>
      <c r="D179" s="16">
        <v>29.722999999999999</v>
      </c>
      <c r="E179" s="16">
        <v>39.828000000000003</v>
      </c>
      <c r="F179" s="16">
        <v>40.57</v>
      </c>
      <c r="G179" s="16">
        <v>400.34</v>
      </c>
      <c r="H179" s="16">
        <f t="shared" si="6"/>
        <v>32.341999999999999</v>
      </c>
      <c r="I179" s="5"/>
      <c r="J179" s="15">
        <v>600.05119999999999</v>
      </c>
      <c r="K179" s="16">
        <v>33.217300000000002</v>
      </c>
      <c r="L179" s="16">
        <v>41.182899999999997</v>
      </c>
      <c r="M179" s="16">
        <v>41.892299999999999</v>
      </c>
      <c r="N179" s="16">
        <v>1425.1781000000001</v>
      </c>
      <c r="O179" s="16">
        <f t="shared" si="7"/>
        <v>35.297375000000002</v>
      </c>
      <c r="P179" s="7"/>
      <c r="Q179" s="8">
        <f>bdrate(C179:C182,D179:D182,J179:J182,K179:K182)</f>
        <v>-0.65629798476819423</v>
      </c>
      <c r="R179" s="8">
        <f>bdrate(C179:C182,E179:E182,J179:J182,L179:L182)</f>
        <v>-0.47699148916866618</v>
      </c>
      <c r="S179" s="8">
        <f>bdrate(C179:C182,F179:F182,J179:J182,M179:M182)</f>
        <v>-0.46440817084706942</v>
      </c>
      <c r="T179" s="25">
        <f>bdrate(C179:C182,H179:H182,J179:J182,O179:O182)</f>
        <v>-0.63095403149663754</v>
      </c>
      <c r="U179" s="28">
        <f t="shared" si="8"/>
        <v>2.5599193185792082</v>
      </c>
    </row>
    <row r="180" spans="1:21" x14ac:dyDescent="0.25">
      <c r="B180" s="9"/>
      <c r="C180" s="17">
        <v>436.140625</v>
      </c>
      <c r="D180" s="18">
        <v>28.638999999999999</v>
      </c>
      <c r="E180" s="18">
        <v>39.195</v>
      </c>
      <c r="F180" s="18">
        <v>39.831000000000003</v>
      </c>
      <c r="G180" s="18">
        <v>422.09</v>
      </c>
      <c r="H180" s="18">
        <f t="shared" si="6"/>
        <v>31.357500000000002</v>
      </c>
      <c r="I180" s="5"/>
      <c r="J180" s="17">
        <v>399.66160000000002</v>
      </c>
      <c r="K180" s="18">
        <v>31.9191</v>
      </c>
      <c r="L180" s="18">
        <v>40.326900000000002</v>
      </c>
      <c r="M180" s="18">
        <v>41.045699999999997</v>
      </c>
      <c r="N180" s="18">
        <v>1671.3091999999999</v>
      </c>
      <c r="O180" s="18">
        <f t="shared" si="7"/>
        <v>34.110900000000001</v>
      </c>
      <c r="P180" s="7"/>
      <c r="Q180" s="10"/>
      <c r="R180" s="11"/>
      <c r="S180" s="11"/>
      <c r="T180" s="26"/>
      <c r="U180" s="28">
        <f t="shared" si="8"/>
        <v>2.9596038759506267</v>
      </c>
    </row>
    <row r="181" spans="1:21" x14ac:dyDescent="0.25">
      <c r="B181" s="9"/>
      <c r="C181" s="17">
        <v>272.6572265625</v>
      </c>
      <c r="D181" s="18">
        <v>27.41</v>
      </c>
      <c r="E181" s="18">
        <v>38.424999999999997</v>
      </c>
      <c r="F181" s="18">
        <v>38.987000000000002</v>
      </c>
      <c r="G181" s="18">
        <v>446.27</v>
      </c>
      <c r="H181" s="18">
        <f t="shared" si="6"/>
        <v>30.233999999999998</v>
      </c>
      <c r="I181" s="5"/>
      <c r="J181" s="17">
        <v>250.35759999999999</v>
      </c>
      <c r="K181" s="18">
        <v>30.3843</v>
      </c>
      <c r="L181" s="18">
        <v>39.364800000000002</v>
      </c>
      <c r="M181" s="18">
        <v>39.979199999999999</v>
      </c>
      <c r="N181" s="18">
        <v>1600</v>
      </c>
      <c r="O181" s="18">
        <f t="shared" si="7"/>
        <v>32.706225000000003</v>
      </c>
      <c r="P181" s="7"/>
      <c r="Q181" s="10"/>
      <c r="R181" s="11"/>
      <c r="S181" s="11"/>
      <c r="T181" s="26"/>
      <c r="U181" s="28">
        <f t="shared" si="8"/>
        <v>2.585273489143344</v>
      </c>
    </row>
    <row r="182" spans="1:21" ht="16.5" thickBot="1" x14ac:dyDescent="0.3">
      <c r="B182" s="12"/>
      <c r="C182" s="19">
        <v>131.091796875</v>
      </c>
      <c r="D182" s="20">
        <v>25.457999999999998</v>
      </c>
      <c r="E182" s="20">
        <v>37.393999999999998</v>
      </c>
      <c r="F182" s="20">
        <v>37.57</v>
      </c>
      <c r="G182" s="20">
        <v>501.28</v>
      </c>
      <c r="H182" s="20">
        <f t="shared" si="6"/>
        <v>28.463999999999999</v>
      </c>
      <c r="I182" s="5"/>
      <c r="J182" s="19">
        <v>120.2736</v>
      </c>
      <c r="K182" s="20">
        <v>27.8337</v>
      </c>
      <c r="L182" s="20">
        <v>38.130499999999998</v>
      </c>
      <c r="M182" s="20">
        <v>38.609699999999997</v>
      </c>
      <c r="N182" s="20">
        <v>2135.2312999999999</v>
      </c>
      <c r="O182" s="20">
        <f t="shared" si="7"/>
        <v>30.4678</v>
      </c>
      <c r="P182" s="7"/>
      <c r="Q182" s="13"/>
      <c r="R182" s="14"/>
      <c r="S182" s="14"/>
      <c r="T182" s="27"/>
      <c r="U182" s="28">
        <f t="shared" si="8"/>
        <v>3.2595581311841686</v>
      </c>
    </row>
    <row r="183" spans="1:21" x14ac:dyDescent="0.25">
      <c r="B183" s="6" t="s">
        <v>59</v>
      </c>
      <c r="C183" s="29">
        <v>648.056640625</v>
      </c>
      <c r="D183" s="30">
        <v>30.600999999999999</v>
      </c>
      <c r="E183" s="30">
        <v>36.307000000000002</v>
      </c>
      <c r="F183" s="30">
        <v>37.051000000000002</v>
      </c>
      <c r="G183" s="16">
        <v>391.9</v>
      </c>
      <c r="H183" s="16">
        <f t="shared" si="6"/>
        <v>32.1205</v>
      </c>
      <c r="I183" s="5"/>
      <c r="J183" s="29">
        <v>642.95600000000002</v>
      </c>
      <c r="K183" s="30">
        <v>32.774299999999997</v>
      </c>
      <c r="L183" s="30">
        <v>37.891399999999997</v>
      </c>
      <c r="M183" s="30">
        <v>38.6646</v>
      </c>
      <c r="N183" s="16">
        <v>1187.6485</v>
      </c>
      <c r="O183" s="16">
        <f t="shared" si="7"/>
        <v>34.150224999999999</v>
      </c>
      <c r="P183" s="7"/>
      <c r="Q183" s="8">
        <f>bdrate(C183:C186,D183:D186,J183:J186,K183:K186)</f>
        <v>-0.41126475106322535</v>
      </c>
      <c r="R183" s="8">
        <f>bdrate(C183:C186,E183:E186,J183:J186,L183:L186)</f>
        <v>-0.50225675827882865</v>
      </c>
      <c r="S183" s="8">
        <f>bdrate(C183:C186,F183:F186,J183:J186,M183:M186)</f>
        <v>-0.5146769509134117</v>
      </c>
      <c r="T183" s="25">
        <f>bdrate(C183:C186,H183:H186,J183:J186,O183:O186)</f>
        <v>-0.43360680630830128</v>
      </c>
      <c r="U183" s="28">
        <f t="shared" si="8"/>
        <v>2.0304886450625164</v>
      </c>
    </row>
    <row r="184" spans="1:21" x14ac:dyDescent="0.25">
      <c r="B184" s="9"/>
      <c r="C184" s="31">
        <v>441.921875</v>
      </c>
      <c r="D184" s="32">
        <v>29.454999999999998</v>
      </c>
      <c r="E184" s="32">
        <v>35.328000000000003</v>
      </c>
      <c r="F184" s="32">
        <v>36.031999999999996</v>
      </c>
      <c r="G184" s="18">
        <v>411.92</v>
      </c>
      <c r="H184" s="18">
        <f t="shared" si="6"/>
        <v>31.011249999999997</v>
      </c>
      <c r="I184" s="5"/>
      <c r="J184" s="31">
        <v>426.6848</v>
      </c>
      <c r="K184" s="32">
        <v>31.273900000000001</v>
      </c>
      <c r="L184" s="32">
        <v>36.8536</v>
      </c>
      <c r="M184" s="32">
        <v>37.625500000000002</v>
      </c>
      <c r="N184" s="18">
        <v>1333.3333</v>
      </c>
      <c r="O184" s="18">
        <f t="shared" si="7"/>
        <v>32.7653125</v>
      </c>
      <c r="P184" s="7"/>
      <c r="Q184" s="10"/>
      <c r="R184" s="11"/>
      <c r="S184" s="11"/>
      <c r="T184" s="26"/>
      <c r="U184" s="28">
        <f t="shared" si="8"/>
        <v>2.236874393086036</v>
      </c>
    </row>
    <row r="185" spans="1:21" x14ac:dyDescent="0.25">
      <c r="B185" s="9"/>
      <c r="C185" s="31">
        <v>279.0693359375</v>
      </c>
      <c r="D185" s="32">
        <v>28.202999999999999</v>
      </c>
      <c r="E185" s="32">
        <v>34.328000000000003</v>
      </c>
      <c r="F185" s="32">
        <v>35</v>
      </c>
      <c r="G185" s="18">
        <v>436.15</v>
      </c>
      <c r="H185" s="18">
        <f t="shared" si="6"/>
        <v>29.818249999999999</v>
      </c>
      <c r="I185" s="5"/>
      <c r="J185" s="31">
        <v>263.96719999999999</v>
      </c>
      <c r="K185" s="32">
        <v>29.637699999999999</v>
      </c>
      <c r="L185" s="32">
        <v>35.729999999999997</v>
      </c>
      <c r="M185" s="32">
        <v>36.498800000000003</v>
      </c>
      <c r="N185" s="18">
        <v>1689.1892</v>
      </c>
      <c r="O185" s="18">
        <f t="shared" si="7"/>
        <v>31.256875000000001</v>
      </c>
      <c r="P185" s="7"/>
      <c r="Q185" s="10"/>
      <c r="R185" s="11"/>
      <c r="S185" s="11"/>
      <c r="T185" s="26"/>
      <c r="U185" s="28">
        <f t="shared" si="8"/>
        <v>2.8729547174137342</v>
      </c>
    </row>
    <row r="186" spans="1:21" ht="16.5" thickBot="1" x14ac:dyDescent="0.3">
      <c r="B186" s="12"/>
      <c r="C186" s="33">
        <v>134.6240234375</v>
      </c>
      <c r="D186" s="34">
        <v>26.349</v>
      </c>
      <c r="E186" s="34">
        <v>32.901000000000003</v>
      </c>
      <c r="F186" s="34">
        <v>33.56</v>
      </c>
      <c r="G186" s="20">
        <v>484.68</v>
      </c>
      <c r="H186" s="20">
        <f t="shared" si="6"/>
        <v>28.069375000000001</v>
      </c>
      <c r="I186" s="5"/>
      <c r="J186" s="33">
        <v>129.76320000000001</v>
      </c>
      <c r="K186" s="34">
        <v>27.283899999999999</v>
      </c>
      <c r="L186" s="34">
        <v>34.262999999999998</v>
      </c>
      <c r="M186" s="34">
        <v>35.005400000000002</v>
      </c>
      <c r="N186" s="20">
        <v>2136.7521000000002</v>
      </c>
      <c r="O186" s="20">
        <f t="shared" si="7"/>
        <v>29.121475</v>
      </c>
      <c r="P186" s="7"/>
      <c r="Q186" s="13"/>
      <c r="R186" s="14"/>
      <c r="S186" s="14"/>
      <c r="T186" s="27"/>
      <c r="U186" s="28">
        <f t="shared" si="8"/>
        <v>3.4085831889081457</v>
      </c>
    </row>
    <row r="187" spans="1:21" x14ac:dyDescent="0.25">
      <c r="B187" s="6" t="s">
        <v>60</v>
      </c>
      <c r="C187" s="15">
        <v>589.5283203125</v>
      </c>
      <c r="D187" s="16">
        <v>32.191000000000003</v>
      </c>
      <c r="E187" s="16">
        <v>36.058</v>
      </c>
      <c r="F187" s="16">
        <v>37.139000000000003</v>
      </c>
      <c r="G187" s="16">
        <v>350.75</v>
      </c>
      <c r="H187" s="16">
        <f t="shared" si="6"/>
        <v>33.292875000000002</v>
      </c>
      <c r="I187" s="5"/>
      <c r="J187" s="15">
        <v>601.83199999999999</v>
      </c>
      <c r="K187" s="16">
        <v>33.250100000000003</v>
      </c>
      <c r="L187" s="16">
        <v>37.328299999999999</v>
      </c>
      <c r="M187" s="16">
        <v>38.3703</v>
      </c>
      <c r="N187" s="16">
        <v>914.63409999999999</v>
      </c>
      <c r="O187" s="16">
        <f t="shared" si="7"/>
        <v>34.399900000000002</v>
      </c>
      <c r="P187" s="7"/>
      <c r="Q187" s="8">
        <f>bdrate(C187:C190,D187:D190,J187:J190,K187:K190)</f>
        <v>-0.19080478324907113</v>
      </c>
      <c r="R187" s="8">
        <f>bdrate(C187:C190,E187:E190,J187:J190,L187:L190)</f>
        <v>-0.43356492648223655</v>
      </c>
      <c r="S187" s="8">
        <f>bdrate(C187:C190,F187:F190,J187:J190,M187:M190)</f>
        <v>-0.41452180236733405</v>
      </c>
      <c r="T187" s="25">
        <f>bdrate(C187:C190,H187:H190,J187:J190,O187:O190)</f>
        <v>-0.24359001843350192</v>
      </c>
      <c r="U187" s="28">
        <f t="shared" si="8"/>
        <v>1.6076524590163934</v>
      </c>
    </row>
    <row r="188" spans="1:21" x14ac:dyDescent="0.25">
      <c r="B188" s="9"/>
      <c r="C188" s="17">
        <v>423.3896484375</v>
      </c>
      <c r="D188" s="18">
        <v>30.899000000000001</v>
      </c>
      <c r="E188" s="18">
        <v>35.106999999999999</v>
      </c>
      <c r="F188" s="18">
        <v>36.218000000000004</v>
      </c>
      <c r="G188" s="18">
        <v>371.79</v>
      </c>
      <c r="H188" s="18">
        <f t="shared" si="6"/>
        <v>32.089874999999999</v>
      </c>
      <c r="I188" s="5"/>
      <c r="J188" s="17">
        <v>403.10160000000002</v>
      </c>
      <c r="K188" s="18">
        <v>31.523399999999999</v>
      </c>
      <c r="L188" s="18">
        <v>36.273000000000003</v>
      </c>
      <c r="M188" s="18">
        <v>37.334200000000003</v>
      </c>
      <c r="N188" s="18">
        <v>1132.0754999999999</v>
      </c>
      <c r="O188" s="18">
        <f t="shared" si="7"/>
        <v>32.843449999999997</v>
      </c>
      <c r="P188" s="7"/>
      <c r="Q188" s="10"/>
      <c r="R188" s="11"/>
      <c r="S188" s="11"/>
      <c r="T188" s="26"/>
      <c r="U188" s="28">
        <f t="shared" si="8"/>
        <v>2.0449326232550633</v>
      </c>
    </row>
    <row r="189" spans="1:21" x14ac:dyDescent="0.25">
      <c r="B189" s="9"/>
      <c r="C189" s="17">
        <v>281.4755859375</v>
      </c>
      <c r="D189" s="18">
        <v>29.41</v>
      </c>
      <c r="E189" s="18">
        <v>33.979999999999997</v>
      </c>
      <c r="F189" s="18">
        <v>35.069000000000003</v>
      </c>
      <c r="G189" s="18">
        <v>403.05</v>
      </c>
      <c r="H189" s="18">
        <f t="shared" si="6"/>
        <v>30.688625000000002</v>
      </c>
      <c r="I189" s="5"/>
      <c r="J189" s="17">
        <v>250.7544</v>
      </c>
      <c r="K189" s="18">
        <v>29.748699999999999</v>
      </c>
      <c r="L189" s="18">
        <v>35.118899999999996</v>
      </c>
      <c r="M189" s="18">
        <v>36.145099999999999</v>
      </c>
      <c r="N189" s="18">
        <v>1204.8193000000001</v>
      </c>
      <c r="O189" s="18">
        <f t="shared" si="7"/>
        <v>31.219524999999997</v>
      </c>
      <c r="P189" s="7"/>
      <c r="Q189" s="10"/>
      <c r="R189" s="11"/>
      <c r="S189" s="11"/>
      <c r="T189" s="26"/>
      <c r="U189" s="28">
        <f t="shared" si="8"/>
        <v>1.989255179258157</v>
      </c>
    </row>
    <row r="190" spans="1:21" ht="16.5" thickBot="1" x14ac:dyDescent="0.3">
      <c r="B190" s="12"/>
      <c r="C190" s="19">
        <v>140.935546875</v>
      </c>
      <c r="D190" s="20">
        <v>27.11</v>
      </c>
      <c r="E190" s="20">
        <v>32.149000000000001</v>
      </c>
      <c r="F190" s="20">
        <v>33.097000000000001</v>
      </c>
      <c r="G190" s="20">
        <v>459.53</v>
      </c>
      <c r="H190" s="20">
        <f t="shared" si="6"/>
        <v>28.488250000000001</v>
      </c>
      <c r="I190" s="5"/>
      <c r="J190" s="19">
        <v>120.7552</v>
      </c>
      <c r="K190" s="20">
        <v>27.296500000000002</v>
      </c>
      <c r="L190" s="20">
        <v>33.650599999999997</v>
      </c>
      <c r="M190" s="20">
        <v>34.575000000000003</v>
      </c>
      <c r="N190" s="20">
        <v>1754.386</v>
      </c>
      <c r="O190" s="20">
        <f t="shared" si="7"/>
        <v>29.000574999999998</v>
      </c>
      <c r="P190" s="7"/>
      <c r="Q190" s="13"/>
      <c r="R190" s="14"/>
      <c r="S190" s="14"/>
      <c r="T190" s="27"/>
      <c r="U190" s="28">
        <f t="shared" si="8"/>
        <v>2.8177833873740563</v>
      </c>
    </row>
    <row r="191" spans="1:21" x14ac:dyDescent="0.25">
      <c r="A191" s="6" t="s">
        <v>43</v>
      </c>
      <c r="B191" s="6" t="s">
        <v>61</v>
      </c>
      <c r="C191" s="15">
        <v>1497.3505859375</v>
      </c>
      <c r="D191" s="16">
        <v>39.994</v>
      </c>
      <c r="E191" s="16">
        <v>45.09</v>
      </c>
      <c r="F191" s="16">
        <v>46.256</v>
      </c>
      <c r="G191" s="16">
        <v>205.97</v>
      </c>
      <c r="H191" s="16">
        <f t="shared" si="6"/>
        <v>41.413749999999993</v>
      </c>
      <c r="I191" s="5"/>
      <c r="J191" s="15">
        <v>1497.316</v>
      </c>
      <c r="K191" s="16">
        <v>41.135300000000001</v>
      </c>
      <c r="L191" s="16">
        <v>45.476300000000002</v>
      </c>
      <c r="M191" s="16">
        <v>46.663800000000002</v>
      </c>
      <c r="N191" s="16">
        <v>259.8528</v>
      </c>
      <c r="O191" s="16">
        <f t="shared" si="7"/>
        <v>42.368987499999996</v>
      </c>
      <c r="P191" s="7"/>
      <c r="Q191" s="8">
        <f>bdrate(C191:C194,D191:D194,J191:J194,K191:K194)</f>
        <v>-0.31120571745035419</v>
      </c>
      <c r="R191" s="8">
        <f>bdrate(C191:C194,E191:E194,J191:J194,L191:L194)</f>
        <v>-0.23807964430818518</v>
      </c>
      <c r="S191" s="8">
        <f>bdrate(C191:C194,F191:F194,J191:J194,M191:M194)</f>
        <v>-0.23451781479601197</v>
      </c>
      <c r="T191" s="25">
        <f>bdrate(C191:C194,H191:H194,J191:J194,O191:O194)</f>
        <v>-0.29848680511549919</v>
      </c>
      <c r="U191" s="28">
        <f t="shared" si="8"/>
        <v>0.26160508811962907</v>
      </c>
    </row>
    <row r="192" spans="1:21" x14ac:dyDescent="0.25">
      <c r="A192" s="9" t="s">
        <v>44</v>
      </c>
      <c r="B192" s="9"/>
      <c r="C192" s="17">
        <v>1001.3349609375</v>
      </c>
      <c r="D192" s="18">
        <v>38.713000000000001</v>
      </c>
      <c r="E192" s="18">
        <v>44.073</v>
      </c>
      <c r="F192" s="18">
        <v>45.215000000000003</v>
      </c>
      <c r="G192" s="18">
        <v>218.74</v>
      </c>
      <c r="H192" s="18">
        <f t="shared" si="6"/>
        <v>40.195750000000004</v>
      </c>
      <c r="I192" s="5"/>
      <c r="J192" s="17">
        <v>984.49040000000002</v>
      </c>
      <c r="K192" s="18">
        <v>39.988199999999999</v>
      </c>
      <c r="L192" s="18">
        <v>44.598700000000001</v>
      </c>
      <c r="M192" s="18">
        <v>45.749699999999997</v>
      </c>
      <c r="N192" s="18">
        <v>369.68579999999997</v>
      </c>
      <c r="O192" s="18">
        <f t="shared" si="7"/>
        <v>41.284700000000001</v>
      </c>
      <c r="P192" s="7"/>
      <c r="Q192" s="10"/>
      <c r="R192" s="11"/>
      <c r="S192" s="11"/>
      <c r="T192" s="26"/>
      <c r="U192" s="28">
        <f t="shared" si="8"/>
        <v>0.69006948889092057</v>
      </c>
    </row>
    <row r="193" spans="1:21" x14ac:dyDescent="0.25">
      <c r="B193" s="9"/>
      <c r="C193" s="17">
        <v>601.8681640625</v>
      </c>
      <c r="D193" s="18">
        <v>36.634999999999998</v>
      </c>
      <c r="E193" s="18">
        <v>42.488999999999997</v>
      </c>
      <c r="F193" s="18">
        <v>43.558</v>
      </c>
      <c r="G193" s="18">
        <v>228.94</v>
      </c>
      <c r="H193" s="18">
        <f t="shared" si="6"/>
        <v>38.232124999999996</v>
      </c>
      <c r="I193" s="5"/>
      <c r="J193" s="17">
        <v>577.56719999999996</v>
      </c>
      <c r="K193" s="18">
        <v>38.029800000000002</v>
      </c>
      <c r="L193" s="18">
        <v>43.173900000000003</v>
      </c>
      <c r="M193" s="18">
        <v>44.243899999999996</v>
      </c>
      <c r="N193" s="18">
        <v>369.91370000000001</v>
      </c>
      <c r="O193" s="18">
        <f t="shared" si="7"/>
        <v>39.449575000000003</v>
      </c>
      <c r="P193" s="7"/>
      <c r="Q193" s="10"/>
      <c r="R193" s="11"/>
      <c r="S193" s="11"/>
      <c r="T193" s="26"/>
      <c r="U193" s="28">
        <f t="shared" si="8"/>
        <v>0.61576701319122917</v>
      </c>
    </row>
    <row r="194" spans="1:21" ht="16.5" thickBot="1" x14ac:dyDescent="0.3">
      <c r="B194" s="12"/>
      <c r="C194" s="19">
        <v>302.0390625</v>
      </c>
      <c r="D194" s="20">
        <v>33.006</v>
      </c>
      <c r="E194" s="20">
        <v>39.960999999999999</v>
      </c>
      <c r="F194" s="20">
        <v>40.743000000000002</v>
      </c>
      <c r="G194" s="20">
        <v>254.7</v>
      </c>
      <c r="H194" s="20">
        <f t="shared" si="6"/>
        <v>34.842500000000001</v>
      </c>
      <c r="I194" s="5"/>
      <c r="J194" s="19">
        <v>283.00799999999998</v>
      </c>
      <c r="K194" s="20">
        <v>34.6721</v>
      </c>
      <c r="L194" s="20">
        <v>41.259799999999998</v>
      </c>
      <c r="M194" s="20">
        <v>42.2746</v>
      </c>
      <c r="N194" s="20">
        <v>436.99930000000001</v>
      </c>
      <c r="O194" s="20">
        <f t="shared" si="7"/>
        <v>36.445875000000001</v>
      </c>
      <c r="P194" s="7"/>
      <c r="Q194" s="13"/>
      <c r="R194" s="14"/>
      <c r="S194" s="14"/>
      <c r="T194" s="27"/>
      <c r="U194" s="28">
        <f t="shared" si="8"/>
        <v>0.71574126423243045</v>
      </c>
    </row>
    <row r="195" spans="1:21" x14ac:dyDescent="0.25">
      <c r="B195" s="6" t="s">
        <v>62</v>
      </c>
      <c r="C195" s="15">
        <v>1506.7958984375</v>
      </c>
      <c r="D195" s="16">
        <v>41.268999999999998</v>
      </c>
      <c r="E195" s="16">
        <v>47.134</v>
      </c>
      <c r="F195" s="16">
        <v>47.774000000000001</v>
      </c>
      <c r="G195" s="16">
        <v>172.12</v>
      </c>
      <c r="H195" s="16">
        <f t="shared" si="6"/>
        <v>42.815249999999999</v>
      </c>
      <c r="I195" s="5"/>
      <c r="J195" s="15">
        <v>1485.1032</v>
      </c>
      <c r="K195" s="16">
        <v>42.464799999999997</v>
      </c>
      <c r="L195" s="16">
        <v>47.566000000000003</v>
      </c>
      <c r="M195" s="16">
        <v>48.240099999999998</v>
      </c>
      <c r="N195" s="16">
        <v>302.87729999999999</v>
      </c>
      <c r="O195" s="16">
        <f t="shared" si="7"/>
        <v>43.824362499999992</v>
      </c>
      <c r="P195" s="7"/>
      <c r="Q195" s="8">
        <f>bdrate(C195:C198,D195:D198,J195:J198,K195:K198)</f>
        <v>-0.51318322751322154</v>
      </c>
      <c r="R195" s="8">
        <f>bdrate(C195:C198,E195:E198,J195:J198,L195:L198)</f>
        <v>-0.37537348310261154</v>
      </c>
      <c r="S195" s="8">
        <f>bdrate(C195:C198,F195:F198,J195:J198,M195:M198)</f>
        <v>-0.37725861638681046</v>
      </c>
      <c r="T195" s="25">
        <f>bdrate(C195:C198,H195:H198,J195:J198,O195:O198)</f>
        <v>-0.48406732499958161</v>
      </c>
      <c r="U195" s="28">
        <f t="shared" ref="U195:U246" si="9">(N195-G195)/G195</f>
        <v>0.75968684638624207</v>
      </c>
    </row>
    <row r="196" spans="1:21" x14ac:dyDescent="0.25">
      <c r="B196" s="9"/>
      <c r="C196" s="17">
        <v>999.5673828125</v>
      </c>
      <c r="D196" s="18">
        <v>40.593000000000004</v>
      </c>
      <c r="E196" s="18">
        <v>46.487000000000002</v>
      </c>
      <c r="F196" s="18">
        <v>47.093000000000004</v>
      </c>
      <c r="G196" s="18">
        <v>200.53</v>
      </c>
      <c r="H196" s="18">
        <f t="shared" si="6"/>
        <v>42.142250000000004</v>
      </c>
      <c r="I196" s="5"/>
      <c r="J196" s="17">
        <v>975.35199999999998</v>
      </c>
      <c r="K196" s="18">
        <v>41.8979</v>
      </c>
      <c r="L196" s="18">
        <v>47.091099999999997</v>
      </c>
      <c r="M196" s="18">
        <v>47.673900000000003</v>
      </c>
      <c r="N196" s="18">
        <v>373.1343</v>
      </c>
      <c r="O196" s="18">
        <f t="shared" si="7"/>
        <v>43.26905</v>
      </c>
      <c r="P196" s="7"/>
      <c r="Q196" s="10"/>
      <c r="R196" s="11"/>
      <c r="S196" s="11"/>
      <c r="T196" s="26"/>
      <c r="U196" s="28">
        <f t="shared" si="9"/>
        <v>0.86074053757542512</v>
      </c>
    </row>
    <row r="197" spans="1:21" x14ac:dyDescent="0.25">
      <c r="B197" s="9"/>
      <c r="C197" s="17">
        <v>603.232421875</v>
      </c>
      <c r="D197" s="18">
        <v>39.481000000000002</v>
      </c>
      <c r="E197" s="18">
        <v>45.271000000000001</v>
      </c>
      <c r="F197" s="18">
        <v>45.871000000000002</v>
      </c>
      <c r="G197" s="18">
        <v>216.83</v>
      </c>
      <c r="H197" s="18">
        <f t="shared" si="6"/>
        <v>41.003500000000003</v>
      </c>
      <c r="I197" s="5"/>
      <c r="J197" s="17">
        <v>579.99680000000001</v>
      </c>
      <c r="K197" s="18">
        <v>41.0077</v>
      </c>
      <c r="L197" s="18">
        <v>46.266399999999997</v>
      </c>
      <c r="M197" s="18">
        <v>46.903100000000002</v>
      </c>
      <c r="N197" s="18">
        <v>388.09829999999999</v>
      </c>
      <c r="O197" s="18">
        <f t="shared" si="7"/>
        <v>42.401962499999996</v>
      </c>
      <c r="P197" s="7"/>
      <c r="Q197" s="10"/>
      <c r="R197" s="11"/>
      <c r="S197" s="11"/>
      <c r="T197" s="26"/>
      <c r="U197" s="28">
        <f t="shared" si="9"/>
        <v>0.78987363372227082</v>
      </c>
    </row>
    <row r="198" spans="1:21" ht="16.5" thickBot="1" x14ac:dyDescent="0.3">
      <c r="B198" s="12"/>
      <c r="C198" s="19">
        <v>296.3916015625</v>
      </c>
      <c r="D198" s="20">
        <v>37.203000000000003</v>
      </c>
      <c r="E198" s="20">
        <v>43.01</v>
      </c>
      <c r="F198" s="20">
        <v>43.469000000000001</v>
      </c>
      <c r="G198" s="20">
        <v>239.34</v>
      </c>
      <c r="H198" s="20">
        <f t="shared" si="6"/>
        <v>38.712125</v>
      </c>
      <c r="I198" s="5"/>
      <c r="J198" s="19">
        <v>282.084</v>
      </c>
      <c r="K198" s="20">
        <v>39.170400000000001</v>
      </c>
      <c r="L198" s="20">
        <v>44.625599999999999</v>
      </c>
      <c r="M198" s="20">
        <v>45.152299999999997</v>
      </c>
      <c r="N198" s="20">
        <v>396.30119999999999</v>
      </c>
      <c r="O198" s="20">
        <f t="shared" si="7"/>
        <v>40.600037499999999</v>
      </c>
      <c r="P198" s="7"/>
      <c r="Q198" s="13"/>
      <c r="R198" s="14"/>
      <c r="S198" s="14"/>
      <c r="T198" s="27"/>
      <c r="U198" s="28">
        <f t="shared" si="9"/>
        <v>0.65580847330157932</v>
      </c>
    </row>
    <row r="199" spans="1:21" x14ac:dyDescent="0.25">
      <c r="B199" s="6" t="s">
        <v>63</v>
      </c>
      <c r="C199" s="15">
        <v>1500.056640625</v>
      </c>
      <c r="D199" s="16">
        <v>41.063000000000002</v>
      </c>
      <c r="E199" s="16">
        <v>46.079000000000001</v>
      </c>
      <c r="F199" s="16">
        <v>46.933999999999997</v>
      </c>
      <c r="G199" s="16">
        <v>198.92</v>
      </c>
      <c r="H199" s="16">
        <f t="shared" si="6"/>
        <v>42.423874999999995</v>
      </c>
      <c r="I199" s="5"/>
      <c r="J199" s="15">
        <v>1542.5463999999999</v>
      </c>
      <c r="K199" s="16">
        <v>42.356000000000002</v>
      </c>
      <c r="L199" s="16">
        <v>46.668900000000001</v>
      </c>
      <c r="M199" s="16">
        <v>47.525799999999997</v>
      </c>
      <c r="N199" s="16">
        <v>305.34350000000001</v>
      </c>
      <c r="O199" s="16">
        <f t="shared" si="7"/>
        <v>43.541337500000004</v>
      </c>
      <c r="P199" s="7"/>
      <c r="Q199" s="8">
        <f>bdrate(C199:C202,D199:D202,J199:J202,K199:K202)</f>
        <v>-0.42018863458492683</v>
      </c>
      <c r="R199" s="8">
        <f>bdrate(C199:C202,E199:E202,J199:J202,L199:L202)</f>
        <v>-0.29813446510553687</v>
      </c>
      <c r="S199" s="8">
        <f>bdrate(C199:C202,F199:F202,J199:J202,M199:M202)</f>
        <v>-0.29478148031238438</v>
      </c>
      <c r="T199" s="25">
        <f>bdrate(C199:C202,H199:H202,J199:J202,O199:O202)</f>
        <v>-0.39558377644557985</v>
      </c>
      <c r="U199" s="28">
        <f t="shared" si="9"/>
        <v>0.53500653529056919</v>
      </c>
    </row>
    <row r="200" spans="1:21" x14ac:dyDescent="0.25">
      <c r="B200" s="9"/>
      <c r="C200" s="17">
        <v>1003.35546875</v>
      </c>
      <c r="D200" s="18">
        <v>39.994999999999997</v>
      </c>
      <c r="E200" s="18">
        <v>45.212000000000003</v>
      </c>
      <c r="F200" s="18">
        <v>46.029000000000003</v>
      </c>
      <c r="G200" s="18">
        <v>211.54</v>
      </c>
      <c r="H200" s="18">
        <f t="shared" si="6"/>
        <v>41.401374999999994</v>
      </c>
      <c r="I200" s="5"/>
      <c r="J200" s="17">
        <v>1010.8808</v>
      </c>
      <c r="K200" s="18">
        <v>41.499200000000002</v>
      </c>
      <c r="L200" s="18">
        <v>45.905000000000001</v>
      </c>
      <c r="M200" s="18">
        <v>46.741500000000002</v>
      </c>
      <c r="N200" s="18">
        <v>366.30040000000002</v>
      </c>
      <c r="O200" s="18">
        <f t="shared" si="7"/>
        <v>42.705212500000002</v>
      </c>
      <c r="P200" s="7"/>
      <c r="Q200" s="10"/>
      <c r="R200" s="11"/>
      <c r="S200" s="11"/>
      <c r="T200" s="26"/>
      <c r="U200" s="28">
        <f t="shared" si="9"/>
        <v>0.73158929753238178</v>
      </c>
    </row>
    <row r="201" spans="1:21" x14ac:dyDescent="0.25">
      <c r="B201" s="9"/>
      <c r="C201" s="17">
        <v>606.22265625</v>
      </c>
      <c r="D201" s="18">
        <v>38.238999999999997</v>
      </c>
      <c r="E201" s="18">
        <v>43.698</v>
      </c>
      <c r="F201" s="18">
        <v>44.500999999999998</v>
      </c>
      <c r="G201" s="18">
        <v>224.52</v>
      </c>
      <c r="H201" s="18">
        <f t="shared" si="6"/>
        <v>39.704124999999991</v>
      </c>
      <c r="I201" s="5"/>
      <c r="J201" s="17">
        <v>603.18079999999998</v>
      </c>
      <c r="K201" s="18">
        <v>40.132800000000003</v>
      </c>
      <c r="L201" s="18">
        <v>44.730899999999998</v>
      </c>
      <c r="M201" s="18">
        <v>45.527099999999997</v>
      </c>
      <c r="N201" s="18">
        <v>404.85829999999999</v>
      </c>
      <c r="O201" s="18">
        <f t="shared" si="7"/>
        <v>41.381850000000007</v>
      </c>
      <c r="P201" s="7"/>
      <c r="Q201" s="10"/>
      <c r="R201" s="11"/>
      <c r="S201" s="11"/>
      <c r="T201" s="26"/>
      <c r="U201" s="28">
        <f t="shared" si="9"/>
        <v>0.80321708533760894</v>
      </c>
    </row>
    <row r="202" spans="1:21" ht="16.5" thickBot="1" x14ac:dyDescent="0.3">
      <c r="B202" s="12"/>
      <c r="C202" s="19">
        <v>303.068359375</v>
      </c>
      <c r="D202" s="20">
        <v>35.055999999999997</v>
      </c>
      <c r="E202" s="20">
        <v>41.009</v>
      </c>
      <c r="F202" s="20">
        <v>41.789000000000001</v>
      </c>
      <c r="G202" s="20">
        <v>254.05</v>
      </c>
      <c r="H202" s="20">
        <f t="shared" si="6"/>
        <v>36.641749999999995</v>
      </c>
      <c r="I202" s="5"/>
      <c r="J202" s="19">
        <v>295.46159999999998</v>
      </c>
      <c r="K202" s="20">
        <v>37.359699999999997</v>
      </c>
      <c r="L202" s="20">
        <v>42.620199999999997</v>
      </c>
      <c r="M202" s="20">
        <v>43.418500000000002</v>
      </c>
      <c r="N202" s="20">
        <v>408.99799999999999</v>
      </c>
      <c r="O202" s="20">
        <f t="shared" si="7"/>
        <v>38.774612499999996</v>
      </c>
      <c r="P202" s="7"/>
      <c r="Q202" s="13"/>
      <c r="R202" s="14"/>
      <c r="S202" s="14"/>
      <c r="T202" s="27"/>
      <c r="U202" s="28">
        <f t="shared" si="9"/>
        <v>0.60991143475693754</v>
      </c>
    </row>
    <row r="203" spans="1:21" x14ac:dyDescent="0.25">
      <c r="A203" s="6" t="s">
        <v>102</v>
      </c>
      <c r="B203" s="6" t="s">
        <v>103</v>
      </c>
      <c r="C203" s="15">
        <v>1458.4326171875</v>
      </c>
      <c r="D203" s="16">
        <v>44.305</v>
      </c>
      <c r="E203" s="16">
        <v>49.655000000000001</v>
      </c>
      <c r="F203" s="16">
        <v>50.122</v>
      </c>
      <c r="G203" s="16">
        <v>160.29</v>
      </c>
      <c r="H203" s="16">
        <f t="shared" ref="H203:H246" si="10">(6*D203+E203+F203)/8</f>
        <v>45.700875000000003</v>
      </c>
      <c r="I203" s="5"/>
      <c r="J203" s="15">
        <v>1295.9263000000001</v>
      </c>
      <c r="K203" s="16">
        <v>42.8688</v>
      </c>
      <c r="L203" s="16">
        <v>48.680999999999997</v>
      </c>
      <c r="M203" s="16">
        <v>49.536700000000003</v>
      </c>
      <c r="N203" s="16">
        <v>234.98689999999999</v>
      </c>
      <c r="O203" s="16">
        <f t="shared" ref="O203:O246" si="11">(6*K203+L203+M203)/8</f>
        <v>44.428812499999999</v>
      </c>
      <c r="P203" s="7"/>
      <c r="Q203" s="8">
        <f>bdrate(C203:C206,D203:D206,J203:J206,K203:K206)</f>
        <v>-0.14264046037754241</v>
      </c>
      <c r="R203" s="8">
        <f>bdrate(C203:C206,E203:E206,J203:J206,L203:L206)</f>
        <v>-0.15728851971717261</v>
      </c>
      <c r="S203" s="8">
        <f>bdrate(C203:C206,F203:F206,J203:J206,M203:M206)</f>
        <v>-0.25913304286076744</v>
      </c>
      <c r="T203" s="25">
        <f>bdrate(C203:C206,H203:H206,J203:J206,O203:O206)</f>
        <v>-0.15621861093605893</v>
      </c>
      <c r="U203" s="28">
        <f t="shared" si="9"/>
        <v>0.46601098009857134</v>
      </c>
    </row>
    <row r="204" spans="1:21" x14ac:dyDescent="0.25">
      <c r="A204" s="9" t="s">
        <v>78</v>
      </c>
      <c r="B204" s="9"/>
      <c r="C204" s="17">
        <v>1025.666015625</v>
      </c>
      <c r="D204" s="18">
        <v>42.235999999999997</v>
      </c>
      <c r="E204" s="18">
        <v>47.847999999999999</v>
      </c>
      <c r="F204" s="18">
        <v>48.381</v>
      </c>
      <c r="G204" s="18">
        <v>174.51</v>
      </c>
      <c r="H204" s="18">
        <f t="shared" si="10"/>
        <v>43.705624999999998</v>
      </c>
      <c r="I204" s="5"/>
      <c r="J204" s="17">
        <v>894.67110000000002</v>
      </c>
      <c r="K204" s="18">
        <v>41.493600000000001</v>
      </c>
      <c r="L204" s="18">
        <v>47.6434</v>
      </c>
      <c r="M204" s="18">
        <v>48.441600000000001</v>
      </c>
      <c r="N204" s="18">
        <v>284.85520000000002</v>
      </c>
      <c r="O204" s="18">
        <f t="shared" si="11"/>
        <v>43.130825000000002</v>
      </c>
      <c r="P204" s="7"/>
      <c r="Q204" s="10"/>
      <c r="R204" s="11"/>
      <c r="S204" s="11"/>
      <c r="T204" s="26"/>
      <c r="U204" s="28">
        <f t="shared" si="9"/>
        <v>0.63231448054552775</v>
      </c>
    </row>
    <row r="205" spans="1:21" x14ac:dyDescent="0.25">
      <c r="B205" s="9"/>
      <c r="C205" s="17">
        <v>679.900390625</v>
      </c>
      <c r="D205" s="18">
        <v>39.457000000000001</v>
      </c>
      <c r="E205" s="18">
        <v>45.625999999999998</v>
      </c>
      <c r="F205" s="18">
        <v>46.271999999999998</v>
      </c>
      <c r="G205" s="18">
        <v>182.43</v>
      </c>
      <c r="H205" s="18">
        <f t="shared" si="10"/>
        <v>41.08</v>
      </c>
      <c r="I205" s="5"/>
      <c r="J205" s="17">
        <v>555.25729999999999</v>
      </c>
      <c r="K205" s="18">
        <v>39.123899999999999</v>
      </c>
      <c r="L205" s="18">
        <v>45.344000000000001</v>
      </c>
      <c r="M205" s="18">
        <v>46.921999999999997</v>
      </c>
      <c r="N205" s="18">
        <v>303.64370000000002</v>
      </c>
      <c r="O205" s="18">
        <f t="shared" si="11"/>
        <v>40.876175000000003</v>
      </c>
      <c r="P205" s="7"/>
      <c r="Q205" s="10"/>
      <c r="R205" s="11"/>
      <c r="S205" s="11"/>
      <c r="T205" s="26"/>
      <c r="U205" s="28">
        <f t="shared" si="9"/>
        <v>0.6644395110453325</v>
      </c>
    </row>
    <row r="206" spans="1:21" ht="16.5" thickBot="1" x14ac:dyDescent="0.3">
      <c r="B206" s="12"/>
      <c r="C206" s="19">
        <v>453.0390625</v>
      </c>
      <c r="D206" s="20">
        <v>35.972000000000001</v>
      </c>
      <c r="E206" s="20">
        <v>42.774000000000001</v>
      </c>
      <c r="F206" s="20">
        <v>43.664999999999999</v>
      </c>
      <c r="G206" s="20">
        <v>198.52</v>
      </c>
      <c r="H206" s="20">
        <f t="shared" si="10"/>
        <v>37.783875000000002</v>
      </c>
      <c r="I206" s="5"/>
      <c r="J206" s="19">
        <v>289.6173</v>
      </c>
      <c r="K206" s="20">
        <v>36.187600000000003</v>
      </c>
      <c r="L206" s="20">
        <v>43.583199999999998</v>
      </c>
      <c r="M206" s="20">
        <v>44.8185</v>
      </c>
      <c r="N206" s="20">
        <v>385.85210000000001</v>
      </c>
      <c r="O206" s="20">
        <f t="shared" si="11"/>
        <v>38.190912499999996</v>
      </c>
      <c r="P206" s="7"/>
      <c r="Q206" s="13"/>
      <c r="R206" s="14"/>
      <c r="S206" s="14"/>
      <c r="T206" s="27"/>
      <c r="U206" s="28">
        <f t="shared" si="9"/>
        <v>0.94364346161595802</v>
      </c>
    </row>
    <row r="207" spans="1:21" x14ac:dyDescent="0.25">
      <c r="B207" s="6" t="s">
        <v>104</v>
      </c>
      <c r="C207" s="15">
        <v>1625.017578125</v>
      </c>
      <c r="D207" s="16">
        <v>50.427</v>
      </c>
      <c r="E207" s="16">
        <v>51.241999999999997</v>
      </c>
      <c r="F207" s="16">
        <v>51.607999999999997</v>
      </c>
      <c r="G207" s="16">
        <v>222.65</v>
      </c>
      <c r="H207" s="16">
        <f t="shared" si="10"/>
        <v>50.676500000000004</v>
      </c>
      <c r="I207" s="5"/>
      <c r="J207" s="15">
        <v>1433.2107000000001</v>
      </c>
      <c r="K207" s="16">
        <v>51.418900000000001</v>
      </c>
      <c r="L207" s="16">
        <v>51.846600000000002</v>
      </c>
      <c r="M207" s="16">
        <v>52.300600000000003</v>
      </c>
      <c r="N207" s="16">
        <v>321.25650000000002</v>
      </c>
      <c r="O207" s="16">
        <f t="shared" si="11"/>
        <v>51.582575000000006</v>
      </c>
      <c r="P207" s="7"/>
      <c r="Q207" s="8">
        <f>bdrate(C207:C210,D207:D210,J207:J210,K207:K210)</f>
        <v>-0.29541649770794265</v>
      </c>
      <c r="R207" s="8">
        <f>bdrate(C207:C210,E207:E210,J207:J210,L207:L210)</f>
        <v>-0.29503616149358847</v>
      </c>
      <c r="S207" s="8">
        <f>bdrate(C207:C210,F207:F210,J207:J210,M207:M210)</f>
        <v>-0.3098701313841089</v>
      </c>
      <c r="T207" s="25">
        <f>bdrate(C207:C210,H207:H210,J207:J210,O207:O210)</f>
        <v>-0.29716577100833197</v>
      </c>
      <c r="U207" s="28">
        <f t="shared" si="9"/>
        <v>0.44287671232876719</v>
      </c>
    </row>
    <row r="208" spans="1:21" x14ac:dyDescent="0.25">
      <c r="B208" s="9"/>
      <c r="C208" s="17">
        <v>1138.873046875</v>
      </c>
      <c r="D208" s="18">
        <v>48.231000000000002</v>
      </c>
      <c r="E208" s="18">
        <v>49.192999999999998</v>
      </c>
      <c r="F208" s="18">
        <v>49.595999999999997</v>
      </c>
      <c r="G208" s="18">
        <v>255.09</v>
      </c>
      <c r="H208" s="18">
        <f t="shared" si="10"/>
        <v>48.521875000000001</v>
      </c>
      <c r="I208" s="5"/>
      <c r="J208" s="17">
        <v>971.04070000000002</v>
      </c>
      <c r="K208" s="18">
        <v>49.3581</v>
      </c>
      <c r="L208" s="18">
        <v>50.09</v>
      </c>
      <c r="M208" s="18">
        <v>50.582099999999997</v>
      </c>
      <c r="N208" s="18">
        <v>389.86349999999999</v>
      </c>
      <c r="O208" s="18">
        <f t="shared" si="11"/>
        <v>49.602587499999998</v>
      </c>
      <c r="P208" s="7"/>
      <c r="Q208" s="10"/>
      <c r="R208" s="11"/>
      <c r="S208" s="11"/>
      <c r="T208" s="26"/>
      <c r="U208" s="28">
        <f t="shared" si="9"/>
        <v>0.52833705750911442</v>
      </c>
    </row>
    <row r="209" spans="2:21" x14ac:dyDescent="0.25">
      <c r="B209" s="9"/>
      <c r="C209" s="17">
        <v>717.3173828125</v>
      </c>
      <c r="D209" s="18">
        <v>45.372999999999998</v>
      </c>
      <c r="E209" s="18">
        <v>46.552</v>
      </c>
      <c r="F209" s="18">
        <v>46.976999999999997</v>
      </c>
      <c r="G209" s="18">
        <v>273.14</v>
      </c>
      <c r="H209" s="18">
        <f t="shared" si="10"/>
        <v>45.720874999999999</v>
      </c>
      <c r="I209" s="5"/>
      <c r="J209" s="17">
        <v>596.7201</v>
      </c>
      <c r="K209" s="18">
        <v>46.483199999999997</v>
      </c>
      <c r="L209" s="18">
        <v>47.606400000000001</v>
      </c>
      <c r="M209" s="18">
        <v>48.121899999999997</v>
      </c>
      <c r="N209" s="18">
        <v>385.9348</v>
      </c>
      <c r="O209" s="18">
        <f t="shared" si="11"/>
        <v>46.828437499999993</v>
      </c>
      <c r="P209" s="7"/>
      <c r="Q209" s="10"/>
      <c r="R209" s="11"/>
      <c r="S209" s="11"/>
      <c r="T209" s="26"/>
      <c r="U209" s="28">
        <f t="shared" si="9"/>
        <v>0.41295599326352794</v>
      </c>
    </row>
    <row r="210" spans="2:21" ht="16.5" thickBot="1" x14ac:dyDescent="0.3">
      <c r="B210" s="12"/>
      <c r="C210" s="19">
        <v>397.3798828125</v>
      </c>
      <c r="D210" s="20">
        <v>41.73</v>
      </c>
      <c r="E210" s="20">
        <v>43.246000000000002</v>
      </c>
      <c r="F210" s="20">
        <v>43.640999999999998</v>
      </c>
      <c r="G210" s="20">
        <v>276.14999999999998</v>
      </c>
      <c r="H210" s="20">
        <f t="shared" si="10"/>
        <v>42.158374999999999</v>
      </c>
      <c r="I210" s="5"/>
      <c r="J210" s="19">
        <v>300.36840000000001</v>
      </c>
      <c r="K210" s="20">
        <v>41.9953</v>
      </c>
      <c r="L210" s="20">
        <v>43.5976</v>
      </c>
      <c r="M210" s="20">
        <v>44.177500000000002</v>
      </c>
      <c r="N210" s="20">
        <v>437.10539999999997</v>
      </c>
      <c r="O210" s="20">
        <f t="shared" si="11"/>
        <v>42.468362499999998</v>
      </c>
      <c r="P210" s="7"/>
      <c r="Q210" s="13"/>
      <c r="R210" s="14"/>
      <c r="S210" s="14"/>
      <c r="T210" s="27"/>
      <c r="U210" s="28">
        <f t="shared" si="9"/>
        <v>0.58285497012493215</v>
      </c>
    </row>
    <row r="211" spans="2:21" x14ac:dyDescent="0.25">
      <c r="B211" s="6" t="s">
        <v>105</v>
      </c>
      <c r="C211" s="15">
        <v>1806.998046875</v>
      </c>
      <c r="D211" s="16">
        <v>40.75</v>
      </c>
      <c r="E211" s="16">
        <v>43.576000000000001</v>
      </c>
      <c r="F211" s="16">
        <v>43.966999999999999</v>
      </c>
      <c r="G211" s="16">
        <v>163.21</v>
      </c>
      <c r="H211" s="16">
        <f t="shared" si="10"/>
        <v>41.505375000000001</v>
      </c>
      <c r="I211" s="5"/>
      <c r="J211" s="15">
        <v>1496.6216999999999</v>
      </c>
      <c r="K211" s="16">
        <v>42.199399999999997</v>
      </c>
      <c r="L211" s="16">
        <v>44.4968</v>
      </c>
      <c r="M211" s="16">
        <v>44.918599999999998</v>
      </c>
      <c r="N211" s="16">
        <v>276.62520000000001</v>
      </c>
      <c r="O211" s="16">
        <f t="shared" si="11"/>
        <v>42.826475000000002</v>
      </c>
      <c r="P211" s="7"/>
      <c r="Q211" s="8">
        <f>bdrate(C211:C214,D211:D214,J211:J214,K211:K214)</f>
        <v>-0.40432584478527667</v>
      </c>
      <c r="R211" s="8">
        <f>bdrate(C211:C214,E211:E214,J211:J214,L211:L214)</f>
        <v>-0.44304839522545947</v>
      </c>
      <c r="S211" s="8">
        <f>bdrate(C211:C214,F211:F214,J211:J214,M211:M214)</f>
        <v>-0.44742925123595789</v>
      </c>
      <c r="T211" s="25">
        <f>bdrate(C211:C214,H211:H214,J211:J214,O211:O214)</f>
        <v>-0.41340620769676728</v>
      </c>
      <c r="U211" s="28">
        <f t="shared" si="9"/>
        <v>0.69490349856013722</v>
      </c>
    </row>
    <row r="212" spans="2:21" x14ac:dyDescent="0.25">
      <c r="B212" s="9"/>
      <c r="C212" s="17">
        <v>1277.310546875</v>
      </c>
      <c r="D212" s="18">
        <v>38.912999999999997</v>
      </c>
      <c r="E212" s="18">
        <v>42.048000000000002</v>
      </c>
      <c r="F212" s="18">
        <v>42.47</v>
      </c>
      <c r="G212" s="18">
        <v>186.9</v>
      </c>
      <c r="H212" s="18">
        <f t="shared" si="10"/>
        <v>39.749499999999998</v>
      </c>
      <c r="I212" s="5"/>
      <c r="J212" s="17">
        <v>999.846</v>
      </c>
      <c r="K212" s="18">
        <v>40.243299999999998</v>
      </c>
      <c r="L212" s="18">
        <v>43.121499999999997</v>
      </c>
      <c r="M212" s="18">
        <v>43.561599999999999</v>
      </c>
      <c r="N212" s="18">
        <v>316.9572</v>
      </c>
      <c r="O212" s="18">
        <f t="shared" si="11"/>
        <v>41.017862499999993</v>
      </c>
      <c r="P212" s="7"/>
      <c r="Q212" s="10"/>
      <c r="R212" s="11"/>
      <c r="S212" s="11"/>
      <c r="T212" s="26"/>
      <c r="U212" s="28">
        <f t="shared" si="9"/>
        <v>0.69586516853932578</v>
      </c>
    </row>
    <row r="213" spans="2:21" x14ac:dyDescent="0.25">
      <c r="B213" s="9"/>
      <c r="C213" s="17">
        <v>834.0654296875</v>
      </c>
      <c r="D213" s="18">
        <v>36.640999999999998</v>
      </c>
      <c r="E213" s="18">
        <v>40.207999999999998</v>
      </c>
      <c r="F213" s="18">
        <v>40.619999999999997</v>
      </c>
      <c r="G213" s="18">
        <v>201.32</v>
      </c>
      <c r="H213" s="18">
        <f t="shared" si="10"/>
        <v>37.584249999999997</v>
      </c>
      <c r="I213" s="5"/>
      <c r="J213" s="17">
        <v>600.48</v>
      </c>
      <c r="K213" s="18">
        <v>37.627299999999998</v>
      </c>
      <c r="L213" s="18">
        <v>41.284199999999998</v>
      </c>
      <c r="M213" s="18">
        <v>41.722799999999999</v>
      </c>
      <c r="N213" s="18">
        <v>352.59550000000002</v>
      </c>
      <c r="O213" s="18">
        <f t="shared" si="11"/>
        <v>38.596350000000001</v>
      </c>
      <c r="P213" s="7"/>
      <c r="Q213" s="10"/>
      <c r="R213" s="11"/>
      <c r="S213" s="11"/>
      <c r="T213" s="26"/>
      <c r="U213" s="28">
        <f t="shared" si="9"/>
        <v>0.75141814027419052</v>
      </c>
    </row>
    <row r="214" spans="2:21" ht="16.5" thickBot="1" x14ac:dyDescent="0.3">
      <c r="B214" s="12"/>
      <c r="C214" s="19">
        <v>498.79296875</v>
      </c>
      <c r="D214" s="20">
        <v>33.728000000000002</v>
      </c>
      <c r="E214" s="20">
        <v>37.898000000000003</v>
      </c>
      <c r="F214" s="20">
        <v>38.402000000000001</v>
      </c>
      <c r="G214" s="20">
        <v>214.98</v>
      </c>
      <c r="H214" s="20">
        <f t="shared" si="10"/>
        <v>34.833500000000001</v>
      </c>
      <c r="I214" s="5"/>
      <c r="J214" s="19">
        <v>302.10599999999999</v>
      </c>
      <c r="K214" s="20">
        <v>34.06</v>
      </c>
      <c r="L214" s="20">
        <v>38.9011</v>
      </c>
      <c r="M214" s="20">
        <v>39.392099999999999</v>
      </c>
      <c r="N214" s="20">
        <v>397.7022</v>
      </c>
      <c r="O214" s="20">
        <f t="shared" si="11"/>
        <v>35.331649999999996</v>
      </c>
      <c r="P214" s="7"/>
      <c r="Q214" s="13"/>
      <c r="R214" s="14"/>
      <c r="S214" s="14"/>
      <c r="T214" s="27"/>
      <c r="U214" s="28">
        <f t="shared" si="9"/>
        <v>0.84994976276862977</v>
      </c>
    </row>
    <row r="215" spans="2:21" x14ac:dyDescent="0.25">
      <c r="B215" s="6" t="s">
        <v>106</v>
      </c>
      <c r="C215" s="29">
        <v>1677.7998046875</v>
      </c>
      <c r="D215" s="30">
        <v>37.116999999999997</v>
      </c>
      <c r="E215" s="30">
        <v>42.008000000000003</v>
      </c>
      <c r="F215" s="30">
        <v>42.006</v>
      </c>
      <c r="G215" s="16">
        <v>153.30000000000001</v>
      </c>
      <c r="H215" s="16">
        <f t="shared" si="10"/>
        <v>38.339500000000001</v>
      </c>
      <c r="I215" s="5"/>
      <c r="J215" s="29">
        <v>1503.3973000000001</v>
      </c>
      <c r="K215" s="30">
        <v>38.609200000000001</v>
      </c>
      <c r="L215" s="30">
        <v>43.171999999999997</v>
      </c>
      <c r="M215" s="30">
        <v>43.131500000000003</v>
      </c>
      <c r="N215" s="16">
        <v>252.41900000000001</v>
      </c>
      <c r="O215" s="16">
        <f t="shared" si="11"/>
        <v>39.744837500000003</v>
      </c>
      <c r="P215" s="7"/>
      <c r="Q215" s="8">
        <f>bdrate(C215:C218,D215:D218,J215:J218,K215:K218)</f>
        <v>-0.38535922730638017</v>
      </c>
      <c r="R215" s="8">
        <f>bdrate(C215:C218,E215:E218,J215:J218,L215:L218)</f>
        <v>-0.48706908683296146</v>
      </c>
      <c r="S215" s="8">
        <f>bdrate(C215:C218,F215:F218,J215:J218,M215:M218)</f>
        <v>-0.48521614407362146</v>
      </c>
      <c r="T215" s="25">
        <f>bdrate(C215:C218,H215:H218,J215:J218,O215:O218)</f>
        <v>-0.40805629145829803</v>
      </c>
      <c r="U215" s="28">
        <f t="shared" si="9"/>
        <v>0.64656881930854526</v>
      </c>
    </row>
    <row r="216" spans="2:21" x14ac:dyDescent="0.25">
      <c r="B216" s="9"/>
      <c r="C216" s="31">
        <v>1175.52734375</v>
      </c>
      <c r="D216" s="32">
        <v>35.341000000000001</v>
      </c>
      <c r="E216" s="32">
        <v>40.496000000000002</v>
      </c>
      <c r="F216" s="32">
        <v>40.502000000000002</v>
      </c>
      <c r="G216" s="18">
        <v>167.65</v>
      </c>
      <c r="H216" s="18">
        <f t="shared" si="10"/>
        <v>36.630499999999998</v>
      </c>
      <c r="I216" s="5"/>
      <c r="J216" s="31">
        <v>999.14649999999995</v>
      </c>
      <c r="K216" s="32">
        <v>36.733800000000002</v>
      </c>
      <c r="L216" s="32">
        <v>41.939900000000002</v>
      </c>
      <c r="M216" s="32">
        <v>41.911499999999997</v>
      </c>
      <c r="N216" s="18">
        <v>289.94850000000002</v>
      </c>
      <c r="O216" s="18">
        <f t="shared" si="11"/>
        <v>38.031775000000003</v>
      </c>
      <c r="P216" s="7"/>
      <c r="Q216" s="10"/>
      <c r="R216" s="11"/>
      <c r="S216" s="11"/>
      <c r="T216" s="26"/>
      <c r="U216" s="28">
        <f t="shared" si="9"/>
        <v>0.72948702654339403</v>
      </c>
    </row>
    <row r="217" spans="2:21" x14ac:dyDescent="0.25">
      <c r="B217" s="9"/>
      <c r="C217" s="31">
        <v>724.0390625</v>
      </c>
      <c r="D217" s="32">
        <v>33.058999999999997</v>
      </c>
      <c r="E217" s="32">
        <v>38.651000000000003</v>
      </c>
      <c r="F217" s="32">
        <v>38.628999999999998</v>
      </c>
      <c r="G217" s="18">
        <v>182.4</v>
      </c>
      <c r="H217" s="18">
        <f t="shared" si="10"/>
        <v>34.454250000000002</v>
      </c>
      <c r="I217" s="5"/>
      <c r="J217" s="31">
        <v>601.99800000000005</v>
      </c>
      <c r="K217" s="32">
        <v>34.467300000000002</v>
      </c>
      <c r="L217" s="32">
        <v>40.435400000000001</v>
      </c>
      <c r="M217" s="32">
        <v>40.439500000000002</v>
      </c>
      <c r="N217" s="18">
        <v>327.74950000000001</v>
      </c>
      <c r="O217" s="18">
        <f t="shared" si="11"/>
        <v>35.959837500000006</v>
      </c>
      <c r="P217" s="7"/>
      <c r="Q217" s="10"/>
      <c r="R217" s="11"/>
      <c r="S217" s="11"/>
      <c r="T217" s="26"/>
      <c r="U217" s="28">
        <f t="shared" si="9"/>
        <v>0.7968722587719298</v>
      </c>
    </row>
    <row r="218" spans="2:21" ht="16.5" thickBot="1" x14ac:dyDescent="0.3">
      <c r="B218" s="12"/>
      <c r="C218" s="33">
        <v>426.232421875</v>
      </c>
      <c r="D218" s="34">
        <v>30.484000000000002</v>
      </c>
      <c r="E218" s="34">
        <v>36.433</v>
      </c>
      <c r="F218" s="34">
        <v>36.338999999999999</v>
      </c>
      <c r="G218" s="20">
        <v>192.76</v>
      </c>
      <c r="H218" s="20">
        <f t="shared" si="10"/>
        <v>31.959499999999998</v>
      </c>
      <c r="I218" s="5"/>
      <c r="J218" s="33">
        <v>301.99549999999999</v>
      </c>
      <c r="K218" s="34">
        <v>31.438600000000001</v>
      </c>
      <c r="L218" s="34">
        <v>38.507800000000003</v>
      </c>
      <c r="M218" s="34">
        <v>38.387500000000003</v>
      </c>
      <c r="N218" s="20">
        <v>380.7912</v>
      </c>
      <c r="O218" s="20">
        <f t="shared" si="11"/>
        <v>33.190862500000001</v>
      </c>
      <c r="P218" s="7"/>
      <c r="Q218" s="13"/>
      <c r="R218" s="14"/>
      <c r="S218" s="14"/>
      <c r="T218" s="27"/>
      <c r="U218" s="28">
        <f t="shared" si="9"/>
        <v>0.97546793940651599</v>
      </c>
    </row>
    <row r="219" spans="2:21" x14ac:dyDescent="0.25">
      <c r="B219" s="6" t="s">
        <v>107</v>
      </c>
      <c r="C219" s="15">
        <v>1570.998046875</v>
      </c>
      <c r="D219" s="16">
        <v>34.725999999999999</v>
      </c>
      <c r="E219" s="16">
        <v>39.396000000000001</v>
      </c>
      <c r="F219" s="16">
        <v>40.158999999999999</v>
      </c>
      <c r="G219" s="16">
        <v>169.63</v>
      </c>
      <c r="H219" s="16">
        <f t="shared" si="10"/>
        <v>35.988875</v>
      </c>
      <c r="I219" s="5"/>
      <c r="J219" s="15">
        <v>1500.8692000000001</v>
      </c>
      <c r="K219" s="16">
        <v>36.448999999999998</v>
      </c>
      <c r="L219" s="16">
        <v>41.047499999999999</v>
      </c>
      <c r="M219" s="16">
        <v>41.643599999999999</v>
      </c>
      <c r="N219" s="16">
        <v>258.06450000000001</v>
      </c>
      <c r="O219" s="16">
        <f t="shared" si="11"/>
        <v>37.673137499999996</v>
      </c>
      <c r="P219" s="7"/>
      <c r="Q219" s="8">
        <f>bdrate(C219:C222,D219:D222,J219:J222,K219:K222)</f>
        <v>-0.31908679643067372</v>
      </c>
      <c r="R219" s="8">
        <f>bdrate(C219:C222,E219:E222,J219:J222,L219:L222)</f>
        <v>-0.48155575942493578</v>
      </c>
      <c r="S219" s="8">
        <f>bdrate(C219:C222,F219:F222,J219:J222,M219:M222)</f>
        <v>-0.46206298855112182</v>
      </c>
      <c r="T219" s="25">
        <f>bdrate(C219:C222,H219:H222,J219:J222,O219:O222)</f>
        <v>-0.35607617044102158</v>
      </c>
      <c r="U219" s="28">
        <f t="shared" si="9"/>
        <v>0.52133761716677485</v>
      </c>
    </row>
    <row r="220" spans="2:21" x14ac:dyDescent="0.25">
      <c r="B220" s="9"/>
      <c r="C220" s="17">
        <v>1074.0390625</v>
      </c>
      <c r="D220" s="18">
        <v>33.055999999999997</v>
      </c>
      <c r="E220" s="18">
        <v>37.9</v>
      </c>
      <c r="F220" s="18">
        <v>38.729999999999997</v>
      </c>
      <c r="G220" s="18">
        <v>173.06</v>
      </c>
      <c r="H220" s="18">
        <f t="shared" si="10"/>
        <v>34.370750000000001</v>
      </c>
      <c r="I220" s="5"/>
      <c r="J220" s="17">
        <v>991.56569999999999</v>
      </c>
      <c r="K220" s="18">
        <v>34.509599999999999</v>
      </c>
      <c r="L220" s="18">
        <v>39.691099999999999</v>
      </c>
      <c r="M220" s="18">
        <v>40.336199999999998</v>
      </c>
      <c r="N220" s="18">
        <v>301.2552</v>
      </c>
      <c r="O220" s="18">
        <f t="shared" si="11"/>
        <v>35.885612500000001</v>
      </c>
      <c r="P220" s="7"/>
      <c r="Q220" s="10"/>
      <c r="R220" s="11"/>
      <c r="S220" s="11"/>
      <c r="T220" s="26"/>
      <c r="U220" s="28">
        <f t="shared" si="9"/>
        <v>0.74075580723448509</v>
      </c>
    </row>
    <row r="221" spans="2:21" x14ac:dyDescent="0.25">
      <c r="B221" s="9"/>
      <c r="C221" s="17">
        <v>660.611328125</v>
      </c>
      <c r="D221" s="18">
        <v>30.885000000000002</v>
      </c>
      <c r="E221" s="18">
        <v>35.97</v>
      </c>
      <c r="F221" s="18">
        <v>36.89</v>
      </c>
      <c r="G221" s="18">
        <v>195.08</v>
      </c>
      <c r="H221" s="18">
        <f t="shared" si="10"/>
        <v>32.271250000000002</v>
      </c>
      <c r="I221" s="5"/>
      <c r="J221" s="17">
        <v>595.58550000000002</v>
      </c>
      <c r="K221" s="18">
        <v>32.154800000000002</v>
      </c>
      <c r="L221" s="18">
        <v>38.0413</v>
      </c>
      <c r="M221" s="18">
        <v>38.738599999999998</v>
      </c>
      <c r="N221" s="18">
        <v>340.39330000000001</v>
      </c>
      <c r="O221" s="18">
        <f t="shared" si="11"/>
        <v>33.713587500000003</v>
      </c>
      <c r="P221" s="7"/>
      <c r="Q221" s="10"/>
      <c r="R221" s="11"/>
      <c r="S221" s="11"/>
      <c r="T221" s="26"/>
      <c r="U221" s="28">
        <f t="shared" si="9"/>
        <v>0.74489081402501534</v>
      </c>
    </row>
    <row r="222" spans="2:21" ht="16.5" thickBot="1" x14ac:dyDescent="0.3">
      <c r="B222" s="12"/>
      <c r="C222" s="19">
        <v>408.3720703125</v>
      </c>
      <c r="D222" s="20">
        <v>28.818000000000001</v>
      </c>
      <c r="E222" s="20">
        <v>34.142000000000003</v>
      </c>
      <c r="F222" s="20">
        <v>35.043999999999997</v>
      </c>
      <c r="G222" s="20">
        <v>202.06</v>
      </c>
      <c r="H222" s="20">
        <f t="shared" si="10"/>
        <v>30.261749999999999</v>
      </c>
      <c r="I222" s="5"/>
      <c r="J222" s="19">
        <v>300.88189999999997</v>
      </c>
      <c r="K222" s="20">
        <v>28.999400000000001</v>
      </c>
      <c r="L222" s="20">
        <v>35.9773</v>
      </c>
      <c r="M222" s="20">
        <v>36.785800000000002</v>
      </c>
      <c r="N222" s="20">
        <v>388.34949999999998</v>
      </c>
      <c r="O222" s="20">
        <f t="shared" si="11"/>
        <v>30.8449375</v>
      </c>
      <c r="P222" s="7"/>
      <c r="Q222" s="13"/>
      <c r="R222" s="14"/>
      <c r="S222" s="14"/>
      <c r="T222" s="27"/>
      <c r="U222" s="28">
        <f t="shared" si="9"/>
        <v>0.92195140057408675</v>
      </c>
    </row>
    <row r="223" spans="2:21" x14ac:dyDescent="0.25">
      <c r="B223" s="6" t="s">
        <v>108</v>
      </c>
      <c r="C223" s="15">
        <v>1618.66015625</v>
      </c>
      <c r="D223" s="16">
        <v>35.786000000000001</v>
      </c>
      <c r="E223" s="16">
        <v>41.58</v>
      </c>
      <c r="F223" s="16">
        <v>43.192999999999998</v>
      </c>
      <c r="G223" s="16">
        <v>149.46</v>
      </c>
      <c r="H223" s="16">
        <f t="shared" si="10"/>
        <v>37.436124999999997</v>
      </c>
      <c r="I223" s="5"/>
      <c r="J223" s="15">
        <v>1504.2979</v>
      </c>
      <c r="K223" s="16">
        <v>36.696800000000003</v>
      </c>
      <c r="L223" s="16">
        <v>42.682200000000002</v>
      </c>
      <c r="M223" s="16">
        <v>44.046100000000003</v>
      </c>
      <c r="N223" s="16">
        <v>243.93549999999999</v>
      </c>
      <c r="O223" s="16">
        <f t="shared" si="11"/>
        <v>38.36363750000001</v>
      </c>
      <c r="P223" s="7"/>
      <c r="Q223" s="8">
        <f>bdrate(C223:C226,D223:D226,J223:J226,K223:K226)</f>
        <v>-0.34779449760289949</v>
      </c>
      <c r="R223" s="8">
        <f>bdrate(C223:C226,E223:E226,J223:J226,L223:L226)</f>
        <v>-0.5215293048570554</v>
      </c>
      <c r="S223" s="8">
        <f>bdrate(C223:C226,F223:F226,J223:J226,M223:M226)</f>
        <v>-0.46043476890599999</v>
      </c>
      <c r="T223" s="25">
        <f>bdrate(C223:C226,H223:H226,J223:J226,O223:O226)</f>
        <v>-0.38245001521010469</v>
      </c>
      <c r="U223" s="28">
        <f t="shared" si="9"/>
        <v>0.63211227084169663</v>
      </c>
    </row>
    <row r="224" spans="2:21" x14ac:dyDescent="0.25">
      <c r="B224" s="9"/>
      <c r="C224" s="17">
        <v>1094.7587890625</v>
      </c>
      <c r="D224" s="18">
        <v>34.338000000000001</v>
      </c>
      <c r="E224" s="18">
        <v>40.399000000000001</v>
      </c>
      <c r="F224" s="18">
        <v>41.814999999999998</v>
      </c>
      <c r="G224" s="18">
        <v>161.85</v>
      </c>
      <c r="H224" s="18">
        <f t="shared" si="10"/>
        <v>36.030250000000002</v>
      </c>
      <c r="I224" s="5"/>
      <c r="J224" s="17">
        <v>1004.0214999999999</v>
      </c>
      <c r="K224" s="18">
        <v>35.354399999999998</v>
      </c>
      <c r="L224" s="18">
        <v>41.786700000000003</v>
      </c>
      <c r="M224" s="18">
        <v>43.0351</v>
      </c>
      <c r="N224" s="18">
        <v>290.65069999999997</v>
      </c>
      <c r="O224" s="18">
        <f t="shared" si="11"/>
        <v>37.118524999999998</v>
      </c>
      <c r="P224" s="7"/>
      <c r="Q224" s="10"/>
      <c r="R224" s="11"/>
      <c r="S224" s="11"/>
      <c r="T224" s="26"/>
      <c r="U224" s="28">
        <f t="shared" si="9"/>
        <v>0.79580290392338571</v>
      </c>
    </row>
    <row r="225" spans="2:21" x14ac:dyDescent="0.25">
      <c r="B225" s="9"/>
      <c r="C225" s="17">
        <v>658.6806640625</v>
      </c>
      <c r="D225" s="18">
        <v>32.488</v>
      </c>
      <c r="E225" s="18">
        <v>38.844000000000001</v>
      </c>
      <c r="F225" s="18">
        <v>39.917999999999999</v>
      </c>
      <c r="G225" s="18">
        <v>179.79</v>
      </c>
      <c r="H225" s="18">
        <f t="shared" si="10"/>
        <v>34.21125</v>
      </c>
      <c r="I225" s="5"/>
      <c r="J225" s="17">
        <v>602.94169999999997</v>
      </c>
      <c r="K225" s="18">
        <v>33.682099999999998</v>
      </c>
      <c r="L225" s="18">
        <v>40.693600000000004</v>
      </c>
      <c r="M225" s="18">
        <v>41.807099999999998</v>
      </c>
      <c r="N225" s="18">
        <v>330.51780000000002</v>
      </c>
      <c r="O225" s="18">
        <f t="shared" si="11"/>
        <v>35.5741625</v>
      </c>
      <c r="P225" s="7"/>
      <c r="Q225" s="10"/>
      <c r="R225" s="11"/>
      <c r="S225" s="11"/>
      <c r="T225" s="26"/>
      <c r="U225" s="28">
        <f t="shared" si="9"/>
        <v>0.83835474720507275</v>
      </c>
    </row>
    <row r="226" spans="2:21" ht="16.5" thickBot="1" x14ac:dyDescent="0.3">
      <c r="B226" s="12"/>
      <c r="C226" s="19">
        <v>360.1376953125</v>
      </c>
      <c r="D226" s="20">
        <v>30.533000000000001</v>
      </c>
      <c r="E226" s="20">
        <v>36.963999999999999</v>
      </c>
      <c r="F226" s="20">
        <v>37.536000000000001</v>
      </c>
      <c r="G226" s="20">
        <v>195.52</v>
      </c>
      <c r="H226" s="20">
        <f t="shared" si="10"/>
        <v>32.212249999999997</v>
      </c>
      <c r="I226" s="5"/>
      <c r="J226" s="19">
        <v>300.3836</v>
      </c>
      <c r="K226" s="20">
        <v>31.631399999999999</v>
      </c>
      <c r="L226" s="20">
        <v>39.236199999999997</v>
      </c>
      <c r="M226" s="20">
        <v>40.052300000000002</v>
      </c>
      <c r="N226" s="20">
        <v>382.0034</v>
      </c>
      <c r="O226" s="20">
        <f t="shared" si="11"/>
        <v>33.634612500000003</v>
      </c>
      <c r="P226" s="7"/>
      <c r="Q226" s="13"/>
      <c r="R226" s="14"/>
      <c r="S226" s="14"/>
      <c r="T226" s="27"/>
      <c r="U226" s="28">
        <f t="shared" si="9"/>
        <v>0.95378171031096548</v>
      </c>
    </row>
    <row r="227" spans="2:21" x14ac:dyDescent="0.25">
      <c r="B227" s="6" t="s">
        <v>109</v>
      </c>
      <c r="C227" s="15">
        <v>1403.8125</v>
      </c>
      <c r="D227" s="16">
        <v>44.003</v>
      </c>
      <c r="E227" s="16">
        <v>48.750999999999998</v>
      </c>
      <c r="F227" s="16">
        <v>50.404000000000003</v>
      </c>
      <c r="G227" s="16">
        <v>185.76</v>
      </c>
      <c r="H227" s="16">
        <f t="shared" si="10"/>
        <v>45.396625</v>
      </c>
      <c r="I227" s="5"/>
      <c r="J227" s="15">
        <v>1503.5606</v>
      </c>
      <c r="K227" s="16">
        <v>46.671700000000001</v>
      </c>
      <c r="L227" s="16">
        <v>51.398000000000003</v>
      </c>
      <c r="M227" s="16">
        <v>52.887</v>
      </c>
      <c r="N227" s="16">
        <v>286.19150000000002</v>
      </c>
      <c r="O227" s="16">
        <f t="shared" si="11"/>
        <v>48.039400000000008</v>
      </c>
      <c r="P227" s="7"/>
      <c r="Q227" s="8">
        <f>bdrate(C227:C230,D227:D230,J227:J230,K227:K230)</f>
        <v>-0.40454620678798137</v>
      </c>
      <c r="R227" s="8">
        <f>bdrate(C227:C230,E227:E230,J227:J230,L227:L230)</f>
        <v>-0.50790977996690945</v>
      </c>
      <c r="S227" s="8">
        <f>bdrate(C227:C230,F227:F230,J227:J230,M227:M230)</f>
        <v>-0.46807790527539783</v>
      </c>
      <c r="T227" s="25">
        <f>bdrate(C227:C230,H227:H230,J227:J230,O227:O230)</f>
        <v>-0.42546668542228605</v>
      </c>
      <c r="U227" s="28">
        <f t="shared" si="9"/>
        <v>0.54065191645133526</v>
      </c>
    </row>
    <row r="228" spans="2:21" x14ac:dyDescent="0.25">
      <c r="B228" s="9"/>
      <c r="C228" s="17">
        <v>1006.4443359375</v>
      </c>
      <c r="D228" s="18">
        <v>42.47</v>
      </c>
      <c r="E228" s="18">
        <v>47.372</v>
      </c>
      <c r="F228" s="18">
        <v>49.088000000000001</v>
      </c>
      <c r="G228" s="18">
        <v>198.41</v>
      </c>
      <c r="H228" s="18">
        <f t="shared" si="10"/>
        <v>43.910000000000004</v>
      </c>
      <c r="I228" s="5"/>
      <c r="J228" s="17">
        <v>1005.1744</v>
      </c>
      <c r="K228" s="18">
        <v>44.856999999999999</v>
      </c>
      <c r="L228" s="18">
        <v>50.024700000000003</v>
      </c>
      <c r="M228" s="18">
        <v>51.421999999999997</v>
      </c>
      <c r="N228" s="18">
        <v>336.26170000000002</v>
      </c>
      <c r="O228" s="18">
        <f t="shared" si="11"/>
        <v>46.323587500000002</v>
      </c>
      <c r="P228" s="7"/>
      <c r="Q228" s="10"/>
      <c r="R228" s="11"/>
      <c r="S228" s="11"/>
      <c r="T228" s="26"/>
      <c r="U228" s="28">
        <f t="shared" si="9"/>
        <v>0.69478201703543185</v>
      </c>
    </row>
    <row r="229" spans="2:21" x14ac:dyDescent="0.25">
      <c r="B229" s="9"/>
      <c r="C229" s="17">
        <v>622.7744140625</v>
      </c>
      <c r="D229" s="18">
        <v>40.448999999999998</v>
      </c>
      <c r="E229" s="18">
        <v>45.433999999999997</v>
      </c>
      <c r="F229" s="18">
        <v>47.078000000000003</v>
      </c>
      <c r="G229" s="18">
        <v>229.32</v>
      </c>
      <c r="H229" s="18">
        <f t="shared" si="10"/>
        <v>41.900750000000002</v>
      </c>
      <c r="I229" s="5"/>
      <c r="J229" s="17">
        <v>604.95320000000004</v>
      </c>
      <c r="K229" s="18">
        <v>42.614800000000002</v>
      </c>
      <c r="L229" s="18">
        <v>48.203400000000002</v>
      </c>
      <c r="M229" s="18">
        <v>49.577500000000001</v>
      </c>
      <c r="N229" s="18">
        <v>343.25510000000003</v>
      </c>
      <c r="O229" s="18">
        <f t="shared" si="11"/>
        <v>44.183712499999999</v>
      </c>
      <c r="P229" s="7"/>
      <c r="Q229" s="10"/>
      <c r="R229" s="11"/>
      <c r="S229" s="11"/>
      <c r="T229" s="26"/>
      <c r="U229" s="28">
        <f t="shared" si="9"/>
        <v>0.49683891505320094</v>
      </c>
    </row>
    <row r="230" spans="2:21" ht="16.5" thickBot="1" x14ac:dyDescent="0.3">
      <c r="B230" s="12"/>
      <c r="C230" s="19">
        <v>316.3583984375</v>
      </c>
      <c r="D230" s="20">
        <v>37.837000000000003</v>
      </c>
      <c r="E230" s="20">
        <v>42.817</v>
      </c>
      <c r="F230" s="20">
        <v>44.503999999999998</v>
      </c>
      <c r="G230" s="20">
        <v>263.83999999999997</v>
      </c>
      <c r="H230" s="20">
        <f t="shared" si="10"/>
        <v>39.292875000000002</v>
      </c>
      <c r="I230" s="5"/>
      <c r="J230" s="19">
        <v>302.92950000000002</v>
      </c>
      <c r="K230" s="20">
        <v>39.394300000000001</v>
      </c>
      <c r="L230" s="20">
        <v>45.274900000000002</v>
      </c>
      <c r="M230" s="20">
        <v>46.644500000000001</v>
      </c>
      <c r="N230" s="20">
        <v>410.1687</v>
      </c>
      <c r="O230" s="20">
        <f t="shared" si="11"/>
        <v>41.035650000000004</v>
      </c>
      <c r="P230" s="7"/>
      <c r="Q230" s="13"/>
      <c r="R230" s="14"/>
      <c r="S230" s="14"/>
      <c r="T230" s="27"/>
      <c r="U230" s="28">
        <f t="shared" si="9"/>
        <v>0.5546115069739237</v>
      </c>
    </row>
    <row r="231" spans="2:21" x14ac:dyDescent="0.25">
      <c r="B231" s="6" t="s">
        <v>110</v>
      </c>
      <c r="C231" s="15">
        <v>1529.75</v>
      </c>
      <c r="D231" s="16">
        <v>29.802</v>
      </c>
      <c r="E231" s="16">
        <v>38.110999999999997</v>
      </c>
      <c r="F231" s="16">
        <v>37.517000000000003</v>
      </c>
      <c r="G231" s="16">
        <v>134.56</v>
      </c>
      <c r="H231" s="16">
        <f t="shared" si="10"/>
        <v>31.805</v>
      </c>
      <c r="I231" s="5"/>
      <c r="J231" s="15">
        <v>1494.1717000000001</v>
      </c>
      <c r="K231" s="16">
        <v>31.3658</v>
      </c>
      <c r="L231" s="16">
        <v>39.853900000000003</v>
      </c>
      <c r="M231" s="16">
        <v>39.188899999999997</v>
      </c>
      <c r="N231" s="16">
        <v>209.6925</v>
      </c>
      <c r="O231" s="16">
        <f t="shared" si="11"/>
        <v>33.404699999999998</v>
      </c>
      <c r="P231" s="7"/>
      <c r="Q231" s="8">
        <f>bdrate(C231:C234,D231:D234,J231:J234,K231:K234)</f>
        <v>-0.30589970780175557</v>
      </c>
      <c r="R231" s="8">
        <f>bdrate(C231:C234,E231:E234,J231:J234,L231:L234)</f>
        <v>-0.56949004460693209</v>
      </c>
      <c r="S231" s="8">
        <f>bdrate(C231:C234,F231:F234,J231:J234,M231:M234)</f>
        <v>-0.54717921193215946</v>
      </c>
      <c r="T231" s="25">
        <f>bdrate(C231:C234,H231:H234,J231:J234,O231:O234)</f>
        <v>-0.36644470743286073</v>
      </c>
      <c r="U231" s="28">
        <f t="shared" si="9"/>
        <v>0.55835686682520802</v>
      </c>
    </row>
    <row r="232" spans="2:21" x14ac:dyDescent="0.25">
      <c r="B232" s="9"/>
      <c r="C232" s="17">
        <v>1114.9189453125</v>
      </c>
      <c r="D232" s="18">
        <v>28.47</v>
      </c>
      <c r="E232" s="18">
        <v>36.863999999999997</v>
      </c>
      <c r="F232" s="18">
        <v>36.317999999999998</v>
      </c>
      <c r="G232" s="18">
        <v>144.66</v>
      </c>
      <c r="H232" s="18">
        <f t="shared" si="10"/>
        <v>30.500250000000001</v>
      </c>
      <c r="I232" s="5"/>
      <c r="J232" s="17">
        <v>994.86749999999995</v>
      </c>
      <c r="K232" s="18">
        <v>29.633800000000001</v>
      </c>
      <c r="L232" s="18">
        <v>38.887</v>
      </c>
      <c r="M232" s="18">
        <v>38.189700000000002</v>
      </c>
      <c r="N232" s="18">
        <v>245.8681</v>
      </c>
      <c r="O232" s="18">
        <f t="shared" si="11"/>
        <v>31.859937500000001</v>
      </c>
      <c r="P232" s="7"/>
      <c r="Q232" s="10"/>
      <c r="R232" s="11"/>
      <c r="S232" s="11"/>
      <c r="T232" s="26"/>
      <c r="U232" s="28">
        <f t="shared" si="9"/>
        <v>0.69962740218443253</v>
      </c>
    </row>
    <row r="233" spans="2:21" x14ac:dyDescent="0.25">
      <c r="B233" s="9"/>
      <c r="C233" s="17">
        <v>847.54296875</v>
      </c>
      <c r="D233" s="18">
        <v>27.555</v>
      </c>
      <c r="E233" s="18">
        <v>35.863</v>
      </c>
      <c r="F233" s="18">
        <v>35.311</v>
      </c>
      <c r="G233" s="18">
        <v>146.53</v>
      </c>
      <c r="H233" s="18">
        <f t="shared" si="10"/>
        <v>29.562999999999999</v>
      </c>
      <c r="I233" s="5"/>
      <c r="J233" s="17">
        <v>596.42250000000001</v>
      </c>
      <c r="K233" s="18">
        <v>27.476299999999998</v>
      </c>
      <c r="L233" s="18">
        <v>37.582000000000001</v>
      </c>
      <c r="M233" s="18">
        <v>36.8185</v>
      </c>
      <c r="N233" s="18">
        <v>305.29169999999999</v>
      </c>
      <c r="O233" s="18">
        <f t="shared" si="11"/>
        <v>29.907287499999999</v>
      </c>
      <c r="P233" s="7"/>
      <c r="Q233" s="10"/>
      <c r="R233" s="11"/>
      <c r="S233" s="11"/>
      <c r="T233" s="26"/>
      <c r="U233" s="28">
        <f t="shared" si="9"/>
        <v>1.0834757387565686</v>
      </c>
    </row>
    <row r="234" spans="2:21" ht="16.5" thickBot="1" x14ac:dyDescent="0.3">
      <c r="B234" s="12"/>
      <c r="C234" s="19">
        <v>669.427734375</v>
      </c>
      <c r="D234" s="20">
        <v>26.614999999999998</v>
      </c>
      <c r="E234" s="20">
        <v>34.654000000000003</v>
      </c>
      <c r="F234" s="20">
        <v>34.19</v>
      </c>
      <c r="G234" s="20">
        <v>155.36000000000001</v>
      </c>
      <c r="H234" s="20">
        <f t="shared" si="10"/>
        <v>28.566749999999999</v>
      </c>
      <c r="I234" s="5"/>
      <c r="J234" s="19">
        <v>299.80950000000001</v>
      </c>
      <c r="K234" s="20">
        <v>24.7287</v>
      </c>
      <c r="L234" s="20">
        <v>35.081400000000002</v>
      </c>
      <c r="M234" s="20">
        <v>34.4983</v>
      </c>
      <c r="N234" s="20">
        <v>364.81560000000002</v>
      </c>
      <c r="O234" s="20">
        <f t="shared" si="11"/>
        <v>27.243987499999999</v>
      </c>
      <c r="P234" s="7"/>
      <c r="Q234" s="13"/>
      <c r="R234" s="14"/>
      <c r="S234" s="14"/>
      <c r="T234" s="27"/>
      <c r="U234" s="28">
        <f t="shared" si="9"/>
        <v>1.3481951596292481</v>
      </c>
    </row>
    <row r="235" spans="2:21" x14ac:dyDescent="0.25">
      <c r="B235" s="6" t="s">
        <v>111</v>
      </c>
      <c r="C235" s="15">
        <v>1982.09765625</v>
      </c>
      <c r="D235" s="16">
        <v>44.127000000000002</v>
      </c>
      <c r="E235" s="16">
        <v>45.351999999999997</v>
      </c>
      <c r="F235" s="16">
        <v>45.225000000000001</v>
      </c>
      <c r="G235" s="16">
        <v>166.52</v>
      </c>
      <c r="H235" s="16">
        <f t="shared" si="10"/>
        <v>44.417375</v>
      </c>
      <c r="I235" s="5"/>
      <c r="J235" s="15">
        <v>1416.2781</v>
      </c>
      <c r="K235" s="16">
        <v>44.313800000000001</v>
      </c>
      <c r="L235" s="16">
        <v>45.290999999999997</v>
      </c>
      <c r="M235" s="16">
        <v>45.182200000000002</v>
      </c>
      <c r="N235" s="16">
        <v>255.28290000000001</v>
      </c>
      <c r="O235" s="16">
        <f t="shared" si="11"/>
        <v>44.544499999999999</v>
      </c>
      <c r="P235" s="7"/>
      <c r="Q235" s="8">
        <f>bdrate(C235:C238,D235:D238,J235:J238,K235:K238)</f>
        <v>-0.36942796752362683</v>
      </c>
      <c r="R235" s="8">
        <f>bdrate(C235:C238,E235:E238,J235:J238,L235:L238)</f>
        <v>-0.38587567077914264</v>
      </c>
      <c r="S235" s="8">
        <f>bdrate(C235:C238,F235:F238,J235:J238,M235:M238)</f>
        <v>-0.38853975775412009</v>
      </c>
      <c r="T235" s="25">
        <f>bdrate(C235:C238,H235:H238,J235:J238,O235:O238)</f>
        <v>-0.37322305218211749</v>
      </c>
      <c r="U235" s="28">
        <f t="shared" si="9"/>
        <v>0.53304648090319484</v>
      </c>
    </row>
    <row r="236" spans="2:21" x14ac:dyDescent="0.25">
      <c r="B236" s="9"/>
      <c r="C236" s="17">
        <v>1405.853515625</v>
      </c>
      <c r="D236" s="18">
        <v>41.957000000000001</v>
      </c>
      <c r="E236" s="18">
        <v>43.462000000000003</v>
      </c>
      <c r="F236" s="18">
        <v>43.304000000000002</v>
      </c>
      <c r="G236" s="18">
        <v>191.1</v>
      </c>
      <c r="H236" s="18">
        <f t="shared" si="10"/>
        <v>42.313500000000005</v>
      </c>
      <c r="I236" s="5"/>
      <c r="J236" s="17">
        <v>956.35969999999998</v>
      </c>
      <c r="K236" s="18">
        <v>42.470799999999997</v>
      </c>
      <c r="L236" s="18">
        <v>43.777200000000001</v>
      </c>
      <c r="M236" s="18">
        <v>43.635100000000001</v>
      </c>
      <c r="N236" s="18">
        <v>317.01299999999998</v>
      </c>
      <c r="O236" s="18">
        <f t="shared" si="11"/>
        <v>42.7796375</v>
      </c>
      <c r="P236" s="7"/>
      <c r="Q236" s="10"/>
      <c r="R236" s="11"/>
      <c r="S236" s="11"/>
      <c r="T236" s="26"/>
      <c r="U236" s="28">
        <f t="shared" si="9"/>
        <v>0.65888540031397169</v>
      </c>
    </row>
    <row r="237" spans="2:21" x14ac:dyDescent="0.25">
      <c r="B237" s="9"/>
      <c r="C237" s="17">
        <v>903.5712890625</v>
      </c>
      <c r="D237" s="18">
        <v>39.216999999999999</v>
      </c>
      <c r="E237" s="18">
        <v>41.034999999999997</v>
      </c>
      <c r="F237" s="18">
        <v>40.859000000000002</v>
      </c>
      <c r="G237" s="18">
        <v>215.35</v>
      </c>
      <c r="H237" s="18">
        <f t="shared" si="10"/>
        <v>39.649499999999996</v>
      </c>
      <c r="I237" s="5"/>
      <c r="J237" s="17">
        <v>584.27009999999996</v>
      </c>
      <c r="K237" s="18">
        <v>39.383899999999997</v>
      </c>
      <c r="L237" s="18">
        <v>41.320399999999999</v>
      </c>
      <c r="M237" s="18">
        <v>41.191000000000003</v>
      </c>
      <c r="N237" s="18">
        <v>357.072</v>
      </c>
      <c r="O237" s="18">
        <f t="shared" si="11"/>
        <v>39.851849999999999</v>
      </c>
      <c r="P237" s="7"/>
      <c r="Q237" s="10"/>
      <c r="R237" s="11"/>
      <c r="S237" s="11"/>
      <c r="T237" s="26"/>
      <c r="U237" s="28">
        <f t="shared" si="9"/>
        <v>0.65810076619456703</v>
      </c>
    </row>
    <row r="238" spans="2:21" ht="16.5" thickBot="1" x14ac:dyDescent="0.3">
      <c r="B238" s="12"/>
      <c r="C238" s="19">
        <v>528.53515625</v>
      </c>
      <c r="D238" s="20">
        <v>35.722999999999999</v>
      </c>
      <c r="E238" s="20">
        <v>37.881</v>
      </c>
      <c r="F238" s="20">
        <v>37.658000000000001</v>
      </c>
      <c r="G238" s="20">
        <v>229.26</v>
      </c>
      <c r="H238" s="20">
        <f t="shared" si="10"/>
        <v>36.234625000000001</v>
      </c>
      <c r="I238" s="5"/>
      <c r="J238" s="19">
        <v>295.69029999999998</v>
      </c>
      <c r="K238" s="20">
        <v>35.032200000000003</v>
      </c>
      <c r="L238" s="20">
        <v>38.159100000000002</v>
      </c>
      <c r="M238" s="20">
        <v>37.906599999999997</v>
      </c>
      <c r="N238" s="20">
        <v>399.20159999999998</v>
      </c>
      <c r="O238" s="20">
        <f t="shared" si="11"/>
        <v>35.782362500000005</v>
      </c>
      <c r="P238" s="7"/>
      <c r="Q238" s="13"/>
      <c r="R238" s="14"/>
      <c r="S238" s="14"/>
      <c r="T238" s="27"/>
      <c r="U238" s="28">
        <f t="shared" si="9"/>
        <v>0.74126144988222975</v>
      </c>
    </row>
    <row r="239" spans="2:21" x14ac:dyDescent="0.25">
      <c r="B239" s="6" t="s">
        <v>112</v>
      </c>
      <c r="C239" s="15">
        <v>2141.20703125</v>
      </c>
      <c r="D239" s="16">
        <v>45.381999999999998</v>
      </c>
      <c r="E239" s="16">
        <v>46.844999999999999</v>
      </c>
      <c r="F239" s="16">
        <v>47.076999999999998</v>
      </c>
      <c r="G239" s="16">
        <v>182.53</v>
      </c>
      <c r="H239" s="16">
        <f t="shared" si="10"/>
        <v>45.776749999999993</v>
      </c>
      <c r="I239" s="5"/>
      <c r="J239" s="15">
        <v>1400.8652999999999</v>
      </c>
      <c r="K239" s="16">
        <v>45.287100000000002</v>
      </c>
      <c r="L239" s="16">
        <v>47.514099999999999</v>
      </c>
      <c r="M239" s="16">
        <v>47.7727</v>
      </c>
      <c r="N239" s="16">
        <v>238.37899999999999</v>
      </c>
      <c r="O239" s="16">
        <f t="shared" si="11"/>
        <v>45.876174999999996</v>
      </c>
      <c r="P239" s="7"/>
      <c r="Q239" s="8">
        <f>bdrate(C239:C242,D239:D242,J239:J242,K239:K242)</f>
        <v>-0.2334299118654205</v>
      </c>
      <c r="R239" s="8">
        <f>bdrate(C239:C242,E239:E242,J239:J242,L239:L242)</f>
        <v>-0.31936776917483911</v>
      </c>
      <c r="S239" s="8">
        <f>bdrate(C239:C242,F239:F242,J239:J242,M239:M242)</f>
        <v>-0.32222694985249811</v>
      </c>
      <c r="T239" s="25">
        <f>bdrate(C239:C242,H239:H242,J239:J242,O239:O242)</f>
        <v>-0.25562824731802325</v>
      </c>
      <c r="U239" s="28">
        <f t="shared" si="9"/>
        <v>0.30597162110338022</v>
      </c>
    </row>
    <row r="240" spans="2:21" x14ac:dyDescent="0.25">
      <c r="B240" s="9"/>
      <c r="C240" s="17">
        <v>1618.609375</v>
      </c>
      <c r="D240" s="18">
        <v>44.411000000000001</v>
      </c>
      <c r="E240" s="18">
        <v>46.021000000000001</v>
      </c>
      <c r="F240" s="18">
        <v>46.250999999999998</v>
      </c>
      <c r="G240" s="18">
        <v>196.74</v>
      </c>
      <c r="H240" s="18">
        <f t="shared" si="10"/>
        <v>44.84225</v>
      </c>
      <c r="I240" s="5"/>
      <c r="J240" s="17">
        <v>976.52189999999996</v>
      </c>
      <c r="K240" s="18">
        <v>43.588200000000001</v>
      </c>
      <c r="L240" s="18">
        <v>45.995800000000003</v>
      </c>
      <c r="M240" s="18">
        <v>46.244999999999997</v>
      </c>
      <c r="N240" s="18">
        <v>278.03519999999997</v>
      </c>
      <c r="O240" s="18">
        <f t="shared" si="11"/>
        <v>44.221249999999998</v>
      </c>
      <c r="P240" s="7"/>
      <c r="Q240" s="10"/>
      <c r="R240" s="11"/>
      <c r="S240" s="11"/>
      <c r="T240" s="26"/>
      <c r="U240" s="28">
        <f t="shared" si="9"/>
        <v>0.41321134492223222</v>
      </c>
    </row>
    <row r="241" spans="2:21" x14ac:dyDescent="0.25">
      <c r="B241" s="9"/>
      <c r="C241" s="17">
        <v>939.1728515625</v>
      </c>
      <c r="D241" s="18">
        <v>41.802</v>
      </c>
      <c r="E241" s="18">
        <v>43.906999999999996</v>
      </c>
      <c r="F241" s="18">
        <v>44.149000000000001</v>
      </c>
      <c r="G241" s="18">
        <v>207.24</v>
      </c>
      <c r="H241" s="18">
        <f t="shared" si="10"/>
        <v>42.358499999999999</v>
      </c>
      <c r="I241" s="5"/>
      <c r="J241" s="17">
        <v>635.66999999999996</v>
      </c>
      <c r="K241" s="18">
        <v>41.037999999999997</v>
      </c>
      <c r="L241" s="18">
        <v>43.8003</v>
      </c>
      <c r="M241" s="18">
        <v>44.0672</v>
      </c>
      <c r="N241" s="18">
        <v>306.85309999999998</v>
      </c>
      <c r="O241" s="18">
        <f t="shared" si="11"/>
        <v>41.761937500000002</v>
      </c>
      <c r="P241" s="7"/>
      <c r="Q241" s="10"/>
      <c r="R241" s="11"/>
      <c r="S241" s="11"/>
      <c r="T241" s="26"/>
      <c r="U241" s="28">
        <f t="shared" si="9"/>
        <v>0.48066541208260938</v>
      </c>
    </row>
    <row r="242" spans="2:21" ht="16.5" thickBot="1" x14ac:dyDescent="0.3">
      <c r="B242" s="12"/>
      <c r="C242" s="19">
        <v>501.2119140625</v>
      </c>
      <c r="D242" s="20">
        <v>38.503999999999998</v>
      </c>
      <c r="E242" s="20">
        <v>40.975000000000001</v>
      </c>
      <c r="F242" s="20">
        <v>41.207000000000001</v>
      </c>
      <c r="G242" s="20">
        <v>230.16</v>
      </c>
      <c r="H242" s="20">
        <f t="shared" si="10"/>
        <v>39.150750000000002</v>
      </c>
      <c r="I242" s="5"/>
      <c r="J242" s="19">
        <v>340.25</v>
      </c>
      <c r="K242" s="20">
        <v>36.866799999999998</v>
      </c>
      <c r="L242" s="20">
        <v>40.177700000000002</v>
      </c>
      <c r="M242" s="20">
        <v>40.428400000000003</v>
      </c>
      <c r="N242" s="20">
        <v>397.87799999999999</v>
      </c>
      <c r="O242" s="20">
        <f t="shared" si="11"/>
        <v>37.725862499999998</v>
      </c>
      <c r="P242" s="7"/>
      <c r="Q242" s="13"/>
      <c r="R242" s="14"/>
      <c r="S242" s="14"/>
      <c r="T242" s="27"/>
      <c r="U242" s="28">
        <f t="shared" si="9"/>
        <v>0.72870177267987479</v>
      </c>
    </row>
    <row r="243" spans="2:21" x14ac:dyDescent="0.25">
      <c r="B243" s="6" t="s">
        <v>113</v>
      </c>
      <c r="C243" s="29">
        <v>1706.587890625</v>
      </c>
      <c r="D243" s="30">
        <v>31.315999999999999</v>
      </c>
      <c r="E243" s="30">
        <v>35.030999999999999</v>
      </c>
      <c r="F243" s="30">
        <v>33.764000000000003</v>
      </c>
      <c r="G243" s="16">
        <v>144.35</v>
      </c>
      <c r="H243" s="16">
        <f t="shared" si="10"/>
        <v>32.086374999999997</v>
      </c>
      <c r="I243" s="5"/>
      <c r="J243" s="29">
        <v>1506.8504</v>
      </c>
      <c r="K243" s="30">
        <v>31.9665</v>
      </c>
      <c r="L243" s="30">
        <v>36.290599999999998</v>
      </c>
      <c r="M243" s="30">
        <v>35.180199999999999</v>
      </c>
      <c r="N243" s="16">
        <v>233.5539</v>
      </c>
      <c r="O243" s="16">
        <f t="shared" si="11"/>
        <v>32.908725000000004</v>
      </c>
      <c r="P243" s="7"/>
      <c r="Q243" s="8">
        <f>bdrate(C243:C246,D243:D246,J243:J246,K243:K246)</f>
        <v>-0.20353304055550481</v>
      </c>
      <c r="R243" s="8">
        <f>bdrate(C243:C246,E243:E246,J243:J246,L243:L246)</f>
        <v>-0.52674985052001944</v>
      </c>
      <c r="S243" s="8">
        <f>bdrate(C243:C246,F243:F246,J243:J246,M243:M246)</f>
        <v>-0.52641089278158448</v>
      </c>
      <c r="T243" s="25">
        <f>bdrate(C243:C246,H243:H246,J243:J246,O243:O246)</f>
        <v>-0.27783448448103965</v>
      </c>
      <c r="U243" s="28">
        <f t="shared" si="9"/>
        <v>0.61796951853134752</v>
      </c>
    </row>
    <row r="244" spans="2:21" x14ac:dyDescent="0.25">
      <c r="B244" s="9"/>
      <c r="C244" s="31">
        <v>1177.84375</v>
      </c>
      <c r="D244" s="32">
        <v>29.77</v>
      </c>
      <c r="E244" s="32">
        <v>33.835999999999999</v>
      </c>
      <c r="F244" s="32">
        <v>32.540999999999997</v>
      </c>
      <c r="G244" s="18">
        <v>157.72999999999999</v>
      </c>
      <c r="H244" s="18">
        <f t="shared" si="10"/>
        <v>30.624625000000002</v>
      </c>
      <c r="I244" s="5"/>
      <c r="J244" s="31">
        <v>1007.0581</v>
      </c>
      <c r="K244" s="32">
        <v>30.0914</v>
      </c>
      <c r="L244" s="32">
        <v>35.257100000000001</v>
      </c>
      <c r="M244" s="32">
        <v>34.085000000000001</v>
      </c>
      <c r="N244" s="18">
        <v>274.05599999999998</v>
      </c>
      <c r="O244" s="18">
        <f t="shared" si="11"/>
        <v>31.236312500000004</v>
      </c>
      <c r="P244" s="7"/>
      <c r="Q244" s="10"/>
      <c r="R244" s="11"/>
      <c r="S244" s="11"/>
      <c r="T244" s="26"/>
      <c r="U244" s="28">
        <f t="shared" si="9"/>
        <v>0.73750079249350153</v>
      </c>
    </row>
    <row r="245" spans="2:21" x14ac:dyDescent="0.25">
      <c r="B245" s="9"/>
      <c r="C245" s="31">
        <v>807.1904296875</v>
      </c>
      <c r="D245" s="32">
        <v>28.29</v>
      </c>
      <c r="E245" s="32">
        <v>32.625999999999998</v>
      </c>
      <c r="F245" s="32">
        <v>31.324999999999999</v>
      </c>
      <c r="G245" s="18">
        <v>159.81</v>
      </c>
      <c r="H245" s="18">
        <f t="shared" si="10"/>
        <v>29.211375</v>
      </c>
      <c r="I245" s="5"/>
      <c r="J245" s="31">
        <v>602.70749999999998</v>
      </c>
      <c r="K245" s="32">
        <v>27.957100000000001</v>
      </c>
      <c r="L245" s="32">
        <v>34.0182</v>
      </c>
      <c r="M245" s="32">
        <v>32.7425</v>
      </c>
      <c r="N245" s="18">
        <v>320.39870000000002</v>
      </c>
      <c r="O245" s="18">
        <f t="shared" si="11"/>
        <v>29.312912500000003</v>
      </c>
      <c r="P245" s="7"/>
      <c r="Q245" s="10"/>
      <c r="R245" s="11"/>
      <c r="S245" s="11"/>
      <c r="T245" s="26"/>
      <c r="U245" s="28">
        <f t="shared" si="9"/>
        <v>1.0048726612852763</v>
      </c>
    </row>
    <row r="246" spans="2:21" ht="16.5" thickBot="1" x14ac:dyDescent="0.3">
      <c r="B246" s="12"/>
      <c r="C246" s="33">
        <v>561.96875</v>
      </c>
      <c r="D246" s="34">
        <v>26.759</v>
      </c>
      <c r="E246" s="34">
        <v>31.294</v>
      </c>
      <c r="F246" s="34">
        <v>30.024999999999999</v>
      </c>
      <c r="G246" s="20">
        <v>167.85</v>
      </c>
      <c r="H246" s="20">
        <f t="shared" si="10"/>
        <v>27.734125000000002</v>
      </c>
      <c r="I246" s="5"/>
      <c r="J246" s="33">
        <v>304.7876</v>
      </c>
      <c r="K246" s="34">
        <v>25.447600000000001</v>
      </c>
      <c r="L246" s="34">
        <v>32.1813</v>
      </c>
      <c r="M246" s="34">
        <v>30.780799999999999</v>
      </c>
      <c r="N246" s="20">
        <v>382.0034</v>
      </c>
      <c r="O246" s="20">
        <f t="shared" si="11"/>
        <v>26.955962500000002</v>
      </c>
      <c r="P246" s="7"/>
      <c r="Q246" s="13"/>
      <c r="R246" s="14"/>
      <c r="S246" s="14"/>
      <c r="T246" s="27"/>
      <c r="U246" s="28">
        <f t="shared" si="9"/>
        <v>1.275861781352398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-0.34261573282238311</v>
      </c>
      <c r="R247" s="21">
        <f>AVERAGE(R131:R246)</f>
        <v>-0.43769002096203008</v>
      </c>
      <c r="S247" s="21">
        <f>AVERAGE(S131:S246)</f>
        <v>-0.44454813075164817</v>
      </c>
      <c r="T247" s="21">
        <f>AVERAGE(T131:T246)</f>
        <v>-0.36523773847878993</v>
      </c>
      <c r="U247" s="21">
        <f>AVERAGE(U131:U246)</f>
        <v>1.0828636303892158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37" priority="85" operator="greaterThan">
      <formula>0.03</formula>
    </cfRule>
    <cfRule type="cellIs" dxfId="436" priority="86" stopIfTrue="1" operator="lessThan">
      <formula>-0.03</formula>
    </cfRule>
  </conditionalFormatting>
  <conditionalFormatting sqref="Q33:T36">
    <cfRule type="cellIs" dxfId="435" priority="83" operator="greaterThan">
      <formula>0.03</formula>
    </cfRule>
    <cfRule type="cellIs" dxfId="434" priority="84" stopIfTrue="1" operator="lessThan">
      <formula>-0.03</formula>
    </cfRule>
  </conditionalFormatting>
  <conditionalFormatting sqref="Q46:T48 Q62:T64">
    <cfRule type="cellIs" dxfId="433" priority="81" operator="greaterThan">
      <formula>0.03</formula>
    </cfRule>
    <cfRule type="cellIs" dxfId="432" priority="82" stopIfTrue="1" operator="lessThan">
      <formula>-0.03</formula>
    </cfRule>
  </conditionalFormatting>
  <conditionalFormatting sqref="Q50:T52 Q54:T56 Q58:T60">
    <cfRule type="cellIs" dxfId="431" priority="79" operator="greaterThan">
      <formula>0.03</formula>
    </cfRule>
    <cfRule type="cellIs" dxfId="430" priority="80" stopIfTrue="1" operator="lessThan">
      <formula>-0.03</formula>
    </cfRule>
  </conditionalFormatting>
  <conditionalFormatting sqref="Q70:T72 Q74:T76">
    <cfRule type="cellIs" dxfId="429" priority="77" operator="greaterThan">
      <formula>0.03</formula>
    </cfRule>
    <cfRule type="cellIs" dxfId="428" priority="78" stopIfTrue="1" operator="lessThan">
      <formula>-0.03</formula>
    </cfRule>
  </conditionalFormatting>
  <conditionalFormatting sqref="Q66:T68">
    <cfRule type="cellIs" dxfId="427" priority="75" operator="greaterThan">
      <formula>0.03</formula>
    </cfRule>
    <cfRule type="cellIs" dxfId="426" priority="76" stopIfTrue="1" operator="lessThan">
      <formula>-0.03</formula>
    </cfRule>
  </conditionalFormatting>
  <conditionalFormatting sqref="Q78:T80">
    <cfRule type="cellIs" dxfId="425" priority="73" operator="greaterThan">
      <formula>0.03</formula>
    </cfRule>
    <cfRule type="cellIs" dxfId="424" priority="74" stopIfTrue="1" operator="lessThan">
      <formula>-0.03</formula>
    </cfRule>
  </conditionalFormatting>
  <conditionalFormatting sqref="Q21:T28">
    <cfRule type="cellIs" dxfId="423" priority="71" operator="greaterThan">
      <formula>0.03</formula>
    </cfRule>
    <cfRule type="cellIs" dxfId="422" priority="72" stopIfTrue="1" operator="lessThan">
      <formula>-0.03</formula>
    </cfRule>
  </conditionalFormatting>
  <conditionalFormatting sqref="Q151:T154 Q159:T166 Q131:T142">
    <cfRule type="cellIs" dxfId="421" priority="69" operator="greaterThan">
      <formula>0.03</formula>
    </cfRule>
    <cfRule type="cellIs" dxfId="420" priority="70" stopIfTrue="1" operator="lessThan">
      <formula>-0.03</formula>
    </cfRule>
  </conditionalFormatting>
  <conditionalFormatting sqref="Q155:T158">
    <cfRule type="cellIs" dxfId="419" priority="67" operator="greaterThan">
      <formula>0.03</formula>
    </cfRule>
    <cfRule type="cellIs" dxfId="418" priority="68" stopIfTrue="1" operator="lessThan">
      <formula>-0.03</formula>
    </cfRule>
  </conditionalFormatting>
  <conditionalFormatting sqref="Q167:T170 Q183:T186">
    <cfRule type="cellIs" dxfId="417" priority="65" operator="greaterThan">
      <formula>0.03</formula>
    </cfRule>
    <cfRule type="cellIs" dxfId="416" priority="66" stopIfTrue="1" operator="lessThan">
      <formula>-0.03</formula>
    </cfRule>
  </conditionalFormatting>
  <conditionalFormatting sqref="Q171:T182">
    <cfRule type="cellIs" dxfId="415" priority="63" operator="greaterThan">
      <formula>0.03</formula>
    </cfRule>
    <cfRule type="cellIs" dxfId="414" priority="64" stopIfTrue="1" operator="lessThan">
      <formula>-0.03</formula>
    </cfRule>
  </conditionalFormatting>
  <conditionalFormatting sqref="Q191:T198">
    <cfRule type="cellIs" dxfId="413" priority="61" operator="greaterThan">
      <formula>0.03</formula>
    </cfRule>
    <cfRule type="cellIs" dxfId="412" priority="62" stopIfTrue="1" operator="lessThan">
      <formula>-0.03</formula>
    </cfRule>
  </conditionalFormatting>
  <conditionalFormatting sqref="Q187:T190">
    <cfRule type="cellIs" dxfId="411" priority="59" operator="greaterThan">
      <formula>0.03</formula>
    </cfRule>
    <cfRule type="cellIs" dxfId="410" priority="60" stopIfTrue="1" operator="lessThan">
      <formula>-0.03</formula>
    </cfRule>
  </conditionalFormatting>
  <conditionalFormatting sqref="Q199:T202">
    <cfRule type="cellIs" dxfId="409" priority="57" operator="greaterThan">
      <formula>0.03</formula>
    </cfRule>
    <cfRule type="cellIs" dxfId="408" priority="58" stopIfTrue="1" operator="lessThan">
      <formula>-0.03</formula>
    </cfRule>
  </conditionalFormatting>
  <conditionalFormatting sqref="Q143:T150">
    <cfRule type="cellIs" dxfId="407" priority="55" operator="greaterThan">
      <formula>0.03</formula>
    </cfRule>
    <cfRule type="cellIs" dxfId="406" priority="56" stopIfTrue="1" operator="lessThan">
      <formula>-0.03</formula>
    </cfRule>
  </conditionalFormatting>
  <conditionalFormatting sqref="Q45:T45">
    <cfRule type="cellIs" dxfId="405" priority="53" operator="greaterThan">
      <formula>0.03</formula>
    </cfRule>
    <cfRule type="cellIs" dxfId="404" priority="54" stopIfTrue="1" operator="lessThan">
      <formula>-0.03</formula>
    </cfRule>
  </conditionalFormatting>
  <conditionalFormatting sqref="Q49:T49">
    <cfRule type="cellIs" dxfId="403" priority="51" operator="greaterThan">
      <formula>0.03</formula>
    </cfRule>
    <cfRule type="cellIs" dxfId="402" priority="52" stopIfTrue="1" operator="lessThan">
      <formula>-0.03</formula>
    </cfRule>
  </conditionalFormatting>
  <conditionalFormatting sqref="Q53:T53">
    <cfRule type="cellIs" dxfId="401" priority="49" operator="greaterThan">
      <formula>0.03</formula>
    </cfRule>
    <cfRule type="cellIs" dxfId="400" priority="50" stopIfTrue="1" operator="lessThan">
      <formula>-0.03</formula>
    </cfRule>
  </conditionalFormatting>
  <conditionalFormatting sqref="Q57:T57">
    <cfRule type="cellIs" dxfId="399" priority="47" operator="greaterThan">
      <formula>0.03</formula>
    </cfRule>
    <cfRule type="cellIs" dxfId="398" priority="48" stopIfTrue="1" operator="lessThan">
      <formula>-0.03</formula>
    </cfRule>
  </conditionalFormatting>
  <conditionalFormatting sqref="Q61:T61">
    <cfRule type="cellIs" dxfId="397" priority="45" operator="greaterThan">
      <formula>0.03</formula>
    </cfRule>
    <cfRule type="cellIs" dxfId="396" priority="46" stopIfTrue="1" operator="lessThan">
      <formula>-0.03</formula>
    </cfRule>
  </conditionalFormatting>
  <conditionalFormatting sqref="Q65:T65">
    <cfRule type="cellIs" dxfId="395" priority="43" operator="greaterThan">
      <formula>0.03</formula>
    </cfRule>
    <cfRule type="cellIs" dxfId="394" priority="44" stopIfTrue="1" operator="lessThan">
      <formula>-0.03</formula>
    </cfRule>
  </conditionalFormatting>
  <conditionalFormatting sqref="Q69:T69">
    <cfRule type="cellIs" dxfId="393" priority="41" operator="greaterThan">
      <formula>0.03</formula>
    </cfRule>
    <cfRule type="cellIs" dxfId="392" priority="42" stopIfTrue="1" operator="lessThan">
      <formula>-0.03</formula>
    </cfRule>
  </conditionalFormatting>
  <conditionalFormatting sqref="Q73:T73">
    <cfRule type="cellIs" dxfId="391" priority="39" operator="greaterThan">
      <formula>0.03</formula>
    </cfRule>
    <cfRule type="cellIs" dxfId="390" priority="40" stopIfTrue="1" operator="lessThan">
      <formula>-0.03</formula>
    </cfRule>
  </conditionalFormatting>
  <conditionalFormatting sqref="Q77:T77">
    <cfRule type="cellIs" dxfId="389" priority="37" operator="greaterThan">
      <formula>0.03</formula>
    </cfRule>
    <cfRule type="cellIs" dxfId="388" priority="38" stopIfTrue="1" operator="lessThan">
      <formula>-0.03</formula>
    </cfRule>
  </conditionalFormatting>
  <conditionalFormatting sqref="Q117:T117">
    <cfRule type="cellIs" dxfId="387" priority="21" operator="greaterThan">
      <formula>0.03</formula>
    </cfRule>
    <cfRule type="cellIs" dxfId="386" priority="22" stopIfTrue="1" operator="lessThan">
      <formula>-0.03</formula>
    </cfRule>
  </conditionalFormatting>
  <conditionalFormatting sqref="Q93:T96 Q101:T108 Q81:T84">
    <cfRule type="cellIs" dxfId="385" priority="35" operator="greaterThan">
      <formula>0.03</formula>
    </cfRule>
    <cfRule type="cellIs" dxfId="384" priority="36" stopIfTrue="1" operator="lessThan">
      <formula>-0.03</formula>
    </cfRule>
  </conditionalFormatting>
  <conditionalFormatting sqref="Q97:T100">
    <cfRule type="cellIs" dxfId="383" priority="33" operator="greaterThan">
      <formula>0.03</formula>
    </cfRule>
    <cfRule type="cellIs" dxfId="382" priority="34" stopIfTrue="1" operator="lessThan">
      <formula>-0.03</formula>
    </cfRule>
  </conditionalFormatting>
  <conditionalFormatting sqref="Q110:T112 Q122:T124">
    <cfRule type="cellIs" dxfId="381" priority="31" operator="greaterThan">
      <formula>0.03</formula>
    </cfRule>
    <cfRule type="cellIs" dxfId="380" priority="32" stopIfTrue="1" operator="lessThan">
      <formula>-0.03</formula>
    </cfRule>
  </conditionalFormatting>
  <conditionalFormatting sqref="Q114:T116 Q118:T120">
    <cfRule type="cellIs" dxfId="379" priority="29" operator="greaterThan">
      <formula>0.03</formula>
    </cfRule>
    <cfRule type="cellIs" dxfId="378" priority="30" stopIfTrue="1" operator="lessThan">
      <formula>-0.03</formula>
    </cfRule>
  </conditionalFormatting>
  <conditionalFormatting sqref="Q85:T92">
    <cfRule type="cellIs" dxfId="377" priority="27" operator="greaterThan">
      <formula>0.03</formula>
    </cfRule>
    <cfRule type="cellIs" dxfId="376" priority="28" stopIfTrue="1" operator="lessThan">
      <formula>-0.03</formula>
    </cfRule>
  </conditionalFormatting>
  <conditionalFormatting sqref="Q109:T109">
    <cfRule type="cellIs" dxfId="375" priority="25" operator="greaterThan">
      <formula>0.03</formula>
    </cfRule>
    <cfRule type="cellIs" dxfId="374" priority="26" stopIfTrue="1" operator="lessThan">
      <formula>-0.03</formula>
    </cfRule>
  </conditionalFormatting>
  <conditionalFormatting sqref="Q113:T113">
    <cfRule type="cellIs" dxfId="373" priority="23" operator="greaterThan">
      <formula>0.03</formula>
    </cfRule>
    <cfRule type="cellIs" dxfId="372" priority="24" stopIfTrue="1" operator="lessThan">
      <formula>-0.03</formula>
    </cfRule>
  </conditionalFormatting>
  <conditionalFormatting sqref="Q121:T121">
    <cfRule type="cellIs" dxfId="371" priority="19" operator="greaterThan">
      <formula>0.03</formula>
    </cfRule>
    <cfRule type="cellIs" dxfId="370" priority="20" stopIfTrue="1" operator="lessThan">
      <formula>-0.03</formula>
    </cfRule>
  </conditionalFormatting>
  <conditionalFormatting sqref="Q239:T239">
    <cfRule type="cellIs" dxfId="369" priority="3" operator="greaterThan">
      <formula>0.03</formula>
    </cfRule>
    <cfRule type="cellIs" dxfId="368" priority="4" stopIfTrue="1" operator="lessThan">
      <formula>-0.03</formula>
    </cfRule>
  </conditionalFormatting>
  <conditionalFormatting sqref="Q215:T218 Q223:T230 Q203:T206">
    <cfRule type="cellIs" dxfId="367" priority="17" operator="greaterThan">
      <formula>0.03</formula>
    </cfRule>
    <cfRule type="cellIs" dxfId="366" priority="18" stopIfTrue="1" operator="lessThan">
      <formula>-0.03</formula>
    </cfRule>
  </conditionalFormatting>
  <conditionalFormatting sqref="Q219:T222">
    <cfRule type="cellIs" dxfId="365" priority="15" operator="greaterThan">
      <formula>0.03</formula>
    </cfRule>
    <cfRule type="cellIs" dxfId="364" priority="16" stopIfTrue="1" operator="lessThan">
      <formula>-0.03</formula>
    </cfRule>
  </conditionalFormatting>
  <conditionalFormatting sqref="Q232:T234 Q244:T246">
    <cfRule type="cellIs" dxfId="363" priority="13" operator="greaterThan">
      <formula>0.03</formula>
    </cfRule>
    <cfRule type="cellIs" dxfId="362" priority="14" stopIfTrue="1" operator="lessThan">
      <formula>-0.03</formula>
    </cfRule>
  </conditionalFormatting>
  <conditionalFormatting sqref="Q236:T238 Q240:T242">
    <cfRule type="cellIs" dxfId="361" priority="11" operator="greaterThan">
      <formula>0.03</formula>
    </cfRule>
    <cfRule type="cellIs" dxfId="360" priority="12" stopIfTrue="1" operator="lessThan">
      <formula>-0.03</formula>
    </cfRule>
  </conditionalFormatting>
  <conditionalFormatting sqref="Q207:T214">
    <cfRule type="cellIs" dxfId="359" priority="9" operator="greaterThan">
      <formula>0.03</formula>
    </cfRule>
    <cfRule type="cellIs" dxfId="358" priority="10" stopIfTrue="1" operator="lessThan">
      <formula>-0.03</formula>
    </cfRule>
  </conditionalFormatting>
  <conditionalFormatting sqref="Q231:T231">
    <cfRule type="cellIs" dxfId="357" priority="7" operator="greaterThan">
      <formula>0.03</formula>
    </cfRule>
    <cfRule type="cellIs" dxfId="356" priority="8" stopIfTrue="1" operator="lessThan">
      <formula>-0.03</formula>
    </cfRule>
  </conditionalFormatting>
  <conditionalFormatting sqref="Q235:T235">
    <cfRule type="cellIs" dxfId="355" priority="5" operator="greaterThan">
      <formula>0.03</formula>
    </cfRule>
    <cfRule type="cellIs" dxfId="354" priority="6" stopIfTrue="1" operator="lessThan">
      <formula>-0.03</formula>
    </cfRule>
  </conditionalFormatting>
  <conditionalFormatting sqref="Q243:T243">
    <cfRule type="cellIs" dxfId="353" priority="1" operator="greaterThan">
      <formula>0.03</formula>
    </cfRule>
    <cfRule type="cellIs" dxfId="352" priority="2" stopIfTrue="1" operator="lessThan">
      <formula>-0.03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>
      <selection sqref="A1:XFD1048576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130</v>
      </c>
    </row>
    <row r="2" spans="1:21" x14ac:dyDescent="0.25">
      <c r="A2" t="s">
        <v>128</v>
      </c>
    </row>
    <row r="3" spans="1:21" x14ac:dyDescent="0.25">
      <c r="A3" t="s">
        <v>89</v>
      </c>
    </row>
    <row r="4" spans="1:21" x14ac:dyDescent="0.25">
      <c r="A4" t="s">
        <v>85</v>
      </c>
    </row>
    <row r="5" spans="1:21" s="35" customFormat="1" ht="15.75" customHeight="1" x14ac:dyDescent="0.25">
      <c r="B5" s="58" t="s">
        <v>29</v>
      </c>
      <c r="C5" s="60" t="s">
        <v>141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2"/>
    </row>
    <row r="6" spans="1:21" s="35" customFormat="1" x14ac:dyDescent="0.25">
      <c r="B6" s="59"/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5"/>
    </row>
    <row r="7" spans="1:21" ht="16.5" customHeight="1" thickBot="1" x14ac:dyDescent="0.3">
      <c r="C7" s="66" t="s">
        <v>126</v>
      </c>
      <c r="D7" s="67"/>
      <c r="E7" s="67"/>
      <c r="F7" s="67"/>
      <c r="G7" s="67"/>
      <c r="H7" s="67"/>
      <c r="I7" s="5"/>
      <c r="J7" s="66" t="s">
        <v>142</v>
      </c>
      <c r="K7" s="67"/>
      <c r="L7" s="67"/>
      <c r="M7" s="67"/>
      <c r="N7" s="67"/>
      <c r="O7" s="67"/>
      <c r="Q7" s="66" t="s">
        <v>7</v>
      </c>
      <c r="R7" s="67"/>
      <c r="S7" s="68"/>
      <c r="T7" s="36"/>
      <c r="U7" s="6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9"/>
    </row>
    <row r="9" spans="1:21" x14ac:dyDescent="0.25">
      <c r="A9" s="6" t="s">
        <v>35</v>
      </c>
      <c r="B9" s="6" t="s">
        <v>46</v>
      </c>
      <c r="C9" s="15">
        <v>4240.2294921875</v>
      </c>
      <c r="D9" s="16">
        <v>36.122</v>
      </c>
      <c r="E9" s="16">
        <v>38.588000000000001</v>
      </c>
      <c r="F9" s="16">
        <v>40.881</v>
      </c>
      <c r="G9" s="16">
        <v>14.23</v>
      </c>
      <c r="H9" s="16">
        <f t="shared" ref="H9:H80" si="0">(6*D9+E9+F9)/8</f>
        <v>37.025125000000003</v>
      </c>
      <c r="I9" s="5"/>
      <c r="J9" s="15">
        <v>3996.5727999999999</v>
      </c>
      <c r="K9" s="16">
        <v>37.901400000000002</v>
      </c>
      <c r="L9" s="16">
        <v>39.451599999999999</v>
      </c>
      <c r="M9" s="16">
        <v>41.927100000000003</v>
      </c>
      <c r="N9" s="16">
        <v>16.325600000000001</v>
      </c>
      <c r="O9" s="16">
        <f t="shared" ref="O9:O80" si="1">(6*K9+L9+M9)/8</f>
        <v>38.598387500000001</v>
      </c>
      <c r="P9" s="7"/>
      <c r="Q9" s="8">
        <f>bdrate(C9:C12,D9:D12,J9:J12,K9:K12)</f>
        <v>-0.39904101507061973</v>
      </c>
      <c r="R9" s="8">
        <f>bdrate(C9:C12,E9:E12,J9:J12,L9:L12)</f>
        <v>-0.45954819884553655</v>
      </c>
      <c r="S9" s="8">
        <f>bdrate(C9:C12,F9:F12,J9:J12,M9:M12)</f>
        <v>-0.47739510010473551</v>
      </c>
      <c r="T9" s="25">
        <f>bdrate(C9:C12,H9:H12,J9:J12,O9:O12)</f>
        <v>-0.41137894936317088</v>
      </c>
      <c r="U9" s="28">
        <f t="shared" ref="U9:U72" si="2">(N9-G9)/G9</f>
        <v>0.14726633872101202</v>
      </c>
    </row>
    <row r="10" spans="1:21" x14ac:dyDescent="0.25">
      <c r="A10" s="9" t="s">
        <v>36</v>
      </c>
      <c r="B10" s="9"/>
      <c r="C10" s="17">
        <v>3170.7421875</v>
      </c>
      <c r="D10" s="18">
        <v>35.216000000000001</v>
      </c>
      <c r="E10" s="18">
        <v>38.058</v>
      </c>
      <c r="F10" s="18">
        <v>40.283999999999999</v>
      </c>
      <c r="G10" s="18">
        <v>14.68</v>
      </c>
      <c r="H10" s="18">
        <f t="shared" si="0"/>
        <v>36.204749999999997</v>
      </c>
      <c r="I10" s="5"/>
      <c r="J10" s="17">
        <v>2901.0864000000001</v>
      </c>
      <c r="K10" s="18">
        <v>36.9054</v>
      </c>
      <c r="L10" s="18">
        <v>38.872300000000003</v>
      </c>
      <c r="M10" s="18">
        <v>41.210500000000003</v>
      </c>
      <c r="N10" s="18">
        <v>18.6706</v>
      </c>
      <c r="O10" s="18">
        <f t="shared" si="1"/>
        <v>37.689400000000006</v>
      </c>
      <c r="P10" s="7"/>
      <c r="Q10" s="10"/>
      <c r="R10" s="11"/>
      <c r="S10" s="11"/>
      <c r="T10" s="26"/>
      <c r="U10" s="28">
        <f t="shared" si="2"/>
        <v>0.27183923705722074</v>
      </c>
    </row>
    <row r="11" spans="1:21" x14ac:dyDescent="0.25">
      <c r="B11" s="9"/>
      <c r="C11" s="17">
        <v>2137.521484375</v>
      </c>
      <c r="D11" s="18">
        <v>33.895000000000003</v>
      </c>
      <c r="E11" s="18">
        <v>37.265999999999998</v>
      </c>
      <c r="F11" s="18">
        <v>39.402999999999999</v>
      </c>
      <c r="G11" s="18">
        <v>15.59</v>
      </c>
      <c r="H11" s="18">
        <f t="shared" si="0"/>
        <v>35.004874999999998</v>
      </c>
      <c r="I11" s="5"/>
      <c r="J11" s="17">
        <v>1939.912</v>
      </c>
      <c r="K11" s="18">
        <v>35.383899999999997</v>
      </c>
      <c r="L11" s="18">
        <v>38.226199999999999</v>
      </c>
      <c r="M11" s="18">
        <v>40.5227</v>
      </c>
      <c r="N11" s="18">
        <v>21.904199999999999</v>
      </c>
      <c r="O11" s="18">
        <f t="shared" si="1"/>
        <v>36.3815375</v>
      </c>
      <c r="P11" s="7"/>
      <c r="Q11" s="10"/>
      <c r="R11" s="11"/>
      <c r="S11" s="11"/>
      <c r="T11" s="26"/>
      <c r="U11" s="28">
        <f t="shared" si="2"/>
        <v>0.40501603592046181</v>
      </c>
    </row>
    <row r="12" spans="1:21" ht="16.5" thickBot="1" x14ac:dyDescent="0.3">
      <c r="B12" s="12"/>
      <c r="C12" s="19">
        <v>1096.005859375</v>
      </c>
      <c r="D12" s="20">
        <v>31.102</v>
      </c>
      <c r="E12" s="20">
        <v>35.744999999999997</v>
      </c>
      <c r="F12" s="20">
        <v>37.673999999999999</v>
      </c>
      <c r="G12" s="20">
        <v>18.36</v>
      </c>
      <c r="H12" s="20">
        <f t="shared" si="0"/>
        <v>32.503875000000001</v>
      </c>
      <c r="I12" s="5"/>
      <c r="J12" s="19">
        <v>923.71199999999999</v>
      </c>
      <c r="K12" s="20">
        <v>32.498100000000001</v>
      </c>
      <c r="L12" s="20">
        <v>36.923999999999999</v>
      </c>
      <c r="M12" s="20">
        <v>39.136800000000001</v>
      </c>
      <c r="N12" s="20">
        <v>28.7026</v>
      </c>
      <c r="O12" s="20">
        <f t="shared" si="1"/>
        <v>33.881175000000006</v>
      </c>
      <c r="P12" s="7"/>
      <c r="Q12" s="13"/>
      <c r="R12" s="14"/>
      <c r="S12" s="14"/>
      <c r="T12" s="27"/>
      <c r="U12" s="28">
        <f t="shared" si="2"/>
        <v>0.56332244008714605</v>
      </c>
    </row>
    <row r="13" spans="1:21" x14ac:dyDescent="0.25">
      <c r="B13" s="6" t="s">
        <v>47</v>
      </c>
      <c r="C13" s="15">
        <v>4762.2294921875</v>
      </c>
      <c r="D13" s="16">
        <v>28.03</v>
      </c>
      <c r="E13" s="16">
        <v>38.781999999999996</v>
      </c>
      <c r="F13" s="16">
        <v>39.816000000000003</v>
      </c>
      <c r="G13" s="16">
        <v>12.3</v>
      </c>
      <c r="H13" s="16">
        <f t="shared" si="0"/>
        <v>30.847249999999999</v>
      </c>
      <c r="I13" s="5"/>
      <c r="J13" s="15">
        <v>4038.4863999999998</v>
      </c>
      <c r="K13" s="16">
        <v>29.4847</v>
      </c>
      <c r="L13" s="16">
        <v>39.3401</v>
      </c>
      <c r="M13" s="16">
        <v>40.259700000000002</v>
      </c>
      <c r="N13" s="16">
        <v>11.9741</v>
      </c>
      <c r="O13" s="16">
        <f t="shared" si="1"/>
        <v>32.063499999999998</v>
      </c>
      <c r="P13" s="7"/>
      <c r="Q13" s="8">
        <f>bdrate(C13:C16,D13:D16,J13:J16,K13:K16)</f>
        <v>-0.30321687805785058</v>
      </c>
      <c r="R13" s="8">
        <f>bdrate(C13:C16,E13:E16,J13:J16,L13:L16)</f>
        <v>-0.53420544976112916</v>
      </c>
      <c r="S13" s="8">
        <f>bdrate(C13:C16,F13:F16,J13:J16,M13:M16)</f>
        <v>-0.55348407616633721</v>
      </c>
      <c r="T13" s="25">
        <f>bdrate(C13:C16,H13:H16,J13:J16,O13:O16)</f>
        <v>-0.34619830503337423</v>
      </c>
      <c r="U13" s="28">
        <f t="shared" si="2"/>
        <v>-2.6495934959349654E-2</v>
      </c>
    </row>
    <row r="14" spans="1:21" x14ac:dyDescent="0.25">
      <c r="B14" s="9"/>
      <c r="C14" s="17">
        <v>4095.2666015625</v>
      </c>
      <c r="D14" s="18">
        <v>27.666</v>
      </c>
      <c r="E14" s="18">
        <v>38.234000000000002</v>
      </c>
      <c r="F14" s="18">
        <v>39.261000000000003</v>
      </c>
      <c r="G14" s="18">
        <v>12.62</v>
      </c>
      <c r="H14" s="18">
        <f t="shared" si="0"/>
        <v>30.436375000000002</v>
      </c>
      <c r="I14" s="5"/>
      <c r="J14" s="17">
        <v>3049.6</v>
      </c>
      <c r="K14" s="18">
        <v>28.211600000000001</v>
      </c>
      <c r="L14" s="18">
        <v>38.883499999999998</v>
      </c>
      <c r="M14" s="18">
        <v>39.850499999999997</v>
      </c>
      <c r="N14" s="18">
        <v>13.915900000000001</v>
      </c>
      <c r="O14" s="18">
        <f t="shared" si="1"/>
        <v>31.000450000000001</v>
      </c>
      <c r="P14" s="7"/>
      <c r="Q14" s="10"/>
      <c r="R14" s="11"/>
      <c r="S14" s="11"/>
      <c r="T14" s="26"/>
      <c r="U14" s="28">
        <f t="shared" si="2"/>
        <v>0.10268621236133134</v>
      </c>
    </row>
    <row r="15" spans="1:21" x14ac:dyDescent="0.25">
      <c r="B15" s="9"/>
      <c r="C15" s="17">
        <v>3409.58203125</v>
      </c>
      <c r="D15" s="18">
        <v>27.236000000000001</v>
      </c>
      <c r="E15" s="18">
        <v>37.610999999999997</v>
      </c>
      <c r="F15" s="18">
        <v>38.527999999999999</v>
      </c>
      <c r="G15" s="18">
        <v>12.29</v>
      </c>
      <c r="H15" s="18">
        <f t="shared" si="0"/>
        <v>29.944374999999997</v>
      </c>
      <c r="I15" s="5"/>
      <c r="J15" s="17">
        <v>2019.6464000000001</v>
      </c>
      <c r="K15" s="18">
        <v>26.395399999999999</v>
      </c>
      <c r="L15" s="18">
        <v>38.172899999999998</v>
      </c>
      <c r="M15" s="18">
        <v>39.279299999999999</v>
      </c>
      <c r="N15" s="18">
        <v>17.5459</v>
      </c>
      <c r="O15" s="18">
        <f t="shared" si="1"/>
        <v>29.478075</v>
      </c>
      <c r="P15" s="7"/>
      <c r="Q15" s="10"/>
      <c r="R15" s="11"/>
      <c r="S15" s="11"/>
      <c r="T15" s="26"/>
      <c r="U15" s="28">
        <f t="shared" si="2"/>
        <v>0.42765663140764854</v>
      </c>
    </row>
    <row r="16" spans="1:21" ht="16.5" thickBot="1" x14ac:dyDescent="0.3">
      <c r="B16" s="12"/>
      <c r="C16" s="19">
        <v>2870.1015625</v>
      </c>
      <c r="D16" s="20">
        <v>26.567</v>
      </c>
      <c r="E16" s="20">
        <v>36.459000000000003</v>
      </c>
      <c r="F16" s="20">
        <v>37.225999999999999</v>
      </c>
      <c r="G16" s="20">
        <v>12.65</v>
      </c>
      <c r="H16" s="20">
        <f t="shared" si="0"/>
        <v>29.135874999999999</v>
      </c>
      <c r="I16" s="5"/>
      <c r="J16" s="19">
        <v>1103.0527999999999</v>
      </c>
      <c r="K16" s="20">
        <v>24.1691</v>
      </c>
      <c r="L16" s="20">
        <v>36.587000000000003</v>
      </c>
      <c r="M16" s="20">
        <v>37.904800000000002</v>
      </c>
      <c r="N16" s="20">
        <v>22.946300000000001</v>
      </c>
      <c r="O16" s="20">
        <f t="shared" si="1"/>
        <v>27.438300000000002</v>
      </c>
      <c r="P16" s="7"/>
      <c r="Q16" s="13"/>
      <c r="R16" s="14"/>
      <c r="S16" s="14"/>
      <c r="T16" s="27"/>
      <c r="U16" s="28">
        <f t="shared" si="2"/>
        <v>0.81393675889328065</v>
      </c>
    </row>
    <row r="17" spans="1:21" x14ac:dyDescent="0.25">
      <c r="A17" s="6" t="s">
        <v>37</v>
      </c>
      <c r="B17" s="6" t="s">
        <v>48</v>
      </c>
      <c r="C17" s="15">
        <v>2016.111328125</v>
      </c>
      <c r="D17" s="16">
        <v>36.972999999999999</v>
      </c>
      <c r="E17" s="16">
        <v>40.981999999999999</v>
      </c>
      <c r="F17" s="16">
        <v>42.165999999999997</v>
      </c>
      <c r="G17" s="16">
        <v>24.02</v>
      </c>
      <c r="H17" s="16">
        <f t="shared" si="0"/>
        <v>38.123249999999999</v>
      </c>
      <c r="I17" s="5"/>
      <c r="J17" s="15">
        <v>2398.7352000000001</v>
      </c>
      <c r="K17" s="16">
        <v>39.0854</v>
      </c>
      <c r="L17" s="16">
        <v>41.890799999999999</v>
      </c>
      <c r="M17" s="16">
        <v>43.240099999999998</v>
      </c>
      <c r="N17" s="16">
        <v>31.463000000000001</v>
      </c>
      <c r="O17" s="16">
        <f t="shared" si="1"/>
        <v>39.955412500000001</v>
      </c>
      <c r="P17" s="7"/>
      <c r="Q17" s="8">
        <f>bdrate(C17:C20,D17:D20,J17:J20,K17:K20)</f>
        <v>-0.44562368401989449</v>
      </c>
      <c r="R17" s="8">
        <f>bdrate(C17:C20,E17:E20,J17:J20,L17:L20)</f>
        <v>-0.37182110389582279</v>
      </c>
      <c r="S17" s="8">
        <f>bdrate(C17:C20,F17:F20,J17:J20,M17:M20)</f>
        <v>-0.38077682093985155</v>
      </c>
      <c r="T17" s="25">
        <f>bdrate(C17:C20,H17:H20,J17:J20,O17:O20)</f>
        <v>-0.43664320870289186</v>
      </c>
      <c r="U17" s="28">
        <f t="shared" si="2"/>
        <v>0.30986677768526233</v>
      </c>
    </row>
    <row r="18" spans="1:21" x14ac:dyDescent="0.25">
      <c r="A18" s="9" t="s">
        <v>38</v>
      </c>
      <c r="B18" s="9"/>
      <c r="C18" s="17">
        <v>1416.314453125</v>
      </c>
      <c r="D18" s="18">
        <v>35.607999999999997</v>
      </c>
      <c r="E18" s="18">
        <v>40.335000000000001</v>
      </c>
      <c r="F18" s="18">
        <v>41.488</v>
      </c>
      <c r="G18" s="18">
        <v>26.23</v>
      </c>
      <c r="H18" s="18">
        <f t="shared" si="0"/>
        <v>36.933875</v>
      </c>
      <c r="I18" s="5"/>
      <c r="J18" s="17">
        <v>1570.4015999999999</v>
      </c>
      <c r="K18" s="18">
        <v>37.851999999999997</v>
      </c>
      <c r="L18" s="18">
        <v>41.205300000000001</v>
      </c>
      <c r="M18" s="18">
        <v>42.441699999999997</v>
      </c>
      <c r="N18" s="18">
        <v>35.613599999999998</v>
      </c>
      <c r="O18" s="18">
        <f t="shared" si="1"/>
        <v>38.844875000000002</v>
      </c>
      <c r="P18" s="7"/>
      <c r="Q18" s="10"/>
      <c r="R18" s="11"/>
      <c r="S18" s="11"/>
      <c r="T18" s="26"/>
      <c r="U18" s="28">
        <f t="shared" si="2"/>
        <v>0.35774304231795645</v>
      </c>
    </row>
    <row r="19" spans="1:21" x14ac:dyDescent="0.25">
      <c r="B19" s="9"/>
      <c r="C19" s="17">
        <v>958.91015625</v>
      </c>
      <c r="D19" s="18">
        <v>33.926000000000002</v>
      </c>
      <c r="E19" s="18">
        <v>39.448999999999998</v>
      </c>
      <c r="F19" s="18">
        <v>40.609000000000002</v>
      </c>
      <c r="G19" s="18">
        <v>28.5</v>
      </c>
      <c r="H19" s="18">
        <f t="shared" si="0"/>
        <v>35.451749999999997</v>
      </c>
      <c r="I19" s="5"/>
      <c r="J19" s="17">
        <v>962.68719999999996</v>
      </c>
      <c r="K19" s="18">
        <v>36.287700000000001</v>
      </c>
      <c r="L19" s="18">
        <v>40.410200000000003</v>
      </c>
      <c r="M19" s="18">
        <v>41.594700000000003</v>
      </c>
      <c r="N19" s="18">
        <v>41.804600000000001</v>
      </c>
      <c r="O19" s="18">
        <f t="shared" si="1"/>
        <v>37.466387499999996</v>
      </c>
      <c r="P19" s="7"/>
      <c r="Q19" s="10"/>
      <c r="R19" s="11"/>
      <c r="S19" s="11"/>
      <c r="T19" s="26"/>
      <c r="U19" s="28">
        <f t="shared" si="2"/>
        <v>0.46682807017543859</v>
      </c>
    </row>
    <row r="20" spans="1:21" ht="16.5" thickBot="1" x14ac:dyDescent="0.3">
      <c r="B20" s="12"/>
      <c r="C20" s="19">
        <v>591.73046875</v>
      </c>
      <c r="D20" s="20">
        <v>31.788</v>
      </c>
      <c r="E20" s="20">
        <v>38.286000000000001</v>
      </c>
      <c r="F20" s="20">
        <v>39.418999999999997</v>
      </c>
      <c r="G20" s="20">
        <v>31.68</v>
      </c>
      <c r="H20" s="20">
        <f t="shared" si="0"/>
        <v>33.554124999999999</v>
      </c>
      <c r="I20" s="5"/>
      <c r="J20" s="19">
        <v>554.31679999999994</v>
      </c>
      <c r="K20" s="20">
        <v>34.429200000000002</v>
      </c>
      <c r="L20" s="20">
        <v>39.6511</v>
      </c>
      <c r="M20" s="20">
        <v>40.857799999999997</v>
      </c>
      <c r="N20" s="20">
        <v>50.611600000000003</v>
      </c>
      <c r="O20" s="20">
        <f t="shared" si="1"/>
        <v>35.885512499999997</v>
      </c>
      <c r="P20" s="7"/>
      <c r="Q20" s="13"/>
      <c r="R20" s="14"/>
      <c r="S20" s="14"/>
      <c r="T20" s="27"/>
      <c r="U20" s="28">
        <f t="shared" si="2"/>
        <v>0.59758838383838397</v>
      </c>
    </row>
    <row r="21" spans="1:21" x14ac:dyDescent="0.25">
      <c r="B21" s="6" t="s">
        <v>49</v>
      </c>
      <c r="C21" s="15">
        <v>2483.6513671875</v>
      </c>
      <c r="D21" s="16">
        <v>34.587000000000003</v>
      </c>
      <c r="E21" s="16">
        <v>38.743000000000002</v>
      </c>
      <c r="F21" s="16">
        <v>39.991</v>
      </c>
      <c r="G21" s="16">
        <v>24.2</v>
      </c>
      <c r="H21" s="16">
        <f t="shared" si="0"/>
        <v>35.782000000000004</v>
      </c>
      <c r="I21" s="5"/>
      <c r="J21" s="15">
        <v>2445.0632000000001</v>
      </c>
      <c r="K21" s="16">
        <v>36.016599999999997</v>
      </c>
      <c r="L21" s="16">
        <v>39.927999999999997</v>
      </c>
      <c r="M21" s="16">
        <v>41.136699999999998</v>
      </c>
      <c r="N21" s="16">
        <v>28.436</v>
      </c>
      <c r="O21" s="16">
        <f t="shared" si="1"/>
        <v>37.145537500000003</v>
      </c>
      <c r="P21" s="7"/>
      <c r="Q21" s="8">
        <f>bdrate(C21:C24,D21:D24,J21:J24,K21:K24)</f>
        <v>-0.34440187318034521</v>
      </c>
      <c r="R21" s="8">
        <f>bdrate(C21:C24,E21:E24,J21:J24,L21:L24)</f>
        <v>-0.47095113217570439</v>
      </c>
      <c r="S21" s="8">
        <f>bdrate(C21:C24,F21:F24,J21:J24,M21:M24)</f>
        <v>-0.46527490165117047</v>
      </c>
      <c r="T21" s="25">
        <f>bdrate(C21:C24,H21:H24,J21:J24,O21:O24)</f>
        <v>-0.36660889876432212</v>
      </c>
      <c r="U21" s="28">
        <f t="shared" si="2"/>
        <v>0.17504132231404962</v>
      </c>
    </row>
    <row r="22" spans="1:21" x14ac:dyDescent="0.25">
      <c r="B22" s="9"/>
      <c r="C22" s="17">
        <v>1678.5498046875</v>
      </c>
      <c r="D22" s="18">
        <v>33.509</v>
      </c>
      <c r="E22" s="18">
        <v>38.015999999999998</v>
      </c>
      <c r="F22" s="18">
        <v>39.377000000000002</v>
      </c>
      <c r="G22" s="18">
        <v>25.38</v>
      </c>
      <c r="H22" s="18">
        <f t="shared" si="0"/>
        <v>34.805875</v>
      </c>
      <c r="I22" s="5"/>
      <c r="J22" s="17">
        <v>1633.9007999999999</v>
      </c>
      <c r="K22" s="18">
        <v>34.7547</v>
      </c>
      <c r="L22" s="18">
        <v>39.174199999999999</v>
      </c>
      <c r="M22" s="18">
        <v>40.3752</v>
      </c>
      <c r="N22" s="18">
        <v>34.266100000000002</v>
      </c>
      <c r="O22" s="18">
        <f t="shared" si="1"/>
        <v>36.009700000000002</v>
      </c>
      <c r="P22" s="7"/>
      <c r="Q22" s="10"/>
      <c r="R22" s="11"/>
      <c r="S22" s="11"/>
      <c r="T22" s="26"/>
      <c r="U22" s="28">
        <f t="shared" si="2"/>
        <v>0.35012214342001585</v>
      </c>
    </row>
    <row r="23" spans="1:21" x14ac:dyDescent="0.25">
      <c r="B23" s="9"/>
      <c r="C23" s="17">
        <v>1042.265625</v>
      </c>
      <c r="D23" s="18">
        <v>32.146000000000001</v>
      </c>
      <c r="E23" s="18">
        <v>37.091000000000001</v>
      </c>
      <c r="F23" s="18">
        <v>38.646000000000001</v>
      </c>
      <c r="G23" s="18">
        <v>27.19</v>
      </c>
      <c r="H23" s="18">
        <f t="shared" si="0"/>
        <v>33.576625</v>
      </c>
      <c r="I23" s="5"/>
      <c r="J23" s="17">
        <v>1002.3504</v>
      </c>
      <c r="K23" s="18">
        <v>33.235900000000001</v>
      </c>
      <c r="L23" s="18">
        <v>38.2121</v>
      </c>
      <c r="M23" s="18">
        <v>39.522199999999998</v>
      </c>
      <c r="N23" s="18">
        <v>41.357900000000001</v>
      </c>
      <c r="O23" s="18">
        <f t="shared" si="1"/>
        <v>34.643712499999999</v>
      </c>
      <c r="P23" s="7"/>
      <c r="Q23" s="10"/>
      <c r="R23" s="11"/>
      <c r="S23" s="11"/>
      <c r="T23" s="26"/>
      <c r="U23" s="28">
        <f t="shared" si="2"/>
        <v>0.52107024641412281</v>
      </c>
    </row>
    <row r="24" spans="1:21" ht="16.5" thickBot="1" x14ac:dyDescent="0.3">
      <c r="B24" s="12"/>
      <c r="C24" s="19">
        <v>625.6708984375</v>
      </c>
      <c r="D24" s="20">
        <v>30.579000000000001</v>
      </c>
      <c r="E24" s="20">
        <v>36.159999999999997</v>
      </c>
      <c r="F24" s="20">
        <v>37.936</v>
      </c>
      <c r="G24" s="20">
        <v>29.75</v>
      </c>
      <c r="H24" s="20">
        <f t="shared" si="0"/>
        <v>32.196249999999999</v>
      </c>
      <c r="I24" s="5"/>
      <c r="J24" s="19">
        <v>588.62480000000005</v>
      </c>
      <c r="K24" s="20">
        <v>31.6374</v>
      </c>
      <c r="L24" s="20">
        <v>37.3065</v>
      </c>
      <c r="M24" s="20">
        <v>38.7986</v>
      </c>
      <c r="N24" s="20">
        <v>48.377299999999998</v>
      </c>
      <c r="O24" s="20">
        <f t="shared" si="1"/>
        <v>33.241187500000002</v>
      </c>
      <c r="P24" s="7"/>
      <c r="Q24" s="13"/>
      <c r="R24" s="14"/>
      <c r="S24" s="14"/>
      <c r="T24" s="27"/>
      <c r="U24" s="28">
        <f t="shared" si="2"/>
        <v>0.62612773109243691</v>
      </c>
    </row>
    <row r="25" spans="1:21" x14ac:dyDescent="0.25">
      <c r="B25" s="6" t="s">
        <v>50</v>
      </c>
      <c r="C25" s="15">
        <v>2443.83203125</v>
      </c>
      <c r="D25" s="16">
        <v>32.697000000000003</v>
      </c>
      <c r="E25" s="16">
        <v>37.456000000000003</v>
      </c>
      <c r="F25" s="16">
        <v>38.76</v>
      </c>
      <c r="G25" s="16">
        <v>30.99</v>
      </c>
      <c r="H25" s="16">
        <f t="shared" si="0"/>
        <v>34.049750000000003</v>
      </c>
      <c r="I25" s="5"/>
      <c r="J25" s="15">
        <v>2409.2815999999998</v>
      </c>
      <c r="K25" s="16">
        <v>34.112499999999997</v>
      </c>
      <c r="L25" s="16">
        <v>38.1098</v>
      </c>
      <c r="M25" s="16">
        <v>40.109099999999998</v>
      </c>
      <c r="N25" s="16">
        <v>39.815300000000001</v>
      </c>
      <c r="O25" s="16">
        <f t="shared" si="1"/>
        <v>35.361737499999997</v>
      </c>
      <c r="P25" s="7"/>
      <c r="Q25" s="8">
        <f>bdrate(C25:C28,D25:D28,J25:J28,K25:K28)</f>
        <v>-0.4036664597300974</v>
      </c>
      <c r="R25" s="8">
        <f>bdrate(C25:C28,E25:E28,J25:J28,L25:L28)</f>
        <v>-0.52394790498639021</v>
      </c>
      <c r="S25" s="8">
        <f>bdrate(C25:C28,F25:F28,J25:J28,M25:M28)</f>
        <v>-0.54652221996549299</v>
      </c>
      <c r="T25" s="25">
        <f>bdrate(C25:C28,H25:H28,J25:J28,O25:O28)</f>
        <v>-0.42934597228806171</v>
      </c>
      <c r="U25" s="28">
        <f t="shared" si="2"/>
        <v>0.28477896095514693</v>
      </c>
    </row>
    <row r="26" spans="1:21" x14ac:dyDescent="0.25">
      <c r="B26" s="9"/>
      <c r="C26" s="17">
        <v>1638.05859375</v>
      </c>
      <c r="D26" s="18">
        <v>31.349</v>
      </c>
      <c r="E26" s="18">
        <v>36.707000000000001</v>
      </c>
      <c r="F26" s="18">
        <v>37.566000000000003</v>
      </c>
      <c r="G26" s="18">
        <v>33.14</v>
      </c>
      <c r="H26" s="18">
        <f t="shared" si="0"/>
        <v>32.795874999999995</v>
      </c>
      <c r="I26" s="5"/>
      <c r="J26" s="17">
        <v>1604.2439999999999</v>
      </c>
      <c r="K26" s="18">
        <v>32.917400000000001</v>
      </c>
      <c r="L26" s="18">
        <v>37.667900000000003</v>
      </c>
      <c r="M26" s="18">
        <v>39.304099999999998</v>
      </c>
      <c r="N26" s="18">
        <v>46.856000000000002</v>
      </c>
      <c r="O26" s="18">
        <f t="shared" si="1"/>
        <v>34.309550000000002</v>
      </c>
      <c r="P26" s="7"/>
      <c r="Q26" s="10"/>
      <c r="R26" s="11"/>
      <c r="S26" s="11"/>
      <c r="T26" s="26"/>
      <c r="U26" s="28">
        <f t="shared" si="2"/>
        <v>0.41388050694025352</v>
      </c>
    </row>
    <row r="27" spans="1:21" x14ac:dyDescent="0.25">
      <c r="B27" s="9"/>
      <c r="C27" s="17">
        <v>1050.5712890625</v>
      </c>
      <c r="D27" s="18">
        <v>29.584</v>
      </c>
      <c r="E27" s="18">
        <v>35.676000000000002</v>
      </c>
      <c r="F27" s="18">
        <v>36.015000000000001</v>
      </c>
      <c r="G27" s="18">
        <v>37.450000000000003</v>
      </c>
      <c r="H27" s="18">
        <f t="shared" si="0"/>
        <v>31.149374999999999</v>
      </c>
      <c r="I27" s="5"/>
      <c r="J27" s="17">
        <v>998.58320000000003</v>
      </c>
      <c r="K27" s="18">
        <v>31.3521</v>
      </c>
      <c r="L27" s="18">
        <v>37.094000000000001</v>
      </c>
      <c r="M27" s="18">
        <v>38.303899999999999</v>
      </c>
      <c r="N27" s="18">
        <v>55.834699999999998</v>
      </c>
      <c r="O27" s="18">
        <f t="shared" si="1"/>
        <v>32.938812499999997</v>
      </c>
      <c r="P27" s="7"/>
      <c r="Q27" s="10"/>
      <c r="R27" s="11"/>
      <c r="S27" s="11"/>
      <c r="T27" s="26"/>
      <c r="U27" s="28">
        <f t="shared" si="2"/>
        <v>0.49091321762349782</v>
      </c>
    </row>
    <row r="28" spans="1:21" ht="16.5" thickBot="1" x14ac:dyDescent="0.3">
      <c r="B28" s="12"/>
      <c r="C28" s="19">
        <v>822.51171875</v>
      </c>
      <c r="D28" s="20">
        <v>28.585999999999999</v>
      </c>
      <c r="E28" s="20">
        <v>34.831000000000003</v>
      </c>
      <c r="F28" s="20">
        <v>34.781999999999996</v>
      </c>
      <c r="G28" s="20">
        <v>36.380000000000003</v>
      </c>
      <c r="H28" s="20">
        <f t="shared" si="0"/>
        <v>30.141124999999995</v>
      </c>
      <c r="I28" s="5"/>
      <c r="J28" s="19">
        <v>583.20000000000005</v>
      </c>
      <c r="K28" s="20">
        <v>29.580400000000001</v>
      </c>
      <c r="L28" s="20">
        <v>36.449599999999997</v>
      </c>
      <c r="M28" s="20">
        <v>37.235300000000002</v>
      </c>
      <c r="N28" s="20">
        <v>67.195300000000003</v>
      </c>
      <c r="O28" s="20">
        <f t="shared" si="1"/>
        <v>31.395912500000001</v>
      </c>
      <c r="P28" s="7"/>
      <c r="Q28" s="13"/>
      <c r="R28" s="14"/>
      <c r="S28" s="14"/>
      <c r="T28" s="27"/>
      <c r="U28" s="28">
        <f t="shared" si="2"/>
        <v>0.84703958218801534</v>
      </c>
    </row>
    <row r="29" spans="1:21" x14ac:dyDescent="0.25">
      <c r="B29" s="6" t="s">
        <v>51</v>
      </c>
      <c r="C29" s="29">
        <v>2254.8193359375</v>
      </c>
      <c r="D29" s="30">
        <v>31.608000000000001</v>
      </c>
      <c r="E29" s="30">
        <v>38.442</v>
      </c>
      <c r="F29" s="30">
        <v>37.198999999999998</v>
      </c>
      <c r="G29" s="16">
        <v>29.63</v>
      </c>
      <c r="H29" s="16">
        <f t="shared" si="0"/>
        <v>33.161124999999998</v>
      </c>
      <c r="I29" s="5"/>
      <c r="J29" s="29">
        <v>2415.4128000000001</v>
      </c>
      <c r="K29" s="30">
        <v>34.057600000000001</v>
      </c>
      <c r="L29" s="30">
        <v>40.283999999999999</v>
      </c>
      <c r="M29" s="30">
        <v>39.888100000000001</v>
      </c>
      <c r="N29" s="16">
        <v>35.144399999999997</v>
      </c>
      <c r="O29" s="16">
        <f t="shared" si="1"/>
        <v>35.564712499999999</v>
      </c>
      <c r="P29" s="7"/>
      <c r="Q29" s="8">
        <f>bdrate(C29:C32,D29:D32,J29:J32,K29:K32)</f>
        <v>-0.49868586013550664</v>
      </c>
      <c r="R29" s="8">
        <f>bdrate(C29:C32,E29:E32,J29:J32,L29:L32)</f>
        <v>-0.58786873287633545</v>
      </c>
      <c r="S29" s="8">
        <f>bdrate(C29:C32,F29:F32,J29:J32,M29:M32)</f>
        <v>-0.64458598508642595</v>
      </c>
      <c r="T29" s="25">
        <f>bdrate(C29:C32,H29:H32,J29:J32,O29:O32)</f>
        <v>-0.52811361801823653</v>
      </c>
      <c r="U29" s="28">
        <f t="shared" si="2"/>
        <v>0.18610867364157943</v>
      </c>
    </row>
    <row r="30" spans="1:21" x14ac:dyDescent="0.25">
      <c r="B30" s="9"/>
      <c r="C30" s="31">
        <v>1648.83984375</v>
      </c>
      <c r="D30" s="32">
        <v>30.27</v>
      </c>
      <c r="E30" s="32">
        <v>37.439</v>
      </c>
      <c r="F30" s="32">
        <v>35.948999999999998</v>
      </c>
      <c r="G30" s="18">
        <v>32.119999999999997</v>
      </c>
      <c r="H30" s="18">
        <f t="shared" si="0"/>
        <v>31.875999999999998</v>
      </c>
      <c r="I30" s="5"/>
      <c r="J30" s="31">
        <v>1606.9232</v>
      </c>
      <c r="K30" s="32">
        <v>32.689599999999999</v>
      </c>
      <c r="L30" s="32">
        <v>39.553199999999997</v>
      </c>
      <c r="M30" s="32">
        <v>38.9621</v>
      </c>
      <c r="N30" s="18">
        <v>41.3018</v>
      </c>
      <c r="O30" s="18">
        <f t="shared" si="1"/>
        <v>34.331612499999999</v>
      </c>
      <c r="P30" s="7"/>
      <c r="Q30" s="10"/>
      <c r="R30" s="11"/>
      <c r="S30" s="11"/>
      <c r="T30" s="26"/>
      <c r="U30" s="28">
        <f t="shared" si="2"/>
        <v>0.28585927770859287</v>
      </c>
    </row>
    <row r="31" spans="1:21" x14ac:dyDescent="0.25">
      <c r="B31" s="9"/>
      <c r="C31" s="31">
        <v>1261.32421875</v>
      </c>
      <c r="D31" s="32">
        <v>29.193000000000001</v>
      </c>
      <c r="E31" s="32">
        <v>36.334000000000003</v>
      </c>
      <c r="F31" s="32">
        <v>34.857999999999997</v>
      </c>
      <c r="G31" s="18">
        <v>33.4</v>
      </c>
      <c r="H31" s="18">
        <f t="shared" si="0"/>
        <v>30.793750000000003</v>
      </c>
      <c r="I31" s="5"/>
      <c r="J31" s="31">
        <v>1001.5096</v>
      </c>
      <c r="K31" s="32">
        <v>30.976299999999998</v>
      </c>
      <c r="L31" s="32">
        <v>38.557899999999997</v>
      </c>
      <c r="M31" s="32">
        <v>37.757399999999997</v>
      </c>
      <c r="N31" s="18">
        <v>49.845500000000001</v>
      </c>
      <c r="O31" s="18">
        <f t="shared" si="1"/>
        <v>32.771637499999997</v>
      </c>
      <c r="P31" s="7"/>
      <c r="Q31" s="10"/>
      <c r="R31" s="11"/>
      <c r="S31" s="11"/>
      <c r="T31" s="26"/>
      <c r="U31" s="28">
        <f t="shared" si="2"/>
        <v>0.49238023952095816</v>
      </c>
    </row>
    <row r="32" spans="1:21" ht="16.5" thickBot="1" x14ac:dyDescent="0.3">
      <c r="B32" s="12"/>
      <c r="C32" s="33">
        <v>1137.3134765625</v>
      </c>
      <c r="D32" s="34">
        <v>28.753</v>
      </c>
      <c r="E32" s="34">
        <v>35.685000000000002</v>
      </c>
      <c r="F32" s="34">
        <v>34.293999999999997</v>
      </c>
      <c r="G32" s="20">
        <v>32.520000000000003</v>
      </c>
      <c r="H32" s="20">
        <f t="shared" si="0"/>
        <v>30.312125000000002</v>
      </c>
      <c r="I32" s="5"/>
      <c r="J32" s="33">
        <v>589.35040000000004</v>
      </c>
      <c r="K32" s="34">
        <v>29.0975</v>
      </c>
      <c r="L32" s="34">
        <v>36.967700000000001</v>
      </c>
      <c r="M32" s="34">
        <v>36.061100000000003</v>
      </c>
      <c r="N32" s="20">
        <v>60.357300000000002</v>
      </c>
      <c r="O32" s="20">
        <f t="shared" si="1"/>
        <v>30.951725000000003</v>
      </c>
      <c r="P32" s="7"/>
      <c r="Q32" s="13"/>
      <c r="R32" s="14"/>
      <c r="S32" s="14"/>
      <c r="T32" s="27"/>
      <c r="U32" s="28">
        <f t="shared" si="2"/>
        <v>0.85600553505535049</v>
      </c>
    </row>
    <row r="33" spans="1:21" x14ac:dyDescent="0.25">
      <c r="B33" s="6" t="s">
        <v>52</v>
      </c>
      <c r="C33" s="15">
        <v>2493.087890625</v>
      </c>
      <c r="D33" s="16">
        <v>31.408999999999999</v>
      </c>
      <c r="E33" s="16">
        <v>38.481000000000002</v>
      </c>
      <c r="F33" s="16">
        <v>41.033000000000001</v>
      </c>
      <c r="G33" s="16">
        <v>29.02</v>
      </c>
      <c r="H33" s="16">
        <f t="shared" si="0"/>
        <v>33.496000000000002</v>
      </c>
      <c r="I33" s="5"/>
      <c r="J33" s="15">
        <v>2429.7280000000001</v>
      </c>
      <c r="K33" s="16">
        <v>33.611699999999999</v>
      </c>
      <c r="L33" s="16">
        <v>39.757100000000001</v>
      </c>
      <c r="M33" s="16">
        <v>42.173099999999998</v>
      </c>
      <c r="N33" s="16">
        <v>43.706299999999999</v>
      </c>
      <c r="O33" s="16">
        <f t="shared" si="1"/>
        <v>35.450049999999997</v>
      </c>
      <c r="P33" s="7"/>
      <c r="Q33" s="8">
        <f>bdrate(C33:C36,D33:D36,J33:J36,K33:K36)</f>
        <v>-0.64917377258135844</v>
      </c>
      <c r="R33" s="8">
        <f>bdrate(C33:C36,E33:E36,J33:J36,L33:L36)</f>
        <v>-0.65843819867099906</v>
      </c>
      <c r="S33" s="8">
        <f>bdrate(C33:C36,F33:F36,J33:J36,M33:M36)</f>
        <v>-0.64749774331409971</v>
      </c>
      <c r="T33" s="25">
        <f>bdrate(C33:C36,H33:H36,J33:J36,O33:O36)</f>
        <v>-0.65048052083519803</v>
      </c>
      <c r="U33" s="28">
        <f t="shared" si="2"/>
        <v>0.5060751206064783</v>
      </c>
    </row>
    <row r="34" spans="1:21" x14ac:dyDescent="0.25">
      <c r="B34" s="9"/>
      <c r="C34" s="17">
        <v>1664.498046875</v>
      </c>
      <c r="D34" s="18">
        <v>30.427</v>
      </c>
      <c r="E34" s="18">
        <v>37.857999999999997</v>
      </c>
      <c r="F34" s="18">
        <v>40.374000000000002</v>
      </c>
      <c r="G34" s="18">
        <v>31.1</v>
      </c>
      <c r="H34" s="18">
        <f t="shared" si="0"/>
        <v>32.599250000000005</v>
      </c>
      <c r="I34" s="5"/>
      <c r="J34" s="17">
        <v>1595.5047999999999</v>
      </c>
      <c r="K34" s="18">
        <v>32.892299999999999</v>
      </c>
      <c r="L34" s="18">
        <v>39.291800000000002</v>
      </c>
      <c r="M34" s="18">
        <v>41.758000000000003</v>
      </c>
      <c r="N34" s="18">
        <v>50.675699999999999</v>
      </c>
      <c r="O34" s="18">
        <f t="shared" si="1"/>
        <v>34.800449999999998</v>
      </c>
      <c r="P34" s="7"/>
      <c r="Q34" s="10"/>
      <c r="R34" s="11"/>
      <c r="S34" s="11"/>
      <c r="T34" s="26"/>
      <c r="U34" s="28">
        <f t="shared" si="2"/>
        <v>0.62944372990353692</v>
      </c>
    </row>
    <row r="35" spans="1:21" x14ac:dyDescent="0.25">
      <c r="B35" s="9"/>
      <c r="C35" s="17">
        <v>1050.4501953125</v>
      </c>
      <c r="D35" s="18">
        <v>28.981999999999999</v>
      </c>
      <c r="E35" s="18">
        <v>37.04</v>
      </c>
      <c r="F35" s="18">
        <v>39.33</v>
      </c>
      <c r="G35" s="18">
        <v>34.03</v>
      </c>
      <c r="H35" s="18">
        <f t="shared" si="0"/>
        <v>31.28275</v>
      </c>
      <c r="I35" s="5"/>
      <c r="J35" s="17">
        <v>1021.936</v>
      </c>
      <c r="K35" s="18">
        <v>31.87</v>
      </c>
      <c r="L35" s="18">
        <v>38.626899999999999</v>
      </c>
      <c r="M35" s="18">
        <v>41.106499999999997</v>
      </c>
      <c r="N35" s="18">
        <v>57.926200000000001</v>
      </c>
      <c r="O35" s="18">
        <f t="shared" si="1"/>
        <v>33.869174999999998</v>
      </c>
      <c r="P35" s="7"/>
      <c r="Q35" s="10"/>
      <c r="R35" s="11"/>
      <c r="S35" s="11"/>
      <c r="T35" s="26"/>
      <c r="U35" s="28">
        <f t="shared" si="2"/>
        <v>0.70220981486923306</v>
      </c>
    </row>
    <row r="36" spans="1:21" ht="16.5" thickBot="1" x14ac:dyDescent="0.3">
      <c r="B36" s="12"/>
      <c r="C36" s="19">
        <v>749.2080078125</v>
      </c>
      <c r="D36" s="20">
        <v>27.54</v>
      </c>
      <c r="E36" s="20">
        <v>36.212000000000003</v>
      </c>
      <c r="F36" s="20">
        <v>38.137999999999998</v>
      </c>
      <c r="G36" s="20">
        <v>35.729999999999997</v>
      </c>
      <c r="H36" s="20">
        <f t="shared" si="0"/>
        <v>29.94875</v>
      </c>
      <c r="I36" s="5"/>
      <c r="J36" s="19">
        <v>599.37840000000006</v>
      </c>
      <c r="K36" s="20">
        <v>30.441500000000001</v>
      </c>
      <c r="L36" s="20">
        <v>38.067</v>
      </c>
      <c r="M36" s="20">
        <v>40.615099999999998</v>
      </c>
      <c r="N36" s="20">
        <v>66.203199999999995</v>
      </c>
      <c r="O36" s="20">
        <f t="shared" si="1"/>
        <v>32.666387499999999</v>
      </c>
      <c r="P36" s="7"/>
      <c r="Q36" s="13"/>
      <c r="R36" s="14"/>
      <c r="S36" s="14"/>
      <c r="T36" s="27"/>
      <c r="U36" s="28">
        <f t="shared" si="2"/>
        <v>0.85287433529247136</v>
      </c>
    </row>
    <row r="37" spans="1:21" x14ac:dyDescent="0.25">
      <c r="A37" s="6" t="s">
        <v>39</v>
      </c>
      <c r="B37" s="6" t="s">
        <v>53</v>
      </c>
      <c r="C37" s="15">
        <v>1241.1337890625</v>
      </c>
      <c r="D37" s="16">
        <v>33.451000000000001</v>
      </c>
      <c r="E37" s="16">
        <v>37.723999999999997</v>
      </c>
      <c r="F37" s="16">
        <v>37.186</v>
      </c>
      <c r="G37" s="16">
        <v>136.47999999999999</v>
      </c>
      <c r="H37" s="16">
        <f t="shared" si="0"/>
        <v>34.451999999999998</v>
      </c>
      <c r="I37" s="5"/>
      <c r="J37" s="15">
        <v>1214.752</v>
      </c>
      <c r="K37" s="16">
        <v>35.065100000000001</v>
      </c>
      <c r="L37" s="16">
        <v>39.060200000000002</v>
      </c>
      <c r="M37" s="16">
        <v>38.918500000000002</v>
      </c>
      <c r="N37" s="16">
        <v>128.70009999999999</v>
      </c>
      <c r="O37" s="16">
        <f t="shared" si="1"/>
        <v>36.046162500000001</v>
      </c>
      <c r="P37" s="7"/>
      <c r="Q37" s="8">
        <f>bdrate(C37:C40,D37:D40,J37:J40,K37:K40)</f>
        <v>-0.3367108610279127</v>
      </c>
      <c r="R37" s="8">
        <f>bdrate(C37:C40,E37:E40,J37:J40,L37:L40)</f>
        <v>-0.41938307167102673</v>
      </c>
      <c r="S37" s="8">
        <f>bdrate(C37:C40,F37:F40,J37:J40,M37:M40)</f>
        <v>-0.45630317386546504</v>
      </c>
      <c r="T37" s="25">
        <f>bdrate(C37:C40,H37:H40,J37:J40,O37:O40)</f>
        <v>-0.36104410630198314</v>
      </c>
      <c r="U37" s="28">
        <f t="shared" si="2"/>
        <v>-5.7003956623681115E-2</v>
      </c>
    </row>
    <row r="38" spans="1:21" x14ac:dyDescent="0.25">
      <c r="A38" s="9" t="s">
        <v>40</v>
      </c>
      <c r="B38" s="9"/>
      <c r="C38" s="17">
        <v>835.7138671875</v>
      </c>
      <c r="D38" s="18">
        <v>32.061</v>
      </c>
      <c r="E38" s="18">
        <v>36.558</v>
      </c>
      <c r="F38" s="18">
        <v>35.883000000000003</v>
      </c>
      <c r="G38" s="18">
        <v>149.47</v>
      </c>
      <c r="H38" s="18">
        <f t="shared" si="0"/>
        <v>33.100874999999995</v>
      </c>
      <c r="I38" s="5"/>
      <c r="J38" s="17">
        <v>810.93359999999996</v>
      </c>
      <c r="K38" s="18">
        <v>33.5246</v>
      </c>
      <c r="L38" s="18">
        <v>37.897100000000002</v>
      </c>
      <c r="M38" s="18">
        <v>37.570799999999998</v>
      </c>
      <c r="N38" s="18">
        <v>150.46639999999999</v>
      </c>
      <c r="O38" s="18">
        <f t="shared" si="1"/>
        <v>34.5769375</v>
      </c>
      <c r="P38" s="7"/>
      <c r="Q38" s="10"/>
      <c r="R38" s="11"/>
      <c r="S38" s="11"/>
      <c r="T38" s="26"/>
      <c r="U38" s="28">
        <f t="shared" si="2"/>
        <v>6.6662206462834959E-3</v>
      </c>
    </row>
    <row r="39" spans="1:21" x14ac:dyDescent="0.25">
      <c r="B39" s="9"/>
      <c r="C39" s="17">
        <v>522.380859375</v>
      </c>
      <c r="D39" s="18">
        <v>30.417999999999999</v>
      </c>
      <c r="E39" s="18">
        <v>35.171999999999997</v>
      </c>
      <c r="F39" s="18">
        <v>34.308999999999997</v>
      </c>
      <c r="G39" s="18">
        <v>167.66</v>
      </c>
      <c r="H39" s="18">
        <f t="shared" si="0"/>
        <v>31.498624999999997</v>
      </c>
      <c r="I39" s="5"/>
      <c r="J39" s="17">
        <v>506.56799999999998</v>
      </c>
      <c r="K39" s="18">
        <v>31.761399999999998</v>
      </c>
      <c r="L39" s="18">
        <v>36.667499999999997</v>
      </c>
      <c r="M39" s="18">
        <v>36.194800000000001</v>
      </c>
      <c r="N39" s="18">
        <v>189.68129999999999</v>
      </c>
      <c r="O39" s="18">
        <f t="shared" si="1"/>
        <v>32.9288375</v>
      </c>
      <c r="P39" s="7"/>
      <c r="Q39" s="10"/>
      <c r="R39" s="11"/>
      <c r="S39" s="11"/>
      <c r="T39" s="26"/>
      <c r="U39" s="28">
        <f t="shared" si="2"/>
        <v>0.13134498389597993</v>
      </c>
    </row>
    <row r="40" spans="1:21" ht="16.5" thickBot="1" x14ac:dyDescent="0.3">
      <c r="B40" s="12"/>
      <c r="C40" s="19">
        <v>323.890625</v>
      </c>
      <c r="D40" s="20">
        <v>28.629000000000001</v>
      </c>
      <c r="E40" s="20">
        <v>33.552999999999997</v>
      </c>
      <c r="F40" s="20">
        <v>32.539000000000001</v>
      </c>
      <c r="G40" s="20">
        <v>191.46</v>
      </c>
      <c r="H40" s="20">
        <f t="shared" si="0"/>
        <v>29.733249999999998</v>
      </c>
      <c r="I40" s="5"/>
      <c r="J40" s="19">
        <v>303.5496</v>
      </c>
      <c r="K40" s="20">
        <v>29.815100000000001</v>
      </c>
      <c r="L40" s="20">
        <v>35.364100000000001</v>
      </c>
      <c r="M40" s="20">
        <v>34.793100000000003</v>
      </c>
      <c r="N40" s="20">
        <v>241.08</v>
      </c>
      <c r="O40" s="20">
        <f t="shared" si="1"/>
        <v>31.130975000000003</v>
      </c>
      <c r="P40" s="7"/>
      <c r="Q40" s="13"/>
      <c r="R40" s="14"/>
      <c r="S40" s="14"/>
      <c r="T40" s="27"/>
      <c r="U40" s="28">
        <f t="shared" si="2"/>
        <v>0.2591664055155124</v>
      </c>
    </row>
    <row r="41" spans="1:21" x14ac:dyDescent="0.25">
      <c r="B41" s="6" t="s">
        <v>54</v>
      </c>
      <c r="C41" s="15">
        <v>1229.83984375</v>
      </c>
      <c r="D41" s="16">
        <v>32.732999999999997</v>
      </c>
      <c r="E41" s="16">
        <v>38.936</v>
      </c>
      <c r="F41" s="16">
        <v>39.54</v>
      </c>
      <c r="G41" s="16">
        <v>138.4</v>
      </c>
      <c r="H41" s="16">
        <f t="shared" si="0"/>
        <v>34.359249999999996</v>
      </c>
      <c r="I41" s="5"/>
      <c r="J41" s="15">
        <v>1244.8664000000001</v>
      </c>
      <c r="K41" s="16">
        <v>35.249000000000002</v>
      </c>
      <c r="L41" s="16">
        <v>40.472799999999999</v>
      </c>
      <c r="M41" s="16">
        <v>41.294400000000003</v>
      </c>
      <c r="N41" s="16">
        <v>132.15860000000001</v>
      </c>
      <c r="O41" s="16">
        <f t="shared" si="1"/>
        <v>36.657650000000004</v>
      </c>
      <c r="P41" s="7"/>
      <c r="Q41" s="8">
        <f>bdrate(C41:C44,D41:D44,J41:J44,K41:K44)</f>
        <v>-0.44866384488824773</v>
      </c>
      <c r="R41" s="8">
        <f>bdrate(C41:C44,E41:E44,J41:J44,L41:L44)</f>
        <v>-0.51132408354339587</v>
      </c>
      <c r="S41" s="8">
        <f>bdrate(C41:C44,F41:F44,J41:J44,M41:M44)</f>
        <v>-0.51751504435920059</v>
      </c>
      <c r="T41" s="25">
        <f>bdrate(C41:C44,H41:H44,J41:J44,O41:O44)</f>
        <v>-0.46259736975540577</v>
      </c>
      <c r="U41" s="28">
        <f t="shared" si="2"/>
        <v>-4.5096820809248546E-2</v>
      </c>
    </row>
    <row r="42" spans="1:21" x14ac:dyDescent="0.25">
      <c r="B42" s="9"/>
      <c r="C42" s="17">
        <v>821.720703125</v>
      </c>
      <c r="D42" s="18">
        <v>31.314</v>
      </c>
      <c r="E42" s="18">
        <v>37.890999999999998</v>
      </c>
      <c r="F42" s="18">
        <v>38.375</v>
      </c>
      <c r="G42" s="18">
        <v>149.72999999999999</v>
      </c>
      <c r="H42" s="18">
        <f t="shared" si="0"/>
        <v>33.018749999999997</v>
      </c>
      <c r="I42" s="5"/>
      <c r="J42" s="17">
        <v>829.85839999999996</v>
      </c>
      <c r="K42" s="18">
        <v>33.7042</v>
      </c>
      <c r="L42" s="18">
        <v>39.476900000000001</v>
      </c>
      <c r="M42" s="18">
        <v>40.228099999999998</v>
      </c>
      <c r="N42" s="18">
        <v>160.25640000000001</v>
      </c>
      <c r="O42" s="18">
        <f t="shared" si="1"/>
        <v>35.241275000000002</v>
      </c>
      <c r="P42" s="7"/>
      <c r="Q42" s="10"/>
      <c r="R42" s="11"/>
      <c r="S42" s="11"/>
      <c r="T42" s="26"/>
      <c r="U42" s="28">
        <f t="shared" si="2"/>
        <v>7.0302544580244597E-2</v>
      </c>
    </row>
    <row r="43" spans="1:21" x14ac:dyDescent="0.25">
      <c r="B43" s="9"/>
      <c r="C43" s="17">
        <v>524.2470703125</v>
      </c>
      <c r="D43" s="18">
        <v>29.611000000000001</v>
      </c>
      <c r="E43" s="18">
        <v>36.686</v>
      </c>
      <c r="F43" s="18">
        <v>36.997999999999998</v>
      </c>
      <c r="G43" s="18">
        <v>163.81</v>
      </c>
      <c r="H43" s="18">
        <f t="shared" si="0"/>
        <v>31.418749999999999</v>
      </c>
      <c r="I43" s="5"/>
      <c r="J43" s="17">
        <v>518.3184</v>
      </c>
      <c r="K43" s="18">
        <v>31.849399999999999</v>
      </c>
      <c r="L43" s="18">
        <v>38.478700000000003</v>
      </c>
      <c r="M43" s="18">
        <v>39.0657</v>
      </c>
      <c r="N43" s="18">
        <v>194.23759999999999</v>
      </c>
      <c r="O43" s="18">
        <f t="shared" si="1"/>
        <v>33.580100000000002</v>
      </c>
      <c r="P43" s="7"/>
      <c r="Q43" s="10"/>
      <c r="R43" s="11"/>
      <c r="S43" s="11"/>
      <c r="T43" s="26"/>
      <c r="U43" s="28">
        <f t="shared" si="2"/>
        <v>0.1857493437519076</v>
      </c>
    </row>
    <row r="44" spans="1:21" ht="16.5" thickBot="1" x14ac:dyDescent="0.3">
      <c r="B44" s="12"/>
      <c r="C44" s="19">
        <v>357.025390625</v>
      </c>
      <c r="D44" s="20">
        <v>28.006</v>
      </c>
      <c r="E44" s="20">
        <v>35.609000000000002</v>
      </c>
      <c r="F44" s="20">
        <v>35.787999999999997</v>
      </c>
      <c r="G44" s="20">
        <v>172.44</v>
      </c>
      <c r="H44" s="20">
        <f t="shared" si="0"/>
        <v>29.929124999999999</v>
      </c>
      <c r="I44" s="5"/>
      <c r="J44" s="19">
        <v>310.64960000000002</v>
      </c>
      <c r="K44" s="20">
        <v>29.7653</v>
      </c>
      <c r="L44" s="20">
        <v>37.418599999999998</v>
      </c>
      <c r="M44" s="20">
        <v>37.874099999999999</v>
      </c>
      <c r="N44" s="20">
        <v>240.38460000000001</v>
      </c>
      <c r="O44" s="20">
        <f t="shared" si="1"/>
        <v>31.7355625</v>
      </c>
      <c r="P44" s="7"/>
      <c r="Q44" s="13"/>
      <c r="R44" s="14"/>
      <c r="S44" s="14"/>
      <c r="T44" s="27"/>
      <c r="U44" s="28">
        <f t="shared" si="2"/>
        <v>0.39401878914405014</v>
      </c>
    </row>
    <row r="45" spans="1:21" x14ac:dyDescent="0.25">
      <c r="B45" s="6" t="s">
        <v>55</v>
      </c>
      <c r="C45" s="15">
        <v>1326.212890625</v>
      </c>
      <c r="D45" s="16">
        <v>28.44</v>
      </c>
      <c r="E45" s="16">
        <v>35.277000000000001</v>
      </c>
      <c r="F45" s="16">
        <v>36.091999999999999</v>
      </c>
      <c r="G45" s="16">
        <v>110.82</v>
      </c>
      <c r="H45" s="16">
        <f t="shared" si="0"/>
        <v>30.251125000000002</v>
      </c>
      <c r="I45" s="5"/>
      <c r="J45" s="15">
        <v>1227.3535999999999</v>
      </c>
      <c r="K45" s="16">
        <v>30.374300000000002</v>
      </c>
      <c r="L45" s="16">
        <v>36.723100000000002</v>
      </c>
      <c r="M45" s="16">
        <v>37.487400000000001</v>
      </c>
      <c r="N45" s="16">
        <v>118.25920000000001</v>
      </c>
      <c r="O45" s="16">
        <f t="shared" si="1"/>
        <v>32.0570375</v>
      </c>
      <c r="P45" s="7"/>
      <c r="Q45" s="8">
        <f>bdrate(C45:C48,D45:D48,J45:J48,K45:K48)</f>
        <v>-0.45585867787790335</v>
      </c>
      <c r="R45" s="8">
        <f>bdrate(C45:C48,E45:E48,J45:J48,L45:L48)</f>
        <v>-0.58429795146260355</v>
      </c>
      <c r="S45" s="8">
        <f>bdrate(C45:C48,F45:F48,J45:J48,M45:M48)</f>
        <v>-0.55584548326079108</v>
      </c>
      <c r="T45" s="25">
        <f>bdrate(C45:C48,H45:H48,J45:J48,O45:O48)</f>
        <v>-0.47926526217077015</v>
      </c>
      <c r="U45" s="28">
        <f t="shared" si="2"/>
        <v>6.7128677134091444E-2</v>
      </c>
    </row>
    <row r="46" spans="1:21" x14ac:dyDescent="0.25">
      <c r="B46" s="9"/>
      <c r="C46" s="17">
        <v>905.3251953125</v>
      </c>
      <c r="D46" s="18">
        <v>27.382999999999999</v>
      </c>
      <c r="E46" s="18">
        <v>34.518999999999998</v>
      </c>
      <c r="F46" s="18">
        <v>35.341000000000001</v>
      </c>
      <c r="G46" s="18">
        <v>117.63</v>
      </c>
      <c r="H46" s="18">
        <f t="shared" si="0"/>
        <v>29.269750000000002</v>
      </c>
      <c r="I46" s="5"/>
      <c r="J46" s="17">
        <v>814.67520000000002</v>
      </c>
      <c r="K46" s="18">
        <v>29.026800000000001</v>
      </c>
      <c r="L46" s="18">
        <v>35.895899999999997</v>
      </c>
      <c r="M46" s="18">
        <v>36.6404</v>
      </c>
      <c r="N46" s="18">
        <v>143.10249999999999</v>
      </c>
      <c r="O46" s="18">
        <f t="shared" si="1"/>
        <v>30.837137499999997</v>
      </c>
      <c r="P46" s="7"/>
      <c r="Q46" s="10"/>
      <c r="R46" s="11"/>
      <c r="S46" s="11"/>
      <c r="T46" s="26"/>
      <c r="U46" s="28">
        <f t="shared" si="2"/>
        <v>0.21654764940916429</v>
      </c>
    </row>
    <row r="47" spans="1:21" x14ac:dyDescent="0.25">
      <c r="B47" s="9"/>
      <c r="C47" s="17">
        <v>568.490234375</v>
      </c>
      <c r="D47" s="18">
        <v>26.164999999999999</v>
      </c>
      <c r="E47" s="18">
        <v>33.625</v>
      </c>
      <c r="F47" s="18">
        <v>34.369999999999997</v>
      </c>
      <c r="G47" s="18">
        <v>126.65</v>
      </c>
      <c r="H47" s="18">
        <f t="shared" si="0"/>
        <v>28.123125000000002</v>
      </c>
      <c r="I47" s="5"/>
      <c r="J47" s="17">
        <v>513.85760000000005</v>
      </c>
      <c r="K47" s="18">
        <v>27.546399999999998</v>
      </c>
      <c r="L47" s="18">
        <v>35.089199999999998</v>
      </c>
      <c r="M47" s="18">
        <v>35.792999999999999</v>
      </c>
      <c r="N47" s="18">
        <v>178.06270000000001</v>
      </c>
      <c r="O47" s="18">
        <f t="shared" si="1"/>
        <v>29.520074999999999</v>
      </c>
      <c r="P47" s="7"/>
      <c r="Q47" s="10"/>
      <c r="R47" s="11"/>
      <c r="S47" s="11"/>
      <c r="T47" s="26"/>
      <c r="U47" s="28">
        <f t="shared" si="2"/>
        <v>0.40594315041452822</v>
      </c>
    </row>
    <row r="48" spans="1:21" ht="16.5" thickBot="1" x14ac:dyDescent="0.3">
      <c r="B48" s="12"/>
      <c r="C48" s="19">
        <v>366.2333984375</v>
      </c>
      <c r="D48" s="20">
        <v>24.989000000000001</v>
      </c>
      <c r="E48" s="20">
        <v>32.651000000000003</v>
      </c>
      <c r="F48" s="20">
        <v>33.463000000000001</v>
      </c>
      <c r="G48" s="20">
        <v>134.76</v>
      </c>
      <c r="H48" s="20">
        <f t="shared" si="0"/>
        <v>27.006</v>
      </c>
      <c r="I48" s="5"/>
      <c r="J48" s="19">
        <v>308.86079999999998</v>
      </c>
      <c r="K48" s="20">
        <v>25.999199999999998</v>
      </c>
      <c r="L48" s="20">
        <v>34.202500000000001</v>
      </c>
      <c r="M48" s="20">
        <v>34.880499999999998</v>
      </c>
      <c r="N48" s="20">
        <v>224.1147</v>
      </c>
      <c r="O48" s="20">
        <f t="shared" si="1"/>
        <v>28.134774999999998</v>
      </c>
      <c r="P48" s="7"/>
      <c r="Q48" s="13"/>
      <c r="R48" s="14"/>
      <c r="S48" s="14"/>
      <c r="T48" s="27"/>
      <c r="U48" s="28">
        <f t="shared" si="2"/>
        <v>0.66306544968833492</v>
      </c>
    </row>
    <row r="49" spans="1:21" x14ac:dyDescent="0.25">
      <c r="B49" s="6" t="s">
        <v>56</v>
      </c>
      <c r="C49" s="15">
        <v>1162.6240234375</v>
      </c>
      <c r="D49" s="16">
        <v>30.82</v>
      </c>
      <c r="E49" s="16">
        <v>35.447000000000003</v>
      </c>
      <c r="F49" s="16">
        <v>37.020000000000003</v>
      </c>
      <c r="G49" s="16">
        <v>105.33</v>
      </c>
      <c r="H49" s="16">
        <f t="shared" si="0"/>
        <v>32.173375</v>
      </c>
      <c r="I49" s="5"/>
      <c r="J49" s="15">
        <v>1208.9367999999999</v>
      </c>
      <c r="K49" s="16">
        <v>32.453699999999998</v>
      </c>
      <c r="L49" s="16">
        <v>36.885199999999998</v>
      </c>
      <c r="M49" s="16">
        <v>38.4634</v>
      </c>
      <c r="N49" s="16">
        <v>86.231700000000004</v>
      </c>
      <c r="O49" s="16">
        <f t="shared" si="1"/>
        <v>33.758849999999995</v>
      </c>
      <c r="P49" s="7"/>
      <c r="Q49" s="8">
        <f>bdrate(C49:C52,D49:D52,J49:J52,K49:K52)</f>
        <v>-0.32882102731027307</v>
      </c>
      <c r="R49" s="8">
        <f>bdrate(C49:C52,E49:E52,J49:J52,L49:L52)</f>
        <v>-0.53527250144130711</v>
      </c>
      <c r="S49" s="8">
        <f>bdrate(C49:C52,F49:F52,J49:J52,M49:M52)</f>
        <v>-0.52837859841088131</v>
      </c>
      <c r="T49" s="25">
        <f>bdrate(C49:C52,H49:H52,J49:J52,O49:O52)</f>
        <v>-0.37325901272200446</v>
      </c>
      <c r="U49" s="28">
        <f t="shared" si="2"/>
        <v>-0.18131871261748786</v>
      </c>
    </row>
    <row r="50" spans="1:21" x14ac:dyDescent="0.25">
      <c r="B50" s="9"/>
      <c r="C50" s="17">
        <v>835.6748046875</v>
      </c>
      <c r="D50" s="18">
        <v>29.667999999999999</v>
      </c>
      <c r="E50" s="18">
        <v>34.594000000000001</v>
      </c>
      <c r="F50" s="18">
        <v>36.136000000000003</v>
      </c>
      <c r="G50" s="18">
        <v>113.98</v>
      </c>
      <c r="H50" s="18">
        <f t="shared" si="0"/>
        <v>31.092249999999996</v>
      </c>
      <c r="I50" s="5"/>
      <c r="J50" s="17">
        <v>805.56320000000005</v>
      </c>
      <c r="K50" s="18">
        <v>30.9053</v>
      </c>
      <c r="L50" s="18">
        <v>35.977899999999998</v>
      </c>
      <c r="M50" s="18">
        <v>37.525399999999998</v>
      </c>
      <c r="N50" s="18">
        <v>103.95010000000001</v>
      </c>
      <c r="O50" s="18">
        <f t="shared" si="1"/>
        <v>32.366887500000004</v>
      </c>
      <c r="P50" s="7"/>
      <c r="Q50" s="10"/>
      <c r="R50" s="11"/>
      <c r="S50" s="11"/>
      <c r="T50" s="26"/>
      <c r="U50" s="28">
        <f t="shared" si="2"/>
        <v>-8.7997017020529894E-2</v>
      </c>
    </row>
    <row r="51" spans="1:21" x14ac:dyDescent="0.25">
      <c r="B51" s="9"/>
      <c r="C51" s="17">
        <v>558.33203125</v>
      </c>
      <c r="D51" s="18">
        <v>28.263999999999999</v>
      </c>
      <c r="E51" s="18">
        <v>33.500999999999998</v>
      </c>
      <c r="F51" s="18">
        <v>34.899000000000001</v>
      </c>
      <c r="G51" s="18">
        <v>125.24</v>
      </c>
      <c r="H51" s="18">
        <f t="shared" si="0"/>
        <v>29.748000000000001</v>
      </c>
      <c r="I51" s="5"/>
      <c r="J51" s="17">
        <v>503.96159999999998</v>
      </c>
      <c r="K51" s="18">
        <v>29.267299999999999</v>
      </c>
      <c r="L51" s="18">
        <v>35.134900000000002</v>
      </c>
      <c r="M51" s="18">
        <v>36.670200000000001</v>
      </c>
      <c r="N51" s="18">
        <v>129.03229999999999</v>
      </c>
      <c r="O51" s="18">
        <f t="shared" si="1"/>
        <v>30.926112499999999</v>
      </c>
      <c r="P51" s="7"/>
      <c r="Q51" s="10"/>
      <c r="R51" s="11"/>
      <c r="S51" s="11"/>
      <c r="T51" s="26"/>
      <c r="U51" s="28">
        <f t="shared" si="2"/>
        <v>3.0280261897157438E-2</v>
      </c>
    </row>
    <row r="52" spans="1:21" ht="16.5" thickBot="1" x14ac:dyDescent="0.3">
      <c r="B52" s="12"/>
      <c r="C52" s="19">
        <v>361.3974609375</v>
      </c>
      <c r="D52" s="20">
        <v>26.954999999999998</v>
      </c>
      <c r="E52" s="20">
        <v>32.399000000000001</v>
      </c>
      <c r="F52" s="20">
        <v>33.656999999999996</v>
      </c>
      <c r="G52" s="20">
        <v>135.41999999999999</v>
      </c>
      <c r="H52" s="20">
        <f t="shared" si="0"/>
        <v>28.47325</v>
      </c>
      <c r="I52" s="5"/>
      <c r="J52" s="19">
        <v>301.9624</v>
      </c>
      <c r="K52" s="20">
        <v>27.655999999999999</v>
      </c>
      <c r="L52" s="20">
        <v>34.215200000000003</v>
      </c>
      <c r="M52" s="20">
        <v>35.6678</v>
      </c>
      <c r="N52" s="20">
        <v>167.22409999999999</v>
      </c>
      <c r="O52" s="20">
        <f t="shared" si="1"/>
        <v>29.477374999999999</v>
      </c>
      <c r="P52" s="7"/>
      <c r="Q52" s="13"/>
      <c r="R52" s="14"/>
      <c r="S52" s="14"/>
      <c r="T52" s="27"/>
      <c r="U52" s="28">
        <f t="shared" si="2"/>
        <v>0.2348552651011668</v>
      </c>
    </row>
    <row r="53" spans="1:21" x14ac:dyDescent="0.25">
      <c r="A53" s="6" t="s">
        <v>41</v>
      </c>
      <c r="B53" s="6" t="s">
        <v>57</v>
      </c>
      <c r="C53" s="15">
        <v>580.1328125</v>
      </c>
      <c r="D53" s="16">
        <v>32.665999999999997</v>
      </c>
      <c r="E53" s="16">
        <v>38.325000000000003</v>
      </c>
      <c r="F53" s="16">
        <v>36.042999999999999</v>
      </c>
      <c r="G53" s="16">
        <v>436.2</v>
      </c>
      <c r="H53" s="16">
        <f t="shared" si="0"/>
        <v>33.795499999999997</v>
      </c>
      <c r="I53" s="5"/>
      <c r="J53" s="15">
        <v>604.78719999999998</v>
      </c>
      <c r="K53" s="16">
        <v>34.3994</v>
      </c>
      <c r="L53" s="16">
        <v>39.6569</v>
      </c>
      <c r="M53" s="16">
        <v>38.191299999999998</v>
      </c>
      <c r="N53" s="16">
        <v>337.38189999999997</v>
      </c>
      <c r="O53" s="16">
        <f t="shared" si="1"/>
        <v>35.530574999999999</v>
      </c>
      <c r="P53" s="7"/>
      <c r="Q53" s="8">
        <f>bdrate(C53:C56,D53:D56,J53:J56,K53:K56)</f>
        <v>-0.26287781316730108</v>
      </c>
      <c r="R53" s="8">
        <f>bdrate(C53:C56,E53:E56,J53:J56,L53:L56)</f>
        <v>-0.40504044004035078</v>
      </c>
      <c r="S53" s="8">
        <f>bdrate(C53:C56,F53:F56,J53:J56,M53:M56)</f>
        <v>-0.5340024537572996</v>
      </c>
      <c r="T53" s="25">
        <f>bdrate(C53:C56,H53:H56,J53:J56,O53:O56)</f>
        <v>-0.31136390894176103</v>
      </c>
      <c r="U53" s="28">
        <f t="shared" si="2"/>
        <v>-0.22654309949564425</v>
      </c>
    </row>
    <row r="54" spans="1:21" x14ac:dyDescent="0.25">
      <c r="A54" s="9" t="s">
        <v>42</v>
      </c>
      <c r="B54" s="9"/>
      <c r="C54" s="17">
        <v>403.4228515625</v>
      </c>
      <c r="D54" s="18">
        <v>31.222999999999999</v>
      </c>
      <c r="E54" s="18">
        <v>37.334000000000003</v>
      </c>
      <c r="F54" s="18">
        <v>34.86</v>
      </c>
      <c r="G54" s="18">
        <v>465.47</v>
      </c>
      <c r="H54" s="18">
        <f t="shared" si="0"/>
        <v>32.441499999999998</v>
      </c>
      <c r="I54" s="5"/>
      <c r="J54" s="17">
        <v>404.87119999999999</v>
      </c>
      <c r="K54" s="18">
        <v>32.598399999999998</v>
      </c>
      <c r="L54" s="18">
        <v>38.511699999999998</v>
      </c>
      <c r="M54" s="18">
        <v>36.869700000000002</v>
      </c>
      <c r="N54" s="18">
        <v>405.51499999999999</v>
      </c>
      <c r="O54" s="18">
        <f t="shared" si="1"/>
        <v>33.871474999999997</v>
      </c>
      <c r="P54" s="7"/>
      <c r="Q54" s="10"/>
      <c r="R54" s="11"/>
      <c r="S54" s="11"/>
      <c r="T54" s="26"/>
      <c r="U54" s="28">
        <f t="shared" si="2"/>
        <v>-0.12880529357423687</v>
      </c>
    </row>
    <row r="55" spans="1:21" x14ac:dyDescent="0.25">
      <c r="B55" s="9"/>
      <c r="C55" s="17">
        <v>258.79296875</v>
      </c>
      <c r="D55" s="18">
        <v>29.582999999999998</v>
      </c>
      <c r="E55" s="18">
        <v>36.131999999999998</v>
      </c>
      <c r="F55" s="18">
        <v>33.456000000000003</v>
      </c>
      <c r="G55" s="18">
        <v>511.97</v>
      </c>
      <c r="H55" s="18">
        <f t="shared" si="0"/>
        <v>30.885750000000002</v>
      </c>
      <c r="I55" s="5"/>
      <c r="J55" s="17">
        <v>254.61439999999999</v>
      </c>
      <c r="K55" s="18">
        <v>30.668399999999998</v>
      </c>
      <c r="L55" s="18">
        <v>37.404600000000002</v>
      </c>
      <c r="M55" s="18">
        <v>35.655999999999999</v>
      </c>
      <c r="N55" s="18">
        <v>485.43689999999998</v>
      </c>
      <c r="O55" s="18">
        <f t="shared" si="1"/>
        <v>32.133875000000003</v>
      </c>
      <c r="P55" s="7"/>
      <c r="Q55" s="10"/>
      <c r="R55" s="11"/>
      <c r="S55" s="11"/>
      <c r="T55" s="26"/>
      <c r="U55" s="28">
        <f t="shared" si="2"/>
        <v>-5.1825497587749368E-2</v>
      </c>
    </row>
    <row r="56" spans="1:21" ht="16.5" thickBot="1" x14ac:dyDescent="0.3">
      <c r="B56" s="12"/>
      <c r="C56" s="19">
        <v>139.201171875</v>
      </c>
      <c r="D56" s="20">
        <v>27.431999999999999</v>
      </c>
      <c r="E56" s="20">
        <v>34.439</v>
      </c>
      <c r="F56" s="20">
        <v>31.608000000000001</v>
      </c>
      <c r="G56" s="20">
        <v>571.04999999999995</v>
      </c>
      <c r="H56" s="20">
        <f t="shared" si="0"/>
        <v>28.829874999999998</v>
      </c>
      <c r="I56" s="5"/>
      <c r="J56" s="19">
        <v>122.9768</v>
      </c>
      <c r="K56" s="20">
        <v>27.895199999999999</v>
      </c>
      <c r="L56" s="20">
        <v>35.856000000000002</v>
      </c>
      <c r="M56" s="20">
        <v>33.788200000000003</v>
      </c>
      <c r="N56" s="20">
        <v>712.25070000000005</v>
      </c>
      <c r="O56" s="20">
        <f t="shared" si="1"/>
        <v>29.626925</v>
      </c>
      <c r="P56" s="7"/>
      <c r="Q56" s="13"/>
      <c r="R56" s="14"/>
      <c r="S56" s="14"/>
      <c r="T56" s="27"/>
      <c r="U56" s="28">
        <f t="shared" si="2"/>
        <v>0.24726503808773331</v>
      </c>
    </row>
    <row r="57" spans="1:21" x14ac:dyDescent="0.25">
      <c r="B57" s="6" t="s">
        <v>58</v>
      </c>
      <c r="C57" s="15">
        <v>639.7802734375</v>
      </c>
      <c r="D57" s="16">
        <v>29.722999999999999</v>
      </c>
      <c r="E57" s="16">
        <v>39.828000000000003</v>
      </c>
      <c r="F57" s="16">
        <v>40.57</v>
      </c>
      <c r="G57" s="16">
        <v>399.05</v>
      </c>
      <c r="H57" s="16">
        <f t="shared" si="0"/>
        <v>32.341999999999999</v>
      </c>
      <c r="I57" s="5"/>
      <c r="J57" s="15">
        <v>604.35440000000006</v>
      </c>
      <c r="K57" s="16">
        <v>33.662700000000001</v>
      </c>
      <c r="L57" s="16">
        <v>41.256900000000002</v>
      </c>
      <c r="M57" s="16">
        <v>42.063400000000001</v>
      </c>
      <c r="N57" s="16">
        <v>392.41329999999999</v>
      </c>
      <c r="O57" s="16">
        <f t="shared" si="1"/>
        <v>35.662062500000005</v>
      </c>
      <c r="P57" s="7"/>
      <c r="Q57" s="8">
        <f>bdrate(C57:C60,D57:D60,J57:J60,K57:K60)</f>
        <v>-0.70817504654019858</v>
      </c>
      <c r="R57" s="8">
        <f>bdrate(C57:C60,E57:E60,J57:J60,L57:L60)</f>
        <v>-0.48961966345299412</v>
      </c>
      <c r="S57" s="8">
        <f>bdrate(C57:C60,F57:F60,J57:J60,M57:M60)</f>
        <v>-0.48477436368107807</v>
      </c>
      <c r="T57" s="25">
        <f>bdrate(C57:C60,H57:H60,J57:J60,O57:O60)</f>
        <v>-0.67958380003885654</v>
      </c>
      <c r="U57" s="28">
        <f t="shared" si="2"/>
        <v>-1.6631249216890159E-2</v>
      </c>
    </row>
    <row r="58" spans="1:21" x14ac:dyDescent="0.25">
      <c r="B58" s="9"/>
      <c r="C58" s="17">
        <v>436.140625</v>
      </c>
      <c r="D58" s="18">
        <v>28.638999999999999</v>
      </c>
      <c r="E58" s="18">
        <v>39.195</v>
      </c>
      <c r="F58" s="18">
        <v>39.831000000000003</v>
      </c>
      <c r="G58" s="18">
        <v>424.36</v>
      </c>
      <c r="H58" s="18">
        <f t="shared" si="0"/>
        <v>31.357500000000002</v>
      </c>
      <c r="I58" s="5"/>
      <c r="J58" s="17">
        <v>403.31760000000003</v>
      </c>
      <c r="K58" s="18">
        <v>32.394799999999996</v>
      </c>
      <c r="L58" s="18">
        <v>40.384700000000002</v>
      </c>
      <c r="M58" s="18">
        <v>41.197000000000003</v>
      </c>
      <c r="N58" s="18">
        <v>505.90219999999999</v>
      </c>
      <c r="O58" s="18">
        <f t="shared" si="1"/>
        <v>34.493812499999997</v>
      </c>
      <c r="P58" s="7"/>
      <c r="Q58" s="10"/>
      <c r="R58" s="11"/>
      <c r="S58" s="11"/>
      <c r="T58" s="26"/>
      <c r="U58" s="28">
        <f t="shared" si="2"/>
        <v>0.19215336035441602</v>
      </c>
    </row>
    <row r="59" spans="1:21" x14ac:dyDescent="0.25">
      <c r="B59" s="9"/>
      <c r="C59" s="17">
        <v>272.6572265625</v>
      </c>
      <c r="D59" s="18">
        <v>27.41</v>
      </c>
      <c r="E59" s="18">
        <v>38.424999999999997</v>
      </c>
      <c r="F59" s="18">
        <v>38.987000000000002</v>
      </c>
      <c r="G59" s="18">
        <v>446.05</v>
      </c>
      <c r="H59" s="18">
        <f t="shared" si="0"/>
        <v>30.233999999999998</v>
      </c>
      <c r="I59" s="5"/>
      <c r="J59" s="17">
        <v>251.9032</v>
      </c>
      <c r="K59" s="18">
        <v>30.897099999999998</v>
      </c>
      <c r="L59" s="18">
        <v>39.426600000000001</v>
      </c>
      <c r="M59" s="18">
        <v>40.117400000000004</v>
      </c>
      <c r="N59" s="18">
        <v>619.8347</v>
      </c>
      <c r="O59" s="18">
        <f t="shared" si="1"/>
        <v>33.115825000000001</v>
      </c>
      <c r="P59" s="7"/>
      <c r="Q59" s="10"/>
      <c r="R59" s="11"/>
      <c r="S59" s="11"/>
      <c r="T59" s="26"/>
      <c r="U59" s="28">
        <f t="shared" si="2"/>
        <v>0.38960811568209835</v>
      </c>
    </row>
    <row r="60" spans="1:21" ht="16.5" thickBot="1" x14ac:dyDescent="0.3">
      <c r="B60" s="12"/>
      <c r="C60" s="19">
        <v>131.091796875</v>
      </c>
      <c r="D60" s="20">
        <v>25.457999999999998</v>
      </c>
      <c r="E60" s="20">
        <v>37.393999999999998</v>
      </c>
      <c r="F60" s="20">
        <v>37.57</v>
      </c>
      <c r="G60" s="20">
        <v>502.48</v>
      </c>
      <c r="H60" s="20">
        <f t="shared" si="0"/>
        <v>28.463999999999999</v>
      </c>
      <c r="I60" s="5"/>
      <c r="J60" s="19">
        <v>121.0432</v>
      </c>
      <c r="K60" s="20">
        <v>28.3431</v>
      </c>
      <c r="L60" s="20">
        <v>38.164999999999999</v>
      </c>
      <c r="M60" s="20">
        <v>38.604199999999999</v>
      </c>
      <c r="N60" s="20">
        <v>854.70090000000005</v>
      </c>
      <c r="O60" s="20">
        <f t="shared" si="1"/>
        <v>30.853475</v>
      </c>
      <c r="P60" s="7"/>
      <c r="Q60" s="13"/>
      <c r="R60" s="14"/>
      <c r="S60" s="14"/>
      <c r="T60" s="27"/>
      <c r="U60" s="28">
        <f t="shared" si="2"/>
        <v>0.70096501353287699</v>
      </c>
    </row>
    <row r="61" spans="1:21" x14ac:dyDescent="0.25">
      <c r="B61" s="6" t="s">
        <v>59</v>
      </c>
      <c r="C61" s="29">
        <v>648.056640625</v>
      </c>
      <c r="D61" s="30">
        <v>30.600999999999999</v>
      </c>
      <c r="E61" s="30">
        <v>36.307000000000002</v>
      </c>
      <c r="F61" s="30">
        <v>37.051000000000002</v>
      </c>
      <c r="G61" s="16">
        <v>391.17</v>
      </c>
      <c r="H61" s="16">
        <f t="shared" si="0"/>
        <v>32.1205</v>
      </c>
      <c r="I61" s="5"/>
      <c r="J61" s="29">
        <v>644.05999999999995</v>
      </c>
      <c r="K61" s="30">
        <v>33.212699999999998</v>
      </c>
      <c r="L61" s="30">
        <v>38.172899999999998</v>
      </c>
      <c r="M61" s="30">
        <v>38.936</v>
      </c>
      <c r="N61" s="16">
        <v>352.11270000000002</v>
      </c>
      <c r="O61" s="16">
        <f t="shared" si="1"/>
        <v>34.548137499999996</v>
      </c>
      <c r="P61" s="7"/>
      <c r="Q61" s="8">
        <f>bdrate(C61:C64,D61:D64,J61:J64,K61:K64)</f>
        <v>-0.47002845846844155</v>
      </c>
      <c r="R61" s="8">
        <f>bdrate(C61:C64,E61:E64,J61:J64,L61:L64)</f>
        <v>-0.54719769889231751</v>
      </c>
      <c r="S61" s="8">
        <f>bdrate(C61:C64,F61:F64,J61:J64,M61:M64)</f>
        <v>-0.54835591168891573</v>
      </c>
      <c r="T61" s="25">
        <f>bdrate(C61:C64,H61:H64,J61:J64,O61:O64)</f>
        <v>-0.48773391602245597</v>
      </c>
      <c r="U61" s="28">
        <f t="shared" si="2"/>
        <v>-9.9847380934120711E-2</v>
      </c>
    </row>
    <row r="62" spans="1:21" x14ac:dyDescent="0.25">
      <c r="B62" s="9"/>
      <c r="C62" s="31">
        <v>441.921875</v>
      </c>
      <c r="D62" s="32">
        <v>29.454999999999998</v>
      </c>
      <c r="E62" s="32">
        <v>35.328000000000003</v>
      </c>
      <c r="F62" s="32">
        <v>36.031999999999996</v>
      </c>
      <c r="G62" s="18">
        <v>410.2</v>
      </c>
      <c r="H62" s="18">
        <f t="shared" si="0"/>
        <v>31.011249999999997</v>
      </c>
      <c r="I62" s="5"/>
      <c r="J62" s="31">
        <v>427.37360000000001</v>
      </c>
      <c r="K62" s="32">
        <v>31.674399999999999</v>
      </c>
      <c r="L62" s="32">
        <v>37.095300000000002</v>
      </c>
      <c r="M62" s="32">
        <v>37.826300000000003</v>
      </c>
      <c r="N62" s="18">
        <v>445.23599999999999</v>
      </c>
      <c r="O62" s="18">
        <f t="shared" si="1"/>
        <v>33.121000000000002</v>
      </c>
      <c r="P62" s="7"/>
      <c r="Q62" s="10"/>
      <c r="R62" s="11"/>
      <c r="S62" s="11"/>
      <c r="T62" s="26"/>
      <c r="U62" s="28">
        <f t="shared" si="2"/>
        <v>8.5411994149195522E-2</v>
      </c>
    </row>
    <row r="63" spans="1:21" x14ac:dyDescent="0.25">
      <c r="B63" s="9"/>
      <c r="C63" s="31">
        <v>279.0693359375</v>
      </c>
      <c r="D63" s="32">
        <v>28.202999999999999</v>
      </c>
      <c r="E63" s="32">
        <v>34.328000000000003</v>
      </c>
      <c r="F63" s="32">
        <v>35</v>
      </c>
      <c r="G63" s="18">
        <v>436.44</v>
      </c>
      <c r="H63" s="18">
        <f t="shared" si="0"/>
        <v>29.818249999999999</v>
      </c>
      <c r="I63" s="5"/>
      <c r="J63" s="31">
        <v>266.7944</v>
      </c>
      <c r="K63" s="32">
        <v>29.9938</v>
      </c>
      <c r="L63" s="32">
        <v>35.978099999999998</v>
      </c>
      <c r="M63" s="32">
        <v>36.695799999999998</v>
      </c>
      <c r="N63" s="18">
        <v>542.88819999999998</v>
      </c>
      <c r="O63" s="18">
        <f t="shared" si="1"/>
        <v>31.579587499999999</v>
      </c>
      <c r="P63" s="7"/>
      <c r="Q63" s="10"/>
      <c r="R63" s="11"/>
      <c r="S63" s="11"/>
      <c r="T63" s="26"/>
      <c r="U63" s="28">
        <f t="shared" si="2"/>
        <v>0.24390110897259643</v>
      </c>
    </row>
    <row r="64" spans="1:21" ht="16.5" thickBot="1" x14ac:dyDescent="0.3">
      <c r="B64" s="12"/>
      <c r="C64" s="33">
        <v>134.6240234375</v>
      </c>
      <c r="D64" s="34">
        <v>26.349</v>
      </c>
      <c r="E64" s="34">
        <v>32.901000000000003</v>
      </c>
      <c r="F64" s="34">
        <v>33.56</v>
      </c>
      <c r="G64" s="20">
        <v>485.99</v>
      </c>
      <c r="H64" s="20">
        <f t="shared" si="0"/>
        <v>28.069375000000001</v>
      </c>
      <c r="I64" s="5"/>
      <c r="J64" s="33">
        <v>128.61840000000001</v>
      </c>
      <c r="K64" s="34">
        <v>27.5792</v>
      </c>
      <c r="L64" s="34">
        <v>34.422699999999999</v>
      </c>
      <c r="M64" s="34">
        <v>35.129800000000003</v>
      </c>
      <c r="N64" s="20">
        <v>781.25</v>
      </c>
      <c r="O64" s="20">
        <f t="shared" si="1"/>
        <v>29.378462499999998</v>
      </c>
      <c r="P64" s="7"/>
      <c r="Q64" s="13"/>
      <c r="R64" s="14"/>
      <c r="S64" s="14"/>
      <c r="T64" s="27"/>
      <c r="U64" s="28">
        <f t="shared" si="2"/>
        <v>0.60754336508981666</v>
      </c>
    </row>
    <row r="65" spans="1:21" x14ac:dyDescent="0.25">
      <c r="B65" s="6" t="s">
        <v>60</v>
      </c>
      <c r="C65" s="15">
        <v>589.5283203125</v>
      </c>
      <c r="D65" s="16">
        <v>32.191000000000003</v>
      </c>
      <c r="E65" s="16">
        <v>36.058</v>
      </c>
      <c r="F65" s="16">
        <v>37.139000000000003</v>
      </c>
      <c r="G65" s="16">
        <v>348.5</v>
      </c>
      <c r="H65" s="16">
        <f t="shared" si="0"/>
        <v>33.292875000000002</v>
      </c>
      <c r="I65" s="5"/>
      <c r="J65" s="15">
        <v>605.97519999999997</v>
      </c>
      <c r="K65" s="16">
        <v>33.987099999999998</v>
      </c>
      <c r="L65" s="16">
        <v>37.743899999999996</v>
      </c>
      <c r="M65" s="16">
        <v>38.834699999999998</v>
      </c>
      <c r="N65" s="16">
        <v>234.5582</v>
      </c>
      <c r="O65" s="16">
        <f t="shared" si="1"/>
        <v>35.062649999999998</v>
      </c>
      <c r="P65" s="7"/>
      <c r="Q65" s="8">
        <f>bdrate(C65:C68,D65:D68,J65:J68,K65:K68)</f>
        <v>-0.2969945307648949</v>
      </c>
      <c r="R65" s="8">
        <f>bdrate(C65:C68,E65:E68,J65:J68,L65:L68)</f>
        <v>-0.48937612143560127</v>
      </c>
      <c r="S65" s="8">
        <f>bdrate(C65:C68,F65:F68,J65:J68,M65:M68)</f>
        <v>-0.47311129880877389</v>
      </c>
      <c r="T65" s="25">
        <f>bdrate(C65:C68,H65:H68,J65:J68,O65:O68)</f>
        <v>-0.33789533970165708</v>
      </c>
      <c r="U65" s="28">
        <f t="shared" si="2"/>
        <v>-0.32694921090387374</v>
      </c>
    </row>
    <row r="66" spans="1:21" x14ac:dyDescent="0.25">
      <c r="B66" s="9"/>
      <c r="C66" s="17">
        <v>423.3896484375</v>
      </c>
      <c r="D66" s="18">
        <v>30.899000000000001</v>
      </c>
      <c r="E66" s="18">
        <v>35.106999999999999</v>
      </c>
      <c r="F66" s="18">
        <v>36.218000000000004</v>
      </c>
      <c r="G66" s="18">
        <v>376.65</v>
      </c>
      <c r="H66" s="18">
        <f t="shared" si="0"/>
        <v>32.089874999999999</v>
      </c>
      <c r="I66" s="5"/>
      <c r="J66" s="17">
        <v>403.8888</v>
      </c>
      <c r="K66" s="18">
        <v>32.1678</v>
      </c>
      <c r="L66" s="18">
        <v>36.606400000000001</v>
      </c>
      <c r="M66" s="18">
        <v>37.706099999999999</v>
      </c>
      <c r="N66" s="18">
        <v>291.26209999999998</v>
      </c>
      <c r="O66" s="18">
        <f t="shared" si="1"/>
        <v>33.4149125</v>
      </c>
      <c r="P66" s="7"/>
      <c r="Q66" s="10"/>
      <c r="R66" s="11"/>
      <c r="S66" s="11"/>
      <c r="T66" s="26"/>
      <c r="U66" s="28">
        <f t="shared" si="2"/>
        <v>-0.22670357095446703</v>
      </c>
    </row>
    <row r="67" spans="1:21" x14ac:dyDescent="0.25">
      <c r="B67" s="9"/>
      <c r="C67" s="17">
        <v>281.4755859375</v>
      </c>
      <c r="D67" s="18">
        <v>29.41</v>
      </c>
      <c r="E67" s="18">
        <v>33.979999999999997</v>
      </c>
      <c r="F67" s="18">
        <v>35.069000000000003</v>
      </c>
      <c r="G67" s="18">
        <v>401.82</v>
      </c>
      <c r="H67" s="18">
        <f t="shared" si="0"/>
        <v>30.688625000000002</v>
      </c>
      <c r="I67" s="5"/>
      <c r="J67" s="17">
        <v>252.94560000000001</v>
      </c>
      <c r="K67" s="18">
        <v>30.2729</v>
      </c>
      <c r="L67" s="18">
        <v>35.393599999999999</v>
      </c>
      <c r="M67" s="18">
        <v>36.433900000000001</v>
      </c>
      <c r="N67" s="18">
        <v>369.91370000000001</v>
      </c>
      <c r="O67" s="18">
        <f t="shared" si="1"/>
        <v>31.6831125</v>
      </c>
      <c r="P67" s="7"/>
      <c r="Q67" s="10"/>
      <c r="R67" s="11"/>
      <c r="S67" s="11"/>
      <c r="T67" s="26"/>
      <c r="U67" s="28">
        <f t="shared" si="2"/>
        <v>-7.9404459708327088E-2</v>
      </c>
    </row>
    <row r="68" spans="1:21" ht="16.5" thickBot="1" x14ac:dyDescent="0.3">
      <c r="B68" s="12"/>
      <c r="C68" s="19">
        <v>140.935546875</v>
      </c>
      <c r="D68" s="20">
        <v>27.11</v>
      </c>
      <c r="E68" s="20">
        <v>32.149000000000001</v>
      </c>
      <c r="F68" s="20">
        <v>33.097000000000001</v>
      </c>
      <c r="G68" s="20">
        <v>462.99</v>
      </c>
      <c r="H68" s="20">
        <f t="shared" si="0"/>
        <v>28.488250000000001</v>
      </c>
      <c r="I68" s="5"/>
      <c r="J68" s="19">
        <v>122.30800000000001</v>
      </c>
      <c r="K68" s="20">
        <v>27.795000000000002</v>
      </c>
      <c r="L68" s="20">
        <v>33.964700000000001</v>
      </c>
      <c r="M68" s="20">
        <v>34.902900000000002</v>
      </c>
      <c r="N68" s="20">
        <v>549.45050000000003</v>
      </c>
      <c r="O68" s="20">
        <f t="shared" si="1"/>
        <v>29.454700000000003</v>
      </c>
      <c r="P68" s="7"/>
      <c r="Q68" s="13"/>
      <c r="R68" s="14"/>
      <c r="S68" s="14"/>
      <c r="T68" s="27"/>
      <c r="U68" s="28">
        <f t="shared" si="2"/>
        <v>0.18674377416358889</v>
      </c>
    </row>
    <row r="69" spans="1:21" x14ac:dyDescent="0.25">
      <c r="A69" s="6" t="s">
        <v>43</v>
      </c>
      <c r="B69" s="6" t="s">
        <v>61</v>
      </c>
      <c r="C69" s="15">
        <v>1497.3505859375</v>
      </c>
      <c r="D69" s="16">
        <v>39.994</v>
      </c>
      <c r="E69" s="16">
        <v>45.09</v>
      </c>
      <c r="F69" s="16">
        <v>46.256</v>
      </c>
      <c r="G69" s="16">
        <v>85.85</v>
      </c>
      <c r="H69" s="16">
        <f t="shared" si="0"/>
        <v>41.413749999999993</v>
      </c>
      <c r="I69" s="5"/>
      <c r="J69" s="15">
        <v>1491.2647999999999</v>
      </c>
      <c r="K69" s="16">
        <v>41.363</v>
      </c>
      <c r="L69" s="16">
        <v>45.620399999999997</v>
      </c>
      <c r="M69" s="16">
        <v>46.805900000000001</v>
      </c>
      <c r="N69" s="16">
        <v>103.95010000000001</v>
      </c>
      <c r="O69" s="16">
        <f t="shared" si="1"/>
        <v>42.575537500000003</v>
      </c>
      <c r="P69" s="7"/>
      <c r="Q69" s="8">
        <f>bdrate(C69:C72,D69:D72,J69:J72,K69:K72)</f>
        <v>-0.375910256700279</v>
      </c>
      <c r="R69" s="8">
        <f>bdrate(C69:C72,E69:E72,J69:J72,L69:L72)</f>
        <v>-0.26957136158336348</v>
      </c>
      <c r="S69" s="8">
        <f>bdrate(C69:C72,F69:F72,J69:J72,M69:M72)</f>
        <v>-0.27210638641634488</v>
      </c>
      <c r="T69" s="25">
        <f>bdrate(C69:C72,H69:H72,J69:J72,O69:O72)</f>
        <v>-0.35766739265932979</v>
      </c>
      <c r="U69" s="28">
        <f t="shared" si="2"/>
        <v>0.21083401281304617</v>
      </c>
    </row>
    <row r="70" spans="1:21" x14ac:dyDescent="0.25">
      <c r="A70" s="9" t="s">
        <v>44</v>
      </c>
      <c r="B70" s="9"/>
      <c r="C70" s="17">
        <v>1001.3349609375</v>
      </c>
      <c r="D70" s="18">
        <v>38.713000000000001</v>
      </c>
      <c r="E70" s="18">
        <v>44.073</v>
      </c>
      <c r="F70" s="18">
        <v>45.215000000000003</v>
      </c>
      <c r="G70" s="18">
        <v>89.99</v>
      </c>
      <c r="H70" s="18">
        <f t="shared" si="0"/>
        <v>40.195750000000004</v>
      </c>
      <c r="I70" s="5"/>
      <c r="J70" s="17">
        <v>984.8528</v>
      </c>
      <c r="K70" s="18">
        <v>40.243699999999997</v>
      </c>
      <c r="L70" s="18">
        <v>44.6633</v>
      </c>
      <c r="M70" s="18">
        <v>45.837899999999998</v>
      </c>
      <c r="N70" s="18">
        <v>119.8322</v>
      </c>
      <c r="O70" s="18">
        <f t="shared" si="1"/>
        <v>41.495424999999997</v>
      </c>
      <c r="P70" s="7"/>
      <c r="Q70" s="10"/>
      <c r="R70" s="11"/>
      <c r="S70" s="11"/>
      <c r="T70" s="26"/>
      <c r="U70" s="28">
        <f t="shared" si="2"/>
        <v>0.33161684631625743</v>
      </c>
    </row>
    <row r="71" spans="1:21" x14ac:dyDescent="0.25">
      <c r="B71" s="9"/>
      <c r="C71" s="17">
        <v>601.8681640625</v>
      </c>
      <c r="D71" s="18">
        <v>36.634999999999998</v>
      </c>
      <c r="E71" s="18">
        <v>42.488999999999997</v>
      </c>
      <c r="F71" s="18">
        <v>43.558</v>
      </c>
      <c r="G71" s="18">
        <v>94.96</v>
      </c>
      <c r="H71" s="18">
        <f t="shared" si="0"/>
        <v>38.232124999999996</v>
      </c>
      <c r="I71" s="5"/>
      <c r="J71" s="17">
        <v>574.95519999999999</v>
      </c>
      <c r="K71" s="18">
        <v>38.364899999999999</v>
      </c>
      <c r="L71" s="18">
        <v>43.274500000000003</v>
      </c>
      <c r="M71" s="18">
        <v>44.390500000000003</v>
      </c>
      <c r="N71" s="18">
        <v>138.37639999999999</v>
      </c>
      <c r="O71" s="18">
        <f t="shared" si="1"/>
        <v>39.731799999999993</v>
      </c>
      <c r="P71" s="7"/>
      <c r="Q71" s="10"/>
      <c r="R71" s="11"/>
      <c r="S71" s="11"/>
      <c r="T71" s="26"/>
      <c r="U71" s="28">
        <f t="shared" si="2"/>
        <v>0.45720724515585509</v>
      </c>
    </row>
    <row r="72" spans="1:21" ht="16.5" thickBot="1" x14ac:dyDescent="0.3">
      <c r="B72" s="12"/>
      <c r="C72" s="19">
        <v>302.0390625</v>
      </c>
      <c r="D72" s="20">
        <v>33.006</v>
      </c>
      <c r="E72" s="20">
        <v>39.960999999999999</v>
      </c>
      <c r="F72" s="20">
        <v>40.743000000000002</v>
      </c>
      <c r="G72" s="20">
        <v>102.44</v>
      </c>
      <c r="H72" s="20">
        <f t="shared" si="0"/>
        <v>34.842500000000001</v>
      </c>
      <c r="I72" s="5"/>
      <c r="J72" s="19">
        <v>278.60320000000002</v>
      </c>
      <c r="K72" s="20">
        <v>35.244399999999999</v>
      </c>
      <c r="L72" s="20">
        <v>41.513300000000001</v>
      </c>
      <c r="M72" s="20">
        <v>42.485799999999998</v>
      </c>
      <c r="N72" s="20">
        <v>170.9402</v>
      </c>
      <c r="O72" s="20">
        <f t="shared" si="1"/>
        <v>36.933187499999995</v>
      </c>
      <c r="P72" s="7"/>
      <c r="Q72" s="13"/>
      <c r="R72" s="14"/>
      <c r="S72" s="14"/>
      <c r="T72" s="27"/>
      <c r="U72" s="28">
        <f t="shared" si="2"/>
        <v>0.66868606013276077</v>
      </c>
    </row>
    <row r="73" spans="1:21" x14ac:dyDescent="0.25">
      <c r="B73" s="6" t="s">
        <v>62</v>
      </c>
      <c r="C73" s="15">
        <v>1506.7958984375</v>
      </c>
      <c r="D73" s="16">
        <v>41.268999999999998</v>
      </c>
      <c r="E73" s="16">
        <v>47.134</v>
      </c>
      <c r="F73" s="16">
        <v>47.774000000000001</v>
      </c>
      <c r="G73" s="16">
        <v>82.83</v>
      </c>
      <c r="H73" s="16">
        <f t="shared" si="0"/>
        <v>42.815249999999999</v>
      </c>
      <c r="I73" s="5"/>
      <c r="J73" s="15">
        <v>1469.3440000000001</v>
      </c>
      <c r="K73" s="16">
        <v>42.62</v>
      </c>
      <c r="L73" s="16">
        <v>47.650399999999998</v>
      </c>
      <c r="M73" s="16">
        <v>48.2652</v>
      </c>
      <c r="N73" s="16">
        <v>117.624</v>
      </c>
      <c r="O73" s="16">
        <f t="shared" si="1"/>
        <v>43.954449999999994</v>
      </c>
      <c r="P73" s="7"/>
      <c r="Q73" s="8">
        <f>bdrate(C73:C76,D73:D76,J73:J76,K73:K76)</f>
        <v>-0.5650971103011887</v>
      </c>
      <c r="R73" s="8">
        <f>bdrate(C73:C76,E73:E76,J73:J76,L73:L76)</f>
        <v>-0.40037190351067076</v>
      </c>
      <c r="S73" s="8">
        <f>bdrate(C73:C76,F73:F76,J73:J76,M73:M76)</f>
        <v>-0.38842294741539163</v>
      </c>
      <c r="T73" s="25">
        <f>bdrate(C73:C76,H73:H76,J73:J76,O73:O76)</f>
        <v>-0.52692569206287987</v>
      </c>
      <c r="U73" s="28">
        <f t="shared" ref="U73:U124" si="3">(N73-G73)/G73</f>
        <v>0.42006519377037305</v>
      </c>
    </row>
    <row r="74" spans="1:21" x14ac:dyDescent="0.25">
      <c r="B74" s="9"/>
      <c r="C74" s="17">
        <v>999.5673828125</v>
      </c>
      <c r="D74" s="18">
        <v>40.593000000000004</v>
      </c>
      <c r="E74" s="18">
        <v>46.487000000000002</v>
      </c>
      <c r="F74" s="18">
        <v>47.093000000000004</v>
      </c>
      <c r="G74" s="18">
        <v>89</v>
      </c>
      <c r="H74" s="18">
        <f t="shared" si="0"/>
        <v>42.142250000000004</v>
      </c>
      <c r="I74" s="5"/>
      <c r="J74" s="17">
        <v>973.91520000000003</v>
      </c>
      <c r="K74" s="18">
        <v>42.095500000000001</v>
      </c>
      <c r="L74" s="18">
        <v>47.204500000000003</v>
      </c>
      <c r="M74" s="18">
        <v>47.851300000000002</v>
      </c>
      <c r="N74" s="18">
        <v>136.8613</v>
      </c>
      <c r="O74" s="18">
        <f t="shared" si="1"/>
        <v>43.453600000000002</v>
      </c>
      <c r="P74" s="7"/>
      <c r="Q74" s="10"/>
      <c r="R74" s="11"/>
      <c r="S74" s="11"/>
      <c r="T74" s="26"/>
      <c r="U74" s="28">
        <f t="shared" si="3"/>
        <v>0.53776741573033704</v>
      </c>
    </row>
    <row r="75" spans="1:21" x14ac:dyDescent="0.25">
      <c r="B75" s="9"/>
      <c r="C75" s="17">
        <v>603.232421875</v>
      </c>
      <c r="D75" s="18">
        <v>39.481000000000002</v>
      </c>
      <c r="E75" s="18">
        <v>45.271000000000001</v>
      </c>
      <c r="F75" s="18">
        <v>45.871000000000002</v>
      </c>
      <c r="G75" s="18">
        <v>93.15</v>
      </c>
      <c r="H75" s="18">
        <f t="shared" si="0"/>
        <v>41.003500000000003</v>
      </c>
      <c r="I75" s="5"/>
      <c r="J75" s="17">
        <v>578.66079999999999</v>
      </c>
      <c r="K75" s="18">
        <v>41.234000000000002</v>
      </c>
      <c r="L75" s="18">
        <v>46.368499999999997</v>
      </c>
      <c r="M75" s="18">
        <v>46.933199999999999</v>
      </c>
      <c r="N75" s="18">
        <v>153.84620000000001</v>
      </c>
      <c r="O75" s="18">
        <f t="shared" si="1"/>
        <v>42.588212499999997</v>
      </c>
      <c r="P75" s="7"/>
      <c r="Q75" s="10"/>
      <c r="R75" s="11"/>
      <c r="S75" s="11"/>
      <c r="T75" s="26"/>
      <c r="U75" s="28">
        <f t="shared" si="3"/>
        <v>0.65159634997316163</v>
      </c>
    </row>
    <row r="76" spans="1:21" ht="16.5" thickBot="1" x14ac:dyDescent="0.3">
      <c r="B76" s="12"/>
      <c r="C76" s="19">
        <v>296.3916015625</v>
      </c>
      <c r="D76" s="20">
        <v>37.203000000000003</v>
      </c>
      <c r="E76" s="20">
        <v>43.01</v>
      </c>
      <c r="F76" s="20">
        <v>43.469000000000001</v>
      </c>
      <c r="G76" s="20">
        <v>100.43</v>
      </c>
      <c r="H76" s="20">
        <f t="shared" si="0"/>
        <v>38.712125</v>
      </c>
      <c r="I76" s="5"/>
      <c r="J76" s="19">
        <v>281.61439999999999</v>
      </c>
      <c r="K76" s="20">
        <v>39.438299999999998</v>
      </c>
      <c r="L76" s="20">
        <v>44.5854</v>
      </c>
      <c r="M76" s="20">
        <v>45.122900000000001</v>
      </c>
      <c r="N76" s="20">
        <v>179.7484</v>
      </c>
      <c r="O76" s="20">
        <f t="shared" si="1"/>
        <v>40.7922625</v>
      </c>
      <c r="P76" s="7"/>
      <c r="Q76" s="13"/>
      <c r="R76" s="14"/>
      <c r="S76" s="14"/>
      <c r="T76" s="27"/>
      <c r="U76" s="28">
        <f t="shared" si="3"/>
        <v>0.78978791197849241</v>
      </c>
    </row>
    <row r="77" spans="1:21" x14ac:dyDescent="0.25">
      <c r="B77" s="6" t="s">
        <v>63</v>
      </c>
      <c r="C77" s="15">
        <v>1500.056640625</v>
      </c>
      <c r="D77" s="16">
        <v>41.063000000000002</v>
      </c>
      <c r="E77" s="16">
        <v>46.079000000000001</v>
      </c>
      <c r="F77" s="16">
        <v>46.933999999999997</v>
      </c>
      <c r="G77" s="16">
        <v>81</v>
      </c>
      <c r="H77" s="16">
        <f t="shared" si="0"/>
        <v>42.423874999999995</v>
      </c>
      <c r="I77" s="5"/>
      <c r="J77" s="15">
        <v>1534.556</v>
      </c>
      <c r="K77" s="16">
        <v>42.498699999999999</v>
      </c>
      <c r="L77" s="16">
        <v>46.739100000000001</v>
      </c>
      <c r="M77" s="16">
        <v>47.615299999999998</v>
      </c>
      <c r="N77" s="16">
        <v>104.2209</v>
      </c>
      <c r="O77" s="16">
        <f t="shared" si="1"/>
        <v>43.668324999999996</v>
      </c>
      <c r="P77" s="7"/>
      <c r="Q77" s="8">
        <f>bdrate(C77:C80,D77:D80,J77:J80,K77:K80)</f>
        <v>-0.4652444087036024</v>
      </c>
      <c r="R77" s="8">
        <f>bdrate(C77:C80,E77:E80,J77:J80,L77:L80)</f>
        <v>-0.32056687449158361</v>
      </c>
      <c r="S77" s="8">
        <f>bdrate(C77:C80,F77:F80,J77:J80,M77:M80)</f>
        <v>-0.31982457360915484</v>
      </c>
      <c r="T77" s="25">
        <f>bdrate(C77:C80,H77:H80,J77:J80,O77:O80)</f>
        <v>-0.43659053742821763</v>
      </c>
      <c r="U77" s="28">
        <f t="shared" si="3"/>
        <v>0.28667777777777781</v>
      </c>
    </row>
    <row r="78" spans="1:21" x14ac:dyDescent="0.25">
      <c r="B78" s="9"/>
      <c r="C78" s="17">
        <v>1003.35546875</v>
      </c>
      <c r="D78" s="18">
        <v>39.994999999999997</v>
      </c>
      <c r="E78" s="18">
        <v>45.212000000000003</v>
      </c>
      <c r="F78" s="18">
        <v>46.029000000000003</v>
      </c>
      <c r="G78" s="18">
        <v>86.51</v>
      </c>
      <c r="H78" s="18">
        <f t="shared" si="0"/>
        <v>41.401374999999994</v>
      </c>
      <c r="I78" s="5"/>
      <c r="J78" s="17">
        <v>1011.9088</v>
      </c>
      <c r="K78" s="18">
        <v>41.670200000000001</v>
      </c>
      <c r="L78" s="18">
        <v>45.9681</v>
      </c>
      <c r="M78" s="18">
        <v>46.803600000000003</v>
      </c>
      <c r="N78" s="18">
        <v>120.5788</v>
      </c>
      <c r="O78" s="18">
        <f t="shared" si="1"/>
        <v>42.849112500000004</v>
      </c>
      <c r="P78" s="7"/>
      <c r="Q78" s="10"/>
      <c r="R78" s="11"/>
      <c r="S78" s="11"/>
      <c r="T78" s="26"/>
      <c r="U78" s="28">
        <f t="shared" si="3"/>
        <v>0.39381343197318225</v>
      </c>
    </row>
    <row r="79" spans="1:21" x14ac:dyDescent="0.25">
      <c r="B79" s="9"/>
      <c r="C79" s="17">
        <v>606.22265625</v>
      </c>
      <c r="D79" s="18">
        <v>38.238999999999997</v>
      </c>
      <c r="E79" s="18">
        <v>43.698</v>
      </c>
      <c r="F79" s="18">
        <v>44.500999999999998</v>
      </c>
      <c r="G79" s="18">
        <v>91.91</v>
      </c>
      <c r="H79" s="18">
        <f t="shared" si="0"/>
        <v>39.704124999999991</v>
      </c>
      <c r="I79" s="5"/>
      <c r="J79" s="17">
        <v>606.48320000000001</v>
      </c>
      <c r="K79" s="18">
        <v>40.3491</v>
      </c>
      <c r="L79" s="18">
        <v>44.813200000000002</v>
      </c>
      <c r="M79" s="18">
        <v>45.621099999999998</v>
      </c>
      <c r="N79" s="18">
        <v>137.86760000000001</v>
      </c>
      <c r="O79" s="18">
        <f t="shared" si="1"/>
        <v>41.566112500000003</v>
      </c>
      <c r="P79" s="7"/>
      <c r="Q79" s="10"/>
      <c r="R79" s="11"/>
      <c r="S79" s="11"/>
      <c r="T79" s="26"/>
      <c r="U79" s="28">
        <f t="shared" si="3"/>
        <v>0.50002828854314019</v>
      </c>
    </row>
    <row r="80" spans="1:21" ht="16.5" thickBot="1" x14ac:dyDescent="0.3">
      <c r="B80" s="12"/>
      <c r="C80" s="19">
        <v>303.068359375</v>
      </c>
      <c r="D80" s="20">
        <v>35.055999999999997</v>
      </c>
      <c r="E80" s="20">
        <v>41.009</v>
      </c>
      <c r="F80" s="20">
        <v>41.789000000000001</v>
      </c>
      <c r="G80" s="20">
        <v>104.83</v>
      </c>
      <c r="H80" s="20">
        <f t="shared" si="0"/>
        <v>36.641749999999995</v>
      </c>
      <c r="I80" s="5"/>
      <c r="J80" s="19">
        <v>296.06400000000002</v>
      </c>
      <c r="K80" s="20">
        <v>37.845100000000002</v>
      </c>
      <c r="L80" s="20">
        <v>42.853700000000003</v>
      </c>
      <c r="M80" s="20">
        <v>43.685299999999998</v>
      </c>
      <c r="N80" s="20">
        <v>167.22409999999999</v>
      </c>
      <c r="O80" s="20">
        <f t="shared" si="1"/>
        <v>39.2012</v>
      </c>
      <c r="P80" s="7"/>
      <c r="Q80" s="13"/>
      <c r="R80" s="14"/>
      <c r="S80" s="14"/>
      <c r="T80" s="27"/>
      <c r="U80" s="28">
        <f t="shared" si="3"/>
        <v>0.59519316989411419</v>
      </c>
    </row>
    <row r="81" spans="1:21" x14ac:dyDescent="0.25">
      <c r="A81" s="6" t="s">
        <v>102</v>
      </c>
      <c r="B81" s="6" t="s">
        <v>103</v>
      </c>
      <c r="C81" s="15">
        <v>1458.4326171875</v>
      </c>
      <c r="D81" s="16">
        <v>44.305</v>
      </c>
      <c r="E81" s="16">
        <v>49.655000000000001</v>
      </c>
      <c r="F81" s="16">
        <v>50.122</v>
      </c>
      <c r="G81" s="16">
        <v>65.239999999999995</v>
      </c>
      <c r="H81" s="16">
        <f t="shared" ref="H81:H124" si="4">(6*D81+E81+F81)/8</f>
        <v>45.700875000000003</v>
      </c>
      <c r="I81" s="5"/>
      <c r="J81" s="15">
        <v>1284.4647</v>
      </c>
      <c r="K81" s="16">
        <v>43.5306</v>
      </c>
      <c r="L81" s="16">
        <v>49.320300000000003</v>
      </c>
      <c r="M81" s="16">
        <v>50.169600000000003</v>
      </c>
      <c r="N81" s="16">
        <v>61.1143</v>
      </c>
      <c r="O81" s="16">
        <f t="shared" ref="O81:O124" si="5">(6*K81+L81+M81)/8</f>
        <v>45.084187500000006</v>
      </c>
      <c r="P81" s="7"/>
      <c r="Q81" s="8">
        <f>bdrate(C81:C84,D81:D84,J81:J84,K81:K84)</f>
        <v>-0.22210191460477369</v>
      </c>
      <c r="R81" s="8">
        <f>bdrate(C81:C84,E81:E84,J81:J84,L81:L84)</f>
        <v>-0.26366815683224798</v>
      </c>
      <c r="S81" s="8">
        <f>bdrate(C81:C84,F81:F84,J81:J84,M81:M84)</f>
        <v>-0.34644026701775443</v>
      </c>
      <c r="T81" s="25">
        <f>bdrate(C81:C84,H81:H84,J81:J84,O81:O84)</f>
        <v>-0.23961674570738301</v>
      </c>
      <c r="U81" s="28">
        <f t="shared" si="3"/>
        <v>-6.3238810545677426E-2</v>
      </c>
    </row>
    <row r="82" spans="1:21" x14ac:dyDescent="0.25">
      <c r="A82" s="9" t="s">
        <v>78</v>
      </c>
      <c r="B82" s="9"/>
      <c r="C82" s="17">
        <v>1025.666015625</v>
      </c>
      <c r="D82" s="18">
        <v>42.235999999999997</v>
      </c>
      <c r="E82" s="18">
        <v>47.847999999999999</v>
      </c>
      <c r="F82" s="18">
        <v>48.381</v>
      </c>
      <c r="G82" s="18">
        <v>70.77</v>
      </c>
      <c r="H82" s="18">
        <f t="shared" si="4"/>
        <v>43.705624999999998</v>
      </c>
      <c r="I82" s="5"/>
      <c r="J82" s="17">
        <v>879.48929999999996</v>
      </c>
      <c r="K82" s="18">
        <v>41.948799999999999</v>
      </c>
      <c r="L82" s="18">
        <v>48.056399999999996</v>
      </c>
      <c r="M82" s="18">
        <v>49.049799999999998</v>
      </c>
      <c r="N82" s="18">
        <v>71.400199999999998</v>
      </c>
      <c r="O82" s="18">
        <f t="shared" si="5"/>
        <v>43.599874999999997</v>
      </c>
      <c r="P82" s="7"/>
      <c r="Q82" s="10"/>
      <c r="R82" s="11"/>
      <c r="S82" s="11"/>
      <c r="T82" s="26"/>
      <c r="U82" s="28">
        <f t="shared" si="3"/>
        <v>8.9049032075738613E-3</v>
      </c>
    </row>
    <row r="83" spans="1:21" x14ac:dyDescent="0.25">
      <c r="B83" s="9"/>
      <c r="C83" s="17">
        <v>679.900390625</v>
      </c>
      <c r="D83" s="18">
        <v>39.457000000000001</v>
      </c>
      <c r="E83" s="18">
        <v>45.625999999999998</v>
      </c>
      <c r="F83" s="18">
        <v>46.271999999999998</v>
      </c>
      <c r="G83" s="18">
        <v>77.75</v>
      </c>
      <c r="H83" s="18">
        <f t="shared" si="4"/>
        <v>41.08</v>
      </c>
      <c r="I83" s="5"/>
      <c r="J83" s="17">
        <v>545.35910000000001</v>
      </c>
      <c r="K83" s="18">
        <v>39.795099999999998</v>
      </c>
      <c r="L83" s="18">
        <v>46.178600000000003</v>
      </c>
      <c r="M83" s="18">
        <v>47.460299999999997</v>
      </c>
      <c r="N83" s="18">
        <v>88.552199999999999</v>
      </c>
      <c r="O83" s="18">
        <f t="shared" si="5"/>
        <v>41.551187500000005</v>
      </c>
      <c r="P83" s="7"/>
      <c r="Q83" s="10"/>
      <c r="R83" s="11"/>
      <c r="S83" s="11"/>
      <c r="T83" s="26"/>
      <c r="U83" s="28">
        <f t="shared" si="3"/>
        <v>0.13893504823151123</v>
      </c>
    </row>
    <row r="84" spans="1:21" ht="16.5" thickBot="1" x14ac:dyDescent="0.3">
      <c r="B84" s="12"/>
      <c r="C84" s="19">
        <v>453.0390625</v>
      </c>
      <c r="D84" s="20">
        <v>35.972000000000001</v>
      </c>
      <c r="E84" s="20">
        <v>42.774000000000001</v>
      </c>
      <c r="F84" s="20">
        <v>43.664999999999999</v>
      </c>
      <c r="G84" s="20">
        <v>80.900000000000006</v>
      </c>
      <c r="H84" s="20">
        <f t="shared" si="4"/>
        <v>37.783875000000002</v>
      </c>
      <c r="I84" s="5"/>
      <c r="J84" s="19">
        <v>282.40550000000002</v>
      </c>
      <c r="K84" s="20">
        <v>36.8446</v>
      </c>
      <c r="L84" s="20">
        <v>44.142499999999998</v>
      </c>
      <c r="M84" s="20">
        <v>45.454900000000002</v>
      </c>
      <c r="N84" s="20">
        <v>117.1417</v>
      </c>
      <c r="O84" s="20">
        <f t="shared" si="5"/>
        <v>38.833125000000003</v>
      </c>
      <c r="P84" s="7"/>
      <c r="Q84" s="13"/>
      <c r="R84" s="14"/>
      <c r="S84" s="14"/>
      <c r="T84" s="27"/>
      <c r="U84" s="28">
        <f t="shared" si="3"/>
        <v>0.44798145859085281</v>
      </c>
    </row>
    <row r="85" spans="1:21" x14ac:dyDescent="0.25">
      <c r="B85" s="6" t="s">
        <v>104</v>
      </c>
      <c r="C85" s="15">
        <v>1625.017578125</v>
      </c>
      <c r="D85" s="16">
        <v>50.427</v>
      </c>
      <c r="E85" s="16">
        <v>51.241999999999997</v>
      </c>
      <c r="F85" s="16">
        <v>51.607999999999997</v>
      </c>
      <c r="G85" s="16">
        <v>131.77000000000001</v>
      </c>
      <c r="H85" s="16">
        <f t="shared" si="4"/>
        <v>50.676500000000004</v>
      </c>
      <c r="I85" s="5"/>
      <c r="J85" s="15">
        <v>1450.0807</v>
      </c>
      <c r="K85" s="16">
        <v>51.507899999999999</v>
      </c>
      <c r="L85" s="16">
        <v>52.500399999999999</v>
      </c>
      <c r="M85" s="16">
        <v>52.997700000000002</v>
      </c>
      <c r="N85" s="16">
        <v>109.2697</v>
      </c>
      <c r="O85" s="16">
        <f t="shared" si="5"/>
        <v>51.818187500000001</v>
      </c>
      <c r="P85" s="7"/>
      <c r="Q85" s="8">
        <f>bdrate(C85:C88,D85:D88,J85:J88,K85:K88)</f>
        <v>-0.30877805995505836</v>
      </c>
      <c r="R85" s="8">
        <f>bdrate(C85:C88,E85:E88,J85:J88,L85:L88)</f>
        <v>-0.33340449728992128</v>
      </c>
      <c r="S85" s="8">
        <f>bdrate(C85:C88,F85:F88,J85:J88,M85:M88)</f>
        <v>-0.3523518736335175</v>
      </c>
      <c r="T85" s="25">
        <f>bdrate(C85:C88,H85:H88,J85:J88,O85:O88)</f>
        <v>-0.31701614351884677</v>
      </c>
      <c r="U85" s="28">
        <f t="shared" si="3"/>
        <v>-0.17075434469150799</v>
      </c>
    </row>
    <row r="86" spans="1:21" x14ac:dyDescent="0.25">
      <c r="B86" s="9"/>
      <c r="C86" s="17">
        <v>1138.873046875</v>
      </c>
      <c r="D86" s="18">
        <v>48.231000000000002</v>
      </c>
      <c r="E86" s="18">
        <v>49.192999999999998</v>
      </c>
      <c r="F86" s="18">
        <v>49.595999999999997</v>
      </c>
      <c r="G86" s="18">
        <v>138.29</v>
      </c>
      <c r="H86" s="18">
        <f t="shared" si="4"/>
        <v>48.521875000000001</v>
      </c>
      <c r="I86" s="5"/>
      <c r="J86" s="17">
        <v>976.32950000000005</v>
      </c>
      <c r="K86" s="18">
        <v>49.613100000000003</v>
      </c>
      <c r="L86" s="18">
        <v>50.7087</v>
      </c>
      <c r="M86" s="18">
        <v>51.253100000000003</v>
      </c>
      <c r="N86" s="18">
        <v>134.16820000000001</v>
      </c>
      <c r="O86" s="18">
        <f t="shared" si="5"/>
        <v>49.955050000000007</v>
      </c>
      <c r="P86" s="7"/>
      <c r="Q86" s="10"/>
      <c r="R86" s="11"/>
      <c r="S86" s="11"/>
      <c r="T86" s="26"/>
      <c r="U86" s="28">
        <f t="shared" si="3"/>
        <v>-2.980548123508554E-2</v>
      </c>
    </row>
    <row r="87" spans="1:21" x14ac:dyDescent="0.25">
      <c r="B87" s="9"/>
      <c r="C87" s="17">
        <v>717.3173828125</v>
      </c>
      <c r="D87" s="18">
        <v>45.372999999999998</v>
      </c>
      <c r="E87" s="18">
        <v>46.552</v>
      </c>
      <c r="F87" s="18">
        <v>46.976999999999997</v>
      </c>
      <c r="G87" s="18">
        <v>146.43</v>
      </c>
      <c r="H87" s="18">
        <f t="shared" si="4"/>
        <v>45.720874999999999</v>
      </c>
      <c r="I87" s="5"/>
      <c r="J87" s="17">
        <v>592.02679999999998</v>
      </c>
      <c r="K87" s="18">
        <v>46.379800000000003</v>
      </c>
      <c r="L87" s="18">
        <v>47.723500000000001</v>
      </c>
      <c r="M87" s="18">
        <v>48.2849</v>
      </c>
      <c r="N87" s="18">
        <v>157.19149999999999</v>
      </c>
      <c r="O87" s="18">
        <f t="shared" si="5"/>
        <v>46.785900000000005</v>
      </c>
      <c r="P87" s="7"/>
      <c r="Q87" s="10"/>
      <c r="R87" s="11"/>
      <c r="S87" s="11"/>
      <c r="T87" s="26"/>
      <c r="U87" s="28">
        <f t="shared" si="3"/>
        <v>7.3492453732158597E-2</v>
      </c>
    </row>
    <row r="88" spans="1:21" ht="16.5" thickBot="1" x14ac:dyDescent="0.3">
      <c r="B88" s="12"/>
      <c r="C88" s="19">
        <v>397.3798828125</v>
      </c>
      <c r="D88" s="20">
        <v>41.73</v>
      </c>
      <c r="E88" s="20">
        <v>43.246000000000002</v>
      </c>
      <c r="F88" s="20">
        <v>43.640999999999998</v>
      </c>
      <c r="G88" s="20">
        <v>152.85</v>
      </c>
      <c r="H88" s="20">
        <f t="shared" si="4"/>
        <v>42.158374999999999</v>
      </c>
      <c r="I88" s="5"/>
      <c r="J88" s="19">
        <v>299.8784</v>
      </c>
      <c r="K88" s="20">
        <v>42.425800000000002</v>
      </c>
      <c r="L88" s="20">
        <v>43.935600000000001</v>
      </c>
      <c r="M88" s="20">
        <v>44.562600000000003</v>
      </c>
      <c r="N88" s="20">
        <v>177.51480000000001</v>
      </c>
      <c r="O88" s="20">
        <f t="shared" si="5"/>
        <v>42.881625</v>
      </c>
      <c r="P88" s="7"/>
      <c r="Q88" s="13"/>
      <c r="R88" s="14"/>
      <c r="S88" s="14"/>
      <c r="T88" s="27"/>
      <c r="U88" s="28">
        <f t="shared" si="3"/>
        <v>0.16136604514229647</v>
      </c>
    </row>
    <row r="89" spans="1:21" x14ac:dyDescent="0.25">
      <c r="B89" s="6" t="s">
        <v>105</v>
      </c>
      <c r="C89" s="15">
        <v>1806.998046875</v>
      </c>
      <c r="D89" s="16">
        <v>40.75</v>
      </c>
      <c r="E89" s="16">
        <v>43.576000000000001</v>
      </c>
      <c r="F89" s="16">
        <v>43.966999999999999</v>
      </c>
      <c r="G89" s="16">
        <v>74.010000000000005</v>
      </c>
      <c r="H89" s="16">
        <f t="shared" si="4"/>
        <v>41.505375000000001</v>
      </c>
      <c r="I89" s="5"/>
      <c r="J89" s="15">
        <v>1492.1165000000001</v>
      </c>
      <c r="K89" s="16">
        <v>42.7438</v>
      </c>
      <c r="L89" s="16">
        <v>45.086300000000001</v>
      </c>
      <c r="M89" s="16">
        <v>45.512</v>
      </c>
      <c r="N89" s="16">
        <v>78.923100000000005</v>
      </c>
      <c r="O89" s="16">
        <f t="shared" si="5"/>
        <v>43.382637500000001</v>
      </c>
      <c r="P89" s="7"/>
      <c r="Q89" s="8">
        <f>bdrate(C89:C92,D89:D92,J89:J92,K89:K92)</f>
        <v>-0.46683098325803707</v>
      </c>
      <c r="R89" s="8">
        <f>bdrate(C89:C92,E89:E92,J89:J92,L89:L92)</f>
        <v>-0.5022287847396274</v>
      </c>
      <c r="S89" s="8">
        <f>bdrate(C89:C92,F89:F92,J89:J92,M89:M92)</f>
        <v>-0.50592611685072608</v>
      </c>
      <c r="T89" s="25">
        <f>bdrate(C89:C92,H89:H92,J89:J92,O89:O92)</f>
        <v>-0.4749433783072603</v>
      </c>
      <c r="U89" s="28">
        <f t="shared" si="3"/>
        <v>6.638427239562221E-2</v>
      </c>
    </row>
    <row r="90" spans="1:21" x14ac:dyDescent="0.25">
      <c r="B90" s="9"/>
      <c r="C90" s="17">
        <v>1277.310546875</v>
      </c>
      <c r="D90" s="18">
        <v>38.912999999999997</v>
      </c>
      <c r="E90" s="18">
        <v>42.048000000000002</v>
      </c>
      <c r="F90" s="18">
        <v>42.47</v>
      </c>
      <c r="G90" s="18">
        <v>78.989999999999995</v>
      </c>
      <c r="H90" s="18">
        <f t="shared" si="4"/>
        <v>39.749499999999998</v>
      </c>
      <c r="I90" s="5"/>
      <c r="J90" s="17">
        <v>996.19849999999997</v>
      </c>
      <c r="K90" s="18">
        <v>40.787100000000002</v>
      </c>
      <c r="L90" s="18">
        <v>43.570099999999996</v>
      </c>
      <c r="M90" s="18">
        <v>43.997999999999998</v>
      </c>
      <c r="N90" s="18">
        <v>93.052099999999996</v>
      </c>
      <c r="O90" s="18">
        <f t="shared" si="5"/>
        <v>41.536337499999995</v>
      </c>
      <c r="P90" s="7"/>
      <c r="Q90" s="10"/>
      <c r="R90" s="11"/>
      <c r="S90" s="11"/>
      <c r="T90" s="26"/>
      <c r="U90" s="28">
        <f t="shared" si="3"/>
        <v>0.17802380048107358</v>
      </c>
    </row>
    <row r="91" spans="1:21" x14ac:dyDescent="0.25">
      <c r="B91" s="9"/>
      <c r="C91" s="17">
        <v>834.0654296875</v>
      </c>
      <c r="D91" s="18">
        <v>36.640999999999998</v>
      </c>
      <c r="E91" s="18">
        <v>40.207999999999998</v>
      </c>
      <c r="F91" s="18">
        <v>40.619999999999997</v>
      </c>
      <c r="G91" s="18">
        <v>83.01</v>
      </c>
      <c r="H91" s="18">
        <f t="shared" si="4"/>
        <v>37.584249999999997</v>
      </c>
      <c r="I91" s="5"/>
      <c r="J91" s="17">
        <v>598.95360000000005</v>
      </c>
      <c r="K91" s="18">
        <v>38.256300000000003</v>
      </c>
      <c r="L91" s="18">
        <v>41.760300000000001</v>
      </c>
      <c r="M91" s="18">
        <v>42.1935</v>
      </c>
      <c r="N91" s="18">
        <v>108.85339999999999</v>
      </c>
      <c r="O91" s="18">
        <f t="shared" si="5"/>
        <v>39.186449999999994</v>
      </c>
      <c r="P91" s="7"/>
      <c r="Q91" s="10"/>
      <c r="R91" s="11"/>
      <c r="S91" s="11"/>
      <c r="T91" s="26"/>
      <c r="U91" s="28">
        <f t="shared" si="3"/>
        <v>0.31132875557161771</v>
      </c>
    </row>
    <row r="92" spans="1:21" ht="16.5" thickBot="1" x14ac:dyDescent="0.3">
      <c r="B92" s="12"/>
      <c r="C92" s="19">
        <v>498.79296875</v>
      </c>
      <c r="D92" s="20">
        <v>33.728000000000002</v>
      </c>
      <c r="E92" s="20">
        <v>37.898000000000003</v>
      </c>
      <c r="F92" s="20">
        <v>38.402000000000001</v>
      </c>
      <c r="G92" s="20">
        <v>86.76</v>
      </c>
      <c r="H92" s="20">
        <f t="shared" si="4"/>
        <v>34.833500000000001</v>
      </c>
      <c r="I92" s="5"/>
      <c r="J92" s="19">
        <v>299.65050000000002</v>
      </c>
      <c r="K92" s="20">
        <v>34.445700000000002</v>
      </c>
      <c r="L92" s="20">
        <v>39.090699999999998</v>
      </c>
      <c r="M92" s="20">
        <v>39.5884</v>
      </c>
      <c r="N92" s="20">
        <v>135.1148</v>
      </c>
      <c r="O92" s="20">
        <f t="shared" si="5"/>
        <v>35.669162499999999</v>
      </c>
      <c r="P92" s="7"/>
      <c r="Q92" s="13"/>
      <c r="R92" s="14"/>
      <c r="S92" s="14"/>
      <c r="T92" s="27"/>
      <c r="U92" s="28">
        <f t="shared" si="3"/>
        <v>0.55733978792070071</v>
      </c>
    </row>
    <row r="93" spans="1:21" x14ac:dyDescent="0.25">
      <c r="B93" s="6" t="s">
        <v>106</v>
      </c>
      <c r="C93" s="29">
        <v>1677.7998046875</v>
      </c>
      <c r="D93" s="30">
        <v>37.116999999999997</v>
      </c>
      <c r="E93" s="30">
        <v>42.008000000000003</v>
      </c>
      <c r="F93" s="30">
        <v>42.006</v>
      </c>
      <c r="G93" s="16">
        <v>62.95</v>
      </c>
      <c r="H93" s="16">
        <f t="shared" si="4"/>
        <v>38.339500000000001</v>
      </c>
      <c r="I93" s="5"/>
      <c r="J93" s="29">
        <v>1497.2303999999999</v>
      </c>
      <c r="K93" s="30">
        <v>39.035800000000002</v>
      </c>
      <c r="L93" s="30">
        <v>43.499299999999998</v>
      </c>
      <c r="M93" s="30">
        <v>43.509599999999999</v>
      </c>
      <c r="N93" s="16">
        <v>67.991200000000006</v>
      </c>
      <c r="O93" s="16">
        <f t="shared" si="5"/>
        <v>40.152962500000001</v>
      </c>
      <c r="P93" s="7"/>
      <c r="Q93" s="8">
        <f>bdrate(C93:C96,D93:D96,J93:J96,K93:K96)</f>
        <v>-0.44522570540061268</v>
      </c>
      <c r="R93" s="8">
        <f>bdrate(C93:C96,E93:E96,J93:J96,L93:L96)</f>
        <v>-0.52410383991500575</v>
      </c>
      <c r="S93" s="8">
        <f>bdrate(C93:C96,F93:F96,J93:J96,M93:M96)</f>
        <v>-0.52612919239605427</v>
      </c>
      <c r="T93" s="25">
        <f>bdrate(C93:C96,H93:H96,J93:J96,O93:O96)</f>
        <v>-0.46315663207177415</v>
      </c>
      <c r="U93" s="28">
        <f t="shared" si="3"/>
        <v>8.0082605242255814E-2</v>
      </c>
    </row>
    <row r="94" spans="1:21" x14ac:dyDescent="0.25">
      <c r="B94" s="9"/>
      <c r="C94" s="31">
        <v>1175.52734375</v>
      </c>
      <c r="D94" s="32">
        <v>35.341000000000001</v>
      </c>
      <c r="E94" s="32">
        <v>40.496000000000002</v>
      </c>
      <c r="F94" s="32">
        <v>40.502000000000002</v>
      </c>
      <c r="G94" s="18">
        <v>66.430000000000007</v>
      </c>
      <c r="H94" s="18">
        <f t="shared" si="4"/>
        <v>36.630499999999998</v>
      </c>
      <c r="I94" s="5"/>
      <c r="J94" s="31">
        <v>1000.9473</v>
      </c>
      <c r="K94" s="32">
        <v>37.204500000000003</v>
      </c>
      <c r="L94" s="32">
        <v>42.235900000000001</v>
      </c>
      <c r="M94" s="32">
        <v>42.220199999999998</v>
      </c>
      <c r="N94" s="18">
        <v>79.741299999999995</v>
      </c>
      <c r="O94" s="18">
        <f t="shared" si="5"/>
        <v>38.460387500000003</v>
      </c>
      <c r="P94" s="7"/>
      <c r="Q94" s="10"/>
      <c r="R94" s="11"/>
      <c r="S94" s="11"/>
      <c r="T94" s="26"/>
      <c r="U94" s="28">
        <f t="shared" si="3"/>
        <v>0.20038085202468744</v>
      </c>
    </row>
    <row r="95" spans="1:21" x14ac:dyDescent="0.25">
      <c r="B95" s="9"/>
      <c r="C95" s="31">
        <v>724.0390625</v>
      </c>
      <c r="D95" s="32">
        <v>33.058999999999997</v>
      </c>
      <c r="E95" s="32">
        <v>38.651000000000003</v>
      </c>
      <c r="F95" s="32">
        <v>38.628999999999998</v>
      </c>
      <c r="G95" s="18">
        <v>72.64</v>
      </c>
      <c r="H95" s="18">
        <f t="shared" si="4"/>
        <v>34.454250000000002</v>
      </c>
      <c r="I95" s="5"/>
      <c r="J95" s="31">
        <v>600.63570000000004</v>
      </c>
      <c r="K95" s="32">
        <v>34.933399999999999</v>
      </c>
      <c r="L95" s="32">
        <v>40.6708</v>
      </c>
      <c r="M95" s="32">
        <v>40.707299999999996</v>
      </c>
      <c r="N95" s="18">
        <v>95.435000000000002</v>
      </c>
      <c r="O95" s="18">
        <f t="shared" si="5"/>
        <v>36.372312499999992</v>
      </c>
      <c r="P95" s="7"/>
      <c r="Q95" s="10"/>
      <c r="R95" s="11"/>
      <c r="S95" s="11"/>
      <c r="T95" s="26"/>
      <c r="U95" s="28">
        <f t="shared" si="3"/>
        <v>0.31380781938325991</v>
      </c>
    </row>
    <row r="96" spans="1:21" ht="16.5" thickBot="1" x14ac:dyDescent="0.3">
      <c r="B96" s="12"/>
      <c r="C96" s="33">
        <v>426.232421875</v>
      </c>
      <c r="D96" s="34">
        <v>30.484000000000002</v>
      </c>
      <c r="E96" s="34">
        <v>36.433</v>
      </c>
      <c r="F96" s="34">
        <v>36.338999999999999</v>
      </c>
      <c r="G96" s="20">
        <v>76.739999999999995</v>
      </c>
      <c r="H96" s="20">
        <f t="shared" si="4"/>
        <v>31.959499999999998</v>
      </c>
      <c r="I96" s="5"/>
      <c r="J96" s="33">
        <v>301.35430000000002</v>
      </c>
      <c r="K96" s="34">
        <v>31.894300000000001</v>
      </c>
      <c r="L96" s="34">
        <v>38.762900000000002</v>
      </c>
      <c r="M96" s="34">
        <v>38.667299999999997</v>
      </c>
      <c r="N96" s="20">
        <v>121.0817</v>
      </c>
      <c r="O96" s="20">
        <f t="shared" si="5"/>
        <v>33.599499999999999</v>
      </c>
      <c r="P96" s="7"/>
      <c r="Q96" s="13"/>
      <c r="R96" s="14"/>
      <c r="S96" s="14"/>
      <c r="T96" s="27"/>
      <c r="U96" s="28">
        <f t="shared" si="3"/>
        <v>0.57781730518634355</v>
      </c>
    </row>
    <row r="97" spans="2:21" x14ac:dyDescent="0.25">
      <c r="B97" s="6" t="s">
        <v>107</v>
      </c>
      <c r="C97" s="15">
        <v>1570.998046875</v>
      </c>
      <c r="D97" s="16">
        <v>34.725999999999999</v>
      </c>
      <c r="E97" s="16">
        <v>39.396000000000001</v>
      </c>
      <c r="F97" s="16">
        <v>40.158999999999999</v>
      </c>
      <c r="G97" s="16">
        <v>69.319999999999993</v>
      </c>
      <c r="H97" s="16">
        <f t="shared" si="4"/>
        <v>35.988875</v>
      </c>
      <c r="I97" s="5"/>
      <c r="J97" s="15">
        <v>1501.104</v>
      </c>
      <c r="K97" s="16">
        <v>36.958599999999997</v>
      </c>
      <c r="L97" s="16">
        <v>41.437600000000003</v>
      </c>
      <c r="M97" s="16">
        <v>41.97</v>
      </c>
      <c r="N97" s="16">
        <v>68.112200000000001</v>
      </c>
      <c r="O97" s="16">
        <f t="shared" si="5"/>
        <v>38.144900000000007</v>
      </c>
      <c r="P97" s="7"/>
      <c r="Q97" s="8">
        <f>bdrate(C97:C100,D97:D100,J97:J100,K97:K100)</f>
        <v>-0.39454491317414664</v>
      </c>
      <c r="R97" s="8">
        <f>bdrate(C97:C100,E97:E100,J97:J100,L97:L100)</f>
        <v>-0.529309306603992</v>
      </c>
      <c r="S97" s="8">
        <f>bdrate(C97:C100,F97:F100,J97:J100,M97:M100)</f>
        <v>-0.50490280447131808</v>
      </c>
      <c r="T97" s="25">
        <f>bdrate(C97:C100,H97:H100,J97:J100,O97:O100)</f>
        <v>-0.4238322786678631</v>
      </c>
      <c r="U97" s="28">
        <f t="shared" si="3"/>
        <v>-1.7423542989036235E-2</v>
      </c>
    </row>
    <row r="98" spans="2:21" x14ac:dyDescent="0.25">
      <c r="B98" s="9"/>
      <c r="C98" s="17">
        <v>1074.0390625</v>
      </c>
      <c r="D98" s="18">
        <v>33.055999999999997</v>
      </c>
      <c r="E98" s="18">
        <v>37.9</v>
      </c>
      <c r="F98" s="18">
        <v>38.729999999999997</v>
      </c>
      <c r="G98" s="18">
        <v>71.27</v>
      </c>
      <c r="H98" s="18">
        <f t="shared" si="4"/>
        <v>34.370750000000001</v>
      </c>
      <c r="I98" s="5"/>
      <c r="J98" s="17">
        <v>1003.5619</v>
      </c>
      <c r="K98" s="18">
        <v>35.055599999999998</v>
      </c>
      <c r="L98" s="18">
        <v>40.040300000000002</v>
      </c>
      <c r="M98" s="18">
        <v>40.634999999999998</v>
      </c>
      <c r="N98" s="18">
        <v>79.086100000000002</v>
      </c>
      <c r="O98" s="18">
        <f t="shared" si="5"/>
        <v>36.376112499999998</v>
      </c>
      <c r="P98" s="7"/>
      <c r="Q98" s="10"/>
      <c r="R98" s="11"/>
      <c r="S98" s="11"/>
      <c r="T98" s="26"/>
      <c r="U98" s="28">
        <f t="shared" si="3"/>
        <v>0.10966886488003376</v>
      </c>
    </row>
    <row r="99" spans="2:21" x14ac:dyDescent="0.25">
      <c r="B99" s="9"/>
      <c r="C99" s="17">
        <v>660.611328125</v>
      </c>
      <c r="D99" s="18">
        <v>30.885000000000002</v>
      </c>
      <c r="E99" s="18">
        <v>35.97</v>
      </c>
      <c r="F99" s="18">
        <v>36.89</v>
      </c>
      <c r="G99" s="18">
        <v>76.849999999999994</v>
      </c>
      <c r="H99" s="18">
        <f t="shared" si="4"/>
        <v>32.271250000000002</v>
      </c>
      <c r="I99" s="5"/>
      <c r="J99" s="17">
        <v>602.41719999999998</v>
      </c>
      <c r="K99" s="18">
        <v>32.7455</v>
      </c>
      <c r="L99" s="18">
        <v>38.423299999999998</v>
      </c>
      <c r="M99" s="18">
        <v>39.064999999999998</v>
      </c>
      <c r="N99" s="18">
        <v>94.039000000000001</v>
      </c>
      <c r="O99" s="18">
        <f t="shared" si="5"/>
        <v>34.245162499999999</v>
      </c>
      <c r="P99" s="7"/>
      <c r="Q99" s="10"/>
      <c r="R99" s="11"/>
      <c r="S99" s="11"/>
      <c r="T99" s="26"/>
      <c r="U99" s="28">
        <f t="shared" si="3"/>
        <v>0.22366948601171124</v>
      </c>
    </row>
    <row r="100" spans="2:21" ht="16.5" thickBot="1" x14ac:dyDescent="0.3">
      <c r="B100" s="12"/>
      <c r="C100" s="19">
        <v>408.3720703125</v>
      </c>
      <c r="D100" s="20">
        <v>28.818000000000001</v>
      </c>
      <c r="E100" s="20">
        <v>34.142000000000003</v>
      </c>
      <c r="F100" s="20">
        <v>35.043999999999997</v>
      </c>
      <c r="G100" s="20">
        <v>79.45</v>
      </c>
      <c r="H100" s="20">
        <f t="shared" si="4"/>
        <v>30.261749999999999</v>
      </c>
      <c r="I100" s="5"/>
      <c r="J100" s="19">
        <v>298.27120000000002</v>
      </c>
      <c r="K100" s="20">
        <v>29.479099999999999</v>
      </c>
      <c r="L100" s="20">
        <v>36.251100000000001</v>
      </c>
      <c r="M100" s="20">
        <v>36.978400000000001</v>
      </c>
      <c r="N100" s="20">
        <v>120.06399999999999</v>
      </c>
      <c r="O100" s="20">
        <f t="shared" si="5"/>
        <v>31.263012499999999</v>
      </c>
      <c r="P100" s="7"/>
      <c r="Q100" s="13"/>
      <c r="R100" s="14"/>
      <c r="S100" s="14"/>
      <c r="T100" s="27"/>
      <c r="U100" s="28">
        <f t="shared" si="3"/>
        <v>0.51118942731277517</v>
      </c>
    </row>
    <row r="101" spans="2:21" x14ac:dyDescent="0.25">
      <c r="B101" s="6" t="s">
        <v>108</v>
      </c>
      <c r="C101" s="15">
        <v>1618.66015625</v>
      </c>
      <c r="D101" s="16">
        <v>35.786000000000001</v>
      </c>
      <c r="E101" s="16">
        <v>41.58</v>
      </c>
      <c r="F101" s="16">
        <v>43.192999999999998</v>
      </c>
      <c r="G101" s="16">
        <v>57.44</v>
      </c>
      <c r="H101" s="16">
        <f t="shared" si="4"/>
        <v>37.436124999999997</v>
      </c>
      <c r="I101" s="5"/>
      <c r="J101" s="15">
        <v>1506.6112000000001</v>
      </c>
      <c r="K101" s="16">
        <v>37.189100000000003</v>
      </c>
      <c r="L101" s="16">
        <v>43.0501</v>
      </c>
      <c r="M101" s="16">
        <v>44.443899999999999</v>
      </c>
      <c r="N101" s="16">
        <v>61.212000000000003</v>
      </c>
      <c r="O101" s="16">
        <f t="shared" si="5"/>
        <v>38.828575000000001</v>
      </c>
      <c r="P101" s="7"/>
      <c r="Q101" s="8">
        <f>bdrate(C101:C104,D101:D104,J101:J104,K101:K104)</f>
        <v>-0.4289587174150854</v>
      </c>
      <c r="R101" s="8">
        <f>bdrate(C101:C104,E101:E104,J101:J104,L101:L104)</f>
        <v>-0.56179210132637736</v>
      </c>
      <c r="S101" s="8">
        <f>bdrate(C101:C104,F101:F104,J101:J104,M101:M104)</f>
        <v>-0.50178344672803021</v>
      </c>
      <c r="T101" s="25">
        <f>bdrate(C101:C104,H101:H104,J101:J104,O101:O104)</f>
        <v>-0.45347183551989068</v>
      </c>
      <c r="U101" s="28">
        <f t="shared" si="3"/>
        <v>6.5668523676880322E-2</v>
      </c>
    </row>
    <row r="102" spans="2:21" x14ac:dyDescent="0.25">
      <c r="B102" s="9"/>
      <c r="C102" s="17">
        <v>1094.7587890625</v>
      </c>
      <c r="D102" s="18">
        <v>34.338000000000001</v>
      </c>
      <c r="E102" s="18">
        <v>40.399000000000001</v>
      </c>
      <c r="F102" s="18">
        <v>41.814999999999998</v>
      </c>
      <c r="G102" s="18">
        <v>61.44</v>
      </c>
      <c r="H102" s="18">
        <f t="shared" si="4"/>
        <v>36.030250000000002</v>
      </c>
      <c r="I102" s="5"/>
      <c r="J102" s="17">
        <v>1006.7127</v>
      </c>
      <c r="K102" s="18">
        <v>35.811</v>
      </c>
      <c r="L102" s="18">
        <v>42.086300000000001</v>
      </c>
      <c r="M102" s="18">
        <v>43.381100000000004</v>
      </c>
      <c r="N102" s="18">
        <v>75.811800000000005</v>
      </c>
      <c r="O102" s="18">
        <f t="shared" si="5"/>
        <v>37.541674999999998</v>
      </c>
      <c r="P102" s="7"/>
      <c r="Q102" s="10"/>
      <c r="R102" s="11"/>
      <c r="S102" s="11"/>
      <c r="T102" s="26"/>
      <c r="U102" s="28">
        <f t="shared" si="3"/>
        <v>0.23391601562500014</v>
      </c>
    </row>
    <row r="103" spans="2:21" x14ac:dyDescent="0.25">
      <c r="B103" s="9"/>
      <c r="C103" s="17">
        <v>658.6806640625</v>
      </c>
      <c r="D103" s="18">
        <v>32.488</v>
      </c>
      <c r="E103" s="18">
        <v>38.844000000000001</v>
      </c>
      <c r="F103" s="18">
        <v>39.917999999999999</v>
      </c>
      <c r="G103" s="18">
        <v>69.39</v>
      </c>
      <c r="H103" s="18">
        <f t="shared" si="4"/>
        <v>34.21125</v>
      </c>
      <c r="I103" s="5"/>
      <c r="J103" s="17">
        <v>604.09490000000005</v>
      </c>
      <c r="K103" s="18">
        <v>34.142299999999999</v>
      </c>
      <c r="L103" s="18">
        <v>40.920099999999998</v>
      </c>
      <c r="M103" s="18">
        <v>42.028100000000002</v>
      </c>
      <c r="N103" s="18">
        <v>91.3566</v>
      </c>
      <c r="O103" s="18">
        <f t="shared" si="5"/>
        <v>35.975249999999996</v>
      </c>
      <c r="P103" s="7"/>
      <c r="Q103" s="10"/>
      <c r="R103" s="11"/>
      <c r="S103" s="11"/>
      <c r="T103" s="26"/>
      <c r="U103" s="28">
        <f t="shared" si="3"/>
        <v>0.31656722870730652</v>
      </c>
    </row>
    <row r="104" spans="2:21" ht="16.5" thickBot="1" x14ac:dyDescent="0.3">
      <c r="B104" s="12"/>
      <c r="C104" s="19">
        <v>360.1376953125</v>
      </c>
      <c r="D104" s="20">
        <v>30.533000000000001</v>
      </c>
      <c r="E104" s="20">
        <v>36.963999999999999</v>
      </c>
      <c r="F104" s="20">
        <v>37.536000000000001</v>
      </c>
      <c r="G104" s="20">
        <v>78.260000000000005</v>
      </c>
      <c r="H104" s="20">
        <f t="shared" si="4"/>
        <v>32.212249999999997</v>
      </c>
      <c r="I104" s="5"/>
      <c r="J104" s="19">
        <v>302.91370000000001</v>
      </c>
      <c r="K104" s="20">
        <v>32.097000000000001</v>
      </c>
      <c r="L104" s="20">
        <v>39.484099999999998</v>
      </c>
      <c r="M104" s="20">
        <v>40.381900000000002</v>
      </c>
      <c r="N104" s="20">
        <v>116.78449999999999</v>
      </c>
      <c r="O104" s="20">
        <f t="shared" si="5"/>
        <v>34.055999999999997</v>
      </c>
      <c r="P104" s="7"/>
      <c r="Q104" s="13"/>
      <c r="R104" s="14"/>
      <c r="S104" s="14"/>
      <c r="T104" s="27"/>
      <c r="U104" s="28">
        <f t="shared" si="3"/>
        <v>0.49226296958855081</v>
      </c>
    </row>
    <row r="105" spans="2:21" x14ac:dyDescent="0.25">
      <c r="B105" s="6" t="s">
        <v>109</v>
      </c>
      <c r="C105" s="15">
        <v>1403.8125</v>
      </c>
      <c r="D105" s="16">
        <v>44.003</v>
      </c>
      <c r="E105" s="16">
        <v>48.750999999999998</v>
      </c>
      <c r="F105" s="16">
        <v>50.404000000000003</v>
      </c>
      <c r="G105" s="16">
        <v>81.14</v>
      </c>
      <c r="H105" s="16">
        <f t="shared" si="4"/>
        <v>45.396625</v>
      </c>
      <c r="I105" s="5"/>
      <c r="J105" s="15">
        <v>1500.4631999999999</v>
      </c>
      <c r="K105" s="16">
        <v>47.454500000000003</v>
      </c>
      <c r="L105" s="16">
        <v>52.731000000000002</v>
      </c>
      <c r="M105" s="16">
        <v>54.069299999999998</v>
      </c>
      <c r="N105" s="16">
        <v>77.603300000000004</v>
      </c>
      <c r="O105" s="16">
        <f t="shared" si="5"/>
        <v>48.940912500000003</v>
      </c>
      <c r="P105" s="7"/>
      <c r="Q105" s="8">
        <f>bdrate(C105:C108,D105:D108,J105:J108,K105:K108)</f>
        <v>-0.4995743577082703</v>
      </c>
      <c r="R105" s="8">
        <f>bdrate(C105:C108,E105:E108,J105:J108,L105:L108)</f>
        <v>-0.59174697797514497</v>
      </c>
      <c r="S105" s="8">
        <f>bdrate(C105:C108,F105:F108,J105:J108,M105:M108)</f>
        <v>-0.55860006551885566</v>
      </c>
      <c r="T105" s="25">
        <f>bdrate(C105:C108,H105:H108,J105:J108,O105:O108)</f>
        <v>-0.51900309765345398</v>
      </c>
      <c r="U105" s="28">
        <f t="shared" si="3"/>
        <v>-4.3587626324870545E-2</v>
      </c>
    </row>
    <row r="106" spans="2:21" x14ac:dyDescent="0.25">
      <c r="B106" s="9"/>
      <c r="C106" s="17">
        <v>1006.4443359375</v>
      </c>
      <c r="D106" s="18">
        <v>42.47</v>
      </c>
      <c r="E106" s="18">
        <v>47.372</v>
      </c>
      <c r="F106" s="18">
        <v>49.088000000000001</v>
      </c>
      <c r="G106" s="18">
        <v>87.67</v>
      </c>
      <c r="H106" s="18">
        <f t="shared" si="4"/>
        <v>43.910000000000004</v>
      </c>
      <c r="I106" s="5"/>
      <c r="J106" s="17">
        <v>1001.8679</v>
      </c>
      <c r="K106" s="18">
        <v>45.643900000000002</v>
      </c>
      <c r="L106" s="18">
        <v>51.103000000000002</v>
      </c>
      <c r="M106" s="18">
        <v>52.455100000000002</v>
      </c>
      <c r="N106" s="18">
        <v>95.6203</v>
      </c>
      <c r="O106" s="18">
        <f t="shared" si="5"/>
        <v>47.177687500000005</v>
      </c>
      <c r="P106" s="7"/>
      <c r="Q106" s="10"/>
      <c r="R106" s="11"/>
      <c r="S106" s="11"/>
      <c r="T106" s="26"/>
      <c r="U106" s="28">
        <f t="shared" si="3"/>
        <v>9.0684384624158759E-2</v>
      </c>
    </row>
    <row r="107" spans="2:21" x14ac:dyDescent="0.25">
      <c r="B107" s="9"/>
      <c r="C107" s="17">
        <v>622.7744140625</v>
      </c>
      <c r="D107" s="18">
        <v>40.448999999999998</v>
      </c>
      <c r="E107" s="18">
        <v>45.433999999999997</v>
      </c>
      <c r="F107" s="18">
        <v>47.078000000000003</v>
      </c>
      <c r="G107" s="18">
        <v>97.5</v>
      </c>
      <c r="H107" s="18">
        <f t="shared" si="4"/>
        <v>41.900750000000002</v>
      </c>
      <c r="I107" s="5"/>
      <c r="J107" s="17">
        <v>601.41189999999995</v>
      </c>
      <c r="K107" s="18">
        <v>43.317500000000003</v>
      </c>
      <c r="L107" s="18">
        <v>48.994100000000003</v>
      </c>
      <c r="M107" s="18">
        <v>50.347200000000001</v>
      </c>
      <c r="N107" s="18">
        <v>116.252</v>
      </c>
      <c r="O107" s="18">
        <f t="shared" si="5"/>
        <v>44.905787500000002</v>
      </c>
      <c r="P107" s="7"/>
      <c r="Q107" s="10"/>
      <c r="R107" s="11"/>
      <c r="S107" s="11"/>
      <c r="T107" s="26"/>
      <c r="U107" s="28">
        <f t="shared" si="3"/>
        <v>0.19232820512820509</v>
      </c>
    </row>
    <row r="108" spans="2:21" ht="16.5" thickBot="1" x14ac:dyDescent="0.3">
      <c r="B108" s="12"/>
      <c r="C108" s="19">
        <v>316.3583984375</v>
      </c>
      <c r="D108" s="20">
        <v>37.837000000000003</v>
      </c>
      <c r="E108" s="20">
        <v>42.817</v>
      </c>
      <c r="F108" s="20">
        <v>44.503999999999998</v>
      </c>
      <c r="G108" s="20">
        <v>110.74</v>
      </c>
      <c r="H108" s="20">
        <f t="shared" si="4"/>
        <v>39.292875000000002</v>
      </c>
      <c r="I108" s="5"/>
      <c r="J108" s="19">
        <v>301.69240000000002</v>
      </c>
      <c r="K108" s="20">
        <v>40.197000000000003</v>
      </c>
      <c r="L108" s="20">
        <v>46.045000000000002</v>
      </c>
      <c r="M108" s="20">
        <v>47.433</v>
      </c>
      <c r="N108" s="20">
        <v>145.7861</v>
      </c>
      <c r="O108" s="20">
        <f t="shared" si="5"/>
        <v>41.832500000000003</v>
      </c>
      <c r="P108" s="7"/>
      <c r="Q108" s="13"/>
      <c r="R108" s="14"/>
      <c r="S108" s="14"/>
      <c r="T108" s="27"/>
      <c r="U108" s="28">
        <f t="shared" si="3"/>
        <v>0.31647191620010845</v>
      </c>
    </row>
    <row r="109" spans="2:21" x14ac:dyDescent="0.25">
      <c r="B109" s="6" t="s">
        <v>110</v>
      </c>
      <c r="C109" s="15">
        <v>1529.75</v>
      </c>
      <c r="D109" s="16">
        <v>29.802</v>
      </c>
      <c r="E109" s="16">
        <v>38.110999999999997</v>
      </c>
      <c r="F109" s="16">
        <v>37.517000000000003</v>
      </c>
      <c r="G109" s="16">
        <v>53.33</v>
      </c>
      <c r="H109" s="16">
        <f t="shared" si="4"/>
        <v>31.805</v>
      </c>
      <c r="I109" s="5"/>
      <c r="J109" s="15">
        <v>1496.6615999999999</v>
      </c>
      <c r="K109" s="16">
        <v>32.0002</v>
      </c>
      <c r="L109" s="16">
        <v>40.169199999999996</v>
      </c>
      <c r="M109" s="16">
        <v>39.538499999999999</v>
      </c>
      <c r="N109" s="16">
        <v>48.398800000000001</v>
      </c>
      <c r="O109" s="16">
        <f t="shared" si="5"/>
        <v>33.963612499999996</v>
      </c>
      <c r="P109" s="7"/>
      <c r="Q109" s="8">
        <f>bdrate(C109:C112,D109:D112,J109:J112,K109:K112)</f>
        <v>-0.39287469093140692</v>
      </c>
      <c r="R109" s="8">
        <f>bdrate(C109:C112,E109:E112,J109:J112,L109:L112)</f>
        <v>-0.61793125658688752</v>
      </c>
      <c r="S109" s="8">
        <f>bdrate(C109:C112,F109:F112,J109:J112,M109:M112)</f>
        <v>-0.59923652438715713</v>
      </c>
      <c r="T109" s="25">
        <f>bdrate(C109:C112,H109:H112,J109:J112,O109:O112)</f>
        <v>-0.44541115498090955</v>
      </c>
      <c r="U109" s="28">
        <f t="shared" si="3"/>
        <v>-9.2465779111194399E-2</v>
      </c>
    </row>
    <row r="110" spans="2:21" x14ac:dyDescent="0.25">
      <c r="B110" s="9"/>
      <c r="C110" s="17">
        <v>1114.9189453125</v>
      </c>
      <c r="D110" s="18">
        <v>28.47</v>
      </c>
      <c r="E110" s="18">
        <v>36.863999999999997</v>
      </c>
      <c r="F110" s="18">
        <v>36.317999999999998</v>
      </c>
      <c r="G110" s="18">
        <v>57.73</v>
      </c>
      <c r="H110" s="18">
        <f t="shared" si="4"/>
        <v>30.500250000000001</v>
      </c>
      <c r="I110" s="5"/>
      <c r="J110" s="17">
        <v>996.12189999999998</v>
      </c>
      <c r="K110" s="18">
        <v>30.224599999999999</v>
      </c>
      <c r="L110" s="18">
        <v>39.198900000000002</v>
      </c>
      <c r="M110" s="18">
        <v>38.531999999999996</v>
      </c>
      <c r="N110" s="18">
        <v>58.929400000000001</v>
      </c>
      <c r="O110" s="18">
        <f t="shared" si="5"/>
        <v>32.384812500000002</v>
      </c>
      <c r="P110" s="7"/>
      <c r="Q110" s="10"/>
      <c r="R110" s="11"/>
      <c r="S110" s="11"/>
      <c r="T110" s="26"/>
      <c r="U110" s="28">
        <f t="shared" si="3"/>
        <v>2.0776026329464823E-2</v>
      </c>
    </row>
    <row r="111" spans="2:21" x14ac:dyDescent="0.25">
      <c r="B111" s="9"/>
      <c r="C111" s="17">
        <v>847.54296875</v>
      </c>
      <c r="D111" s="18">
        <v>27.555</v>
      </c>
      <c r="E111" s="18">
        <v>35.863</v>
      </c>
      <c r="F111" s="18">
        <v>35.311</v>
      </c>
      <c r="G111" s="18">
        <v>59.86</v>
      </c>
      <c r="H111" s="18">
        <f t="shared" si="4"/>
        <v>29.562999999999999</v>
      </c>
      <c r="I111" s="5"/>
      <c r="J111" s="17">
        <v>597.71310000000005</v>
      </c>
      <c r="K111" s="18">
        <v>28.037800000000001</v>
      </c>
      <c r="L111" s="18">
        <v>37.933900000000001</v>
      </c>
      <c r="M111" s="18">
        <v>37.192500000000003</v>
      </c>
      <c r="N111" s="18">
        <v>74.633099999999999</v>
      </c>
      <c r="O111" s="18">
        <f t="shared" si="5"/>
        <v>30.419149999999998</v>
      </c>
      <c r="P111" s="7"/>
      <c r="Q111" s="10"/>
      <c r="R111" s="11"/>
      <c r="S111" s="11"/>
      <c r="T111" s="26"/>
      <c r="U111" s="28">
        <f t="shared" si="3"/>
        <v>0.24679418643501502</v>
      </c>
    </row>
    <row r="112" spans="2:21" ht="16.5" thickBot="1" x14ac:dyDescent="0.3">
      <c r="B112" s="12"/>
      <c r="C112" s="19">
        <v>669.427734375</v>
      </c>
      <c r="D112" s="20">
        <v>26.614999999999998</v>
      </c>
      <c r="E112" s="20">
        <v>34.654000000000003</v>
      </c>
      <c r="F112" s="20">
        <v>34.19</v>
      </c>
      <c r="G112" s="20">
        <v>60.55</v>
      </c>
      <c r="H112" s="20">
        <f t="shared" si="4"/>
        <v>28.566749999999999</v>
      </c>
      <c r="I112" s="5"/>
      <c r="J112" s="19">
        <v>299.06670000000003</v>
      </c>
      <c r="K112" s="20">
        <v>25.2727</v>
      </c>
      <c r="L112" s="20">
        <v>35.665799999999997</v>
      </c>
      <c r="M112" s="20">
        <v>35.048099999999998</v>
      </c>
      <c r="N112" s="20">
        <v>102.29600000000001</v>
      </c>
      <c r="O112" s="20">
        <f t="shared" si="5"/>
        <v>27.7937625</v>
      </c>
      <c r="P112" s="7"/>
      <c r="Q112" s="13"/>
      <c r="R112" s="14"/>
      <c r="S112" s="14"/>
      <c r="T112" s="27"/>
      <c r="U112" s="28">
        <f t="shared" si="3"/>
        <v>0.68944673823286562</v>
      </c>
    </row>
    <row r="113" spans="2:21" x14ac:dyDescent="0.25">
      <c r="B113" s="6" t="s">
        <v>111</v>
      </c>
      <c r="C113" s="15">
        <v>1982.09765625</v>
      </c>
      <c r="D113" s="16">
        <v>44.127000000000002</v>
      </c>
      <c r="E113" s="16">
        <v>45.351999999999997</v>
      </c>
      <c r="F113" s="16">
        <v>45.225000000000001</v>
      </c>
      <c r="G113" s="16">
        <v>73.56</v>
      </c>
      <c r="H113" s="16">
        <f t="shared" si="4"/>
        <v>44.417375</v>
      </c>
      <c r="I113" s="5"/>
      <c r="J113" s="15">
        <v>1426.7881</v>
      </c>
      <c r="K113" s="16">
        <v>45.045099999999998</v>
      </c>
      <c r="L113" s="16">
        <v>46.120600000000003</v>
      </c>
      <c r="M113" s="16">
        <v>46.0259</v>
      </c>
      <c r="N113" s="16">
        <v>69.970799999999997</v>
      </c>
      <c r="O113" s="16">
        <f t="shared" si="5"/>
        <v>45.302137500000001</v>
      </c>
      <c r="P113" s="7"/>
      <c r="Q113" s="8">
        <f>bdrate(C113:C116,D113:D116,J113:J116,K113:K116)</f>
        <v>-0.44815699663507447</v>
      </c>
      <c r="R113" s="8">
        <f>bdrate(C113:C116,E113:E116,J113:J116,L113:L116)</f>
        <v>-0.46453776272458469</v>
      </c>
      <c r="S113" s="8">
        <f>bdrate(C113:C116,F113:F116,J113:J116,M113:M116)</f>
        <v>-0.46509467689147921</v>
      </c>
      <c r="T113" s="25">
        <f>bdrate(C113:C116,H113:H116,J113:J116,O113:O116)</f>
        <v>-0.45213525025832613</v>
      </c>
      <c r="U113" s="28">
        <f t="shared" si="3"/>
        <v>-4.8792822185970704E-2</v>
      </c>
    </row>
    <row r="114" spans="2:21" x14ac:dyDescent="0.25">
      <c r="B114" s="9"/>
      <c r="C114" s="17">
        <v>1405.853515625</v>
      </c>
      <c r="D114" s="18">
        <v>41.957000000000001</v>
      </c>
      <c r="E114" s="18">
        <v>43.462000000000003</v>
      </c>
      <c r="F114" s="18">
        <v>43.304000000000002</v>
      </c>
      <c r="G114" s="18">
        <v>81.709999999999994</v>
      </c>
      <c r="H114" s="18">
        <f t="shared" si="4"/>
        <v>42.313500000000005</v>
      </c>
      <c r="I114" s="5"/>
      <c r="J114" s="17">
        <v>965.39189999999996</v>
      </c>
      <c r="K114" s="18">
        <v>43.239400000000003</v>
      </c>
      <c r="L114" s="18">
        <v>44.613199999999999</v>
      </c>
      <c r="M114" s="18">
        <v>44.491100000000003</v>
      </c>
      <c r="N114" s="18">
        <v>89.374399999999994</v>
      </c>
      <c r="O114" s="18">
        <f t="shared" si="5"/>
        <v>43.567587500000009</v>
      </c>
      <c r="P114" s="7"/>
      <c r="Q114" s="10"/>
      <c r="R114" s="11"/>
      <c r="S114" s="11"/>
      <c r="T114" s="26"/>
      <c r="U114" s="28">
        <f t="shared" si="3"/>
        <v>9.3800024476808241E-2</v>
      </c>
    </row>
    <row r="115" spans="2:21" x14ac:dyDescent="0.25">
      <c r="B115" s="9"/>
      <c r="C115" s="17">
        <v>903.5712890625</v>
      </c>
      <c r="D115" s="18">
        <v>39.216999999999999</v>
      </c>
      <c r="E115" s="18">
        <v>41.034999999999997</v>
      </c>
      <c r="F115" s="18">
        <v>40.859000000000002</v>
      </c>
      <c r="G115" s="18">
        <v>89.34</v>
      </c>
      <c r="H115" s="18">
        <f t="shared" si="4"/>
        <v>39.649499999999996</v>
      </c>
      <c r="I115" s="5"/>
      <c r="J115" s="17">
        <v>588.9828</v>
      </c>
      <c r="K115" s="18">
        <v>40.255200000000002</v>
      </c>
      <c r="L115" s="18">
        <v>42.058300000000003</v>
      </c>
      <c r="M115" s="18">
        <v>41.893999999999998</v>
      </c>
      <c r="N115" s="18">
        <v>110.5244</v>
      </c>
      <c r="O115" s="18">
        <f t="shared" si="5"/>
        <v>40.685437500000006</v>
      </c>
      <c r="P115" s="7"/>
      <c r="Q115" s="10"/>
      <c r="R115" s="11"/>
      <c r="S115" s="11"/>
      <c r="T115" s="26"/>
      <c r="U115" s="28">
        <f t="shared" si="3"/>
        <v>0.23712111036489811</v>
      </c>
    </row>
    <row r="116" spans="2:21" ht="16.5" thickBot="1" x14ac:dyDescent="0.3">
      <c r="B116" s="12"/>
      <c r="C116" s="19">
        <v>528.53515625</v>
      </c>
      <c r="D116" s="20">
        <v>35.722999999999999</v>
      </c>
      <c r="E116" s="20">
        <v>37.881</v>
      </c>
      <c r="F116" s="20">
        <v>37.658000000000001</v>
      </c>
      <c r="G116" s="20">
        <v>94.39</v>
      </c>
      <c r="H116" s="20">
        <f t="shared" si="4"/>
        <v>36.234625000000001</v>
      </c>
      <c r="I116" s="5"/>
      <c r="J116" s="19">
        <v>295.0856</v>
      </c>
      <c r="K116" s="20">
        <v>35.911499999999997</v>
      </c>
      <c r="L116" s="20">
        <v>38.628700000000002</v>
      </c>
      <c r="M116" s="20">
        <v>38.411299999999997</v>
      </c>
      <c r="N116" s="20">
        <v>136.7054</v>
      </c>
      <c r="O116" s="20">
        <f t="shared" si="5"/>
        <v>36.563625000000002</v>
      </c>
      <c r="P116" s="7"/>
      <c r="Q116" s="13"/>
      <c r="R116" s="14"/>
      <c r="S116" s="14"/>
      <c r="T116" s="27"/>
      <c r="U116" s="28">
        <f t="shared" si="3"/>
        <v>0.44830384574637139</v>
      </c>
    </row>
    <row r="117" spans="2:21" x14ac:dyDescent="0.25">
      <c r="B117" s="6" t="s">
        <v>112</v>
      </c>
      <c r="C117" s="15">
        <v>2141.20703125</v>
      </c>
      <c r="D117" s="16">
        <v>45.381999999999998</v>
      </c>
      <c r="E117" s="16">
        <v>46.844999999999999</v>
      </c>
      <c r="F117" s="16">
        <v>47.076999999999998</v>
      </c>
      <c r="G117" s="16">
        <v>76.92</v>
      </c>
      <c r="H117" s="16">
        <f t="shared" si="4"/>
        <v>45.776749999999993</v>
      </c>
      <c r="I117" s="5"/>
      <c r="J117" s="15">
        <v>1396.9183</v>
      </c>
      <c r="K117" s="16">
        <v>45.549199999999999</v>
      </c>
      <c r="L117" s="16">
        <v>47.799199999999999</v>
      </c>
      <c r="M117" s="16">
        <v>48.039299999999997</v>
      </c>
      <c r="N117" s="16">
        <v>65.671899999999994</v>
      </c>
      <c r="O117" s="16">
        <f t="shared" si="5"/>
        <v>46.141712499999997</v>
      </c>
      <c r="P117" s="7"/>
      <c r="Q117" s="8">
        <f>bdrate(C117:C120,D117:D120,J117:J120,K117:K120)</f>
        <v>-0.28790231383224685</v>
      </c>
      <c r="R117" s="8">
        <f>bdrate(C117:C120,E117:E120,J117:J120,L117:L120)</f>
        <v>-0.37193934888408331</v>
      </c>
      <c r="S117" s="8">
        <f>bdrate(C117:C120,F117:F120,J117:J120,M117:M120)</f>
        <v>-0.37619763814292628</v>
      </c>
      <c r="T117" s="25">
        <f>bdrate(C117:C120,H117:H120,J117:J120,O117:O120)</f>
        <v>-0.3091631674290245</v>
      </c>
      <c r="U117" s="28">
        <f t="shared" si="3"/>
        <v>-0.14623114924596994</v>
      </c>
    </row>
    <row r="118" spans="2:21" x14ac:dyDescent="0.25">
      <c r="B118" s="9"/>
      <c r="C118" s="17">
        <v>1618.609375</v>
      </c>
      <c r="D118" s="18">
        <v>44.411000000000001</v>
      </c>
      <c r="E118" s="18">
        <v>46.021000000000001</v>
      </c>
      <c r="F118" s="18">
        <v>46.250999999999998</v>
      </c>
      <c r="G118" s="18">
        <v>80.87</v>
      </c>
      <c r="H118" s="18">
        <f t="shared" si="4"/>
        <v>44.84225</v>
      </c>
      <c r="I118" s="5"/>
      <c r="J118" s="17">
        <v>972.96010000000001</v>
      </c>
      <c r="K118" s="18">
        <v>43.9392</v>
      </c>
      <c r="L118" s="18">
        <v>46.417000000000002</v>
      </c>
      <c r="M118" s="18">
        <v>46.653500000000001</v>
      </c>
      <c r="N118" s="18">
        <v>74.251300000000001</v>
      </c>
      <c r="O118" s="18">
        <f t="shared" si="5"/>
        <v>44.588212499999997</v>
      </c>
      <c r="P118" s="7"/>
      <c r="Q118" s="10"/>
      <c r="R118" s="11"/>
      <c r="S118" s="11"/>
      <c r="T118" s="26"/>
      <c r="U118" s="28">
        <f t="shared" si="3"/>
        <v>-8.1843699765055067E-2</v>
      </c>
    </row>
    <row r="119" spans="2:21" x14ac:dyDescent="0.25">
      <c r="B119" s="9"/>
      <c r="C119" s="17">
        <v>939.1728515625</v>
      </c>
      <c r="D119" s="18">
        <v>41.802</v>
      </c>
      <c r="E119" s="18">
        <v>43.906999999999996</v>
      </c>
      <c r="F119" s="18">
        <v>44.149000000000001</v>
      </c>
      <c r="G119" s="18">
        <v>84.07</v>
      </c>
      <c r="H119" s="18">
        <f t="shared" si="4"/>
        <v>42.358499999999999</v>
      </c>
      <c r="I119" s="5"/>
      <c r="J119" s="17">
        <v>630.25549999999998</v>
      </c>
      <c r="K119" s="18">
        <v>41.457999999999998</v>
      </c>
      <c r="L119" s="18">
        <v>44.203699999999998</v>
      </c>
      <c r="M119" s="18">
        <v>44.496099999999998</v>
      </c>
      <c r="N119" s="18">
        <v>86.563400000000001</v>
      </c>
      <c r="O119" s="18">
        <f t="shared" si="5"/>
        <v>42.180974999999997</v>
      </c>
      <c r="P119" s="7"/>
      <c r="Q119" s="10"/>
      <c r="R119" s="11"/>
      <c r="S119" s="11"/>
      <c r="T119" s="26"/>
      <c r="U119" s="28">
        <f t="shared" si="3"/>
        <v>2.9658617818484698E-2</v>
      </c>
    </row>
    <row r="120" spans="2:21" ht="16.5" thickBot="1" x14ac:dyDescent="0.3">
      <c r="B120" s="12"/>
      <c r="C120" s="19">
        <v>501.2119140625</v>
      </c>
      <c r="D120" s="20">
        <v>38.503999999999998</v>
      </c>
      <c r="E120" s="20">
        <v>40.975000000000001</v>
      </c>
      <c r="F120" s="20">
        <v>41.207000000000001</v>
      </c>
      <c r="G120" s="20">
        <v>91.17</v>
      </c>
      <c r="H120" s="20">
        <f t="shared" si="4"/>
        <v>39.150750000000002</v>
      </c>
      <c r="I120" s="5"/>
      <c r="J120" s="19">
        <v>343.34030000000001</v>
      </c>
      <c r="K120" s="20">
        <v>37.286000000000001</v>
      </c>
      <c r="L120" s="20">
        <v>40.5351</v>
      </c>
      <c r="M120" s="20">
        <v>40.788600000000002</v>
      </c>
      <c r="N120" s="20">
        <v>134.9528</v>
      </c>
      <c r="O120" s="20">
        <f t="shared" si="5"/>
        <v>38.129962500000005</v>
      </c>
      <c r="P120" s="7"/>
      <c r="Q120" s="13"/>
      <c r="R120" s="14"/>
      <c r="S120" s="14"/>
      <c r="T120" s="27"/>
      <c r="U120" s="28">
        <f t="shared" si="3"/>
        <v>0.48023253263134796</v>
      </c>
    </row>
    <row r="121" spans="2:21" x14ac:dyDescent="0.25">
      <c r="B121" s="6" t="s">
        <v>113</v>
      </c>
      <c r="C121" s="29">
        <v>1706.587890625</v>
      </c>
      <c r="D121" s="30">
        <v>31.315999999999999</v>
      </c>
      <c r="E121" s="30">
        <v>35.030999999999999</v>
      </c>
      <c r="F121" s="30">
        <v>33.764000000000003</v>
      </c>
      <c r="G121" s="16">
        <v>58.71</v>
      </c>
      <c r="H121" s="16">
        <f t="shared" si="4"/>
        <v>32.086374999999997</v>
      </c>
      <c r="I121" s="5"/>
      <c r="J121" s="29">
        <v>1504.8884</v>
      </c>
      <c r="K121" s="30">
        <v>32.379899999999999</v>
      </c>
      <c r="L121" s="30">
        <v>36.547199999999997</v>
      </c>
      <c r="M121" s="30">
        <v>35.4544</v>
      </c>
      <c r="N121" s="16">
        <v>57.866599999999998</v>
      </c>
      <c r="O121" s="16">
        <f t="shared" si="5"/>
        <v>33.285125000000001</v>
      </c>
      <c r="P121" s="7"/>
      <c r="Q121" s="8">
        <f>bdrate(C121:C124,D121:D124,J121:J124,K121:K124)</f>
        <v>-0.27631137816040852</v>
      </c>
      <c r="R121" s="8">
        <f>bdrate(C121:C124,E121:E124,J121:J124,L121:L124)</f>
        <v>-0.5713916565031445</v>
      </c>
      <c r="S121" s="8">
        <f>bdrate(C121:C124,F121:F124,J121:J124,M121:M124)</f>
        <v>-0.57372115840189664</v>
      </c>
      <c r="T121" s="25">
        <f>bdrate(C121:C124,H121:H124,J121:J124,O121:O124)</f>
        <v>-0.34602156367257308</v>
      </c>
      <c r="U121" s="28">
        <f t="shared" si="3"/>
        <v>-1.4365525464145846E-2</v>
      </c>
    </row>
    <row r="122" spans="2:21" x14ac:dyDescent="0.25">
      <c r="B122" s="9"/>
      <c r="C122" s="31">
        <v>1177.84375</v>
      </c>
      <c r="D122" s="32">
        <v>29.77</v>
      </c>
      <c r="E122" s="32">
        <v>33.835999999999999</v>
      </c>
      <c r="F122" s="32">
        <v>32.540999999999997</v>
      </c>
      <c r="G122" s="18">
        <v>62.56</v>
      </c>
      <c r="H122" s="18">
        <f t="shared" si="4"/>
        <v>30.624625000000002</v>
      </c>
      <c r="I122" s="5"/>
      <c r="J122" s="31">
        <v>1003.1686999999999</v>
      </c>
      <c r="K122" s="32">
        <v>30.5029</v>
      </c>
      <c r="L122" s="32">
        <v>35.512099999999997</v>
      </c>
      <c r="M122" s="32">
        <v>34.356699999999996</v>
      </c>
      <c r="N122" s="18">
        <v>70.356499999999997</v>
      </c>
      <c r="O122" s="18">
        <f t="shared" si="5"/>
        <v>31.610775</v>
      </c>
      <c r="P122" s="7"/>
      <c r="Q122" s="10"/>
      <c r="R122" s="11"/>
      <c r="S122" s="11"/>
      <c r="T122" s="26"/>
      <c r="U122" s="28">
        <f t="shared" si="3"/>
        <v>0.12462436061381066</v>
      </c>
    </row>
    <row r="123" spans="2:21" x14ac:dyDescent="0.25">
      <c r="B123" s="9"/>
      <c r="C123" s="31">
        <v>807.1904296875</v>
      </c>
      <c r="D123" s="32">
        <v>28.29</v>
      </c>
      <c r="E123" s="32">
        <v>32.625999999999998</v>
      </c>
      <c r="F123" s="32">
        <v>31.324999999999999</v>
      </c>
      <c r="G123" s="18">
        <v>65.45</v>
      </c>
      <c r="H123" s="18">
        <f t="shared" si="4"/>
        <v>29.211375</v>
      </c>
      <c r="I123" s="5"/>
      <c r="J123" s="31">
        <v>604.08360000000005</v>
      </c>
      <c r="K123" s="32">
        <v>28.3383</v>
      </c>
      <c r="L123" s="32">
        <v>34.282400000000003</v>
      </c>
      <c r="M123" s="32">
        <v>33.036200000000001</v>
      </c>
      <c r="N123" s="18">
        <v>87.544399999999996</v>
      </c>
      <c r="O123" s="18">
        <f t="shared" si="5"/>
        <v>29.66855</v>
      </c>
      <c r="P123" s="7"/>
      <c r="Q123" s="10"/>
      <c r="R123" s="11"/>
      <c r="S123" s="11"/>
      <c r="T123" s="26"/>
      <c r="U123" s="28">
        <f t="shared" si="3"/>
        <v>0.33757677616501136</v>
      </c>
    </row>
    <row r="124" spans="2:21" ht="16.5" thickBot="1" x14ac:dyDescent="0.3">
      <c r="B124" s="12"/>
      <c r="C124" s="33">
        <v>561.96875</v>
      </c>
      <c r="D124" s="34">
        <v>26.759</v>
      </c>
      <c r="E124" s="34">
        <v>31.294</v>
      </c>
      <c r="F124" s="34">
        <v>30.024999999999999</v>
      </c>
      <c r="G124" s="20">
        <v>65.81</v>
      </c>
      <c r="H124" s="20">
        <f t="shared" si="4"/>
        <v>27.734125000000002</v>
      </c>
      <c r="I124" s="5"/>
      <c r="J124" s="33">
        <v>303.32279999999997</v>
      </c>
      <c r="K124" s="34">
        <v>25.824300000000001</v>
      </c>
      <c r="L124" s="34">
        <v>32.542499999999997</v>
      </c>
      <c r="M124" s="34">
        <v>31.165800000000001</v>
      </c>
      <c r="N124" s="20">
        <v>117.6163</v>
      </c>
      <c r="O124" s="20">
        <f t="shared" si="5"/>
        <v>27.3317625</v>
      </c>
      <c r="P124" s="7"/>
      <c r="Q124" s="13"/>
      <c r="R124" s="14"/>
      <c r="S124" s="14"/>
      <c r="T124" s="27"/>
      <c r="U124" s="28">
        <f t="shared" si="3"/>
        <v>0.78721015043306475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-0.41136040033107019</v>
      </c>
      <c r="R125" s="21">
        <f>AVERAGE(R9:R124)</f>
        <v>-0.47968469248683254</v>
      </c>
      <c r="S125" s="21">
        <f>AVERAGE(S9:S124)</f>
        <v>-0.48636416713590086</v>
      </c>
      <c r="T125" s="21">
        <f>AVERAGE(T9:T124)</f>
        <v>-0.42849886408958221</v>
      </c>
      <c r="U125" s="21">
        <f>AVERAGE(U9:U124)</f>
        <v>0.26505431115023992</v>
      </c>
    </row>
    <row r="127" spans="2:21" s="35" customFormat="1" ht="15.75" customHeight="1" x14ac:dyDescent="0.25">
      <c r="B127" s="58" t="s">
        <v>29</v>
      </c>
      <c r="C127" s="60" t="s">
        <v>143</v>
      </c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2"/>
    </row>
    <row r="128" spans="2:21" s="35" customFormat="1" x14ac:dyDescent="0.25">
      <c r="B128" s="59"/>
      <c r="C128" s="63"/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5"/>
    </row>
    <row r="129" spans="1:21" ht="16.5" customHeight="1" thickBot="1" x14ac:dyDescent="0.3">
      <c r="C129" s="66" t="s">
        <v>127</v>
      </c>
      <c r="D129" s="67"/>
      <c r="E129" s="67"/>
      <c r="F129" s="67"/>
      <c r="G129" s="67"/>
      <c r="H129" s="67"/>
      <c r="I129" s="5"/>
      <c r="J129" s="66" t="s">
        <v>144</v>
      </c>
      <c r="K129" s="67"/>
      <c r="L129" s="67"/>
      <c r="M129" s="67"/>
      <c r="N129" s="67"/>
      <c r="O129" s="67"/>
      <c r="Q129" s="66" t="s">
        <v>7</v>
      </c>
      <c r="R129" s="67"/>
      <c r="S129" s="68"/>
      <c r="T129" s="36"/>
      <c r="U129" s="69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9"/>
    </row>
    <row r="131" spans="1:21" x14ac:dyDescent="0.25">
      <c r="A131" s="6" t="s">
        <v>35</v>
      </c>
      <c r="B131" s="6" t="s">
        <v>46</v>
      </c>
      <c r="C131" s="15">
        <v>4240.2294921875</v>
      </c>
      <c r="D131" s="16">
        <v>36.122</v>
      </c>
      <c r="E131" s="16">
        <v>38.588000000000001</v>
      </c>
      <c r="F131" s="16">
        <v>40.881</v>
      </c>
      <c r="G131" s="16">
        <v>37.67</v>
      </c>
      <c r="H131" s="16">
        <f t="shared" ref="H131:H202" si="6">(6*D131+E131+F131)/8</f>
        <v>37.025125000000003</v>
      </c>
      <c r="I131" s="5"/>
      <c r="J131" s="15">
        <v>4025.7359999999999</v>
      </c>
      <c r="K131" s="16">
        <v>37.8581</v>
      </c>
      <c r="L131" s="16">
        <v>39.445999999999998</v>
      </c>
      <c r="M131" s="16">
        <v>41.926000000000002</v>
      </c>
      <c r="N131" s="16">
        <v>49.309699999999999</v>
      </c>
      <c r="O131" s="16">
        <f t="shared" ref="O131:O202" si="7">(6*K131+L131+M131)/8</f>
        <v>38.565075</v>
      </c>
      <c r="P131" s="7"/>
      <c r="Q131" s="8">
        <f>bdrate(C131:C134,D131:D134,J131:J134,K131:K134)</f>
        <v>-0.38617318178585869</v>
      </c>
      <c r="R131" s="8">
        <f>bdrate(C131:C134,E131:E134,J131:J134,L131:L134)</f>
        <v>-0.45700795873467248</v>
      </c>
      <c r="S131" s="8">
        <f>bdrate(C131:C134,F131:F134,J131:J134,M131:M134)</f>
        <v>-0.4752570113868102</v>
      </c>
      <c r="T131" s="25">
        <f>bdrate(C131:C134,H131:H134,J131:J134,O131:O134)</f>
        <v>-0.40034831126406334</v>
      </c>
      <c r="U131" s="28">
        <f t="shared" ref="U131:U194" si="8">(N131-G131)/G131</f>
        <v>0.30899123971329961</v>
      </c>
    </row>
    <row r="132" spans="1:21" x14ac:dyDescent="0.25">
      <c r="A132" s="9" t="s">
        <v>36</v>
      </c>
      <c r="B132" s="9"/>
      <c r="C132" s="17">
        <v>3170.7421875</v>
      </c>
      <c r="D132" s="18">
        <v>35.216000000000001</v>
      </c>
      <c r="E132" s="18">
        <v>38.058</v>
      </c>
      <c r="F132" s="18">
        <v>40.283999999999999</v>
      </c>
      <c r="G132" s="18">
        <v>40.729999999999997</v>
      </c>
      <c r="H132" s="18">
        <f t="shared" si="6"/>
        <v>36.204749999999997</v>
      </c>
      <c r="I132" s="5"/>
      <c r="J132" s="17">
        <v>2927.4560000000001</v>
      </c>
      <c r="K132" s="18">
        <v>36.838900000000002</v>
      </c>
      <c r="L132" s="18">
        <v>38.860100000000003</v>
      </c>
      <c r="M132" s="18">
        <v>41.204000000000001</v>
      </c>
      <c r="N132" s="18">
        <v>55.248600000000003</v>
      </c>
      <c r="O132" s="18">
        <f t="shared" si="7"/>
        <v>37.637187500000003</v>
      </c>
      <c r="P132" s="7"/>
      <c r="Q132" s="10"/>
      <c r="R132" s="11"/>
      <c r="S132" s="11"/>
      <c r="T132" s="26"/>
      <c r="U132" s="28">
        <f t="shared" si="8"/>
        <v>0.3564596120795484</v>
      </c>
    </row>
    <row r="133" spans="1:21" x14ac:dyDescent="0.25">
      <c r="B133" s="9"/>
      <c r="C133" s="17">
        <v>2137.521484375</v>
      </c>
      <c r="D133" s="18">
        <v>33.895000000000003</v>
      </c>
      <c r="E133" s="18">
        <v>37.265999999999998</v>
      </c>
      <c r="F133" s="18">
        <v>39.402999999999999</v>
      </c>
      <c r="G133" s="18">
        <v>41.76</v>
      </c>
      <c r="H133" s="18">
        <f t="shared" si="6"/>
        <v>35.004874999999998</v>
      </c>
      <c r="I133" s="5"/>
      <c r="J133" s="17">
        <v>1901.664</v>
      </c>
      <c r="K133" s="18">
        <v>35.246699999999997</v>
      </c>
      <c r="L133" s="18">
        <v>38.180799999999998</v>
      </c>
      <c r="M133" s="18">
        <v>40.480600000000003</v>
      </c>
      <c r="N133" s="18">
        <v>62.034700000000001</v>
      </c>
      <c r="O133" s="18">
        <f t="shared" si="7"/>
        <v>36.267699999999998</v>
      </c>
      <c r="P133" s="7"/>
      <c r="Q133" s="10"/>
      <c r="R133" s="11"/>
      <c r="S133" s="11"/>
      <c r="T133" s="26"/>
      <c r="U133" s="28">
        <f t="shared" si="8"/>
        <v>0.48550526819923379</v>
      </c>
    </row>
    <row r="134" spans="1:21" ht="16.5" thickBot="1" x14ac:dyDescent="0.3">
      <c r="B134" s="12"/>
      <c r="C134" s="19">
        <v>1096.005859375</v>
      </c>
      <c r="D134" s="20">
        <v>31.102</v>
      </c>
      <c r="E134" s="20">
        <v>35.744999999999997</v>
      </c>
      <c r="F134" s="20">
        <v>37.673999999999999</v>
      </c>
      <c r="G134" s="20">
        <v>49.91</v>
      </c>
      <c r="H134" s="20">
        <f t="shared" si="6"/>
        <v>32.503875000000001</v>
      </c>
      <c r="I134" s="5"/>
      <c r="J134" s="19">
        <v>916.07039999999995</v>
      </c>
      <c r="K134" s="20">
        <v>32.336599999999997</v>
      </c>
      <c r="L134" s="20">
        <v>36.903799999999997</v>
      </c>
      <c r="M134" s="20">
        <v>39.095700000000001</v>
      </c>
      <c r="N134" s="20">
        <v>74.552700000000002</v>
      </c>
      <c r="O134" s="20">
        <f t="shared" si="7"/>
        <v>33.752387499999998</v>
      </c>
      <c r="P134" s="7"/>
      <c r="Q134" s="13"/>
      <c r="R134" s="14"/>
      <c r="S134" s="14"/>
      <c r="T134" s="27"/>
      <c r="U134" s="28">
        <f t="shared" si="8"/>
        <v>0.49374273692646775</v>
      </c>
    </row>
    <row r="135" spans="1:21" x14ac:dyDescent="0.25">
      <c r="B135" s="6" t="s">
        <v>47</v>
      </c>
      <c r="C135" s="15">
        <v>4762.2294921875</v>
      </c>
      <c r="D135" s="16">
        <v>28.03</v>
      </c>
      <c r="E135" s="16">
        <v>38.781999999999996</v>
      </c>
      <c r="F135" s="16">
        <v>39.816000000000003</v>
      </c>
      <c r="G135" s="16">
        <v>34.119999999999997</v>
      </c>
      <c r="H135" s="16">
        <f t="shared" si="6"/>
        <v>30.847249999999999</v>
      </c>
      <c r="I135" s="5"/>
      <c r="J135" s="15">
        <v>4053.7231999999999</v>
      </c>
      <c r="K135" s="16">
        <v>29.415400000000002</v>
      </c>
      <c r="L135" s="16">
        <v>39.341099999999997</v>
      </c>
      <c r="M135" s="16">
        <v>40.263100000000001</v>
      </c>
      <c r="N135" s="16">
        <v>38.461500000000001</v>
      </c>
      <c r="O135" s="16">
        <f t="shared" si="7"/>
        <v>32.012075000000003</v>
      </c>
      <c r="P135" s="7"/>
      <c r="Q135" s="8">
        <f>bdrate(C135:C138,D135:D138,J135:J138,K135:K138)</f>
        <v>-0.28815960584309652</v>
      </c>
      <c r="R135" s="8">
        <f>bdrate(C135:C138,E135:E138,J135:J138,L135:L138)</f>
        <v>-0.52128054364147103</v>
      </c>
      <c r="S135" s="8">
        <f>bdrate(C135:C138,F135:F138,J135:J138,M135:M138)</f>
        <v>-0.53942749758172714</v>
      </c>
      <c r="T135" s="25">
        <f>bdrate(C135:C138,H135:H138,J135:J138,O135:O138)</f>
        <v>-0.33140943348401652</v>
      </c>
      <c r="U135" s="28">
        <f t="shared" si="8"/>
        <v>0.12724208675263787</v>
      </c>
    </row>
    <row r="136" spans="1:21" x14ac:dyDescent="0.25">
      <c r="B136" s="9"/>
      <c r="C136" s="17">
        <v>4095.2666015625</v>
      </c>
      <c r="D136" s="18">
        <v>27.666</v>
      </c>
      <c r="E136" s="18">
        <v>38.234000000000002</v>
      </c>
      <c r="F136" s="18">
        <v>39.261000000000003</v>
      </c>
      <c r="G136" s="18">
        <v>34.729999999999997</v>
      </c>
      <c r="H136" s="18">
        <f t="shared" si="6"/>
        <v>30.436375000000002</v>
      </c>
      <c r="I136" s="5"/>
      <c r="J136" s="17">
        <v>3036.5536000000002</v>
      </c>
      <c r="K136" s="18">
        <v>28.103400000000001</v>
      </c>
      <c r="L136" s="18">
        <v>38.858499999999999</v>
      </c>
      <c r="M136" s="18">
        <v>39.851599999999998</v>
      </c>
      <c r="N136" s="18">
        <v>43.911000000000001</v>
      </c>
      <c r="O136" s="18">
        <f t="shared" si="7"/>
        <v>30.9163125</v>
      </c>
      <c r="P136" s="7"/>
      <c r="Q136" s="10"/>
      <c r="R136" s="11"/>
      <c r="S136" s="11"/>
      <c r="T136" s="26"/>
      <c r="U136" s="28">
        <f t="shared" si="8"/>
        <v>0.2643535847970056</v>
      </c>
    </row>
    <row r="137" spans="1:21" x14ac:dyDescent="0.25">
      <c r="B137" s="9"/>
      <c r="C137" s="17">
        <v>3409.58203125</v>
      </c>
      <c r="D137" s="18">
        <v>27.236000000000001</v>
      </c>
      <c r="E137" s="18">
        <v>37.610999999999997</v>
      </c>
      <c r="F137" s="18">
        <v>38.527999999999999</v>
      </c>
      <c r="G137" s="18">
        <v>35.07</v>
      </c>
      <c r="H137" s="18">
        <f t="shared" si="6"/>
        <v>29.944374999999997</v>
      </c>
      <c r="I137" s="5"/>
      <c r="J137" s="17">
        <v>2026.9792</v>
      </c>
      <c r="K137" s="18">
        <v>26.305299999999999</v>
      </c>
      <c r="L137" s="18">
        <v>38.129300000000001</v>
      </c>
      <c r="M137" s="18">
        <v>39.230800000000002</v>
      </c>
      <c r="N137" s="18">
        <v>50.352499999999999</v>
      </c>
      <c r="O137" s="18">
        <f t="shared" si="7"/>
        <v>29.398987499999997</v>
      </c>
      <c r="P137" s="7"/>
      <c r="Q137" s="10"/>
      <c r="R137" s="11"/>
      <c r="S137" s="11"/>
      <c r="T137" s="26"/>
      <c r="U137" s="28">
        <f t="shared" si="8"/>
        <v>0.43577131451382944</v>
      </c>
    </row>
    <row r="138" spans="1:21" ht="16.5" thickBot="1" x14ac:dyDescent="0.3">
      <c r="B138" s="12"/>
      <c r="C138" s="19">
        <v>2870.1015625</v>
      </c>
      <c r="D138" s="20">
        <v>26.567</v>
      </c>
      <c r="E138" s="20">
        <v>36.459000000000003</v>
      </c>
      <c r="F138" s="20">
        <v>37.225999999999999</v>
      </c>
      <c r="G138" s="20">
        <v>35.26</v>
      </c>
      <c r="H138" s="20">
        <f t="shared" si="6"/>
        <v>29.135874999999999</v>
      </c>
      <c r="I138" s="5"/>
      <c r="J138" s="19">
        <v>1138.9983999999999</v>
      </c>
      <c r="K138" s="20">
        <v>24.146000000000001</v>
      </c>
      <c r="L138" s="20">
        <v>36.568800000000003</v>
      </c>
      <c r="M138" s="20">
        <v>37.845300000000002</v>
      </c>
      <c r="N138" s="20">
        <v>63.264400000000002</v>
      </c>
      <c r="O138" s="20">
        <f t="shared" si="7"/>
        <v>27.411262500000003</v>
      </c>
      <c r="P138" s="7"/>
      <c r="Q138" s="13"/>
      <c r="R138" s="14"/>
      <c r="S138" s="14"/>
      <c r="T138" s="27"/>
      <c r="U138" s="28">
        <f t="shared" si="8"/>
        <v>0.79422575155984132</v>
      </c>
    </row>
    <row r="139" spans="1:21" x14ac:dyDescent="0.25">
      <c r="A139" s="6" t="s">
        <v>37</v>
      </c>
      <c r="B139" s="6" t="s">
        <v>48</v>
      </c>
      <c r="C139" s="15">
        <v>2016.111328125</v>
      </c>
      <c r="D139" s="16">
        <v>36.972999999999999</v>
      </c>
      <c r="E139" s="16">
        <v>40.981999999999999</v>
      </c>
      <c r="F139" s="16">
        <v>42.165999999999997</v>
      </c>
      <c r="G139" s="16">
        <v>65.33</v>
      </c>
      <c r="H139" s="16">
        <f t="shared" si="6"/>
        <v>38.123249999999999</v>
      </c>
      <c r="I139" s="5"/>
      <c r="J139" s="15">
        <v>2382.0248000000001</v>
      </c>
      <c r="K139" s="16">
        <v>39.0732</v>
      </c>
      <c r="L139" s="16">
        <v>41.882199999999997</v>
      </c>
      <c r="M139" s="16">
        <v>43.224600000000002</v>
      </c>
      <c r="N139" s="16">
        <v>96.153800000000004</v>
      </c>
      <c r="O139" s="16">
        <f t="shared" si="7"/>
        <v>39.943249999999999</v>
      </c>
      <c r="P139" s="7"/>
      <c r="Q139" s="8">
        <f>bdrate(C139:C142,D139:D142,J139:J142,K139:K142)</f>
        <v>-0.43718260383595431</v>
      </c>
      <c r="R139" s="8">
        <f>bdrate(C139:C142,E139:E142,J139:J142,L139:L142)</f>
        <v>-0.37588227813670227</v>
      </c>
      <c r="S139" s="8">
        <f>bdrate(C139:C142,F139:F142,J139:J142,M139:M142)</f>
        <v>-0.37904550222207711</v>
      </c>
      <c r="T139" s="25">
        <f>bdrate(C139:C142,H139:H142,J139:J142,O139:O142)</f>
        <v>-0.42940462503188903</v>
      </c>
      <c r="U139" s="28">
        <f t="shared" si="8"/>
        <v>0.47181692943517534</v>
      </c>
    </row>
    <row r="140" spans="1:21" x14ac:dyDescent="0.25">
      <c r="A140" s="9" t="s">
        <v>38</v>
      </c>
      <c r="B140" s="9"/>
      <c r="C140" s="17">
        <v>1416.314453125</v>
      </c>
      <c r="D140" s="18">
        <v>35.607999999999997</v>
      </c>
      <c r="E140" s="18">
        <v>40.335000000000001</v>
      </c>
      <c r="F140" s="18">
        <v>41.488</v>
      </c>
      <c r="G140" s="18">
        <v>71.61</v>
      </c>
      <c r="H140" s="18">
        <f t="shared" si="6"/>
        <v>36.933875</v>
      </c>
      <c r="I140" s="5"/>
      <c r="J140" s="17">
        <v>1562.0976000000001</v>
      </c>
      <c r="K140" s="18">
        <v>37.799300000000002</v>
      </c>
      <c r="L140" s="18">
        <v>41.200499999999998</v>
      </c>
      <c r="M140" s="18">
        <v>42.424399999999999</v>
      </c>
      <c r="N140" s="18">
        <v>108.94240000000001</v>
      </c>
      <c r="O140" s="18">
        <f t="shared" si="7"/>
        <v>38.802587500000001</v>
      </c>
      <c r="P140" s="7"/>
      <c r="Q140" s="10"/>
      <c r="R140" s="11"/>
      <c r="S140" s="11"/>
      <c r="T140" s="26"/>
      <c r="U140" s="28">
        <f t="shared" si="8"/>
        <v>0.52132942326490728</v>
      </c>
    </row>
    <row r="141" spans="1:21" x14ac:dyDescent="0.25">
      <c r="B141" s="9"/>
      <c r="C141" s="17">
        <v>958.91015625</v>
      </c>
      <c r="D141" s="18">
        <v>33.926000000000002</v>
      </c>
      <c r="E141" s="18">
        <v>39.448999999999998</v>
      </c>
      <c r="F141" s="18">
        <v>40.609000000000002</v>
      </c>
      <c r="G141" s="18">
        <v>76.64</v>
      </c>
      <c r="H141" s="18">
        <f t="shared" si="6"/>
        <v>35.451749999999997</v>
      </c>
      <c r="I141" s="5"/>
      <c r="J141" s="17">
        <v>960.34</v>
      </c>
      <c r="K141" s="18">
        <v>36.227400000000003</v>
      </c>
      <c r="L141" s="18">
        <v>40.420499999999997</v>
      </c>
      <c r="M141" s="18">
        <v>41.587899999999998</v>
      </c>
      <c r="N141" s="18">
        <v>122.9508</v>
      </c>
      <c r="O141" s="18">
        <f t="shared" si="7"/>
        <v>37.421599999999998</v>
      </c>
      <c r="P141" s="7"/>
      <c r="Q141" s="10"/>
      <c r="R141" s="11"/>
      <c r="S141" s="11"/>
      <c r="T141" s="26"/>
      <c r="U141" s="28">
        <f t="shared" si="8"/>
        <v>0.60426409185803753</v>
      </c>
    </row>
    <row r="142" spans="1:21" ht="16.5" thickBot="1" x14ac:dyDescent="0.3">
      <c r="B142" s="12"/>
      <c r="C142" s="19">
        <v>591.73046875</v>
      </c>
      <c r="D142" s="20">
        <v>31.788</v>
      </c>
      <c r="E142" s="20">
        <v>38.286000000000001</v>
      </c>
      <c r="F142" s="20">
        <v>39.418999999999997</v>
      </c>
      <c r="G142" s="20">
        <v>84.76</v>
      </c>
      <c r="H142" s="20">
        <f t="shared" si="6"/>
        <v>33.554124999999999</v>
      </c>
      <c r="I142" s="5"/>
      <c r="J142" s="19">
        <v>553.24559999999997</v>
      </c>
      <c r="K142" s="20">
        <v>34.352600000000002</v>
      </c>
      <c r="L142" s="20">
        <v>39.639600000000002</v>
      </c>
      <c r="M142" s="20">
        <v>40.826300000000003</v>
      </c>
      <c r="N142" s="20">
        <v>138.6482</v>
      </c>
      <c r="O142" s="20">
        <f t="shared" si="7"/>
        <v>35.822687500000001</v>
      </c>
      <c r="P142" s="7"/>
      <c r="Q142" s="13"/>
      <c r="R142" s="14"/>
      <c r="S142" s="14"/>
      <c r="T142" s="27"/>
      <c r="U142" s="28">
        <f t="shared" si="8"/>
        <v>0.63577394997640391</v>
      </c>
    </row>
    <row r="143" spans="1:21" x14ac:dyDescent="0.25">
      <c r="B143" s="6" t="s">
        <v>49</v>
      </c>
      <c r="C143" s="15">
        <v>2483.6513671875</v>
      </c>
      <c r="D143" s="16">
        <v>34.587000000000003</v>
      </c>
      <c r="E143" s="16">
        <v>38.743000000000002</v>
      </c>
      <c r="F143" s="16">
        <v>39.991</v>
      </c>
      <c r="G143" s="16">
        <v>64.459999999999994</v>
      </c>
      <c r="H143" s="16">
        <f t="shared" si="6"/>
        <v>35.782000000000004</v>
      </c>
      <c r="I143" s="5"/>
      <c r="J143" s="15">
        <v>2458.3056000000001</v>
      </c>
      <c r="K143" s="16">
        <v>35.995800000000003</v>
      </c>
      <c r="L143" s="16">
        <v>39.898600000000002</v>
      </c>
      <c r="M143" s="16">
        <v>41.108800000000002</v>
      </c>
      <c r="N143" s="16">
        <v>87.399900000000002</v>
      </c>
      <c r="O143" s="16">
        <f t="shared" si="7"/>
        <v>37.122775000000004</v>
      </c>
      <c r="P143" s="7"/>
      <c r="Q143" s="8">
        <f>bdrate(C143:C146,D143:D146,J143:J146,K143:K146)</f>
        <v>-0.3283663069882955</v>
      </c>
      <c r="R143" s="8">
        <f>bdrate(C143:C146,E143:E146,J143:J146,L143:L146)</f>
        <v>-0.46244790786812129</v>
      </c>
      <c r="S143" s="8">
        <f>bdrate(C143:C146,F143:F146,J143:J146,M143:M146)</f>
        <v>-0.45698902862599367</v>
      </c>
      <c r="T143" s="25">
        <f>bdrate(C143:C146,H143:H146,J143:J146,O143:O146)</f>
        <v>-0.35193430455176566</v>
      </c>
      <c r="U143" s="28">
        <f t="shared" si="8"/>
        <v>0.35587806391560672</v>
      </c>
    </row>
    <row r="144" spans="1:21" x14ac:dyDescent="0.25">
      <c r="B144" s="9"/>
      <c r="C144" s="17">
        <v>1678.5498046875</v>
      </c>
      <c r="D144" s="18">
        <v>33.509</v>
      </c>
      <c r="E144" s="18">
        <v>38.015999999999998</v>
      </c>
      <c r="F144" s="18">
        <v>39.377000000000002</v>
      </c>
      <c r="G144" s="18">
        <v>68.180000000000007</v>
      </c>
      <c r="H144" s="18">
        <f t="shared" si="6"/>
        <v>34.805875</v>
      </c>
      <c r="I144" s="5"/>
      <c r="J144" s="17">
        <v>1657.9784</v>
      </c>
      <c r="K144" s="18">
        <v>34.727600000000002</v>
      </c>
      <c r="L144" s="18">
        <v>39.1616</v>
      </c>
      <c r="M144" s="18">
        <v>40.367100000000001</v>
      </c>
      <c r="N144" s="18">
        <v>103.94110000000001</v>
      </c>
      <c r="O144" s="18">
        <f t="shared" si="7"/>
        <v>35.986787500000005</v>
      </c>
      <c r="P144" s="7"/>
      <c r="Q144" s="10"/>
      <c r="R144" s="11"/>
      <c r="S144" s="11"/>
      <c r="T144" s="26"/>
      <c r="U144" s="28">
        <f t="shared" si="8"/>
        <v>0.52451012026987376</v>
      </c>
    </row>
    <row r="145" spans="1:21" x14ac:dyDescent="0.25">
      <c r="B145" s="9"/>
      <c r="C145" s="17">
        <v>1042.265625</v>
      </c>
      <c r="D145" s="18">
        <v>32.146000000000001</v>
      </c>
      <c r="E145" s="18">
        <v>37.091000000000001</v>
      </c>
      <c r="F145" s="18">
        <v>38.646000000000001</v>
      </c>
      <c r="G145" s="18">
        <v>73.180000000000007</v>
      </c>
      <c r="H145" s="18">
        <f t="shared" si="6"/>
        <v>33.576625</v>
      </c>
      <c r="I145" s="5"/>
      <c r="J145" s="17">
        <v>1020.7576</v>
      </c>
      <c r="K145" s="18">
        <v>33.227899999999998</v>
      </c>
      <c r="L145" s="18">
        <v>38.216799999999999</v>
      </c>
      <c r="M145" s="18">
        <v>39.526299999999999</v>
      </c>
      <c r="N145" s="18">
        <v>113.9601</v>
      </c>
      <c r="O145" s="18">
        <f t="shared" si="7"/>
        <v>34.6388125</v>
      </c>
      <c r="P145" s="7"/>
      <c r="Q145" s="10"/>
      <c r="R145" s="11"/>
      <c r="S145" s="11"/>
      <c r="T145" s="26"/>
      <c r="U145" s="28">
        <f t="shared" si="8"/>
        <v>0.55725744738999705</v>
      </c>
    </row>
    <row r="146" spans="1:21" ht="16.5" thickBot="1" x14ac:dyDescent="0.3">
      <c r="B146" s="12"/>
      <c r="C146" s="19">
        <v>625.6708984375</v>
      </c>
      <c r="D146" s="20">
        <v>30.579000000000001</v>
      </c>
      <c r="E146" s="20">
        <v>36.159999999999997</v>
      </c>
      <c r="F146" s="20">
        <v>37.936</v>
      </c>
      <c r="G146" s="20">
        <v>78.66</v>
      </c>
      <c r="H146" s="20">
        <f t="shared" si="6"/>
        <v>32.196249999999999</v>
      </c>
      <c r="I146" s="5"/>
      <c r="J146" s="19">
        <v>585.61919999999998</v>
      </c>
      <c r="K146" s="20">
        <v>31.532699999999998</v>
      </c>
      <c r="L146" s="20">
        <v>37.263500000000001</v>
      </c>
      <c r="M146" s="20">
        <v>38.768700000000003</v>
      </c>
      <c r="N146" s="20">
        <v>137.3784</v>
      </c>
      <c r="O146" s="20">
        <f t="shared" si="7"/>
        <v>33.153549999999996</v>
      </c>
      <c r="P146" s="7"/>
      <c r="Q146" s="13"/>
      <c r="R146" s="14"/>
      <c r="S146" s="14"/>
      <c r="T146" s="27"/>
      <c r="U146" s="28">
        <f t="shared" si="8"/>
        <v>0.74648360030511063</v>
      </c>
    </row>
    <row r="147" spans="1:21" x14ac:dyDescent="0.25">
      <c r="B147" s="6" t="s">
        <v>50</v>
      </c>
      <c r="C147" s="15">
        <v>2443.83203125</v>
      </c>
      <c r="D147" s="16">
        <v>32.697000000000003</v>
      </c>
      <c r="E147" s="16">
        <v>37.456000000000003</v>
      </c>
      <c r="F147" s="16">
        <v>38.76</v>
      </c>
      <c r="G147" s="16">
        <v>68.62</v>
      </c>
      <c r="H147" s="16">
        <f t="shared" si="6"/>
        <v>34.049750000000003</v>
      </c>
      <c r="I147" s="5"/>
      <c r="J147" s="15">
        <v>2412.7296000000001</v>
      </c>
      <c r="K147" s="16">
        <v>34.033999999999999</v>
      </c>
      <c r="L147" s="16">
        <v>38.090000000000003</v>
      </c>
      <c r="M147" s="16">
        <v>40.070900000000002</v>
      </c>
      <c r="N147" s="16">
        <v>109.3853</v>
      </c>
      <c r="O147" s="16">
        <f t="shared" si="7"/>
        <v>35.295612500000004</v>
      </c>
      <c r="P147" s="7"/>
      <c r="Q147" s="8">
        <f>bdrate(C147:C150,D147:D150,J147:J150,K147:K150)</f>
        <v>-0.37583189692813246</v>
      </c>
      <c r="R147" s="8">
        <f>bdrate(C147:C150,E147:E150,J147:J150,L147:L150)</f>
        <v>-0.5049669525439977</v>
      </c>
      <c r="S147" s="8">
        <f>bdrate(C147:C150,F147:F150,J147:J150,M147:M150)</f>
        <v>-0.52727249182087088</v>
      </c>
      <c r="T147" s="25">
        <f>bdrate(C147:C150,H147:H150,J147:J150,O147:O150)</f>
        <v>-0.40330678051141999</v>
      </c>
      <c r="U147" s="28">
        <f t="shared" si="8"/>
        <v>0.59407315651413573</v>
      </c>
    </row>
    <row r="148" spans="1:21" x14ac:dyDescent="0.25">
      <c r="B148" s="9"/>
      <c r="C148" s="17">
        <v>1638.05859375</v>
      </c>
      <c r="D148" s="18">
        <v>31.349</v>
      </c>
      <c r="E148" s="18">
        <v>36.707000000000001</v>
      </c>
      <c r="F148" s="18">
        <v>37.566000000000003</v>
      </c>
      <c r="G148" s="18">
        <v>74.290000000000006</v>
      </c>
      <c r="H148" s="18">
        <f t="shared" si="6"/>
        <v>32.795874999999995</v>
      </c>
      <c r="I148" s="5"/>
      <c r="J148" s="17">
        <v>1604.1271999999999</v>
      </c>
      <c r="K148" s="18">
        <v>32.804699999999997</v>
      </c>
      <c r="L148" s="18">
        <v>37.640099999999997</v>
      </c>
      <c r="M148" s="18">
        <v>39.247999999999998</v>
      </c>
      <c r="N148" s="18">
        <v>135.79580000000001</v>
      </c>
      <c r="O148" s="18">
        <f t="shared" si="7"/>
        <v>34.214537499999999</v>
      </c>
      <c r="P148" s="7"/>
      <c r="Q148" s="10"/>
      <c r="R148" s="11"/>
      <c r="S148" s="11"/>
      <c r="T148" s="26"/>
      <c r="U148" s="28">
        <f t="shared" si="8"/>
        <v>0.82791492798492394</v>
      </c>
    </row>
    <row r="149" spans="1:21" x14ac:dyDescent="0.25">
      <c r="B149" s="9"/>
      <c r="C149" s="17">
        <v>1050.5712890625</v>
      </c>
      <c r="D149" s="18">
        <v>29.584</v>
      </c>
      <c r="E149" s="18">
        <v>35.676000000000002</v>
      </c>
      <c r="F149" s="18">
        <v>36.015000000000001</v>
      </c>
      <c r="G149" s="18">
        <v>81.61</v>
      </c>
      <c r="H149" s="18">
        <f t="shared" si="6"/>
        <v>31.149374999999999</v>
      </c>
      <c r="I149" s="5"/>
      <c r="J149" s="17">
        <v>998.38400000000001</v>
      </c>
      <c r="K149" s="18">
        <v>31.199100000000001</v>
      </c>
      <c r="L149" s="18">
        <v>37.044699999999999</v>
      </c>
      <c r="M149" s="18">
        <v>38.219900000000003</v>
      </c>
      <c r="N149" s="18">
        <v>152.62520000000001</v>
      </c>
      <c r="O149" s="18">
        <f t="shared" si="7"/>
        <v>32.807400000000001</v>
      </c>
      <c r="P149" s="7"/>
      <c r="Q149" s="10"/>
      <c r="R149" s="11"/>
      <c r="S149" s="11"/>
      <c r="T149" s="26"/>
      <c r="U149" s="28">
        <f t="shared" si="8"/>
        <v>0.87017767430461967</v>
      </c>
    </row>
    <row r="150" spans="1:21" ht="16.5" thickBot="1" x14ac:dyDescent="0.3">
      <c r="B150" s="12"/>
      <c r="C150" s="19">
        <v>822.51171875</v>
      </c>
      <c r="D150" s="20">
        <v>28.585999999999999</v>
      </c>
      <c r="E150" s="20">
        <v>34.831000000000003</v>
      </c>
      <c r="F150" s="20">
        <v>34.781999999999996</v>
      </c>
      <c r="G150" s="20">
        <v>82.74</v>
      </c>
      <c r="H150" s="20">
        <f t="shared" si="6"/>
        <v>30.141124999999995</v>
      </c>
      <c r="I150" s="5"/>
      <c r="J150" s="19">
        <v>599.56960000000004</v>
      </c>
      <c r="K150" s="20">
        <v>29.450600000000001</v>
      </c>
      <c r="L150" s="20">
        <v>36.366300000000003</v>
      </c>
      <c r="M150" s="20">
        <v>37.130699999999997</v>
      </c>
      <c r="N150" s="20">
        <v>168.691</v>
      </c>
      <c r="O150" s="20">
        <f t="shared" si="7"/>
        <v>31.275074999999998</v>
      </c>
      <c r="P150" s="7"/>
      <c r="Q150" s="13"/>
      <c r="R150" s="14"/>
      <c r="S150" s="14"/>
      <c r="T150" s="27"/>
      <c r="U150" s="28">
        <f t="shared" si="8"/>
        <v>1.0388083152042544</v>
      </c>
    </row>
    <row r="151" spans="1:21" x14ac:dyDescent="0.25">
      <c r="B151" s="6" t="s">
        <v>51</v>
      </c>
      <c r="C151" s="29">
        <v>2254.8193359375</v>
      </c>
      <c r="D151" s="30">
        <v>31.608000000000001</v>
      </c>
      <c r="E151" s="30">
        <v>38.442</v>
      </c>
      <c r="F151" s="30">
        <v>37.198999999999998</v>
      </c>
      <c r="G151" s="16">
        <v>75</v>
      </c>
      <c r="H151" s="16">
        <f t="shared" si="6"/>
        <v>33.161124999999998</v>
      </c>
      <c r="I151" s="5"/>
      <c r="J151" s="29">
        <v>2410.6088</v>
      </c>
      <c r="K151" s="30">
        <v>33.986499999999999</v>
      </c>
      <c r="L151" s="30">
        <v>40.246499999999997</v>
      </c>
      <c r="M151" s="30">
        <v>39.833500000000001</v>
      </c>
      <c r="N151" s="16">
        <v>104.3841</v>
      </c>
      <c r="O151" s="16">
        <f t="shared" si="7"/>
        <v>35.499874999999996</v>
      </c>
      <c r="P151" s="7"/>
      <c r="Q151" s="8">
        <f>bdrate(C151:C154,D151:D154,J151:J154,K151:K154)</f>
        <v>-0.47477079626984409</v>
      </c>
      <c r="R151" s="8">
        <f>bdrate(C151:C154,E151:E154,J151:J154,L151:L154)</f>
        <v>-0.57379970960423887</v>
      </c>
      <c r="S151" s="8">
        <f>bdrate(C151:C154,F151:F154,J151:J154,M151:M154)</f>
        <v>-0.62472728595547689</v>
      </c>
      <c r="T151" s="25">
        <f>bdrate(C151:C154,H151:H154,J151:J154,O151:O154)</f>
        <v>-0.50606584559082313</v>
      </c>
      <c r="U151" s="28">
        <f t="shared" si="8"/>
        <v>0.39178800000000003</v>
      </c>
    </row>
    <row r="152" spans="1:21" x14ac:dyDescent="0.25">
      <c r="B152" s="9"/>
      <c r="C152" s="31">
        <v>1648.83984375</v>
      </c>
      <c r="D152" s="32">
        <v>30.27</v>
      </c>
      <c r="E152" s="32">
        <v>37.439</v>
      </c>
      <c r="F152" s="32">
        <v>35.948999999999998</v>
      </c>
      <c r="G152" s="18">
        <v>81.209999999999994</v>
      </c>
      <c r="H152" s="18">
        <f t="shared" si="6"/>
        <v>31.875999999999998</v>
      </c>
      <c r="I152" s="5"/>
      <c r="J152" s="31">
        <v>1609.3320000000001</v>
      </c>
      <c r="K152" s="32">
        <v>32.598500000000001</v>
      </c>
      <c r="L152" s="32">
        <v>39.518000000000001</v>
      </c>
      <c r="M152" s="32">
        <v>38.890599999999999</v>
      </c>
      <c r="N152" s="18">
        <v>120.9482</v>
      </c>
      <c r="O152" s="18">
        <f t="shared" si="7"/>
        <v>34.249949999999998</v>
      </c>
      <c r="P152" s="7"/>
      <c r="Q152" s="10"/>
      <c r="R152" s="11"/>
      <c r="S152" s="11"/>
      <c r="T152" s="26"/>
      <c r="U152" s="28">
        <f t="shared" si="8"/>
        <v>0.48932643763083378</v>
      </c>
    </row>
    <row r="153" spans="1:21" x14ac:dyDescent="0.25">
      <c r="B153" s="9"/>
      <c r="C153" s="31">
        <v>1261.32421875</v>
      </c>
      <c r="D153" s="32">
        <v>29.193000000000001</v>
      </c>
      <c r="E153" s="32">
        <v>36.334000000000003</v>
      </c>
      <c r="F153" s="32">
        <v>34.857999999999997</v>
      </c>
      <c r="G153" s="18">
        <v>83.84</v>
      </c>
      <c r="H153" s="18">
        <f t="shared" si="6"/>
        <v>30.793750000000003</v>
      </c>
      <c r="I153" s="5"/>
      <c r="J153" s="31">
        <v>999.67439999999999</v>
      </c>
      <c r="K153" s="32">
        <v>30.818899999999999</v>
      </c>
      <c r="L153" s="32">
        <v>38.489699999999999</v>
      </c>
      <c r="M153" s="32">
        <v>37.647199999999998</v>
      </c>
      <c r="N153" s="18">
        <v>136.94880000000001</v>
      </c>
      <c r="O153" s="18">
        <f t="shared" si="7"/>
        <v>32.631287499999999</v>
      </c>
      <c r="P153" s="7"/>
      <c r="Q153" s="10"/>
      <c r="R153" s="11"/>
      <c r="S153" s="11"/>
      <c r="T153" s="26"/>
      <c r="U153" s="28">
        <f t="shared" si="8"/>
        <v>0.63345419847328244</v>
      </c>
    </row>
    <row r="154" spans="1:21" ht="16.5" thickBot="1" x14ac:dyDescent="0.3">
      <c r="B154" s="12"/>
      <c r="C154" s="33">
        <v>1137.3134765625</v>
      </c>
      <c r="D154" s="34">
        <v>28.753</v>
      </c>
      <c r="E154" s="34">
        <v>35.685000000000002</v>
      </c>
      <c r="F154" s="34">
        <v>34.293999999999997</v>
      </c>
      <c r="G154" s="20">
        <v>83.86</v>
      </c>
      <c r="H154" s="20">
        <f t="shared" si="6"/>
        <v>30.312125000000002</v>
      </c>
      <c r="I154" s="5"/>
      <c r="J154" s="33">
        <v>599.84479999999996</v>
      </c>
      <c r="K154" s="34">
        <v>28.9115</v>
      </c>
      <c r="L154" s="34">
        <v>36.864899999999999</v>
      </c>
      <c r="M154" s="34">
        <v>35.8444</v>
      </c>
      <c r="N154" s="20">
        <v>157.08449999999999</v>
      </c>
      <c r="O154" s="20">
        <f t="shared" si="7"/>
        <v>30.772287500000001</v>
      </c>
      <c r="P154" s="7"/>
      <c r="Q154" s="13"/>
      <c r="R154" s="14"/>
      <c r="S154" s="14"/>
      <c r="T154" s="27"/>
      <c r="U154" s="28">
        <f t="shared" si="8"/>
        <v>0.87317553064631515</v>
      </c>
    </row>
    <row r="155" spans="1:21" x14ac:dyDescent="0.25">
      <c r="B155" s="6" t="s">
        <v>52</v>
      </c>
      <c r="C155" s="15">
        <v>2493.087890625</v>
      </c>
      <c r="D155" s="16">
        <v>31.408999999999999</v>
      </c>
      <c r="E155" s="16">
        <v>38.481000000000002</v>
      </c>
      <c r="F155" s="16">
        <v>41.033000000000001</v>
      </c>
      <c r="G155" s="16">
        <v>77.900000000000006</v>
      </c>
      <c r="H155" s="16">
        <f t="shared" si="6"/>
        <v>33.496000000000002</v>
      </c>
      <c r="I155" s="5"/>
      <c r="J155" s="15">
        <v>2415.4295999999999</v>
      </c>
      <c r="K155" s="16">
        <v>33.566000000000003</v>
      </c>
      <c r="L155" s="16">
        <v>39.733800000000002</v>
      </c>
      <c r="M155" s="16">
        <v>42.177300000000002</v>
      </c>
      <c r="N155" s="16">
        <v>117.9941</v>
      </c>
      <c r="O155" s="16">
        <f t="shared" si="7"/>
        <v>35.413387499999999</v>
      </c>
      <c r="P155" s="7"/>
      <c r="Q155" s="8">
        <f>bdrate(C155:C158,D155:D158,J155:J158,K155:K158)</f>
        <v>-0.62649208185411798</v>
      </c>
      <c r="R155" s="8">
        <f>bdrate(C155:C158,E155:E158,J155:J158,L155:L158)</f>
        <v>-0.64575316261669369</v>
      </c>
      <c r="S155" s="8">
        <f>bdrate(C155:C158,F155:F158,J155:J158,M155:M158)</f>
        <v>-0.63490630035055506</v>
      </c>
      <c r="T155" s="25">
        <f>bdrate(C155:C158,H155:H158,J155:J158,O155:O158)</f>
        <v>-0.62937445593242147</v>
      </c>
      <c r="U155" s="28">
        <f t="shared" si="8"/>
        <v>0.51468677792041073</v>
      </c>
    </row>
    <row r="156" spans="1:21" x14ac:dyDescent="0.25">
      <c r="B156" s="9"/>
      <c r="C156" s="17">
        <v>1664.498046875</v>
      </c>
      <c r="D156" s="18">
        <v>30.427</v>
      </c>
      <c r="E156" s="18">
        <v>37.857999999999997</v>
      </c>
      <c r="F156" s="18">
        <v>40.374000000000002</v>
      </c>
      <c r="G156" s="18">
        <v>83.56</v>
      </c>
      <c r="H156" s="18">
        <f t="shared" si="6"/>
        <v>32.599250000000005</v>
      </c>
      <c r="I156" s="5"/>
      <c r="J156" s="17">
        <v>1607.4168</v>
      </c>
      <c r="K156" s="18">
        <v>32.854999999999997</v>
      </c>
      <c r="L156" s="18">
        <v>39.249000000000002</v>
      </c>
      <c r="M156" s="18">
        <v>41.777299999999997</v>
      </c>
      <c r="N156" s="18">
        <v>139.34049999999999</v>
      </c>
      <c r="O156" s="18">
        <f t="shared" si="7"/>
        <v>34.769537499999998</v>
      </c>
      <c r="P156" s="7"/>
      <c r="Q156" s="10"/>
      <c r="R156" s="11"/>
      <c r="S156" s="11"/>
      <c r="T156" s="26"/>
      <c r="U156" s="28">
        <f t="shared" si="8"/>
        <v>0.66755026328386768</v>
      </c>
    </row>
    <row r="157" spans="1:21" x14ac:dyDescent="0.25">
      <c r="B157" s="9"/>
      <c r="C157" s="17">
        <v>1050.4501953125</v>
      </c>
      <c r="D157" s="18">
        <v>28.981999999999999</v>
      </c>
      <c r="E157" s="18">
        <v>37.04</v>
      </c>
      <c r="F157" s="18">
        <v>39.33</v>
      </c>
      <c r="G157" s="18">
        <v>89.78</v>
      </c>
      <c r="H157" s="18">
        <f t="shared" si="6"/>
        <v>31.28275</v>
      </c>
      <c r="I157" s="5"/>
      <c r="J157" s="17">
        <v>1024.7072000000001</v>
      </c>
      <c r="K157" s="18">
        <v>31.753599999999999</v>
      </c>
      <c r="L157" s="18">
        <v>38.575899999999997</v>
      </c>
      <c r="M157" s="18">
        <v>41.099699999999999</v>
      </c>
      <c r="N157" s="18">
        <v>142.41630000000001</v>
      </c>
      <c r="O157" s="18">
        <f t="shared" si="7"/>
        <v>33.774649999999994</v>
      </c>
      <c r="P157" s="7"/>
      <c r="Q157" s="10"/>
      <c r="R157" s="11"/>
      <c r="S157" s="11"/>
      <c r="T157" s="26"/>
      <c r="U157" s="28">
        <f t="shared" si="8"/>
        <v>0.5862809088883939</v>
      </c>
    </row>
    <row r="158" spans="1:21" ht="16.5" thickBot="1" x14ac:dyDescent="0.3">
      <c r="B158" s="12"/>
      <c r="C158" s="19">
        <v>749.2080078125</v>
      </c>
      <c r="D158" s="20">
        <v>27.54</v>
      </c>
      <c r="E158" s="20">
        <v>36.212000000000003</v>
      </c>
      <c r="F158" s="20">
        <v>38.137999999999998</v>
      </c>
      <c r="G158" s="20">
        <v>93.59</v>
      </c>
      <c r="H158" s="20">
        <f t="shared" si="6"/>
        <v>29.94875</v>
      </c>
      <c r="I158" s="5"/>
      <c r="J158" s="19">
        <v>594.81600000000003</v>
      </c>
      <c r="K158" s="20">
        <v>30.2395</v>
      </c>
      <c r="L158" s="20">
        <v>38.022100000000002</v>
      </c>
      <c r="M158" s="20">
        <v>40.510100000000001</v>
      </c>
      <c r="N158" s="20">
        <v>156.3314</v>
      </c>
      <c r="O158" s="20">
        <f t="shared" si="7"/>
        <v>32.49615</v>
      </c>
      <c r="P158" s="7"/>
      <c r="Q158" s="13"/>
      <c r="R158" s="14"/>
      <c r="S158" s="14"/>
      <c r="T158" s="27"/>
      <c r="U158" s="28">
        <f t="shared" si="8"/>
        <v>0.67038572497061644</v>
      </c>
    </row>
    <row r="159" spans="1:21" x14ac:dyDescent="0.25">
      <c r="A159" s="6" t="s">
        <v>39</v>
      </c>
      <c r="B159" s="6" t="s">
        <v>53</v>
      </c>
      <c r="C159" s="15">
        <v>1241.1337890625</v>
      </c>
      <c r="D159" s="16">
        <v>33.451000000000001</v>
      </c>
      <c r="E159" s="16">
        <v>37.723999999999997</v>
      </c>
      <c r="F159" s="16">
        <v>37.186</v>
      </c>
      <c r="G159" s="16">
        <v>221.65</v>
      </c>
      <c r="H159" s="16">
        <f t="shared" si="6"/>
        <v>34.451999999999998</v>
      </c>
      <c r="I159" s="5"/>
      <c r="J159" s="15">
        <v>1206.1135999999999</v>
      </c>
      <c r="K159" s="16">
        <v>34.9816</v>
      </c>
      <c r="L159" s="16">
        <v>39.017299999999999</v>
      </c>
      <c r="M159" s="16">
        <v>38.86</v>
      </c>
      <c r="N159" s="16">
        <v>390.625</v>
      </c>
      <c r="O159" s="16">
        <f t="shared" si="7"/>
        <v>35.970862500000003</v>
      </c>
      <c r="P159" s="7"/>
      <c r="Q159" s="8">
        <f>bdrate(C159:C162,D159:D162,J159:J162,K159:K162)</f>
        <v>-0.31284010564615417</v>
      </c>
      <c r="R159" s="8">
        <f>bdrate(C159:C162,E159:E162,J159:J162,L159:L162)</f>
        <v>-0.40881003341204125</v>
      </c>
      <c r="S159" s="8">
        <f>bdrate(C159:C162,F159:F162,J159:J162,M159:M162)</f>
        <v>-0.44337621908842562</v>
      </c>
      <c r="T159" s="25">
        <f>bdrate(C159:C162,H159:H162,J159:J162,O159:O162)</f>
        <v>-0.34009739860585275</v>
      </c>
      <c r="U159" s="28">
        <f t="shared" si="8"/>
        <v>0.76235055267313323</v>
      </c>
    </row>
    <row r="160" spans="1:21" x14ac:dyDescent="0.25">
      <c r="A160" s="9" t="s">
        <v>40</v>
      </c>
      <c r="B160" s="9"/>
      <c r="C160" s="17">
        <v>835.7138671875</v>
      </c>
      <c r="D160" s="18">
        <v>32.061</v>
      </c>
      <c r="E160" s="18">
        <v>36.558</v>
      </c>
      <c r="F160" s="18">
        <v>35.883000000000003</v>
      </c>
      <c r="G160" s="18">
        <v>241.29</v>
      </c>
      <c r="H160" s="18">
        <f t="shared" si="6"/>
        <v>33.100874999999995</v>
      </c>
      <c r="I160" s="5"/>
      <c r="J160" s="17">
        <v>806.10879999999997</v>
      </c>
      <c r="K160" s="18">
        <v>33.4084</v>
      </c>
      <c r="L160" s="18">
        <v>37.787300000000002</v>
      </c>
      <c r="M160" s="18">
        <v>37.509799999999998</v>
      </c>
      <c r="N160" s="18">
        <v>470.8098</v>
      </c>
      <c r="O160" s="18">
        <f t="shared" si="7"/>
        <v>34.4684375</v>
      </c>
      <c r="P160" s="7"/>
      <c r="Q160" s="10"/>
      <c r="R160" s="11"/>
      <c r="S160" s="11"/>
      <c r="T160" s="26"/>
      <c r="U160" s="28">
        <f t="shared" si="8"/>
        <v>0.95121969414397622</v>
      </c>
    </row>
    <row r="161" spans="1:21" x14ac:dyDescent="0.25">
      <c r="B161" s="9"/>
      <c r="C161" s="17">
        <v>522.380859375</v>
      </c>
      <c r="D161" s="18">
        <v>30.417999999999999</v>
      </c>
      <c r="E161" s="18">
        <v>35.171999999999997</v>
      </c>
      <c r="F161" s="18">
        <v>34.308999999999997</v>
      </c>
      <c r="G161" s="18">
        <v>271.86</v>
      </c>
      <c r="H161" s="18">
        <f t="shared" si="6"/>
        <v>31.498624999999997</v>
      </c>
      <c r="I161" s="5"/>
      <c r="J161" s="17">
        <v>502.84</v>
      </c>
      <c r="K161" s="18">
        <v>31.606100000000001</v>
      </c>
      <c r="L161" s="18">
        <v>36.615499999999997</v>
      </c>
      <c r="M161" s="18">
        <v>36.1006</v>
      </c>
      <c r="N161" s="18">
        <v>524.65899999999999</v>
      </c>
      <c r="O161" s="18">
        <f t="shared" si="7"/>
        <v>32.794087500000003</v>
      </c>
      <c r="P161" s="7"/>
      <c r="Q161" s="10"/>
      <c r="R161" s="11"/>
      <c r="S161" s="11"/>
      <c r="T161" s="26"/>
      <c r="U161" s="28">
        <f t="shared" si="8"/>
        <v>0.92988670639299631</v>
      </c>
    </row>
    <row r="162" spans="1:21" ht="16.5" thickBot="1" x14ac:dyDescent="0.3">
      <c r="B162" s="12"/>
      <c r="C162" s="19">
        <v>323.890625</v>
      </c>
      <c r="D162" s="20">
        <v>28.629000000000001</v>
      </c>
      <c r="E162" s="20">
        <v>33.552999999999997</v>
      </c>
      <c r="F162" s="20">
        <v>32.539000000000001</v>
      </c>
      <c r="G162" s="20">
        <v>308.11</v>
      </c>
      <c r="H162" s="20">
        <f t="shared" si="6"/>
        <v>29.733249999999998</v>
      </c>
      <c r="I162" s="5"/>
      <c r="J162" s="19">
        <v>301.25760000000002</v>
      </c>
      <c r="K162" s="20">
        <v>29.628699999999998</v>
      </c>
      <c r="L162" s="20">
        <v>35.2712</v>
      </c>
      <c r="M162" s="20">
        <v>34.6736</v>
      </c>
      <c r="N162" s="20">
        <v>640.20489999999995</v>
      </c>
      <c r="O162" s="20">
        <f t="shared" si="7"/>
        <v>30.964624999999998</v>
      </c>
      <c r="P162" s="7"/>
      <c r="Q162" s="13"/>
      <c r="R162" s="14"/>
      <c r="S162" s="14"/>
      <c r="T162" s="27"/>
      <c r="U162" s="28">
        <f t="shared" si="8"/>
        <v>1.0778452500730256</v>
      </c>
    </row>
    <row r="163" spans="1:21" x14ac:dyDescent="0.25">
      <c r="B163" s="6" t="s">
        <v>54</v>
      </c>
      <c r="C163" s="15">
        <v>1229.83984375</v>
      </c>
      <c r="D163" s="16">
        <v>32.732999999999997</v>
      </c>
      <c r="E163" s="16">
        <v>38.936</v>
      </c>
      <c r="F163" s="16">
        <v>39.54</v>
      </c>
      <c r="G163" s="16">
        <v>233.43</v>
      </c>
      <c r="H163" s="16">
        <f t="shared" si="6"/>
        <v>34.359249999999996</v>
      </c>
      <c r="I163" s="5"/>
      <c r="J163" s="15">
        <v>1234.7719999999999</v>
      </c>
      <c r="K163" s="16">
        <v>35.172899999999998</v>
      </c>
      <c r="L163" s="16">
        <v>40.443600000000004</v>
      </c>
      <c r="M163" s="16">
        <v>41.311</v>
      </c>
      <c r="N163" s="16">
        <v>396.03960000000001</v>
      </c>
      <c r="O163" s="16">
        <f t="shared" si="7"/>
        <v>36.598999999999997</v>
      </c>
      <c r="P163" s="7"/>
      <c r="Q163" s="8">
        <f>bdrate(C163:C166,D163:D166,J163:J166,K163:K166)</f>
        <v>-0.42733888971295197</v>
      </c>
      <c r="R163" s="8">
        <f>bdrate(C163:C166,E163:E166,J163:J166,L163:L166)</f>
        <v>-0.50103496353545807</v>
      </c>
      <c r="S163" s="8">
        <f>bdrate(C163:C166,F163:F166,J163:J166,M163:M166)</f>
        <v>-0.50489397038129846</v>
      </c>
      <c r="T163" s="25">
        <f>bdrate(C163:C166,H163:H166,J163:J166,O163:O166)</f>
        <v>-0.44341458240205622</v>
      </c>
      <c r="U163" s="28">
        <f t="shared" si="8"/>
        <v>0.69660969027117337</v>
      </c>
    </row>
    <row r="164" spans="1:21" x14ac:dyDescent="0.25">
      <c r="B164" s="9"/>
      <c r="C164" s="17">
        <v>821.720703125</v>
      </c>
      <c r="D164" s="18">
        <v>31.314</v>
      </c>
      <c r="E164" s="18">
        <v>37.890999999999998</v>
      </c>
      <c r="F164" s="18">
        <v>38.375</v>
      </c>
      <c r="G164" s="18">
        <v>254.4</v>
      </c>
      <c r="H164" s="18">
        <f t="shared" si="6"/>
        <v>33.018749999999997</v>
      </c>
      <c r="I164" s="5"/>
      <c r="J164" s="17">
        <v>822.024</v>
      </c>
      <c r="K164" s="18">
        <v>33.608800000000002</v>
      </c>
      <c r="L164" s="18">
        <v>39.474600000000002</v>
      </c>
      <c r="M164" s="18">
        <v>40.2241</v>
      </c>
      <c r="N164" s="18">
        <v>463.32049999999998</v>
      </c>
      <c r="O164" s="18">
        <f t="shared" si="7"/>
        <v>35.168937500000006</v>
      </c>
      <c r="P164" s="7"/>
      <c r="Q164" s="10"/>
      <c r="R164" s="11"/>
      <c r="S164" s="11"/>
      <c r="T164" s="26"/>
      <c r="U164" s="28">
        <f t="shared" si="8"/>
        <v>0.82122838050314451</v>
      </c>
    </row>
    <row r="165" spans="1:21" x14ac:dyDescent="0.25">
      <c r="B165" s="9"/>
      <c r="C165" s="17">
        <v>524.2470703125</v>
      </c>
      <c r="D165" s="18">
        <v>29.611000000000001</v>
      </c>
      <c r="E165" s="18">
        <v>36.686</v>
      </c>
      <c r="F165" s="18">
        <v>36.997999999999998</v>
      </c>
      <c r="G165" s="18">
        <v>277.38</v>
      </c>
      <c r="H165" s="18">
        <f t="shared" si="6"/>
        <v>31.418749999999999</v>
      </c>
      <c r="I165" s="5"/>
      <c r="J165" s="17">
        <v>513.27200000000005</v>
      </c>
      <c r="K165" s="18">
        <v>31.6707</v>
      </c>
      <c r="L165" s="18">
        <v>38.401600000000002</v>
      </c>
      <c r="M165" s="18">
        <v>38.966500000000003</v>
      </c>
      <c r="N165" s="18">
        <v>549.45050000000003</v>
      </c>
      <c r="O165" s="18">
        <f t="shared" si="7"/>
        <v>33.424037500000004</v>
      </c>
      <c r="P165" s="7"/>
      <c r="Q165" s="10"/>
      <c r="R165" s="11"/>
      <c r="S165" s="11"/>
      <c r="T165" s="26"/>
      <c r="U165" s="28">
        <f t="shared" si="8"/>
        <v>0.98085838921335367</v>
      </c>
    </row>
    <row r="166" spans="1:21" ht="16.5" thickBot="1" x14ac:dyDescent="0.3">
      <c r="B166" s="12"/>
      <c r="C166" s="19">
        <v>357.025390625</v>
      </c>
      <c r="D166" s="20">
        <v>28.006</v>
      </c>
      <c r="E166" s="20">
        <v>35.609000000000002</v>
      </c>
      <c r="F166" s="20">
        <v>35.787999999999997</v>
      </c>
      <c r="G166" s="20">
        <v>294.35000000000002</v>
      </c>
      <c r="H166" s="20">
        <f t="shared" si="6"/>
        <v>29.929124999999999</v>
      </c>
      <c r="I166" s="5"/>
      <c r="J166" s="19">
        <v>307.32400000000001</v>
      </c>
      <c r="K166" s="20">
        <v>29.556100000000001</v>
      </c>
      <c r="L166" s="20">
        <v>37.361400000000003</v>
      </c>
      <c r="M166" s="20">
        <v>37.791899999999998</v>
      </c>
      <c r="N166" s="20">
        <v>641.02560000000005</v>
      </c>
      <c r="O166" s="20">
        <f t="shared" si="7"/>
        <v>31.561237500000001</v>
      </c>
      <c r="P166" s="7"/>
      <c r="Q166" s="13"/>
      <c r="R166" s="14"/>
      <c r="S166" s="14"/>
      <c r="T166" s="27"/>
      <c r="U166" s="28">
        <f t="shared" si="8"/>
        <v>1.1777666043825379</v>
      </c>
    </row>
    <row r="167" spans="1:21" x14ac:dyDescent="0.25">
      <c r="B167" s="6" t="s">
        <v>55</v>
      </c>
      <c r="C167" s="15">
        <v>1326.212890625</v>
      </c>
      <c r="D167" s="16">
        <v>28.44</v>
      </c>
      <c r="E167" s="16">
        <v>35.277000000000001</v>
      </c>
      <c r="F167" s="16">
        <v>36.091999999999999</v>
      </c>
      <c r="G167" s="16">
        <v>188.31</v>
      </c>
      <c r="H167" s="16">
        <f t="shared" si="6"/>
        <v>30.251125000000002</v>
      </c>
      <c r="I167" s="5"/>
      <c r="J167" s="15">
        <v>1215.1232</v>
      </c>
      <c r="K167" s="16">
        <v>30.297799999999999</v>
      </c>
      <c r="L167" s="16">
        <v>36.6723</v>
      </c>
      <c r="M167" s="16">
        <v>37.456000000000003</v>
      </c>
      <c r="N167" s="16">
        <v>348.43209999999999</v>
      </c>
      <c r="O167" s="16">
        <f t="shared" si="7"/>
        <v>31.989387499999999</v>
      </c>
      <c r="P167" s="7"/>
      <c r="Q167" s="8">
        <f>bdrate(C167:C170,D167:D170,J167:J170,K167:K170)</f>
        <v>-0.44162635218253654</v>
      </c>
      <c r="R167" s="8">
        <f>bdrate(C167:C170,E167:E170,J167:J170,L167:L170)</f>
        <v>-0.56806907534061712</v>
      </c>
      <c r="S167" s="8">
        <f>bdrate(C167:C170,F167:F170,J167:J170,M167:M170)</f>
        <v>-0.54529479467215158</v>
      </c>
      <c r="T167" s="25">
        <f>bdrate(C167:C170,H167:H170,J167:J170,O167:O170)</f>
        <v>-0.46557659331044832</v>
      </c>
      <c r="U167" s="28">
        <f t="shared" si="8"/>
        <v>0.85031118899686675</v>
      </c>
    </row>
    <row r="168" spans="1:21" x14ac:dyDescent="0.25">
      <c r="B168" s="9"/>
      <c r="C168" s="17">
        <v>905.3251953125</v>
      </c>
      <c r="D168" s="18">
        <v>27.382999999999999</v>
      </c>
      <c r="E168" s="18">
        <v>34.518999999999998</v>
      </c>
      <c r="F168" s="18">
        <v>35.341000000000001</v>
      </c>
      <c r="G168" s="18">
        <v>200.81</v>
      </c>
      <c r="H168" s="18">
        <f t="shared" si="6"/>
        <v>29.269750000000002</v>
      </c>
      <c r="I168" s="5"/>
      <c r="J168" s="17">
        <v>809.06640000000004</v>
      </c>
      <c r="K168" s="18">
        <v>28.9481</v>
      </c>
      <c r="L168" s="18">
        <v>35.876199999999997</v>
      </c>
      <c r="M168" s="18">
        <v>36.647500000000001</v>
      </c>
      <c r="N168" s="18">
        <v>444.8399</v>
      </c>
      <c r="O168" s="18">
        <f t="shared" si="7"/>
        <v>30.7765375</v>
      </c>
      <c r="P168" s="7"/>
      <c r="Q168" s="10"/>
      <c r="R168" s="11"/>
      <c r="S168" s="11"/>
      <c r="T168" s="26"/>
      <c r="U168" s="28">
        <f t="shared" si="8"/>
        <v>1.2152278272994372</v>
      </c>
    </row>
    <row r="169" spans="1:21" x14ac:dyDescent="0.25">
      <c r="B169" s="9"/>
      <c r="C169" s="17">
        <v>568.490234375</v>
      </c>
      <c r="D169" s="18">
        <v>26.164999999999999</v>
      </c>
      <c r="E169" s="18">
        <v>33.625</v>
      </c>
      <c r="F169" s="18">
        <v>34.369999999999997</v>
      </c>
      <c r="G169" s="18">
        <v>217</v>
      </c>
      <c r="H169" s="18">
        <f t="shared" si="6"/>
        <v>28.123125000000002</v>
      </c>
      <c r="I169" s="5"/>
      <c r="J169" s="17">
        <v>507.83440000000002</v>
      </c>
      <c r="K169" s="18">
        <v>27.447800000000001</v>
      </c>
      <c r="L169" s="18">
        <v>34.991999999999997</v>
      </c>
      <c r="M169" s="18">
        <v>35.723199999999999</v>
      </c>
      <c r="N169" s="18">
        <v>501.00200000000001</v>
      </c>
      <c r="O169" s="18">
        <f t="shared" si="7"/>
        <v>29.425249999999998</v>
      </c>
      <c r="P169" s="7"/>
      <c r="Q169" s="10"/>
      <c r="R169" s="11"/>
      <c r="S169" s="11"/>
      <c r="T169" s="26"/>
      <c r="U169" s="28">
        <f t="shared" si="8"/>
        <v>1.3087649769585255</v>
      </c>
    </row>
    <row r="170" spans="1:21" ht="16.5" thickBot="1" x14ac:dyDescent="0.3">
      <c r="B170" s="12"/>
      <c r="C170" s="19">
        <v>366.2333984375</v>
      </c>
      <c r="D170" s="20">
        <v>24.989000000000001</v>
      </c>
      <c r="E170" s="20">
        <v>32.651000000000003</v>
      </c>
      <c r="F170" s="20">
        <v>33.463000000000001</v>
      </c>
      <c r="G170" s="20">
        <v>232.63</v>
      </c>
      <c r="H170" s="20">
        <f t="shared" si="6"/>
        <v>27.006</v>
      </c>
      <c r="I170" s="5"/>
      <c r="J170" s="19">
        <v>305.85359999999997</v>
      </c>
      <c r="K170" s="20">
        <v>25.8734</v>
      </c>
      <c r="L170" s="20">
        <v>34.138399999999997</v>
      </c>
      <c r="M170" s="20">
        <v>34.826799999999999</v>
      </c>
      <c r="N170" s="20">
        <v>561.79780000000005</v>
      </c>
      <c r="O170" s="20">
        <f t="shared" si="7"/>
        <v>28.025699999999997</v>
      </c>
      <c r="P170" s="7"/>
      <c r="Q170" s="13"/>
      <c r="R170" s="14"/>
      <c r="S170" s="14"/>
      <c r="T170" s="27"/>
      <c r="U170" s="28">
        <f t="shared" si="8"/>
        <v>1.4149843098482571</v>
      </c>
    </row>
    <row r="171" spans="1:21" x14ac:dyDescent="0.25">
      <c r="B171" s="6" t="s">
        <v>56</v>
      </c>
      <c r="C171" s="15">
        <v>1162.6240234375</v>
      </c>
      <c r="D171" s="16">
        <v>30.82</v>
      </c>
      <c r="E171" s="16">
        <v>35.447000000000003</v>
      </c>
      <c r="F171" s="16">
        <v>37.020000000000003</v>
      </c>
      <c r="G171" s="16">
        <v>173.25</v>
      </c>
      <c r="H171" s="16">
        <f t="shared" si="6"/>
        <v>32.173375</v>
      </c>
      <c r="I171" s="5"/>
      <c r="J171" s="15">
        <v>1203.9456</v>
      </c>
      <c r="K171" s="16">
        <v>32.360300000000002</v>
      </c>
      <c r="L171" s="16">
        <v>36.856400000000001</v>
      </c>
      <c r="M171" s="16">
        <v>38.395099999999999</v>
      </c>
      <c r="N171" s="16">
        <v>274.7253</v>
      </c>
      <c r="O171" s="16">
        <f t="shared" si="7"/>
        <v>33.676662500000006</v>
      </c>
      <c r="P171" s="7"/>
      <c r="Q171" s="8">
        <f>bdrate(C171:C174,D171:D174,J171:J174,K171:K174)</f>
        <v>-0.30494589370852898</v>
      </c>
      <c r="R171" s="8">
        <f>bdrate(C171:C174,E171:E174,J171:J174,L171:L174)</f>
        <v>-0.51390085949597752</v>
      </c>
      <c r="S171" s="8">
        <f>bdrate(C171:C174,F171:F174,J171:J174,M171:M174)</f>
        <v>-0.50616250961568998</v>
      </c>
      <c r="T171" s="25">
        <f>bdrate(C171:C174,H171:H174,J171:J174,O171:O174)</f>
        <v>-0.350762891091699</v>
      </c>
      <c r="U171" s="28">
        <f t="shared" si="8"/>
        <v>0.5857160173160173</v>
      </c>
    </row>
    <row r="172" spans="1:21" x14ac:dyDescent="0.25">
      <c r="B172" s="9"/>
      <c r="C172" s="17">
        <v>835.6748046875</v>
      </c>
      <c r="D172" s="18">
        <v>29.667999999999999</v>
      </c>
      <c r="E172" s="18">
        <v>34.594000000000001</v>
      </c>
      <c r="F172" s="18">
        <v>36.136000000000003</v>
      </c>
      <c r="G172" s="18">
        <v>187.61</v>
      </c>
      <c r="H172" s="18">
        <f t="shared" si="6"/>
        <v>31.092249999999996</v>
      </c>
      <c r="I172" s="5"/>
      <c r="J172" s="17">
        <v>802.02959999999996</v>
      </c>
      <c r="K172" s="18">
        <v>30.802099999999999</v>
      </c>
      <c r="L172" s="18">
        <v>35.939900000000002</v>
      </c>
      <c r="M172" s="18">
        <v>37.5122</v>
      </c>
      <c r="N172" s="18">
        <v>337.45780000000002</v>
      </c>
      <c r="O172" s="18">
        <f t="shared" si="7"/>
        <v>32.283087500000001</v>
      </c>
      <c r="P172" s="7"/>
      <c r="Q172" s="10"/>
      <c r="R172" s="11"/>
      <c r="S172" s="11"/>
      <c r="T172" s="26"/>
      <c r="U172" s="28">
        <f t="shared" si="8"/>
        <v>0.79871968445178831</v>
      </c>
    </row>
    <row r="173" spans="1:21" x14ac:dyDescent="0.25">
      <c r="B173" s="9"/>
      <c r="C173" s="17">
        <v>558.33203125</v>
      </c>
      <c r="D173" s="18">
        <v>28.263999999999999</v>
      </c>
      <c r="E173" s="18">
        <v>33.500999999999998</v>
      </c>
      <c r="F173" s="18">
        <v>34.899000000000001</v>
      </c>
      <c r="G173" s="18">
        <v>207.77</v>
      </c>
      <c r="H173" s="18">
        <f t="shared" si="6"/>
        <v>29.748000000000001</v>
      </c>
      <c r="I173" s="5"/>
      <c r="J173" s="17">
        <v>500.91359999999997</v>
      </c>
      <c r="K173" s="18">
        <v>29.1203</v>
      </c>
      <c r="L173" s="18">
        <v>35.0274</v>
      </c>
      <c r="M173" s="18">
        <v>36.552500000000002</v>
      </c>
      <c r="N173" s="18">
        <v>401.06950000000001</v>
      </c>
      <c r="O173" s="18">
        <f t="shared" si="7"/>
        <v>30.787712500000001</v>
      </c>
      <c r="P173" s="7"/>
      <c r="Q173" s="10"/>
      <c r="R173" s="11"/>
      <c r="S173" s="11"/>
      <c r="T173" s="26"/>
      <c r="U173" s="28">
        <f t="shared" si="8"/>
        <v>0.93035327525629297</v>
      </c>
    </row>
    <row r="174" spans="1:21" ht="16.5" thickBot="1" x14ac:dyDescent="0.3">
      <c r="B174" s="12"/>
      <c r="C174" s="19">
        <v>361.3974609375</v>
      </c>
      <c r="D174" s="20">
        <v>26.954999999999998</v>
      </c>
      <c r="E174" s="20">
        <v>32.399000000000001</v>
      </c>
      <c r="F174" s="20">
        <v>33.656999999999996</v>
      </c>
      <c r="G174" s="20">
        <v>225.97</v>
      </c>
      <c r="H174" s="20">
        <f t="shared" si="6"/>
        <v>28.47325</v>
      </c>
      <c r="I174" s="5"/>
      <c r="J174" s="19">
        <v>300.15199999999999</v>
      </c>
      <c r="K174" s="20">
        <v>27.5139</v>
      </c>
      <c r="L174" s="20">
        <v>34.097299999999997</v>
      </c>
      <c r="M174" s="20">
        <v>35.533999999999999</v>
      </c>
      <c r="N174" s="20">
        <v>458.01530000000002</v>
      </c>
      <c r="O174" s="20">
        <f t="shared" si="7"/>
        <v>29.339337499999996</v>
      </c>
      <c r="P174" s="7"/>
      <c r="Q174" s="13"/>
      <c r="R174" s="14"/>
      <c r="S174" s="14"/>
      <c r="T174" s="27"/>
      <c r="U174" s="28">
        <f t="shared" si="8"/>
        <v>1.0268854272691066</v>
      </c>
    </row>
    <row r="175" spans="1:21" x14ac:dyDescent="0.25">
      <c r="A175" s="6" t="s">
        <v>41</v>
      </c>
      <c r="B175" s="6" t="s">
        <v>57</v>
      </c>
      <c r="C175" s="15">
        <v>580.1328125</v>
      </c>
      <c r="D175" s="16">
        <v>32.665999999999997</v>
      </c>
      <c r="E175" s="16">
        <v>38.325000000000003</v>
      </c>
      <c r="F175" s="16">
        <v>36.042999999999999</v>
      </c>
      <c r="G175" s="16">
        <v>433.47</v>
      </c>
      <c r="H175" s="16">
        <f t="shared" si="6"/>
        <v>33.795499999999997</v>
      </c>
      <c r="I175" s="5"/>
      <c r="J175" s="15">
        <v>601.71439999999996</v>
      </c>
      <c r="K175" s="16">
        <v>34.334299999999999</v>
      </c>
      <c r="L175" s="16">
        <v>39.618600000000001</v>
      </c>
      <c r="M175" s="16">
        <v>38.152500000000003</v>
      </c>
      <c r="N175" s="16">
        <v>943.39620000000002</v>
      </c>
      <c r="O175" s="16">
        <f t="shared" si="7"/>
        <v>35.472112499999994</v>
      </c>
      <c r="P175" s="7"/>
      <c r="Q175" s="8">
        <f>bdrate(C175:C178,D175:D178,J175:J178,K175:K178)</f>
        <v>-0.24047688753149865</v>
      </c>
      <c r="R175" s="8">
        <f>bdrate(C175:C178,E175:E178,J175:J178,L175:L178)</f>
        <v>-0.398328113922504</v>
      </c>
      <c r="S175" s="8">
        <f>bdrate(C175:C178,F175:F178,J175:J178,M175:M178)</f>
        <v>-0.51842545253648553</v>
      </c>
      <c r="T175" s="25">
        <f>bdrate(C175:C178,H175:H178,J175:J178,O175:O178)</f>
        <v>-0.2916676936759508</v>
      </c>
      <c r="U175" s="28">
        <f t="shared" si="8"/>
        <v>1.1763817565229426</v>
      </c>
    </row>
    <row r="176" spans="1:21" x14ac:dyDescent="0.25">
      <c r="A176" s="9" t="s">
        <v>42</v>
      </c>
      <c r="B176" s="9"/>
      <c r="C176" s="17">
        <v>403.4228515625</v>
      </c>
      <c r="D176" s="18">
        <v>31.222999999999999</v>
      </c>
      <c r="E176" s="18">
        <v>37.334000000000003</v>
      </c>
      <c r="F176" s="18">
        <v>34.86</v>
      </c>
      <c r="G176" s="18">
        <v>466.6</v>
      </c>
      <c r="H176" s="18">
        <f t="shared" si="6"/>
        <v>32.441499999999998</v>
      </c>
      <c r="I176" s="5"/>
      <c r="J176" s="17">
        <v>402.13200000000001</v>
      </c>
      <c r="K176" s="18">
        <v>32.502000000000002</v>
      </c>
      <c r="L176" s="18">
        <v>38.444099999999999</v>
      </c>
      <c r="M176" s="18">
        <v>36.81</v>
      </c>
      <c r="N176" s="18">
        <v>1068.3761</v>
      </c>
      <c r="O176" s="18">
        <f t="shared" si="7"/>
        <v>33.783262499999999</v>
      </c>
      <c r="P176" s="7"/>
      <c r="Q176" s="10"/>
      <c r="R176" s="11"/>
      <c r="S176" s="11"/>
      <c r="T176" s="26"/>
      <c r="U176" s="28">
        <f t="shared" si="8"/>
        <v>1.2897044577796826</v>
      </c>
    </row>
    <row r="177" spans="1:21" x14ac:dyDescent="0.25">
      <c r="B177" s="9"/>
      <c r="C177" s="17">
        <v>258.79296875</v>
      </c>
      <c r="D177" s="18">
        <v>29.582999999999998</v>
      </c>
      <c r="E177" s="18">
        <v>36.131999999999998</v>
      </c>
      <c r="F177" s="18">
        <v>33.456000000000003</v>
      </c>
      <c r="G177" s="18">
        <v>510.56</v>
      </c>
      <c r="H177" s="18">
        <f t="shared" si="6"/>
        <v>30.885750000000002</v>
      </c>
      <c r="I177" s="5"/>
      <c r="J177" s="17">
        <v>252.59280000000001</v>
      </c>
      <c r="K177" s="18">
        <v>30.5428</v>
      </c>
      <c r="L177" s="18">
        <v>37.370399999999997</v>
      </c>
      <c r="M177" s="18">
        <v>35.5595</v>
      </c>
      <c r="N177" s="18">
        <v>1144.1648</v>
      </c>
      <c r="O177" s="18">
        <f t="shared" si="7"/>
        <v>32.023337499999997</v>
      </c>
      <c r="P177" s="7"/>
      <c r="Q177" s="10"/>
      <c r="R177" s="11"/>
      <c r="S177" s="11"/>
      <c r="T177" s="26"/>
      <c r="U177" s="28">
        <f t="shared" si="8"/>
        <v>1.240999686618615</v>
      </c>
    </row>
    <row r="178" spans="1:21" ht="16.5" thickBot="1" x14ac:dyDescent="0.3">
      <c r="B178" s="12"/>
      <c r="C178" s="19">
        <v>139.201171875</v>
      </c>
      <c r="D178" s="20">
        <v>27.431999999999999</v>
      </c>
      <c r="E178" s="20">
        <v>34.439</v>
      </c>
      <c r="F178" s="20">
        <v>31.608000000000001</v>
      </c>
      <c r="G178" s="20">
        <v>569.82000000000005</v>
      </c>
      <c r="H178" s="20">
        <f t="shared" si="6"/>
        <v>28.829874999999998</v>
      </c>
      <c r="I178" s="5"/>
      <c r="J178" s="19">
        <v>121.68640000000001</v>
      </c>
      <c r="K178" s="20">
        <v>27.680599999999998</v>
      </c>
      <c r="L178" s="20">
        <v>35.7547</v>
      </c>
      <c r="M178" s="20">
        <v>33.615299999999998</v>
      </c>
      <c r="N178" s="20">
        <v>1886.7925</v>
      </c>
      <c r="O178" s="20">
        <f t="shared" si="7"/>
        <v>29.431699999999999</v>
      </c>
      <c r="P178" s="7"/>
      <c r="Q178" s="13"/>
      <c r="R178" s="14"/>
      <c r="S178" s="14"/>
      <c r="T178" s="27"/>
      <c r="U178" s="28">
        <f t="shared" si="8"/>
        <v>2.3112079253097466</v>
      </c>
    </row>
    <row r="179" spans="1:21" x14ac:dyDescent="0.25">
      <c r="B179" s="6" t="s">
        <v>58</v>
      </c>
      <c r="C179" s="15">
        <v>639.7802734375</v>
      </c>
      <c r="D179" s="16">
        <v>29.722999999999999</v>
      </c>
      <c r="E179" s="16">
        <v>39.828000000000003</v>
      </c>
      <c r="F179" s="16">
        <v>40.57</v>
      </c>
      <c r="G179" s="16">
        <v>400.34</v>
      </c>
      <c r="H179" s="16">
        <f t="shared" si="6"/>
        <v>32.341999999999999</v>
      </c>
      <c r="I179" s="5"/>
      <c r="J179" s="15">
        <v>599.44719999999995</v>
      </c>
      <c r="K179" s="16">
        <v>33.597000000000001</v>
      </c>
      <c r="L179" s="16">
        <v>41.282699999999998</v>
      </c>
      <c r="M179" s="16">
        <v>42.087200000000003</v>
      </c>
      <c r="N179" s="16">
        <v>1129.9435000000001</v>
      </c>
      <c r="O179" s="16">
        <f t="shared" si="7"/>
        <v>35.618987500000003</v>
      </c>
      <c r="P179" s="7"/>
      <c r="Q179" s="8">
        <f>bdrate(C179:C182,D179:D182,J179:J182,K179:K182)</f>
        <v>-0.69667836247039061</v>
      </c>
      <c r="R179" s="8">
        <f>bdrate(C179:C182,E179:E182,J179:J182,L179:L182)</f>
        <v>-0.49244800756986584</v>
      </c>
      <c r="S179" s="8">
        <f>bdrate(C179:C182,F179:F182,J179:J182,M179:M182)</f>
        <v>-0.48870698976657789</v>
      </c>
      <c r="T179" s="25">
        <f>bdrate(C179:C182,H179:H182,J179:J182,O179:O182)</f>
        <v>-0.66996640861209789</v>
      </c>
      <c r="U179" s="28">
        <f t="shared" si="8"/>
        <v>1.8224596592896043</v>
      </c>
    </row>
    <row r="180" spans="1:21" x14ac:dyDescent="0.25">
      <c r="B180" s="9"/>
      <c r="C180" s="17">
        <v>436.140625</v>
      </c>
      <c r="D180" s="18">
        <v>28.638999999999999</v>
      </c>
      <c r="E180" s="18">
        <v>39.195</v>
      </c>
      <c r="F180" s="18">
        <v>39.831000000000003</v>
      </c>
      <c r="G180" s="18">
        <v>422.09</v>
      </c>
      <c r="H180" s="18">
        <f t="shared" si="6"/>
        <v>31.357500000000002</v>
      </c>
      <c r="I180" s="5"/>
      <c r="J180" s="17">
        <v>398.89839999999998</v>
      </c>
      <c r="K180" s="18">
        <v>32.302500000000002</v>
      </c>
      <c r="L180" s="18">
        <v>40.409300000000002</v>
      </c>
      <c r="M180" s="18">
        <v>41.160200000000003</v>
      </c>
      <c r="N180" s="18">
        <v>1282.0513000000001</v>
      </c>
      <c r="O180" s="18">
        <f t="shared" si="7"/>
        <v>34.4230625</v>
      </c>
      <c r="P180" s="7"/>
      <c r="Q180" s="10"/>
      <c r="R180" s="11"/>
      <c r="S180" s="11"/>
      <c r="T180" s="26"/>
      <c r="U180" s="28">
        <f t="shared" si="8"/>
        <v>2.0373884716529655</v>
      </c>
    </row>
    <row r="181" spans="1:21" x14ac:dyDescent="0.25">
      <c r="B181" s="9"/>
      <c r="C181" s="17">
        <v>272.6572265625</v>
      </c>
      <c r="D181" s="18">
        <v>27.41</v>
      </c>
      <c r="E181" s="18">
        <v>38.424999999999997</v>
      </c>
      <c r="F181" s="18">
        <v>38.987000000000002</v>
      </c>
      <c r="G181" s="18">
        <v>446.27</v>
      </c>
      <c r="H181" s="18">
        <f t="shared" si="6"/>
        <v>30.233999999999998</v>
      </c>
      <c r="I181" s="5"/>
      <c r="J181" s="17">
        <v>249.5624</v>
      </c>
      <c r="K181" s="18">
        <v>30.7806</v>
      </c>
      <c r="L181" s="18">
        <v>39.431699999999999</v>
      </c>
      <c r="M181" s="18">
        <v>40.055700000000002</v>
      </c>
      <c r="N181" s="18">
        <v>1538.4614999999999</v>
      </c>
      <c r="O181" s="18">
        <f t="shared" si="7"/>
        <v>33.021375000000006</v>
      </c>
      <c r="P181" s="7"/>
      <c r="Q181" s="10"/>
      <c r="R181" s="11"/>
      <c r="S181" s="11"/>
      <c r="T181" s="26"/>
      <c r="U181" s="28">
        <f t="shared" si="8"/>
        <v>2.4473782687610637</v>
      </c>
    </row>
    <row r="182" spans="1:21" ht="16.5" thickBot="1" x14ac:dyDescent="0.3">
      <c r="B182" s="12"/>
      <c r="C182" s="19">
        <v>131.091796875</v>
      </c>
      <c r="D182" s="20">
        <v>25.457999999999998</v>
      </c>
      <c r="E182" s="20">
        <v>37.393999999999998</v>
      </c>
      <c r="F182" s="20">
        <v>37.57</v>
      </c>
      <c r="G182" s="20">
        <v>501.28</v>
      </c>
      <c r="H182" s="20">
        <f t="shared" si="6"/>
        <v>28.463999999999999</v>
      </c>
      <c r="I182" s="5"/>
      <c r="J182" s="19">
        <v>120.2304</v>
      </c>
      <c r="K182" s="20">
        <v>28.193300000000001</v>
      </c>
      <c r="L182" s="20">
        <v>38.144399999999997</v>
      </c>
      <c r="M182" s="20">
        <v>38.719000000000001</v>
      </c>
      <c r="N182" s="20">
        <v>1749.2710999999999</v>
      </c>
      <c r="O182" s="20">
        <f t="shared" si="7"/>
        <v>30.7529</v>
      </c>
      <c r="P182" s="7"/>
      <c r="Q182" s="13"/>
      <c r="R182" s="14"/>
      <c r="S182" s="14"/>
      <c r="T182" s="27"/>
      <c r="U182" s="28">
        <f t="shared" si="8"/>
        <v>2.4896088014682412</v>
      </c>
    </row>
    <row r="183" spans="1:21" x14ac:dyDescent="0.25">
      <c r="B183" s="6" t="s">
        <v>59</v>
      </c>
      <c r="C183" s="29">
        <v>648.056640625</v>
      </c>
      <c r="D183" s="30">
        <v>30.600999999999999</v>
      </c>
      <c r="E183" s="30">
        <v>36.307000000000002</v>
      </c>
      <c r="F183" s="30">
        <v>37.051000000000002</v>
      </c>
      <c r="G183" s="16">
        <v>391.9</v>
      </c>
      <c r="H183" s="16">
        <f t="shared" si="6"/>
        <v>32.1205</v>
      </c>
      <c r="I183" s="5"/>
      <c r="J183" s="29">
        <v>638.72</v>
      </c>
      <c r="K183" s="30">
        <v>33.088999999999999</v>
      </c>
      <c r="L183" s="30">
        <v>38.058</v>
      </c>
      <c r="M183" s="30">
        <v>38.820099999999996</v>
      </c>
      <c r="N183" s="16">
        <v>915.7509</v>
      </c>
      <c r="O183" s="16">
        <f t="shared" si="7"/>
        <v>34.426512500000001</v>
      </c>
      <c r="P183" s="7"/>
      <c r="Q183" s="8">
        <f>bdrate(C183:C186,D183:D186,J183:J186,K183:K186)</f>
        <v>-0.44892576303440346</v>
      </c>
      <c r="R183" s="8">
        <f>bdrate(C183:C186,E183:E186,J183:J186,L183:L186)</f>
        <v>-0.52628022613663905</v>
      </c>
      <c r="S183" s="8">
        <f>bdrate(C183:C186,F183:F186,J183:J186,M183:M186)</f>
        <v>-0.52739725408354632</v>
      </c>
      <c r="T183" s="25">
        <f>bdrate(C183:C186,H183:H186,J183:J186,O183:O186)</f>
        <v>-0.46704167425632082</v>
      </c>
      <c r="U183" s="28">
        <f t="shared" si="8"/>
        <v>1.3366953304414393</v>
      </c>
    </row>
    <row r="184" spans="1:21" x14ac:dyDescent="0.25">
      <c r="B184" s="9"/>
      <c r="C184" s="31">
        <v>441.921875</v>
      </c>
      <c r="D184" s="32">
        <v>29.454999999999998</v>
      </c>
      <c r="E184" s="32">
        <v>35.328000000000003</v>
      </c>
      <c r="F184" s="32">
        <v>36.031999999999996</v>
      </c>
      <c r="G184" s="18">
        <v>411.92</v>
      </c>
      <c r="H184" s="18">
        <f t="shared" si="6"/>
        <v>31.011249999999997</v>
      </c>
      <c r="I184" s="5"/>
      <c r="J184" s="31">
        <v>427.41120000000001</v>
      </c>
      <c r="K184" s="32">
        <v>31.593499999999999</v>
      </c>
      <c r="L184" s="32">
        <v>37.042499999999997</v>
      </c>
      <c r="M184" s="32">
        <v>37.793399999999998</v>
      </c>
      <c r="N184" s="18">
        <v>1144.1648</v>
      </c>
      <c r="O184" s="18">
        <f t="shared" si="7"/>
        <v>33.049612499999995</v>
      </c>
      <c r="P184" s="7"/>
      <c r="Q184" s="10"/>
      <c r="R184" s="11"/>
      <c r="S184" s="11"/>
      <c r="T184" s="26"/>
      <c r="U184" s="28">
        <f t="shared" si="8"/>
        <v>1.7776383763837635</v>
      </c>
    </row>
    <row r="185" spans="1:21" x14ac:dyDescent="0.25">
      <c r="B185" s="9"/>
      <c r="C185" s="31">
        <v>279.0693359375</v>
      </c>
      <c r="D185" s="32">
        <v>28.202999999999999</v>
      </c>
      <c r="E185" s="32">
        <v>34.328000000000003</v>
      </c>
      <c r="F185" s="32">
        <v>35</v>
      </c>
      <c r="G185" s="18">
        <v>436.15</v>
      </c>
      <c r="H185" s="18">
        <f t="shared" si="6"/>
        <v>29.818249999999999</v>
      </c>
      <c r="I185" s="5"/>
      <c r="J185" s="31">
        <v>264.94880000000001</v>
      </c>
      <c r="K185" s="32">
        <v>29.853300000000001</v>
      </c>
      <c r="L185" s="32">
        <v>35.845399999999998</v>
      </c>
      <c r="M185" s="32">
        <v>36.535800000000002</v>
      </c>
      <c r="N185" s="18">
        <v>1333.3333</v>
      </c>
      <c r="O185" s="18">
        <f t="shared" si="7"/>
        <v>31.437624999999997</v>
      </c>
      <c r="P185" s="7"/>
      <c r="Q185" s="10"/>
      <c r="R185" s="11"/>
      <c r="S185" s="11"/>
      <c r="T185" s="26"/>
      <c r="U185" s="28">
        <f t="shared" si="8"/>
        <v>2.0570521609538006</v>
      </c>
    </row>
    <row r="186" spans="1:21" ht="16.5" thickBot="1" x14ac:dyDescent="0.3">
      <c r="B186" s="12"/>
      <c r="C186" s="33">
        <v>134.6240234375</v>
      </c>
      <c r="D186" s="34">
        <v>26.349</v>
      </c>
      <c r="E186" s="34">
        <v>32.901000000000003</v>
      </c>
      <c r="F186" s="34">
        <v>33.56</v>
      </c>
      <c r="G186" s="20">
        <v>484.68</v>
      </c>
      <c r="H186" s="20">
        <f t="shared" si="6"/>
        <v>28.069375000000001</v>
      </c>
      <c r="I186" s="5"/>
      <c r="J186" s="33">
        <v>127.00320000000001</v>
      </c>
      <c r="K186" s="34">
        <v>27.4345</v>
      </c>
      <c r="L186" s="34">
        <v>34.3414</v>
      </c>
      <c r="M186" s="34">
        <v>35.111899999999999</v>
      </c>
      <c r="N186" s="20">
        <v>1779.3594000000001</v>
      </c>
      <c r="O186" s="20">
        <f t="shared" si="7"/>
        <v>29.257537499999998</v>
      </c>
      <c r="P186" s="7"/>
      <c r="Q186" s="13"/>
      <c r="R186" s="14"/>
      <c r="S186" s="14"/>
      <c r="T186" s="27"/>
      <c r="U186" s="28">
        <f t="shared" si="8"/>
        <v>2.671204506065858</v>
      </c>
    </row>
    <row r="187" spans="1:21" x14ac:dyDescent="0.25">
      <c r="B187" s="6" t="s">
        <v>60</v>
      </c>
      <c r="C187" s="15">
        <v>589.5283203125</v>
      </c>
      <c r="D187" s="16">
        <v>32.191000000000003</v>
      </c>
      <c r="E187" s="16">
        <v>36.058</v>
      </c>
      <c r="F187" s="16">
        <v>37.139000000000003</v>
      </c>
      <c r="G187" s="16">
        <v>350.75</v>
      </c>
      <c r="H187" s="16">
        <f t="shared" si="6"/>
        <v>33.292875000000002</v>
      </c>
      <c r="I187" s="5"/>
      <c r="J187" s="15">
        <v>601.66639999999995</v>
      </c>
      <c r="K187" s="16">
        <v>33.9315</v>
      </c>
      <c r="L187" s="16">
        <v>37.709499999999998</v>
      </c>
      <c r="M187" s="16">
        <v>38.797600000000003</v>
      </c>
      <c r="N187" s="16">
        <v>601.20240000000001</v>
      </c>
      <c r="O187" s="16">
        <f t="shared" si="7"/>
        <v>35.012012499999997</v>
      </c>
      <c r="P187" s="7"/>
      <c r="Q187" s="8">
        <f>bdrate(C187:C190,D187:D190,J187:J190,K187:K190)</f>
        <v>-0.28586831716740069</v>
      </c>
      <c r="R187" s="8">
        <f>bdrate(C187:C190,E187:E190,J187:J190,L187:L190)</f>
        <v>-0.48331433386743428</v>
      </c>
      <c r="S187" s="8">
        <f>bdrate(C187:C190,F187:F190,J187:J190,M187:M190)</f>
        <v>-0.46615593638396413</v>
      </c>
      <c r="T187" s="25">
        <f>bdrate(C187:C190,H187:H190,J187:J190,O187:O190)</f>
        <v>-0.32788008050316297</v>
      </c>
      <c r="U187" s="28">
        <f t="shared" si="8"/>
        <v>0.71404818246614399</v>
      </c>
    </row>
    <row r="188" spans="1:21" x14ac:dyDescent="0.25">
      <c r="B188" s="9"/>
      <c r="C188" s="17">
        <v>423.3896484375</v>
      </c>
      <c r="D188" s="18">
        <v>30.899000000000001</v>
      </c>
      <c r="E188" s="18">
        <v>35.106999999999999</v>
      </c>
      <c r="F188" s="18">
        <v>36.218000000000004</v>
      </c>
      <c r="G188" s="18">
        <v>371.79</v>
      </c>
      <c r="H188" s="18">
        <f t="shared" si="6"/>
        <v>32.089874999999999</v>
      </c>
      <c r="I188" s="5"/>
      <c r="J188" s="17">
        <v>401.01440000000002</v>
      </c>
      <c r="K188" s="18">
        <v>32.0914</v>
      </c>
      <c r="L188" s="18">
        <v>36.545400000000001</v>
      </c>
      <c r="M188" s="18">
        <v>37.635399999999997</v>
      </c>
      <c r="N188" s="18">
        <v>769.23080000000004</v>
      </c>
      <c r="O188" s="18">
        <f t="shared" si="7"/>
        <v>33.341149999999999</v>
      </c>
      <c r="P188" s="7"/>
      <c r="Q188" s="10"/>
      <c r="R188" s="11"/>
      <c r="S188" s="11"/>
      <c r="T188" s="26"/>
      <c r="U188" s="28">
        <f t="shared" si="8"/>
        <v>1.068992710938971</v>
      </c>
    </row>
    <row r="189" spans="1:21" x14ac:dyDescent="0.25">
      <c r="B189" s="9"/>
      <c r="C189" s="17">
        <v>281.4755859375</v>
      </c>
      <c r="D189" s="18">
        <v>29.41</v>
      </c>
      <c r="E189" s="18">
        <v>33.979999999999997</v>
      </c>
      <c r="F189" s="18">
        <v>35.069000000000003</v>
      </c>
      <c r="G189" s="18">
        <v>403.05</v>
      </c>
      <c r="H189" s="18">
        <f t="shared" si="6"/>
        <v>30.688625000000002</v>
      </c>
      <c r="I189" s="5"/>
      <c r="J189" s="17">
        <v>251.14879999999999</v>
      </c>
      <c r="K189" s="18">
        <v>30.194500000000001</v>
      </c>
      <c r="L189" s="18">
        <v>35.350999999999999</v>
      </c>
      <c r="M189" s="18">
        <v>36.377800000000001</v>
      </c>
      <c r="N189" s="18">
        <v>917.43119999999999</v>
      </c>
      <c r="O189" s="18">
        <f t="shared" si="7"/>
        <v>31.611975000000001</v>
      </c>
      <c r="P189" s="7"/>
      <c r="Q189" s="10"/>
      <c r="R189" s="11"/>
      <c r="S189" s="11"/>
      <c r="T189" s="26"/>
      <c r="U189" s="28">
        <f t="shared" si="8"/>
        <v>1.276221808708597</v>
      </c>
    </row>
    <row r="190" spans="1:21" ht="16.5" thickBot="1" x14ac:dyDescent="0.3">
      <c r="B190" s="12"/>
      <c r="C190" s="19">
        <v>140.935546875</v>
      </c>
      <c r="D190" s="20">
        <v>27.11</v>
      </c>
      <c r="E190" s="20">
        <v>32.149000000000001</v>
      </c>
      <c r="F190" s="20">
        <v>33.097000000000001</v>
      </c>
      <c r="G190" s="20">
        <v>459.53</v>
      </c>
      <c r="H190" s="20">
        <f t="shared" si="6"/>
        <v>28.488250000000001</v>
      </c>
      <c r="I190" s="5"/>
      <c r="J190" s="19">
        <v>120.71120000000001</v>
      </c>
      <c r="K190" s="20">
        <v>27.676100000000002</v>
      </c>
      <c r="L190" s="20">
        <v>33.878799999999998</v>
      </c>
      <c r="M190" s="20">
        <v>34.846400000000003</v>
      </c>
      <c r="N190" s="20">
        <v>1282.0513000000001</v>
      </c>
      <c r="O190" s="20">
        <f t="shared" si="7"/>
        <v>29.347725000000004</v>
      </c>
      <c r="P190" s="7"/>
      <c r="Q190" s="13"/>
      <c r="R190" s="14"/>
      <c r="S190" s="14"/>
      <c r="T190" s="27"/>
      <c r="U190" s="28">
        <f t="shared" si="8"/>
        <v>1.7899186124953761</v>
      </c>
    </row>
    <row r="191" spans="1:21" x14ac:dyDescent="0.25">
      <c r="A191" s="6" t="s">
        <v>43</v>
      </c>
      <c r="B191" s="6" t="s">
        <v>61</v>
      </c>
      <c r="C191" s="15">
        <v>1497.3505859375</v>
      </c>
      <c r="D191" s="16">
        <v>39.994</v>
      </c>
      <c r="E191" s="16">
        <v>45.09</v>
      </c>
      <c r="F191" s="16">
        <v>46.256</v>
      </c>
      <c r="G191" s="16">
        <v>205.97</v>
      </c>
      <c r="H191" s="16">
        <f t="shared" si="6"/>
        <v>41.413749999999993</v>
      </c>
      <c r="I191" s="5"/>
      <c r="J191" s="15">
        <v>1495.9087999999999</v>
      </c>
      <c r="K191" s="16">
        <v>41.340699999999998</v>
      </c>
      <c r="L191" s="16">
        <v>45.598199999999999</v>
      </c>
      <c r="M191" s="16">
        <v>46.769799999999996</v>
      </c>
      <c r="N191" s="16">
        <v>268.93770000000001</v>
      </c>
      <c r="O191" s="16">
        <f t="shared" si="7"/>
        <v>42.551524999999998</v>
      </c>
      <c r="P191" s="7"/>
      <c r="Q191" s="8">
        <f>bdrate(C191:C194,D191:D194,J191:J194,K191:K194)</f>
        <v>-0.33788420862659807</v>
      </c>
      <c r="R191" s="8">
        <f>bdrate(C191:C194,E191:E194,J191:J194,L191:L194)</f>
        <v>-0.24011630830772035</v>
      </c>
      <c r="S191" s="8">
        <f>bdrate(C191:C194,F191:F194,J191:J194,M191:M194)</f>
        <v>-0.23638532563762471</v>
      </c>
      <c r="T191" s="25">
        <f>bdrate(C191:C194,H191:H194,J191:J194,O191:O194)</f>
        <v>-0.32040918599805546</v>
      </c>
      <c r="U191" s="28">
        <f t="shared" si="8"/>
        <v>0.30571296790794777</v>
      </c>
    </row>
    <row r="192" spans="1:21" x14ac:dyDescent="0.25">
      <c r="A192" s="9" t="s">
        <v>44</v>
      </c>
      <c r="B192" s="9"/>
      <c r="C192" s="17">
        <v>1001.3349609375</v>
      </c>
      <c r="D192" s="18">
        <v>38.713000000000001</v>
      </c>
      <c r="E192" s="18">
        <v>44.073</v>
      </c>
      <c r="F192" s="18">
        <v>45.215000000000003</v>
      </c>
      <c r="G192" s="18">
        <v>218.74</v>
      </c>
      <c r="H192" s="18">
        <f t="shared" si="6"/>
        <v>40.195750000000004</v>
      </c>
      <c r="I192" s="5"/>
      <c r="J192" s="17">
        <v>986.1232</v>
      </c>
      <c r="K192" s="18">
        <v>40.185299999999998</v>
      </c>
      <c r="L192" s="18">
        <v>44.640700000000002</v>
      </c>
      <c r="M192" s="18">
        <v>45.801099999999998</v>
      </c>
      <c r="N192" s="18">
        <v>307.69229999999999</v>
      </c>
      <c r="O192" s="18">
        <f t="shared" si="7"/>
        <v>41.444200000000002</v>
      </c>
      <c r="P192" s="7"/>
      <c r="Q192" s="10"/>
      <c r="R192" s="11"/>
      <c r="S192" s="11"/>
      <c r="T192" s="26"/>
      <c r="U192" s="28">
        <f t="shared" si="8"/>
        <v>0.4066576757794641</v>
      </c>
    </row>
    <row r="193" spans="1:21" x14ac:dyDescent="0.25">
      <c r="B193" s="9"/>
      <c r="C193" s="17">
        <v>601.8681640625</v>
      </c>
      <c r="D193" s="18">
        <v>36.634999999999998</v>
      </c>
      <c r="E193" s="18">
        <v>42.488999999999997</v>
      </c>
      <c r="F193" s="18">
        <v>43.558</v>
      </c>
      <c r="G193" s="18">
        <v>228.94</v>
      </c>
      <c r="H193" s="18">
        <f t="shared" si="6"/>
        <v>38.232124999999996</v>
      </c>
      <c r="I193" s="5"/>
      <c r="J193" s="17">
        <v>577.85919999999999</v>
      </c>
      <c r="K193" s="18">
        <v>38.190800000000003</v>
      </c>
      <c r="L193" s="18">
        <v>43.1785</v>
      </c>
      <c r="M193" s="18">
        <v>44.244199999999999</v>
      </c>
      <c r="N193" s="18">
        <v>325.90980000000002</v>
      </c>
      <c r="O193" s="18">
        <f t="shared" si="7"/>
        <v>39.570937499999999</v>
      </c>
      <c r="P193" s="7"/>
      <c r="Q193" s="10"/>
      <c r="R193" s="11"/>
      <c r="S193" s="11"/>
      <c r="T193" s="26"/>
      <c r="U193" s="28">
        <f t="shared" si="8"/>
        <v>0.42355988468594402</v>
      </c>
    </row>
    <row r="194" spans="1:21" ht="16.5" thickBot="1" x14ac:dyDescent="0.3">
      <c r="B194" s="12"/>
      <c r="C194" s="19">
        <v>302.0390625</v>
      </c>
      <c r="D194" s="20">
        <v>33.006</v>
      </c>
      <c r="E194" s="20">
        <v>39.960999999999999</v>
      </c>
      <c r="F194" s="20">
        <v>40.743000000000002</v>
      </c>
      <c r="G194" s="20">
        <v>254.7</v>
      </c>
      <c r="H194" s="20">
        <f t="shared" si="6"/>
        <v>34.842500000000001</v>
      </c>
      <c r="I194" s="5"/>
      <c r="J194" s="19">
        <v>282.10559999999998</v>
      </c>
      <c r="K194" s="20">
        <v>34.839700000000001</v>
      </c>
      <c r="L194" s="20">
        <v>41.195599999999999</v>
      </c>
      <c r="M194" s="20">
        <v>42.197299999999998</v>
      </c>
      <c r="N194" s="20">
        <v>380.71069999999997</v>
      </c>
      <c r="O194" s="20">
        <f t="shared" si="7"/>
        <v>36.553887500000002</v>
      </c>
      <c r="P194" s="7"/>
      <c r="Q194" s="13"/>
      <c r="R194" s="14"/>
      <c r="S194" s="14"/>
      <c r="T194" s="27"/>
      <c r="U194" s="28">
        <f t="shared" si="8"/>
        <v>0.49474165685119748</v>
      </c>
    </row>
    <row r="195" spans="1:21" x14ac:dyDescent="0.25">
      <c r="B195" s="6" t="s">
        <v>62</v>
      </c>
      <c r="C195" s="15">
        <v>1506.7958984375</v>
      </c>
      <c r="D195" s="16">
        <v>41.268999999999998</v>
      </c>
      <c r="E195" s="16">
        <v>47.134</v>
      </c>
      <c r="F195" s="16">
        <v>47.774000000000001</v>
      </c>
      <c r="G195" s="16">
        <v>172.12</v>
      </c>
      <c r="H195" s="16">
        <f t="shared" si="6"/>
        <v>42.815249999999999</v>
      </c>
      <c r="I195" s="5"/>
      <c r="J195" s="15">
        <v>1478.4376</v>
      </c>
      <c r="K195" s="16">
        <v>42.602699999999999</v>
      </c>
      <c r="L195" s="16">
        <v>47.613599999999998</v>
      </c>
      <c r="M195" s="16">
        <v>48.302799999999998</v>
      </c>
      <c r="N195" s="16">
        <v>300.45069999999998</v>
      </c>
      <c r="O195" s="16">
        <f t="shared" si="7"/>
        <v>43.941575</v>
      </c>
      <c r="P195" s="7"/>
      <c r="Q195" s="8">
        <f>bdrate(C195:C198,D195:D198,J195:J198,K195:K198)</f>
        <v>-0.53885038535588703</v>
      </c>
      <c r="R195" s="8">
        <f>bdrate(C195:C198,E195:E198,J195:J198,L195:L198)</f>
        <v>-0.37000580361470869</v>
      </c>
      <c r="S195" s="8">
        <f>bdrate(C195:C198,F195:F198,J195:J198,M195:M198)</f>
        <v>-0.36041424360902674</v>
      </c>
      <c r="T195" s="25">
        <f>bdrate(C195:C198,H195:H198,J195:J198,O195:O198)</f>
        <v>-0.50126576105847787</v>
      </c>
      <c r="U195" s="28">
        <f t="shared" ref="U195:U246" si="9">(N195-G195)/G195</f>
        <v>0.74558854287706233</v>
      </c>
    </row>
    <row r="196" spans="1:21" x14ac:dyDescent="0.25">
      <c r="B196" s="9"/>
      <c r="C196" s="17">
        <v>999.5673828125</v>
      </c>
      <c r="D196" s="18">
        <v>40.593000000000004</v>
      </c>
      <c r="E196" s="18">
        <v>46.487000000000002</v>
      </c>
      <c r="F196" s="18">
        <v>47.093000000000004</v>
      </c>
      <c r="G196" s="18">
        <v>200.53</v>
      </c>
      <c r="H196" s="18">
        <f t="shared" si="6"/>
        <v>42.142250000000004</v>
      </c>
      <c r="I196" s="5"/>
      <c r="J196" s="17">
        <v>972.40719999999999</v>
      </c>
      <c r="K196" s="18">
        <v>42.05</v>
      </c>
      <c r="L196" s="18">
        <v>47.131399999999999</v>
      </c>
      <c r="M196" s="18">
        <v>47.773499999999999</v>
      </c>
      <c r="N196" s="18">
        <v>343.44589999999999</v>
      </c>
      <c r="O196" s="18">
        <f t="shared" si="7"/>
        <v>43.400612500000001</v>
      </c>
      <c r="P196" s="7"/>
      <c r="Q196" s="10"/>
      <c r="R196" s="11"/>
      <c r="S196" s="11"/>
      <c r="T196" s="26"/>
      <c r="U196" s="28">
        <f t="shared" si="9"/>
        <v>0.71269086919662894</v>
      </c>
    </row>
    <row r="197" spans="1:21" x14ac:dyDescent="0.25">
      <c r="B197" s="9"/>
      <c r="C197" s="17">
        <v>603.232421875</v>
      </c>
      <c r="D197" s="18">
        <v>39.481000000000002</v>
      </c>
      <c r="E197" s="18">
        <v>45.271000000000001</v>
      </c>
      <c r="F197" s="18">
        <v>45.871000000000002</v>
      </c>
      <c r="G197" s="18">
        <v>216.83</v>
      </c>
      <c r="H197" s="18">
        <f t="shared" si="6"/>
        <v>41.003500000000003</v>
      </c>
      <c r="I197" s="5"/>
      <c r="J197" s="17">
        <v>573.55920000000003</v>
      </c>
      <c r="K197" s="18">
        <v>41.119100000000003</v>
      </c>
      <c r="L197" s="18">
        <v>46.216500000000003</v>
      </c>
      <c r="M197" s="18">
        <v>46.797499999999999</v>
      </c>
      <c r="N197" s="18">
        <v>377.12130000000002</v>
      </c>
      <c r="O197" s="18">
        <f t="shared" si="7"/>
        <v>42.466075000000004</v>
      </c>
      <c r="P197" s="7"/>
      <c r="Q197" s="10"/>
      <c r="R197" s="11"/>
      <c r="S197" s="11"/>
      <c r="T197" s="26"/>
      <c r="U197" s="28">
        <f t="shared" si="9"/>
        <v>0.73924872019554488</v>
      </c>
    </row>
    <row r="198" spans="1:21" ht="16.5" thickBot="1" x14ac:dyDescent="0.3">
      <c r="B198" s="12"/>
      <c r="C198" s="19">
        <v>296.3916015625</v>
      </c>
      <c r="D198" s="20">
        <v>37.203000000000003</v>
      </c>
      <c r="E198" s="20">
        <v>43.01</v>
      </c>
      <c r="F198" s="20">
        <v>43.469000000000001</v>
      </c>
      <c r="G198" s="20">
        <v>239.34</v>
      </c>
      <c r="H198" s="20">
        <f t="shared" si="6"/>
        <v>38.712125</v>
      </c>
      <c r="I198" s="5"/>
      <c r="J198" s="19">
        <v>277.096</v>
      </c>
      <c r="K198" s="20">
        <v>39.242400000000004</v>
      </c>
      <c r="L198" s="20">
        <v>44.553400000000003</v>
      </c>
      <c r="M198" s="20">
        <v>45.053600000000003</v>
      </c>
      <c r="N198" s="20">
        <v>404.31270000000001</v>
      </c>
      <c r="O198" s="20">
        <f t="shared" si="7"/>
        <v>40.632675000000006</v>
      </c>
      <c r="P198" s="7"/>
      <c r="Q198" s="13"/>
      <c r="R198" s="14"/>
      <c r="S198" s="14"/>
      <c r="T198" s="27"/>
      <c r="U198" s="28">
        <f t="shared" si="9"/>
        <v>0.68928177488092257</v>
      </c>
    </row>
    <row r="199" spans="1:21" x14ac:dyDescent="0.25">
      <c r="B199" s="6" t="s">
        <v>63</v>
      </c>
      <c r="C199" s="15">
        <v>1500.056640625</v>
      </c>
      <c r="D199" s="16">
        <v>41.063000000000002</v>
      </c>
      <c r="E199" s="16">
        <v>46.079000000000001</v>
      </c>
      <c r="F199" s="16">
        <v>46.933999999999997</v>
      </c>
      <c r="G199" s="16">
        <v>198.92</v>
      </c>
      <c r="H199" s="16">
        <f t="shared" si="6"/>
        <v>42.423874999999995</v>
      </c>
      <c r="I199" s="5"/>
      <c r="J199" s="15">
        <v>1539.4184</v>
      </c>
      <c r="K199" s="16">
        <v>42.490200000000002</v>
      </c>
      <c r="L199" s="16">
        <v>46.751100000000001</v>
      </c>
      <c r="M199" s="16">
        <v>47.616100000000003</v>
      </c>
      <c r="N199" s="16">
        <v>252.84450000000001</v>
      </c>
      <c r="O199" s="16">
        <f t="shared" si="7"/>
        <v>43.663550000000001</v>
      </c>
      <c r="P199" s="7"/>
      <c r="Q199" s="8">
        <f>bdrate(C199:C202,D199:D202,J199:J202,K199:K202)</f>
        <v>-0.44863802598242863</v>
      </c>
      <c r="R199" s="8">
        <f>bdrate(C199:C202,E199:E202,J199:J202,L199:L202)</f>
        <v>-0.30731117747347347</v>
      </c>
      <c r="S199" s="8">
        <f>bdrate(C199:C202,F199:F202,J199:J202,M199:M202)</f>
        <v>-0.30256452368468856</v>
      </c>
      <c r="T199" s="25">
        <f>bdrate(C199:C202,H199:H202,J199:J202,O199:O202)</f>
        <v>-0.42022137600695231</v>
      </c>
      <c r="U199" s="28">
        <f t="shared" si="9"/>
        <v>0.27108636637844374</v>
      </c>
    </row>
    <row r="200" spans="1:21" x14ac:dyDescent="0.25">
      <c r="B200" s="9"/>
      <c r="C200" s="17">
        <v>1003.35546875</v>
      </c>
      <c r="D200" s="18">
        <v>39.994999999999997</v>
      </c>
      <c r="E200" s="18">
        <v>45.212000000000003</v>
      </c>
      <c r="F200" s="18">
        <v>46.029000000000003</v>
      </c>
      <c r="G200" s="18">
        <v>211.54</v>
      </c>
      <c r="H200" s="18">
        <f t="shared" si="6"/>
        <v>41.401374999999994</v>
      </c>
      <c r="I200" s="5"/>
      <c r="J200" s="17">
        <v>1010.8496</v>
      </c>
      <c r="K200" s="18">
        <v>41.646599999999999</v>
      </c>
      <c r="L200" s="18">
        <v>45.944099999999999</v>
      </c>
      <c r="M200" s="18">
        <v>46.793900000000001</v>
      </c>
      <c r="N200" s="18">
        <v>284.76510000000002</v>
      </c>
      <c r="O200" s="18">
        <f t="shared" si="7"/>
        <v>42.827199999999998</v>
      </c>
      <c r="P200" s="7"/>
      <c r="Q200" s="10"/>
      <c r="R200" s="11"/>
      <c r="S200" s="11"/>
      <c r="T200" s="26"/>
      <c r="U200" s="28">
        <f t="shared" si="9"/>
        <v>0.34615250070908588</v>
      </c>
    </row>
    <row r="201" spans="1:21" x14ac:dyDescent="0.25">
      <c r="B201" s="9"/>
      <c r="C201" s="17">
        <v>606.22265625</v>
      </c>
      <c r="D201" s="18">
        <v>38.238999999999997</v>
      </c>
      <c r="E201" s="18">
        <v>43.698</v>
      </c>
      <c r="F201" s="18">
        <v>44.500999999999998</v>
      </c>
      <c r="G201" s="18">
        <v>224.52</v>
      </c>
      <c r="H201" s="18">
        <f t="shared" si="6"/>
        <v>39.704124999999991</v>
      </c>
      <c r="I201" s="5"/>
      <c r="J201" s="17">
        <v>600.47360000000003</v>
      </c>
      <c r="K201" s="18">
        <v>40.280700000000003</v>
      </c>
      <c r="L201" s="18">
        <v>44.761800000000001</v>
      </c>
      <c r="M201" s="18">
        <v>45.538499999999999</v>
      </c>
      <c r="N201" s="18">
        <v>349.44670000000002</v>
      </c>
      <c r="O201" s="18">
        <f t="shared" si="7"/>
        <v>41.498062500000003</v>
      </c>
      <c r="P201" s="7"/>
      <c r="Q201" s="10"/>
      <c r="R201" s="11"/>
      <c r="S201" s="11"/>
      <c r="T201" s="26"/>
      <c r="U201" s="28">
        <f t="shared" si="9"/>
        <v>0.55641680028505258</v>
      </c>
    </row>
    <row r="202" spans="1:21" ht="16.5" thickBot="1" x14ac:dyDescent="0.3">
      <c r="B202" s="12"/>
      <c r="C202" s="19">
        <v>303.068359375</v>
      </c>
      <c r="D202" s="20">
        <v>35.055999999999997</v>
      </c>
      <c r="E202" s="20">
        <v>41.009</v>
      </c>
      <c r="F202" s="20">
        <v>41.789000000000001</v>
      </c>
      <c r="G202" s="20">
        <v>254.05</v>
      </c>
      <c r="H202" s="20">
        <f t="shared" si="6"/>
        <v>36.641749999999995</v>
      </c>
      <c r="I202" s="5"/>
      <c r="J202" s="19">
        <v>294.11520000000002</v>
      </c>
      <c r="K202" s="20">
        <v>37.534300000000002</v>
      </c>
      <c r="L202" s="20">
        <v>42.611499999999999</v>
      </c>
      <c r="M202" s="20">
        <v>43.448799999999999</v>
      </c>
      <c r="N202" s="20">
        <v>366.30040000000002</v>
      </c>
      <c r="O202" s="20">
        <f t="shared" si="7"/>
        <v>38.908262499999999</v>
      </c>
      <c r="P202" s="7"/>
      <c r="Q202" s="13"/>
      <c r="R202" s="14"/>
      <c r="S202" s="14"/>
      <c r="T202" s="27"/>
      <c r="U202" s="28">
        <f t="shared" si="9"/>
        <v>0.44184373154890771</v>
      </c>
    </row>
    <row r="203" spans="1:21" x14ac:dyDescent="0.25">
      <c r="A203" s="6" t="s">
        <v>102</v>
      </c>
      <c r="B203" s="6" t="s">
        <v>103</v>
      </c>
      <c r="C203" s="15">
        <v>1458.4326171875</v>
      </c>
      <c r="D203" s="16">
        <v>44.305</v>
      </c>
      <c r="E203" s="16">
        <v>49.655000000000001</v>
      </c>
      <c r="F203" s="16">
        <v>50.122</v>
      </c>
      <c r="G203" s="16">
        <v>160.29</v>
      </c>
      <c r="H203" s="16">
        <f t="shared" ref="H203:H246" si="10">(6*D203+E203+F203)/8</f>
        <v>45.700875000000003</v>
      </c>
      <c r="I203" s="5"/>
      <c r="J203" s="15">
        <v>1288.4177</v>
      </c>
      <c r="K203" s="16">
        <v>43.483199999999997</v>
      </c>
      <c r="L203" s="16">
        <v>49.198099999999997</v>
      </c>
      <c r="M203" s="16">
        <v>50.1892</v>
      </c>
      <c r="N203" s="16">
        <v>183.15020000000001</v>
      </c>
      <c r="O203" s="16">
        <f t="shared" ref="O203:O246" si="11">(6*K203+L203+M203)/8</f>
        <v>45.035812499999992</v>
      </c>
      <c r="P203" s="7"/>
      <c r="Q203" s="8">
        <f>bdrate(C203:C206,D203:D206,J203:J206,K203:K206)</f>
        <v>-0.21583473484258175</v>
      </c>
      <c r="R203" s="8">
        <f>bdrate(C203:C206,E203:E206,J203:J206,L203:L206)</f>
        <v>-0.25094883594208506</v>
      </c>
      <c r="S203" s="8">
        <f>bdrate(C203:C206,F203:F206,J203:J206,M203:M206)</f>
        <v>-0.32914155470534279</v>
      </c>
      <c r="T203" s="25">
        <f>bdrate(C203:C206,H203:H206,J203:J206,O203:O206)</f>
        <v>-0.23135744829295102</v>
      </c>
      <c r="U203" s="28">
        <f t="shared" si="9"/>
        <v>0.14261775531848539</v>
      </c>
    </row>
    <row r="204" spans="1:21" x14ac:dyDescent="0.25">
      <c r="A204" s="9" t="s">
        <v>78</v>
      </c>
      <c r="B204" s="9"/>
      <c r="C204" s="17">
        <v>1025.666015625</v>
      </c>
      <c r="D204" s="18">
        <v>42.235999999999997</v>
      </c>
      <c r="E204" s="18">
        <v>47.847999999999999</v>
      </c>
      <c r="F204" s="18">
        <v>48.381</v>
      </c>
      <c r="G204" s="18">
        <v>174.51</v>
      </c>
      <c r="H204" s="18">
        <f t="shared" si="10"/>
        <v>43.705624999999998</v>
      </c>
      <c r="I204" s="5"/>
      <c r="J204" s="17">
        <v>881.42089999999996</v>
      </c>
      <c r="K204" s="18">
        <v>41.944600000000001</v>
      </c>
      <c r="L204" s="18">
        <v>47.959099999999999</v>
      </c>
      <c r="M204" s="18">
        <v>48.836199999999998</v>
      </c>
      <c r="N204" s="18">
        <v>216.0864</v>
      </c>
      <c r="O204" s="18">
        <f t="shared" si="11"/>
        <v>43.557862499999999</v>
      </c>
      <c r="P204" s="7"/>
      <c r="Q204" s="10"/>
      <c r="R204" s="11"/>
      <c r="S204" s="11"/>
      <c r="T204" s="26"/>
      <c r="U204" s="28">
        <f t="shared" si="9"/>
        <v>0.23824651882413619</v>
      </c>
    </row>
    <row r="205" spans="1:21" x14ac:dyDescent="0.25">
      <c r="B205" s="9"/>
      <c r="C205" s="17">
        <v>679.900390625</v>
      </c>
      <c r="D205" s="18">
        <v>39.457000000000001</v>
      </c>
      <c r="E205" s="18">
        <v>45.625999999999998</v>
      </c>
      <c r="F205" s="18">
        <v>46.271999999999998</v>
      </c>
      <c r="G205" s="18">
        <v>182.43</v>
      </c>
      <c r="H205" s="18">
        <f t="shared" si="10"/>
        <v>41.08</v>
      </c>
      <c r="I205" s="5"/>
      <c r="J205" s="17">
        <v>548.03750000000002</v>
      </c>
      <c r="K205" s="18">
        <v>39.726199999999999</v>
      </c>
      <c r="L205" s="18">
        <v>46.084099999999999</v>
      </c>
      <c r="M205" s="18">
        <v>47.407299999999999</v>
      </c>
      <c r="N205" s="18">
        <v>256.95929999999998</v>
      </c>
      <c r="O205" s="18">
        <f t="shared" si="11"/>
        <v>41.481074999999997</v>
      </c>
      <c r="P205" s="7"/>
      <c r="Q205" s="10"/>
      <c r="R205" s="11"/>
      <c r="S205" s="11"/>
      <c r="T205" s="26"/>
      <c r="U205" s="28">
        <f t="shared" si="9"/>
        <v>0.40853642493011005</v>
      </c>
    </row>
    <row r="206" spans="1:21" ht="16.5" thickBot="1" x14ac:dyDescent="0.3">
      <c r="B206" s="12"/>
      <c r="C206" s="19">
        <v>453.0390625</v>
      </c>
      <c r="D206" s="20">
        <v>35.972000000000001</v>
      </c>
      <c r="E206" s="20">
        <v>42.774000000000001</v>
      </c>
      <c r="F206" s="20">
        <v>43.664999999999999</v>
      </c>
      <c r="G206" s="20">
        <v>198.52</v>
      </c>
      <c r="H206" s="20">
        <f t="shared" si="10"/>
        <v>37.783875000000002</v>
      </c>
      <c r="I206" s="5"/>
      <c r="J206" s="19">
        <v>282.96769999999998</v>
      </c>
      <c r="K206" s="20">
        <v>36.534399999999998</v>
      </c>
      <c r="L206" s="20">
        <v>43.7881</v>
      </c>
      <c r="M206" s="20">
        <v>45.130499999999998</v>
      </c>
      <c r="N206" s="20">
        <v>320.51280000000003</v>
      </c>
      <c r="O206" s="20">
        <f t="shared" si="11"/>
        <v>38.515624999999993</v>
      </c>
      <c r="P206" s="7"/>
      <c r="Q206" s="13"/>
      <c r="R206" s="14"/>
      <c r="S206" s="14"/>
      <c r="T206" s="27"/>
      <c r="U206" s="28">
        <f t="shared" si="9"/>
        <v>0.61451138424340124</v>
      </c>
    </row>
    <row r="207" spans="1:21" x14ac:dyDescent="0.25">
      <c r="B207" s="6" t="s">
        <v>104</v>
      </c>
      <c r="C207" s="15">
        <v>1625.017578125</v>
      </c>
      <c r="D207" s="16">
        <v>50.427</v>
      </c>
      <c r="E207" s="16">
        <v>51.241999999999997</v>
      </c>
      <c r="F207" s="16">
        <v>51.607999999999997</v>
      </c>
      <c r="G207" s="16">
        <v>222.65</v>
      </c>
      <c r="H207" s="16">
        <f t="shared" si="10"/>
        <v>50.676500000000004</v>
      </c>
      <c r="I207" s="5"/>
      <c r="J207" s="15">
        <v>1441.3715</v>
      </c>
      <c r="K207" s="16">
        <v>51.476900000000001</v>
      </c>
      <c r="L207" s="16">
        <v>52.441600000000001</v>
      </c>
      <c r="M207" s="16">
        <v>52.952100000000002</v>
      </c>
      <c r="N207" s="16">
        <v>204.5455</v>
      </c>
      <c r="O207" s="16">
        <f t="shared" si="11"/>
        <v>51.781887499999996</v>
      </c>
      <c r="P207" s="7"/>
      <c r="Q207" s="8">
        <f>bdrate(C207:C210,D207:D210,J207:J210,K207:K210)</f>
        <v>-0.30469066628610042</v>
      </c>
      <c r="R207" s="8">
        <f>bdrate(C207:C210,E207:E210,J207:J210,L207:L210)</f>
        <v>-0.32945116083013803</v>
      </c>
      <c r="S207" s="8">
        <f>bdrate(C207:C210,F207:F210,J207:J210,M207:M210)</f>
        <v>-0.34484909714041068</v>
      </c>
      <c r="T207" s="25">
        <f>bdrate(C207:C210,H207:H210,J207:J210,O207:O210)</f>
        <v>-0.31248544359548891</v>
      </c>
      <c r="U207" s="28">
        <f t="shared" si="9"/>
        <v>-8.1313721086907709E-2</v>
      </c>
    </row>
    <row r="208" spans="1:21" x14ac:dyDescent="0.25">
      <c r="B208" s="9"/>
      <c r="C208" s="17">
        <v>1138.873046875</v>
      </c>
      <c r="D208" s="18">
        <v>48.231000000000002</v>
      </c>
      <c r="E208" s="18">
        <v>49.192999999999998</v>
      </c>
      <c r="F208" s="18">
        <v>49.595999999999997</v>
      </c>
      <c r="G208" s="18">
        <v>255.09</v>
      </c>
      <c r="H208" s="18">
        <f t="shared" si="10"/>
        <v>48.521875000000001</v>
      </c>
      <c r="I208" s="5"/>
      <c r="J208" s="17">
        <v>975.63440000000003</v>
      </c>
      <c r="K208" s="18">
        <v>49.412199999999999</v>
      </c>
      <c r="L208" s="18">
        <v>50.485599999999998</v>
      </c>
      <c r="M208" s="18">
        <v>51.033000000000001</v>
      </c>
      <c r="N208" s="18">
        <v>256.41030000000001</v>
      </c>
      <c r="O208" s="18">
        <f t="shared" si="11"/>
        <v>49.748975000000002</v>
      </c>
      <c r="P208" s="7"/>
      <c r="Q208" s="10"/>
      <c r="R208" s="11"/>
      <c r="S208" s="11"/>
      <c r="T208" s="26"/>
      <c r="U208" s="28">
        <f t="shared" si="9"/>
        <v>5.1758202987181121E-3</v>
      </c>
    </row>
    <row r="209" spans="2:21" x14ac:dyDescent="0.25">
      <c r="B209" s="9"/>
      <c r="C209" s="17">
        <v>717.3173828125</v>
      </c>
      <c r="D209" s="18">
        <v>45.372999999999998</v>
      </c>
      <c r="E209" s="18">
        <v>46.552</v>
      </c>
      <c r="F209" s="18">
        <v>46.976999999999997</v>
      </c>
      <c r="G209" s="18">
        <v>273.14</v>
      </c>
      <c r="H209" s="18">
        <f t="shared" si="10"/>
        <v>45.720874999999999</v>
      </c>
      <c r="I209" s="5"/>
      <c r="J209" s="17">
        <v>592.4556</v>
      </c>
      <c r="K209" s="18">
        <v>46.5092</v>
      </c>
      <c r="L209" s="18">
        <v>47.820700000000002</v>
      </c>
      <c r="M209" s="18">
        <v>48.374600000000001</v>
      </c>
      <c r="N209" s="18">
        <v>374.60980000000001</v>
      </c>
      <c r="O209" s="18">
        <f t="shared" si="11"/>
        <v>46.906312499999999</v>
      </c>
      <c r="P209" s="7"/>
      <c r="Q209" s="10"/>
      <c r="R209" s="11"/>
      <c r="S209" s="11"/>
      <c r="T209" s="26"/>
      <c r="U209" s="28">
        <f t="shared" si="9"/>
        <v>0.3714937394742624</v>
      </c>
    </row>
    <row r="210" spans="2:21" ht="16.5" thickBot="1" x14ac:dyDescent="0.3">
      <c r="B210" s="12"/>
      <c r="C210" s="19">
        <v>397.3798828125</v>
      </c>
      <c r="D210" s="20">
        <v>41.73</v>
      </c>
      <c r="E210" s="20">
        <v>43.246000000000002</v>
      </c>
      <c r="F210" s="20">
        <v>43.640999999999998</v>
      </c>
      <c r="G210" s="20">
        <v>276.14999999999998</v>
      </c>
      <c r="H210" s="20">
        <f t="shared" si="10"/>
        <v>42.158374999999999</v>
      </c>
      <c r="I210" s="5"/>
      <c r="J210" s="19">
        <v>299.02409999999998</v>
      </c>
      <c r="K210" s="20">
        <v>42.139899999999997</v>
      </c>
      <c r="L210" s="20">
        <v>43.7607</v>
      </c>
      <c r="M210" s="20">
        <v>44.235599999999998</v>
      </c>
      <c r="N210" s="20">
        <v>395.17009999999999</v>
      </c>
      <c r="O210" s="20">
        <f t="shared" si="11"/>
        <v>42.604462499999997</v>
      </c>
      <c r="P210" s="7"/>
      <c r="Q210" s="13"/>
      <c r="R210" s="14"/>
      <c r="S210" s="14"/>
      <c r="T210" s="27"/>
      <c r="U210" s="28">
        <f t="shared" si="9"/>
        <v>0.43099800832880691</v>
      </c>
    </row>
    <row r="211" spans="2:21" x14ac:dyDescent="0.25">
      <c r="B211" s="6" t="s">
        <v>105</v>
      </c>
      <c r="C211" s="15">
        <v>1806.998046875</v>
      </c>
      <c r="D211" s="16">
        <v>40.75</v>
      </c>
      <c r="E211" s="16">
        <v>43.576000000000001</v>
      </c>
      <c r="F211" s="16">
        <v>43.966999999999999</v>
      </c>
      <c r="G211" s="16">
        <v>163.21</v>
      </c>
      <c r="H211" s="16">
        <f t="shared" si="10"/>
        <v>41.505375000000001</v>
      </c>
      <c r="I211" s="5"/>
      <c r="J211" s="15">
        <v>1491.3976</v>
      </c>
      <c r="K211" s="16">
        <v>42.666899999999998</v>
      </c>
      <c r="L211" s="16">
        <v>45.021799999999999</v>
      </c>
      <c r="M211" s="16">
        <v>45.446100000000001</v>
      </c>
      <c r="N211" s="16">
        <v>207.51669999999999</v>
      </c>
      <c r="O211" s="16">
        <f t="shared" si="11"/>
        <v>43.308662499999997</v>
      </c>
      <c r="P211" s="7"/>
      <c r="Q211" s="8">
        <f>bdrate(C211:C214,D211:D214,J211:J214,K211:K214)</f>
        <v>-0.44787379068291511</v>
      </c>
      <c r="R211" s="8">
        <f>bdrate(C211:C214,E211:E214,J211:J214,L211:L214)</f>
        <v>-0.48000164355984076</v>
      </c>
      <c r="S211" s="8">
        <f>bdrate(C211:C214,F211:F214,J211:J214,M211:M214)</f>
        <v>-0.48234709502127326</v>
      </c>
      <c r="T211" s="25">
        <f>bdrate(C211:C214,H211:H214,J211:J214,O211:O214)</f>
        <v>-0.45520005635987326</v>
      </c>
      <c r="U211" s="28">
        <f t="shared" si="9"/>
        <v>0.2714704981312418</v>
      </c>
    </row>
    <row r="212" spans="2:21" x14ac:dyDescent="0.25">
      <c r="B212" s="9"/>
      <c r="C212" s="17">
        <v>1277.310546875</v>
      </c>
      <c r="D212" s="18">
        <v>38.912999999999997</v>
      </c>
      <c r="E212" s="18">
        <v>42.048000000000002</v>
      </c>
      <c r="F212" s="18">
        <v>42.47</v>
      </c>
      <c r="G212" s="18">
        <v>186.9</v>
      </c>
      <c r="H212" s="18">
        <f t="shared" si="10"/>
        <v>39.749499999999998</v>
      </c>
      <c r="I212" s="5"/>
      <c r="J212" s="17">
        <v>995.74959999999999</v>
      </c>
      <c r="K212" s="18">
        <v>40.7087</v>
      </c>
      <c r="L212" s="18">
        <v>43.506700000000002</v>
      </c>
      <c r="M212" s="18">
        <v>43.947600000000001</v>
      </c>
      <c r="N212" s="18">
        <v>258.65789999999998</v>
      </c>
      <c r="O212" s="18">
        <f t="shared" si="11"/>
        <v>41.463312500000008</v>
      </c>
      <c r="P212" s="7"/>
      <c r="Q212" s="10"/>
      <c r="R212" s="11"/>
      <c r="S212" s="11"/>
      <c r="T212" s="26"/>
      <c r="U212" s="28">
        <f t="shared" si="9"/>
        <v>0.38393739967897256</v>
      </c>
    </row>
    <row r="213" spans="2:21" x14ac:dyDescent="0.25">
      <c r="B213" s="9"/>
      <c r="C213" s="17">
        <v>834.0654296875</v>
      </c>
      <c r="D213" s="18">
        <v>36.640999999999998</v>
      </c>
      <c r="E213" s="18">
        <v>40.207999999999998</v>
      </c>
      <c r="F213" s="18">
        <v>40.619999999999997</v>
      </c>
      <c r="G213" s="18">
        <v>201.32</v>
      </c>
      <c r="H213" s="18">
        <f t="shared" si="10"/>
        <v>37.584249999999997</v>
      </c>
      <c r="I213" s="5"/>
      <c r="J213" s="17">
        <v>599.25509999999997</v>
      </c>
      <c r="K213" s="18">
        <v>38.036999999999999</v>
      </c>
      <c r="L213" s="18">
        <v>41.544499999999999</v>
      </c>
      <c r="M213" s="18">
        <v>41.964700000000001</v>
      </c>
      <c r="N213" s="18">
        <v>294.26190000000003</v>
      </c>
      <c r="O213" s="18">
        <f t="shared" si="11"/>
        <v>38.966399999999993</v>
      </c>
      <c r="P213" s="7"/>
      <c r="Q213" s="10"/>
      <c r="R213" s="11"/>
      <c r="S213" s="11"/>
      <c r="T213" s="26"/>
      <c r="U213" s="28">
        <f t="shared" si="9"/>
        <v>0.46166252731969021</v>
      </c>
    </row>
    <row r="214" spans="2:21" ht="16.5" thickBot="1" x14ac:dyDescent="0.3">
      <c r="B214" s="12"/>
      <c r="C214" s="19">
        <v>498.79296875</v>
      </c>
      <c r="D214" s="20">
        <v>33.728000000000002</v>
      </c>
      <c r="E214" s="20">
        <v>37.898000000000003</v>
      </c>
      <c r="F214" s="20">
        <v>38.402000000000001</v>
      </c>
      <c r="G214" s="20">
        <v>214.98</v>
      </c>
      <c r="H214" s="20">
        <f t="shared" si="10"/>
        <v>34.833500000000001</v>
      </c>
      <c r="I214" s="5"/>
      <c r="J214" s="19">
        <v>302.10210000000001</v>
      </c>
      <c r="K214" s="20">
        <v>34.3444</v>
      </c>
      <c r="L214" s="20">
        <v>39.025500000000001</v>
      </c>
      <c r="M214" s="20">
        <v>39.501100000000001</v>
      </c>
      <c r="N214" s="20">
        <v>341.36169999999998</v>
      </c>
      <c r="O214" s="20">
        <f t="shared" si="11"/>
        <v>35.574124999999995</v>
      </c>
      <c r="P214" s="7"/>
      <c r="Q214" s="13"/>
      <c r="R214" s="14"/>
      <c r="S214" s="14"/>
      <c r="T214" s="27"/>
      <c r="U214" s="28">
        <f t="shared" si="9"/>
        <v>0.58787654665550282</v>
      </c>
    </row>
    <row r="215" spans="2:21" x14ac:dyDescent="0.25">
      <c r="B215" s="6" t="s">
        <v>106</v>
      </c>
      <c r="C215" s="29">
        <v>1677.7998046875</v>
      </c>
      <c r="D215" s="30">
        <v>37.116999999999997</v>
      </c>
      <c r="E215" s="30">
        <v>42.008000000000003</v>
      </c>
      <c r="F215" s="30">
        <v>42.006</v>
      </c>
      <c r="G215" s="16">
        <v>153.30000000000001</v>
      </c>
      <c r="H215" s="16">
        <f t="shared" si="10"/>
        <v>38.339500000000001</v>
      </c>
      <c r="I215" s="5"/>
      <c r="J215" s="29">
        <v>1493.6628000000001</v>
      </c>
      <c r="K215" s="30">
        <v>38.9756</v>
      </c>
      <c r="L215" s="30">
        <v>43.4681</v>
      </c>
      <c r="M215" s="30">
        <v>43.461199999999998</v>
      </c>
      <c r="N215" s="16">
        <v>195.5247</v>
      </c>
      <c r="O215" s="16">
        <f t="shared" si="11"/>
        <v>40.097862500000005</v>
      </c>
      <c r="P215" s="7"/>
      <c r="Q215" s="8">
        <f>bdrate(C215:C218,D215:D218,J215:J218,K215:K218)</f>
        <v>-0.42565705123877184</v>
      </c>
      <c r="R215" s="8">
        <f>bdrate(C215:C218,E215:E218,J215:J218,L215:L218)</f>
        <v>-0.51092707354395483</v>
      </c>
      <c r="S215" s="8">
        <f>bdrate(C215:C218,F215:F218,J215:J218,M215:M218)</f>
        <v>-0.50947897570747136</v>
      </c>
      <c r="T215" s="25">
        <f>bdrate(C215:C218,H215:H218,J215:J218,O215:O218)</f>
        <v>-0.44471700903435152</v>
      </c>
      <c r="U215" s="28">
        <f t="shared" si="9"/>
        <v>0.27543835616438345</v>
      </c>
    </row>
    <row r="216" spans="2:21" x14ac:dyDescent="0.25">
      <c r="B216" s="9"/>
      <c r="C216" s="31">
        <v>1175.52734375</v>
      </c>
      <c r="D216" s="32">
        <v>35.341000000000001</v>
      </c>
      <c r="E216" s="32">
        <v>40.496000000000002</v>
      </c>
      <c r="F216" s="32">
        <v>40.502000000000002</v>
      </c>
      <c r="G216" s="18">
        <v>167.65</v>
      </c>
      <c r="H216" s="18">
        <f t="shared" si="10"/>
        <v>36.630499999999998</v>
      </c>
      <c r="I216" s="5"/>
      <c r="J216" s="31">
        <v>994.84749999999997</v>
      </c>
      <c r="K216" s="32">
        <v>37.085799999999999</v>
      </c>
      <c r="L216" s="32">
        <v>42.144799999999996</v>
      </c>
      <c r="M216" s="32">
        <v>42.125700000000002</v>
      </c>
      <c r="N216" s="18">
        <v>236.43770000000001</v>
      </c>
      <c r="O216" s="18">
        <f t="shared" si="11"/>
        <v>38.348162499999994</v>
      </c>
      <c r="P216" s="7"/>
      <c r="Q216" s="10"/>
      <c r="R216" s="11"/>
      <c r="S216" s="11"/>
      <c r="T216" s="26"/>
      <c r="U216" s="28">
        <f t="shared" si="9"/>
        <v>0.41030539815090961</v>
      </c>
    </row>
    <row r="217" spans="2:21" x14ac:dyDescent="0.25">
      <c r="B217" s="9"/>
      <c r="C217" s="31">
        <v>724.0390625</v>
      </c>
      <c r="D217" s="32">
        <v>33.058999999999997</v>
      </c>
      <c r="E217" s="32">
        <v>38.651000000000003</v>
      </c>
      <c r="F217" s="32">
        <v>38.628999999999998</v>
      </c>
      <c r="G217" s="18">
        <v>182.4</v>
      </c>
      <c r="H217" s="18">
        <f t="shared" si="10"/>
        <v>34.454250000000002</v>
      </c>
      <c r="I217" s="5"/>
      <c r="J217" s="31">
        <v>602.88369999999998</v>
      </c>
      <c r="K217" s="32">
        <v>34.792999999999999</v>
      </c>
      <c r="L217" s="32">
        <v>40.595999999999997</v>
      </c>
      <c r="M217" s="32">
        <v>40.599400000000003</v>
      </c>
      <c r="N217" s="18">
        <v>272.0677</v>
      </c>
      <c r="O217" s="18">
        <f t="shared" si="11"/>
        <v>36.244174999999998</v>
      </c>
      <c r="P217" s="7"/>
      <c r="Q217" s="10"/>
      <c r="R217" s="11"/>
      <c r="S217" s="11"/>
      <c r="T217" s="26"/>
      <c r="U217" s="28">
        <f t="shared" si="9"/>
        <v>0.49159923245614029</v>
      </c>
    </row>
    <row r="218" spans="2:21" ht="16.5" thickBot="1" x14ac:dyDescent="0.3">
      <c r="B218" s="12"/>
      <c r="C218" s="33">
        <v>426.232421875</v>
      </c>
      <c r="D218" s="34">
        <v>30.484000000000002</v>
      </c>
      <c r="E218" s="34">
        <v>36.433</v>
      </c>
      <c r="F218" s="34">
        <v>36.338999999999999</v>
      </c>
      <c r="G218" s="20">
        <v>192.76</v>
      </c>
      <c r="H218" s="20">
        <f t="shared" si="10"/>
        <v>31.959499999999998</v>
      </c>
      <c r="I218" s="5"/>
      <c r="J218" s="33">
        <v>302.49770000000001</v>
      </c>
      <c r="K218" s="34">
        <v>31.6966</v>
      </c>
      <c r="L218" s="34">
        <v>38.642800000000001</v>
      </c>
      <c r="M218" s="34">
        <v>38.553100000000001</v>
      </c>
      <c r="N218" s="20">
        <v>324.90969999999999</v>
      </c>
      <c r="O218" s="20">
        <f t="shared" si="11"/>
        <v>33.421937499999999</v>
      </c>
      <c r="P218" s="7"/>
      <c r="Q218" s="13"/>
      <c r="R218" s="14"/>
      <c r="S218" s="14"/>
      <c r="T218" s="27"/>
      <c r="U218" s="28">
        <f t="shared" si="9"/>
        <v>0.68556598879435571</v>
      </c>
    </row>
    <row r="219" spans="2:21" x14ac:dyDescent="0.25">
      <c r="B219" s="6" t="s">
        <v>107</v>
      </c>
      <c r="C219" s="15">
        <v>1570.998046875</v>
      </c>
      <c r="D219" s="16">
        <v>34.725999999999999</v>
      </c>
      <c r="E219" s="16">
        <v>39.396000000000001</v>
      </c>
      <c r="F219" s="16">
        <v>40.158999999999999</v>
      </c>
      <c r="G219" s="16">
        <v>169.63</v>
      </c>
      <c r="H219" s="16">
        <f t="shared" si="10"/>
        <v>35.988875</v>
      </c>
      <c r="I219" s="5"/>
      <c r="J219" s="15">
        <v>1503.2900999999999</v>
      </c>
      <c r="K219" s="16">
        <v>36.908499999999997</v>
      </c>
      <c r="L219" s="16">
        <v>41.398000000000003</v>
      </c>
      <c r="M219" s="16">
        <v>41.941099999999999</v>
      </c>
      <c r="N219" s="16">
        <v>203.50479999999999</v>
      </c>
      <c r="O219" s="16">
        <f t="shared" si="11"/>
        <v>38.098762499999999</v>
      </c>
      <c r="P219" s="7"/>
      <c r="Q219" s="8">
        <f>bdrate(C219:C222,D219:D222,J219:J222,K219:K222)</f>
        <v>-0.3775087003373061</v>
      </c>
      <c r="R219" s="8">
        <f>bdrate(C219:C222,E219:E222,J219:J222,L219:L222)</f>
        <v>-0.52025302651406868</v>
      </c>
      <c r="S219" s="8">
        <f>bdrate(C219:C222,F219:F222,J219:J222,M219:M222)</f>
        <v>-0.49728471330278834</v>
      </c>
      <c r="T219" s="25">
        <f>bdrate(C219:C222,H219:H222,J219:J222,O219:O222)</f>
        <v>-0.40898963438681557</v>
      </c>
      <c r="U219" s="28">
        <f t="shared" si="9"/>
        <v>0.1996981665978895</v>
      </c>
    </row>
    <row r="220" spans="2:21" x14ac:dyDescent="0.25">
      <c r="B220" s="9"/>
      <c r="C220" s="17">
        <v>1074.0390625</v>
      </c>
      <c r="D220" s="18">
        <v>33.055999999999997</v>
      </c>
      <c r="E220" s="18">
        <v>37.9</v>
      </c>
      <c r="F220" s="18">
        <v>38.729999999999997</v>
      </c>
      <c r="G220" s="18">
        <v>173.06</v>
      </c>
      <c r="H220" s="18">
        <f t="shared" si="10"/>
        <v>34.370750000000001</v>
      </c>
      <c r="I220" s="5"/>
      <c r="J220" s="17">
        <v>998.3519</v>
      </c>
      <c r="K220" s="18">
        <v>34.958300000000001</v>
      </c>
      <c r="L220" s="18">
        <v>40.000399999999999</v>
      </c>
      <c r="M220" s="18">
        <v>40.599400000000003</v>
      </c>
      <c r="N220" s="18">
        <v>234.98689999999999</v>
      </c>
      <c r="O220" s="18">
        <f t="shared" si="11"/>
        <v>36.293700000000001</v>
      </c>
      <c r="P220" s="7"/>
      <c r="Q220" s="10"/>
      <c r="R220" s="11"/>
      <c r="S220" s="11"/>
      <c r="T220" s="26"/>
      <c r="U220" s="28">
        <f t="shared" si="9"/>
        <v>0.35783485496359635</v>
      </c>
    </row>
    <row r="221" spans="2:21" x14ac:dyDescent="0.25">
      <c r="B221" s="9"/>
      <c r="C221" s="17">
        <v>660.611328125</v>
      </c>
      <c r="D221" s="18">
        <v>30.885000000000002</v>
      </c>
      <c r="E221" s="18">
        <v>35.97</v>
      </c>
      <c r="F221" s="18">
        <v>36.89</v>
      </c>
      <c r="G221" s="18">
        <v>195.08</v>
      </c>
      <c r="H221" s="18">
        <f t="shared" si="10"/>
        <v>32.271250000000002</v>
      </c>
      <c r="I221" s="5"/>
      <c r="J221" s="17">
        <v>598.72879999999998</v>
      </c>
      <c r="K221" s="18">
        <v>32.603200000000001</v>
      </c>
      <c r="L221" s="18">
        <v>38.342700000000001</v>
      </c>
      <c r="M221" s="18">
        <v>39.001300000000001</v>
      </c>
      <c r="N221" s="18">
        <v>271.4932</v>
      </c>
      <c r="O221" s="18">
        <f t="shared" si="11"/>
        <v>34.120400000000004</v>
      </c>
      <c r="P221" s="7"/>
      <c r="Q221" s="10"/>
      <c r="R221" s="11"/>
      <c r="S221" s="11"/>
      <c r="T221" s="26"/>
      <c r="U221" s="28">
        <f t="shared" si="9"/>
        <v>0.39170186590116868</v>
      </c>
    </row>
    <row r="222" spans="2:21" ht="16.5" thickBot="1" x14ac:dyDescent="0.3">
      <c r="B222" s="12"/>
      <c r="C222" s="19">
        <v>408.3720703125</v>
      </c>
      <c r="D222" s="20">
        <v>28.818000000000001</v>
      </c>
      <c r="E222" s="20">
        <v>34.142000000000003</v>
      </c>
      <c r="F222" s="20">
        <v>35.043999999999997</v>
      </c>
      <c r="G222" s="20">
        <v>202.06</v>
      </c>
      <c r="H222" s="20">
        <f t="shared" si="10"/>
        <v>30.261749999999999</v>
      </c>
      <c r="I222" s="5"/>
      <c r="J222" s="19">
        <v>298.03210000000001</v>
      </c>
      <c r="K222" s="20">
        <v>29.3081</v>
      </c>
      <c r="L222" s="20">
        <v>36.150300000000001</v>
      </c>
      <c r="M222" s="20">
        <v>36.882800000000003</v>
      </c>
      <c r="N222" s="20">
        <v>326.85669999999999</v>
      </c>
      <c r="O222" s="20">
        <f t="shared" si="11"/>
        <v>31.110212499999999</v>
      </c>
      <c r="P222" s="7"/>
      <c r="Q222" s="13"/>
      <c r="R222" s="14"/>
      <c r="S222" s="14"/>
      <c r="T222" s="27"/>
      <c r="U222" s="28">
        <f t="shared" si="9"/>
        <v>0.61762199346728686</v>
      </c>
    </row>
    <row r="223" spans="2:21" x14ac:dyDescent="0.25">
      <c r="B223" s="6" t="s">
        <v>108</v>
      </c>
      <c r="C223" s="15">
        <v>1618.66015625</v>
      </c>
      <c r="D223" s="16">
        <v>35.786000000000001</v>
      </c>
      <c r="E223" s="16">
        <v>41.58</v>
      </c>
      <c r="F223" s="16">
        <v>43.192999999999998</v>
      </c>
      <c r="G223" s="16">
        <v>149.46</v>
      </c>
      <c r="H223" s="16">
        <f t="shared" si="10"/>
        <v>37.436124999999997</v>
      </c>
      <c r="I223" s="5"/>
      <c r="J223" s="15">
        <v>1509.0969</v>
      </c>
      <c r="K223" s="16">
        <v>37.131</v>
      </c>
      <c r="L223" s="16">
        <v>43.010599999999997</v>
      </c>
      <c r="M223" s="16">
        <v>44.395899999999997</v>
      </c>
      <c r="N223" s="16">
        <v>194.2586</v>
      </c>
      <c r="O223" s="16">
        <f t="shared" si="11"/>
        <v>38.774062499999999</v>
      </c>
      <c r="P223" s="7"/>
      <c r="Q223" s="8">
        <f>bdrate(C223:C226,D223:D226,J223:J226,K223:K226)</f>
        <v>-0.40833548388268714</v>
      </c>
      <c r="R223" s="8">
        <f>bdrate(C223:C226,E223:E226,J223:J226,L223:L226)</f>
        <v>-0.54267058054906858</v>
      </c>
      <c r="S223" s="8">
        <f>bdrate(C223:C226,F223:F226,J223:J226,M223:M226)</f>
        <v>-0.48656407425177162</v>
      </c>
      <c r="T223" s="25">
        <f>bdrate(C223:C226,H223:H226,J223:J226,O223:O226)</f>
        <v>-0.43384794285026851</v>
      </c>
      <c r="U223" s="28">
        <f t="shared" si="9"/>
        <v>0.29973638431687399</v>
      </c>
    </row>
    <row r="224" spans="2:21" x14ac:dyDescent="0.25">
      <c r="B224" s="9"/>
      <c r="C224" s="17">
        <v>1094.7587890625</v>
      </c>
      <c r="D224" s="18">
        <v>34.338000000000001</v>
      </c>
      <c r="E224" s="18">
        <v>40.399000000000001</v>
      </c>
      <c r="F224" s="18">
        <v>41.814999999999998</v>
      </c>
      <c r="G224" s="18">
        <v>161.85</v>
      </c>
      <c r="H224" s="18">
        <f t="shared" si="10"/>
        <v>36.030250000000002</v>
      </c>
      <c r="I224" s="5"/>
      <c r="J224" s="17">
        <v>1006.1303</v>
      </c>
      <c r="K224" s="18">
        <v>35.715000000000003</v>
      </c>
      <c r="L224" s="18">
        <v>42.011699999999998</v>
      </c>
      <c r="M224" s="18">
        <v>43.266599999999997</v>
      </c>
      <c r="N224" s="18">
        <v>227.9058</v>
      </c>
      <c r="O224" s="18">
        <f t="shared" si="11"/>
        <v>37.446037500000003</v>
      </c>
      <c r="P224" s="7"/>
      <c r="Q224" s="10"/>
      <c r="R224" s="11"/>
      <c r="S224" s="11"/>
      <c r="T224" s="26"/>
      <c r="U224" s="28">
        <f t="shared" si="9"/>
        <v>0.40812974976830402</v>
      </c>
    </row>
    <row r="225" spans="2:21" x14ac:dyDescent="0.25">
      <c r="B225" s="9"/>
      <c r="C225" s="17">
        <v>658.6806640625</v>
      </c>
      <c r="D225" s="18">
        <v>32.488</v>
      </c>
      <c r="E225" s="18">
        <v>38.844000000000001</v>
      </c>
      <c r="F225" s="18">
        <v>39.917999999999999</v>
      </c>
      <c r="G225" s="18">
        <v>179.79</v>
      </c>
      <c r="H225" s="18">
        <f t="shared" si="10"/>
        <v>34.21125</v>
      </c>
      <c r="I225" s="5"/>
      <c r="J225" s="17">
        <v>605.48109999999997</v>
      </c>
      <c r="K225" s="18">
        <v>34.032400000000003</v>
      </c>
      <c r="L225" s="18">
        <v>40.818800000000003</v>
      </c>
      <c r="M225" s="18">
        <v>41.954099999999997</v>
      </c>
      <c r="N225" s="18">
        <v>264.04579999999999</v>
      </c>
      <c r="O225" s="18">
        <f t="shared" si="11"/>
        <v>35.870912500000003</v>
      </c>
      <c r="P225" s="7"/>
      <c r="Q225" s="10"/>
      <c r="R225" s="11"/>
      <c r="S225" s="11"/>
      <c r="T225" s="26"/>
      <c r="U225" s="28">
        <f t="shared" si="9"/>
        <v>0.46863451804883471</v>
      </c>
    </row>
    <row r="226" spans="2:21" ht="16.5" thickBot="1" x14ac:dyDescent="0.3">
      <c r="B226" s="12"/>
      <c r="C226" s="19">
        <v>360.1376953125</v>
      </c>
      <c r="D226" s="20">
        <v>30.533000000000001</v>
      </c>
      <c r="E226" s="20">
        <v>36.963999999999999</v>
      </c>
      <c r="F226" s="20">
        <v>37.536000000000001</v>
      </c>
      <c r="G226" s="20">
        <v>195.52</v>
      </c>
      <c r="H226" s="20">
        <f t="shared" si="10"/>
        <v>32.212249999999997</v>
      </c>
      <c r="I226" s="5"/>
      <c r="J226" s="19">
        <v>302.14929999999998</v>
      </c>
      <c r="K226" s="20">
        <v>31.930499999999999</v>
      </c>
      <c r="L226" s="20">
        <v>39.342199999999998</v>
      </c>
      <c r="M226" s="20">
        <v>40.220199999999998</v>
      </c>
      <c r="N226" s="20">
        <v>320.51280000000003</v>
      </c>
      <c r="O226" s="20">
        <f t="shared" si="11"/>
        <v>33.893174999999999</v>
      </c>
      <c r="P226" s="7"/>
      <c r="Q226" s="13"/>
      <c r="R226" s="14"/>
      <c r="S226" s="14"/>
      <c r="T226" s="27"/>
      <c r="U226" s="28">
        <f t="shared" si="9"/>
        <v>0.63928396072013094</v>
      </c>
    </row>
    <row r="227" spans="2:21" x14ac:dyDescent="0.25">
      <c r="B227" s="6" t="s">
        <v>109</v>
      </c>
      <c r="C227" s="15">
        <v>1403.8125</v>
      </c>
      <c r="D227" s="16">
        <v>44.003</v>
      </c>
      <c r="E227" s="16">
        <v>48.750999999999998</v>
      </c>
      <c r="F227" s="16">
        <v>50.404000000000003</v>
      </c>
      <c r="G227" s="16">
        <v>185.76</v>
      </c>
      <c r="H227" s="16">
        <f t="shared" si="10"/>
        <v>45.396625</v>
      </c>
      <c r="I227" s="5"/>
      <c r="J227" s="15">
        <v>1501.0678</v>
      </c>
      <c r="K227" s="16">
        <v>47.354599999999998</v>
      </c>
      <c r="L227" s="16">
        <v>52.657400000000003</v>
      </c>
      <c r="M227" s="16">
        <v>53.941699999999997</v>
      </c>
      <c r="N227" s="16">
        <v>230.16890000000001</v>
      </c>
      <c r="O227" s="16">
        <f t="shared" si="11"/>
        <v>48.840837499999992</v>
      </c>
      <c r="P227" s="7"/>
      <c r="Q227" s="8">
        <f>bdrate(C227:C230,D227:D230,J227:J230,K227:K230)</f>
        <v>-0.47894659901695125</v>
      </c>
      <c r="R227" s="8">
        <f>bdrate(C227:C230,E227:E230,J227:J230,L227:L230)</f>
        <v>-0.5735125209643035</v>
      </c>
      <c r="S227" s="8">
        <f>bdrate(C227:C230,F227:F230,J227:J230,M227:M230)</f>
        <v>-0.53322742441732784</v>
      </c>
      <c r="T227" s="25">
        <f>bdrate(C227:C230,H227:H230,J227:J230,O227:O230)</f>
        <v>-0.49818249769738177</v>
      </c>
      <c r="U227" s="28">
        <f t="shared" si="9"/>
        <v>0.23906599913867366</v>
      </c>
    </row>
    <row r="228" spans="2:21" x14ac:dyDescent="0.25">
      <c r="B228" s="9"/>
      <c r="C228" s="17">
        <v>1006.4443359375</v>
      </c>
      <c r="D228" s="18">
        <v>42.47</v>
      </c>
      <c r="E228" s="18">
        <v>47.372</v>
      </c>
      <c r="F228" s="18">
        <v>49.088000000000001</v>
      </c>
      <c r="G228" s="18">
        <v>198.41</v>
      </c>
      <c r="H228" s="18">
        <f t="shared" si="10"/>
        <v>43.910000000000004</v>
      </c>
      <c r="I228" s="5"/>
      <c r="J228" s="17">
        <v>1001.3508</v>
      </c>
      <c r="K228" s="18">
        <v>45.520899999999997</v>
      </c>
      <c r="L228" s="18">
        <v>51.024900000000002</v>
      </c>
      <c r="M228" s="18">
        <v>52.369900000000001</v>
      </c>
      <c r="N228" s="18">
        <v>263.28109999999998</v>
      </c>
      <c r="O228" s="18">
        <f t="shared" si="11"/>
        <v>47.065025000000006</v>
      </c>
      <c r="P228" s="7"/>
      <c r="Q228" s="10"/>
      <c r="R228" s="11"/>
      <c r="S228" s="11"/>
      <c r="T228" s="26"/>
      <c r="U228" s="28">
        <f t="shared" si="9"/>
        <v>0.32695479058515187</v>
      </c>
    </row>
    <row r="229" spans="2:21" x14ac:dyDescent="0.25">
      <c r="B229" s="9"/>
      <c r="C229" s="17">
        <v>622.7744140625</v>
      </c>
      <c r="D229" s="18">
        <v>40.448999999999998</v>
      </c>
      <c r="E229" s="18">
        <v>45.433999999999997</v>
      </c>
      <c r="F229" s="18">
        <v>47.078000000000003</v>
      </c>
      <c r="G229" s="18">
        <v>229.32</v>
      </c>
      <c r="H229" s="18">
        <f t="shared" si="10"/>
        <v>41.900750000000002</v>
      </c>
      <c r="I229" s="5"/>
      <c r="J229" s="17">
        <v>601.97280000000001</v>
      </c>
      <c r="K229" s="18">
        <v>43.199199999999998</v>
      </c>
      <c r="L229" s="18">
        <v>48.895099999999999</v>
      </c>
      <c r="M229" s="18">
        <v>50.178699999999999</v>
      </c>
      <c r="N229" s="18">
        <v>313.30549999999999</v>
      </c>
      <c r="O229" s="18">
        <f t="shared" si="11"/>
        <v>44.783625000000001</v>
      </c>
      <c r="P229" s="7"/>
      <c r="Q229" s="10"/>
      <c r="R229" s="11"/>
      <c r="S229" s="11"/>
      <c r="T229" s="26"/>
      <c r="U229" s="28">
        <f t="shared" si="9"/>
        <v>0.36623713587999301</v>
      </c>
    </row>
    <row r="230" spans="2:21" ht="16.5" thickBot="1" x14ac:dyDescent="0.3">
      <c r="B230" s="12"/>
      <c r="C230" s="19">
        <v>316.3583984375</v>
      </c>
      <c r="D230" s="20">
        <v>37.837000000000003</v>
      </c>
      <c r="E230" s="20">
        <v>42.817</v>
      </c>
      <c r="F230" s="20">
        <v>44.503999999999998</v>
      </c>
      <c r="G230" s="20">
        <v>263.83999999999997</v>
      </c>
      <c r="H230" s="20">
        <f t="shared" si="10"/>
        <v>39.292875000000002</v>
      </c>
      <c r="I230" s="5"/>
      <c r="J230" s="19">
        <v>303.03370000000001</v>
      </c>
      <c r="K230" s="20">
        <v>39.937899999999999</v>
      </c>
      <c r="L230" s="20">
        <v>45.788400000000003</v>
      </c>
      <c r="M230" s="20">
        <v>47.145099999999999</v>
      </c>
      <c r="N230" s="20">
        <v>363.72829999999999</v>
      </c>
      <c r="O230" s="20">
        <f t="shared" si="11"/>
        <v>41.5701125</v>
      </c>
      <c r="P230" s="7"/>
      <c r="Q230" s="13"/>
      <c r="R230" s="14"/>
      <c r="S230" s="14"/>
      <c r="T230" s="27"/>
      <c r="U230" s="28">
        <f t="shared" si="9"/>
        <v>0.3785942237719831</v>
      </c>
    </row>
    <row r="231" spans="2:21" x14ac:dyDescent="0.25">
      <c r="B231" s="6" t="s">
        <v>110</v>
      </c>
      <c r="C231" s="15">
        <v>1529.75</v>
      </c>
      <c r="D231" s="16">
        <v>29.802</v>
      </c>
      <c r="E231" s="16">
        <v>38.110999999999997</v>
      </c>
      <c r="F231" s="16">
        <v>37.517000000000003</v>
      </c>
      <c r="G231" s="16">
        <v>134.56</v>
      </c>
      <c r="H231" s="16">
        <f t="shared" si="10"/>
        <v>31.805</v>
      </c>
      <c r="I231" s="5"/>
      <c r="J231" s="15">
        <v>1496.1557</v>
      </c>
      <c r="K231" s="16">
        <v>31.938700000000001</v>
      </c>
      <c r="L231" s="16">
        <v>40.133099999999999</v>
      </c>
      <c r="M231" s="16">
        <v>39.519300000000001</v>
      </c>
      <c r="N231" s="16">
        <v>157.6044</v>
      </c>
      <c r="O231" s="16">
        <f t="shared" si="11"/>
        <v>33.910575000000001</v>
      </c>
      <c r="P231" s="7"/>
      <c r="Q231" s="8">
        <f>bdrate(C231:C234,D231:D234,J231:J234,K231:K234)</f>
        <v>-0.37601200154618719</v>
      </c>
      <c r="R231" s="8">
        <f>bdrate(C231:C234,E231:E234,J231:J234,L231:L234)</f>
        <v>-0.59911000855797181</v>
      </c>
      <c r="S231" s="8">
        <f>bdrate(C231:C234,F231:F234,J231:J234,M231:M234)</f>
        <v>-0.58445598406561916</v>
      </c>
      <c r="T231" s="25">
        <f>bdrate(C231:C234,H231:H234,J231:J234,O231:O234)</f>
        <v>-0.42785816803507104</v>
      </c>
      <c r="U231" s="28">
        <f t="shared" si="9"/>
        <v>0.17125743162901305</v>
      </c>
    </row>
    <row r="232" spans="2:21" x14ac:dyDescent="0.25">
      <c r="B232" s="9"/>
      <c r="C232" s="17">
        <v>1114.9189453125</v>
      </c>
      <c r="D232" s="18">
        <v>28.47</v>
      </c>
      <c r="E232" s="18">
        <v>36.863999999999997</v>
      </c>
      <c r="F232" s="18">
        <v>36.317999999999998</v>
      </c>
      <c r="G232" s="18">
        <v>144.66</v>
      </c>
      <c r="H232" s="18">
        <f t="shared" si="10"/>
        <v>30.500250000000001</v>
      </c>
      <c r="I232" s="5"/>
      <c r="J232" s="17">
        <v>995.16189999999995</v>
      </c>
      <c r="K232" s="18">
        <v>30.155999999999999</v>
      </c>
      <c r="L232" s="18">
        <v>39.188499999999998</v>
      </c>
      <c r="M232" s="18">
        <v>38.493699999999997</v>
      </c>
      <c r="N232" s="18">
        <v>187.26589999999999</v>
      </c>
      <c r="O232" s="18">
        <f t="shared" si="11"/>
        <v>32.327275</v>
      </c>
      <c r="P232" s="7"/>
      <c r="Q232" s="10"/>
      <c r="R232" s="11"/>
      <c r="S232" s="11"/>
      <c r="T232" s="26"/>
      <c r="U232" s="28">
        <f t="shared" si="9"/>
        <v>0.29452440204617719</v>
      </c>
    </row>
    <row r="233" spans="2:21" x14ac:dyDescent="0.25">
      <c r="B233" s="9"/>
      <c r="C233" s="17">
        <v>847.54296875</v>
      </c>
      <c r="D233" s="18">
        <v>27.555</v>
      </c>
      <c r="E233" s="18">
        <v>35.863</v>
      </c>
      <c r="F233" s="18">
        <v>35.311</v>
      </c>
      <c r="G233" s="18">
        <v>146.53</v>
      </c>
      <c r="H233" s="18">
        <f t="shared" si="10"/>
        <v>29.562999999999999</v>
      </c>
      <c r="I233" s="5"/>
      <c r="J233" s="17">
        <v>596.8723</v>
      </c>
      <c r="K233" s="18">
        <v>27.908899999999999</v>
      </c>
      <c r="L233" s="18">
        <v>37.8232</v>
      </c>
      <c r="M233" s="18">
        <v>37.110199999999999</v>
      </c>
      <c r="N233" s="18">
        <v>228.4264</v>
      </c>
      <c r="O233" s="18">
        <f t="shared" si="11"/>
        <v>30.298349999999996</v>
      </c>
      <c r="P233" s="7"/>
      <c r="Q233" s="10"/>
      <c r="R233" s="11"/>
      <c r="S233" s="11"/>
      <c r="T233" s="26"/>
      <c r="U233" s="28">
        <f t="shared" si="9"/>
        <v>0.55890534361564181</v>
      </c>
    </row>
    <row r="234" spans="2:21" ht="16.5" thickBot="1" x14ac:dyDescent="0.3">
      <c r="B234" s="12"/>
      <c r="C234" s="19">
        <v>669.427734375</v>
      </c>
      <c r="D234" s="20">
        <v>26.614999999999998</v>
      </c>
      <c r="E234" s="20">
        <v>34.654000000000003</v>
      </c>
      <c r="F234" s="20">
        <v>34.19</v>
      </c>
      <c r="G234" s="20">
        <v>155.36000000000001</v>
      </c>
      <c r="H234" s="20">
        <f t="shared" si="10"/>
        <v>28.566749999999999</v>
      </c>
      <c r="I234" s="5"/>
      <c r="J234" s="19">
        <v>299.84359999999998</v>
      </c>
      <c r="K234" s="20">
        <v>25.083200000000001</v>
      </c>
      <c r="L234" s="20">
        <v>35.425800000000002</v>
      </c>
      <c r="M234" s="20">
        <v>34.831499999999998</v>
      </c>
      <c r="N234" s="20">
        <v>293.58999999999997</v>
      </c>
      <c r="O234" s="20">
        <f t="shared" si="11"/>
        <v>27.594562500000002</v>
      </c>
      <c r="P234" s="7"/>
      <c r="Q234" s="13"/>
      <c r="R234" s="14"/>
      <c r="S234" s="14"/>
      <c r="T234" s="27"/>
      <c r="U234" s="28">
        <f t="shared" si="9"/>
        <v>0.88973995880535495</v>
      </c>
    </row>
    <row r="235" spans="2:21" x14ac:dyDescent="0.25">
      <c r="B235" s="6" t="s">
        <v>111</v>
      </c>
      <c r="C235" s="15">
        <v>1982.09765625</v>
      </c>
      <c r="D235" s="16">
        <v>44.127000000000002</v>
      </c>
      <c r="E235" s="16">
        <v>45.351999999999997</v>
      </c>
      <c r="F235" s="16">
        <v>45.225000000000001</v>
      </c>
      <c r="G235" s="16">
        <v>166.52</v>
      </c>
      <c r="H235" s="16">
        <f t="shared" si="10"/>
        <v>44.417375</v>
      </c>
      <c r="I235" s="5"/>
      <c r="J235" s="15">
        <v>1424.6311000000001</v>
      </c>
      <c r="K235" s="16">
        <v>44.897100000000002</v>
      </c>
      <c r="L235" s="16">
        <v>46.005299999999998</v>
      </c>
      <c r="M235" s="16">
        <v>45.879600000000003</v>
      </c>
      <c r="N235" s="16">
        <v>206.75399999999999</v>
      </c>
      <c r="O235" s="16">
        <f t="shared" si="11"/>
        <v>45.158437499999998</v>
      </c>
      <c r="P235" s="7"/>
      <c r="Q235" s="8">
        <f>bdrate(C235:C238,D235:D238,J235:J238,K235:K238)</f>
        <v>-0.42761130055818919</v>
      </c>
      <c r="R235" s="8">
        <f>bdrate(C235:C238,E235:E238,J235:J238,L235:L238)</f>
        <v>-0.44770568646857667</v>
      </c>
      <c r="S235" s="8">
        <f>bdrate(C235:C238,F235:F238,J235:J238,M235:M238)</f>
        <v>-0.44757421905324757</v>
      </c>
      <c r="T235" s="25">
        <f>bdrate(C235:C238,H235:H238,J235:J238,O235:O238)</f>
        <v>-0.43250193665268188</v>
      </c>
      <c r="U235" s="28">
        <f t="shared" si="9"/>
        <v>0.24161662262791242</v>
      </c>
    </row>
    <row r="236" spans="2:21" x14ac:dyDescent="0.25">
      <c r="B236" s="9"/>
      <c r="C236" s="17">
        <v>1405.853515625</v>
      </c>
      <c r="D236" s="18">
        <v>41.957000000000001</v>
      </c>
      <c r="E236" s="18">
        <v>43.462000000000003</v>
      </c>
      <c r="F236" s="18">
        <v>43.304000000000002</v>
      </c>
      <c r="G236" s="18">
        <v>191.1</v>
      </c>
      <c r="H236" s="18">
        <f t="shared" si="10"/>
        <v>42.313500000000005</v>
      </c>
      <c r="I236" s="5"/>
      <c r="J236" s="17">
        <v>959.3827</v>
      </c>
      <c r="K236" s="18">
        <v>43.006799999999998</v>
      </c>
      <c r="L236" s="18">
        <v>44.383699999999997</v>
      </c>
      <c r="M236" s="18">
        <v>44.245199999999997</v>
      </c>
      <c r="N236" s="18">
        <v>250.31290000000001</v>
      </c>
      <c r="O236" s="18">
        <f t="shared" si="11"/>
        <v>43.333712499999997</v>
      </c>
      <c r="P236" s="7"/>
      <c r="Q236" s="10"/>
      <c r="R236" s="11"/>
      <c r="S236" s="11"/>
      <c r="T236" s="26"/>
      <c r="U236" s="28">
        <f t="shared" si="9"/>
        <v>0.30985295656724238</v>
      </c>
    </row>
    <row r="237" spans="2:21" x14ac:dyDescent="0.25">
      <c r="B237" s="9"/>
      <c r="C237" s="17">
        <v>903.5712890625</v>
      </c>
      <c r="D237" s="18">
        <v>39.216999999999999</v>
      </c>
      <c r="E237" s="18">
        <v>41.034999999999997</v>
      </c>
      <c r="F237" s="18">
        <v>40.859000000000002</v>
      </c>
      <c r="G237" s="18">
        <v>215.35</v>
      </c>
      <c r="H237" s="18">
        <f t="shared" si="10"/>
        <v>39.649499999999996</v>
      </c>
      <c r="I237" s="5"/>
      <c r="J237" s="17">
        <v>586.72469999999998</v>
      </c>
      <c r="K237" s="18">
        <v>40.034700000000001</v>
      </c>
      <c r="L237" s="18">
        <v>41.902700000000003</v>
      </c>
      <c r="M237" s="18">
        <v>41.717300000000002</v>
      </c>
      <c r="N237" s="18">
        <v>293.5421</v>
      </c>
      <c r="O237" s="18">
        <f t="shared" si="11"/>
        <v>40.478525000000005</v>
      </c>
      <c r="P237" s="7"/>
      <c r="Q237" s="10"/>
      <c r="R237" s="11"/>
      <c r="S237" s="11"/>
      <c r="T237" s="26"/>
      <c r="U237" s="28">
        <f t="shared" si="9"/>
        <v>0.36309310424889718</v>
      </c>
    </row>
    <row r="238" spans="2:21" ht="16.5" thickBot="1" x14ac:dyDescent="0.3">
      <c r="B238" s="12"/>
      <c r="C238" s="19">
        <v>528.53515625</v>
      </c>
      <c r="D238" s="20">
        <v>35.722999999999999</v>
      </c>
      <c r="E238" s="20">
        <v>37.881</v>
      </c>
      <c r="F238" s="20">
        <v>37.658000000000001</v>
      </c>
      <c r="G238" s="20">
        <v>229.26</v>
      </c>
      <c r="H238" s="20">
        <f t="shared" si="10"/>
        <v>36.234625000000001</v>
      </c>
      <c r="I238" s="5"/>
      <c r="J238" s="19">
        <v>293.31229999999999</v>
      </c>
      <c r="K238" s="20">
        <v>35.535600000000002</v>
      </c>
      <c r="L238" s="20">
        <v>38.401200000000003</v>
      </c>
      <c r="M238" s="20">
        <v>38.236499999999999</v>
      </c>
      <c r="N238" s="20">
        <v>346.28699999999998</v>
      </c>
      <c r="O238" s="20">
        <f t="shared" si="11"/>
        <v>36.231412499999998</v>
      </c>
      <c r="P238" s="7"/>
      <c r="Q238" s="13"/>
      <c r="R238" s="14"/>
      <c r="S238" s="14"/>
      <c r="T238" s="27"/>
      <c r="U238" s="28">
        <f t="shared" si="9"/>
        <v>0.51045537817325304</v>
      </c>
    </row>
    <row r="239" spans="2:21" x14ac:dyDescent="0.25">
      <c r="B239" s="6" t="s">
        <v>112</v>
      </c>
      <c r="C239" s="15">
        <v>2141.20703125</v>
      </c>
      <c r="D239" s="16">
        <v>45.381999999999998</v>
      </c>
      <c r="E239" s="16">
        <v>46.844999999999999</v>
      </c>
      <c r="F239" s="16">
        <v>47.076999999999998</v>
      </c>
      <c r="G239" s="16">
        <v>182.53</v>
      </c>
      <c r="H239" s="16">
        <f t="shared" si="10"/>
        <v>45.776749999999993</v>
      </c>
      <c r="I239" s="5"/>
      <c r="J239" s="15">
        <v>1405.8221000000001</v>
      </c>
      <c r="K239" s="16">
        <v>45.484699999999997</v>
      </c>
      <c r="L239" s="16">
        <v>47.7378</v>
      </c>
      <c r="M239" s="16">
        <v>47.978900000000003</v>
      </c>
      <c r="N239" s="16">
        <v>203.85050000000001</v>
      </c>
      <c r="O239" s="16">
        <f t="shared" si="11"/>
        <v>46.078112499999996</v>
      </c>
      <c r="P239" s="7"/>
      <c r="Q239" s="8">
        <f>bdrate(C239:C242,D239:D242,J239:J242,K239:K242)</f>
        <v>-0.2675868737160717</v>
      </c>
      <c r="R239" s="8">
        <f>bdrate(C239:C242,E239:E242,J239:J242,L239:L242)</f>
        <v>-0.34964875316067745</v>
      </c>
      <c r="S239" s="8">
        <f>bdrate(C239:C242,F239:F242,J239:J242,M239:M242)</f>
        <v>-0.3521694269897383</v>
      </c>
      <c r="T239" s="25">
        <f>bdrate(C239:C242,H239:H242,J239:J242,O239:O242)</f>
        <v>-0.28837995078236056</v>
      </c>
      <c r="U239" s="28">
        <f t="shared" si="9"/>
        <v>0.11680545663726516</v>
      </c>
    </row>
    <row r="240" spans="2:21" x14ac:dyDescent="0.25">
      <c r="B240" s="9"/>
      <c r="C240" s="17">
        <v>1618.609375</v>
      </c>
      <c r="D240" s="18">
        <v>44.411000000000001</v>
      </c>
      <c r="E240" s="18">
        <v>46.021000000000001</v>
      </c>
      <c r="F240" s="18">
        <v>46.250999999999998</v>
      </c>
      <c r="G240" s="18">
        <v>196.74</v>
      </c>
      <c r="H240" s="18">
        <f t="shared" si="10"/>
        <v>44.84225</v>
      </c>
      <c r="I240" s="5"/>
      <c r="J240" s="17">
        <v>973.86720000000003</v>
      </c>
      <c r="K240" s="18">
        <v>43.914000000000001</v>
      </c>
      <c r="L240" s="18">
        <v>46.415799999999997</v>
      </c>
      <c r="M240" s="18">
        <v>46.659599999999998</v>
      </c>
      <c r="N240" s="18">
        <v>227.58879999999999</v>
      </c>
      <c r="O240" s="18">
        <f t="shared" si="11"/>
        <v>44.569925000000005</v>
      </c>
      <c r="P240" s="7"/>
      <c r="Q240" s="10"/>
      <c r="R240" s="11"/>
      <c r="S240" s="11"/>
      <c r="T240" s="26"/>
      <c r="U240" s="28">
        <f t="shared" si="9"/>
        <v>0.15679983734878511</v>
      </c>
    </row>
    <row r="241" spans="2:21" x14ac:dyDescent="0.25">
      <c r="B241" s="9"/>
      <c r="C241" s="17">
        <v>939.1728515625</v>
      </c>
      <c r="D241" s="18">
        <v>41.802</v>
      </c>
      <c r="E241" s="18">
        <v>43.906999999999996</v>
      </c>
      <c r="F241" s="18">
        <v>44.149000000000001</v>
      </c>
      <c r="G241" s="18">
        <v>207.24</v>
      </c>
      <c r="H241" s="18">
        <f t="shared" si="10"/>
        <v>42.358499999999999</v>
      </c>
      <c r="I241" s="5"/>
      <c r="J241" s="17">
        <v>634.89679999999998</v>
      </c>
      <c r="K241" s="18">
        <v>41.244399999999999</v>
      </c>
      <c r="L241" s="18">
        <v>43.974800000000002</v>
      </c>
      <c r="M241" s="18">
        <v>44.237900000000003</v>
      </c>
      <c r="N241" s="18">
        <v>248.65309999999999</v>
      </c>
      <c r="O241" s="18">
        <f t="shared" si="11"/>
        <v>41.959887500000001</v>
      </c>
      <c r="P241" s="7"/>
      <c r="Q241" s="10"/>
      <c r="R241" s="11"/>
      <c r="S241" s="11"/>
      <c r="T241" s="26"/>
      <c r="U241" s="28">
        <f t="shared" si="9"/>
        <v>0.19983159621694646</v>
      </c>
    </row>
    <row r="242" spans="2:21" ht="16.5" thickBot="1" x14ac:dyDescent="0.3">
      <c r="B242" s="12"/>
      <c r="C242" s="19">
        <v>501.2119140625</v>
      </c>
      <c r="D242" s="20">
        <v>38.503999999999998</v>
      </c>
      <c r="E242" s="20">
        <v>40.975000000000001</v>
      </c>
      <c r="F242" s="20">
        <v>41.207000000000001</v>
      </c>
      <c r="G242" s="20">
        <v>230.16</v>
      </c>
      <c r="H242" s="20">
        <f t="shared" si="10"/>
        <v>39.150750000000002</v>
      </c>
      <c r="I242" s="5"/>
      <c r="J242" s="19">
        <v>337.28789999999998</v>
      </c>
      <c r="K242" s="20">
        <v>37.015500000000003</v>
      </c>
      <c r="L242" s="20">
        <v>40.268900000000002</v>
      </c>
      <c r="M242" s="20">
        <v>40.543300000000002</v>
      </c>
      <c r="N242" s="20">
        <v>347.22219999999999</v>
      </c>
      <c r="O242" s="20">
        <f t="shared" si="11"/>
        <v>37.863149999999997</v>
      </c>
      <c r="P242" s="7"/>
      <c r="Q242" s="13"/>
      <c r="R242" s="14"/>
      <c r="S242" s="14"/>
      <c r="T242" s="27"/>
      <c r="U242" s="28">
        <f t="shared" si="9"/>
        <v>0.50861226972540841</v>
      </c>
    </row>
    <row r="243" spans="2:21" x14ac:dyDescent="0.25">
      <c r="B243" s="6" t="s">
        <v>113</v>
      </c>
      <c r="C243" s="29">
        <v>1706.587890625</v>
      </c>
      <c r="D243" s="30">
        <v>31.315999999999999</v>
      </c>
      <c r="E243" s="30">
        <v>35.030999999999999</v>
      </c>
      <c r="F243" s="30">
        <v>33.764000000000003</v>
      </c>
      <c r="G243" s="16">
        <v>144.35</v>
      </c>
      <c r="H243" s="16">
        <f t="shared" si="10"/>
        <v>32.086374999999997</v>
      </c>
      <c r="I243" s="5"/>
      <c r="J243" s="29">
        <v>1506.1197</v>
      </c>
      <c r="K243" s="30">
        <v>32.323900000000002</v>
      </c>
      <c r="L243" s="30">
        <v>36.522199999999998</v>
      </c>
      <c r="M243" s="30">
        <v>35.4251</v>
      </c>
      <c r="N243" s="16">
        <v>181.68969999999999</v>
      </c>
      <c r="O243" s="16">
        <f t="shared" si="11"/>
        <v>33.236337499999998</v>
      </c>
      <c r="P243" s="7"/>
      <c r="Q243" s="8">
        <f>bdrate(C243:C246,D243:D246,J243:J246,K243:K246)</f>
        <v>-0.2579402389195774</v>
      </c>
      <c r="R243" s="8">
        <f>bdrate(C243:C246,E243:E246,J243:J246,L243:L246)</f>
        <v>-0.55461923668674462</v>
      </c>
      <c r="S243" s="8">
        <f>bdrate(C243:C246,F243:F246,J243:J246,M243:M246)</f>
        <v>-0.55629564766582917</v>
      </c>
      <c r="T243" s="25">
        <f>bdrate(C243:C246,H243:H246,J243:J246,O243:O246)</f>
        <v>-0.32683900650908781</v>
      </c>
      <c r="U243" s="28">
        <f t="shared" si="9"/>
        <v>0.25867474887426389</v>
      </c>
    </row>
    <row r="244" spans="2:21" x14ac:dyDescent="0.25">
      <c r="B244" s="9"/>
      <c r="C244" s="31">
        <v>1177.84375</v>
      </c>
      <c r="D244" s="32">
        <v>29.77</v>
      </c>
      <c r="E244" s="32">
        <v>33.835999999999999</v>
      </c>
      <c r="F244" s="32">
        <v>32.540999999999997</v>
      </c>
      <c r="G244" s="18">
        <v>157.72999999999999</v>
      </c>
      <c r="H244" s="18">
        <f t="shared" si="10"/>
        <v>30.624625000000002</v>
      </c>
      <c r="I244" s="5"/>
      <c r="J244" s="31">
        <v>1004.3307</v>
      </c>
      <c r="K244" s="32">
        <v>30.424900000000001</v>
      </c>
      <c r="L244" s="32">
        <v>35.454300000000003</v>
      </c>
      <c r="M244" s="32">
        <v>34.299500000000002</v>
      </c>
      <c r="N244" s="18">
        <v>213.27010000000001</v>
      </c>
      <c r="O244" s="18">
        <f t="shared" si="11"/>
        <v>31.537899999999997</v>
      </c>
      <c r="P244" s="7"/>
      <c r="Q244" s="10"/>
      <c r="R244" s="11"/>
      <c r="S244" s="11"/>
      <c r="T244" s="26"/>
      <c r="U244" s="28">
        <f t="shared" si="9"/>
        <v>0.35212134660495803</v>
      </c>
    </row>
    <row r="245" spans="2:21" x14ac:dyDescent="0.25">
      <c r="B245" s="9"/>
      <c r="C245" s="31">
        <v>807.1904296875</v>
      </c>
      <c r="D245" s="32">
        <v>28.29</v>
      </c>
      <c r="E245" s="32">
        <v>32.625999999999998</v>
      </c>
      <c r="F245" s="32">
        <v>31.324999999999999</v>
      </c>
      <c r="G245" s="18">
        <v>159.81</v>
      </c>
      <c r="H245" s="18">
        <f t="shared" si="10"/>
        <v>29.211375</v>
      </c>
      <c r="I245" s="5"/>
      <c r="J245" s="31">
        <v>602.17920000000004</v>
      </c>
      <c r="K245" s="32">
        <v>28.213200000000001</v>
      </c>
      <c r="L245" s="32">
        <v>34.183700000000002</v>
      </c>
      <c r="M245" s="32">
        <v>32.933199999999999</v>
      </c>
      <c r="N245" s="18">
        <v>255.79079999999999</v>
      </c>
      <c r="O245" s="18">
        <f t="shared" si="11"/>
        <v>29.549512499999999</v>
      </c>
      <c r="P245" s="7"/>
      <c r="Q245" s="10"/>
      <c r="R245" s="11"/>
      <c r="S245" s="11"/>
      <c r="T245" s="26"/>
      <c r="U245" s="28">
        <f t="shared" si="9"/>
        <v>0.60059320443026087</v>
      </c>
    </row>
    <row r="246" spans="2:21" ht="16.5" thickBot="1" x14ac:dyDescent="0.3">
      <c r="B246" s="12"/>
      <c r="C246" s="33">
        <v>561.96875</v>
      </c>
      <c r="D246" s="34">
        <v>26.759</v>
      </c>
      <c r="E246" s="34">
        <v>31.294</v>
      </c>
      <c r="F246" s="34">
        <v>30.024999999999999</v>
      </c>
      <c r="G246" s="20">
        <v>167.85</v>
      </c>
      <c r="H246" s="20">
        <f t="shared" si="10"/>
        <v>27.734125000000002</v>
      </c>
      <c r="I246" s="5"/>
      <c r="J246" s="33">
        <v>303.7543</v>
      </c>
      <c r="K246" s="34">
        <v>25.672000000000001</v>
      </c>
      <c r="L246" s="34">
        <v>32.36</v>
      </c>
      <c r="M246" s="34">
        <v>30.966899999999999</v>
      </c>
      <c r="N246" s="20">
        <v>320.51280000000003</v>
      </c>
      <c r="O246" s="20">
        <f t="shared" si="11"/>
        <v>27.169862500000001</v>
      </c>
      <c r="P246" s="7"/>
      <c r="Q246" s="13"/>
      <c r="R246" s="14"/>
      <c r="S246" s="14"/>
      <c r="T246" s="27"/>
      <c r="U246" s="28">
        <f t="shared" si="9"/>
        <v>0.90951921358355692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-0.39272576227418665</v>
      </c>
      <c r="R247" s="21">
        <f>AVERAGE(R131:R246)</f>
        <v>-0.4658484807793023</v>
      </c>
      <c r="S247" s="21">
        <f>AVERAGE(S131:S246)</f>
        <v>-0.47106174309392446</v>
      </c>
      <c r="T247" s="21">
        <f>AVERAGE(T131:T246)</f>
        <v>-0.41070712055461389</v>
      </c>
      <c r="U247" s="21">
        <f>AVERAGE(U131:U246)</f>
        <v>0.70555048026688183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351" priority="85" operator="greaterThan">
      <formula>0.03</formula>
    </cfRule>
    <cfRule type="cellIs" dxfId="350" priority="86" stopIfTrue="1" operator="lessThan">
      <formula>-0.03</formula>
    </cfRule>
  </conditionalFormatting>
  <conditionalFormatting sqref="Q33:T36">
    <cfRule type="cellIs" dxfId="349" priority="83" operator="greaterThan">
      <formula>0.03</formula>
    </cfRule>
    <cfRule type="cellIs" dxfId="348" priority="84" stopIfTrue="1" operator="lessThan">
      <formula>-0.03</formula>
    </cfRule>
  </conditionalFormatting>
  <conditionalFormatting sqref="Q46:T48 Q62:T64">
    <cfRule type="cellIs" dxfId="347" priority="81" operator="greaterThan">
      <formula>0.03</formula>
    </cfRule>
    <cfRule type="cellIs" dxfId="346" priority="82" stopIfTrue="1" operator="lessThan">
      <formula>-0.03</formula>
    </cfRule>
  </conditionalFormatting>
  <conditionalFormatting sqref="Q50:T52 Q54:T56 Q58:T60">
    <cfRule type="cellIs" dxfId="345" priority="79" operator="greaterThan">
      <formula>0.03</formula>
    </cfRule>
    <cfRule type="cellIs" dxfId="344" priority="80" stopIfTrue="1" operator="lessThan">
      <formula>-0.03</formula>
    </cfRule>
  </conditionalFormatting>
  <conditionalFormatting sqref="Q70:T72 Q74:T76">
    <cfRule type="cellIs" dxfId="343" priority="77" operator="greaterThan">
      <formula>0.03</formula>
    </cfRule>
    <cfRule type="cellIs" dxfId="342" priority="78" stopIfTrue="1" operator="lessThan">
      <formula>-0.03</formula>
    </cfRule>
  </conditionalFormatting>
  <conditionalFormatting sqref="Q66:T68">
    <cfRule type="cellIs" dxfId="341" priority="75" operator="greaterThan">
      <formula>0.03</formula>
    </cfRule>
    <cfRule type="cellIs" dxfId="340" priority="76" stopIfTrue="1" operator="lessThan">
      <formula>-0.03</formula>
    </cfRule>
  </conditionalFormatting>
  <conditionalFormatting sqref="Q78:T80">
    <cfRule type="cellIs" dxfId="339" priority="73" operator="greaterThan">
      <formula>0.03</formula>
    </cfRule>
    <cfRule type="cellIs" dxfId="338" priority="74" stopIfTrue="1" operator="lessThan">
      <formula>-0.03</formula>
    </cfRule>
  </conditionalFormatting>
  <conditionalFormatting sqref="Q21:T28">
    <cfRule type="cellIs" dxfId="337" priority="71" operator="greaterThan">
      <formula>0.03</formula>
    </cfRule>
    <cfRule type="cellIs" dxfId="336" priority="72" stopIfTrue="1" operator="lessThan">
      <formula>-0.03</formula>
    </cfRule>
  </conditionalFormatting>
  <conditionalFormatting sqref="Q151:T154 Q159:T166 Q131:T142">
    <cfRule type="cellIs" dxfId="335" priority="69" operator="greaterThan">
      <formula>0.03</formula>
    </cfRule>
    <cfRule type="cellIs" dxfId="334" priority="70" stopIfTrue="1" operator="lessThan">
      <formula>-0.03</formula>
    </cfRule>
  </conditionalFormatting>
  <conditionalFormatting sqref="Q155:T158">
    <cfRule type="cellIs" dxfId="333" priority="67" operator="greaterThan">
      <formula>0.03</formula>
    </cfRule>
    <cfRule type="cellIs" dxfId="332" priority="68" stopIfTrue="1" operator="lessThan">
      <formula>-0.03</formula>
    </cfRule>
  </conditionalFormatting>
  <conditionalFormatting sqref="Q167:T170 Q183:T186">
    <cfRule type="cellIs" dxfId="331" priority="65" operator="greaterThan">
      <formula>0.03</formula>
    </cfRule>
    <cfRule type="cellIs" dxfId="330" priority="66" stopIfTrue="1" operator="lessThan">
      <formula>-0.03</formula>
    </cfRule>
  </conditionalFormatting>
  <conditionalFormatting sqref="Q171:T182">
    <cfRule type="cellIs" dxfId="329" priority="63" operator="greaterThan">
      <formula>0.03</formula>
    </cfRule>
    <cfRule type="cellIs" dxfId="328" priority="64" stopIfTrue="1" operator="lessThan">
      <formula>-0.03</formula>
    </cfRule>
  </conditionalFormatting>
  <conditionalFormatting sqref="Q191:T198">
    <cfRule type="cellIs" dxfId="327" priority="61" operator="greaterThan">
      <formula>0.03</formula>
    </cfRule>
    <cfRule type="cellIs" dxfId="326" priority="62" stopIfTrue="1" operator="lessThan">
      <formula>-0.03</formula>
    </cfRule>
  </conditionalFormatting>
  <conditionalFormatting sqref="Q187:T190">
    <cfRule type="cellIs" dxfId="325" priority="59" operator="greaterThan">
      <formula>0.03</formula>
    </cfRule>
    <cfRule type="cellIs" dxfId="324" priority="60" stopIfTrue="1" operator="lessThan">
      <formula>-0.03</formula>
    </cfRule>
  </conditionalFormatting>
  <conditionalFormatting sqref="Q199:T202">
    <cfRule type="cellIs" dxfId="323" priority="57" operator="greaterThan">
      <formula>0.03</formula>
    </cfRule>
    <cfRule type="cellIs" dxfId="322" priority="58" stopIfTrue="1" operator="lessThan">
      <formula>-0.03</formula>
    </cfRule>
  </conditionalFormatting>
  <conditionalFormatting sqref="Q143:T150">
    <cfRule type="cellIs" dxfId="321" priority="55" operator="greaterThan">
      <formula>0.03</formula>
    </cfRule>
    <cfRule type="cellIs" dxfId="320" priority="56" stopIfTrue="1" operator="lessThan">
      <formula>-0.03</formula>
    </cfRule>
  </conditionalFormatting>
  <conditionalFormatting sqref="Q45:T45">
    <cfRule type="cellIs" dxfId="319" priority="53" operator="greaterThan">
      <formula>0.03</formula>
    </cfRule>
    <cfRule type="cellIs" dxfId="318" priority="54" stopIfTrue="1" operator="lessThan">
      <formula>-0.03</formula>
    </cfRule>
  </conditionalFormatting>
  <conditionalFormatting sqref="Q49:T49">
    <cfRule type="cellIs" dxfId="317" priority="51" operator="greaterThan">
      <formula>0.03</formula>
    </cfRule>
    <cfRule type="cellIs" dxfId="316" priority="52" stopIfTrue="1" operator="lessThan">
      <formula>-0.03</formula>
    </cfRule>
  </conditionalFormatting>
  <conditionalFormatting sqref="Q53:T53">
    <cfRule type="cellIs" dxfId="315" priority="49" operator="greaterThan">
      <formula>0.03</formula>
    </cfRule>
    <cfRule type="cellIs" dxfId="314" priority="50" stopIfTrue="1" operator="lessThan">
      <formula>-0.03</formula>
    </cfRule>
  </conditionalFormatting>
  <conditionalFormatting sqref="Q57:T57">
    <cfRule type="cellIs" dxfId="313" priority="47" operator="greaterThan">
      <formula>0.03</formula>
    </cfRule>
    <cfRule type="cellIs" dxfId="312" priority="48" stopIfTrue="1" operator="lessThan">
      <formula>-0.03</formula>
    </cfRule>
  </conditionalFormatting>
  <conditionalFormatting sqref="Q61:T61">
    <cfRule type="cellIs" dxfId="311" priority="45" operator="greaterThan">
      <formula>0.03</formula>
    </cfRule>
    <cfRule type="cellIs" dxfId="310" priority="46" stopIfTrue="1" operator="lessThan">
      <formula>-0.03</formula>
    </cfRule>
  </conditionalFormatting>
  <conditionalFormatting sqref="Q65:T65">
    <cfRule type="cellIs" dxfId="309" priority="43" operator="greaterThan">
      <formula>0.03</formula>
    </cfRule>
    <cfRule type="cellIs" dxfId="308" priority="44" stopIfTrue="1" operator="lessThan">
      <formula>-0.03</formula>
    </cfRule>
  </conditionalFormatting>
  <conditionalFormatting sqref="Q69:T69">
    <cfRule type="cellIs" dxfId="307" priority="41" operator="greaterThan">
      <formula>0.03</formula>
    </cfRule>
    <cfRule type="cellIs" dxfId="306" priority="42" stopIfTrue="1" operator="lessThan">
      <formula>-0.03</formula>
    </cfRule>
  </conditionalFormatting>
  <conditionalFormatting sqref="Q73:T73">
    <cfRule type="cellIs" dxfId="305" priority="39" operator="greaterThan">
      <formula>0.03</formula>
    </cfRule>
    <cfRule type="cellIs" dxfId="304" priority="40" stopIfTrue="1" operator="lessThan">
      <formula>-0.03</formula>
    </cfRule>
  </conditionalFormatting>
  <conditionalFormatting sqref="Q77:T77">
    <cfRule type="cellIs" dxfId="303" priority="37" operator="greaterThan">
      <formula>0.03</formula>
    </cfRule>
    <cfRule type="cellIs" dxfId="302" priority="38" stopIfTrue="1" operator="lessThan">
      <formula>-0.03</formula>
    </cfRule>
  </conditionalFormatting>
  <conditionalFormatting sqref="Q117:T117">
    <cfRule type="cellIs" dxfId="301" priority="21" operator="greaterThan">
      <formula>0.03</formula>
    </cfRule>
    <cfRule type="cellIs" dxfId="300" priority="22" stopIfTrue="1" operator="lessThan">
      <formula>-0.03</formula>
    </cfRule>
  </conditionalFormatting>
  <conditionalFormatting sqref="Q93:T96 Q101:T108 Q81:T84">
    <cfRule type="cellIs" dxfId="299" priority="35" operator="greaterThan">
      <formula>0.03</formula>
    </cfRule>
    <cfRule type="cellIs" dxfId="298" priority="36" stopIfTrue="1" operator="lessThan">
      <formula>-0.03</formula>
    </cfRule>
  </conditionalFormatting>
  <conditionalFormatting sqref="Q97:T100">
    <cfRule type="cellIs" dxfId="297" priority="33" operator="greaterThan">
      <formula>0.03</formula>
    </cfRule>
    <cfRule type="cellIs" dxfId="296" priority="34" stopIfTrue="1" operator="lessThan">
      <formula>-0.03</formula>
    </cfRule>
  </conditionalFormatting>
  <conditionalFormatting sqref="Q110:T112 Q122:T124">
    <cfRule type="cellIs" dxfId="295" priority="31" operator="greaterThan">
      <formula>0.03</formula>
    </cfRule>
    <cfRule type="cellIs" dxfId="294" priority="32" stopIfTrue="1" operator="lessThan">
      <formula>-0.03</formula>
    </cfRule>
  </conditionalFormatting>
  <conditionalFormatting sqref="Q114:T116 Q118:T120">
    <cfRule type="cellIs" dxfId="293" priority="29" operator="greaterThan">
      <formula>0.03</formula>
    </cfRule>
    <cfRule type="cellIs" dxfId="292" priority="30" stopIfTrue="1" operator="lessThan">
      <formula>-0.03</formula>
    </cfRule>
  </conditionalFormatting>
  <conditionalFormatting sqref="Q85:T92">
    <cfRule type="cellIs" dxfId="291" priority="27" operator="greaterThan">
      <formula>0.03</formula>
    </cfRule>
    <cfRule type="cellIs" dxfId="290" priority="28" stopIfTrue="1" operator="lessThan">
      <formula>-0.03</formula>
    </cfRule>
  </conditionalFormatting>
  <conditionalFormatting sqref="Q109:T109">
    <cfRule type="cellIs" dxfId="289" priority="25" operator="greaterThan">
      <formula>0.03</formula>
    </cfRule>
    <cfRule type="cellIs" dxfId="288" priority="26" stopIfTrue="1" operator="lessThan">
      <formula>-0.03</formula>
    </cfRule>
  </conditionalFormatting>
  <conditionalFormatting sqref="Q113:T113">
    <cfRule type="cellIs" dxfId="287" priority="23" operator="greaterThan">
      <formula>0.03</formula>
    </cfRule>
    <cfRule type="cellIs" dxfId="286" priority="24" stopIfTrue="1" operator="lessThan">
      <formula>-0.03</formula>
    </cfRule>
  </conditionalFormatting>
  <conditionalFormatting sqref="Q121:T121">
    <cfRule type="cellIs" dxfId="285" priority="19" operator="greaterThan">
      <formula>0.03</formula>
    </cfRule>
    <cfRule type="cellIs" dxfId="284" priority="20" stopIfTrue="1" operator="lessThan">
      <formula>-0.03</formula>
    </cfRule>
  </conditionalFormatting>
  <conditionalFormatting sqref="Q239:T239">
    <cfRule type="cellIs" dxfId="283" priority="3" operator="greaterThan">
      <formula>0.03</formula>
    </cfRule>
    <cfRule type="cellIs" dxfId="282" priority="4" stopIfTrue="1" operator="lessThan">
      <formula>-0.03</formula>
    </cfRule>
  </conditionalFormatting>
  <conditionalFormatting sqref="Q215:T218 Q223:T230 Q203:T206">
    <cfRule type="cellIs" dxfId="281" priority="17" operator="greaterThan">
      <formula>0.03</formula>
    </cfRule>
    <cfRule type="cellIs" dxfId="280" priority="18" stopIfTrue="1" operator="lessThan">
      <formula>-0.03</formula>
    </cfRule>
  </conditionalFormatting>
  <conditionalFormatting sqref="Q219:T222">
    <cfRule type="cellIs" dxfId="279" priority="15" operator="greaterThan">
      <formula>0.03</formula>
    </cfRule>
    <cfRule type="cellIs" dxfId="278" priority="16" stopIfTrue="1" operator="lessThan">
      <formula>-0.03</formula>
    </cfRule>
  </conditionalFormatting>
  <conditionalFormatting sqref="Q232:T234 Q244:T246">
    <cfRule type="cellIs" dxfId="277" priority="13" operator="greaterThan">
      <formula>0.03</formula>
    </cfRule>
    <cfRule type="cellIs" dxfId="276" priority="14" stopIfTrue="1" operator="lessThan">
      <formula>-0.03</formula>
    </cfRule>
  </conditionalFormatting>
  <conditionalFormatting sqref="Q236:T238 Q240:T242">
    <cfRule type="cellIs" dxfId="275" priority="11" operator="greaterThan">
      <formula>0.03</formula>
    </cfRule>
    <cfRule type="cellIs" dxfId="274" priority="12" stopIfTrue="1" operator="lessThan">
      <formula>-0.03</formula>
    </cfRule>
  </conditionalFormatting>
  <conditionalFormatting sqref="Q207:T214">
    <cfRule type="cellIs" dxfId="273" priority="9" operator="greaterThan">
      <formula>0.03</formula>
    </cfRule>
    <cfRule type="cellIs" dxfId="272" priority="10" stopIfTrue="1" operator="lessThan">
      <formula>-0.03</formula>
    </cfRule>
  </conditionalFormatting>
  <conditionalFormatting sqref="Q231:T231">
    <cfRule type="cellIs" dxfId="271" priority="7" operator="greaterThan">
      <formula>0.03</formula>
    </cfRule>
    <cfRule type="cellIs" dxfId="270" priority="8" stopIfTrue="1" operator="lessThan">
      <formula>-0.03</formula>
    </cfRule>
  </conditionalFormatting>
  <conditionalFormatting sqref="Q235:T235">
    <cfRule type="cellIs" dxfId="269" priority="5" operator="greaterThan">
      <formula>0.03</formula>
    </cfRule>
    <cfRule type="cellIs" dxfId="268" priority="6" stopIfTrue="1" operator="lessThan">
      <formula>-0.03</formula>
    </cfRule>
  </conditionalFormatting>
  <conditionalFormatting sqref="Q243:T243">
    <cfRule type="cellIs" dxfId="267" priority="1" operator="greaterThan">
      <formula>0.03</formula>
    </cfRule>
    <cfRule type="cellIs" dxfId="266" priority="2" stopIfTrue="1" operator="lessThan">
      <formula>-0.03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>
      <selection sqref="A1:XFD1048576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133</v>
      </c>
    </row>
    <row r="2" spans="1:21" x14ac:dyDescent="0.25">
      <c r="A2" t="s">
        <v>85</v>
      </c>
    </row>
    <row r="3" spans="1:21" x14ac:dyDescent="0.25">
      <c r="A3" t="s">
        <v>92</v>
      </c>
    </row>
    <row r="4" spans="1:21" x14ac:dyDescent="0.25">
      <c r="A4" t="s">
        <v>85</v>
      </c>
    </row>
    <row r="5" spans="1:21" s="35" customFormat="1" ht="15.75" customHeight="1" x14ac:dyDescent="0.25">
      <c r="B5" s="58" t="s">
        <v>29</v>
      </c>
      <c r="C5" s="60" t="s">
        <v>137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2"/>
    </row>
    <row r="6" spans="1:21" s="35" customFormat="1" x14ac:dyDescent="0.25">
      <c r="B6" s="59"/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5"/>
    </row>
    <row r="7" spans="1:21" ht="16.5" customHeight="1" thickBot="1" x14ac:dyDescent="0.3">
      <c r="C7" s="66" t="s">
        <v>131</v>
      </c>
      <c r="D7" s="67"/>
      <c r="E7" s="67"/>
      <c r="F7" s="67"/>
      <c r="G7" s="67"/>
      <c r="H7" s="67"/>
      <c r="I7" s="5"/>
      <c r="J7" s="66" t="s">
        <v>138</v>
      </c>
      <c r="K7" s="67"/>
      <c r="L7" s="67"/>
      <c r="M7" s="67"/>
      <c r="N7" s="67"/>
      <c r="O7" s="67"/>
      <c r="Q7" s="66" t="s">
        <v>7</v>
      </c>
      <c r="R7" s="67"/>
      <c r="S7" s="68"/>
      <c r="T7" s="36"/>
      <c r="U7" s="6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9"/>
    </row>
    <row r="9" spans="1:21" x14ac:dyDescent="0.25">
      <c r="A9" s="6" t="s">
        <v>35</v>
      </c>
      <c r="B9" s="6" t="s">
        <v>46</v>
      </c>
      <c r="C9" s="15">
        <v>4274.2587890625</v>
      </c>
      <c r="D9" s="16">
        <v>38.317</v>
      </c>
      <c r="E9" s="16">
        <v>39.488999999999997</v>
      </c>
      <c r="F9" s="16">
        <v>41.970999999999997</v>
      </c>
      <c r="G9" s="16">
        <v>1.56</v>
      </c>
      <c r="H9" s="16">
        <f t="shared" ref="H9:H80" si="0">(6*D9+E9+F9)/8</f>
        <v>38.920249999999996</v>
      </c>
      <c r="I9" s="5"/>
      <c r="J9" s="15">
        <v>4098.576</v>
      </c>
      <c r="K9" s="16">
        <v>38.532800000000002</v>
      </c>
      <c r="L9" s="16">
        <v>40.193899999999999</v>
      </c>
      <c r="M9" s="16">
        <v>42.944000000000003</v>
      </c>
      <c r="N9" s="16">
        <v>3.3666999999999998</v>
      </c>
      <c r="O9" s="16">
        <f t="shared" ref="O9:O80" si="1">(6*K9+L9+M9)/8</f>
        <v>39.2918375</v>
      </c>
      <c r="P9" s="7"/>
      <c r="Q9" s="8">
        <f>bdrate(C9:C12,D9:D12,J9:J12,K9:K12)</f>
        <v>-0.21002020085542217</v>
      </c>
      <c r="R9" s="8">
        <f>bdrate(C9:C12,E9:E12,J9:J12,L9:L12)</f>
        <v>-0.48516733710880067</v>
      </c>
      <c r="S9" s="8">
        <f>bdrate(C9:C12,F9:F12,J9:J12,M9:M12)</f>
        <v>-0.47958084305696369</v>
      </c>
      <c r="T9" s="25">
        <f>bdrate(C9:C12,H9:H12,J9:J12,O9:O12)</f>
        <v>-0.26150524167414735</v>
      </c>
      <c r="U9" s="28">
        <f t="shared" ref="U9:U72" si="2">(N9-G9)/G9</f>
        <v>1.1581410256410254</v>
      </c>
    </row>
    <row r="10" spans="1:21" x14ac:dyDescent="0.25">
      <c r="A10" s="9" t="s">
        <v>36</v>
      </c>
      <c r="B10" s="9"/>
      <c r="C10" s="17">
        <v>3164.6015625</v>
      </c>
      <c r="D10" s="18">
        <v>37.188000000000002</v>
      </c>
      <c r="E10" s="18">
        <v>38.786999999999999</v>
      </c>
      <c r="F10" s="18">
        <v>41.180999999999997</v>
      </c>
      <c r="G10" s="18">
        <v>1.75</v>
      </c>
      <c r="H10" s="18">
        <f t="shared" si="0"/>
        <v>37.887</v>
      </c>
      <c r="I10" s="5"/>
      <c r="J10" s="17">
        <v>3023.8</v>
      </c>
      <c r="K10" s="18">
        <v>37.631300000000003</v>
      </c>
      <c r="L10" s="18">
        <v>39.732100000000003</v>
      </c>
      <c r="M10" s="18">
        <v>42.316499999999998</v>
      </c>
      <c r="N10" s="18">
        <v>3.8786999999999998</v>
      </c>
      <c r="O10" s="18">
        <f t="shared" si="1"/>
        <v>38.479550000000003</v>
      </c>
      <c r="P10" s="7"/>
      <c r="Q10" s="10"/>
      <c r="R10" s="11"/>
      <c r="S10" s="11"/>
      <c r="T10" s="26"/>
      <c r="U10" s="28">
        <f t="shared" si="2"/>
        <v>1.2163999999999999</v>
      </c>
    </row>
    <row r="11" spans="1:21" x14ac:dyDescent="0.25">
      <c r="B11" s="9"/>
      <c r="C11" s="17">
        <v>2099.3671875</v>
      </c>
      <c r="D11" s="18">
        <v>35.57</v>
      </c>
      <c r="E11" s="18">
        <v>37.832000000000001</v>
      </c>
      <c r="F11" s="18">
        <v>40.192999999999998</v>
      </c>
      <c r="G11" s="18">
        <v>2.06</v>
      </c>
      <c r="H11" s="18">
        <f t="shared" si="0"/>
        <v>36.430624999999999</v>
      </c>
      <c r="I11" s="5"/>
      <c r="J11" s="17">
        <v>1988.6464000000001</v>
      </c>
      <c r="K11" s="18">
        <v>36.2746</v>
      </c>
      <c r="L11" s="18">
        <v>39.093800000000002</v>
      </c>
      <c r="M11" s="18">
        <v>41.531799999999997</v>
      </c>
      <c r="N11" s="18">
        <v>4.718</v>
      </c>
      <c r="O11" s="18">
        <f t="shared" si="1"/>
        <v>37.284149999999997</v>
      </c>
      <c r="P11" s="7"/>
      <c r="Q11" s="10"/>
      <c r="R11" s="11"/>
      <c r="S11" s="11"/>
      <c r="T11" s="26"/>
      <c r="U11" s="28">
        <f t="shared" si="2"/>
        <v>1.2902912621359222</v>
      </c>
    </row>
    <row r="12" spans="1:21" ht="16.5" thickBot="1" x14ac:dyDescent="0.3">
      <c r="B12" s="12"/>
      <c r="C12" s="19">
        <v>1056.3671875</v>
      </c>
      <c r="D12" s="20">
        <v>32.756999999999998</v>
      </c>
      <c r="E12" s="20">
        <v>36.201000000000001</v>
      </c>
      <c r="F12" s="20">
        <v>38.619999999999997</v>
      </c>
      <c r="G12" s="20">
        <v>2.52</v>
      </c>
      <c r="H12" s="20">
        <f t="shared" si="0"/>
        <v>33.920374999999993</v>
      </c>
      <c r="I12" s="5"/>
      <c r="J12" s="19">
        <v>938.66719999999998</v>
      </c>
      <c r="K12" s="20">
        <v>33.577300000000001</v>
      </c>
      <c r="L12" s="20">
        <v>37.751399999999997</v>
      </c>
      <c r="M12" s="20">
        <v>40.023200000000003</v>
      </c>
      <c r="N12" s="20">
        <v>6.2721999999999998</v>
      </c>
      <c r="O12" s="20">
        <f t="shared" si="1"/>
        <v>34.904799999999994</v>
      </c>
      <c r="P12" s="7"/>
      <c r="Q12" s="13"/>
      <c r="R12" s="14"/>
      <c r="S12" s="14"/>
      <c r="T12" s="27"/>
      <c r="U12" s="28">
        <f t="shared" si="2"/>
        <v>1.4889682539682538</v>
      </c>
    </row>
    <row r="13" spans="1:21" x14ac:dyDescent="0.25">
      <c r="B13" s="6" t="s">
        <v>47</v>
      </c>
      <c r="C13" s="15">
        <v>4885.2216796875</v>
      </c>
      <c r="D13" s="16">
        <v>29.326000000000001</v>
      </c>
      <c r="E13" s="16">
        <v>40.204000000000001</v>
      </c>
      <c r="F13" s="16">
        <v>41.026000000000003</v>
      </c>
      <c r="G13" s="16">
        <v>1.85</v>
      </c>
      <c r="H13" s="16">
        <f t="shared" si="0"/>
        <v>32.148250000000004</v>
      </c>
      <c r="I13" s="5"/>
      <c r="J13" s="15">
        <v>4171.6624000000002</v>
      </c>
      <c r="K13" s="16">
        <v>30.087399999999999</v>
      </c>
      <c r="L13" s="16">
        <v>40.8673</v>
      </c>
      <c r="M13" s="16">
        <v>41.661299999999997</v>
      </c>
      <c r="N13" s="16">
        <v>2.5150999999999999</v>
      </c>
      <c r="O13" s="16">
        <f t="shared" si="1"/>
        <v>32.881625</v>
      </c>
      <c r="P13" s="7"/>
      <c r="Q13" s="8">
        <f>bdrate(C13:C16,D13:D16,J13:J16,K13:K16)</f>
        <v>-0.2103189360195219</v>
      </c>
      <c r="R13" s="8">
        <f>bdrate(C13:C16,E13:E16,J13:J16,L13:L16)</f>
        <v>-0.49525081173637031</v>
      </c>
      <c r="S13" s="8">
        <f>bdrate(C13:C16,F13:F16,J13:J16,M13:M16)</f>
        <v>-0.51104476953472933</v>
      </c>
      <c r="T13" s="25">
        <f>bdrate(C13:C16,H13:H16,J13:J16,O13:O16)</f>
        <v>-0.25972309254407155</v>
      </c>
      <c r="U13" s="28">
        <f t="shared" si="2"/>
        <v>0.35951351351351341</v>
      </c>
    </row>
    <row r="14" spans="1:21" x14ac:dyDescent="0.25">
      <c r="B14" s="9"/>
      <c r="C14" s="17">
        <v>3888.0546875</v>
      </c>
      <c r="D14" s="18">
        <v>28.600999999999999</v>
      </c>
      <c r="E14" s="18">
        <v>39.51</v>
      </c>
      <c r="F14" s="18">
        <v>40.442</v>
      </c>
      <c r="G14" s="18">
        <v>1.92</v>
      </c>
      <c r="H14" s="18">
        <f t="shared" si="0"/>
        <v>31.444749999999999</v>
      </c>
      <c r="I14" s="5"/>
      <c r="J14" s="17">
        <v>3137.7328000000002</v>
      </c>
      <c r="K14" s="18">
        <v>28.818000000000001</v>
      </c>
      <c r="L14" s="18">
        <v>40.359499999999997</v>
      </c>
      <c r="M14" s="18">
        <v>41.245899999999999</v>
      </c>
      <c r="N14" s="18">
        <v>2.8330000000000002</v>
      </c>
      <c r="O14" s="18">
        <f t="shared" si="1"/>
        <v>31.814175000000002</v>
      </c>
      <c r="P14" s="7"/>
      <c r="Q14" s="10"/>
      <c r="R14" s="11"/>
      <c r="S14" s="11"/>
      <c r="T14" s="26"/>
      <c r="U14" s="28">
        <f t="shared" si="2"/>
        <v>0.4755208333333335</v>
      </c>
    </row>
    <row r="15" spans="1:21" x14ac:dyDescent="0.25">
      <c r="B15" s="9"/>
      <c r="C15" s="17">
        <v>3144</v>
      </c>
      <c r="D15" s="18">
        <v>28.033000000000001</v>
      </c>
      <c r="E15" s="18">
        <v>38.555</v>
      </c>
      <c r="F15" s="18">
        <v>39.637999999999998</v>
      </c>
      <c r="G15" s="18">
        <v>1.93</v>
      </c>
      <c r="H15" s="18">
        <f t="shared" si="0"/>
        <v>30.798875000000002</v>
      </c>
      <c r="I15" s="5"/>
      <c r="J15" s="17">
        <v>2107.0351999999998</v>
      </c>
      <c r="K15" s="18">
        <v>27.0837</v>
      </c>
      <c r="L15" s="18">
        <v>39.616100000000003</v>
      </c>
      <c r="M15" s="18">
        <v>40.613700000000001</v>
      </c>
      <c r="N15" s="18">
        <v>3.3144999999999998</v>
      </c>
      <c r="O15" s="18">
        <f t="shared" si="1"/>
        <v>30.341500000000003</v>
      </c>
      <c r="P15" s="7"/>
      <c r="Q15" s="10"/>
      <c r="R15" s="11"/>
      <c r="S15" s="11"/>
      <c r="T15" s="26"/>
      <c r="U15" s="28">
        <f t="shared" si="2"/>
        <v>0.7173575129533678</v>
      </c>
    </row>
    <row r="16" spans="1:21" ht="16.5" thickBot="1" x14ac:dyDescent="0.3">
      <c r="B16" s="12"/>
      <c r="C16" s="19">
        <v>2722.0654296875</v>
      </c>
      <c r="D16" s="20">
        <v>27.611999999999998</v>
      </c>
      <c r="E16" s="20">
        <v>37.704000000000001</v>
      </c>
      <c r="F16" s="20">
        <v>38.893999999999998</v>
      </c>
      <c r="G16" s="20">
        <v>1.9</v>
      </c>
      <c r="H16" s="20">
        <f t="shared" si="0"/>
        <v>30.283750000000001</v>
      </c>
      <c r="I16" s="5"/>
      <c r="J16" s="19">
        <v>1377.5232000000001</v>
      </c>
      <c r="K16" s="20">
        <v>25.677199999999999</v>
      </c>
      <c r="L16" s="20">
        <v>38.4358</v>
      </c>
      <c r="M16" s="20">
        <v>39.520800000000001</v>
      </c>
      <c r="N16" s="20">
        <v>3.6366000000000001</v>
      </c>
      <c r="O16" s="20">
        <f t="shared" si="1"/>
        <v>29.002475</v>
      </c>
      <c r="P16" s="7"/>
      <c r="Q16" s="13"/>
      <c r="R16" s="14"/>
      <c r="S16" s="14"/>
      <c r="T16" s="27"/>
      <c r="U16" s="28">
        <f t="shared" si="2"/>
        <v>0.91400000000000015</v>
      </c>
    </row>
    <row r="17" spans="1:21" x14ac:dyDescent="0.25">
      <c r="A17" s="6" t="s">
        <v>37</v>
      </c>
      <c r="B17" s="6" t="s">
        <v>48</v>
      </c>
      <c r="C17" s="15">
        <v>2182.470703125</v>
      </c>
      <c r="D17" s="16">
        <v>38.820999999999998</v>
      </c>
      <c r="E17" s="16">
        <v>41.878</v>
      </c>
      <c r="F17" s="16">
        <v>43.222999999999999</v>
      </c>
      <c r="G17" s="16">
        <v>2.77</v>
      </c>
      <c r="H17" s="16">
        <f t="shared" si="0"/>
        <v>39.753374999999998</v>
      </c>
      <c r="I17" s="5"/>
      <c r="J17" s="15">
        <v>2378.8096</v>
      </c>
      <c r="K17" s="16">
        <v>39.498899999999999</v>
      </c>
      <c r="L17" s="16">
        <v>42.385599999999997</v>
      </c>
      <c r="M17" s="16">
        <v>44.088000000000001</v>
      </c>
      <c r="N17" s="16">
        <v>5.7127999999999997</v>
      </c>
      <c r="O17" s="16">
        <f t="shared" si="1"/>
        <v>40.433375000000005</v>
      </c>
      <c r="P17" s="7"/>
      <c r="Q17" s="8">
        <f>bdrate(C17:C20,D17:D20,J17:J20,K17:K20)</f>
        <v>-0.16827944981414833</v>
      </c>
      <c r="R17" s="8">
        <f>bdrate(C17:C20,E17:E20,J17:J20,L17:L20)</f>
        <v>-0.31611912537280418</v>
      </c>
      <c r="S17" s="8">
        <f>bdrate(C17:C20,F17:F20,J17:J20,M17:M20)</f>
        <v>-0.34655470517142628</v>
      </c>
      <c r="T17" s="25">
        <f>bdrate(C17:C20,H17:H20,J17:J20,O17:O20)</f>
        <v>-0.1973753510126085</v>
      </c>
      <c r="U17" s="28">
        <f t="shared" si="2"/>
        <v>1.0623826714801443</v>
      </c>
    </row>
    <row r="18" spans="1:21" x14ac:dyDescent="0.25">
      <c r="A18" s="9" t="s">
        <v>38</v>
      </c>
      <c r="B18" s="9"/>
      <c r="C18" s="17">
        <v>1528.2158203125</v>
      </c>
      <c r="D18" s="18">
        <v>37.679000000000002</v>
      </c>
      <c r="E18" s="18">
        <v>41.268999999999998</v>
      </c>
      <c r="F18" s="18">
        <v>42.514000000000003</v>
      </c>
      <c r="G18" s="18">
        <v>3.27</v>
      </c>
      <c r="H18" s="18">
        <f t="shared" si="0"/>
        <v>38.732125000000003</v>
      </c>
      <c r="I18" s="5"/>
      <c r="J18" s="17">
        <v>1577.6559999999999</v>
      </c>
      <c r="K18" s="18">
        <v>38.3551</v>
      </c>
      <c r="L18" s="18">
        <v>41.832700000000003</v>
      </c>
      <c r="M18" s="18">
        <v>43.311</v>
      </c>
      <c r="N18" s="18">
        <v>6.8163999999999998</v>
      </c>
      <c r="O18" s="18">
        <f t="shared" si="1"/>
        <v>39.409287499999998</v>
      </c>
      <c r="P18" s="7"/>
      <c r="Q18" s="10"/>
      <c r="R18" s="11"/>
      <c r="S18" s="11"/>
      <c r="T18" s="26"/>
      <c r="U18" s="28">
        <f t="shared" si="2"/>
        <v>1.0845259938837919</v>
      </c>
    </row>
    <row r="19" spans="1:21" x14ac:dyDescent="0.25">
      <c r="B19" s="9"/>
      <c r="C19" s="17">
        <v>980.3564453125</v>
      </c>
      <c r="D19" s="18">
        <v>36.258000000000003</v>
      </c>
      <c r="E19" s="18">
        <v>40.457000000000001</v>
      </c>
      <c r="F19" s="18">
        <v>41.655000000000001</v>
      </c>
      <c r="G19" s="18">
        <v>3.85</v>
      </c>
      <c r="H19" s="18">
        <f t="shared" si="0"/>
        <v>37.457499999999996</v>
      </c>
      <c r="I19" s="5"/>
      <c r="J19" s="17">
        <v>975.93759999999997</v>
      </c>
      <c r="K19" s="18">
        <v>36.856499999999997</v>
      </c>
      <c r="L19" s="18">
        <v>41.123699999999999</v>
      </c>
      <c r="M19" s="18">
        <v>42.4313</v>
      </c>
      <c r="N19" s="18">
        <v>8.3338999999999999</v>
      </c>
      <c r="O19" s="18">
        <f t="shared" si="1"/>
        <v>38.086750000000002</v>
      </c>
      <c r="P19" s="7"/>
      <c r="Q19" s="10"/>
      <c r="R19" s="11"/>
      <c r="S19" s="11"/>
      <c r="T19" s="26"/>
      <c r="U19" s="28">
        <f t="shared" si="2"/>
        <v>1.1646493506493507</v>
      </c>
    </row>
    <row r="20" spans="1:21" ht="16.5" thickBot="1" x14ac:dyDescent="0.3">
      <c r="B20" s="12"/>
      <c r="C20" s="19">
        <v>598.17578125</v>
      </c>
      <c r="D20" s="20">
        <v>34.695999999999998</v>
      </c>
      <c r="E20" s="20">
        <v>39.512</v>
      </c>
      <c r="F20" s="20">
        <v>40.799999999999997</v>
      </c>
      <c r="G20" s="20">
        <v>4.45</v>
      </c>
      <c r="H20" s="20">
        <f t="shared" si="0"/>
        <v>36.061</v>
      </c>
      <c r="I20" s="5"/>
      <c r="J20" s="19">
        <v>571.42639999999994</v>
      </c>
      <c r="K20" s="20">
        <v>35.079900000000002</v>
      </c>
      <c r="L20" s="20">
        <v>40.4161</v>
      </c>
      <c r="M20" s="20">
        <v>41.664400000000001</v>
      </c>
      <c r="N20" s="20">
        <v>10.297800000000001</v>
      </c>
      <c r="O20" s="20">
        <f t="shared" si="1"/>
        <v>36.569987499999996</v>
      </c>
      <c r="P20" s="7"/>
      <c r="Q20" s="13"/>
      <c r="R20" s="14"/>
      <c r="S20" s="14"/>
      <c r="T20" s="27"/>
      <c r="U20" s="28">
        <f t="shared" si="2"/>
        <v>1.3141123595505617</v>
      </c>
    </row>
    <row r="21" spans="1:21" x14ac:dyDescent="0.25">
      <c r="B21" s="6" t="s">
        <v>49</v>
      </c>
      <c r="C21" s="15">
        <v>2542.611328125</v>
      </c>
      <c r="D21" s="16">
        <v>36.295999999999999</v>
      </c>
      <c r="E21" s="16">
        <v>39.923000000000002</v>
      </c>
      <c r="F21" s="16">
        <v>41.006</v>
      </c>
      <c r="G21" s="16">
        <v>2.63</v>
      </c>
      <c r="H21" s="16">
        <f t="shared" si="0"/>
        <v>37.338125000000005</v>
      </c>
      <c r="I21" s="5"/>
      <c r="J21" s="15">
        <v>2538.3440000000001</v>
      </c>
      <c r="K21" s="16">
        <v>36.656199999999998</v>
      </c>
      <c r="L21" s="16">
        <v>40.796399999999998</v>
      </c>
      <c r="M21" s="16">
        <v>42.105200000000004</v>
      </c>
      <c r="N21" s="16">
        <v>5.3087</v>
      </c>
      <c r="O21" s="16">
        <f t="shared" si="1"/>
        <v>37.854849999999999</v>
      </c>
      <c r="P21" s="7"/>
      <c r="Q21" s="8">
        <f>bdrate(C21:C24,D21:D24,J21:J24,K21:K24)</f>
        <v>-0.16012303174638809</v>
      </c>
      <c r="R21" s="8">
        <f>bdrate(C21:C24,E21:E24,J21:J24,L21:L24)</f>
        <v>-0.43690373422282347</v>
      </c>
      <c r="S21" s="8">
        <f>bdrate(C21:C24,F21:F24,J21:J24,M21:M24)</f>
        <v>-0.46434393857618528</v>
      </c>
      <c r="T21" s="25">
        <f>bdrate(C21:C24,H21:H24,J21:J24,O21:O24)</f>
        <v>-0.2213772636864243</v>
      </c>
      <c r="U21" s="28">
        <f t="shared" si="2"/>
        <v>1.0185171102661599</v>
      </c>
    </row>
    <row r="22" spans="1:21" x14ac:dyDescent="0.25">
      <c r="B22" s="9"/>
      <c r="C22" s="17">
        <v>1708.75</v>
      </c>
      <c r="D22" s="18">
        <v>34.959000000000003</v>
      </c>
      <c r="E22" s="18">
        <v>38.954999999999998</v>
      </c>
      <c r="F22" s="18">
        <v>40.084000000000003</v>
      </c>
      <c r="G22" s="18">
        <v>3.09</v>
      </c>
      <c r="H22" s="18">
        <f t="shared" si="0"/>
        <v>36.099125000000001</v>
      </c>
      <c r="I22" s="5"/>
      <c r="J22" s="17">
        <v>1658.8543999999999</v>
      </c>
      <c r="K22" s="18">
        <v>35.386699999999998</v>
      </c>
      <c r="L22" s="18">
        <v>39.990499999999997</v>
      </c>
      <c r="M22" s="18">
        <v>41.203499999999998</v>
      </c>
      <c r="N22" s="18">
        <v>6.3944000000000001</v>
      </c>
      <c r="O22" s="18">
        <f t="shared" si="1"/>
        <v>36.689275000000002</v>
      </c>
      <c r="P22" s="7"/>
      <c r="Q22" s="10"/>
      <c r="R22" s="11"/>
      <c r="S22" s="11"/>
      <c r="T22" s="26"/>
      <c r="U22" s="28">
        <f t="shared" si="2"/>
        <v>1.0693851132686085</v>
      </c>
    </row>
    <row r="23" spans="1:21" x14ac:dyDescent="0.25">
      <c r="B23" s="9"/>
      <c r="C23" s="17">
        <v>1051.8291015625</v>
      </c>
      <c r="D23" s="18">
        <v>33.402999999999999</v>
      </c>
      <c r="E23" s="18">
        <v>37.798000000000002</v>
      </c>
      <c r="F23" s="18">
        <v>39.133000000000003</v>
      </c>
      <c r="G23" s="18">
        <v>3.81</v>
      </c>
      <c r="H23" s="18">
        <f t="shared" si="0"/>
        <v>34.668624999999999</v>
      </c>
      <c r="I23" s="5"/>
      <c r="J23" s="17">
        <v>1028.0791999999999</v>
      </c>
      <c r="K23" s="18">
        <v>33.92</v>
      </c>
      <c r="L23" s="18">
        <v>39.095399999999998</v>
      </c>
      <c r="M23" s="18">
        <v>40.311</v>
      </c>
      <c r="N23" s="18">
        <v>7.9630999999999998</v>
      </c>
      <c r="O23" s="18">
        <f t="shared" si="1"/>
        <v>35.3658</v>
      </c>
      <c r="P23" s="7"/>
      <c r="Q23" s="10"/>
      <c r="R23" s="11"/>
      <c r="S23" s="11"/>
      <c r="T23" s="26"/>
      <c r="U23" s="28">
        <f t="shared" si="2"/>
        <v>1.0900524934383202</v>
      </c>
    </row>
    <row r="24" spans="1:21" ht="16.5" thickBot="1" x14ac:dyDescent="0.3">
      <c r="B24" s="12"/>
      <c r="C24" s="19">
        <v>628.4326171875</v>
      </c>
      <c r="D24" s="20">
        <v>31.815999999999999</v>
      </c>
      <c r="E24" s="20">
        <v>36.756999999999998</v>
      </c>
      <c r="F24" s="20">
        <v>38.404000000000003</v>
      </c>
      <c r="G24" s="20">
        <v>4.51</v>
      </c>
      <c r="H24" s="20">
        <f t="shared" si="0"/>
        <v>33.257125000000002</v>
      </c>
      <c r="I24" s="5"/>
      <c r="J24" s="19">
        <v>614.92560000000003</v>
      </c>
      <c r="K24" s="20">
        <v>32.345399999999998</v>
      </c>
      <c r="L24" s="20">
        <v>38.133499999999998</v>
      </c>
      <c r="M24" s="20">
        <v>39.485500000000002</v>
      </c>
      <c r="N24" s="20">
        <v>9.7990999999999993</v>
      </c>
      <c r="O24" s="20">
        <f t="shared" si="1"/>
        <v>33.961424999999998</v>
      </c>
      <c r="P24" s="7"/>
      <c r="Q24" s="13"/>
      <c r="R24" s="14"/>
      <c r="S24" s="14"/>
      <c r="T24" s="27"/>
      <c r="U24" s="28">
        <f t="shared" si="2"/>
        <v>1.1727494456762748</v>
      </c>
    </row>
    <row r="25" spans="1:21" x14ac:dyDescent="0.25">
      <c r="B25" s="6" t="s">
        <v>50</v>
      </c>
      <c r="C25" s="15">
        <v>2463.8388671875</v>
      </c>
      <c r="D25" s="16">
        <v>34.143000000000001</v>
      </c>
      <c r="E25" s="16">
        <v>38.078000000000003</v>
      </c>
      <c r="F25" s="16">
        <v>39.954000000000001</v>
      </c>
      <c r="G25" s="16">
        <v>4.43</v>
      </c>
      <c r="H25" s="16">
        <f t="shared" si="0"/>
        <v>35.361249999999998</v>
      </c>
      <c r="I25" s="5"/>
      <c r="J25" s="15">
        <v>2411.7936</v>
      </c>
      <c r="K25" s="16">
        <v>34.957700000000003</v>
      </c>
      <c r="L25" s="16">
        <v>38.608899999999998</v>
      </c>
      <c r="M25" s="16">
        <v>41.219200000000001</v>
      </c>
      <c r="N25" s="16">
        <v>7.7102000000000004</v>
      </c>
      <c r="O25" s="16">
        <f t="shared" si="1"/>
        <v>36.196787499999999</v>
      </c>
      <c r="P25" s="7"/>
      <c r="Q25" s="8">
        <f>bdrate(C25:C28,D25:D28,J25:J28,K25:K28)</f>
        <v>-0.29078621225555723</v>
      </c>
      <c r="R25" s="8">
        <f>bdrate(C25:C28,E25:E28,J25:J28,L25:L28)</f>
        <v>-0.55116245173005063</v>
      </c>
      <c r="S25" s="8">
        <f>bdrate(C25:C28,F25:F28,J25:J28,M25:M28)</f>
        <v>-0.54718316812357537</v>
      </c>
      <c r="T25" s="25">
        <f>bdrate(C25:C28,H25:H28,J25:J28,O25:O28)</f>
        <v>-0.34292871800511115</v>
      </c>
      <c r="U25" s="28">
        <f t="shared" si="2"/>
        <v>0.74045146726862321</v>
      </c>
    </row>
    <row r="26" spans="1:21" x14ac:dyDescent="0.25">
      <c r="B26" s="9"/>
      <c r="C26" s="17">
        <v>1639.4072265625</v>
      </c>
      <c r="D26" s="18">
        <v>32.835999999999999</v>
      </c>
      <c r="E26" s="18">
        <v>37.404000000000003</v>
      </c>
      <c r="F26" s="18">
        <v>38.804000000000002</v>
      </c>
      <c r="G26" s="18">
        <v>5.03</v>
      </c>
      <c r="H26" s="18">
        <f t="shared" si="0"/>
        <v>34.152999999999999</v>
      </c>
      <c r="I26" s="5"/>
      <c r="J26" s="17">
        <v>1605.2231999999999</v>
      </c>
      <c r="K26" s="18">
        <v>33.844200000000001</v>
      </c>
      <c r="L26" s="18">
        <v>38.2776</v>
      </c>
      <c r="M26" s="18">
        <v>40.438299999999998</v>
      </c>
      <c r="N26" s="18">
        <v>9.3826000000000001</v>
      </c>
      <c r="O26" s="18">
        <f t="shared" si="1"/>
        <v>35.222637500000005</v>
      </c>
      <c r="P26" s="7"/>
      <c r="Q26" s="10"/>
      <c r="R26" s="11"/>
      <c r="S26" s="11"/>
      <c r="T26" s="26"/>
      <c r="U26" s="28">
        <f t="shared" si="2"/>
        <v>0.86532803180914508</v>
      </c>
    </row>
    <row r="27" spans="1:21" x14ac:dyDescent="0.25">
      <c r="B27" s="9"/>
      <c r="C27" s="17">
        <v>1023.89453125</v>
      </c>
      <c r="D27" s="18">
        <v>31.286000000000001</v>
      </c>
      <c r="E27" s="18">
        <v>36.536999999999999</v>
      </c>
      <c r="F27" s="18">
        <v>37.444000000000003</v>
      </c>
      <c r="G27" s="18">
        <v>5.5</v>
      </c>
      <c r="H27" s="18">
        <f t="shared" si="0"/>
        <v>32.712125</v>
      </c>
      <c r="I27" s="5"/>
      <c r="J27" s="17">
        <v>999.14800000000002</v>
      </c>
      <c r="K27" s="18">
        <v>32.337600000000002</v>
      </c>
      <c r="L27" s="18">
        <v>37.837600000000002</v>
      </c>
      <c r="M27" s="18">
        <v>39.522399999999998</v>
      </c>
      <c r="N27" s="18">
        <v>11.4062</v>
      </c>
      <c r="O27" s="18">
        <f t="shared" si="1"/>
        <v>33.923200000000001</v>
      </c>
      <c r="P27" s="7"/>
      <c r="Q27" s="10"/>
      <c r="R27" s="11"/>
      <c r="S27" s="11"/>
      <c r="T27" s="26"/>
      <c r="U27" s="28">
        <f t="shared" si="2"/>
        <v>1.0738545454545454</v>
      </c>
    </row>
    <row r="28" spans="1:21" ht="16.5" thickBot="1" x14ac:dyDescent="0.3">
      <c r="B28" s="12"/>
      <c r="C28" s="19">
        <v>641.125</v>
      </c>
      <c r="D28" s="20">
        <v>29.734000000000002</v>
      </c>
      <c r="E28" s="20">
        <v>35.576000000000001</v>
      </c>
      <c r="F28" s="20">
        <v>36.027999999999999</v>
      </c>
      <c r="G28" s="20">
        <v>6.01</v>
      </c>
      <c r="H28" s="20">
        <f t="shared" si="0"/>
        <v>31.250999999999998</v>
      </c>
      <c r="I28" s="5"/>
      <c r="J28" s="19">
        <v>600.43359999999996</v>
      </c>
      <c r="K28" s="20">
        <v>30.688199999999998</v>
      </c>
      <c r="L28" s="20">
        <v>37.225000000000001</v>
      </c>
      <c r="M28" s="20">
        <v>38.504399999999997</v>
      </c>
      <c r="N28" s="20">
        <v>14.132300000000001</v>
      </c>
      <c r="O28" s="20">
        <f t="shared" si="1"/>
        <v>32.482324999999996</v>
      </c>
      <c r="P28" s="7"/>
      <c r="Q28" s="13"/>
      <c r="R28" s="14"/>
      <c r="S28" s="14"/>
      <c r="T28" s="27"/>
      <c r="U28" s="28">
        <f t="shared" si="2"/>
        <v>1.3514642262895178</v>
      </c>
    </row>
    <row r="29" spans="1:21" x14ac:dyDescent="0.25">
      <c r="B29" s="6" t="s">
        <v>51</v>
      </c>
      <c r="C29" s="29">
        <v>2397.9130859375</v>
      </c>
      <c r="D29" s="30">
        <v>33.89</v>
      </c>
      <c r="E29" s="30">
        <v>40.25</v>
      </c>
      <c r="F29" s="30">
        <v>39.567999999999998</v>
      </c>
      <c r="G29" s="16">
        <v>3.97</v>
      </c>
      <c r="H29" s="16">
        <f t="shared" si="0"/>
        <v>35.394750000000002</v>
      </c>
      <c r="I29" s="5"/>
      <c r="J29" s="29">
        <v>2455.4</v>
      </c>
      <c r="K29" s="30">
        <v>34.703000000000003</v>
      </c>
      <c r="L29" s="30">
        <v>41.201700000000002</v>
      </c>
      <c r="M29" s="30">
        <v>40.9664</v>
      </c>
      <c r="N29" s="16">
        <v>6.7065999999999999</v>
      </c>
      <c r="O29" s="16">
        <f t="shared" si="1"/>
        <v>36.298262500000007</v>
      </c>
      <c r="P29" s="7"/>
      <c r="Q29" s="8">
        <f>bdrate(C29:C32,D29:D32,J29:J32,K29:K32)</f>
        <v>-0.17583876420736588</v>
      </c>
      <c r="R29" s="8">
        <f>bdrate(C29:C32,E29:E32,J29:J32,L29:L32)</f>
        <v>-0.50265228475783186</v>
      </c>
      <c r="S29" s="8">
        <f>bdrate(C29:C32,F29:F32,J29:J32,M29:M32)</f>
        <v>-0.51907038680909623</v>
      </c>
      <c r="T29" s="25">
        <f>bdrate(C29:C32,H29:H32,J29:J32,O29:O32)</f>
        <v>-0.25538802763156898</v>
      </c>
      <c r="U29" s="28">
        <f t="shared" si="2"/>
        <v>0.68931989924433235</v>
      </c>
    </row>
    <row r="30" spans="1:21" x14ac:dyDescent="0.25">
      <c r="B30" s="9"/>
      <c r="C30" s="31">
        <v>1611.7451171875</v>
      </c>
      <c r="D30" s="32">
        <v>32.688000000000002</v>
      </c>
      <c r="E30" s="32">
        <v>39.384</v>
      </c>
      <c r="F30" s="32">
        <v>38.302999999999997</v>
      </c>
      <c r="G30" s="18">
        <v>4.3499999999999996</v>
      </c>
      <c r="H30" s="18">
        <f t="shared" si="0"/>
        <v>34.226875</v>
      </c>
      <c r="I30" s="5"/>
      <c r="J30" s="31">
        <v>1640.3712</v>
      </c>
      <c r="K30" s="32">
        <v>33.424399999999999</v>
      </c>
      <c r="L30" s="32">
        <v>40.572899999999997</v>
      </c>
      <c r="M30" s="32">
        <v>40.101399999999998</v>
      </c>
      <c r="N30" s="18">
        <v>7.8250000000000002</v>
      </c>
      <c r="O30" s="18">
        <f t="shared" si="1"/>
        <v>35.152587500000003</v>
      </c>
      <c r="P30" s="7"/>
      <c r="Q30" s="10"/>
      <c r="R30" s="11"/>
      <c r="S30" s="11"/>
      <c r="T30" s="26"/>
      <c r="U30" s="28">
        <f t="shared" si="2"/>
        <v>0.79885057471264387</v>
      </c>
    </row>
    <row r="31" spans="1:21" x14ac:dyDescent="0.25">
      <c r="B31" s="9"/>
      <c r="C31" s="31">
        <v>1046.9033203125</v>
      </c>
      <c r="D31" s="32">
        <v>31.359000000000002</v>
      </c>
      <c r="E31" s="32">
        <v>38.335000000000001</v>
      </c>
      <c r="F31" s="32">
        <v>37.005000000000003</v>
      </c>
      <c r="G31" s="18">
        <v>4.84</v>
      </c>
      <c r="H31" s="18">
        <f t="shared" si="0"/>
        <v>32.936750000000004</v>
      </c>
      <c r="I31" s="5"/>
      <c r="J31" s="31">
        <v>1017.2264</v>
      </c>
      <c r="K31" s="32">
        <v>31.831600000000002</v>
      </c>
      <c r="L31" s="32">
        <v>39.856099999999998</v>
      </c>
      <c r="M31" s="32">
        <v>39.0794</v>
      </c>
      <c r="N31" s="18">
        <v>9.4324999999999992</v>
      </c>
      <c r="O31" s="18">
        <f t="shared" si="1"/>
        <v>33.740637499999998</v>
      </c>
      <c r="P31" s="7"/>
      <c r="Q31" s="10"/>
      <c r="R31" s="11"/>
      <c r="S31" s="11"/>
      <c r="T31" s="26"/>
      <c r="U31" s="28">
        <f t="shared" si="2"/>
        <v>0.94886363636363624</v>
      </c>
    </row>
    <row r="32" spans="1:21" ht="16.5" thickBot="1" x14ac:dyDescent="0.3">
      <c r="B32" s="12"/>
      <c r="C32" s="33">
        <v>821.109375</v>
      </c>
      <c r="D32" s="34">
        <v>30.548999999999999</v>
      </c>
      <c r="E32" s="34">
        <v>37.597000000000001</v>
      </c>
      <c r="F32" s="34">
        <v>36.173999999999999</v>
      </c>
      <c r="G32" s="20">
        <v>4.7699999999999996</v>
      </c>
      <c r="H32" s="20">
        <f t="shared" si="0"/>
        <v>32.133125</v>
      </c>
      <c r="I32" s="5"/>
      <c r="J32" s="33">
        <v>612.97280000000001</v>
      </c>
      <c r="K32" s="34">
        <v>30.1065</v>
      </c>
      <c r="L32" s="34">
        <v>38.897300000000001</v>
      </c>
      <c r="M32" s="34">
        <v>37.709600000000002</v>
      </c>
      <c r="N32" s="20">
        <v>11.3939</v>
      </c>
      <c r="O32" s="20">
        <f t="shared" si="1"/>
        <v>32.155737500000001</v>
      </c>
      <c r="P32" s="7"/>
      <c r="Q32" s="13"/>
      <c r="R32" s="14"/>
      <c r="S32" s="14"/>
      <c r="T32" s="27"/>
      <c r="U32" s="28">
        <f t="shared" si="2"/>
        <v>1.3886582809224322</v>
      </c>
    </row>
    <row r="33" spans="1:21" x14ac:dyDescent="0.25">
      <c r="B33" s="6" t="s">
        <v>52</v>
      </c>
      <c r="C33" s="15">
        <v>2578.4072265625</v>
      </c>
      <c r="D33" s="16">
        <v>33.630000000000003</v>
      </c>
      <c r="E33" s="16">
        <v>39.46</v>
      </c>
      <c r="F33" s="16">
        <v>41.91</v>
      </c>
      <c r="G33" s="16">
        <v>2.64</v>
      </c>
      <c r="H33" s="16">
        <f t="shared" si="0"/>
        <v>35.393750000000004</v>
      </c>
      <c r="I33" s="5"/>
      <c r="J33" s="15">
        <v>2401.4295999999999</v>
      </c>
      <c r="K33" s="16">
        <v>34.018599999999999</v>
      </c>
      <c r="L33" s="16">
        <v>40.365699999999997</v>
      </c>
      <c r="M33" s="16">
        <v>42.812199999999997</v>
      </c>
      <c r="N33" s="16">
        <v>7.1529999999999996</v>
      </c>
      <c r="O33" s="16">
        <f t="shared" si="1"/>
        <v>35.911187500000004</v>
      </c>
      <c r="P33" s="7"/>
      <c r="Q33" s="8">
        <f>bdrate(C33:C36,D33:D36,J33:J36,K33:K36)</f>
        <v>-0.33440824355687182</v>
      </c>
      <c r="R33" s="8">
        <f>bdrate(C33:C36,E33:E36,J33:J36,L33:L36)</f>
        <v>-0.57851518499568955</v>
      </c>
      <c r="S33" s="8">
        <f>bdrate(C33:C36,F33:F36,J33:J36,M33:M36)</f>
        <v>-0.58802125854047382</v>
      </c>
      <c r="T33" s="25">
        <f>bdrate(C33:C36,H33:H36,J33:J36,O33:O36)</f>
        <v>-0.38357765215048134</v>
      </c>
      <c r="U33" s="28">
        <f t="shared" si="2"/>
        <v>1.7094696969696968</v>
      </c>
    </row>
    <row r="34" spans="1:21" x14ac:dyDescent="0.25">
      <c r="B34" s="9"/>
      <c r="C34" s="17">
        <v>1727.2724609375</v>
      </c>
      <c r="D34" s="18">
        <v>32.768000000000001</v>
      </c>
      <c r="E34" s="18">
        <v>38.835000000000001</v>
      </c>
      <c r="F34" s="18">
        <v>41.408999999999999</v>
      </c>
      <c r="G34" s="18">
        <v>3.28</v>
      </c>
      <c r="H34" s="18">
        <f t="shared" si="0"/>
        <v>34.606500000000004</v>
      </c>
      <c r="I34" s="5"/>
      <c r="J34" s="17">
        <v>1607.8768</v>
      </c>
      <c r="K34" s="18">
        <v>33.403199999999998</v>
      </c>
      <c r="L34" s="18">
        <v>39.943100000000001</v>
      </c>
      <c r="M34" s="18">
        <v>42.424599999999998</v>
      </c>
      <c r="N34" s="18">
        <v>8.6255000000000006</v>
      </c>
      <c r="O34" s="18">
        <f t="shared" si="1"/>
        <v>35.3483625</v>
      </c>
      <c r="P34" s="7"/>
      <c r="Q34" s="10"/>
      <c r="R34" s="11"/>
      <c r="S34" s="11"/>
      <c r="T34" s="26"/>
      <c r="U34" s="28">
        <f t="shared" si="2"/>
        <v>1.6297256097560981</v>
      </c>
    </row>
    <row r="35" spans="1:21" x14ac:dyDescent="0.25">
      <c r="B35" s="9"/>
      <c r="C35" s="17">
        <v>1083.28515625</v>
      </c>
      <c r="D35" s="18">
        <v>31.574000000000002</v>
      </c>
      <c r="E35" s="18">
        <v>38.116</v>
      </c>
      <c r="F35" s="18">
        <v>40.805999999999997</v>
      </c>
      <c r="G35" s="18">
        <v>4.13</v>
      </c>
      <c r="H35" s="18">
        <f t="shared" si="0"/>
        <v>33.545749999999998</v>
      </c>
      <c r="I35" s="5"/>
      <c r="J35" s="17">
        <v>986.59119999999996</v>
      </c>
      <c r="K35" s="18">
        <v>32.433300000000003</v>
      </c>
      <c r="L35" s="18">
        <v>39.249099999999999</v>
      </c>
      <c r="M35" s="18">
        <v>41.798900000000003</v>
      </c>
      <c r="N35" s="18">
        <v>10.5779</v>
      </c>
      <c r="O35" s="18">
        <f t="shared" si="1"/>
        <v>34.455975000000002</v>
      </c>
      <c r="P35" s="7"/>
      <c r="Q35" s="10"/>
      <c r="R35" s="11"/>
      <c r="S35" s="11"/>
      <c r="T35" s="26"/>
      <c r="U35" s="28">
        <f t="shared" si="2"/>
        <v>1.5612348668280871</v>
      </c>
    </row>
    <row r="36" spans="1:21" ht="16.5" thickBot="1" x14ac:dyDescent="0.3">
      <c r="B36" s="12"/>
      <c r="C36" s="19">
        <v>670.1943359375</v>
      </c>
      <c r="D36" s="20">
        <v>30.178000000000001</v>
      </c>
      <c r="E36" s="20">
        <v>37.412999999999997</v>
      </c>
      <c r="F36" s="20">
        <v>40.161000000000001</v>
      </c>
      <c r="G36" s="20">
        <v>4.67</v>
      </c>
      <c r="H36" s="20">
        <f t="shared" si="0"/>
        <v>32.330249999999999</v>
      </c>
      <c r="I36" s="5"/>
      <c r="J36" s="19">
        <v>607.46159999999998</v>
      </c>
      <c r="K36" s="20">
        <v>31.0932</v>
      </c>
      <c r="L36" s="20">
        <v>38.692500000000003</v>
      </c>
      <c r="M36" s="20">
        <v>41.250900000000001</v>
      </c>
      <c r="N36" s="20">
        <v>13.9506</v>
      </c>
      <c r="O36" s="20">
        <f t="shared" si="1"/>
        <v>33.312825000000004</v>
      </c>
      <c r="P36" s="7"/>
      <c r="Q36" s="13"/>
      <c r="R36" s="14"/>
      <c r="S36" s="14"/>
      <c r="T36" s="27"/>
      <c r="U36" s="28">
        <f t="shared" si="2"/>
        <v>1.9872805139186296</v>
      </c>
    </row>
    <row r="37" spans="1:21" x14ac:dyDescent="0.25">
      <c r="A37" s="6" t="s">
        <v>39</v>
      </c>
      <c r="B37" s="6" t="s">
        <v>53</v>
      </c>
      <c r="C37" s="15">
        <v>1241.58984375</v>
      </c>
      <c r="D37" s="16">
        <v>35.973999999999997</v>
      </c>
      <c r="E37" s="16">
        <v>40.192999999999998</v>
      </c>
      <c r="F37" s="16">
        <v>40.046999999999997</v>
      </c>
      <c r="G37" s="16">
        <v>18.059999999999999</v>
      </c>
      <c r="H37" s="16">
        <f t="shared" si="0"/>
        <v>37.010499999999993</v>
      </c>
      <c r="I37" s="5"/>
      <c r="J37" s="15">
        <v>1237.4856</v>
      </c>
      <c r="K37" s="16">
        <v>36.6145</v>
      </c>
      <c r="L37" s="16">
        <v>40.960900000000002</v>
      </c>
      <c r="M37" s="16">
        <v>40.953000000000003</v>
      </c>
      <c r="N37" s="16">
        <v>21.8933</v>
      </c>
      <c r="O37" s="16">
        <f t="shared" si="1"/>
        <v>37.700112500000003</v>
      </c>
      <c r="P37" s="7"/>
      <c r="Q37" s="8">
        <f>bdrate(C37:C40,D37:D40,J37:J40,K37:K40)</f>
        <v>-0.11265901823306779</v>
      </c>
      <c r="R37" s="8">
        <f>bdrate(C37:C40,E37:E40,J37:J40,L37:L40)</f>
        <v>-0.27581814691664508</v>
      </c>
      <c r="S37" s="8">
        <f>bdrate(C37:C40,F37:F40,J37:J40,M37:M40)</f>
        <v>-0.28865721191652682</v>
      </c>
      <c r="T37" s="25">
        <f>bdrate(C37:C40,H37:H40,J37:J40,O37:O40)</f>
        <v>-0.15570073927032646</v>
      </c>
      <c r="U37" s="28">
        <f t="shared" si="2"/>
        <v>0.21225359911406433</v>
      </c>
    </row>
    <row r="38" spans="1:21" x14ac:dyDescent="0.25">
      <c r="A38" s="9" t="s">
        <v>40</v>
      </c>
      <c r="B38" s="9"/>
      <c r="C38" s="17">
        <v>852.6416015625</v>
      </c>
      <c r="D38" s="18">
        <v>34.369</v>
      </c>
      <c r="E38" s="18">
        <v>38.924999999999997</v>
      </c>
      <c r="F38" s="18">
        <v>38.564999999999998</v>
      </c>
      <c r="G38" s="18">
        <v>20.73</v>
      </c>
      <c r="H38" s="18">
        <f t="shared" si="0"/>
        <v>35.463000000000001</v>
      </c>
      <c r="I38" s="5"/>
      <c r="J38" s="17">
        <v>825.31600000000003</v>
      </c>
      <c r="K38" s="18">
        <v>34.837899999999998</v>
      </c>
      <c r="L38" s="18">
        <v>39.658700000000003</v>
      </c>
      <c r="M38" s="18">
        <v>39.500799999999998</v>
      </c>
      <c r="N38" s="18">
        <v>25.2972</v>
      </c>
      <c r="O38" s="18">
        <f t="shared" si="1"/>
        <v>36.023362500000005</v>
      </c>
      <c r="P38" s="7"/>
      <c r="Q38" s="10"/>
      <c r="R38" s="11"/>
      <c r="S38" s="11"/>
      <c r="T38" s="26"/>
      <c r="U38" s="28">
        <f t="shared" si="2"/>
        <v>0.22031837916063673</v>
      </c>
    </row>
    <row r="39" spans="1:21" x14ac:dyDescent="0.25">
      <c r="B39" s="9"/>
      <c r="C39" s="17">
        <v>527.6826171875</v>
      </c>
      <c r="D39" s="18">
        <v>32.622</v>
      </c>
      <c r="E39" s="18">
        <v>37.362000000000002</v>
      </c>
      <c r="F39" s="18">
        <v>36.837000000000003</v>
      </c>
      <c r="G39" s="18">
        <v>20.88</v>
      </c>
      <c r="H39" s="18">
        <f t="shared" si="0"/>
        <v>33.741374999999998</v>
      </c>
      <c r="I39" s="5"/>
      <c r="J39" s="17">
        <v>516.89679999999998</v>
      </c>
      <c r="K39" s="18">
        <v>32.9527</v>
      </c>
      <c r="L39" s="18">
        <v>38.379199999999997</v>
      </c>
      <c r="M39" s="18">
        <v>38.020499999999998</v>
      </c>
      <c r="N39" s="18">
        <v>30.237100000000002</v>
      </c>
      <c r="O39" s="18">
        <f t="shared" si="1"/>
        <v>34.264487500000001</v>
      </c>
      <c r="P39" s="7"/>
      <c r="Q39" s="10"/>
      <c r="R39" s="11"/>
      <c r="S39" s="11"/>
      <c r="T39" s="26"/>
      <c r="U39" s="28">
        <f t="shared" si="2"/>
        <v>0.44813697318007678</v>
      </c>
    </row>
    <row r="40" spans="1:21" ht="16.5" thickBot="1" x14ac:dyDescent="0.3">
      <c r="B40" s="12"/>
      <c r="C40" s="19">
        <v>314.4765625</v>
      </c>
      <c r="D40" s="20">
        <v>30.888999999999999</v>
      </c>
      <c r="E40" s="20">
        <v>35.753</v>
      </c>
      <c r="F40" s="20">
        <v>35.082000000000001</v>
      </c>
      <c r="G40" s="20">
        <v>23.11</v>
      </c>
      <c r="H40" s="20">
        <f t="shared" si="0"/>
        <v>32.021124999999998</v>
      </c>
      <c r="I40" s="5"/>
      <c r="J40" s="19">
        <v>309.46719999999999</v>
      </c>
      <c r="K40" s="20">
        <v>31.013400000000001</v>
      </c>
      <c r="L40" s="20">
        <v>37.087299999999999</v>
      </c>
      <c r="M40" s="20">
        <v>36.527900000000002</v>
      </c>
      <c r="N40" s="20">
        <v>37.180199999999999</v>
      </c>
      <c r="O40" s="20">
        <f t="shared" si="1"/>
        <v>32.461950000000002</v>
      </c>
      <c r="P40" s="7"/>
      <c r="Q40" s="13"/>
      <c r="R40" s="14"/>
      <c r="S40" s="14"/>
      <c r="T40" s="27"/>
      <c r="U40" s="28">
        <f t="shared" si="2"/>
        <v>0.60883600173085251</v>
      </c>
    </row>
    <row r="41" spans="1:21" x14ac:dyDescent="0.25">
      <c r="B41" s="6" t="s">
        <v>54</v>
      </c>
      <c r="C41" s="15">
        <v>1289.328125</v>
      </c>
      <c r="D41" s="16">
        <v>35.122</v>
      </c>
      <c r="E41" s="16">
        <v>40.493000000000002</v>
      </c>
      <c r="F41" s="16">
        <v>41.325000000000003</v>
      </c>
      <c r="G41" s="16">
        <v>15.32</v>
      </c>
      <c r="H41" s="16">
        <f t="shared" si="0"/>
        <v>36.568750000000001</v>
      </c>
      <c r="I41" s="5"/>
      <c r="J41" s="15">
        <v>1259.4000000000001</v>
      </c>
      <c r="K41" s="16">
        <v>36.253100000000003</v>
      </c>
      <c r="L41" s="16">
        <v>41.761299999999999</v>
      </c>
      <c r="M41" s="16">
        <v>42.774000000000001</v>
      </c>
      <c r="N41" s="16">
        <v>24.561</v>
      </c>
      <c r="O41" s="16">
        <f t="shared" si="1"/>
        <v>37.7567375</v>
      </c>
      <c r="P41" s="7"/>
      <c r="Q41" s="8">
        <f>bdrate(C41:C44,D41:D44,J41:J44,K41:K44)</f>
        <v>-0.29134239164758013</v>
      </c>
      <c r="R41" s="8">
        <f>bdrate(C41:C44,E41:E44,J41:J44,L41:L44)</f>
        <v>-0.48681893972310319</v>
      </c>
      <c r="S41" s="8">
        <f>bdrate(C41:C44,F41:F44,J41:J44,M41:M44)</f>
        <v>-0.4898388858251963</v>
      </c>
      <c r="T41" s="25">
        <f>bdrate(C41:C44,H41:H44,J41:J44,O41:O44)</f>
        <v>-0.33529755312779641</v>
      </c>
      <c r="U41" s="28">
        <f t="shared" si="2"/>
        <v>0.6031984334203655</v>
      </c>
    </row>
    <row r="42" spans="1:21" x14ac:dyDescent="0.25">
      <c r="B42" s="9"/>
      <c r="C42" s="17">
        <v>859.1025390625</v>
      </c>
      <c r="D42" s="18">
        <v>33.54</v>
      </c>
      <c r="E42" s="18">
        <v>39.301000000000002</v>
      </c>
      <c r="F42" s="18">
        <v>39.987000000000002</v>
      </c>
      <c r="G42" s="18">
        <v>16.79</v>
      </c>
      <c r="H42" s="18">
        <f t="shared" si="0"/>
        <v>35.066000000000003</v>
      </c>
      <c r="I42" s="5"/>
      <c r="J42" s="17">
        <v>836.3048</v>
      </c>
      <c r="K42" s="18">
        <v>34.7607</v>
      </c>
      <c r="L42" s="18">
        <v>40.800600000000003</v>
      </c>
      <c r="M42" s="18">
        <v>41.6524</v>
      </c>
      <c r="N42" s="18">
        <v>28.7026</v>
      </c>
      <c r="O42" s="18">
        <f t="shared" si="1"/>
        <v>36.37715</v>
      </c>
      <c r="P42" s="7"/>
      <c r="Q42" s="10"/>
      <c r="R42" s="11"/>
      <c r="S42" s="11"/>
      <c r="T42" s="26"/>
      <c r="U42" s="28">
        <f t="shared" si="2"/>
        <v>0.70950565812983934</v>
      </c>
    </row>
    <row r="43" spans="1:21" x14ac:dyDescent="0.25">
      <c r="B43" s="9"/>
      <c r="C43" s="17">
        <v>535.4921875</v>
      </c>
      <c r="D43" s="18">
        <v>31.684000000000001</v>
      </c>
      <c r="E43" s="18">
        <v>37.915999999999997</v>
      </c>
      <c r="F43" s="18">
        <v>38.447000000000003</v>
      </c>
      <c r="G43" s="18">
        <v>18.170000000000002</v>
      </c>
      <c r="H43" s="18">
        <f t="shared" si="0"/>
        <v>33.308374999999998</v>
      </c>
      <c r="I43" s="5"/>
      <c r="J43" s="17">
        <v>520.63679999999999</v>
      </c>
      <c r="K43" s="18">
        <v>32.936300000000003</v>
      </c>
      <c r="L43" s="18">
        <v>39.719499999999996</v>
      </c>
      <c r="M43" s="18">
        <v>40.477400000000003</v>
      </c>
      <c r="N43" s="18">
        <v>34.036799999999999</v>
      </c>
      <c r="O43" s="18">
        <f t="shared" si="1"/>
        <v>34.726837500000002</v>
      </c>
      <c r="P43" s="7"/>
      <c r="Q43" s="10"/>
      <c r="R43" s="11"/>
      <c r="S43" s="11"/>
      <c r="T43" s="26"/>
      <c r="U43" s="28">
        <f t="shared" si="2"/>
        <v>0.87324160704457876</v>
      </c>
    </row>
    <row r="44" spans="1:21" ht="16.5" thickBot="1" x14ac:dyDescent="0.3">
      <c r="B44" s="12"/>
      <c r="C44" s="19">
        <v>330.7978515625</v>
      </c>
      <c r="D44" s="20">
        <v>29.777000000000001</v>
      </c>
      <c r="E44" s="20">
        <v>36.530999999999999</v>
      </c>
      <c r="F44" s="20">
        <v>36.956000000000003</v>
      </c>
      <c r="G44" s="20">
        <v>19.36</v>
      </c>
      <c r="H44" s="20">
        <f t="shared" si="0"/>
        <v>31.518625</v>
      </c>
      <c r="I44" s="5"/>
      <c r="J44" s="19">
        <v>311.94639999999998</v>
      </c>
      <c r="K44" s="20">
        <v>30.8994</v>
      </c>
      <c r="L44" s="20">
        <v>38.648899999999998</v>
      </c>
      <c r="M44" s="20">
        <v>39.282699999999998</v>
      </c>
      <c r="N44" s="20">
        <v>41.805999999999997</v>
      </c>
      <c r="O44" s="20">
        <f t="shared" si="1"/>
        <v>32.915999999999997</v>
      </c>
      <c r="P44" s="7"/>
      <c r="Q44" s="13"/>
      <c r="R44" s="14"/>
      <c r="S44" s="14"/>
      <c r="T44" s="27"/>
      <c r="U44" s="28">
        <f t="shared" si="2"/>
        <v>1.159400826446281</v>
      </c>
    </row>
    <row r="45" spans="1:21" x14ac:dyDescent="0.25">
      <c r="B45" s="6" t="s">
        <v>55</v>
      </c>
      <c r="C45" s="15">
        <v>1384.5625</v>
      </c>
      <c r="D45" s="16">
        <v>30.640999999999998</v>
      </c>
      <c r="E45" s="16">
        <v>36.945</v>
      </c>
      <c r="F45" s="16">
        <v>37.695999999999998</v>
      </c>
      <c r="G45" s="16">
        <v>11.26</v>
      </c>
      <c r="H45" s="16">
        <f t="shared" si="0"/>
        <v>32.310874999999996</v>
      </c>
      <c r="I45" s="5"/>
      <c r="J45" s="15">
        <v>1238.0032000000001</v>
      </c>
      <c r="K45" s="16">
        <v>31.119700000000002</v>
      </c>
      <c r="L45" s="16">
        <v>37.7027</v>
      </c>
      <c r="M45" s="16">
        <v>38.517299999999999</v>
      </c>
      <c r="N45" s="16">
        <v>20.880299999999998</v>
      </c>
      <c r="O45" s="16">
        <f t="shared" si="1"/>
        <v>32.867274999999999</v>
      </c>
      <c r="P45" s="7"/>
      <c r="Q45" s="8">
        <f>bdrate(C45:C48,D45:D48,J45:J48,K45:K48)</f>
        <v>-0.26331039252790855</v>
      </c>
      <c r="R45" s="8">
        <f>bdrate(C45:C48,E45:E48,J45:J48,L45:L48)</f>
        <v>-0.45364815063989727</v>
      </c>
      <c r="S45" s="8">
        <f>bdrate(C45:C48,F45:F48,J45:J48,M45:M48)</f>
        <v>-0.45669331595480855</v>
      </c>
      <c r="T45" s="25">
        <f>bdrate(C45:C48,H45:H48,J45:J48,O45:O48)</f>
        <v>-0.30468099055085052</v>
      </c>
      <c r="U45" s="28">
        <f t="shared" si="2"/>
        <v>0.8543783303730017</v>
      </c>
    </row>
    <row r="46" spans="1:21" x14ac:dyDescent="0.25">
      <c r="B46" s="9"/>
      <c r="C46" s="17">
        <v>960.390625</v>
      </c>
      <c r="D46" s="18">
        <v>29.265000000000001</v>
      </c>
      <c r="E46" s="18">
        <v>36.042999999999999</v>
      </c>
      <c r="F46" s="18">
        <v>36.789000000000001</v>
      </c>
      <c r="G46" s="18">
        <v>11.67</v>
      </c>
      <c r="H46" s="18">
        <f t="shared" si="0"/>
        <v>31.052750000000003</v>
      </c>
      <c r="I46" s="5"/>
      <c r="J46" s="17">
        <v>822.35919999999999</v>
      </c>
      <c r="K46" s="18">
        <v>29.795000000000002</v>
      </c>
      <c r="L46" s="18">
        <v>36.860500000000002</v>
      </c>
      <c r="M46" s="18">
        <v>37.633499999999998</v>
      </c>
      <c r="N46" s="18">
        <v>24.523</v>
      </c>
      <c r="O46" s="18">
        <f t="shared" si="1"/>
        <v>31.658000000000001</v>
      </c>
      <c r="P46" s="7"/>
      <c r="Q46" s="10"/>
      <c r="R46" s="11"/>
      <c r="S46" s="11"/>
      <c r="T46" s="26"/>
      <c r="U46" s="28">
        <f t="shared" si="2"/>
        <v>1.1013710368466152</v>
      </c>
    </row>
    <row r="47" spans="1:21" x14ac:dyDescent="0.25">
      <c r="B47" s="9"/>
      <c r="C47" s="17">
        <v>597.5751953125</v>
      </c>
      <c r="D47" s="18">
        <v>27.797999999999998</v>
      </c>
      <c r="E47" s="18">
        <v>34.901000000000003</v>
      </c>
      <c r="F47" s="18">
        <v>35.695</v>
      </c>
      <c r="G47" s="18">
        <v>12.52</v>
      </c>
      <c r="H47" s="18">
        <f t="shared" si="0"/>
        <v>29.672999999999998</v>
      </c>
      <c r="I47" s="5"/>
      <c r="J47" s="17">
        <v>515.64</v>
      </c>
      <c r="K47" s="18">
        <v>28.2944</v>
      </c>
      <c r="L47" s="18">
        <v>35.997700000000002</v>
      </c>
      <c r="M47" s="18">
        <v>36.771599999999999</v>
      </c>
      <c r="N47" s="18">
        <v>29.6754</v>
      </c>
      <c r="O47" s="18">
        <f t="shared" si="1"/>
        <v>30.316962500000002</v>
      </c>
      <c r="P47" s="7"/>
      <c r="Q47" s="10"/>
      <c r="R47" s="11"/>
      <c r="S47" s="11"/>
      <c r="T47" s="26"/>
      <c r="U47" s="28">
        <f t="shared" si="2"/>
        <v>1.3702396166134185</v>
      </c>
    </row>
    <row r="48" spans="1:21" ht="16.5" thickBot="1" x14ac:dyDescent="0.3">
      <c r="B48" s="12"/>
      <c r="C48" s="19">
        <v>362.5087890625</v>
      </c>
      <c r="D48" s="20">
        <v>26.428000000000001</v>
      </c>
      <c r="E48" s="20">
        <v>33.780999999999999</v>
      </c>
      <c r="F48" s="20">
        <v>34.567999999999998</v>
      </c>
      <c r="G48" s="20">
        <v>13.58</v>
      </c>
      <c r="H48" s="20">
        <f t="shared" si="0"/>
        <v>28.364625000000004</v>
      </c>
      <c r="I48" s="5"/>
      <c r="J48" s="19">
        <v>308.71280000000002</v>
      </c>
      <c r="K48" s="20">
        <v>26.776800000000001</v>
      </c>
      <c r="L48" s="20">
        <v>35.143999999999998</v>
      </c>
      <c r="M48" s="20">
        <v>35.8324</v>
      </c>
      <c r="N48" s="20">
        <v>37.0124</v>
      </c>
      <c r="O48" s="20">
        <f t="shared" si="1"/>
        <v>28.954650000000001</v>
      </c>
      <c r="P48" s="7"/>
      <c r="Q48" s="13"/>
      <c r="R48" s="14"/>
      <c r="S48" s="14"/>
      <c r="T48" s="27"/>
      <c r="U48" s="28">
        <f t="shared" si="2"/>
        <v>1.7255081001472754</v>
      </c>
    </row>
    <row r="49" spans="1:21" x14ac:dyDescent="0.25">
      <c r="B49" s="6" t="s">
        <v>56</v>
      </c>
      <c r="C49" s="15">
        <v>1272.0654296875</v>
      </c>
      <c r="D49" s="16">
        <v>32.692999999999998</v>
      </c>
      <c r="E49" s="16">
        <v>37.213000000000001</v>
      </c>
      <c r="F49" s="16">
        <v>38.935000000000002</v>
      </c>
      <c r="G49" s="16">
        <v>12.45</v>
      </c>
      <c r="H49" s="16">
        <f t="shared" si="0"/>
        <v>34.038249999999998</v>
      </c>
      <c r="I49" s="5"/>
      <c r="J49" s="15">
        <v>1227.816</v>
      </c>
      <c r="K49" s="16">
        <v>33.216099999999997</v>
      </c>
      <c r="L49" s="16">
        <v>37.917200000000001</v>
      </c>
      <c r="M49" s="16">
        <v>39.512799999999999</v>
      </c>
      <c r="N49" s="16">
        <v>15.866300000000001</v>
      </c>
      <c r="O49" s="16">
        <f t="shared" si="1"/>
        <v>34.590824999999995</v>
      </c>
      <c r="P49" s="7"/>
      <c r="Q49" s="8">
        <f>bdrate(C49:C52,D49:D52,J49:J52,K49:K52)</f>
        <v>-0.18633257353136257</v>
      </c>
      <c r="R49" s="8">
        <f>bdrate(C49:C52,E49:E52,J49:J52,L49:L52)</f>
        <v>-0.40868260349878438</v>
      </c>
      <c r="S49" s="8">
        <f>bdrate(C49:C52,F49:F52,J49:J52,M49:M52)</f>
        <v>-0.39222285149860436</v>
      </c>
      <c r="T49" s="25">
        <f>bdrate(C49:C52,H49:H52,J49:J52,O49:O52)</f>
        <v>-0.23380999602799002</v>
      </c>
      <c r="U49" s="28">
        <f t="shared" si="2"/>
        <v>0.27440160642570294</v>
      </c>
    </row>
    <row r="50" spans="1:21" x14ac:dyDescent="0.25">
      <c r="B50" s="9"/>
      <c r="C50" s="17">
        <v>919.0859375</v>
      </c>
      <c r="D50" s="18">
        <v>31.358000000000001</v>
      </c>
      <c r="E50" s="18">
        <v>36.292999999999999</v>
      </c>
      <c r="F50" s="18">
        <v>37.991999999999997</v>
      </c>
      <c r="G50" s="18">
        <v>13.28</v>
      </c>
      <c r="H50" s="18">
        <f t="shared" si="0"/>
        <v>32.804124999999999</v>
      </c>
      <c r="I50" s="5"/>
      <c r="J50" s="17">
        <v>819.28719999999998</v>
      </c>
      <c r="K50" s="18">
        <v>31.711400000000001</v>
      </c>
      <c r="L50" s="18">
        <v>37.003300000000003</v>
      </c>
      <c r="M50" s="18">
        <v>38.659300000000002</v>
      </c>
      <c r="N50" s="18">
        <v>18.090800000000002</v>
      </c>
      <c r="O50" s="18">
        <f t="shared" si="1"/>
        <v>33.241375000000005</v>
      </c>
      <c r="P50" s="7"/>
      <c r="Q50" s="10"/>
      <c r="R50" s="11"/>
      <c r="S50" s="11"/>
      <c r="T50" s="26"/>
      <c r="U50" s="28">
        <f t="shared" si="2"/>
        <v>0.36225903614457849</v>
      </c>
    </row>
    <row r="51" spans="1:21" x14ac:dyDescent="0.25">
      <c r="B51" s="9"/>
      <c r="C51" s="17">
        <v>607.20703125</v>
      </c>
      <c r="D51" s="18">
        <v>29.888000000000002</v>
      </c>
      <c r="E51" s="18">
        <v>35.213000000000001</v>
      </c>
      <c r="F51" s="18">
        <v>36.845999999999997</v>
      </c>
      <c r="G51" s="18">
        <v>13.68</v>
      </c>
      <c r="H51" s="18">
        <f t="shared" si="0"/>
        <v>31.423375</v>
      </c>
      <c r="I51" s="5"/>
      <c r="J51" s="17">
        <v>516.88239999999996</v>
      </c>
      <c r="K51" s="18">
        <v>30.078900000000001</v>
      </c>
      <c r="L51" s="18">
        <v>36.205399999999997</v>
      </c>
      <c r="M51" s="18">
        <v>37.832799999999999</v>
      </c>
      <c r="N51" s="18">
        <v>21.318899999999999</v>
      </c>
      <c r="O51" s="18">
        <f t="shared" si="1"/>
        <v>31.813949999999998</v>
      </c>
      <c r="P51" s="7"/>
      <c r="Q51" s="10"/>
      <c r="R51" s="11"/>
      <c r="S51" s="11"/>
      <c r="T51" s="26"/>
      <c r="U51" s="28">
        <f t="shared" si="2"/>
        <v>0.55839912280701753</v>
      </c>
    </row>
    <row r="52" spans="1:21" ht="16.5" thickBot="1" x14ac:dyDescent="0.3">
      <c r="B52" s="12"/>
      <c r="C52" s="19">
        <v>362.2685546875</v>
      </c>
      <c r="D52" s="20">
        <v>28.411000000000001</v>
      </c>
      <c r="E52" s="20">
        <v>34.052</v>
      </c>
      <c r="F52" s="20">
        <v>35.630000000000003</v>
      </c>
      <c r="G52" s="20">
        <v>14.97</v>
      </c>
      <c r="H52" s="20">
        <f t="shared" si="0"/>
        <v>30.0185</v>
      </c>
      <c r="I52" s="5"/>
      <c r="J52" s="19">
        <v>310.00560000000002</v>
      </c>
      <c r="K52" s="20">
        <v>28.474499999999999</v>
      </c>
      <c r="L52" s="20">
        <v>35.3125</v>
      </c>
      <c r="M52" s="20">
        <v>36.9786</v>
      </c>
      <c r="N52" s="20">
        <v>25.438800000000001</v>
      </c>
      <c r="O52" s="20">
        <f t="shared" si="1"/>
        <v>30.392262499999998</v>
      </c>
      <c r="P52" s="7"/>
      <c r="Q52" s="13"/>
      <c r="R52" s="14"/>
      <c r="S52" s="14"/>
      <c r="T52" s="27"/>
      <c r="U52" s="28">
        <f t="shared" si="2"/>
        <v>0.69931863727454902</v>
      </c>
    </row>
    <row r="53" spans="1:21" x14ac:dyDescent="0.25">
      <c r="A53" s="6" t="s">
        <v>41</v>
      </c>
      <c r="B53" s="6" t="s">
        <v>57</v>
      </c>
      <c r="C53" s="15">
        <v>601.890625</v>
      </c>
      <c r="D53" s="16">
        <v>34.378</v>
      </c>
      <c r="E53" s="16">
        <v>40.383000000000003</v>
      </c>
      <c r="F53" s="16">
        <v>38.476999999999997</v>
      </c>
      <c r="G53" s="16">
        <v>52.15</v>
      </c>
      <c r="H53" s="16">
        <f t="shared" si="0"/>
        <v>35.640999999999998</v>
      </c>
      <c r="I53" s="5"/>
      <c r="J53" s="15">
        <v>608.41840000000002</v>
      </c>
      <c r="K53" s="16">
        <v>35.314900000000002</v>
      </c>
      <c r="L53" s="16">
        <v>40.965000000000003</v>
      </c>
      <c r="M53" s="16">
        <v>39.4071</v>
      </c>
      <c r="N53" s="16">
        <v>69.521699999999996</v>
      </c>
      <c r="O53" s="16">
        <f t="shared" si="1"/>
        <v>36.532687500000002</v>
      </c>
      <c r="P53" s="7"/>
      <c r="Q53" s="8">
        <f>bdrate(C53:C56,D53:D56,J53:J56,K53:K56)</f>
        <v>-0.13049237533016478</v>
      </c>
      <c r="R53" s="8">
        <f>bdrate(C53:C56,E53:E56,J53:J56,L53:L56)</f>
        <v>-0.29154688705951048</v>
      </c>
      <c r="S53" s="8">
        <f>bdrate(C53:C56,F53:F56,J53:J56,M53:M56)</f>
        <v>-0.35256155226193586</v>
      </c>
      <c r="T53" s="25">
        <f>bdrate(C53:C56,H53:H56,J53:J56,O53:O56)</f>
        <v>-0.17763569481726282</v>
      </c>
      <c r="U53" s="28">
        <f t="shared" si="2"/>
        <v>0.33311025886864809</v>
      </c>
    </row>
    <row r="54" spans="1:21" x14ac:dyDescent="0.25">
      <c r="A54" s="9" t="s">
        <v>42</v>
      </c>
      <c r="B54" s="9"/>
      <c r="C54" s="17">
        <v>421.9658203125</v>
      </c>
      <c r="D54" s="18">
        <v>32.825000000000003</v>
      </c>
      <c r="E54" s="18">
        <v>39.195</v>
      </c>
      <c r="F54" s="18">
        <v>37.097999999999999</v>
      </c>
      <c r="G54" s="18">
        <v>57.33</v>
      </c>
      <c r="H54" s="18">
        <f t="shared" si="0"/>
        <v>34.155374999999999</v>
      </c>
      <c r="I54" s="5"/>
      <c r="J54" s="17">
        <v>408.76799999999997</v>
      </c>
      <c r="K54" s="18">
        <v>33.464599999999997</v>
      </c>
      <c r="L54" s="18">
        <v>39.836100000000002</v>
      </c>
      <c r="M54" s="18">
        <v>38.139200000000002</v>
      </c>
      <c r="N54" s="18">
        <v>80.945400000000006</v>
      </c>
      <c r="O54" s="18">
        <f t="shared" si="1"/>
        <v>34.8453625</v>
      </c>
      <c r="P54" s="7"/>
      <c r="Q54" s="10"/>
      <c r="R54" s="11"/>
      <c r="S54" s="11"/>
      <c r="T54" s="26"/>
      <c r="U54" s="28">
        <f t="shared" si="2"/>
        <v>0.41192046049188924</v>
      </c>
    </row>
    <row r="55" spans="1:21" x14ac:dyDescent="0.25">
      <c r="B55" s="9"/>
      <c r="C55" s="17">
        <v>269.41796875</v>
      </c>
      <c r="D55" s="18">
        <v>31.100999999999999</v>
      </c>
      <c r="E55" s="18">
        <v>37.796999999999997</v>
      </c>
      <c r="F55" s="18">
        <v>35.573</v>
      </c>
      <c r="G55" s="18">
        <v>59.65</v>
      </c>
      <c r="H55" s="18">
        <f t="shared" si="0"/>
        <v>32.497</v>
      </c>
      <c r="I55" s="5"/>
      <c r="J55" s="17">
        <v>254.75919999999999</v>
      </c>
      <c r="K55" s="18">
        <v>31.4361</v>
      </c>
      <c r="L55" s="18">
        <v>38.677700000000002</v>
      </c>
      <c r="M55" s="18">
        <v>36.8232</v>
      </c>
      <c r="N55" s="18">
        <v>95.969300000000004</v>
      </c>
      <c r="O55" s="18">
        <f t="shared" si="1"/>
        <v>33.014687500000001</v>
      </c>
      <c r="P55" s="7"/>
      <c r="Q55" s="10"/>
      <c r="R55" s="11"/>
      <c r="S55" s="11"/>
      <c r="T55" s="26"/>
      <c r="U55" s="28">
        <f t="shared" si="2"/>
        <v>0.60887342833193636</v>
      </c>
    </row>
    <row r="56" spans="1:21" ht="16.5" thickBot="1" x14ac:dyDescent="0.3">
      <c r="B56" s="12"/>
      <c r="C56" s="19">
        <v>134.1923828125</v>
      </c>
      <c r="D56" s="20">
        <v>28.722999999999999</v>
      </c>
      <c r="E56" s="20">
        <v>35.731999999999999</v>
      </c>
      <c r="F56" s="20">
        <v>33.323999999999998</v>
      </c>
      <c r="G56" s="20">
        <v>67.58</v>
      </c>
      <c r="H56" s="20">
        <f t="shared" si="0"/>
        <v>30.174250000000001</v>
      </c>
      <c r="I56" s="5"/>
      <c r="J56" s="19">
        <v>123.5376</v>
      </c>
      <c r="K56" s="20">
        <v>28.6004</v>
      </c>
      <c r="L56" s="20">
        <v>37.095999999999997</v>
      </c>
      <c r="M56" s="20">
        <v>34.984999999999999</v>
      </c>
      <c r="N56" s="20">
        <v>129.23240000000001</v>
      </c>
      <c r="O56" s="20">
        <f t="shared" si="1"/>
        <v>30.460425000000001</v>
      </c>
      <c r="P56" s="7"/>
      <c r="Q56" s="13"/>
      <c r="R56" s="14"/>
      <c r="S56" s="14"/>
      <c r="T56" s="27"/>
      <c r="U56" s="28">
        <f t="shared" si="2"/>
        <v>0.91228765907073117</v>
      </c>
    </row>
    <row r="57" spans="1:21" x14ac:dyDescent="0.25">
      <c r="B57" s="6" t="s">
        <v>58</v>
      </c>
      <c r="C57" s="15">
        <v>691.6796875</v>
      </c>
      <c r="D57" s="16">
        <v>34.133000000000003</v>
      </c>
      <c r="E57" s="16">
        <v>41.731000000000002</v>
      </c>
      <c r="F57" s="16">
        <v>42.643000000000001</v>
      </c>
      <c r="G57" s="16">
        <v>31.93</v>
      </c>
      <c r="H57" s="16">
        <f t="shared" si="0"/>
        <v>36.146500000000003</v>
      </c>
      <c r="I57" s="5"/>
      <c r="J57" s="15">
        <v>619.16</v>
      </c>
      <c r="K57" s="16">
        <v>34.287799999999997</v>
      </c>
      <c r="L57" s="16">
        <v>42.031399999999998</v>
      </c>
      <c r="M57" s="16">
        <v>43.020600000000002</v>
      </c>
      <c r="N57" s="16">
        <v>77.700100000000006</v>
      </c>
      <c r="O57" s="16">
        <f t="shared" si="1"/>
        <v>36.347349999999992</v>
      </c>
      <c r="P57" s="7"/>
      <c r="Q57" s="8">
        <f>bdrate(C57:C60,D57:D60,J57:J60,K57:K60)</f>
        <v>-0.20522702334389631</v>
      </c>
      <c r="R57" s="8">
        <f>bdrate(C57:C60,E57:E60,J57:J60,L57:L60)</f>
        <v>-0.29503241090507837</v>
      </c>
      <c r="S57" s="8">
        <f>bdrate(C57:C60,F57:F60,J57:J60,M57:M60)</f>
        <v>-0.31621424724442182</v>
      </c>
      <c r="T57" s="25">
        <f>bdrate(C57:C60,H57:H60,J57:J60,O57:O60)</f>
        <v>-0.22443786019955814</v>
      </c>
      <c r="U57" s="28">
        <f t="shared" si="2"/>
        <v>1.4334512997181337</v>
      </c>
    </row>
    <row r="58" spans="1:21" x14ac:dyDescent="0.25">
      <c r="B58" s="9"/>
      <c r="C58" s="17">
        <v>512.91015625</v>
      </c>
      <c r="D58" s="18">
        <v>33.082999999999998</v>
      </c>
      <c r="E58" s="18">
        <v>41.095999999999997</v>
      </c>
      <c r="F58" s="18">
        <v>41.960999999999999</v>
      </c>
      <c r="G58" s="18">
        <v>37.700000000000003</v>
      </c>
      <c r="H58" s="18">
        <f t="shared" si="0"/>
        <v>35.194375000000001</v>
      </c>
      <c r="I58" s="5"/>
      <c r="J58" s="17">
        <v>409.83359999999999</v>
      </c>
      <c r="K58" s="18">
        <v>32.936700000000002</v>
      </c>
      <c r="L58" s="18">
        <v>41.271799999999999</v>
      </c>
      <c r="M58" s="18">
        <v>42.1404</v>
      </c>
      <c r="N58" s="18">
        <v>94.043899999999994</v>
      </c>
      <c r="O58" s="18">
        <f t="shared" si="1"/>
        <v>35.129049999999999</v>
      </c>
      <c r="P58" s="7"/>
      <c r="Q58" s="10"/>
      <c r="R58" s="11"/>
      <c r="S58" s="11"/>
      <c r="T58" s="26"/>
      <c r="U58" s="28">
        <f t="shared" si="2"/>
        <v>1.4945331564986735</v>
      </c>
    </row>
    <row r="59" spans="1:21" x14ac:dyDescent="0.25">
      <c r="B59" s="9"/>
      <c r="C59" s="17">
        <v>333.224609375</v>
      </c>
      <c r="D59" s="18">
        <v>31.515999999999998</v>
      </c>
      <c r="E59" s="18">
        <v>40.052</v>
      </c>
      <c r="F59" s="18">
        <v>40.831000000000003</v>
      </c>
      <c r="G59" s="18">
        <v>43.56</v>
      </c>
      <c r="H59" s="18">
        <f t="shared" si="0"/>
        <v>33.747374999999998</v>
      </c>
      <c r="I59" s="5"/>
      <c r="J59" s="17">
        <v>254.7824</v>
      </c>
      <c r="K59" s="18">
        <v>31.414999999999999</v>
      </c>
      <c r="L59" s="18">
        <v>40.181800000000003</v>
      </c>
      <c r="M59" s="18">
        <v>41.088200000000001</v>
      </c>
      <c r="N59" s="18">
        <v>115.4957</v>
      </c>
      <c r="O59" s="18">
        <f t="shared" si="1"/>
        <v>33.72</v>
      </c>
      <c r="P59" s="7"/>
      <c r="Q59" s="10"/>
      <c r="R59" s="11"/>
      <c r="S59" s="11"/>
      <c r="T59" s="26"/>
      <c r="U59" s="28">
        <f t="shared" si="2"/>
        <v>1.6514164370982551</v>
      </c>
    </row>
    <row r="60" spans="1:21" ht="16.5" thickBot="1" x14ac:dyDescent="0.3">
      <c r="B60" s="12"/>
      <c r="C60" s="19">
        <v>150.447265625</v>
      </c>
      <c r="D60" s="20">
        <v>28.661000000000001</v>
      </c>
      <c r="E60" s="20">
        <v>38.307000000000002</v>
      </c>
      <c r="F60" s="20">
        <v>38.927999999999997</v>
      </c>
      <c r="G60" s="20">
        <v>52.46</v>
      </c>
      <c r="H60" s="20">
        <f t="shared" si="0"/>
        <v>31.150125000000003</v>
      </c>
      <c r="I60" s="5"/>
      <c r="J60" s="19">
        <v>121.4128</v>
      </c>
      <c r="K60" s="20">
        <v>28.9345</v>
      </c>
      <c r="L60" s="20">
        <v>38.966000000000001</v>
      </c>
      <c r="M60" s="20">
        <v>39.713299999999997</v>
      </c>
      <c r="N60" s="20">
        <v>169.44370000000001</v>
      </c>
      <c r="O60" s="20">
        <f t="shared" si="1"/>
        <v>31.535787500000001</v>
      </c>
      <c r="P60" s="7"/>
      <c r="Q60" s="13"/>
      <c r="R60" s="14"/>
      <c r="S60" s="14"/>
      <c r="T60" s="27"/>
      <c r="U60" s="28">
        <f t="shared" si="2"/>
        <v>2.2299599695005718</v>
      </c>
    </row>
    <row r="61" spans="1:21" x14ac:dyDescent="0.25">
      <c r="B61" s="6" t="s">
        <v>59</v>
      </c>
      <c r="C61" s="29">
        <v>674.08984375</v>
      </c>
      <c r="D61" s="30">
        <v>33.463999999999999</v>
      </c>
      <c r="E61" s="30">
        <v>38.640999999999998</v>
      </c>
      <c r="F61" s="30">
        <v>39.521000000000001</v>
      </c>
      <c r="G61" s="16">
        <v>36.729999999999997</v>
      </c>
      <c r="H61" s="16">
        <f t="shared" si="0"/>
        <v>34.868249999999996</v>
      </c>
      <c r="I61" s="5"/>
      <c r="J61" s="29">
        <v>645.34400000000005</v>
      </c>
      <c r="K61" s="30">
        <v>33.784599999999998</v>
      </c>
      <c r="L61" s="30">
        <v>39.0959</v>
      </c>
      <c r="M61" s="30">
        <v>39.984499999999997</v>
      </c>
      <c r="N61" s="16">
        <v>74.019199999999998</v>
      </c>
      <c r="O61" s="16">
        <f t="shared" si="1"/>
        <v>35.223500000000001</v>
      </c>
      <c r="P61" s="7"/>
      <c r="Q61" s="8">
        <f>bdrate(C61:C64,D61:D64,J61:J64,K61:K64)</f>
        <v>-0.16731327826861686</v>
      </c>
      <c r="R61" s="8">
        <f>bdrate(C61:C64,E61:E64,J61:J64,L61:L64)</f>
        <v>-0.33942212213160083</v>
      </c>
      <c r="S61" s="8">
        <f>bdrate(C61:C64,F61:F64,J61:J64,M61:M64)</f>
        <v>-0.32647559913467761</v>
      </c>
      <c r="T61" s="25">
        <f>bdrate(C61:C64,H61:H64,J61:J64,O61:O64)</f>
        <v>-0.20587529596357301</v>
      </c>
      <c r="U61" s="28">
        <f t="shared" si="2"/>
        <v>1.01522461203376</v>
      </c>
    </row>
    <row r="62" spans="1:21" x14ac:dyDescent="0.25">
      <c r="B62" s="9"/>
      <c r="C62" s="31">
        <v>474.5322265625</v>
      </c>
      <c r="D62" s="32">
        <v>31.98</v>
      </c>
      <c r="E62" s="32">
        <v>37.417999999999999</v>
      </c>
      <c r="F62" s="32">
        <v>38.259</v>
      </c>
      <c r="G62" s="18">
        <v>41.88</v>
      </c>
      <c r="H62" s="18">
        <f t="shared" si="0"/>
        <v>33.444625000000002</v>
      </c>
      <c r="I62" s="5"/>
      <c r="J62" s="31">
        <v>430.79199999999997</v>
      </c>
      <c r="K62" s="32">
        <v>32.239400000000003</v>
      </c>
      <c r="L62" s="32">
        <v>38.051699999999997</v>
      </c>
      <c r="M62" s="32">
        <v>38.864199999999997</v>
      </c>
      <c r="N62" s="18">
        <v>88.526899999999998</v>
      </c>
      <c r="O62" s="18">
        <f t="shared" si="1"/>
        <v>33.794037500000002</v>
      </c>
      <c r="P62" s="7"/>
      <c r="Q62" s="10"/>
      <c r="R62" s="11"/>
      <c r="S62" s="11"/>
      <c r="T62" s="26"/>
      <c r="U62" s="28">
        <f t="shared" si="2"/>
        <v>1.1138228271251192</v>
      </c>
    </row>
    <row r="63" spans="1:21" x14ac:dyDescent="0.25">
      <c r="B63" s="9"/>
      <c r="C63" s="31">
        <v>307.22265625</v>
      </c>
      <c r="D63" s="32">
        <v>30.337</v>
      </c>
      <c r="E63" s="32">
        <v>36.076000000000001</v>
      </c>
      <c r="F63" s="32">
        <v>36.914000000000001</v>
      </c>
      <c r="G63" s="18">
        <v>44.53</v>
      </c>
      <c r="H63" s="18">
        <f t="shared" si="0"/>
        <v>31.8765</v>
      </c>
      <c r="I63" s="5"/>
      <c r="J63" s="31">
        <v>269.20479999999998</v>
      </c>
      <c r="K63" s="32">
        <v>30.5702</v>
      </c>
      <c r="L63" s="32">
        <v>36.938800000000001</v>
      </c>
      <c r="M63" s="32">
        <v>37.730600000000003</v>
      </c>
      <c r="N63" s="18">
        <v>107.55</v>
      </c>
      <c r="O63" s="18">
        <f t="shared" si="1"/>
        <v>32.261324999999999</v>
      </c>
      <c r="P63" s="7"/>
      <c r="Q63" s="10"/>
      <c r="R63" s="11"/>
      <c r="S63" s="11"/>
      <c r="T63" s="26"/>
      <c r="U63" s="28">
        <f t="shared" si="2"/>
        <v>1.4152256905456995</v>
      </c>
    </row>
    <row r="64" spans="1:21" ht="16.5" thickBot="1" x14ac:dyDescent="0.3">
      <c r="B64" s="12"/>
      <c r="C64" s="33">
        <v>147.56640625</v>
      </c>
      <c r="D64" s="34">
        <v>27.963999999999999</v>
      </c>
      <c r="E64" s="34">
        <v>34.213000000000001</v>
      </c>
      <c r="F64" s="34">
        <v>34.957000000000001</v>
      </c>
      <c r="G64" s="20">
        <v>49.37</v>
      </c>
      <c r="H64" s="20">
        <f t="shared" si="0"/>
        <v>29.619249999999997</v>
      </c>
      <c r="I64" s="5"/>
      <c r="J64" s="33">
        <v>127.14239999999999</v>
      </c>
      <c r="K64" s="34">
        <v>28.121600000000001</v>
      </c>
      <c r="L64" s="34">
        <v>35.388399999999997</v>
      </c>
      <c r="M64" s="34">
        <v>36.134999999999998</v>
      </c>
      <c r="N64" s="20">
        <v>148.41200000000001</v>
      </c>
      <c r="O64" s="20">
        <f t="shared" si="1"/>
        <v>30.031624999999998</v>
      </c>
      <c r="P64" s="7"/>
      <c r="Q64" s="13"/>
      <c r="R64" s="14"/>
      <c r="S64" s="14"/>
      <c r="T64" s="27"/>
      <c r="U64" s="28">
        <f t="shared" si="2"/>
        <v>2.0061170751468507</v>
      </c>
    </row>
    <row r="65" spans="1:21" x14ac:dyDescent="0.25">
      <c r="B65" s="6" t="s">
        <v>60</v>
      </c>
      <c r="C65" s="15">
        <v>623.43359375</v>
      </c>
      <c r="D65" s="16">
        <v>34.232999999999997</v>
      </c>
      <c r="E65" s="16">
        <v>38.509</v>
      </c>
      <c r="F65" s="16">
        <v>39.704000000000001</v>
      </c>
      <c r="G65" s="16">
        <v>39.770000000000003</v>
      </c>
      <c r="H65" s="16">
        <f t="shared" si="0"/>
        <v>35.451374999999999</v>
      </c>
      <c r="I65" s="5"/>
      <c r="J65" s="15">
        <v>614.86080000000004</v>
      </c>
      <c r="K65" s="16">
        <v>34.866700000000002</v>
      </c>
      <c r="L65" s="16">
        <v>38.877699999999997</v>
      </c>
      <c r="M65" s="16">
        <v>40.011499999999998</v>
      </c>
      <c r="N65" s="16">
        <v>51.422699999999999</v>
      </c>
      <c r="O65" s="16">
        <f t="shared" si="1"/>
        <v>36.011175000000001</v>
      </c>
      <c r="P65" s="7"/>
      <c r="Q65" s="8">
        <f>bdrate(C65:C68,D65:D68,J65:J68,K65:K68)</f>
        <v>-0.16926108792220251</v>
      </c>
      <c r="R65" s="8">
        <f>bdrate(C65:C68,E65:E68,J65:J68,L65:L68)</f>
        <v>-0.28174124299962622</v>
      </c>
      <c r="S65" s="8">
        <f>bdrate(C65:C68,F65:F68,J65:J68,M65:M68)</f>
        <v>-0.27088626597977883</v>
      </c>
      <c r="T65" s="25">
        <f>bdrate(C65:C68,H65:H68,J65:J68,O65:O68)</f>
        <v>-0.19528928931056555</v>
      </c>
      <c r="U65" s="28">
        <f t="shared" si="2"/>
        <v>0.29300226301232074</v>
      </c>
    </row>
    <row r="66" spans="1:21" x14ac:dyDescent="0.25">
      <c r="B66" s="9"/>
      <c r="C66" s="17">
        <v>443.7021484375</v>
      </c>
      <c r="D66" s="18">
        <v>32.642000000000003</v>
      </c>
      <c r="E66" s="18">
        <v>37.265000000000001</v>
      </c>
      <c r="F66" s="18">
        <v>38.493000000000002</v>
      </c>
      <c r="G66" s="18">
        <v>45.48</v>
      </c>
      <c r="H66" s="18">
        <f t="shared" si="0"/>
        <v>33.951250000000002</v>
      </c>
      <c r="I66" s="5"/>
      <c r="J66" s="17">
        <v>410.69439999999997</v>
      </c>
      <c r="K66" s="18">
        <v>32.994100000000003</v>
      </c>
      <c r="L66" s="18">
        <v>37.746400000000001</v>
      </c>
      <c r="M66" s="18">
        <v>38.897300000000001</v>
      </c>
      <c r="N66" s="18">
        <v>60.667299999999997</v>
      </c>
      <c r="O66" s="18">
        <f t="shared" si="1"/>
        <v>34.326037499999998</v>
      </c>
      <c r="P66" s="7"/>
      <c r="Q66" s="10"/>
      <c r="R66" s="11"/>
      <c r="S66" s="11"/>
      <c r="T66" s="26"/>
      <c r="U66" s="28">
        <f t="shared" si="2"/>
        <v>0.33393359718557614</v>
      </c>
    </row>
    <row r="67" spans="1:21" x14ac:dyDescent="0.25">
      <c r="B67" s="9"/>
      <c r="C67" s="17">
        <v>303.90625</v>
      </c>
      <c r="D67" s="18">
        <v>30.951000000000001</v>
      </c>
      <c r="E67" s="18">
        <v>35.950000000000003</v>
      </c>
      <c r="F67" s="18">
        <v>37.149000000000001</v>
      </c>
      <c r="G67" s="18">
        <v>48.8</v>
      </c>
      <c r="H67" s="18">
        <f t="shared" si="0"/>
        <v>32.350625000000001</v>
      </c>
      <c r="I67" s="5"/>
      <c r="J67" s="17">
        <v>258.06799999999998</v>
      </c>
      <c r="K67" s="18">
        <v>31.084199999999999</v>
      </c>
      <c r="L67" s="18">
        <v>36.5321</v>
      </c>
      <c r="M67" s="18">
        <v>37.705100000000002</v>
      </c>
      <c r="N67" s="18">
        <v>73.403499999999994</v>
      </c>
      <c r="O67" s="18">
        <f t="shared" si="1"/>
        <v>32.592800000000004</v>
      </c>
      <c r="P67" s="7"/>
      <c r="Q67" s="10"/>
      <c r="R67" s="11"/>
      <c r="S67" s="11"/>
      <c r="T67" s="26"/>
      <c r="U67" s="28">
        <f t="shared" si="2"/>
        <v>0.50417008196721302</v>
      </c>
    </row>
    <row r="68" spans="1:21" ht="16.5" thickBot="1" x14ac:dyDescent="0.3">
      <c r="B68" s="12"/>
      <c r="C68" s="19">
        <v>155.1142578125</v>
      </c>
      <c r="D68" s="20">
        <v>28.454999999999998</v>
      </c>
      <c r="E68" s="20">
        <v>33.875999999999998</v>
      </c>
      <c r="F68" s="20">
        <v>35.011000000000003</v>
      </c>
      <c r="G68" s="20">
        <v>52.51</v>
      </c>
      <c r="H68" s="20">
        <f t="shared" si="0"/>
        <v>29.952124999999999</v>
      </c>
      <c r="I68" s="5"/>
      <c r="J68" s="19">
        <v>124.80240000000001</v>
      </c>
      <c r="K68" s="20">
        <v>28.4693</v>
      </c>
      <c r="L68" s="20">
        <v>35.101399999999998</v>
      </c>
      <c r="M68" s="20">
        <v>36.213700000000003</v>
      </c>
      <c r="N68" s="20">
        <v>98.619299999999996</v>
      </c>
      <c r="O68" s="20">
        <f t="shared" si="1"/>
        <v>30.2663625</v>
      </c>
      <c r="P68" s="7"/>
      <c r="Q68" s="13"/>
      <c r="R68" s="14"/>
      <c r="S68" s="14"/>
      <c r="T68" s="27"/>
      <c r="U68" s="28">
        <f t="shared" si="2"/>
        <v>0.87810512283374598</v>
      </c>
    </row>
    <row r="69" spans="1:21" x14ac:dyDescent="0.25">
      <c r="A69" s="6" t="s">
        <v>43</v>
      </c>
      <c r="B69" s="6" t="s">
        <v>61</v>
      </c>
      <c r="C69" s="15">
        <v>1541.23828125</v>
      </c>
      <c r="D69" s="16">
        <v>41.671999999999997</v>
      </c>
      <c r="E69" s="16">
        <v>46.064999999999998</v>
      </c>
      <c r="F69" s="16">
        <v>47.384999999999998</v>
      </c>
      <c r="G69" s="16">
        <v>7.42</v>
      </c>
      <c r="H69" s="16">
        <f t="shared" si="0"/>
        <v>42.935249999999996</v>
      </c>
      <c r="I69" s="5"/>
      <c r="J69" s="15">
        <v>1507.3648000000001</v>
      </c>
      <c r="K69" s="16">
        <v>41.935000000000002</v>
      </c>
      <c r="L69" s="16">
        <v>46.534199999999998</v>
      </c>
      <c r="M69" s="16">
        <v>47.826799999999999</v>
      </c>
      <c r="N69" s="16">
        <v>18.580500000000001</v>
      </c>
      <c r="O69" s="16">
        <f t="shared" si="1"/>
        <v>43.246375</v>
      </c>
      <c r="P69" s="7"/>
      <c r="Q69" s="8">
        <f>bdrate(C69:C72,D69:D72,J69:J72,K69:K72)</f>
        <v>-0.21336739306974439</v>
      </c>
      <c r="R69" s="8">
        <f>bdrate(C69:C72,E69:E72,J69:J72,L69:L72)</f>
        <v>-0.29082309800880746</v>
      </c>
      <c r="S69" s="8">
        <f>bdrate(C69:C72,F69:F72,J69:J72,M69:M72)</f>
        <v>-0.27074195913103638</v>
      </c>
      <c r="T69" s="25">
        <f>bdrate(C69:C72,H69:H72,J69:J72,O69:O72)</f>
        <v>-0.22790735578401145</v>
      </c>
      <c r="U69" s="28">
        <f t="shared" si="2"/>
        <v>1.5041105121293801</v>
      </c>
    </row>
    <row r="70" spans="1:21" x14ac:dyDescent="0.25">
      <c r="A70" s="9" t="s">
        <v>44</v>
      </c>
      <c r="B70" s="9"/>
      <c r="C70" s="17">
        <v>1050.861328125</v>
      </c>
      <c r="D70" s="18">
        <v>40.540999999999997</v>
      </c>
      <c r="E70" s="18">
        <v>45.186999999999998</v>
      </c>
      <c r="F70" s="18">
        <v>46.463000000000001</v>
      </c>
      <c r="G70" s="18">
        <v>8.8000000000000007</v>
      </c>
      <c r="H70" s="18">
        <f t="shared" si="0"/>
        <v>41.862000000000002</v>
      </c>
      <c r="I70" s="5"/>
      <c r="J70" s="17">
        <v>998.39840000000004</v>
      </c>
      <c r="K70" s="18">
        <v>40.963200000000001</v>
      </c>
      <c r="L70" s="18">
        <v>45.7562</v>
      </c>
      <c r="M70" s="18">
        <v>46.956499999999998</v>
      </c>
      <c r="N70" s="18">
        <v>23.267499999999998</v>
      </c>
      <c r="O70" s="18">
        <f t="shared" si="1"/>
        <v>42.311487499999998</v>
      </c>
      <c r="P70" s="7"/>
      <c r="Q70" s="10"/>
      <c r="R70" s="11"/>
      <c r="S70" s="11"/>
      <c r="T70" s="26"/>
      <c r="U70" s="28">
        <f t="shared" si="2"/>
        <v>1.6440340909090905</v>
      </c>
    </row>
    <row r="71" spans="1:21" x14ac:dyDescent="0.25">
      <c r="B71" s="9"/>
      <c r="C71" s="17">
        <v>646.4296875</v>
      </c>
      <c r="D71" s="18">
        <v>38.738999999999997</v>
      </c>
      <c r="E71" s="18">
        <v>43.789000000000001</v>
      </c>
      <c r="F71" s="18">
        <v>45.023000000000003</v>
      </c>
      <c r="G71" s="18">
        <v>10.96</v>
      </c>
      <c r="H71" s="18">
        <f t="shared" si="0"/>
        <v>40.155749999999998</v>
      </c>
      <c r="I71" s="5"/>
      <c r="J71" s="17">
        <v>590.63760000000002</v>
      </c>
      <c r="K71" s="18">
        <v>39.333799999999997</v>
      </c>
      <c r="L71" s="18">
        <v>44.474800000000002</v>
      </c>
      <c r="M71" s="18">
        <v>45.661900000000003</v>
      </c>
      <c r="N71" s="18">
        <v>30.477</v>
      </c>
      <c r="O71" s="18">
        <f t="shared" si="1"/>
        <v>40.7674375</v>
      </c>
      <c r="P71" s="7"/>
      <c r="Q71" s="10"/>
      <c r="R71" s="11"/>
      <c r="S71" s="11"/>
      <c r="T71" s="26"/>
      <c r="U71" s="28">
        <f t="shared" si="2"/>
        <v>1.7807481751824816</v>
      </c>
    </row>
    <row r="72" spans="1:21" ht="16.5" thickBot="1" x14ac:dyDescent="0.3">
      <c r="B72" s="12"/>
      <c r="C72" s="19">
        <v>328.525390625</v>
      </c>
      <c r="D72" s="20">
        <v>35.567999999999998</v>
      </c>
      <c r="E72" s="20">
        <v>41.365000000000002</v>
      </c>
      <c r="F72" s="20">
        <v>42.470999999999997</v>
      </c>
      <c r="G72" s="20">
        <v>13.92</v>
      </c>
      <c r="H72" s="20">
        <f t="shared" si="0"/>
        <v>37.155499999999996</v>
      </c>
      <c r="I72" s="5"/>
      <c r="J72" s="19">
        <v>284.79680000000002</v>
      </c>
      <c r="K72" s="20">
        <v>36.334699999999998</v>
      </c>
      <c r="L72" s="20">
        <v>42.587899999999998</v>
      </c>
      <c r="M72" s="20">
        <v>43.702100000000002</v>
      </c>
      <c r="N72" s="20">
        <v>40.357799999999997</v>
      </c>
      <c r="O72" s="20">
        <f t="shared" si="1"/>
        <v>38.037274999999994</v>
      </c>
      <c r="P72" s="7"/>
      <c r="Q72" s="13"/>
      <c r="R72" s="14"/>
      <c r="S72" s="14"/>
      <c r="T72" s="27"/>
      <c r="U72" s="28">
        <f t="shared" si="2"/>
        <v>1.8992672413793101</v>
      </c>
    </row>
    <row r="73" spans="1:21" x14ac:dyDescent="0.25">
      <c r="B73" s="6" t="s">
        <v>62</v>
      </c>
      <c r="C73" s="15">
        <v>1579.9453125</v>
      </c>
      <c r="D73" s="16">
        <v>43.01</v>
      </c>
      <c r="E73" s="16">
        <v>48.314999999999998</v>
      </c>
      <c r="F73" s="16">
        <v>48.953000000000003</v>
      </c>
      <c r="G73" s="16">
        <v>5.65</v>
      </c>
      <c r="H73" s="16">
        <f t="shared" si="0"/>
        <v>44.415999999999997</v>
      </c>
      <c r="I73" s="5"/>
      <c r="J73" s="15">
        <v>1512.2392</v>
      </c>
      <c r="K73" s="16">
        <v>42.937800000000003</v>
      </c>
      <c r="L73" s="16">
        <v>48.345799999999997</v>
      </c>
      <c r="M73" s="16">
        <v>49.066299999999998</v>
      </c>
      <c r="N73" s="16">
        <v>19.753699999999998</v>
      </c>
      <c r="O73" s="16">
        <f t="shared" si="1"/>
        <v>44.379862500000002</v>
      </c>
      <c r="P73" s="7"/>
      <c r="Q73" s="8">
        <f>bdrate(C73:C76,D73:D76,J73:J76,K73:K76)</f>
        <v>-0.13994978786385348</v>
      </c>
      <c r="R73" s="8">
        <f>bdrate(C73:C76,E73:E76,J73:J76,L73:L76)</f>
        <v>-0.19007544888228889</v>
      </c>
      <c r="S73" s="8">
        <f>bdrate(C73:C76,F73:F76,J73:J76,M73:M76)</f>
        <v>-0.18882283877189632</v>
      </c>
      <c r="T73" s="25">
        <f>bdrate(C73:C76,H73:H76,J73:J76,O73:O76)</f>
        <v>-0.15136815322944364</v>
      </c>
      <c r="U73" s="28">
        <f t="shared" ref="U73:U124" si="3">(N73-G73)/G73</f>
        <v>2.4962300884955746</v>
      </c>
    </row>
    <row r="74" spans="1:21" x14ac:dyDescent="0.25">
      <c r="B74" s="9"/>
      <c r="C74" s="17">
        <v>1132.4267578125</v>
      </c>
      <c r="D74" s="18">
        <v>42.63</v>
      </c>
      <c r="E74" s="18">
        <v>48.036000000000001</v>
      </c>
      <c r="F74" s="18">
        <v>48.673999999999999</v>
      </c>
      <c r="G74" s="18">
        <v>6.69</v>
      </c>
      <c r="H74" s="18">
        <f t="shared" si="0"/>
        <v>44.061250000000001</v>
      </c>
      <c r="I74" s="5"/>
      <c r="J74" s="17">
        <v>994.84159999999997</v>
      </c>
      <c r="K74" s="18">
        <v>42.5229</v>
      </c>
      <c r="L74" s="18">
        <v>48.018999999999998</v>
      </c>
      <c r="M74" s="18">
        <v>48.720399999999998</v>
      </c>
      <c r="N74" s="18">
        <v>23.889199999999999</v>
      </c>
      <c r="O74" s="18">
        <f t="shared" si="1"/>
        <v>43.9846</v>
      </c>
      <c r="P74" s="7"/>
      <c r="Q74" s="10"/>
      <c r="R74" s="11"/>
      <c r="S74" s="11"/>
      <c r="T74" s="26"/>
      <c r="U74" s="28">
        <f t="shared" si="3"/>
        <v>2.5708819133034373</v>
      </c>
    </row>
    <row r="75" spans="1:21" x14ac:dyDescent="0.25">
      <c r="B75" s="9"/>
      <c r="C75" s="17">
        <v>717.8134765625</v>
      </c>
      <c r="D75" s="18">
        <v>41.887</v>
      </c>
      <c r="E75" s="18">
        <v>47.335999999999999</v>
      </c>
      <c r="F75" s="18">
        <v>47.962000000000003</v>
      </c>
      <c r="G75" s="18">
        <v>8.31</v>
      </c>
      <c r="H75" s="18">
        <f t="shared" si="0"/>
        <v>43.327500000000001</v>
      </c>
      <c r="I75" s="5"/>
      <c r="J75" s="17">
        <v>579.20079999999996</v>
      </c>
      <c r="K75" s="18">
        <v>41.766300000000001</v>
      </c>
      <c r="L75" s="18">
        <v>47.3217</v>
      </c>
      <c r="M75" s="18">
        <v>47.935499999999998</v>
      </c>
      <c r="N75" s="18">
        <v>30.404399999999999</v>
      </c>
      <c r="O75" s="18">
        <f t="shared" si="1"/>
        <v>43.231875000000002</v>
      </c>
      <c r="P75" s="7"/>
      <c r="Q75" s="10"/>
      <c r="R75" s="11"/>
      <c r="S75" s="11"/>
      <c r="T75" s="26"/>
      <c r="U75" s="28">
        <f t="shared" si="3"/>
        <v>2.6587725631768953</v>
      </c>
    </row>
    <row r="76" spans="1:21" ht="16.5" thickBot="1" x14ac:dyDescent="0.3">
      <c r="B76" s="12"/>
      <c r="C76" s="19">
        <v>348.7841796875</v>
      </c>
      <c r="D76" s="20">
        <v>40.119999999999997</v>
      </c>
      <c r="E76" s="20">
        <v>45.610999999999997</v>
      </c>
      <c r="F76" s="20">
        <v>46.268999999999998</v>
      </c>
      <c r="G76" s="20">
        <v>11.18</v>
      </c>
      <c r="H76" s="20">
        <f t="shared" si="0"/>
        <v>41.574999999999996</v>
      </c>
      <c r="I76" s="5"/>
      <c r="J76" s="19">
        <v>278.35120000000001</v>
      </c>
      <c r="K76" s="20">
        <v>40.191899999999997</v>
      </c>
      <c r="L76" s="20">
        <v>45.779600000000002</v>
      </c>
      <c r="M76" s="20">
        <v>46.329799999999999</v>
      </c>
      <c r="N76" s="20">
        <v>41.399299999999997</v>
      </c>
      <c r="O76" s="20">
        <f t="shared" si="1"/>
        <v>41.657599999999995</v>
      </c>
      <c r="P76" s="7"/>
      <c r="Q76" s="13"/>
      <c r="R76" s="14"/>
      <c r="S76" s="14"/>
      <c r="T76" s="27"/>
      <c r="U76" s="28">
        <f t="shared" si="3"/>
        <v>2.7029785330948122</v>
      </c>
    </row>
    <row r="77" spans="1:21" x14ac:dyDescent="0.25">
      <c r="B77" s="6" t="s">
        <v>63</v>
      </c>
      <c r="C77" s="15">
        <v>1537.9658203125</v>
      </c>
      <c r="D77" s="16">
        <v>42.628</v>
      </c>
      <c r="E77" s="16">
        <v>47.156999999999996</v>
      </c>
      <c r="F77" s="16">
        <v>48.085000000000001</v>
      </c>
      <c r="G77" s="16">
        <v>7.23</v>
      </c>
      <c r="H77" s="16">
        <f t="shared" si="0"/>
        <v>43.876249999999999</v>
      </c>
      <c r="I77" s="5"/>
      <c r="J77" s="15">
        <v>1541.796</v>
      </c>
      <c r="K77" s="16">
        <v>42.893599999999999</v>
      </c>
      <c r="L77" s="16">
        <v>47.551400000000001</v>
      </c>
      <c r="M77" s="16">
        <v>48.448999999999998</v>
      </c>
      <c r="N77" s="16">
        <v>18.3672</v>
      </c>
      <c r="O77" s="16">
        <f t="shared" si="1"/>
        <v>44.170250000000003</v>
      </c>
      <c r="P77" s="7"/>
      <c r="Q77" s="8">
        <f>bdrate(C77:C80,D77:D80,J77:J80,K77:K80)</f>
        <v>-0.20382059773101802</v>
      </c>
      <c r="R77" s="8">
        <f>bdrate(C77:C80,E77:E80,J77:J80,L77:L80)</f>
        <v>-0.28167363836210491</v>
      </c>
      <c r="S77" s="8">
        <f>bdrate(C77:C80,F77:F80,J77:J80,M77:M80)</f>
        <v>-0.25285966611032495</v>
      </c>
      <c r="T77" s="25">
        <f>bdrate(C77:C80,H77:H80,J77:J80,O77:O80)</f>
        <v>-0.21854043159565995</v>
      </c>
      <c r="U77" s="28">
        <f t="shared" si="3"/>
        <v>1.5404149377593359</v>
      </c>
    </row>
    <row r="78" spans="1:21" x14ac:dyDescent="0.25">
      <c r="B78" s="9"/>
      <c r="C78" s="17">
        <v>1074.4462890625</v>
      </c>
      <c r="D78" s="18">
        <v>41.914999999999999</v>
      </c>
      <c r="E78" s="18">
        <v>46.591000000000001</v>
      </c>
      <c r="F78" s="18">
        <v>47.497999999999998</v>
      </c>
      <c r="G78" s="18">
        <v>8.43</v>
      </c>
      <c r="H78" s="18">
        <f t="shared" si="0"/>
        <v>43.197375000000001</v>
      </c>
      <c r="I78" s="5"/>
      <c r="J78" s="17">
        <v>1028.8592000000001</v>
      </c>
      <c r="K78" s="18">
        <v>42.220999999999997</v>
      </c>
      <c r="L78" s="18">
        <v>47.007899999999999</v>
      </c>
      <c r="M78" s="18">
        <v>47.8752</v>
      </c>
      <c r="N78" s="18">
        <v>22.798100000000002</v>
      </c>
      <c r="O78" s="18">
        <f t="shared" si="1"/>
        <v>43.526137499999997</v>
      </c>
      <c r="P78" s="7"/>
      <c r="Q78" s="10"/>
      <c r="R78" s="11"/>
      <c r="S78" s="11"/>
      <c r="T78" s="26"/>
      <c r="U78" s="28">
        <f t="shared" si="3"/>
        <v>1.7044009489916967</v>
      </c>
    </row>
    <row r="79" spans="1:21" x14ac:dyDescent="0.25">
      <c r="B79" s="9"/>
      <c r="C79" s="17">
        <v>671.7880859375</v>
      </c>
      <c r="D79" s="18">
        <v>40.668999999999997</v>
      </c>
      <c r="E79" s="18">
        <v>45.444000000000003</v>
      </c>
      <c r="F79" s="18">
        <v>46.37</v>
      </c>
      <c r="G79" s="18">
        <v>10.16</v>
      </c>
      <c r="H79" s="18">
        <f t="shared" si="0"/>
        <v>41.978499999999997</v>
      </c>
      <c r="I79" s="5"/>
      <c r="J79" s="17">
        <v>600.82719999999995</v>
      </c>
      <c r="K79" s="18">
        <v>40.999400000000001</v>
      </c>
      <c r="L79" s="18">
        <v>45.976700000000001</v>
      </c>
      <c r="M79" s="18">
        <v>46.7864</v>
      </c>
      <c r="N79" s="18">
        <v>29.953600000000002</v>
      </c>
      <c r="O79" s="18">
        <f t="shared" si="1"/>
        <v>42.3449375</v>
      </c>
      <c r="P79" s="7"/>
      <c r="Q79" s="10"/>
      <c r="R79" s="11"/>
      <c r="S79" s="11"/>
      <c r="T79" s="26"/>
      <c r="U79" s="28">
        <f t="shared" si="3"/>
        <v>1.948188976377953</v>
      </c>
    </row>
    <row r="80" spans="1:21" ht="16.5" thickBot="1" x14ac:dyDescent="0.3">
      <c r="B80" s="12"/>
      <c r="C80" s="19">
        <v>332.7060546875</v>
      </c>
      <c r="D80" s="20">
        <v>38.131999999999998</v>
      </c>
      <c r="E80" s="20">
        <v>43.264000000000003</v>
      </c>
      <c r="F80" s="20">
        <v>44.186</v>
      </c>
      <c r="G80" s="20">
        <v>13.52</v>
      </c>
      <c r="H80" s="20">
        <f t="shared" si="0"/>
        <v>39.530249999999995</v>
      </c>
      <c r="I80" s="5"/>
      <c r="J80" s="19">
        <v>297.13119999999998</v>
      </c>
      <c r="K80" s="20">
        <v>38.752000000000002</v>
      </c>
      <c r="L80" s="20">
        <v>44.160299999999999</v>
      </c>
      <c r="M80" s="20">
        <v>45.030500000000004</v>
      </c>
      <c r="N80" s="20">
        <v>39.898899999999998</v>
      </c>
      <c r="O80" s="20">
        <f t="shared" si="1"/>
        <v>40.212850000000003</v>
      </c>
      <c r="P80" s="7"/>
      <c r="Q80" s="13"/>
      <c r="R80" s="14"/>
      <c r="S80" s="14"/>
      <c r="T80" s="27"/>
      <c r="U80" s="28">
        <f t="shared" si="3"/>
        <v>1.951102071005917</v>
      </c>
    </row>
    <row r="81" spans="1:21" x14ac:dyDescent="0.25">
      <c r="A81" s="6" t="s">
        <v>102</v>
      </c>
      <c r="B81" s="6" t="s">
        <v>103</v>
      </c>
      <c r="C81" s="15">
        <v>1455.0009765625</v>
      </c>
      <c r="D81" s="16">
        <v>47.488</v>
      </c>
      <c r="E81" s="16">
        <v>52.884</v>
      </c>
      <c r="F81" s="16">
        <v>53.593000000000004</v>
      </c>
      <c r="G81" s="16">
        <v>10.07</v>
      </c>
      <c r="H81" s="16">
        <f t="shared" ref="H81:H124" si="4">(6*D81+E81+F81)/8</f>
        <v>48.925625000000004</v>
      </c>
      <c r="I81" s="5"/>
      <c r="J81" s="15">
        <v>1231.1093000000001</v>
      </c>
      <c r="K81" s="16">
        <v>45.253700000000002</v>
      </c>
      <c r="L81" s="16">
        <v>51.4191</v>
      </c>
      <c r="M81" s="16">
        <v>52.011600000000001</v>
      </c>
      <c r="N81" s="16">
        <v>12.487500000000001</v>
      </c>
      <c r="O81" s="16">
        <f t="shared" ref="O81:O124" si="5">(6*K81+L81+M81)/8</f>
        <v>46.8691125</v>
      </c>
      <c r="P81" s="7"/>
      <c r="Q81" s="8">
        <f>bdrate(C81:C84,D81:D84,J81:J84,K81:K84)</f>
        <v>0.11259908413550379</v>
      </c>
      <c r="R81" s="8">
        <f>bdrate(C81:C84,E81:E84,J81:J84,L81:L84)</f>
        <v>-8.8583541048197767E-2</v>
      </c>
      <c r="S81" s="8">
        <f>bdrate(C81:C84,F81:F84,J81:J84,M81:M84)</f>
        <v>-0.13030919882371461</v>
      </c>
      <c r="T81" s="25">
        <f>bdrate(C81:C84,H81:H84,J81:J84,O81:O84)</f>
        <v>6.0477859656665744E-2</v>
      </c>
      <c r="U81" s="28">
        <f t="shared" si="3"/>
        <v>0.24006951340615693</v>
      </c>
    </row>
    <row r="82" spans="1:21" x14ac:dyDescent="0.25">
      <c r="A82" s="9" t="s">
        <v>78</v>
      </c>
      <c r="B82" s="9"/>
      <c r="C82" s="17">
        <v>1025.99609375</v>
      </c>
      <c r="D82" s="18">
        <v>45.706000000000003</v>
      </c>
      <c r="E82" s="18">
        <v>51.225999999999999</v>
      </c>
      <c r="F82" s="18">
        <v>51.838999999999999</v>
      </c>
      <c r="G82" s="18">
        <v>11.33</v>
      </c>
      <c r="H82" s="18">
        <f t="shared" si="4"/>
        <v>47.162624999999998</v>
      </c>
      <c r="I82" s="5"/>
      <c r="J82" s="17">
        <v>829.37639999999999</v>
      </c>
      <c r="K82" s="18">
        <v>43.456800000000001</v>
      </c>
      <c r="L82" s="18">
        <v>50.102200000000003</v>
      </c>
      <c r="M82" s="18">
        <v>50.781999999999996</v>
      </c>
      <c r="N82" s="18">
        <v>14.2803</v>
      </c>
      <c r="O82" s="18">
        <f t="shared" si="5"/>
        <v>45.203125</v>
      </c>
      <c r="P82" s="7"/>
      <c r="Q82" s="10"/>
      <c r="R82" s="11"/>
      <c r="S82" s="11"/>
      <c r="T82" s="26"/>
      <c r="U82" s="28">
        <f t="shared" si="3"/>
        <v>0.26039717563989412</v>
      </c>
    </row>
    <row r="83" spans="1:21" x14ac:dyDescent="0.25">
      <c r="B83" s="9"/>
      <c r="C83" s="17">
        <v>647.04296875</v>
      </c>
      <c r="D83" s="18">
        <v>43.29</v>
      </c>
      <c r="E83" s="18">
        <v>49.265000000000001</v>
      </c>
      <c r="F83" s="18">
        <v>49.872999999999998</v>
      </c>
      <c r="G83" s="18">
        <v>12.73</v>
      </c>
      <c r="H83" s="18">
        <f t="shared" si="4"/>
        <v>44.859749999999998</v>
      </c>
      <c r="I83" s="5"/>
      <c r="J83" s="17">
        <v>504.50009999999997</v>
      </c>
      <c r="K83" s="18">
        <v>41.1661</v>
      </c>
      <c r="L83" s="18">
        <v>48.382100000000001</v>
      </c>
      <c r="M83" s="18">
        <v>49.408700000000003</v>
      </c>
      <c r="N83" s="18">
        <v>16.886299999999999</v>
      </c>
      <c r="O83" s="18">
        <f t="shared" si="5"/>
        <v>43.098424999999999</v>
      </c>
      <c r="P83" s="7"/>
      <c r="Q83" s="10"/>
      <c r="R83" s="11"/>
      <c r="S83" s="11"/>
      <c r="T83" s="26"/>
      <c r="U83" s="28">
        <f t="shared" si="3"/>
        <v>0.32649646504320484</v>
      </c>
    </row>
    <row r="84" spans="1:21" ht="16.5" thickBot="1" x14ac:dyDescent="0.3">
      <c r="B84" s="12"/>
      <c r="C84" s="19">
        <v>372.5048828125</v>
      </c>
      <c r="D84" s="20">
        <v>38.887</v>
      </c>
      <c r="E84" s="20">
        <v>45.433</v>
      </c>
      <c r="F84" s="20">
        <v>46.482999999999997</v>
      </c>
      <c r="G84" s="20">
        <v>13.94</v>
      </c>
      <c r="H84" s="20">
        <f t="shared" si="4"/>
        <v>40.65475</v>
      </c>
      <c r="I84" s="5"/>
      <c r="J84" s="19">
        <v>256.33769999999998</v>
      </c>
      <c r="K84" s="20">
        <v>37.751899999999999</v>
      </c>
      <c r="L84" s="20">
        <v>45.474699999999999</v>
      </c>
      <c r="M84" s="20">
        <v>46.966999999999999</v>
      </c>
      <c r="N84" s="20">
        <v>22.117100000000001</v>
      </c>
      <c r="O84" s="20">
        <f t="shared" si="5"/>
        <v>39.869137499999994</v>
      </c>
      <c r="P84" s="7"/>
      <c r="Q84" s="13"/>
      <c r="R84" s="14"/>
      <c r="S84" s="14"/>
      <c r="T84" s="27"/>
      <c r="U84" s="28">
        <f t="shared" si="3"/>
        <v>0.58659253945480638</v>
      </c>
    </row>
    <row r="85" spans="1:21" x14ac:dyDescent="0.25">
      <c r="B85" s="6" t="s">
        <v>104</v>
      </c>
      <c r="C85" s="15">
        <v>1933.6630859375</v>
      </c>
      <c r="D85" s="16">
        <v>54.844000000000001</v>
      </c>
      <c r="E85" s="16">
        <v>55.866</v>
      </c>
      <c r="F85" s="16">
        <v>56.189</v>
      </c>
      <c r="G85" s="16">
        <v>11.64</v>
      </c>
      <c r="H85" s="16">
        <f t="shared" si="4"/>
        <v>55.139875000000004</v>
      </c>
      <c r="I85" s="5"/>
      <c r="J85" s="15">
        <v>1420.54</v>
      </c>
      <c r="K85" s="16">
        <v>53.315199999999997</v>
      </c>
      <c r="L85" s="16">
        <v>54.150100000000002</v>
      </c>
      <c r="M85" s="16">
        <v>54.751399999999997</v>
      </c>
      <c r="N85" s="16">
        <v>22.619900000000001</v>
      </c>
      <c r="O85" s="16">
        <f t="shared" si="5"/>
        <v>53.599087499999996</v>
      </c>
      <c r="P85" s="7"/>
      <c r="Q85" s="8">
        <f>bdrate(C85:C88,D85:D88,J85:J88,K85:K88)</f>
        <v>-0.22397259094529109</v>
      </c>
      <c r="R85" s="8">
        <f>bdrate(C85:C88,E85:E88,J85:J88,L85:L88)</f>
        <v>-0.26116327288617158</v>
      </c>
      <c r="S85" s="8">
        <f>bdrate(C85:C88,F85:F88,J85:J88,M85:M88)</f>
        <v>-0.26604489798399034</v>
      </c>
      <c r="T85" s="25">
        <f>bdrate(C85:C88,H85:H88,J85:J88,O85:O88)</f>
        <v>-0.23324455969091928</v>
      </c>
      <c r="U85" s="28">
        <f t="shared" si="3"/>
        <v>0.94329037800687288</v>
      </c>
    </row>
    <row r="86" spans="1:21" x14ac:dyDescent="0.25">
      <c r="B86" s="9"/>
      <c r="C86" s="17">
        <v>1364.7236328125</v>
      </c>
      <c r="D86" s="18">
        <v>52.359000000000002</v>
      </c>
      <c r="E86" s="18">
        <v>53.482999999999997</v>
      </c>
      <c r="F86" s="18">
        <v>53.871000000000002</v>
      </c>
      <c r="G86" s="18">
        <v>12.73</v>
      </c>
      <c r="H86" s="18">
        <f t="shared" si="4"/>
        <v>52.688499999999998</v>
      </c>
      <c r="I86" s="5"/>
      <c r="J86" s="17">
        <v>975.63670000000002</v>
      </c>
      <c r="K86" s="18">
        <v>51.463799999999999</v>
      </c>
      <c r="L86" s="18">
        <v>52.640099999999997</v>
      </c>
      <c r="M86" s="18">
        <v>53.167000000000002</v>
      </c>
      <c r="N86" s="18">
        <v>29.8537</v>
      </c>
      <c r="O86" s="18">
        <f t="shared" si="5"/>
        <v>51.823737500000007</v>
      </c>
      <c r="P86" s="7"/>
      <c r="Q86" s="10"/>
      <c r="R86" s="11"/>
      <c r="S86" s="11"/>
      <c r="T86" s="26"/>
      <c r="U86" s="28">
        <f t="shared" si="3"/>
        <v>1.3451453260015711</v>
      </c>
    </row>
    <row r="87" spans="1:21" x14ac:dyDescent="0.25">
      <c r="B87" s="9"/>
      <c r="C87" s="17">
        <v>871.150390625</v>
      </c>
      <c r="D87" s="18">
        <v>49.213000000000001</v>
      </c>
      <c r="E87" s="18">
        <v>50.55</v>
      </c>
      <c r="F87" s="18">
        <v>51.036000000000001</v>
      </c>
      <c r="G87" s="18">
        <v>14.06</v>
      </c>
      <c r="H87" s="18">
        <f t="shared" si="4"/>
        <v>49.608000000000004</v>
      </c>
      <c r="I87" s="5"/>
      <c r="J87" s="17">
        <v>606.89970000000005</v>
      </c>
      <c r="K87" s="18">
        <v>48.678699999999999</v>
      </c>
      <c r="L87" s="18">
        <v>50.359499999999997</v>
      </c>
      <c r="M87" s="18">
        <v>50.886800000000001</v>
      </c>
      <c r="N87" s="18">
        <v>39.447699999999998</v>
      </c>
      <c r="O87" s="18">
        <f t="shared" si="5"/>
        <v>49.164812499999996</v>
      </c>
      <c r="P87" s="7"/>
      <c r="Q87" s="10"/>
      <c r="R87" s="11"/>
      <c r="S87" s="11"/>
      <c r="T87" s="26"/>
      <c r="U87" s="28">
        <f t="shared" si="3"/>
        <v>1.8056685633001419</v>
      </c>
    </row>
    <row r="88" spans="1:21" ht="16.5" thickBot="1" x14ac:dyDescent="0.3">
      <c r="B88" s="12"/>
      <c r="C88" s="19">
        <v>456.69140625</v>
      </c>
      <c r="D88" s="20">
        <v>44.856000000000002</v>
      </c>
      <c r="E88" s="20">
        <v>46.414999999999999</v>
      </c>
      <c r="F88" s="20">
        <v>46.985999999999997</v>
      </c>
      <c r="G88" s="20">
        <v>15.84</v>
      </c>
      <c r="H88" s="20">
        <f t="shared" si="4"/>
        <v>45.317125000000004</v>
      </c>
      <c r="I88" s="5"/>
      <c r="J88" s="19">
        <v>312.48239999999998</v>
      </c>
      <c r="K88" s="20">
        <v>44.327399999999997</v>
      </c>
      <c r="L88" s="20">
        <v>46.6389</v>
      </c>
      <c r="M88" s="20">
        <v>47.181600000000003</v>
      </c>
      <c r="N88" s="20">
        <v>50.942399999999999</v>
      </c>
      <c r="O88" s="20">
        <f t="shared" si="5"/>
        <v>44.973112499999992</v>
      </c>
      <c r="P88" s="7"/>
      <c r="Q88" s="13"/>
      <c r="R88" s="14"/>
      <c r="S88" s="14"/>
      <c r="T88" s="27"/>
      <c r="U88" s="28">
        <f t="shared" si="3"/>
        <v>2.2160606060606063</v>
      </c>
    </row>
    <row r="89" spans="1:21" x14ac:dyDescent="0.25">
      <c r="B89" s="6" t="s">
        <v>105</v>
      </c>
      <c r="C89" s="15">
        <v>1957.4775390625</v>
      </c>
      <c r="D89" s="16">
        <v>43.584000000000003</v>
      </c>
      <c r="E89" s="16">
        <v>46.112000000000002</v>
      </c>
      <c r="F89" s="16">
        <v>46.561</v>
      </c>
      <c r="G89" s="16">
        <v>7.92</v>
      </c>
      <c r="H89" s="16">
        <f t="shared" si="4"/>
        <v>44.272125000000003</v>
      </c>
      <c r="I89" s="5"/>
      <c r="J89" s="15">
        <v>1481.7474999999999</v>
      </c>
      <c r="K89" s="16">
        <v>44.142899999999997</v>
      </c>
      <c r="L89" s="16">
        <v>46.592700000000001</v>
      </c>
      <c r="M89" s="16">
        <v>47.010199999999998</v>
      </c>
      <c r="N89" s="16">
        <v>14.1212</v>
      </c>
      <c r="O89" s="16">
        <f t="shared" si="5"/>
        <v>44.807537499999995</v>
      </c>
      <c r="P89" s="7"/>
      <c r="Q89" s="8">
        <f>bdrate(C89:C92,D89:D92,J89:J92,K89:K92)</f>
        <v>-0.31110980343492745</v>
      </c>
      <c r="R89" s="8">
        <f>bdrate(C89:C92,E89:E92,J89:J92,L89:L92)</f>
        <v>-0.39619826308677519</v>
      </c>
      <c r="S89" s="8">
        <f>bdrate(C89:C92,F89:F92,J89:J92,M89:M92)</f>
        <v>-0.38734597654699876</v>
      </c>
      <c r="T89" s="25">
        <f>bdrate(C89:C92,H89:H92,J89:J92,O89:O92)</f>
        <v>-0.32769011328168018</v>
      </c>
      <c r="U89" s="28">
        <f t="shared" si="3"/>
        <v>0.782979797979798</v>
      </c>
    </row>
    <row r="90" spans="1:21" x14ac:dyDescent="0.25">
      <c r="B90" s="9"/>
      <c r="C90" s="17">
        <v>1354.0751953125</v>
      </c>
      <c r="D90" s="18">
        <v>41.844000000000001</v>
      </c>
      <c r="E90" s="18">
        <v>44.661999999999999</v>
      </c>
      <c r="F90" s="18">
        <v>45.095999999999997</v>
      </c>
      <c r="G90" s="18">
        <v>8.9600000000000009</v>
      </c>
      <c r="H90" s="18">
        <f t="shared" si="4"/>
        <v>42.60275</v>
      </c>
      <c r="I90" s="5"/>
      <c r="J90" s="17">
        <v>992.36869999999999</v>
      </c>
      <c r="K90" s="18">
        <v>42.279000000000003</v>
      </c>
      <c r="L90" s="18">
        <v>45.220999999999997</v>
      </c>
      <c r="M90" s="18">
        <v>45.605699999999999</v>
      </c>
      <c r="N90" s="18">
        <v>17.244700000000002</v>
      </c>
      <c r="O90" s="18">
        <f t="shared" si="5"/>
        <v>43.062587500000006</v>
      </c>
      <c r="P90" s="7"/>
      <c r="Q90" s="10"/>
      <c r="R90" s="11"/>
      <c r="S90" s="11"/>
      <c r="T90" s="26"/>
      <c r="U90" s="28">
        <f t="shared" si="3"/>
        <v>0.92463169642857146</v>
      </c>
    </row>
    <row r="91" spans="1:21" x14ac:dyDescent="0.25">
      <c r="B91" s="9"/>
      <c r="C91" s="17">
        <v>877.3369140625</v>
      </c>
      <c r="D91" s="18">
        <v>39.753</v>
      </c>
      <c r="E91" s="18">
        <v>42.857999999999997</v>
      </c>
      <c r="F91" s="18">
        <v>43.302</v>
      </c>
      <c r="G91" s="18">
        <v>10.220000000000001</v>
      </c>
      <c r="H91" s="18">
        <f t="shared" si="4"/>
        <v>40.58475</v>
      </c>
      <c r="I91" s="5"/>
      <c r="J91" s="17">
        <v>598.9692</v>
      </c>
      <c r="K91" s="18">
        <v>39.693399999999997</v>
      </c>
      <c r="L91" s="18">
        <v>43.382399999999997</v>
      </c>
      <c r="M91" s="18">
        <v>43.760199999999998</v>
      </c>
      <c r="N91" s="18">
        <v>21.550999999999998</v>
      </c>
      <c r="O91" s="18">
        <f t="shared" si="5"/>
        <v>40.662875</v>
      </c>
      <c r="P91" s="7"/>
      <c r="Q91" s="10"/>
      <c r="R91" s="11"/>
      <c r="S91" s="11"/>
      <c r="T91" s="26"/>
      <c r="U91" s="28">
        <f t="shared" si="3"/>
        <v>1.1087084148727981</v>
      </c>
    </row>
    <row r="92" spans="1:21" ht="16.5" thickBot="1" x14ac:dyDescent="0.3">
      <c r="B92" s="12"/>
      <c r="C92" s="19">
        <v>485.765625</v>
      </c>
      <c r="D92" s="20">
        <v>36.906999999999996</v>
      </c>
      <c r="E92" s="20">
        <v>40.515999999999998</v>
      </c>
      <c r="F92" s="20">
        <v>40.97</v>
      </c>
      <c r="G92" s="20">
        <v>12.16</v>
      </c>
      <c r="H92" s="20">
        <f t="shared" si="4"/>
        <v>37.866</v>
      </c>
      <c r="I92" s="5"/>
      <c r="J92" s="19">
        <v>303.0231</v>
      </c>
      <c r="K92" s="20">
        <v>36.060899999999997</v>
      </c>
      <c r="L92" s="20">
        <v>40.968499999999999</v>
      </c>
      <c r="M92" s="20">
        <v>41.396999999999998</v>
      </c>
      <c r="N92" s="20">
        <v>27.232700000000001</v>
      </c>
      <c r="O92" s="20">
        <f t="shared" si="5"/>
        <v>37.341362499999995</v>
      </c>
      <c r="P92" s="7"/>
      <c r="Q92" s="13"/>
      <c r="R92" s="14"/>
      <c r="S92" s="14"/>
      <c r="T92" s="27"/>
      <c r="U92" s="28">
        <f t="shared" si="3"/>
        <v>1.23953125</v>
      </c>
    </row>
    <row r="93" spans="1:21" x14ac:dyDescent="0.25">
      <c r="B93" s="6" t="s">
        <v>106</v>
      </c>
      <c r="C93" s="29">
        <v>1859.5205078125</v>
      </c>
      <c r="D93" s="30">
        <v>39.442</v>
      </c>
      <c r="E93" s="30">
        <v>44.206000000000003</v>
      </c>
      <c r="F93" s="30">
        <v>44.186</v>
      </c>
      <c r="G93" s="16">
        <v>8.68</v>
      </c>
      <c r="H93" s="16">
        <f t="shared" si="4"/>
        <v>40.630499999999998</v>
      </c>
      <c r="I93" s="5"/>
      <c r="J93" s="29">
        <v>1499.4864</v>
      </c>
      <c r="K93" s="30">
        <v>40.0182</v>
      </c>
      <c r="L93" s="30">
        <v>44.713999999999999</v>
      </c>
      <c r="M93" s="30">
        <v>44.706699999999998</v>
      </c>
      <c r="N93" s="16">
        <v>12.8376</v>
      </c>
      <c r="O93" s="16">
        <f t="shared" si="5"/>
        <v>41.1912375</v>
      </c>
      <c r="P93" s="7"/>
      <c r="Q93" s="8">
        <f>bdrate(C93:C96,D93:D96,J93:J96,K93:K96)</f>
        <v>-0.25386936313505637</v>
      </c>
      <c r="R93" s="8">
        <f>bdrate(C93:C96,E93:E96,J93:J96,L93:L96)</f>
        <v>-0.3871842425589489</v>
      </c>
      <c r="S93" s="8">
        <f>bdrate(C93:C96,F93:F96,J93:J96,M93:M96)</f>
        <v>-0.39000420153028259</v>
      </c>
      <c r="T93" s="25">
        <f>bdrate(C93:C96,H93:H96,J93:J96,O93:O96)</f>
        <v>-0.28530513970138338</v>
      </c>
      <c r="U93" s="28">
        <f t="shared" si="3"/>
        <v>0.47898617511520741</v>
      </c>
    </row>
    <row r="94" spans="1:21" x14ac:dyDescent="0.25">
      <c r="B94" s="9"/>
      <c r="C94" s="31">
        <v>1205.6611328125</v>
      </c>
      <c r="D94" s="32">
        <v>37.682000000000002</v>
      </c>
      <c r="E94" s="32">
        <v>42.765999999999998</v>
      </c>
      <c r="F94" s="32">
        <v>42.713000000000001</v>
      </c>
      <c r="G94" s="18">
        <v>9.76</v>
      </c>
      <c r="H94" s="18">
        <f t="shared" si="4"/>
        <v>38.946375000000003</v>
      </c>
      <c r="I94" s="5"/>
      <c r="J94" s="31">
        <v>1000.5469000000001</v>
      </c>
      <c r="K94" s="32">
        <v>38.17</v>
      </c>
      <c r="L94" s="32">
        <v>43.481499999999997</v>
      </c>
      <c r="M94" s="32">
        <v>43.437899999999999</v>
      </c>
      <c r="N94" s="18">
        <v>15.737</v>
      </c>
      <c r="O94" s="18">
        <f t="shared" si="5"/>
        <v>39.492425000000004</v>
      </c>
      <c r="P94" s="7"/>
      <c r="Q94" s="10"/>
      <c r="R94" s="11"/>
      <c r="S94" s="11"/>
      <c r="T94" s="26"/>
      <c r="U94" s="28">
        <f t="shared" si="3"/>
        <v>0.61239754098360655</v>
      </c>
    </row>
    <row r="95" spans="1:21" x14ac:dyDescent="0.25">
      <c r="B95" s="9"/>
      <c r="C95" s="31">
        <v>780.6591796875</v>
      </c>
      <c r="D95" s="32">
        <v>35.701000000000001</v>
      </c>
      <c r="E95" s="32">
        <v>41.134999999999998</v>
      </c>
      <c r="F95" s="32">
        <v>41.04</v>
      </c>
      <c r="G95" s="18">
        <v>11.14</v>
      </c>
      <c r="H95" s="18">
        <f t="shared" si="4"/>
        <v>37.047625000000004</v>
      </c>
      <c r="I95" s="5"/>
      <c r="J95" s="31">
        <v>600.48040000000003</v>
      </c>
      <c r="K95" s="32">
        <v>35.8889</v>
      </c>
      <c r="L95" s="32">
        <v>41.982999999999997</v>
      </c>
      <c r="M95" s="32">
        <v>41.936</v>
      </c>
      <c r="N95" s="18">
        <v>18.990100000000002</v>
      </c>
      <c r="O95" s="18">
        <f t="shared" si="5"/>
        <v>37.406549999999996</v>
      </c>
      <c r="P95" s="7"/>
      <c r="Q95" s="10"/>
      <c r="R95" s="11"/>
      <c r="S95" s="11"/>
      <c r="T95" s="26"/>
      <c r="U95" s="28">
        <f t="shared" si="3"/>
        <v>0.70467684021543997</v>
      </c>
    </row>
    <row r="96" spans="1:21" ht="16.5" thickBot="1" x14ac:dyDescent="0.3">
      <c r="B96" s="12"/>
      <c r="C96" s="33">
        <v>391.9189453125</v>
      </c>
      <c r="D96" s="34">
        <v>33.085999999999999</v>
      </c>
      <c r="E96" s="34">
        <v>38.973999999999997</v>
      </c>
      <c r="F96" s="34">
        <v>38.853000000000002</v>
      </c>
      <c r="G96" s="20">
        <v>12.93</v>
      </c>
      <c r="H96" s="20">
        <f t="shared" si="4"/>
        <v>34.542874999999995</v>
      </c>
      <c r="I96" s="5"/>
      <c r="J96" s="33">
        <v>301.80450000000002</v>
      </c>
      <c r="K96" s="34">
        <v>32.931199999999997</v>
      </c>
      <c r="L96" s="34">
        <v>40.172499999999999</v>
      </c>
      <c r="M96" s="34">
        <v>40.088099999999997</v>
      </c>
      <c r="N96" s="20">
        <v>24.4771</v>
      </c>
      <c r="O96" s="20">
        <f t="shared" si="5"/>
        <v>34.730975000000001</v>
      </c>
      <c r="P96" s="7"/>
      <c r="Q96" s="13"/>
      <c r="R96" s="14"/>
      <c r="S96" s="14"/>
      <c r="T96" s="27"/>
      <c r="U96" s="28">
        <f t="shared" si="3"/>
        <v>0.89304717710750203</v>
      </c>
    </row>
    <row r="97" spans="2:21" x14ac:dyDescent="0.25">
      <c r="B97" s="6" t="s">
        <v>107</v>
      </c>
      <c r="C97" s="15">
        <v>1616.931640625</v>
      </c>
      <c r="D97" s="16">
        <v>37.253999999999998</v>
      </c>
      <c r="E97" s="16">
        <v>42.134</v>
      </c>
      <c r="F97" s="16">
        <v>42.694000000000003</v>
      </c>
      <c r="G97" s="16">
        <v>8.6300000000000008</v>
      </c>
      <c r="H97" s="16">
        <f t="shared" si="4"/>
        <v>38.544000000000004</v>
      </c>
      <c r="I97" s="5"/>
      <c r="J97" s="15">
        <v>1509.9623999999999</v>
      </c>
      <c r="K97" s="16">
        <v>38.204999999999998</v>
      </c>
      <c r="L97" s="16">
        <v>43.0672</v>
      </c>
      <c r="M97" s="16">
        <v>43.542700000000004</v>
      </c>
      <c r="N97" s="16">
        <v>13.9168</v>
      </c>
      <c r="O97" s="16">
        <f t="shared" si="5"/>
        <v>39.4799875</v>
      </c>
      <c r="P97" s="7"/>
      <c r="Q97" s="8">
        <f>bdrate(C97:C100,D97:D100,J97:J100,K97:K100)</f>
        <v>-0.25340766017867367</v>
      </c>
      <c r="R97" s="8">
        <f>bdrate(C97:C100,E97:E100,J97:J100,L97:L100)</f>
        <v>-0.41191126831508784</v>
      </c>
      <c r="S97" s="8">
        <f>bdrate(C97:C100,F97:F100,J97:J100,M97:M100)</f>
        <v>-0.40050195567477465</v>
      </c>
      <c r="T97" s="25">
        <f>bdrate(C97:C100,H97:H100,J97:J100,O97:O100)</f>
        <v>-0.29170152834925545</v>
      </c>
      <c r="U97" s="28">
        <f t="shared" si="3"/>
        <v>0.61260718424101956</v>
      </c>
    </row>
    <row r="98" spans="2:21" x14ac:dyDescent="0.25">
      <c r="B98" s="9"/>
      <c r="C98" s="17">
        <v>1111.982421875</v>
      </c>
      <c r="D98" s="18">
        <v>35.468000000000004</v>
      </c>
      <c r="E98" s="18">
        <v>40.5</v>
      </c>
      <c r="F98" s="18">
        <v>41.176000000000002</v>
      </c>
      <c r="G98" s="18">
        <v>9.7899999999999991</v>
      </c>
      <c r="H98" s="18">
        <f t="shared" si="4"/>
        <v>36.810500000000005</v>
      </c>
      <c r="I98" s="5"/>
      <c r="J98" s="17">
        <v>1007.6187</v>
      </c>
      <c r="K98" s="18">
        <v>36.338200000000001</v>
      </c>
      <c r="L98" s="18">
        <v>41.774799999999999</v>
      </c>
      <c r="M98" s="18">
        <v>42.326999999999998</v>
      </c>
      <c r="N98" s="18">
        <v>16.180800000000001</v>
      </c>
      <c r="O98" s="18">
        <f t="shared" si="5"/>
        <v>37.766374999999996</v>
      </c>
      <c r="P98" s="7"/>
      <c r="Q98" s="10"/>
      <c r="R98" s="11"/>
      <c r="S98" s="11"/>
      <c r="T98" s="26"/>
      <c r="U98" s="28">
        <f t="shared" si="3"/>
        <v>0.65278855975485217</v>
      </c>
    </row>
    <row r="99" spans="2:21" x14ac:dyDescent="0.25">
      <c r="B99" s="9"/>
      <c r="C99" s="17">
        <v>686.4775390625</v>
      </c>
      <c r="D99" s="18">
        <v>33.280999999999999</v>
      </c>
      <c r="E99" s="18">
        <v>38.442</v>
      </c>
      <c r="F99" s="18">
        <v>39.198999999999998</v>
      </c>
      <c r="G99" s="18">
        <v>10.66</v>
      </c>
      <c r="H99" s="18">
        <f t="shared" si="4"/>
        <v>34.665875</v>
      </c>
      <c r="I99" s="5"/>
      <c r="J99" s="17">
        <v>605.06079999999997</v>
      </c>
      <c r="K99" s="18">
        <v>34.069899999999997</v>
      </c>
      <c r="L99" s="18">
        <v>40.1297</v>
      </c>
      <c r="M99" s="18">
        <v>40.734000000000002</v>
      </c>
      <c r="N99" s="18">
        <v>19.320799999999998</v>
      </c>
      <c r="O99" s="18">
        <f t="shared" si="5"/>
        <v>35.660387499999999</v>
      </c>
      <c r="P99" s="7"/>
      <c r="Q99" s="10"/>
      <c r="R99" s="11"/>
      <c r="S99" s="11"/>
      <c r="T99" s="26"/>
      <c r="U99" s="28">
        <f t="shared" si="3"/>
        <v>0.81245778611632258</v>
      </c>
    </row>
    <row r="100" spans="2:21" ht="16.5" thickBot="1" x14ac:dyDescent="0.3">
      <c r="B100" s="12"/>
      <c r="C100" s="19">
        <v>384.390625</v>
      </c>
      <c r="D100" s="20">
        <v>30.79</v>
      </c>
      <c r="E100" s="20">
        <v>36.119</v>
      </c>
      <c r="F100" s="20">
        <v>36.933999999999997</v>
      </c>
      <c r="G100" s="20">
        <v>11.99</v>
      </c>
      <c r="H100" s="20">
        <f t="shared" si="4"/>
        <v>32.224125000000001</v>
      </c>
      <c r="I100" s="5"/>
      <c r="J100" s="19">
        <v>303.52440000000001</v>
      </c>
      <c r="K100" s="20">
        <v>30.9529</v>
      </c>
      <c r="L100" s="20">
        <v>37.965600000000002</v>
      </c>
      <c r="M100" s="20">
        <v>38.68</v>
      </c>
      <c r="N100" s="20">
        <v>24.786899999999999</v>
      </c>
      <c r="O100" s="20">
        <f t="shared" si="5"/>
        <v>32.795375</v>
      </c>
      <c r="P100" s="7"/>
      <c r="Q100" s="13"/>
      <c r="R100" s="14"/>
      <c r="S100" s="14"/>
      <c r="T100" s="27"/>
      <c r="U100" s="28">
        <f t="shared" si="3"/>
        <v>1.067297748123436</v>
      </c>
    </row>
    <row r="101" spans="2:21" x14ac:dyDescent="0.25">
      <c r="B101" s="6" t="s">
        <v>108</v>
      </c>
      <c r="C101" s="15">
        <v>1708.9150390625</v>
      </c>
      <c r="D101" s="16">
        <v>37.536000000000001</v>
      </c>
      <c r="E101" s="16">
        <v>43.798999999999999</v>
      </c>
      <c r="F101" s="16">
        <v>45.637999999999998</v>
      </c>
      <c r="G101" s="16">
        <v>6.93</v>
      </c>
      <c r="H101" s="16">
        <f t="shared" si="4"/>
        <v>39.331624999999995</v>
      </c>
      <c r="I101" s="5"/>
      <c r="J101" s="15">
        <v>1510.2895000000001</v>
      </c>
      <c r="K101" s="16">
        <v>38.092700000000001</v>
      </c>
      <c r="L101" s="16">
        <v>44.1601</v>
      </c>
      <c r="M101" s="16">
        <v>45.662199999999999</v>
      </c>
      <c r="N101" s="16">
        <v>13.239800000000001</v>
      </c>
      <c r="O101" s="16">
        <f t="shared" si="5"/>
        <v>39.797312499999997</v>
      </c>
      <c r="P101" s="7"/>
      <c r="Q101" s="8">
        <f>bdrate(C101:C104,D101:D104,J101:J104,K101:K104)</f>
        <v>-0.22706798984686571</v>
      </c>
      <c r="R101" s="8">
        <f>bdrate(C101:C104,E101:E104,J101:J104,L101:L104)</f>
        <v>-0.34604872362465167</v>
      </c>
      <c r="S101" s="8">
        <f>bdrate(C101:C104,F101:F104,J101:J104,M101:M104)</f>
        <v>-0.26837968742772922</v>
      </c>
      <c r="T101" s="25">
        <f>bdrate(C101:C104,H101:H104,J101:J104,O101:O104)</f>
        <v>-0.24867148323221633</v>
      </c>
      <c r="U101" s="28">
        <f t="shared" si="3"/>
        <v>0.91050505050505071</v>
      </c>
    </row>
    <row r="102" spans="2:21" x14ac:dyDescent="0.25">
      <c r="B102" s="9"/>
      <c r="C102" s="17">
        <v>1137.3984375</v>
      </c>
      <c r="D102" s="18">
        <v>36.204999999999998</v>
      </c>
      <c r="E102" s="18">
        <v>42.735999999999997</v>
      </c>
      <c r="F102" s="18">
        <v>44.436</v>
      </c>
      <c r="G102" s="18">
        <v>8.16</v>
      </c>
      <c r="H102" s="18">
        <f t="shared" si="4"/>
        <v>38.050249999999998</v>
      </c>
      <c r="I102" s="5"/>
      <c r="J102" s="17">
        <v>1008.2012999999999</v>
      </c>
      <c r="K102" s="18">
        <v>36.644100000000002</v>
      </c>
      <c r="L102" s="18">
        <v>43.216299999999997</v>
      </c>
      <c r="M102" s="18">
        <v>44.665399999999998</v>
      </c>
      <c r="N102" s="18">
        <v>15.582000000000001</v>
      </c>
      <c r="O102" s="18">
        <f t="shared" si="5"/>
        <v>38.468287499999995</v>
      </c>
      <c r="P102" s="7"/>
      <c r="Q102" s="10"/>
      <c r="R102" s="11"/>
      <c r="S102" s="11"/>
      <c r="T102" s="26"/>
      <c r="U102" s="28">
        <f t="shared" si="3"/>
        <v>0.90955882352941186</v>
      </c>
    </row>
    <row r="103" spans="2:21" x14ac:dyDescent="0.25">
      <c r="B103" s="9"/>
      <c r="C103" s="17">
        <v>688.3154296875</v>
      </c>
      <c r="D103" s="18">
        <v>34.593000000000004</v>
      </c>
      <c r="E103" s="18">
        <v>41.356999999999999</v>
      </c>
      <c r="F103" s="18">
        <v>42.868000000000002</v>
      </c>
      <c r="G103" s="18">
        <v>9.7899999999999991</v>
      </c>
      <c r="H103" s="18">
        <f t="shared" si="4"/>
        <v>36.472875000000002</v>
      </c>
      <c r="I103" s="5"/>
      <c r="J103" s="17">
        <v>604.59730000000002</v>
      </c>
      <c r="K103" s="18">
        <v>34.9985</v>
      </c>
      <c r="L103" s="18">
        <v>42.191400000000002</v>
      </c>
      <c r="M103" s="18">
        <v>43.527999999999999</v>
      </c>
      <c r="N103" s="18">
        <v>19.005800000000001</v>
      </c>
      <c r="O103" s="18">
        <f t="shared" si="5"/>
        <v>36.963799999999999</v>
      </c>
      <c r="P103" s="7"/>
      <c r="Q103" s="10"/>
      <c r="R103" s="11"/>
      <c r="S103" s="11"/>
      <c r="T103" s="26"/>
      <c r="U103" s="28">
        <f t="shared" si="3"/>
        <v>0.94134831460674184</v>
      </c>
    </row>
    <row r="104" spans="2:21" ht="16.5" thickBot="1" x14ac:dyDescent="0.3">
      <c r="B104" s="12"/>
      <c r="C104" s="19">
        <v>349.9140625</v>
      </c>
      <c r="D104" s="20">
        <v>32.604999999999997</v>
      </c>
      <c r="E104" s="20">
        <v>39.552999999999997</v>
      </c>
      <c r="F104" s="20">
        <v>40.683999999999997</v>
      </c>
      <c r="G104" s="20">
        <v>11.92</v>
      </c>
      <c r="H104" s="20">
        <f t="shared" si="4"/>
        <v>34.483374999999995</v>
      </c>
      <c r="I104" s="5"/>
      <c r="J104" s="19">
        <v>300.5188</v>
      </c>
      <c r="K104" s="20">
        <v>32.883299999999998</v>
      </c>
      <c r="L104" s="20">
        <v>40.826300000000003</v>
      </c>
      <c r="M104" s="20">
        <v>42.002200000000002</v>
      </c>
      <c r="N104" s="20">
        <v>24.597200000000001</v>
      </c>
      <c r="O104" s="20">
        <f t="shared" si="5"/>
        <v>35.016037500000003</v>
      </c>
      <c r="P104" s="7"/>
      <c r="Q104" s="13"/>
      <c r="R104" s="14"/>
      <c r="S104" s="14"/>
      <c r="T104" s="27"/>
      <c r="U104" s="28">
        <f t="shared" si="3"/>
        <v>1.063523489932886</v>
      </c>
    </row>
    <row r="105" spans="2:21" x14ac:dyDescent="0.25">
      <c r="B105" s="6" t="s">
        <v>109</v>
      </c>
      <c r="C105" s="15">
        <v>1422.126953125</v>
      </c>
      <c r="D105" s="16">
        <v>47.610999999999997</v>
      </c>
      <c r="E105" s="16">
        <v>53.488999999999997</v>
      </c>
      <c r="F105" s="16">
        <v>54.792000000000002</v>
      </c>
      <c r="G105" s="16">
        <v>8.7100000000000009</v>
      </c>
      <c r="H105" s="16">
        <f t="shared" si="4"/>
        <v>49.243375</v>
      </c>
      <c r="I105" s="5"/>
      <c r="J105" s="15">
        <v>1496.7476999999999</v>
      </c>
      <c r="K105" s="16">
        <v>49.448799999999999</v>
      </c>
      <c r="L105" s="16">
        <v>54.354399999999998</v>
      </c>
      <c r="M105" s="16">
        <v>55.7181</v>
      </c>
      <c r="N105" s="16">
        <v>16.457899999999999</v>
      </c>
      <c r="O105" s="16">
        <f t="shared" si="5"/>
        <v>50.845662499999996</v>
      </c>
      <c r="P105" s="7"/>
      <c r="Q105" s="8">
        <f>bdrate(C105:C108,D105:D108,J105:J108,K105:K108)</f>
        <v>-0.34404581812564561</v>
      </c>
      <c r="R105" s="8">
        <f>bdrate(C105:C108,E105:E108,J105:J108,L105:L108)</f>
        <v>-0.20939476751131914</v>
      </c>
      <c r="S105" s="8">
        <f>bdrate(C105:C108,F105:F108,J105:J108,M105:M108)</f>
        <v>-0.24724076910569637</v>
      </c>
      <c r="T105" s="25">
        <f>bdrate(C105:C108,H105:H108,J105:J108,O105:O108)</f>
        <v>-0.3187331046465659</v>
      </c>
      <c r="U105" s="28">
        <f t="shared" si="3"/>
        <v>0.88954075774971264</v>
      </c>
    </row>
    <row r="106" spans="2:21" x14ac:dyDescent="0.25">
      <c r="B106" s="9"/>
      <c r="C106" s="17">
        <v>1013.80078125</v>
      </c>
      <c r="D106" s="18">
        <v>46.286999999999999</v>
      </c>
      <c r="E106" s="18">
        <v>52.408000000000001</v>
      </c>
      <c r="F106" s="18">
        <v>53.744</v>
      </c>
      <c r="G106" s="18">
        <v>9.64</v>
      </c>
      <c r="H106" s="18">
        <f t="shared" si="4"/>
        <v>47.984250000000003</v>
      </c>
      <c r="I106" s="5"/>
      <c r="J106" s="17">
        <v>1003.4499</v>
      </c>
      <c r="K106" s="18">
        <v>47.867400000000004</v>
      </c>
      <c r="L106" s="18">
        <v>52.963700000000003</v>
      </c>
      <c r="M106" s="18">
        <v>54.437600000000003</v>
      </c>
      <c r="N106" s="18">
        <v>19.316700000000001</v>
      </c>
      <c r="O106" s="18">
        <f t="shared" si="5"/>
        <v>49.325712500000009</v>
      </c>
      <c r="P106" s="7"/>
      <c r="Q106" s="10"/>
      <c r="R106" s="11"/>
      <c r="S106" s="11"/>
      <c r="T106" s="26"/>
      <c r="U106" s="28">
        <f t="shared" si="3"/>
        <v>1.0038070539419086</v>
      </c>
    </row>
    <row r="107" spans="2:21" x14ac:dyDescent="0.25">
      <c r="B107" s="9"/>
      <c r="C107" s="17">
        <v>635.021484375</v>
      </c>
      <c r="D107" s="18">
        <v>44.393999999999998</v>
      </c>
      <c r="E107" s="18">
        <v>50.57</v>
      </c>
      <c r="F107" s="18">
        <v>51.857999999999997</v>
      </c>
      <c r="G107" s="18">
        <v>11.2</v>
      </c>
      <c r="H107" s="18">
        <f t="shared" si="4"/>
        <v>46.098999999999997</v>
      </c>
      <c r="I107" s="5"/>
      <c r="J107" s="17">
        <v>601.31110000000001</v>
      </c>
      <c r="K107" s="18">
        <v>45.884099999999997</v>
      </c>
      <c r="L107" s="18">
        <v>51.249600000000001</v>
      </c>
      <c r="M107" s="18">
        <v>52.7515</v>
      </c>
      <c r="N107" s="18">
        <v>23.4056</v>
      </c>
      <c r="O107" s="18">
        <f t="shared" si="5"/>
        <v>47.4132125</v>
      </c>
      <c r="P107" s="7"/>
      <c r="Q107" s="10"/>
      <c r="R107" s="11"/>
      <c r="S107" s="11"/>
      <c r="T107" s="26"/>
      <c r="U107" s="28">
        <f t="shared" si="3"/>
        <v>1.0897857142857144</v>
      </c>
    </row>
    <row r="108" spans="2:21" ht="16.5" thickBot="1" x14ac:dyDescent="0.3">
      <c r="B108" s="12"/>
      <c r="C108" s="19">
        <v>330.8525390625</v>
      </c>
      <c r="D108" s="20">
        <v>41.570999999999998</v>
      </c>
      <c r="E108" s="20">
        <v>47.503999999999998</v>
      </c>
      <c r="F108" s="20">
        <v>48.898000000000003</v>
      </c>
      <c r="G108" s="20">
        <v>13.68</v>
      </c>
      <c r="H108" s="20">
        <f t="shared" si="4"/>
        <v>43.228500000000004</v>
      </c>
      <c r="I108" s="5"/>
      <c r="J108" s="19">
        <v>302.33839999999998</v>
      </c>
      <c r="K108" s="20">
        <v>43.067900000000002</v>
      </c>
      <c r="L108" s="20">
        <v>48.777900000000002</v>
      </c>
      <c r="M108" s="20">
        <v>50.268900000000002</v>
      </c>
      <c r="N108" s="20">
        <v>30.686599999999999</v>
      </c>
      <c r="O108" s="20">
        <f t="shared" si="5"/>
        <v>44.681775000000002</v>
      </c>
      <c r="P108" s="7"/>
      <c r="Q108" s="13"/>
      <c r="R108" s="14"/>
      <c r="S108" s="14"/>
      <c r="T108" s="27"/>
      <c r="U108" s="28">
        <f t="shared" si="3"/>
        <v>1.2431725146198829</v>
      </c>
    </row>
    <row r="109" spans="2:21" x14ac:dyDescent="0.25">
      <c r="B109" s="6" t="s">
        <v>110</v>
      </c>
      <c r="C109" s="15">
        <v>1611.71875</v>
      </c>
      <c r="D109" s="16">
        <v>32.124000000000002</v>
      </c>
      <c r="E109" s="16">
        <v>40.776000000000003</v>
      </c>
      <c r="F109" s="16">
        <v>40.192</v>
      </c>
      <c r="G109" s="16">
        <v>7.96</v>
      </c>
      <c r="H109" s="16">
        <f t="shared" si="4"/>
        <v>34.214000000000006</v>
      </c>
      <c r="I109" s="5"/>
      <c r="J109" s="15">
        <v>1496.1071999999999</v>
      </c>
      <c r="K109" s="16">
        <v>33.0715</v>
      </c>
      <c r="L109" s="16">
        <v>41.473500000000001</v>
      </c>
      <c r="M109" s="16">
        <v>40.865600000000001</v>
      </c>
      <c r="N109" s="16">
        <v>9.0589999999999993</v>
      </c>
      <c r="O109" s="16">
        <f t="shared" si="5"/>
        <v>35.096012500000001</v>
      </c>
      <c r="P109" s="7"/>
      <c r="Q109" s="8">
        <f>bdrate(C109:C112,D109:D112,J109:J112,K109:K112)</f>
        <v>-0.22638226549591467</v>
      </c>
      <c r="R109" s="8">
        <f>bdrate(C109:C112,E109:E112,J109:J112,L109:L112)</f>
        <v>-0.45400380394309159</v>
      </c>
      <c r="S109" s="8">
        <f>bdrate(C109:C112,F109:F112,J109:J112,M109:M112)</f>
        <v>-0.44429841699924166</v>
      </c>
      <c r="T109" s="25">
        <f>bdrate(C109:C112,H109:H112,J109:J112,O109:O112)</f>
        <v>-0.27503298830936052</v>
      </c>
      <c r="U109" s="28">
        <f t="shared" si="3"/>
        <v>0.13806532663316573</v>
      </c>
    </row>
    <row r="110" spans="2:21" x14ac:dyDescent="0.25">
      <c r="B110" s="9"/>
      <c r="C110" s="17">
        <v>1090.0673828125</v>
      </c>
      <c r="D110" s="18">
        <v>30.603999999999999</v>
      </c>
      <c r="E110" s="18">
        <v>39.423999999999999</v>
      </c>
      <c r="F110" s="18">
        <v>38.826999999999998</v>
      </c>
      <c r="G110" s="18">
        <v>8.86</v>
      </c>
      <c r="H110" s="18">
        <f t="shared" si="4"/>
        <v>32.734375</v>
      </c>
      <c r="I110" s="5"/>
      <c r="J110" s="17">
        <v>994.04750000000001</v>
      </c>
      <c r="K110" s="18">
        <v>31.399699999999999</v>
      </c>
      <c r="L110" s="18">
        <v>40.608199999999997</v>
      </c>
      <c r="M110" s="18">
        <v>39.981299999999997</v>
      </c>
      <c r="N110" s="18">
        <v>10.585699999999999</v>
      </c>
      <c r="O110" s="18">
        <f t="shared" si="5"/>
        <v>33.623462499999995</v>
      </c>
      <c r="P110" s="7"/>
      <c r="Q110" s="10"/>
      <c r="R110" s="11"/>
      <c r="S110" s="11"/>
      <c r="T110" s="26"/>
      <c r="U110" s="28">
        <f t="shared" si="3"/>
        <v>0.19477426636568848</v>
      </c>
    </row>
    <row r="111" spans="2:21" x14ac:dyDescent="0.25">
      <c r="B111" s="9"/>
      <c r="C111" s="17">
        <v>711.4189453125</v>
      </c>
      <c r="D111" s="18">
        <v>29.088999999999999</v>
      </c>
      <c r="E111" s="18">
        <v>37.965000000000003</v>
      </c>
      <c r="F111" s="18">
        <v>37.356000000000002</v>
      </c>
      <c r="G111" s="18">
        <v>9.61</v>
      </c>
      <c r="H111" s="18">
        <f t="shared" si="4"/>
        <v>31.231874999999999</v>
      </c>
      <c r="I111" s="5"/>
      <c r="J111" s="17">
        <v>596.07950000000005</v>
      </c>
      <c r="K111" s="18">
        <v>29.263000000000002</v>
      </c>
      <c r="L111" s="18">
        <v>39.409700000000001</v>
      </c>
      <c r="M111" s="18">
        <v>38.756700000000002</v>
      </c>
      <c r="N111" s="18">
        <v>12.7469</v>
      </c>
      <c r="O111" s="18">
        <f t="shared" si="5"/>
        <v>31.718050000000002</v>
      </c>
      <c r="P111" s="7"/>
      <c r="Q111" s="10"/>
      <c r="R111" s="11"/>
      <c r="S111" s="11"/>
      <c r="T111" s="26"/>
      <c r="U111" s="28">
        <f t="shared" si="3"/>
        <v>0.32642039542143608</v>
      </c>
    </row>
    <row r="112" spans="2:21" ht="16.5" thickBot="1" x14ac:dyDescent="0.3">
      <c r="B112" s="12"/>
      <c r="C112" s="19">
        <v>526.9208984375</v>
      </c>
      <c r="D112" s="20">
        <v>27.963999999999999</v>
      </c>
      <c r="E112" s="20">
        <v>36.67</v>
      </c>
      <c r="F112" s="20">
        <v>36.064</v>
      </c>
      <c r="G112" s="20">
        <v>9.66</v>
      </c>
      <c r="H112" s="20">
        <f t="shared" si="4"/>
        <v>30.06475</v>
      </c>
      <c r="I112" s="5"/>
      <c r="J112" s="19">
        <v>298.79689999999999</v>
      </c>
      <c r="K112" s="20">
        <v>26.541</v>
      </c>
      <c r="L112" s="20">
        <v>37.438000000000002</v>
      </c>
      <c r="M112" s="20">
        <v>36.787100000000002</v>
      </c>
      <c r="N112" s="20">
        <v>16.396699999999999</v>
      </c>
      <c r="O112" s="20">
        <f t="shared" si="5"/>
        <v>29.183887500000004</v>
      </c>
      <c r="P112" s="7"/>
      <c r="Q112" s="13"/>
      <c r="R112" s="14"/>
      <c r="S112" s="14"/>
      <c r="T112" s="27"/>
      <c r="U112" s="28">
        <f t="shared" si="3"/>
        <v>0.69738095238095232</v>
      </c>
    </row>
    <row r="113" spans="2:21" x14ac:dyDescent="0.25">
      <c r="B113" s="6" t="s">
        <v>111</v>
      </c>
      <c r="C113" s="15">
        <v>2193.0205078125</v>
      </c>
      <c r="D113" s="16">
        <v>48.531999999999996</v>
      </c>
      <c r="E113" s="16">
        <v>49.973999999999997</v>
      </c>
      <c r="F113" s="16">
        <v>49.886000000000003</v>
      </c>
      <c r="G113" s="16">
        <v>7.76</v>
      </c>
      <c r="H113" s="16">
        <f t="shared" si="4"/>
        <v>48.881500000000003</v>
      </c>
      <c r="I113" s="5"/>
      <c r="J113" s="15">
        <v>1422.4167</v>
      </c>
      <c r="K113" s="16">
        <v>46.758899999999997</v>
      </c>
      <c r="L113" s="16">
        <v>48.134099999999997</v>
      </c>
      <c r="M113" s="16">
        <v>48.070900000000002</v>
      </c>
      <c r="N113" s="16">
        <v>11.793100000000001</v>
      </c>
      <c r="O113" s="16">
        <f t="shared" si="5"/>
        <v>47.094799999999999</v>
      </c>
      <c r="P113" s="7"/>
      <c r="Q113" s="8">
        <f>bdrate(C113:C116,D113:D116,J113:J116,K113:K116)</f>
        <v>-0.31580190213897019</v>
      </c>
      <c r="R113" s="8">
        <f>bdrate(C113:C116,E113:E116,J113:J116,L113:L116)</f>
        <v>-0.36045301929245011</v>
      </c>
      <c r="S113" s="8">
        <f>bdrate(C113:C116,F113:F116,J113:J116,M113:M116)</f>
        <v>-0.3635552428170753</v>
      </c>
      <c r="T113" s="25">
        <f>bdrate(C113:C116,H113:H116,J113:J116,O113:O116)</f>
        <v>-0.32578198653813473</v>
      </c>
      <c r="U113" s="28">
        <f t="shared" si="3"/>
        <v>0.51972938144329917</v>
      </c>
    </row>
    <row r="114" spans="2:21" x14ac:dyDescent="0.25">
      <c r="B114" s="9"/>
      <c r="C114" s="17">
        <v>1548.447265625</v>
      </c>
      <c r="D114" s="18">
        <v>45.814999999999998</v>
      </c>
      <c r="E114" s="18">
        <v>47.372999999999998</v>
      </c>
      <c r="F114" s="18">
        <v>47.228000000000002</v>
      </c>
      <c r="G114" s="18">
        <v>9.27</v>
      </c>
      <c r="H114" s="18">
        <f t="shared" si="4"/>
        <v>46.186374999999998</v>
      </c>
      <c r="I114" s="5"/>
      <c r="J114" s="17">
        <v>957.26649999999995</v>
      </c>
      <c r="K114" s="18">
        <v>45.1357</v>
      </c>
      <c r="L114" s="18">
        <v>46.744399999999999</v>
      </c>
      <c r="M114" s="18">
        <v>46.662500000000001</v>
      </c>
      <c r="N114" s="18">
        <v>16.176100000000002</v>
      </c>
      <c r="O114" s="18">
        <f t="shared" si="5"/>
        <v>45.527637500000004</v>
      </c>
      <c r="P114" s="7"/>
      <c r="Q114" s="10"/>
      <c r="R114" s="11"/>
      <c r="S114" s="11"/>
      <c r="T114" s="26"/>
      <c r="U114" s="28">
        <f t="shared" si="3"/>
        <v>0.74499460625674241</v>
      </c>
    </row>
    <row r="115" spans="2:21" x14ac:dyDescent="0.25">
      <c r="B115" s="9"/>
      <c r="C115" s="17">
        <v>957.5595703125</v>
      </c>
      <c r="D115" s="18">
        <v>42.826000000000001</v>
      </c>
      <c r="E115" s="18">
        <v>44.591000000000001</v>
      </c>
      <c r="F115" s="18">
        <v>44.417000000000002</v>
      </c>
      <c r="G115" s="18">
        <v>10.77</v>
      </c>
      <c r="H115" s="18">
        <f t="shared" si="4"/>
        <v>43.245500000000007</v>
      </c>
      <c r="I115" s="5"/>
      <c r="J115" s="17">
        <v>594.76210000000003</v>
      </c>
      <c r="K115" s="18">
        <v>42.392200000000003</v>
      </c>
      <c r="L115" s="18">
        <v>44.580599999999997</v>
      </c>
      <c r="M115" s="18">
        <v>44.404600000000002</v>
      </c>
      <c r="N115" s="18">
        <v>21.6479</v>
      </c>
      <c r="O115" s="18">
        <f t="shared" si="5"/>
        <v>42.917300000000004</v>
      </c>
      <c r="P115" s="7"/>
      <c r="Q115" s="10"/>
      <c r="R115" s="11"/>
      <c r="S115" s="11"/>
      <c r="T115" s="26"/>
      <c r="U115" s="28">
        <f t="shared" si="3"/>
        <v>1.0100185701021356</v>
      </c>
    </row>
    <row r="116" spans="2:21" ht="16.5" thickBot="1" x14ac:dyDescent="0.3">
      <c r="B116" s="12"/>
      <c r="C116" s="19">
        <v>513.1123046875</v>
      </c>
      <c r="D116" s="20">
        <v>39.072000000000003</v>
      </c>
      <c r="E116" s="20">
        <v>41.137</v>
      </c>
      <c r="F116" s="20">
        <v>40.893999999999998</v>
      </c>
      <c r="G116" s="20">
        <v>12.51</v>
      </c>
      <c r="H116" s="20">
        <f t="shared" si="4"/>
        <v>39.557875000000003</v>
      </c>
      <c r="I116" s="5"/>
      <c r="J116" s="19">
        <v>303.74369999999999</v>
      </c>
      <c r="K116" s="20">
        <v>38.0229</v>
      </c>
      <c r="L116" s="20">
        <v>41.206099999999999</v>
      </c>
      <c r="M116" s="20">
        <v>41.040199999999999</v>
      </c>
      <c r="N116" s="20">
        <v>27.944700000000001</v>
      </c>
      <c r="O116" s="20">
        <f t="shared" si="5"/>
        <v>38.797962499999997</v>
      </c>
      <c r="P116" s="7"/>
      <c r="Q116" s="13"/>
      <c r="R116" s="14"/>
      <c r="S116" s="14"/>
      <c r="T116" s="27"/>
      <c r="U116" s="28">
        <f t="shared" si="3"/>
        <v>1.2337889688249402</v>
      </c>
    </row>
    <row r="117" spans="2:21" x14ac:dyDescent="0.25">
      <c r="B117" s="6" t="s">
        <v>112</v>
      </c>
      <c r="C117" s="15">
        <v>1512.9970703125</v>
      </c>
      <c r="D117" s="16">
        <v>52.375</v>
      </c>
      <c r="E117" s="16">
        <v>55.216999999999999</v>
      </c>
      <c r="F117" s="16">
        <v>55.148000000000003</v>
      </c>
      <c r="G117" s="16">
        <v>7.77</v>
      </c>
      <c r="H117" s="16">
        <f t="shared" si="4"/>
        <v>53.076875000000001</v>
      </c>
      <c r="I117" s="5"/>
      <c r="J117" s="15">
        <v>1414.8475000000001</v>
      </c>
      <c r="K117" s="16">
        <v>47.031700000000001</v>
      </c>
      <c r="L117" s="16">
        <v>49.980600000000003</v>
      </c>
      <c r="M117" s="16">
        <v>50.106699999999996</v>
      </c>
      <c r="N117" s="16">
        <v>11.757099999999999</v>
      </c>
      <c r="O117" s="16">
        <f t="shared" si="5"/>
        <v>47.784687499999997</v>
      </c>
      <c r="P117" s="7"/>
      <c r="Q117" s="8">
        <f>bdrate(C117:C120,D117:D120,J117:J120,K117:K120)</f>
        <v>0.43997184886831642</v>
      </c>
      <c r="R117" s="8">
        <f>bdrate(C117:C120,E117:E120,J117:J120,L117:L120)</f>
        <v>0.34522730398724732</v>
      </c>
      <c r="S117" s="8">
        <f>bdrate(C117:C120,F117:F120,J117:J120,M117:M120)</f>
        <v>0.32454448236532363</v>
      </c>
      <c r="T117" s="25">
        <f>bdrate(C117:C120,H117:H120,J117:J120,O117:O120)</f>
        <v>0.41467095008436128</v>
      </c>
      <c r="U117" s="28">
        <f t="shared" si="3"/>
        <v>0.51314028314028315</v>
      </c>
    </row>
    <row r="118" spans="2:21" x14ac:dyDescent="0.25">
      <c r="B118" s="9"/>
      <c r="C118" s="17">
        <v>1135.841796875</v>
      </c>
      <c r="D118" s="18">
        <v>54.091999999999999</v>
      </c>
      <c r="E118" s="18">
        <v>57.1</v>
      </c>
      <c r="F118" s="18">
        <v>56.875</v>
      </c>
      <c r="G118" s="18">
        <v>11.02</v>
      </c>
      <c r="H118" s="18">
        <f t="shared" si="4"/>
        <v>54.815875000000005</v>
      </c>
      <c r="I118" s="5"/>
      <c r="J118" s="17">
        <v>976.02710000000002</v>
      </c>
      <c r="K118" s="18">
        <v>45.921500000000002</v>
      </c>
      <c r="L118" s="18">
        <v>49.133600000000001</v>
      </c>
      <c r="M118" s="18">
        <v>49.265700000000002</v>
      </c>
      <c r="N118" s="18">
        <v>13.715</v>
      </c>
      <c r="O118" s="18">
        <f t="shared" si="5"/>
        <v>46.741037499999997</v>
      </c>
      <c r="P118" s="7"/>
      <c r="Q118" s="10"/>
      <c r="R118" s="11"/>
      <c r="S118" s="11"/>
      <c r="T118" s="26"/>
      <c r="U118" s="28">
        <f t="shared" si="3"/>
        <v>0.2445553539019964</v>
      </c>
    </row>
    <row r="119" spans="2:21" x14ac:dyDescent="0.25">
      <c r="B119" s="9"/>
      <c r="C119" s="17">
        <v>819.322265625</v>
      </c>
      <c r="D119" s="18">
        <v>51.844999999999999</v>
      </c>
      <c r="E119" s="18">
        <v>54.872999999999998</v>
      </c>
      <c r="F119" s="18">
        <v>54.637999999999998</v>
      </c>
      <c r="G119" s="18">
        <v>11.91</v>
      </c>
      <c r="H119" s="18">
        <f t="shared" si="4"/>
        <v>52.572624999999995</v>
      </c>
      <c r="I119" s="5"/>
      <c r="J119" s="17">
        <v>637.94910000000004</v>
      </c>
      <c r="K119" s="18">
        <v>43.123199999999997</v>
      </c>
      <c r="L119" s="18">
        <v>46.406999999999996</v>
      </c>
      <c r="M119" s="18">
        <v>46.686300000000003</v>
      </c>
      <c r="N119" s="18">
        <v>14.161099999999999</v>
      </c>
      <c r="O119" s="18">
        <f t="shared" si="5"/>
        <v>43.979062499999998</v>
      </c>
      <c r="P119" s="7"/>
      <c r="Q119" s="10"/>
      <c r="R119" s="11"/>
      <c r="S119" s="11"/>
      <c r="T119" s="26"/>
      <c r="U119" s="28">
        <f t="shared" si="3"/>
        <v>0.18900923593618801</v>
      </c>
    </row>
    <row r="120" spans="2:21" ht="16.5" thickBot="1" x14ac:dyDescent="0.3">
      <c r="B120" s="12"/>
      <c r="C120" s="19">
        <v>484.361328125</v>
      </c>
      <c r="D120" s="20">
        <v>41.087000000000003</v>
      </c>
      <c r="E120" s="20">
        <v>43.875999999999998</v>
      </c>
      <c r="F120" s="20">
        <v>44.075000000000003</v>
      </c>
      <c r="G120" s="20">
        <v>11.14</v>
      </c>
      <c r="H120" s="20">
        <f t="shared" si="4"/>
        <v>41.809125000000002</v>
      </c>
      <c r="I120" s="5"/>
      <c r="J120" s="19">
        <v>359.91629999999998</v>
      </c>
      <c r="K120" s="20">
        <v>39.039099999999998</v>
      </c>
      <c r="L120" s="20">
        <v>42.818899999999999</v>
      </c>
      <c r="M120" s="20">
        <v>43.103299999999997</v>
      </c>
      <c r="N120" s="20">
        <v>23.2348</v>
      </c>
      <c r="O120" s="20">
        <f t="shared" si="5"/>
        <v>40.019599999999997</v>
      </c>
      <c r="P120" s="7"/>
      <c r="Q120" s="13"/>
      <c r="R120" s="14"/>
      <c r="S120" s="14"/>
      <c r="T120" s="27"/>
      <c r="U120" s="28">
        <f t="shared" si="3"/>
        <v>1.0857091561938959</v>
      </c>
    </row>
    <row r="121" spans="2:21" x14ac:dyDescent="0.25">
      <c r="B121" s="6" t="s">
        <v>113</v>
      </c>
      <c r="C121" s="29">
        <v>1702.0771484375</v>
      </c>
      <c r="D121" s="30">
        <v>32.860999999999997</v>
      </c>
      <c r="E121" s="30">
        <v>36.670999999999999</v>
      </c>
      <c r="F121" s="30">
        <v>35.418999999999997</v>
      </c>
      <c r="G121" s="16">
        <v>8.2799999999999994</v>
      </c>
      <c r="H121" s="16">
        <f t="shared" si="4"/>
        <v>33.656999999999996</v>
      </c>
      <c r="I121" s="5"/>
      <c r="J121" s="29">
        <v>1512.6177</v>
      </c>
      <c r="K121" s="30">
        <v>33.371499999999997</v>
      </c>
      <c r="L121" s="30">
        <v>37.816499999999998</v>
      </c>
      <c r="M121" s="30">
        <v>36.673000000000002</v>
      </c>
      <c r="N121" s="16">
        <v>10.8393</v>
      </c>
      <c r="O121" s="16">
        <f t="shared" si="5"/>
        <v>34.339812499999994</v>
      </c>
      <c r="P121" s="7"/>
      <c r="Q121" s="8">
        <f>bdrate(C121:C124,D121:D124,J121:J124,K121:K124)</f>
        <v>-0.16193630134509573</v>
      </c>
      <c r="R121" s="8">
        <f>bdrate(C121:C124,E121:E124,J121:J124,L121:L124)</f>
        <v>-0.51063289869430539</v>
      </c>
      <c r="S121" s="8">
        <f>bdrate(C121:C124,F121:F124,J121:J124,M121:M124)</f>
        <v>-0.51240892850442932</v>
      </c>
      <c r="T121" s="25">
        <f>bdrate(C121:C124,H121:H124,J121:J124,O121:O124)</f>
        <v>-0.24353657508365512</v>
      </c>
      <c r="U121" s="28">
        <f t="shared" si="3"/>
        <v>0.30909420289855077</v>
      </c>
    </row>
    <row r="122" spans="2:21" x14ac:dyDescent="0.25">
      <c r="B122" s="9"/>
      <c r="C122" s="31">
        <v>1147.375</v>
      </c>
      <c r="D122" s="32">
        <v>31.202999999999999</v>
      </c>
      <c r="E122" s="32">
        <v>35.35</v>
      </c>
      <c r="F122" s="32">
        <v>34.049999999999997</v>
      </c>
      <c r="G122" s="18">
        <v>9</v>
      </c>
      <c r="H122" s="18">
        <f t="shared" si="4"/>
        <v>32.077249999999999</v>
      </c>
      <c r="I122" s="5"/>
      <c r="J122" s="31">
        <v>1009.3217</v>
      </c>
      <c r="K122" s="32">
        <v>31.5001</v>
      </c>
      <c r="L122" s="32">
        <v>36.7776</v>
      </c>
      <c r="M122" s="32">
        <v>35.569200000000002</v>
      </c>
      <c r="N122" s="18">
        <v>12.4848</v>
      </c>
      <c r="O122" s="18">
        <f t="shared" si="5"/>
        <v>32.668424999999999</v>
      </c>
      <c r="P122" s="7"/>
      <c r="Q122" s="10"/>
      <c r="R122" s="11"/>
      <c r="S122" s="11"/>
      <c r="T122" s="26"/>
      <c r="U122" s="28">
        <f t="shared" si="3"/>
        <v>0.38719999999999999</v>
      </c>
    </row>
    <row r="123" spans="2:21" x14ac:dyDescent="0.25">
      <c r="B123" s="9"/>
      <c r="C123" s="31">
        <v>722.8310546875</v>
      </c>
      <c r="D123" s="32">
        <v>29.416</v>
      </c>
      <c r="E123" s="32">
        <v>33.914999999999999</v>
      </c>
      <c r="F123" s="32">
        <v>32.561</v>
      </c>
      <c r="G123" s="18">
        <v>9.6999999999999993</v>
      </c>
      <c r="H123" s="18">
        <f t="shared" si="4"/>
        <v>30.371500000000001</v>
      </c>
      <c r="I123" s="5"/>
      <c r="J123" s="31">
        <v>606.07399999999996</v>
      </c>
      <c r="K123" s="32">
        <v>29.284300000000002</v>
      </c>
      <c r="L123" s="32">
        <v>35.514400000000002</v>
      </c>
      <c r="M123" s="32">
        <v>34.234299999999998</v>
      </c>
      <c r="N123" s="18">
        <v>14.312200000000001</v>
      </c>
      <c r="O123" s="18">
        <f t="shared" si="5"/>
        <v>30.681812499999999</v>
      </c>
      <c r="P123" s="7"/>
      <c r="Q123" s="10"/>
      <c r="R123" s="11"/>
      <c r="S123" s="11"/>
      <c r="T123" s="26"/>
      <c r="U123" s="28">
        <f t="shared" si="3"/>
        <v>0.47548453608247443</v>
      </c>
    </row>
    <row r="124" spans="2:21" ht="16.5" thickBot="1" x14ac:dyDescent="0.3">
      <c r="B124" s="12"/>
      <c r="C124" s="33">
        <v>496.0986328125</v>
      </c>
      <c r="D124" s="34">
        <v>27.93</v>
      </c>
      <c r="E124" s="34">
        <v>32.582999999999998</v>
      </c>
      <c r="F124" s="34">
        <v>31.265000000000001</v>
      </c>
      <c r="G124" s="20">
        <v>9.74</v>
      </c>
      <c r="H124" s="20">
        <f t="shared" si="4"/>
        <v>28.9285</v>
      </c>
      <c r="I124" s="5"/>
      <c r="J124" s="33">
        <v>303.81549999999999</v>
      </c>
      <c r="K124" s="34">
        <v>26.890599999999999</v>
      </c>
      <c r="L124" s="34">
        <v>33.975200000000001</v>
      </c>
      <c r="M124" s="34">
        <v>32.566499999999998</v>
      </c>
      <c r="N124" s="20">
        <v>19.487300000000001</v>
      </c>
      <c r="O124" s="20">
        <f t="shared" si="5"/>
        <v>28.485662499999997</v>
      </c>
      <c r="P124" s="7"/>
      <c r="Q124" s="13"/>
      <c r="R124" s="14"/>
      <c r="S124" s="14"/>
      <c r="T124" s="27"/>
      <c r="U124" s="28">
        <f t="shared" si="3"/>
        <v>1.0007494866529776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-0.18613356964025216</v>
      </c>
      <c r="R125" s="21">
        <f>AVERAGE(R9:R124)</f>
        <v>-0.34625517641467485</v>
      </c>
      <c r="S125" s="21">
        <f>AVERAGE(S9:S124)</f>
        <v>-0.34990752609276776</v>
      </c>
      <c r="T125" s="21">
        <f>AVERAGE(T9:T124)</f>
        <v>-0.22161956467839986</v>
      </c>
      <c r="U125" s="21">
        <f>AVERAGE(U9:U124)</f>
        <v>1.0249422967642048</v>
      </c>
    </row>
    <row r="127" spans="2:21" s="35" customFormat="1" ht="15.75" customHeight="1" x14ac:dyDescent="0.25">
      <c r="B127" s="58" t="s">
        <v>29</v>
      </c>
      <c r="C127" s="60" t="s">
        <v>139</v>
      </c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2"/>
    </row>
    <row r="128" spans="2:21" s="35" customFormat="1" x14ac:dyDescent="0.25">
      <c r="B128" s="59"/>
      <c r="C128" s="63"/>
      <c r="D128" s="64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5"/>
    </row>
    <row r="129" spans="1:21" ht="16.5" customHeight="1" thickBot="1" x14ac:dyDescent="0.3">
      <c r="C129" s="66" t="s">
        <v>132</v>
      </c>
      <c r="D129" s="67"/>
      <c r="E129" s="67"/>
      <c r="F129" s="67"/>
      <c r="G129" s="67"/>
      <c r="H129" s="67"/>
      <c r="I129" s="5"/>
      <c r="J129" s="66" t="s">
        <v>140</v>
      </c>
      <c r="K129" s="67"/>
      <c r="L129" s="67"/>
      <c r="M129" s="67"/>
      <c r="N129" s="67"/>
      <c r="O129" s="67"/>
      <c r="Q129" s="66" t="s">
        <v>7</v>
      </c>
      <c r="R129" s="67"/>
      <c r="S129" s="68"/>
      <c r="T129" s="36"/>
      <c r="U129" s="69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69"/>
    </row>
    <row r="131" spans="1:21" x14ac:dyDescent="0.25">
      <c r="A131" s="6" t="s">
        <v>35</v>
      </c>
      <c r="B131" s="6" t="s">
        <v>46</v>
      </c>
      <c r="C131" s="15">
        <v>4274.2587890625</v>
      </c>
      <c r="D131" s="16">
        <v>38.317</v>
      </c>
      <c r="E131" s="16">
        <v>39.488999999999997</v>
      </c>
      <c r="F131" s="16">
        <v>41.970999999999997</v>
      </c>
      <c r="G131" s="16">
        <v>3.7</v>
      </c>
      <c r="H131" s="16">
        <f t="shared" ref="H131:H202" si="6">(6*D131+E131+F131)/8</f>
        <v>38.920249999999996</v>
      </c>
      <c r="I131" s="5"/>
      <c r="J131" s="15">
        <v>4144.1103999999996</v>
      </c>
      <c r="K131" s="16">
        <v>38.522100000000002</v>
      </c>
      <c r="L131" s="16">
        <v>40.194400000000002</v>
      </c>
      <c r="M131" s="16">
        <v>42.975499999999997</v>
      </c>
      <c r="N131" s="16">
        <v>11.194000000000001</v>
      </c>
      <c r="O131" s="16">
        <f t="shared" ref="O131:O202" si="7">(6*K131+L131+M131)/8</f>
        <v>39.287812500000001</v>
      </c>
      <c r="P131" s="7"/>
      <c r="Q131" s="8">
        <f>bdrate(C131:C134,D131:D134,J131:J134,K131:K134)</f>
        <v>-0.20114685848174096</v>
      </c>
      <c r="R131" s="8">
        <f>bdrate(C131:C134,E131:E134,J131:J134,L131:L134)</f>
        <v>-0.4880467387040498</v>
      </c>
      <c r="S131" s="8">
        <f>bdrate(C131:C134,F131:F134,J131:J134,M131:M134)</f>
        <v>-0.48446661119317969</v>
      </c>
      <c r="T131" s="25">
        <f>bdrate(C131:C134,H131:H134,J131:J134,O131:O134)</f>
        <v>-0.25549679950284021</v>
      </c>
      <c r="U131" s="28">
        <f t="shared" ref="U131:U194" si="8">(N131-G131)/G131</f>
        <v>2.0254054054054054</v>
      </c>
    </row>
    <row r="132" spans="1:21" x14ac:dyDescent="0.25">
      <c r="A132" s="9" t="s">
        <v>36</v>
      </c>
      <c r="B132" s="9"/>
      <c r="C132" s="17">
        <v>3164.6015625</v>
      </c>
      <c r="D132" s="18">
        <v>37.188000000000002</v>
      </c>
      <c r="E132" s="18">
        <v>38.786999999999999</v>
      </c>
      <c r="F132" s="18">
        <v>41.180999999999997</v>
      </c>
      <c r="G132" s="18">
        <v>3.96</v>
      </c>
      <c r="H132" s="18">
        <f t="shared" si="6"/>
        <v>37.887</v>
      </c>
      <c r="I132" s="5"/>
      <c r="J132" s="17">
        <v>3015.5551999999998</v>
      </c>
      <c r="K132" s="18">
        <v>37.569499999999998</v>
      </c>
      <c r="L132" s="18">
        <v>39.734200000000001</v>
      </c>
      <c r="M132" s="18">
        <v>42.335900000000002</v>
      </c>
      <c r="N132" s="18">
        <v>13.619</v>
      </c>
      <c r="O132" s="18">
        <f t="shared" si="7"/>
        <v>38.435887499999993</v>
      </c>
      <c r="P132" s="7"/>
      <c r="Q132" s="10"/>
      <c r="R132" s="11"/>
      <c r="S132" s="11"/>
      <c r="T132" s="26"/>
      <c r="U132" s="28">
        <f t="shared" si="8"/>
        <v>2.4391414141414138</v>
      </c>
    </row>
    <row r="133" spans="1:21" x14ac:dyDescent="0.25">
      <c r="B133" s="9"/>
      <c r="C133" s="17">
        <v>2099.3671875</v>
      </c>
      <c r="D133" s="18">
        <v>35.57</v>
      </c>
      <c r="E133" s="18">
        <v>37.832000000000001</v>
      </c>
      <c r="F133" s="18">
        <v>40.192999999999998</v>
      </c>
      <c r="G133" s="18">
        <v>4.41</v>
      </c>
      <c r="H133" s="18">
        <f t="shared" si="6"/>
        <v>36.430624999999999</v>
      </c>
      <c r="I133" s="5"/>
      <c r="J133" s="17">
        <v>1971.6496</v>
      </c>
      <c r="K133" s="18">
        <v>36.197400000000002</v>
      </c>
      <c r="L133" s="18">
        <v>39.078899999999997</v>
      </c>
      <c r="M133" s="18">
        <v>41.525700000000001</v>
      </c>
      <c r="N133" s="18">
        <v>15.5844</v>
      </c>
      <c r="O133" s="18">
        <f t="shared" si="7"/>
        <v>37.223624999999998</v>
      </c>
      <c r="P133" s="7"/>
      <c r="Q133" s="10"/>
      <c r="R133" s="11"/>
      <c r="S133" s="11"/>
      <c r="T133" s="26"/>
      <c r="U133" s="28">
        <f t="shared" si="8"/>
        <v>2.5338775510204083</v>
      </c>
    </row>
    <row r="134" spans="1:21" ht="16.5" thickBot="1" x14ac:dyDescent="0.3">
      <c r="B134" s="12"/>
      <c r="C134" s="19">
        <v>1056.3671875</v>
      </c>
      <c r="D134" s="20">
        <v>32.756999999999998</v>
      </c>
      <c r="E134" s="20">
        <v>36.201000000000001</v>
      </c>
      <c r="F134" s="20">
        <v>38.619999999999997</v>
      </c>
      <c r="G134" s="20">
        <v>4.95</v>
      </c>
      <c r="H134" s="20">
        <f t="shared" si="6"/>
        <v>33.920374999999993</v>
      </c>
      <c r="I134" s="5"/>
      <c r="J134" s="19">
        <v>913.04160000000002</v>
      </c>
      <c r="K134" s="20">
        <v>33.439799999999998</v>
      </c>
      <c r="L134" s="20">
        <v>37.7286</v>
      </c>
      <c r="M134" s="20">
        <v>40.002600000000001</v>
      </c>
      <c r="N134" s="20">
        <v>21.0379</v>
      </c>
      <c r="O134" s="20">
        <f t="shared" si="7"/>
        <v>34.796250000000001</v>
      </c>
      <c r="P134" s="7"/>
      <c r="Q134" s="13"/>
      <c r="R134" s="14"/>
      <c r="S134" s="14"/>
      <c r="T134" s="27"/>
      <c r="U134" s="28">
        <f t="shared" si="8"/>
        <v>3.2500808080808081</v>
      </c>
    </row>
    <row r="135" spans="1:21" x14ac:dyDescent="0.25">
      <c r="B135" s="6" t="s">
        <v>47</v>
      </c>
      <c r="C135" s="15">
        <v>4885.2216796875</v>
      </c>
      <c r="D135" s="16">
        <v>29.326000000000001</v>
      </c>
      <c r="E135" s="16">
        <v>40.204000000000001</v>
      </c>
      <c r="F135" s="16">
        <v>41.026000000000003</v>
      </c>
      <c r="G135" s="16">
        <v>4.12</v>
      </c>
      <c r="H135" s="16">
        <f t="shared" si="6"/>
        <v>32.148250000000004</v>
      </c>
      <c r="I135" s="5"/>
      <c r="J135" s="15">
        <v>4161.4639999999999</v>
      </c>
      <c r="K135" s="16">
        <v>29.911300000000001</v>
      </c>
      <c r="L135" s="16">
        <v>40.8566</v>
      </c>
      <c r="M135" s="16">
        <v>41.639899999999997</v>
      </c>
      <c r="N135" s="16">
        <v>8.7971000000000004</v>
      </c>
      <c r="O135" s="16">
        <f t="shared" si="7"/>
        <v>32.745537500000005</v>
      </c>
      <c r="P135" s="7"/>
      <c r="Q135" s="8">
        <f>bdrate(C135:C138,D135:D138,J135:J138,K135:K138)</f>
        <v>-0.17676585351545893</v>
      </c>
      <c r="R135" s="8">
        <f>bdrate(C135:C138,E135:E138,J135:J138,L135:L138)</f>
        <v>-0.48977849422115327</v>
      </c>
      <c r="S135" s="8">
        <f>bdrate(C135:C138,F135:F138,J135:J138,M135:M138)</f>
        <v>-0.50929586550452388</v>
      </c>
      <c r="T135" s="25">
        <f>bdrate(C135:C138,H135:H138,J135:J138,O135:O138)</f>
        <v>-0.23210558213939525</v>
      </c>
      <c r="U135" s="28">
        <f t="shared" si="8"/>
        <v>1.1352184466019417</v>
      </c>
    </row>
    <row r="136" spans="1:21" x14ac:dyDescent="0.25">
      <c r="B136" s="9"/>
      <c r="C136" s="17">
        <v>3888.0546875</v>
      </c>
      <c r="D136" s="18">
        <v>28.600999999999999</v>
      </c>
      <c r="E136" s="18">
        <v>39.51</v>
      </c>
      <c r="F136" s="18">
        <v>40.442</v>
      </c>
      <c r="G136" s="18">
        <v>4.2</v>
      </c>
      <c r="H136" s="18">
        <f t="shared" si="6"/>
        <v>31.444749999999999</v>
      </c>
      <c r="I136" s="5"/>
      <c r="J136" s="17">
        <v>3058.1776</v>
      </c>
      <c r="K136" s="18">
        <v>28.514299999999999</v>
      </c>
      <c r="L136" s="18">
        <v>40.326300000000003</v>
      </c>
      <c r="M136" s="18">
        <v>41.231099999999998</v>
      </c>
      <c r="N136" s="18">
        <v>10.2187</v>
      </c>
      <c r="O136" s="18">
        <f t="shared" si="7"/>
        <v>31.580400000000001</v>
      </c>
      <c r="P136" s="7"/>
      <c r="Q136" s="10"/>
      <c r="R136" s="11"/>
      <c r="S136" s="11"/>
      <c r="T136" s="26"/>
      <c r="U136" s="28">
        <f t="shared" si="8"/>
        <v>1.4330238095238095</v>
      </c>
    </row>
    <row r="137" spans="1:21" x14ac:dyDescent="0.25">
      <c r="B137" s="9"/>
      <c r="C137" s="17">
        <v>3144</v>
      </c>
      <c r="D137" s="18">
        <v>28.033000000000001</v>
      </c>
      <c r="E137" s="18">
        <v>38.555</v>
      </c>
      <c r="F137" s="18">
        <v>39.637999999999998</v>
      </c>
      <c r="G137" s="18">
        <v>4.26</v>
      </c>
      <c r="H137" s="18">
        <f t="shared" si="6"/>
        <v>30.798875000000002</v>
      </c>
      <c r="I137" s="5"/>
      <c r="J137" s="17">
        <v>2060.1583999999998</v>
      </c>
      <c r="K137" s="18">
        <v>26.821200000000001</v>
      </c>
      <c r="L137" s="18">
        <v>39.5548</v>
      </c>
      <c r="M137" s="18">
        <v>40.5794</v>
      </c>
      <c r="N137" s="18">
        <v>11.812900000000001</v>
      </c>
      <c r="O137" s="18">
        <f t="shared" si="7"/>
        <v>30.132674999999999</v>
      </c>
      <c r="P137" s="7"/>
      <c r="Q137" s="10"/>
      <c r="R137" s="11"/>
      <c r="S137" s="11"/>
      <c r="T137" s="26"/>
      <c r="U137" s="28">
        <f t="shared" si="8"/>
        <v>1.7729812206572773</v>
      </c>
    </row>
    <row r="138" spans="1:21" ht="16.5" thickBot="1" x14ac:dyDescent="0.3">
      <c r="B138" s="12"/>
      <c r="C138" s="19">
        <v>2722.0654296875</v>
      </c>
      <c r="D138" s="20">
        <v>27.611999999999998</v>
      </c>
      <c r="E138" s="20">
        <v>37.704000000000001</v>
      </c>
      <c r="F138" s="20">
        <v>38.893999999999998</v>
      </c>
      <c r="G138" s="20">
        <v>4.22</v>
      </c>
      <c r="H138" s="20">
        <f t="shared" si="6"/>
        <v>30.283750000000001</v>
      </c>
      <c r="I138" s="5"/>
      <c r="J138" s="19">
        <v>1421.3807999999999</v>
      </c>
      <c r="K138" s="20">
        <v>25.6584</v>
      </c>
      <c r="L138" s="20">
        <v>38.467199999999998</v>
      </c>
      <c r="M138" s="20">
        <v>39.587299999999999</v>
      </c>
      <c r="N138" s="20">
        <v>12.718299999999999</v>
      </c>
      <c r="O138" s="20">
        <f t="shared" si="7"/>
        <v>29.000612499999999</v>
      </c>
      <c r="P138" s="7"/>
      <c r="Q138" s="13"/>
      <c r="R138" s="14"/>
      <c r="S138" s="14"/>
      <c r="T138" s="27"/>
      <c r="U138" s="28">
        <f t="shared" si="8"/>
        <v>2.0138151658767773</v>
      </c>
    </row>
    <row r="139" spans="1:21" x14ac:dyDescent="0.25">
      <c r="A139" s="6" t="s">
        <v>37</v>
      </c>
      <c r="B139" s="6" t="s">
        <v>48</v>
      </c>
      <c r="C139" s="15">
        <v>2182.470703125</v>
      </c>
      <c r="D139" s="16">
        <v>38.820999999999998</v>
      </c>
      <c r="E139" s="16">
        <v>41.878</v>
      </c>
      <c r="F139" s="16">
        <v>43.222999999999999</v>
      </c>
      <c r="G139" s="16">
        <v>6.06</v>
      </c>
      <c r="H139" s="16">
        <f t="shared" si="6"/>
        <v>39.753374999999998</v>
      </c>
      <c r="I139" s="5"/>
      <c r="J139" s="15">
        <v>2369.7759999999998</v>
      </c>
      <c r="K139" s="16">
        <v>39.383000000000003</v>
      </c>
      <c r="L139" s="16">
        <v>42.3703</v>
      </c>
      <c r="M139" s="16">
        <v>44.068899999999999</v>
      </c>
      <c r="N139" s="16">
        <v>19.795400000000001</v>
      </c>
      <c r="O139" s="16">
        <f t="shared" si="7"/>
        <v>40.342149999999997</v>
      </c>
      <c r="P139" s="7"/>
      <c r="Q139" s="8">
        <f>bdrate(C139:C142,D139:D142,J139:J142,K139:K142)</f>
        <v>-0.13266093793512868</v>
      </c>
      <c r="R139" s="8">
        <f>bdrate(C139:C142,E139:E142,J139:J142,L139:L142)</f>
        <v>-0.3157958010775419</v>
      </c>
      <c r="S139" s="8">
        <f>bdrate(C139:C142,F139:F142,J139:J142,M139:M142)</f>
        <v>-0.34722806371542148</v>
      </c>
      <c r="T139" s="25">
        <f>bdrate(C139:C142,H139:H142,J139:J142,O139:O142)</f>
        <v>-0.16840769128760713</v>
      </c>
      <c r="U139" s="28">
        <f t="shared" si="8"/>
        <v>2.2665676567656772</v>
      </c>
    </row>
    <row r="140" spans="1:21" x14ac:dyDescent="0.25">
      <c r="A140" s="9" t="s">
        <v>38</v>
      </c>
      <c r="B140" s="9"/>
      <c r="C140" s="17">
        <v>1528.2158203125</v>
      </c>
      <c r="D140" s="18">
        <v>37.679000000000002</v>
      </c>
      <c r="E140" s="18">
        <v>41.268999999999998</v>
      </c>
      <c r="F140" s="18">
        <v>42.514000000000003</v>
      </c>
      <c r="G140" s="18">
        <v>6.75</v>
      </c>
      <c r="H140" s="18">
        <f t="shared" si="6"/>
        <v>38.732125000000003</v>
      </c>
      <c r="I140" s="5"/>
      <c r="J140" s="17">
        <v>1574.0144</v>
      </c>
      <c r="K140" s="18">
        <v>38.231499999999997</v>
      </c>
      <c r="L140" s="18">
        <v>41.813000000000002</v>
      </c>
      <c r="M140" s="18">
        <v>43.308300000000003</v>
      </c>
      <c r="N140" s="18">
        <v>24.2669</v>
      </c>
      <c r="O140" s="18">
        <f t="shared" si="7"/>
        <v>39.313787500000004</v>
      </c>
      <c r="P140" s="7"/>
      <c r="Q140" s="10"/>
      <c r="R140" s="11"/>
      <c r="S140" s="11"/>
      <c r="T140" s="26"/>
      <c r="U140" s="28">
        <f t="shared" si="8"/>
        <v>2.5950962962962962</v>
      </c>
    </row>
    <row r="141" spans="1:21" x14ac:dyDescent="0.25">
      <c r="B141" s="9"/>
      <c r="C141" s="17">
        <v>980.3564453125</v>
      </c>
      <c r="D141" s="18">
        <v>36.258000000000003</v>
      </c>
      <c r="E141" s="18">
        <v>40.457000000000001</v>
      </c>
      <c r="F141" s="18">
        <v>41.655000000000001</v>
      </c>
      <c r="G141" s="18">
        <v>7.5</v>
      </c>
      <c r="H141" s="18">
        <f t="shared" si="6"/>
        <v>37.457499999999996</v>
      </c>
      <c r="I141" s="5"/>
      <c r="J141" s="17">
        <v>966.81600000000003</v>
      </c>
      <c r="K141" s="18">
        <v>36.686100000000003</v>
      </c>
      <c r="L141" s="18">
        <v>41.112000000000002</v>
      </c>
      <c r="M141" s="18">
        <v>42.415799999999997</v>
      </c>
      <c r="N141" s="18">
        <v>29.873000000000001</v>
      </c>
      <c r="O141" s="18">
        <f t="shared" si="7"/>
        <v>37.955550000000002</v>
      </c>
      <c r="P141" s="7"/>
      <c r="Q141" s="10"/>
      <c r="R141" s="11"/>
      <c r="S141" s="11"/>
      <c r="T141" s="26"/>
      <c r="U141" s="28">
        <f t="shared" si="8"/>
        <v>2.9830666666666668</v>
      </c>
    </row>
    <row r="142" spans="1:21" ht="16.5" thickBot="1" x14ac:dyDescent="0.3">
      <c r="B142" s="12"/>
      <c r="C142" s="19">
        <v>598.17578125</v>
      </c>
      <c r="D142" s="20">
        <v>34.695999999999998</v>
      </c>
      <c r="E142" s="20">
        <v>39.512</v>
      </c>
      <c r="F142" s="20">
        <v>40.799999999999997</v>
      </c>
      <c r="G142" s="20">
        <v>7.93</v>
      </c>
      <c r="H142" s="20">
        <f t="shared" si="6"/>
        <v>36.061</v>
      </c>
      <c r="I142" s="5"/>
      <c r="J142" s="19">
        <v>564.33839999999998</v>
      </c>
      <c r="K142" s="20">
        <v>34.907400000000003</v>
      </c>
      <c r="L142" s="20">
        <v>40.404600000000002</v>
      </c>
      <c r="M142" s="20">
        <v>41.639800000000001</v>
      </c>
      <c r="N142" s="20">
        <v>36.714100000000002</v>
      </c>
      <c r="O142" s="20">
        <f t="shared" si="7"/>
        <v>36.436100000000003</v>
      </c>
      <c r="P142" s="7"/>
      <c r="Q142" s="13"/>
      <c r="R142" s="14"/>
      <c r="S142" s="14"/>
      <c r="T142" s="27"/>
      <c r="U142" s="28">
        <f t="shared" si="8"/>
        <v>3.6297730138713749</v>
      </c>
    </row>
    <row r="143" spans="1:21" x14ac:dyDescent="0.25">
      <c r="B143" s="6" t="s">
        <v>49</v>
      </c>
      <c r="C143" s="15">
        <v>2542.611328125</v>
      </c>
      <c r="D143" s="16">
        <v>36.295999999999999</v>
      </c>
      <c r="E143" s="16">
        <v>39.923000000000002</v>
      </c>
      <c r="F143" s="16">
        <v>41.006</v>
      </c>
      <c r="G143" s="16">
        <v>6.18</v>
      </c>
      <c r="H143" s="16">
        <f t="shared" si="6"/>
        <v>37.338125000000005</v>
      </c>
      <c r="I143" s="5"/>
      <c r="J143" s="15">
        <v>2544.7912000000001</v>
      </c>
      <c r="K143" s="16">
        <v>36.5914</v>
      </c>
      <c r="L143" s="16">
        <v>40.836799999999997</v>
      </c>
      <c r="M143" s="16">
        <v>42.196300000000001</v>
      </c>
      <c r="N143" s="16">
        <v>18.8947</v>
      </c>
      <c r="O143" s="16">
        <f t="shared" si="7"/>
        <v>37.822687500000001</v>
      </c>
      <c r="P143" s="7"/>
      <c r="Q143" s="8">
        <f>bdrate(C143:C146,D143:D146,J143:J146,K143:K146)</f>
        <v>-0.14431209122288724</v>
      </c>
      <c r="R143" s="8">
        <f>bdrate(C143:C146,E143:E146,J143:J146,L143:L146)</f>
        <v>-0.44421629630593062</v>
      </c>
      <c r="S143" s="8">
        <f>bdrate(C143:C146,F143:F146,J143:J146,M143:M146)</f>
        <v>-0.47486853752982328</v>
      </c>
      <c r="T143" s="25">
        <f>bdrate(C143:C146,H143:H146,J143:J146,O143:O146)</f>
        <v>-0.21172422450680228</v>
      </c>
      <c r="U143" s="28">
        <f t="shared" si="8"/>
        <v>2.0573948220064726</v>
      </c>
    </row>
    <row r="144" spans="1:21" x14ac:dyDescent="0.25">
      <c r="B144" s="9"/>
      <c r="C144" s="17">
        <v>1708.75</v>
      </c>
      <c r="D144" s="18">
        <v>34.959000000000003</v>
      </c>
      <c r="E144" s="18">
        <v>38.954999999999998</v>
      </c>
      <c r="F144" s="18">
        <v>40.084000000000003</v>
      </c>
      <c r="G144" s="18">
        <v>6.92</v>
      </c>
      <c r="H144" s="18">
        <f t="shared" si="6"/>
        <v>36.099125000000001</v>
      </c>
      <c r="I144" s="5"/>
      <c r="J144" s="17">
        <v>1662.116</v>
      </c>
      <c r="K144" s="18">
        <v>35.352699999999999</v>
      </c>
      <c r="L144" s="18">
        <v>40.025199999999998</v>
      </c>
      <c r="M144" s="18">
        <v>41.254800000000003</v>
      </c>
      <c r="N144" s="18">
        <v>22.894200000000001</v>
      </c>
      <c r="O144" s="18">
        <f t="shared" si="7"/>
        <v>36.674524999999996</v>
      </c>
      <c r="P144" s="7"/>
      <c r="Q144" s="10"/>
      <c r="R144" s="11"/>
      <c r="S144" s="11"/>
      <c r="T144" s="26"/>
      <c r="U144" s="28">
        <f t="shared" si="8"/>
        <v>2.3084104046242775</v>
      </c>
    </row>
    <row r="145" spans="1:21" x14ac:dyDescent="0.25">
      <c r="B145" s="9"/>
      <c r="C145" s="17">
        <v>1051.8291015625</v>
      </c>
      <c r="D145" s="18">
        <v>33.402999999999999</v>
      </c>
      <c r="E145" s="18">
        <v>37.798000000000002</v>
      </c>
      <c r="F145" s="18">
        <v>39.133000000000003</v>
      </c>
      <c r="G145" s="18">
        <v>8</v>
      </c>
      <c r="H145" s="18">
        <f t="shared" si="6"/>
        <v>34.668624999999999</v>
      </c>
      <c r="I145" s="5"/>
      <c r="J145" s="17">
        <v>1029.7736</v>
      </c>
      <c r="K145" s="18">
        <v>33.863599999999998</v>
      </c>
      <c r="L145" s="18">
        <v>39.133299999999998</v>
      </c>
      <c r="M145" s="18">
        <v>40.359299999999998</v>
      </c>
      <c r="N145" s="18">
        <v>28.175599999999999</v>
      </c>
      <c r="O145" s="18">
        <f t="shared" si="7"/>
        <v>35.334274999999998</v>
      </c>
      <c r="P145" s="7"/>
      <c r="Q145" s="10"/>
      <c r="R145" s="11"/>
      <c r="S145" s="11"/>
      <c r="T145" s="26"/>
      <c r="U145" s="28">
        <f t="shared" si="8"/>
        <v>2.5219499999999999</v>
      </c>
    </row>
    <row r="146" spans="1:21" ht="16.5" thickBot="1" x14ac:dyDescent="0.3">
      <c r="B146" s="12"/>
      <c r="C146" s="19">
        <v>628.4326171875</v>
      </c>
      <c r="D146" s="20">
        <v>31.815999999999999</v>
      </c>
      <c r="E146" s="20">
        <v>36.756999999999998</v>
      </c>
      <c r="F146" s="20">
        <v>38.404000000000003</v>
      </c>
      <c r="G146" s="20">
        <v>8.93</v>
      </c>
      <c r="H146" s="20">
        <f t="shared" si="6"/>
        <v>33.257125000000002</v>
      </c>
      <c r="I146" s="5"/>
      <c r="J146" s="19">
        <v>618.62159999999994</v>
      </c>
      <c r="K146" s="20">
        <v>32.278500000000001</v>
      </c>
      <c r="L146" s="20">
        <v>38.1342</v>
      </c>
      <c r="M146" s="20">
        <v>39.500999999999998</v>
      </c>
      <c r="N146" s="20">
        <v>34.266100000000002</v>
      </c>
      <c r="O146" s="20">
        <f t="shared" si="7"/>
        <v>33.913274999999999</v>
      </c>
      <c r="P146" s="7"/>
      <c r="Q146" s="13"/>
      <c r="R146" s="14"/>
      <c r="S146" s="14"/>
      <c r="T146" s="27"/>
      <c r="U146" s="28">
        <f t="shared" si="8"/>
        <v>2.837189249720045</v>
      </c>
    </row>
    <row r="147" spans="1:21" x14ac:dyDescent="0.25">
      <c r="B147" s="6" t="s">
        <v>50</v>
      </c>
      <c r="C147" s="15">
        <v>2463.8388671875</v>
      </c>
      <c r="D147" s="16">
        <v>34.143000000000001</v>
      </c>
      <c r="E147" s="16">
        <v>38.078000000000003</v>
      </c>
      <c r="F147" s="16">
        <v>39.954000000000001</v>
      </c>
      <c r="G147" s="16">
        <v>8.23</v>
      </c>
      <c r="H147" s="16">
        <f t="shared" si="6"/>
        <v>35.361249999999998</v>
      </c>
      <c r="I147" s="5"/>
      <c r="J147" s="15">
        <v>2408.6543999999999</v>
      </c>
      <c r="K147" s="16">
        <v>34.863300000000002</v>
      </c>
      <c r="L147" s="16">
        <v>38.607999999999997</v>
      </c>
      <c r="M147" s="16">
        <v>41.192100000000003</v>
      </c>
      <c r="N147" s="16">
        <v>27.7454</v>
      </c>
      <c r="O147" s="16">
        <f t="shared" si="7"/>
        <v>36.122487499999998</v>
      </c>
      <c r="P147" s="7"/>
      <c r="Q147" s="8">
        <f>bdrate(C147:C150,D147:D150,J147:J150,K147:K150)</f>
        <v>-0.25990740576292082</v>
      </c>
      <c r="R147" s="8">
        <f>bdrate(C147:C150,E147:E150,J147:J150,L147:L150)</f>
        <v>-0.54502255557672452</v>
      </c>
      <c r="S147" s="8">
        <f>bdrate(C147:C150,F147:F150,J147:J150,M147:M150)</f>
        <v>-0.54020629983552659</v>
      </c>
      <c r="T147" s="25">
        <f>bdrate(C147:C150,H147:H150,J147:J150,O147:O150)</f>
        <v>-0.31730219906461921</v>
      </c>
      <c r="U147" s="28">
        <f t="shared" si="8"/>
        <v>2.3712515188335357</v>
      </c>
    </row>
    <row r="148" spans="1:21" x14ac:dyDescent="0.25">
      <c r="B148" s="9"/>
      <c r="C148" s="17">
        <v>1639.4072265625</v>
      </c>
      <c r="D148" s="18">
        <v>32.835999999999999</v>
      </c>
      <c r="E148" s="18">
        <v>37.404000000000003</v>
      </c>
      <c r="F148" s="18">
        <v>38.804000000000002</v>
      </c>
      <c r="G148" s="18">
        <v>9.0299999999999994</v>
      </c>
      <c r="H148" s="18">
        <f t="shared" si="6"/>
        <v>34.152999999999999</v>
      </c>
      <c r="I148" s="5"/>
      <c r="J148" s="17">
        <v>1606.7224000000001</v>
      </c>
      <c r="K148" s="18">
        <v>33.726999999999997</v>
      </c>
      <c r="L148" s="18">
        <v>38.240499999999997</v>
      </c>
      <c r="M148" s="18">
        <v>40.393999999999998</v>
      </c>
      <c r="N148" s="18">
        <v>33.5976</v>
      </c>
      <c r="O148" s="18">
        <f t="shared" si="7"/>
        <v>35.124562499999996</v>
      </c>
      <c r="P148" s="7"/>
      <c r="Q148" s="10"/>
      <c r="R148" s="11"/>
      <c r="S148" s="11"/>
      <c r="T148" s="26"/>
      <c r="U148" s="28">
        <f t="shared" si="8"/>
        <v>2.7206644518272425</v>
      </c>
    </row>
    <row r="149" spans="1:21" x14ac:dyDescent="0.25">
      <c r="B149" s="9"/>
      <c r="C149" s="17">
        <v>1023.89453125</v>
      </c>
      <c r="D149" s="18">
        <v>31.286000000000001</v>
      </c>
      <c r="E149" s="18">
        <v>36.536999999999999</v>
      </c>
      <c r="F149" s="18">
        <v>37.444000000000003</v>
      </c>
      <c r="G149" s="18">
        <v>9.4499999999999993</v>
      </c>
      <c r="H149" s="18">
        <f t="shared" si="6"/>
        <v>32.712125</v>
      </c>
      <c r="I149" s="5"/>
      <c r="J149" s="17">
        <v>999.46</v>
      </c>
      <c r="K149" s="18">
        <v>32.203299999999999</v>
      </c>
      <c r="L149" s="18">
        <v>37.8202</v>
      </c>
      <c r="M149" s="18">
        <v>39.489400000000003</v>
      </c>
      <c r="N149" s="18">
        <v>40.610799999999998</v>
      </c>
      <c r="O149" s="18">
        <f t="shared" si="7"/>
        <v>33.816175000000001</v>
      </c>
      <c r="P149" s="7"/>
      <c r="Q149" s="10"/>
      <c r="R149" s="11"/>
      <c r="S149" s="11"/>
      <c r="T149" s="26"/>
      <c r="U149" s="28">
        <f t="shared" si="8"/>
        <v>3.2974391534391536</v>
      </c>
    </row>
    <row r="150" spans="1:21" ht="16.5" thickBot="1" x14ac:dyDescent="0.3">
      <c r="B150" s="12"/>
      <c r="C150" s="19">
        <v>641.125</v>
      </c>
      <c r="D150" s="20">
        <v>29.734000000000002</v>
      </c>
      <c r="E150" s="20">
        <v>35.576000000000001</v>
      </c>
      <c r="F150" s="20">
        <v>36.027999999999999</v>
      </c>
      <c r="G150" s="20">
        <v>9.9600000000000009</v>
      </c>
      <c r="H150" s="20">
        <f t="shared" si="6"/>
        <v>31.250999999999998</v>
      </c>
      <c r="I150" s="5"/>
      <c r="J150" s="19">
        <v>591.36320000000001</v>
      </c>
      <c r="K150" s="20">
        <v>30.4682</v>
      </c>
      <c r="L150" s="20">
        <v>37.155700000000003</v>
      </c>
      <c r="M150" s="20">
        <v>38.3904</v>
      </c>
      <c r="N150" s="20">
        <v>49.534399999999998</v>
      </c>
      <c r="O150" s="20">
        <f t="shared" si="7"/>
        <v>32.2944125</v>
      </c>
      <c r="P150" s="7"/>
      <c r="Q150" s="13"/>
      <c r="R150" s="14"/>
      <c r="S150" s="14"/>
      <c r="T150" s="27"/>
      <c r="U150" s="28">
        <f t="shared" si="8"/>
        <v>3.9733333333333327</v>
      </c>
    </row>
    <row r="151" spans="1:21" x14ac:dyDescent="0.25">
      <c r="B151" s="6" t="s">
        <v>51</v>
      </c>
      <c r="C151" s="29">
        <v>2397.9130859375</v>
      </c>
      <c r="D151" s="30">
        <v>33.89</v>
      </c>
      <c r="E151" s="30">
        <v>40.25</v>
      </c>
      <c r="F151" s="30">
        <v>39.567999999999998</v>
      </c>
      <c r="G151" s="16">
        <v>6.61</v>
      </c>
      <c r="H151" s="16">
        <f t="shared" si="6"/>
        <v>35.394750000000002</v>
      </c>
      <c r="I151" s="5"/>
      <c r="J151" s="29">
        <v>2443.4423999999999</v>
      </c>
      <c r="K151" s="30">
        <v>34.589300000000001</v>
      </c>
      <c r="L151" s="30">
        <v>41.152200000000001</v>
      </c>
      <c r="M151" s="30">
        <v>40.897100000000002</v>
      </c>
      <c r="N151" s="16">
        <v>23.393999999999998</v>
      </c>
      <c r="O151" s="16">
        <f t="shared" si="7"/>
        <v>36.198137500000001</v>
      </c>
      <c r="P151" s="7"/>
      <c r="Q151" s="8">
        <f>bdrate(C151:C154,D151:D154,J151:J154,K151:K154)</f>
        <v>-0.13649784841257084</v>
      </c>
      <c r="R151" s="8">
        <f>bdrate(C151:C154,E151:E154,J151:J154,L151:L154)</f>
        <v>-0.4809846619932644</v>
      </c>
      <c r="S151" s="8">
        <f>bdrate(C151:C154,F151:F154,J151:J154,M151:M154)</f>
        <v>-0.48844962969351058</v>
      </c>
      <c r="T151" s="25">
        <f>bdrate(C151:C154,H151:H154,J151:J154,O151:O154)</f>
        <v>-0.21667936020295631</v>
      </c>
      <c r="U151" s="28">
        <f t="shared" si="8"/>
        <v>2.5391830559757937</v>
      </c>
    </row>
    <row r="152" spans="1:21" x14ac:dyDescent="0.25">
      <c r="B152" s="9"/>
      <c r="C152" s="31">
        <v>1611.7451171875</v>
      </c>
      <c r="D152" s="32">
        <v>32.688000000000002</v>
      </c>
      <c r="E152" s="32">
        <v>39.384</v>
      </c>
      <c r="F152" s="32">
        <v>38.302999999999997</v>
      </c>
      <c r="G152" s="18">
        <v>7.09</v>
      </c>
      <c r="H152" s="18">
        <f t="shared" si="6"/>
        <v>34.226875</v>
      </c>
      <c r="I152" s="5"/>
      <c r="J152" s="31">
        <v>1626.9232</v>
      </c>
      <c r="K152" s="32">
        <v>33.280500000000004</v>
      </c>
      <c r="L152" s="32">
        <v>40.505299999999998</v>
      </c>
      <c r="M152" s="32">
        <v>39.987400000000001</v>
      </c>
      <c r="N152" s="18">
        <v>26.910699999999999</v>
      </c>
      <c r="O152" s="18">
        <f t="shared" si="7"/>
        <v>35.021962500000001</v>
      </c>
      <c r="P152" s="7"/>
      <c r="Q152" s="10"/>
      <c r="R152" s="11"/>
      <c r="S152" s="11"/>
      <c r="T152" s="26"/>
      <c r="U152" s="28">
        <f t="shared" si="8"/>
        <v>2.7955853314527501</v>
      </c>
    </row>
    <row r="153" spans="1:21" x14ac:dyDescent="0.25">
      <c r="B153" s="9"/>
      <c r="C153" s="31">
        <v>1046.9033203125</v>
      </c>
      <c r="D153" s="32">
        <v>31.359000000000002</v>
      </c>
      <c r="E153" s="32">
        <v>38.335000000000001</v>
      </c>
      <c r="F153" s="32">
        <v>37.005000000000003</v>
      </c>
      <c r="G153" s="18">
        <v>7.5</v>
      </c>
      <c r="H153" s="18">
        <f t="shared" si="6"/>
        <v>32.936750000000004</v>
      </c>
      <c r="I153" s="5"/>
      <c r="J153" s="31">
        <v>1012.8088</v>
      </c>
      <c r="K153" s="32">
        <v>31.639900000000001</v>
      </c>
      <c r="L153" s="32">
        <v>39.775199999999998</v>
      </c>
      <c r="M153" s="32">
        <v>38.910499999999999</v>
      </c>
      <c r="N153" s="18">
        <v>32.737499999999997</v>
      </c>
      <c r="O153" s="18">
        <f t="shared" si="7"/>
        <v>33.565637500000001</v>
      </c>
      <c r="P153" s="7"/>
      <c r="Q153" s="10"/>
      <c r="R153" s="11"/>
      <c r="S153" s="11"/>
      <c r="T153" s="26"/>
      <c r="U153" s="28">
        <f t="shared" si="8"/>
        <v>3.3649999999999998</v>
      </c>
    </row>
    <row r="154" spans="1:21" ht="16.5" thickBot="1" x14ac:dyDescent="0.3">
      <c r="B154" s="12"/>
      <c r="C154" s="33">
        <v>821.109375</v>
      </c>
      <c r="D154" s="34">
        <v>30.548999999999999</v>
      </c>
      <c r="E154" s="34">
        <v>37.597000000000001</v>
      </c>
      <c r="F154" s="34">
        <v>36.173999999999999</v>
      </c>
      <c r="G154" s="20">
        <v>7.53</v>
      </c>
      <c r="H154" s="20">
        <f t="shared" si="6"/>
        <v>32.133125</v>
      </c>
      <c r="I154" s="5"/>
      <c r="J154" s="33">
        <v>605.67359999999996</v>
      </c>
      <c r="K154" s="34">
        <v>29.816500000000001</v>
      </c>
      <c r="L154" s="34">
        <v>38.729799999999997</v>
      </c>
      <c r="M154" s="34">
        <v>37.469700000000003</v>
      </c>
      <c r="N154" s="20">
        <v>39.704599999999999</v>
      </c>
      <c r="O154" s="20">
        <f t="shared" si="7"/>
        <v>31.8873125</v>
      </c>
      <c r="P154" s="7"/>
      <c r="Q154" s="13"/>
      <c r="R154" s="14"/>
      <c r="S154" s="14"/>
      <c r="T154" s="27"/>
      <c r="U154" s="28">
        <f t="shared" si="8"/>
        <v>4.2728552456839308</v>
      </c>
    </row>
    <row r="155" spans="1:21" x14ac:dyDescent="0.25">
      <c r="B155" s="6" t="s">
        <v>52</v>
      </c>
      <c r="C155" s="15">
        <v>2578.4072265625</v>
      </c>
      <c r="D155" s="16">
        <v>33.630000000000003</v>
      </c>
      <c r="E155" s="16">
        <v>39.46</v>
      </c>
      <c r="F155" s="16">
        <v>41.91</v>
      </c>
      <c r="G155" s="16">
        <v>5.9</v>
      </c>
      <c r="H155" s="16">
        <f t="shared" si="6"/>
        <v>35.393750000000004</v>
      </c>
      <c r="I155" s="5"/>
      <c r="J155" s="15">
        <v>2419.6648</v>
      </c>
      <c r="K155" s="16">
        <v>33.992699999999999</v>
      </c>
      <c r="L155" s="16">
        <v>40.392299999999999</v>
      </c>
      <c r="M155" s="16">
        <v>42.814399999999999</v>
      </c>
      <c r="N155" s="16">
        <v>24.762699999999999</v>
      </c>
      <c r="O155" s="16">
        <f t="shared" si="7"/>
        <v>35.895362499999997</v>
      </c>
      <c r="P155" s="7"/>
      <c r="Q155" s="8">
        <f>bdrate(C155:C158,D155:D158,J155:J158,K155:K158)</f>
        <v>-0.31221316980170866</v>
      </c>
      <c r="R155" s="8">
        <f>bdrate(C155:C158,E155:E158,J155:J158,L155:L158)</f>
        <v>-0.57449078038016932</v>
      </c>
      <c r="S155" s="8">
        <f>bdrate(C155:C158,F155:F158,J155:J158,M155:M158)</f>
        <v>-0.58845373620470931</v>
      </c>
      <c r="T155" s="25">
        <f>bdrate(C155:C158,H155:H158,J155:J158,O155:O158)</f>
        <v>-0.36496384505012602</v>
      </c>
      <c r="U155" s="28">
        <f t="shared" si="8"/>
        <v>3.1970677966101686</v>
      </c>
    </row>
    <row r="156" spans="1:21" x14ac:dyDescent="0.25">
      <c r="B156" s="9"/>
      <c r="C156" s="17">
        <v>1727.2724609375</v>
      </c>
      <c r="D156" s="18">
        <v>32.768000000000001</v>
      </c>
      <c r="E156" s="18">
        <v>38.835000000000001</v>
      </c>
      <c r="F156" s="18">
        <v>41.408999999999999</v>
      </c>
      <c r="G156" s="18">
        <v>6.82</v>
      </c>
      <c r="H156" s="18">
        <f t="shared" si="6"/>
        <v>34.606500000000004</v>
      </c>
      <c r="I156" s="5"/>
      <c r="J156" s="17">
        <v>1585.144</v>
      </c>
      <c r="K156" s="18">
        <v>33.328499999999998</v>
      </c>
      <c r="L156" s="18">
        <v>39.914000000000001</v>
      </c>
      <c r="M156" s="18">
        <v>42.397799999999997</v>
      </c>
      <c r="N156" s="18">
        <v>29.883500000000002</v>
      </c>
      <c r="O156" s="18">
        <f t="shared" si="7"/>
        <v>35.285350000000001</v>
      </c>
      <c r="P156" s="7"/>
      <c r="Q156" s="10"/>
      <c r="R156" s="11"/>
      <c r="S156" s="11"/>
      <c r="T156" s="26"/>
      <c r="U156" s="28">
        <f t="shared" si="8"/>
        <v>3.3817448680351907</v>
      </c>
    </row>
    <row r="157" spans="1:21" x14ac:dyDescent="0.25">
      <c r="B157" s="9"/>
      <c r="C157" s="17">
        <v>1083.28515625</v>
      </c>
      <c r="D157" s="18">
        <v>31.574000000000002</v>
      </c>
      <c r="E157" s="18">
        <v>38.116</v>
      </c>
      <c r="F157" s="18">
        <v>40.805999999999997</v>
      </c>
      <c r="G157" s="18">
        <v>7.73</v>
      </c>
      <c r="H157" s="18">
        <f t="shared" si="6"/>
        <v>33.545749999999998</v>
      </c>
      <c r="I157" s="5"/>
      <c r="J157" s="17">
        <v>987.2328</v>
      </c>
      <c r="K157" s="18">
        <v>32.335099999999997</v>
      </c>
      <c r="L157" s="18">
        <v>39.224200000000003</v>
      </c>
      <c r="M157" s="18">
        <v>41.779400000000003</v>
      </c>
      <c r="N157" s="18">
        <v>36.075000000000003</v>
      </c>
      <c r="O157" s="18">
        <f t="shared" si="7"/>
        <v>34.376774999999995</v>
      </c>
      <c r="P157" s="7"/>
      <c r="Q157" s="10"/>
      <c r="R157" s="11"/>
      <c r="S157" s="11"/>
      <c r="T157" s="26"/>
      <c r="U157" s="28">
        <f t="shared" si="8"/>
        <v>3.666882276843467</v>
      </c>
    </row>
    <row r="158" spans="1:21" ht="16.5" thickBot="1" x14ac:dyDescent="0.3">
      <c r="B158" s="12"/>
      <c r="C158" s="19">
        <v>670.1943359375</v>
      </c>
      <c r="D158" s="20">
        <v>30.178000000000001</v>
      </c>
      <c r="E158" s="20">
        <v>37.412999999999997</v>
      </c>
      <c r="F158" s="20">
        <v>40.161000000000001</v>
      </c>
      <c r="G158" s="20">
        <v>8.3699999999999992</v>
      </c>
      <c r="H158" s="20">
        <f t="shared" si="6"/>
        <v>32.330249999999999</v>
      </c>
      <c r="I158" s="5"/>
      <c r="J158" s="19">
        <v>582.75120000000004</v>
      </c>
      <c r="K158" s="20">
        <v>30.9209</v>
      </c>
      <c r="L158" s="20">
        <v>38.650399999999998</v>
      </c>
      <c r="M158" s="20">
        <v>41.248899999999999</v>
      </c>
      <c r="N158" s="20">
        <v>45.826000000000001</v>
      </c>
      <c r="O158" s="20">
        <f t="shared" si="7"/>
        <v>33.178087499999997</v>
      </c>
      <c r="P158" s="7"/>
      <c r="Q158" s="13"/>
      <c r="R158" s="14"/>
      <c r="S158" s="14"/>
      <c r="T158" s="27"/>
      <c r="U158" s="28">
        <f t="shared" si="8"/>
        <v>4.4750298685782566</v>
      </c>
    </row>
    <row r="159" spans="1:21" x14ac:dyDescent="0.25">
      <c r="A159" s="6" t="s">
        <v>39</v>
      </c>
      <c r="B159" s="6" t="s">
        <v>53</v>
      </c>
      <c r="C159" s="15">
        <v>1241.58984375</v>
      </c>
      <c r="D159" s="16">
        <v>35.973999999999997</v>
      </c>
      <c r="E159" s="16">
        <v>40.192999999999998</v>
      </c>
      <c r="F159" s="16">
        <v>40.046999999999997</v>
      </c>
      <c r="G159" s="16">
        <v>27.69</v>
      </c>
      <c r="H159" s="16">
        <f t="shared" si="6"/>
        <v>37.010499999999993</v>
      </c>
      <c r="I159" s="5"/>
      <c r="J159" s="15">
        <v>1213.7840000000001</v>
      </c>
      <c r="K159" s="16">
        <v>36.590600000000002</v>
      </c>
      <c r="L159" s="16">
        <v>40.962400000000002</v>
      </c>
      <c r="M159" s="16">
        <v>40.972700000000003</v>
      </c>
      <c r="N159" s="16">
        <v>76.417500000000004</v>
      </c>
      <c r="O159" s="16">
        <f t="shared" si="7"/>
        <v>37.6848375</v>
      </c>
      <c r="P159" s="7"/>
      <c r="Q159" s="8">
        <f>bdrate(C159:C162,D159:D162,J159:J162,K159:K162)</f>
        <v>-0.12285934827279443</v>
      </c>
      <c r="R159" s="8">
        <f>bdrate(C159:C162,E159:E162,J159:J162,L159:L162)</f>
        <v>-0.29996392529541793</v>
      </c>
      <c r="S159" s="8">
        <f>bdrate(C159:C162,F159:F162,J159:J162,M159:M162)</f>
        <v>-0.306573417128014</v>
      </c>
      <c r="T159" s="25">
        <f>bdrate(C159:C162,H159:H162,J159:J162,O159:O162)</f>
        <v>-0.16846698398916971</v>
      </c>
      <c r="U159" s="28">
        <f t="shared" si="8"/>
        <v>1.7597508125677142</v>
      </c>
    </row>
    <row r="160" spans="1:21" x14ac:dyDescent="0.25">
      <c r="A160" s="9" t="s">
        <v>40</v>
      </c>
      <c r="B160" s="9"/>
      <c r="C160" s="17">
        <v>852.6416015625</v>
      </c>
      <c r="D160" s="18">
        <v>34.369</v>
      </c>
      <c r="E160" s="18">
        <v>38.924999999999997</v>
      </c>
      <c r="F160" s="18">
        <v>38.564999999999998</v>
      </c>
      <c r="G160" s="18">
        <v>31.13</v>
      </c>
      <c r="H160" s="18">
        <f t="shared" si="6"/>
        <v>35.463000000000001</v>
      </c>
      <c r="I160" s="5"/>
      <c r="J160" s="17">
        <v>807.08720000000005</v>
      </c>
      <c r="K160" s="18">
        <v>34.828000000000003</v>
      </c>
      <c r="L160" s="18">
        <v>39.708399999999997</v>
      </c>
      <c r="M160" s="18">
        <v>39.510300000000001</v>
      </c>
      <c r="N160" s="18">
        <v>89.015500000000003</v>
      </c>
      <c r="O160" s="18">
        <f t="shared" si="7"/>
        <v>36.023337499999997</v>
      </c>
      <c r="P160" s="7"/>
      <c r="Q160" s="10"/>
      <c r="R160" s="11"/>
      <c r="S160" s="11"/>
      <c r="T160" s="26"/>
      <c r="U160" s="28">
        <f t="shared" si="8"/>
        <v>1.8594763893350468</v>
      </c>
    </row>
    <row r="161" spans="1:21" x14ac:dyDescent="0.25">
      <c r="B161" s="9"/>
      <c r="C161" s="17">
        <v>527.6826171875</v>
      </c>
      <c r="D161" s="18">
        <v>32.622</v>
      </c>
      <c r="E161" s="18">
        <v>37.362000000000002</v>
      </c>
      <c r="F161" s="18">
        <v>36.837000000000003</v>
      </c>
      <c r="G161" s="18">
        <v>31.02</v>
      </c>
      <c r="H161" s="18">
        <f t="shared" si="6"/>
        <v>33.741374999999998</v>
      </c>
      <c r="I161" s="5"/>
      <c r="J161" s="17">
        <v>502.71440000000001</v>
      </c>
      <c r="K161" s="18">
        <v>32.887999999999998</v>
      </c>
      <c r="L161" s="18">
        <v>38.402900000000002</v>
      </c>
      <c r="M161" s="18">
        <v>38.016100000000002</v>
      </c>
      <c r="N161" s="18">
        <v>103.6699</v>
      </c>
      <c r="O161" s="18">
        <f t="shared" si="7"/>
        <v>34.218374999999995</v>
      </c>
      <c r="P161" s="7"/>
      <c r="Q161" s="10"/>
      <c r="R161" s="11"/>
      <c r="S161" s="11"/>
      <c r="T161" s="26"/>
      <c r="U161" s="28">
        <f t="shared" si="8"/>
        <v>2.3420341715022568</v>
      </c>
    </row>
    <row r="162" spans="1:21" ht="16.5" thickBot="1" x14ac:dyDescent="0.3">
      <c r="B162" s="12"/>
      <c r="C162" s="19">
        <v>314.4765625</v>
      </c>
      <c r="D162" s="20">
        <v>30.888999999999999</v>
      </c>
      <c r="E162" s="20">
        <v>35.753</v>
      </c>
      <c r="F162" s="20">
        <v>35.082000000000001</v>
      </c>
      <c r="G162" s="20">
        <v>33.840000000000003</v>
      </c>
      <c r="H162" s="20">
        <f t="shared" si="6"/>
        <v>32.021124999999998</v>
      </c>
      <c r="I162" s="5"/>
      <c r="J162" s="19">
        <v>298.29199999999997</v>
      </c>
      <c r="K162" s="20">
        <v>30.8874</v>
      </c>
      <c r="L162" s="20">
        <v>36.963000000000001</v>
      </c>
      <c r="M162" s="20">
        <v>36.453400000000002</v>
      </c>
      <c r="N162" s="20">
        <v>125.1878</v>
      </c>
      <c r="O162" s="20">
        <f t="shared" si="7"/>
        <v>32.342599999999997</v>
      </c>
      <c r="P162" s="7"/>
      <c r="Q162" s="13"/>
      <c r="R162" s="14"/>
      <c r="S162" s="14"/>
      <c r="T162" s="27"/>
      <c r="U162" s="28">
        <f t="shared" si="8"/>
        <v>2.6994030732860517</v>
      </c>
    </row>
    <row r="163" spans="1:21" x14ac:dyDescent="0.25">
      <c r="B163" s="6" t="s">
        <v>54</v>
      </c>
      <c r="C163" s="15">
        <v>1289.328125</v>
      </c>
      <c r="D163" s="16">
        <v>35.122</v>
      </c>
      <c r="E163" s="16">
        <v>40.493000000000002</v>
      </c>
      <c r="F163" s="16">
        <v>41.325000000000003</v>
      </c>
      <c r="G163" s="16">
        <v>23.34</v>
      </c>
      <c r="H163" s="16">
        <f t="shared" si="6"/>
        <v>36.568750000000001</v>
      </c>
      <c r="I163" s="5"/>
      <c r="J163" s="15">
        <v>1211.7768000000001</v>
      </c>
      <c r="K163" s="16">
        <v>36.023800000000001</v>
      </c>
      <c r="L163" s="16">
        <v>41.661200000000001</v>
      </c>
      <c r="M163" s="16">
        <v>42.646900000000002</v>
      </c>
      <c r="N163" s="16">
        <v>83.798900000000003</v>
      </c>
      <c r="O163" s="16">
        <f t="shared" si="7"/>
        <v>37.556362500000006</v>
      </c>
      <c r="P163" s="7"/>
      <c r="Q163" s="8">
        <f>bdrate(C163:C166,D163:D166,J163:J166,K163:K166)</f>
        <v>-0.26527079898949524</v>
      </c>
      <c r="R163" s="8">
        <f>bdrate(C163:C166,E163:E166,J163:J166,L163:L166)</f>
        <v>-0.48460012167160571</v>
      </c>
      <c r="S163" s="8">
        <f>bdrate(C163:C166,F163:F166,J163:J166,M163:M166)</f>
        <v>-0.48223464421843298</v>
      </c>
      <c r="T163" s="25">
        <f>bdrate(C163:C166,H163:H166,J163:J166,O163:O166)</f>
        <v>-0.31411261693736892</v>
      </c>
      <c r="U163" s="28">
        <f t="shared" si="8"/>
        <v>2.590355612682091</v>
      </c>
    </row>
    <row r="164" spans="1:21" x14ac:dyDescent="0.25">
      <c r="B164" s="9"/>
      <c r="C164" s="17">
        <v>859.1025390625</v>
      </c>
      <c r="D164" s="18">
        <v>33.54</v>
      </c>
      <c r="E164" s="18">
        <v>39.301000000000002</v>
      </c>
      <c r="F164" s="18">
        <v>39.987000000000002</v>
      </c>
      <c r="G164" s="18">
        <v>25.07</v>
      </c>
      <c r="H164" s="18">
        <f t="shared" si="6"/>
        <v>35.066000000000003</v>
      </c>
      <c r="I164" s="5"/>
      <c r="J164" s="17">
        <v>806.55039999999997</v>
      </c>
      <c r="K164" s="18">
        <v>34.507100000000001</v>
      </c>
      <c r="L164" s="18">
        <v>40.688200000000002</v>
      </c>
      <c r="M164" s="18">
        <v>41.536000000000001</v>
      </c>
      <c r="N164" s="18">
        <v>97.118799999999993</v>
      </c>
      <c r="O164" s="18">
        <f t="shared" si="7"/>
        <v>36.158349999999999</v>
      </c>
      <c r="P164" s="7"/>
      <c r="Q164" s="10"/>
      <c r="R164" s="11"/>
      <c r="S164" s="11"/>
      <c r="T164" s="26"/>
      <c r="U164" s="28">
        <f t="shared" si="8"/>
        <v>2.8739050658157161</v>
      </c>
    </row>
    <row r="165" spans="1:21" x14ac:dyDescent="0.25">
      <c r="B165" s="9"/>
      <c r="C165" s="17">
        <v>535.4921875</v>
      </c>
      <c r="D165" s="18">
        <v>31.684000000000001</v>
      </c>
      <c r="E165" s="18">
        <v>37.915999999999997</v>
      </c>
      <c r="F165" s="18">
        <v>38.447000000000003</v>
      </c>
      <c r="G165" s="18">
        <v>26.77</v>
      </c>
      <c r="H165" s="18">
        <f t="shared" si="6"/>
        <v>33.308374999999998</v>
      </c>
      <c r="I165" s="5"/>
      <c r="J165" s="17">
        <v>503.95920000000001</v>
      </c>
      <c r="K165" s="18">
        <v>32.668100000000003</v>
      </c>
      <c r="L165" s="18">
        <v>39.637500000000003</v>
      </c>
      <c r="M165" s="18">
        <v>40.353000000000002</v>
      </c>
      <c r="N165" s="18">
        <v>115.85250000000001</v>
      </c>
      <c r="O165" s="18">
        <f t="shared" si="7"/>
        <v>34.4998875</v>
      </c>
      <c r="P165" s="7"/>
      <c r="Q165" s="10"/>
      <c r="R165" s="11"/>
      <c r="S165" s="11"/>
      <c r="T165" s="26"/>
      <c r="U165" s="28">
        <f t="shared" si="8"/>
        <v>3.3276989166977966</v>
      </c>
    </row>
    <row r="166" spans="1:21" ht="16.5" thickBot="1" x14ac:dyDescent="0.3">
      <c r="B166" s="12"/>
      <c r="C166" s="19">
        <v>330.7978515625</v>
      </c>
      <c r="D166" s="20">
        <v>29.777000000000001</v>
      </c>
      <c r="E166" s="20">
        <v>36.530999999999999</v>
      </c>
      <c r="F166" s="20">
        <v>36.956000000000003</v>
      </c>
      <c r="G166" s="20">
        <v>28.08</v>
      </c>
      <c r="H166" s="20">
        <f t="shared" si="6"/>
        <v>31.518625</v>
      </c>
      <c r="I166" s="5"/>
      <c r="J166" s="19">
        <v>303.59039999999999</v>
      </c>
      <c r="K166" s="20">
        <v>30.608899999999998</v>
      </c>
      <c r="L166" s="20">
        <v>38.517699999999998</v>
      </c>
      <c r="M166" s="20">
        <v>39.084099999999999</v>
      </c>
      <c r="N166" s="20">
        <v>136.8613</v>
      </c>
      <c r="O166" s="20">
        <f t="shared" si="7"/>
        <v>32.656899999999993</v>
      </c>
      <c r="P166" s="7"/>
      <c r="Q166" s="13"/>
      <c r="R166" s="14"/>
      <c r="S166" s="14"/>
      <c r="T166" s="27"/>
      <c r="U166" s="28">
        <f t="shared" si="8"/>
        <v>3.8739779202279205</v>
      </c>
    </row>
    <row r="167" spans="1:21" x14ac:dyDescent="0.25">
      <c r="B167" s="6" t="s">
        <v>55</v>
      </c>
      <c r="C167" s="15">
        <v>1384.5625</v>
      </c>
      <c r="D167" s="16">
        <v>30.640999999999998</v>
      </c>
      <c r="E167" s="16">
        <v>36.945</v>
      </c>
      <c r="F167" s="16">
        <v>37.695999999999998</v>
      </c>
      <c r="G167" s="16">
        <v>17.66</v>
      </c>
      <c r="H167" s="16">
        <f t="shared" si="6"/>
        <v>32.310874999999996</v>
      </c>
      <c r="I167" s="5"/>
      <c r="J167" s="15">
        <v>1199.4528</v>
      </c>
      <c r="K167" s="16">
        <v>30.982600000000001</v>
      </c>
      <c r="L167" s="16">
        <v>37.644399999999997</v>
      </c>
      <c r="M167" s="16">
        <v>38.508000000000003</v>
      </c>
      <c r="N167" s="16">
        <v>71.839100000000002</v>
      </c>
      <c r="O167" s="16">
        <f t="shared" si="7"/>
        <v>32.756</v>
      </c>
      <c r="P167" s="7"/>
      <c r="Q167" s="8">
        <f>bdrate(C167:C170,D167:D170,J167:J170,K167:K170)</f>
        <v>-0.24092606353931256</v>
      </c>
      <c r="R167" s="8">
        <f>bdrate(C167:C170,E167:E170,J167:J170,L167:L170)</f>
        <v>-0.44149204454230884</v>
      </c>
      <c r="S167" s="8">
        <f>bdrate(C167:C170,F167:F170,J167:J170,M167:M170)</f>
        <v>-0.44595111083642569</v>
      </c>
      <c r="T167" s="25">
        <f>bdrate(C167:C170,H167:H170,J167:J170,O167:O170)</f>
        <v>-0.28548245717478338</v>
      </c>
      <c r="U167" s="28">
        <f t="shared" si="8"/>
        <v>3.0678992072480185</v>
      </c>
    </row>
    <row r="168" spans="1:21" x14ac:dyDescent="0.25">
      <c r="B168" s="9"/>
      <c r="C168" s="17">
        <v>960.390625</v>
      </c>
      <c r="D168" s="18">
        <v>29.265000000000001</v>
      </c>
      <c r="E168" s="18">
        <v>36.042999999999999</v>
      </c>
      <c r="F168" s="18">
        <v>36.789000000000001</v>
      </c>
      <c r="G168" s="18">
        <v>18.16</v>
      </c>
      <c r="H168" s="18">
        <f t="shared" si="6"/>
        <v>31.052750000000003</v>
      </c>
      <c r="I168" s="5"/>
      <c r="J168" s="17">
        <v>800.01120000000003</v>
      </c>
      <c r="K168" s="18">
        <v>29.6067</v>
      </c>
      <c r="L168" s="18">
        <v>36.7669</v>
      </c>
      <c r="M168" s="18">
        <v>37.57</v>
      </c>
      <c r="N168" s="18">
        <v>82.399500000000003</v>
      </c>
      <c r="O168" s="18">
        <f t="shared" si="7"/>
        <v>31.497137499999997</v>
      </c>
      <c r="P168" s="7"/>
      <c r="Q168" s="10"/>
      <c r="R168" s="11"/>
      <c r="S168" s="11"/>
      <c r="T168" s="26"/>
      <c r="U168" s="28">
        <f t="shared" si="8"/>
        <v>3.5374174008810577</v>
      </c>
    </row>
    <row r="169" spans="1:21" x14ac:dyDescent="0.25">
      <c r="B169" s="9"/>
      <c r="C169" s="17">
        <v>597.5751953125</v>
      </c>
      <c r="D169" s="18">
        <v>27.797999999999998</v>
      </c>
      <c r="E169" s="18">
        <v>34.901000000000003</v>
      </c>
      <c r="F169" s="18">
        <v>35.695</v>
      </c>
      <c r="G169" s="18">
        <v>19.55</v>
      </c>
      <c r="H169" s="18">
        <f t="shared" si="6"/>
        <v>29.672999999999998</v>
      </c>
      <c r="I169" s="5"/>
      <c r="J169" s="17">
        <v>504.72480000000002</v>
      </c>
      <c r="K169" s="18">
        <v>28.151800000000001</v>
      </c>
      <c r="L169" s="18">
        <v>35.908900000000003</v>
      </c>
      <c r="M169" s="18">
        <v>36.677</v>
      </c>
      <c r="N169" s="18">
        <v>100.4823</v>
      </c>
      <c r="O169" s="18">
        <f t="shared" si="7"/>
        <v>30.187087500000001</v>
      </c>
      <c r="P169" s="7"/>
      <c r="Q169" s="10"/>
      <c r="R169" s="11"/>
      <c r="S169" s="11"/>
      <c r="T169" s="26"/>
      <c r="U169" s="28">
        <f t="shared" si="8"/>
        <v>4.1397595907928384</v>
      </c>
    </row>
    <row r="170" spans="1:21" ht="16.5" thickBot="1" x14ac:dyDescent="0.3">
      <c r="B170" s="12"/>
      <c r="C170" s="19">
        <v>362.5087890625</v>
      </c>
      <c r="D170" s="20">
        <v>26.428000000000001</v>
      </c>
      <c r="E170" s="20">
        <v>33.780999999999999</v>
      </c>
      <c r="F170" s="20">
        <v>34.567999999999998</v>
      </c>
      <c r="G170" s="20">
        <v>21.44</v>
      </c>
      <c r="H170" s="20">
        <f t="shared" si="6"/>
        <v>28.364625000000004</v>
      </c>
      <c r="I170" s="5"/>
      <c r="J170" s="19">
        <v>305.16399999999999</v>
      </c>
      <c r="K170" s="20">
        <v>26.611000000000001</v>
      </c>
      <c r="L170" s="20">
        <v>35.055999999999997</v>
      </c>
      <c r="M170" s="20">
        <v>35.767000000000003</v>
      </c>
      <c r="N170" s="20">
        <v>122.3391</v>
      </c>
      <c r="O170" s="20">
        <f t="shared" si="7"/>
        <v>28.811124999999997</v>
      </c>
      <c r="P170" s="7"/>
      <c r="Q170" s="13"/>
      <c r="R170" s="14"/>
      <c r="S170" s="14"/>
      <c r="T170" s="27"/>
      <c r="U170" s="28">
        <f t="shared" si="8"/>
        <v>4.7061147388059696</v>
      </c>
    </row>
    <row r="171" spans="1:21" x14ac:dyDescent="0.25">
      <c r="B171" s="6" t="s">
        <v>56</v>
      </c>
      <c r="C171" s="15">
        <v>1272.0654296875</v>
      </c>
      <c r="D171" s="16">
        <v>32.692999999999998</v>
      </c>
      <c r="E171" s="16">
        <v>37.213000000000001</v>
      </c>
      <c r="F171" s="16">
        <v>38.935000000000002</v>
      </c>
      <c r="G171" s="16">
        <v>18.73</v>
      </c>
      <c r="H171" s="16">
        <f t="shared" si="6"/>
        <v>34.038249999999998</v>
      </c>
      <c r="I171" s="5"/>
      <c r="J171" s="15">
        <v>1190.8</v>
      </c>
      <c r="K171" s="16">
        <v>32.995899999999999</v>
      </c>
      <c r="L171" s="16">
        <v>37.771799999999999</v>
      </c>
      <c r="M171" s="16">
        <v>39.369100000000003</v>
      </c>
      <c r="N171" s="16">
        <v>55.576099999999997</v>
      </c>
      <c r="O171" s="16">
        <f t="shared" si="7"/>
        <v>34.389537499999996</v>
      </c>
      <c r="P171" s="7"/>
      <c r="Q171" s="8">
        <f>bdrate(C171:C174,D171:D174,J171:J174,K171:K174)</f>
        <v>-0.15480090008718295</v>
      </c>
      <c r="R171" s="8">
        <f>bdrate(C171:C174,E171:E174,J171:J174,L171:L174)</f>
        <v>-0.38255691910710399</v>
      </c>
      <c r="S171" s="8">
        <f>bdrate(C171:C174,F171:F174,J171:J174,M171:M174)</f>
        <v>-0.36968728755050395</v>
      </c>
      <c r="T171" s="25">
        <f>bdrate(C171:C174,H171:H174,J171:J174,O171:O174)</f>
        <v>-0.20327590261296202</v>
      </c>
      <c r="U171" s="28">
        <f t="shared" si="8"/>
        <v>1.9672237052856376</v>
      </c>
    </row>
    <row r="172" spans="1:21" x14ac:dyDescent="0.25">
      <c r="B172" s="9"/>
      <c r="C172" s="17">
        <v>919.0859375</v>
      </c>
      <c r="D172" s="18">
        <v>31.358000000000001</v>
      </c>
      <c r="E172" s="18">
        <v>36.292999999999999</v>
      </c>
      <c r="F172" s="18">
        <v>37.991999999999997</v>
      </c>
      <c r="G172" s="18">
        <v>20.010000000000002</v>
      </c>
      <c r="H172" s="18">
        <f t="shared" si="6"/>
        <v>32.804124999999999</v>
      </c>
      <c r="I172" s="5"/>
      <c r="J172" s="17">
        <v>792.78399999999999</v>
      </c>
      <c r="K172" s="18">
        <v>31.4724</v>
      </c>
      <c r="L172" s="18">
        <v>36.898699999999998</v>
      </c>
      <c r="M172" s="18">
        <v>38.523299999999999</v>
      </c>
      <c r="N172" s="18">
        <v>63.465200000000003</v>
      </c>
      <c r="O172" s="18">
        <f t="shared" si="7"/>
        <v>33.032049999999998</v>
      </c>
      <c r="P172" s="7"/>
      <c r="Q172" s="10"/>
      <c r="R172" s="11"/>
      <c r="S172" s="11"/>
      <c r="T172" s="26"/>
      <c r="U172" s="28">
        <f t="shared" si="8"/>
        <v>2.1716741629185408</v>
      </c>
    </row>
    <row r="173" spans="1:21" x14ac:dyDescent="0.25">
      <c r="B173" s="9"/>
      <c r="C173" s="17">
        <v>607.20703125</v>
      </c>
      <c r="D173" s="18">
        <v>29.888000000000002</v>
      </c>
      <c r="E173" s="18">
        <v>35.213000000000001</v>
      </c>
      <c r="F173" s="18">
        <v>36.845999999999997</v>
      </c>
      <c r="G173" s="18">
        <v>20.309999999999999</v>
      </c>
      <c r="H173" s="18">
        <f t="shared" si="6"/>
        <v>31.423375</v>
      </c>
      <c r="I173" s="5"/>
      <c r="J173" s="17">
        <v>496.42160000000001</v>
      </c>
      <c r="K173" s="18">
        <v>29.815799999999999</v>
      </c>
      <c r="L173" s="18">
        <v>35.985399999999998</v>
      </c>
      <c r="M173" s="18">
        <v>37.644500000000001</v>
      </c>
      <c r="N173" s="18">
        <v>73.964500000000001</v>
      </c>
      <c r="O173" s="18">
        <f t="shared" si="7"/>
        <v>31.565587499999999</v>
      </c>
      <c r="P173" s="7"/>
      <c r="Q173" s="10"/>
      <c r="R173" s="11"/>
      <c r="S173" s="11"/>
      <c r="T173" s="26"/>
      <c r="U173" s="28">
        <f t="shared" si="8"/>
        <v>2.6417774495322504</v>
      </c>
    </row>
    <row r="174" spans="1:21" ht="16.5" thickBot="1" x14ac:dyDescent="0.3">
      <c r="B174" s="12"/>
      <c r="C174" s="19">
        <v>362.2685546875</v>
      </c>
      <c r="D174" s="20">
        <v>28.411000000000001</v>
      </c>
      <c r="E174" s="20">
        <v>34.052</v>
      </c>
      <c r="F174" s="20">
        <v>35.630000000000003</v>
      </c>
      <c r="G174" s="20">
        <v>21.75</v>
      </c>
      <c r="H174" s="20">
        <f t="shared" si="6"/>
        <v>30.0185</v>
      </c>
      <c r="I174" s="5"/>
      <c r="J174" s="19">
        <v>296.66640000000001</v>
      </c>
      <c r="K174" s="20">
        <v>28.171500000000002</v>
      </c>
      <c r="L174" s="20">
        <v>35.116799999999998</v>
      </c>
      <c r="M174" s="20">
        <v>36.773299999999999</v>
      </c>
      <c r="N174" s="20">
        <v>89.847300000000004</v>
      </c>
      <c r="O174" s="20">
        <f t="shared" si="7"/>
        <v>30.114887500000002</v>
      </c>
      <c r="P174" s="7"/>
      <c r="Q174" s="13"/>
      <c r="R174" s="14"/>
      <c r="S174" s="14"/>
      <c r="T174" s="27"/>
      <c r="U174" s="28">
        <f t="shared" si="8"/>
        <v>3.1309103448275866</v>
      </c>
    </row>
    <row r="175" spans="1:21" x14ac:dyDescent="0.25">
      <c r="A175" s="6" t="s">
        <v>41</v>
      </c>
      <c r="B175" s="6" t="s">
        <v>57</v>
      </c>
      <c r="C175" s="15">
        <v>601.890625</v>
      </c>
      <c r="D175" s="16">
        <v>34.378</v>
      </c>
      <c r="E175" s="16">
        <v>40.383000000000003</v>
      </c>
      <c r="F175" s="16">
        <v>38.476999999999997</v>
      </c>
      <c r="G175" s="16">
        <v>52.02</v>
      </c>
      <c r="H175" s="16">
        <f t="shared" si="6"/>
        <v>35.640999999999998</v>
      </c>
      <c r="I175" s="5"/>
      <c r="J175" s="15">
        <v>601.71040000000005</v>
      </c>
      <c r="K175" s="16">
        <v>35.1768</v>
      </c>
      <c r="L175" s="16">
        <v>40.9011</v>
      </c>
      <c r="M175" s="16">
        <v>39.289499999999997</v>
      </c>
      <c r="N175" s="16">
        <v>209.46799999999999</v>
      </c>
      <c r="O175" s="16">
        <f t="shared" si="7"/>
        <v>36.406424999999999</v>
      </c>
      <c r="P175" s="7"/>
      <c r="Q175" s="8">
        <f>bdrate(C175:C178,D175:D178,J175:J178,K175:K178)</f>
        <v>-0.10834774546520554</v>
      </c>
      <c r="R175" s="8">
        <f>bdrate(C175:C178,E175:E178,J175:J178,L175:L178)</f>
        <v>-0.27603083848675369</v>
      </c>
      <c r="S175" s="8">
        <f>bdrate(C175:C178,F175:F178,J175:J178,M175:M178)</f>
        <v>-0.33678767766505069</v>
      </c>
      <c r="T175" s="25">
        <f>bdrate(C175:C178,H175:H178,J175:J178,O175:O178)</f>
        <v>-0.15388963025208469</v>
      </c>
      <c r="U175" s="28">
        <f t="shared" si="8"/>
        <v>3.0266820453671657</v>
      </c>
    </row>
    <row r="176" spans="1:21" x14ac:dyDescent="0.25">
      <c r="A176" s="9" t="s">
        <v>42</v>
      </c>
      <c r="B176" s="9"/>
      <c r="C176" s="17">
        <v>421.9658203125</v>
      </c>
      <c r="D176" s="18">
        <v>32.825000000000003</v>
      </c>
      <c r="E176" s="18">
        <v>39.195</v>
      </c>
      <c r="F176" s="18">
        <v>37.097999999999999</v>
      </c>
      <c r="G176" s="18">
        <v>57.28</v>
      </c>
      <c r="H176" s="18">
        <f t="shared" si="6"/>
        <v>34.155374999999999</v>
      </c>
      <c r="I176" s="5"/>
      <c r="J176" s="17">
        <v>400.9776</v>
      </c>
      <c r="K176" s="18">
        <v>33.2789</v>
      </c>
      <c r="L176" s="18">
        <v>39.737000000000002</v>
      </c>
      <c r="M176" s="18">
        <v>37.980600000000003</v>
      </c>
      <c r="N176" s="18">
        <v>240.9639</v>
      </c>
      <c r="O176" s="18">
        <f t="shared" si="7"/>
        <v>34.673875000000002</v>
      </c>
      <c r="P176" s="7"/>
      <c r="Q176" s="10"/>
      <c r="R176" s="11"/>
      <c r="S176" s="11"/>
      <c r="T176" s="26"/>
      <c r="U176" s="28">
        <f t="shared" si="8"/>
        <v>3.2067719972067037</v>
      </c>
    </row>
    <row r="177" spans="1:21" x14ac:dyDescent="0.25">
      <c r="B177" s="9"/>
      <c r="C177" s="17">
        <v>269.41796875</v>
      </c>
      <c r="D177" s="18">
        <v>31.100999999999999</v>
      </c>
      <c r="E177" s="18">
        <v>37.796999999999997</v>
      </c>
      <c r="F177" s="18">
        <v>35.573</v>
      </c>
      <c r="G177" s="18">
        <v>59.56</v>
      </c>
      <c r="H177" s="18">
        <f t="shared" si="6"/>
        <v>32.497</v>
      </c>
      <c r="I177" s="5"/>
      <c r="J177" s="17">
        <v>250.7192</v>
      </c>
      <c r="K177" s="18">
        <v>31.277000000000001</v>
      </c>
      <c r="L177" s="18">
        <v>38.565199999999997</v>
      </c>
      <c r="M177" s="18">
        <v>36.7209</v>
      </c>
      <c r="N177" s="18">
        <v>283.60750000000002</v>
      </c>
      <c r="O177" s="18">
        <f t="shared" si="7"/>
        <v>32.868512500000001</v>
      </c>
      <c r="P177" s="7"/>
      <c r="Q177" s="10"/>
      <c r="R177" s="11"/>
      <c r="S177" s="11"/>
      <c r="T177" s="26"/>
      <c r="U177" s="28">
        <f t="shared" si="8"/>
        <v>3.7617108797850909</v>
      </c>
    </row>
    <row r="178" spans="1:21" ht="16.5" thickBot="1" x14ac:dyDescent="0.3">
      <c r="B178" s="12"/>
      <c r="C178" s="19">
        <v>134.1923828125</v>
      </c>
      <c r="D178" s="20">
        <v>28.722999999999999</v>
      </c>
      <c r="E178" s="20">
        <v>35.731999999999999</v>
      </c>
      <c r="F178" s="20">
        <v>33.323999999999998</v>
      </c>
      <c r="G178" s="20">
        <v>67.58</v>
      </c>
      <c r="H178" s="20">
        <f t="shared" si="6"/>
        <v>30.174250000000001</v>
      </c>
      <c r="I178" s="5"/>
      <c r="J178" s="19">
        <v>120.3432</v>
      </c>
      <c r="K178" s="20">
        <v>28.348199999999999</v>
      </c>
      <c r="L178" s="20">
        <v>36.933999999999997</v>
      </c>
      <c r="M178" s="20">
        <v>34.747399999999999</v>
      </c>
      <c r="N178" s="20">
        <v>368.45979999999997</v>
      </c>
      <c r="O178" s="20">
        <f t="shared" si="7"/>
        <v>30.221325</v>
      </c>
      <c r="P178" s="7"/>
      <c r="Q178" s="13"/>
      <c r="R178" s="14"/>
      <c r="S178" s="14"/>
      <c r="T178" s="27"/>
      <c r="U178" s="28">
        <f t="shared" si="8"/>
        <v>4.4522018348623851</v>
      </c>
    </row>
    <row r="179" spans="1:21" x14ac:dyDescent="0.25">
      <c r="B179" s="6" t="s">
        <v>58</v>
      </c>
      <c r="C179" s="15">
        <v>691.6796875</v>
      </c>
      <c r="D179" s="16">
        <v>34.133000000000003</v>
      </c>
      <c r="E179" s="16">
        <v>41.731000000000002</v>
      </c>
      <c r="F179" s="16">
        <v>42.643000000000001</v>
      </c>
      <c r="G179" s="16">
        <v>31.9</v>
      </c>
      <c r="H179" s="16">
        <f t="shared" si="6"/>
        <v>36.146500000000003</v>
      </c>
      <c r="I179" s="5"/>
      <c r="J179" s="15">
        <v>597.61360000000002</v>
      </c>
      <c r="K179" s="16">
        <v>34.133200000000002</v>
      </c>
      <c r="L179" s="16">
        <v>42.073599999999999</v>
      </c>
      <c r="M179" s="16">
        <v>43.0398</v>
      </c>
      <c r="N179" s="16">
        <v>244.99799999999999</v>
      </c>
      <c r="O179" s="16">
        <f t="shared" si="7"/>
        <v>36.239075</v>
      </c>
      <c r="P179" s="7"/>
      <c r="Q179" s="8">
        <f>bdrate(C179:C182,D179:D182,J179:J182,K179:K182)</f>
        <v>-0.18943091487937613</v>
      </c>
      <c r="R179" s="8">
        <f>bdrate(C179:C182,E179:E182,J179:J182,L179:L182)</f>
        <v>-0.29121007768169949</v>
      </c>
      <c r="S179" s="8">
        <f>bdrate(C179:C182,F179:F182,J179:J182,M179:M182)</f>
        <v>-0.30466741468508773</v>
      </c>
      <c r="T179" s="25">
        <f>bdrate(C179:C182,H179:H182,J179:J182,O179:O182)</f>
        <v>-0.21074130470994656</v>
      </c>
      <c r="U179" s="28">
        <f t="shared" si="8"/>
        <v>6.6801880877742947</v>
      </c>
    </row>
    <row r="180" spans="1:21" x14ac:dyDescent="0.25">
      <c r="B180" s="9"/>
      <c r="C180" s="17">
        <v>512.91015625</v>
      </c>
      <c r="D180" s="18">
        <v>33.082999999999998</v>
      </c>
      <c r="E180" s="18">
        <v>41.095999999999997</v>
      </c>
      <c r="F180" s="18">
        <v>41.960999999999999</v>
      </c>
      <c r="G180" s="18">
        <v>37.75</v>
      </c>
      <c r="H180" s="18">
        <f t="shared" si="6"/>
        <v>35.194375000000001</v>
      </c>
      <c r="I180" s="5"/>
      <c r="J180" s="17">
        <v>397.21199999999999</v>
      </c>
      <c r="K180" s="18">
        <v>32.797199999999997</v>
      </c>
      <c r="L180" s="18">
        <v>41.141599999999997</v>
      </c>
      <c r="M180" s="18">
        <v>42.005400000000002</v>
      </c>
      <c r="N180" s="18">
        <v>300.60120000000001</v>
      </c>
      <c r="O180" s="18">
        <f t="shared" si="7"/>
        <v>34.991274999999995</v>
      </c>
      <c r="P180" s="7"/>
      <c r="Q180" s="10"/>
      <c r="R180" s="11"/>
      <c r="S180" s="11"/>
      <c r="T180" s="26"/>
      <c r="U180" s="28">
        <f t="shared" si="8"/>
        <v>6.9629456953642386</v>
      </c>
    </row>
    <row r="181" spans="1:21" x14ac:dyDescent="0.25">
      <c r="B181" s="9"/>
      <c r="C181" s="17">
        <v>333.224609375</v>
      </c>
      <c r="D181" s="18">
        <v>31.515999999999998</v>
      </c>
      <c r="E181" s="18">
        <v>40.052</v>
      </c>
      <c r="F181" s="18">
        <v>40.831000000000003</v>
      </c>
      <c r="G181" s="18">
        <v>43.53</v>
      </c>
      <c r="H181" s="18">
        <f t="shared" si="6"/>
        <v>33.747374999999998</v>
      </c>
      <c r="I181" s="5"/>
      <c r="J181" s="17">
        <v>248.4144</v>
      </c>
      <c r="K181" s="18">
        <v>31.261700000000001</v>
      </c>
      <c r="L181" s="18">
        <v>40.136099999999999</v>
      </c>
      <c r="M181" s="18">
        <v>40.9985</v>
      </c>
      <c r="N181" s="18">
        <v>359.49669999999998</v>
      </c>
      <c r="O181" s="18">
        <f t="shared" si="7"/>
        <v>33.588099999999997</v>
      </c>
      <c r="P181" s="7"/>
      <c r="Q181" s="10"/>
      <c r="R181" s="11"/>
      <c r="S181" s="11"/>
      <c r="T181" s="26"/>
      <c r="U181" s="28">
        <f t="shared" si="8"/>
        <v>7.2585963703193181</v>
      </c>
    </row>
    <row r="182" spans="1:21" ht="16.5" thickBot="1" x14ac:dyDescent="0.3">
      <c r="B182" s="12"/>
      <c r="C182" s="19">
        <v>150.447265625</v>
      </c>
      <c r="D182" s="20">
        <v>28.661000000000001</v>
      </c>
      <c r="E182" s="20">
        <v>38.307000000000002</v>
      </c>
      <c r="F182" s="20">
        <v>38.927999999999997</v>
      </c>
      <c r="G182" s="20">
        <v>52.54</v>
      </c>
      <c r="H182" s="20">
        <f t="shared" si="6"/>
        <v>31.150125000000003</v>
      </c>
      <c r="I182" s="5"/>
      <c r="J182" s="19">
        <v>118.76560000000001</v>
      </c>
      <c r="K182" s="20">
        <v>28.7119</v>
      </c>
      <c r="L182" s="20">
        <v>38.924199999999999</v>
      </c>
      <c r="M182" s="20">
        <v>39.628</v>
      </c>
      <c r="N182" s="20">
        <v>493.01560000000001</v>
      </c>
      <c r="O182" s="20">
        <f t="shared" si="7"/>
        <v>31.35295</v>
      </c>
      <c r="P182" s="7"/>
      <c r="Q182" s="13"/>
      <c r="R182" s="14"/>
      <c r="S182" s="14"/>
      <c r="T182" s="27"/>
      <c r="U182" s="28">
        <f t="shared" si="8"/>
        <v>8.3836239055957371</v>
      </c>
    </row>
    <row r="183" spans="1:21" x14ac:dyDescent="0.25">
      <c r="B183" s="6" t="s">
        <v>59</v>
      </c>
      <c r="C183" s="29">
        <v>674.08984375</v>
      </c>
      <c r="D183" s="30">
        <v>33.463999999999999</v>
      </c>
      <c r="E183" s="30">
        <v>38.640999999999998</v>
      </c>
      <c r="F183" s="30">
        <v>39.521000000000001</v>
      </c>
      <c r="G183" s="16">
        <v>36.729999999999997</v>
      </c>
      <c r="H183" s="16">
        <f t="shared" si="6"/>
        <v>34.868249999999996</v>
      </c>
      <c r="I183" s="5"/>
      <c r="J183" s="29">
        <v>595.93600000000004</v>
      </c>
      <c r="K183" s="30">
        <v>33.4512</v>
      </c>
      <c r="L183" s="30">
        <v>38.905900000000003</v>
      </c>
      <c r="M183" s="30">
        <v>39.772100000000002</v>
      </c>
      <c r="N183" s="16">
        <v>233.97290000000001</v>
      </c>
      <c r="O183" s="16">
        <f t="shared" si="7"/>
        <v>34.92315</v>
      </c>
      <c r="P183" s="7"/>
      <c r="Q183" s="8">
        <f>bdrate(C183:C186,D183:D186,J183:J186,K183:K186)</f>
        <v>-0.16049382763223841</v>
      </c>
      <c r="R183" s="8">
        <f>bdrate(C183:C186,E183:E186,J183:J186,L183:L186)</f>
        <v>-0.34807724977043242</v>
      </c>
      <c r="S183" s="8">
        <f>bdrate(C183:C186,F183:F186,J183:J186,M183:M186)</f>
        <v>-0.33342673419874991</v>
      </c>
      <c r="T183" s="25">
        <f>bdrate(C183:C186,H183:H186,J183:J186,O183:O186)</f>
        <v>-0.20283182034284841</v>
      </c>
      <c r="U183" s="28">
        <f t="shared" si="8"/>
        <v>5.3700762319629742</v>
      </c>
    </row>
    <row r="184" spans="1:21" x14ac:dyDescent="0.25">
      <c r="B184" s="9"/>
      <c r="C184" s="31">
        <v>474.5322265625</v>
      </c>
      <c r="D184" s="32">
        <v>31.98</v>
      </c>
      <c r="E184" s="32">
        <v>37.417999999999999</v>
      </c>
      <c r="F184" s="32">
        <v>38.259</v>
      </c>
      <c r="G184" s="18">
        <v>41.86</v>
      </c>
      <c r="H184" s="18">
        <f t="shared" si="6"/>
        <v>33.444625000000002</v>
      </c>
      <c r="I184" s="5"/>
      <c r="J184" s="31">
        <v>395.93360000000001</v>
      </c>
      <c r="K184" s="32">
        <v>31.919</v>
      </c>
      <c r="L184" s="32">
        <v>37.852499999999999</v>
      </c>
      <c r="M184" s="32">
        <v>38.649799999999999</v>
      </c>
      <c r="N184" s="18">
        <v>269.25150000000002</v>
      </c>
      <c r="O184" s="18">
        <f t="shared" si="7"/>
        <v>33.5020375</v>
      </c>
      <c r="P184" s="7"/>
      <c r="Q184" s="10"/>
      <c r="R184" s="11"/>
      <c r="S184" s="11"/>
      <c r="T184" s="26"/>
      <c r="U184" s="28">
        <f t="shared" si="8"/>
        <v>5.432190635451505</v>
      </c>
    </row>
    <row r="185" spans="1:21" x14ac:dyDescent="0.25">
      <c r="B185" s="9"/>
      <c r="C185" s="31">
        <v>307.22265625</v>
      </c>
      <c r="D185" s="32">
        <v>30.337</v>
      </c>
      <c r="E185" s="32">
        <v>36.076000000000001</v>
      </c>
      <c r="F185" s="32">
        <v>36.914000000000001</v>
      </c>
      <c r="G185" s="18">
        <v>44.54</v>
      </c>
      <c r="H185" s="18">
        <f t="shared" si="6"/>
        <v>31.8765</v>
      </c>
      <c r="I185" s="5"/>
      <c r="J185" s="31">
        <v>248.48240000000001</v>
      </c>
      <c r="K185" s="32">
        <v>30.2729</v>
      </c>
      <c r="L185" s="32">
        <v>36.778399999999998</v>
      </c>
      <c r="M185" s="32">
        <v>37.561100000000003</v>
      </c>
      <c r="N185" s="18">
        <v>327.0111</v>
      </c>
      <c r="O185" s="18">
        <f t="shared" si="7"/>
        <v>31.997112500000004</v>
      </c>
      <c r="P185" s="7"/>
      <c r="Q185" s="10"/>
      <c r="R185" s="11"/>
      <c r="S185" s="11"/>
      <c r="T185" s="26"/>
      <c r="U185" s="28">
        <f t="shared" si="8"/>
        <v>6.341964526268522</v>
      </c>
    </row>
    <row r="186" spans="1:21" ht="16.5" thickBot="1" x14ac:dyDescent="0.3">
      <c r="B186" s="12"/>
      <c r="C186" s="33">
        <v>147.56640625</v>
      </c>
      <c r="D186" s="34">
        <v>27.963999999999999</v>
      </c>
      <c r="E186" s="34">
        <v>34.213000000000001</v>
      </c>
      <c r="F186" s="34">
        <v>34.957000000000001</v>
      </c>
      <c r="G186" s="20">
        <v>49.42</v>
      </c>
      <c r="H186" s="20">
        <f t="shared" si="6"/>
        <v>29.619249999999997</v>
      </c>
      <c r="I186" s="5"/>
      <c r="J186" s="33">
        <v>119.44799999999999</v>
      </c>
      <c r="K186" s="34">
        <v>27.844000000000001</v>
      </c>
      <c r="L186" s="34">
        <v>35.276800000000001</v>
      </c>
      <c r="M186" s="34">
        <v>36.0017</v>
      </c>
      <c r="N186" s="20">
        <v>433.2756</v>
      </c>
      <c r="O186" s="20">
        <f t="shared" si="7"/>
        <v>29.792812500000004</v>
      </c>
      <c r="P186" s="7"/>
      <c r="Q186" s="13"/>
      <c r="R186" s="14"/>
      <c r="S186" s="14"/>
      <c r="T186" s="27"/>
      <c r="U186" s="28">
        <f t="shared" si="8"/>
        <v>7.767211655200323</v>
      </c>
    </row>
    <row r="187" spans="1:21" x14ac:dyDescent="0.25">
      <c r="B187" s="6" t="s">
        <v>60</v>
      </c>
      <c r="C187" s="15">
        <v>623.43359375</v>
      </c>
      <c r="D187" s="16">
        <v>34.232999999999997</v>
      </c>
      <c r="E187" s="16">
        <v>38.509</v>
      </c>
      <c r="F187" s="16">
        <v>39.704000000000001</v>
      </c>
      <c r="G187" s="16">
        <v>39.590000000000003</v>
      </c>
      <c r="H187" s="16">
        <f t="shared" si="6"/>
        <v>35.451374999999999</v>
      </c>
      <c r="I187" s="5"/>
      <c r="J187" s="15">
        <v>588.24239999999998</v>
      </c>
      <c r="K187" s="16">
        <v>34.526800000000001</v>
      </c>
      <c r="L187" s="16">
        <v>38.69</v>
      </c>
      <c r="M187" s="16">
        <v>39.835099999999997</v>
      </c>
      <c r="N187" s="16">
        <v>142.45009999999999</v>
      </c>
      <c r="O187" s="16">
        <f t="shared" si="7"/>
        <v>35.7107375</v>
      </c>
      <c r="P187" s="7"/>
      <c r="Q187" s="8">
        <f>bdrate(C187:C190,D187:D190,J187:J190,K187:K190)</f>
        <v>-0.13042014475012731</v>
      </c>
      <c r="R187" s="8">
        <f>bdrate(C187:C190,E187:E190,J187:J190,L187:L190)</f>
        <v>-0.268162965371461</v>
      </c>
      <c r="S187" s="8">
        <f>bdrate(C187:C190,F187:F190,J187:J190,M187:M190)</f>
        <v>-0.25700335599072932</v>
      </c>
      <c r="T187" s="25">
        <f>bdrate(C187:C190,H187:H190,J187:J190,O187:O190)</f>
        <v>-0.16284717331409682</v>
      </c>
      <c r="U187" s="28">
        <f t="shared" si="8"/>
        <v>2.5981333670118714</v>
      </c>
    </row>
    <row r="188" spans="1:21" x14ac:dyDescent="0.25">
      <c r="B188" s="9"/>
      <c r="C188" s="17">
        <v>443.7021484375</v>
      </c>
      <c r="D188" s="18">
        <v>32.642000000000003</v>
      </c>
      <c r="E188" s="18">
        <v>37.265000000000001</v>
      </c>
      <c r="F188" s="18">
        <v>38.493000000000002</v>
      </c>
      <c r="G188" s="18">
        <v>45.5</v>
      </c>
      <c r="H188" s="18">
        <f t="shared" si="6"/>
        <v>33.951250000000002</v>
      </c>
      <c r="I188" s="5"/>
      <c r="J188" s="17">
        <v>390.63839999999999</v>
      </c>
      <c r="K188" s="18">
        <v>32.5717</v>
      </c>
      <c r="L188" s="18">
        <v>37.523299999999999</v>
      </c>
      <c r="M188" s="18">
        <v>38.689799999999998</v>
      </c>
      <c r="N188" s="18">
        <v>168.63409999999999</v>
      </c>
      <c r="O188" s="18">
        <f t="shared" si="7"/>
        <v>33.955412500000001</v>
      </c>
      <c r="P188" s="7"/>
      <c r="Q188" s="10"/>
      <c r="R188" s="11"/>
      <c r="S188" s="11"/>
      <c r="T188" s="26"/>
      <c r="U188" s="28">
        <f t="shared" si="8"/>
        <v>2.7062439560439557</v>
      </c>
    </row>
    <row r="189" spans="1:21" x14ac:dyDescent="0.25">
      <c r="B189" s="9"/>
      <c r="C189" s="17">
        <v>303.90625</v>
      </c>
      <c r="D189" s="18">
        <v>30.951000000000001</v>
      </c>
      <c r="E189" s="18">
        <v>35.950000000000003</v>
      </c>
      <c r="F189" s="18">
        <v>37.149000000000001</v>
      </c>
      <c r="G189" s="18">
        <v>48.98</v>
      </c>
      <c r="H189" s="18">
        <f t="shared" si="6"/>
        <v>32.350625000000001</v>
      </c>
      <c r="I189" s="5"/>
      <c r="J189" s="17">
        <v>245.31200000000001</v>
      </c>
      <c r="K189" s="18">
        <v>30.718499999999999</v>
      </c>
      <c r="L189" s="18">
        <v>36.339700000000001</v>
      </c>
      <c r="M189" s="18">
        <v>37.498800000000003</v>
      </c>
      <c r="N189" s="18">
        <v>202.42910000000001</v>
      </c>
      <c r="O189" s="18">
        <f t="shared" si="7"/>
        <v>32.268687499999999</v>
      </c>
      <c r="P189" s="7"/>
      <c r="Q189" s="10"/>
      <c r="R189" s="11"/>
      <c r="S189" s="11"/>
      <c r="T189" s="26"/>
      <c r="U189" s="28">
        <f t="shared" si="8"/>
        <v>3.1328930175581875</v>
      </c>
    </row>
    <row r="190" spans="1:21" ht="16.5" thickBot="1" x14ac:dyDescent="0.3">
      <c r="B190" s="12"/>
      <c r="C190" s="19">
        <v>155.1142578125</v>
      </c>
      <c r="D190" s="20">
        <v>28.454999999999998</v>
      </c>
      <c r="E190" s="20">
        <v>33.875999999999998</v>
      </c>
      <c r="F190" s="20">
        <v>35.011000000000003</v>
      </c>
      <c r="G190" s="20">
        <v>52.39</v>
      </c>
      <c r="H190" s="20">
        <f t="shared" si="6"/>
        <v>29.952124999999999</v>
      </c>
      <c r="I190" s="5"/>
      <c r="J190" s="19">
        <v>117.66</v>
      </c>
      <c r="K190" s="20">
        <v>28.078499999999998</v>
      </c>
      <c r="L190" s="20">
        <v>34.860900000000001</v>
      </c>
      <c r="M190" s="20">
        <v>35.96</v>
      </c>
      <c r="N190" s="20">
        <v>267.14159999999998</v>
      </c>
      <c r="O190" s="20">
        <f t="shared" si="7"/>
        <v>29.911487500000003</v>
      </c>
      <c r="P190" s="7"/>
      <c r="Q190" s="13"/>
      <c r="R190" s="14"/>
      <c r="S190" s="14"/>
      <c r="T190" s="27"/>
      <c r="U190" s="28">
        <f t="shared" si="8"/>
        <v>4.099095247184577</v>
      </c>
    </row>
    <row r="191" spans="1:21" x14ac:dyDescent="0.25">
      <c r="A191" s="6" t="s">
        <v>43</v>
      </c>
      <c r="B191" s="6" t="s">
        <v>61</v>
      </c>
      <c r="C191" s="15">
        <v>1541.23828125</v>
      </c>
      <c r="D191" s="16">
        <v>41.671999999999997</v>
      </c>
      <c r="E191" s="16">
        <v>46.064999999999998</v>
      </c>
      <c r="F191" s="16">
        <v>47.384999999999998</v>
      </c>
      <c r="G191" s="16">
        <v>17.18</v>
      </c>
      <c r="H191" s="16">
        <f t="shared" si="6"/>
        <v>42.935249999999996</v>
      </c>
      <c r="I191" s="5"/>
      <c r="J191" s="15">
        <v>1500.9344000000001</v>
      </c>
      <c r="K191" s="16">
        <v>41.893000000000001</v>
      </c>
      <c r="L191" s="16">
        <v>46.505000000000003</v>
      </c>
      <c r="M191" s="16">
        <v>47.790100000000002</v>
      </c>
      <c r="N191" s="16">
        <v>58.519500000000001</v>
      </c>
      <c r="O191" s="16">
        <f t="shared" si="7"/>
        <v>43.206637499999999</v>
      </c>
      <c r="P191" s="7"/>
      <c r="Q191" s="8">
        <f>bdrate(C191:C194,D191:D194,J191:J194,K191:K194)</f>
        <v>-0.16754197874295151</v>
      </c>
      <c r="R191" s="8">
        <f>bdrate(C191:C194,E191:E194,J191:J194,L191:L194)</f>
        <v>-0.25133793623074563</v>
      </c>
      <c r="S191" s="8">
        <f>bdrate(C191:C194,F191:F194,J191:J194,M191:M194)</f>
        <v>-0.22950284950253852</v>
      </c>
      <c r="T191" s="25">
        <f>bdrate(C191:C194,H191:H194,J191:J194,O191:O194)</f>
        <v>-0.18325653239315554</v>
      </c>
      <c r="U191" s="28">
        <f t="shared" si="8"/>
        <v>2.4062572759022118</v>
      </c>
    </row>
    <row r="192" spans="1:21" x14ac:dyDescent="0.25">
      <c r="A192" s="9" t="s">
        <v>44</v>
      </c>
      <c r="B192" s="9"/>
      <c r="C192" s="17">
        <v>1050.861328125</v>
      </c>
      <c r="D192" s="18">
        <v>40.540999999999997</v>
      </c>
      <c r="E192" s="18">
        <v>45.186999999999998</v>
      </c>
      <c r="F192" s="18">
        <v>46.463000000000001</v>
      </c>
      <c r="G192" s="18">
        <v>19.25</v>
      </c>
      <c r="H192" s="18">
        <f t="shared" si="6"/>
        <v>41.862000000000002</v>
      </c>
      <c r="I192" s="5"/>
      <c r="J192" s="17">
        <v>995.35919999999999</v>
      </c>
      <c r="K192" s="18">
        <v>40.898899999999998</v>
      </c>
      <c r="L192" s="18">
        <v>45.712200000000003</v>
      </c>
      <c r="M192" s="18">
        <v>46.932499999999997</v>
      </c>
      <c r="N192" s="18">
        <v>71.352099999999993</v>
      </c>
      <c r="O192" s="18">
        <f t="shared" si="7"/>
        <v>42.254762499999998</v>
      </c>
      <c r="P192" s="7"/>
      <c r="Q192" s="10"/>
      <c r="R192" s="11"/>
      <c r="S192" s="11"/>
      <c r="T192" s="26"/>
      <c r="U192" s="28">
        <f t="shared" si="8"/>
        <v>2.7066025974025969</v>
      </c>
    </row>
    <row r="193" spans="1:21" x14ac:dyDescent="0.25">
      <c r="B193" s="9"/>
      <c r="C193" s="17">
        <v>646.4296875</v>
      </c>
      <c r="D193" s="18">
        <v>38.738999999999997</v>
      </c>
      <c r="E193" s="18">
        <v>43.789000000000001</v>
      </c>
      <c r="F193" s="18">
        <v>45.023000000000003</v>
      </c>
      <c r="G193" s="18">
        <v>22.01</v>
      </c>
      <c r="H193" s="18">
        <f t="shared" si="6"/>
        <v>40.155749999999998</v>
      </c>
      <c r="I193" s="5"/>
      <c r="J193" s="17">
        <v>592.80240000000003</v>
      </c>
      <c r="K193" s="18">
        <v>39.127200000000002</v>
      </c>
      <c r="L193" s="18">
        <v>44.331899999999997</v>
      </c>
      <c r="M193" s="18">
        <v>45.475200000000001</v>
      </c>
      <c r="N193" s="18">
        <v>89.445400000000006</v>
      </c>
      <c r="O193" s="18">
        <f t="shared" si="7"/>
        <v>40.571287499999997</v>
      </c>
      <c r="P193" s="7"/>
      <c r="Q193" s="10"/>
      <c r="R193" s="11"/>
      <c r="S193" s="11"/>
      <c r="T193" s="26"/>
      <c r="U193" s="28">
        <f t="shared" si="8"/>
        <v>3.0638527941844615</v>
      </c>
    </row>
    <row r="194" spans="1:21" ht="16.5" thickBot="1" x14ac:dyDescent="0.3">
      <c r="B194" s="12"/>
      <c r="C194" s="19">
        <v>328.525390625</v>
      </c>
      <c r="D194" s="20">
        <v>35.567999999999998</v>
      </c>
      <c r="E194" s="20">
        <v>41.365000000000002</v>
      </c>
      <c r="F194" s="20">
        <v>42.470999999999997</v>
      </c>
      <c r="G194" s="20">
        <v>25.14</v>
      </c>
      <c r="H194" s="20">
        <f t="shared" si="6"/>
        <v>37.155499999999996</v>
      </c>
      <c r="I194" s="5"/>
      <c r="J194" s="19">
        <v>290.90320000000003</v>
      </c>
      <c r="K194" s="20">
        <v>35.993699999999997</v>
      </c>
      <c r="L194" s="20">
        <v>42.328299999999999</v>
      </c>
      <c r="M194" s="20">
        <v>43.505899999999997</v>
      </c>
      <c r="N194" s="20">
        <v>119.8083</v>
      </c>
      <c r="O194" s="20">
        <f t="shared" si="7"/>
        <v>37.724550000000001</v>
      </c>
      <c r="P194" s="7"/>
      <c r="Q194" s="13"/>
      <c r="R194" s="14"/>
      <c r="S194" s="14"/>
      <c r="T194" s="27"/>
      <c r="U194" s="28">
        <f t="shared" si="8"/>
        <v>3.7656443914081144</v>
      </c>
    </row>
    <row r="195" spans="1:21" x14ac:dyDescent="0.25">
      <c r="B195" s="6" t="s">
        <v>62</v>
      </c>
      <c r="C195" s="15">
        <v>1579.9453125</v>
      </c>
      <c r="D195" s="16">
        <v>43.01</v>
      </c>
      <c r="E195" s="16">
        <v>48.314999999999998</v>
      </c>
      <c r="F195" s="16">
        <v>48.953000000000003</v>
      </c>
      <c r="G195" s="16">
        <v>12.86</v>
      </c>
      <c r="H195" s="16">
        <f t="shared" si="6"/>
        <v>44.415999999999997</v>
      </c>
      <c r="I195" s="5"/>
      <c r="J195" s="15">
        <v>1503.8072</v>
      </c>
      <c r="K195" s="16">
        <v>42.911499999999997</v>
      </c>
      <c r="L195" s="16">
        <v>48.325899999999997</v>
      </c>
      <c r="M195" s="16">
        <v>49.055500000000002</v>
      </c>
      <c r="N195" s="16">
        <v>65.638300000000001</v>
      </c>
      <c r="O195" s="16">
        <f t="shared" si="7"/>
        <v>44.356299999999997</v>
      </c>
      <c r="P195" s="7"/>
      <c r="Q195" s="8">
        <f>bdrate(C195:C198,D195:D198,J195:J198,K195:K198)</f>
        <v>-0.10331387108715584</v>
      </c>
      <c r="R195" s="8">
        <f>bdrate(C195:C198,E195:E198,J195:J198,L195:L198)</f>
        <v>-0.14439609063781045</v>
      </c>
      <c r="S195" s="8">
        <f>bdrate(C195:C198,F195:F198,J195:J198,M195:M198)</f>
        <v>-0.1743906667881957</v>
      </c>
      <c r="T195" s="25">
        <f>bdrate(C195:C198,H195:H198,J195:J198,O195:O198)</f>
        <v>-0.11658800643250011</v>
      </c>
      <c r="U195" s="28">
        <f t="shared" ref="U195:U246" si="9">(N195-G195)/G195</f>
        <v>4.1040668740279944</v>
      </c>
    </row>
    <row r="196" spans="1:21" x14ac:dyDescent="0.25">
      <c r="B196" s="9"/>
      <c r="C196" s="17">
        <v>1132.4267578125</v>
      </c>
      <c r="D196" s="18">
        <v>42.63</v>
      </c>
      <c r="E196" s="18">
        <v>48.036000000000001</v>
      </c>
      <c r="F196" s="18">
        <v>48.673999999999999</v>
      </c>
      <c r="G196" s="18">
        <v>14.41</v>
      </c>
      <c r="H196" s="18">
        <f t="shared" si="6"/>
        <v>44.061250000000001</v>
      </c>
      <c r="I196" s="5"/>
      <c r="J196" s="17">
        <v>997.6952</v>
      </c>
      <c r="K196" s="18">
        <v>42.476199999999999</v>
      </c>
      <c r="L196" s="18">
        <v>47.988</v>
      </c>
      <c r="M196" s="18">
        <v>48.668999999999997</v>
      </c>
      <c r="N196" s="18">
        <v>79.797799999999995</v>
      </c>
      <c r="O196" s="18">
        <f t="shared" si="7"/>
        <v>43.939274999999995</v>
      </c>
      <c r="P196" s="7"/>
      <c r="Q196" s="10"/>
      <c r="R196" s="11"/>
      <c r="S196" s="11"/>
      <c r="T196" s="26"/>
      <c r="U196" s="28">
        <f t="shared" si="9"/>
        <v>4.5376682859125603</v>
      </c>
    </row>
    <row r="197" spans="1:21" x14ac:dyDescent="0.25">
      <c r="B197" s="9"/>
      <c r="C197" s="17">
        <v>717.8134765625</v>
      </c>
      <c r="D197" s="18">
        <v>41.887</v>
      </c>
      <c r="E197" s="18">
        <v>47.335999999999999</v>
      </c>
      <c r="F197" s="18">
        <v>47.962000000000003</v>
      </c>
      <c r="G197" s="18">
        <v>16.79</v>
      </c>
      <c r="H197" s="18">
        <f t="shared" si="6"/>
        <v>43.327500000000001</v>
      </c>
      <c r="I197" s="5"/>
      <c r="J197" s="17">
        <v>573.7328</v>
      </c>
      <c r="K197" s="18">
        <v>41.686700000000002</v>
      </c>
      <c r="L197" s="18">
        <v>47.2166</v>
      </c>
      <c r="M197" s="18">
        <v>47.929299999999998</v>
      </c>
      <c r="N197" s="18">
        <v>100.6711</v>
      </c>
      <c r="O197" s="18">
        <f t="shared" si="7"/>
        <v>43.158262500000006</v>
      </c>
      <c r="P197" s="7"/>
      <c r="Q197" s="10"/>
      <c r="R197" s="11"/>
      <c r="S197" s="11"/>
      <c r="T197" s="26"/>
      <c r="U197" s="28">
        <f t="shared" si="9"/>
        <v>4.9958963668850513</v>
      </c>
    </row>
    <row r="198" spans="1:21" ht="16.5" thickBot="1" x14ac:dyDescent="0.3">
      <c r="B198" s="12"/>
      <c r="C198" s="19">
        <v>348.7841796875</v>
      </c>
      <c r="D198" s="20">
        <v>40.119999999999997</v>
      </c>
      <c r="E198" s="20">
        <v>45.610999999999997</v>
      </c>
      <c r="F198" s="20">
        <v>46.268999999999998</v>
      </c>
      <c r="G198" s="20">
        <v>20.7</v>
      </c>
      <c r="H198" s="20">
        <f t="shared" si="6"/>
        <v>41.574999999999996</v>
      </c>
      <c r="I198" s="5"/>
      <c r="J198" s="19">
        <v>274.1576</v>
      </c>
      <c r="K198" s="20">
        <v>39.909199999999998</v>
      </c>
      <c r="L198" s="20">
        <v>45.464100000000002</v>
      </c>
      <c r="M198" s="20">
        <v>46.025799999999997</v>
      </c>
      <c r="N198" s="20">
        <v>132.8904</v>
      </c>
      <c r="O198" s="20">
        <f t="shared" si="7"/>
        <v>41.368137500000003</v>
      </c>
      <c r="P198" s="7"/>
      <c r="Q198" s="13"/>
      <c r="R198" s="14"/>
      <c r="S198" s="14"/>
      <c r="T198" s="27"/>
      <c r="U198" s="28">
        <f t="shared" si="9"/>
        <v>5.4198260869565216</v>
      </c>
    </row>
    <row r="199" spans="1:21" x14ac:dyDescent="0.25">
      <c r="B199" s="6" t="s">
        <v>63</v>
      </c>
      <c r="C199" s="15">
        <v>1537.9658203125</v>
      </c>
      <c r="D199" s="16">
        <v>42.628</v>
      </c>
      <c r="E199" s="16">
        <v>47.156999999999996</v>
      </c>
      <c r="F199" s="16">
        <v>48.085000000000001</v>
      </c>
      <c r="G199" s="16">
        <v>16.04</v>
      </c>
      <c r="H199" s="16">
        <f t="shared" si="6"/>
        <v>43.876249999999999</v>
      </c>
      <c r="I199" s="5"/>
      <c r="J199" s="15">
        <v>1537.8032000000001</v>
      </c>
      <c r="K199" s="16">
        <v>42.845100000000002</v>
      </c>
      <c r="L199" s="16">
        <v>47.521099999999997</v>
      </c>
      <c r="M199" s="16">
        <v>48.446399999999997</v>
      </c>
      <c r="N199" s="16">
        <v>60.8581</v>
      </c>
      <c r="O199" s="16">
        <f t="shared" si="7"/>
        <v>44.129762499999998</v>
      </c>
      <c r="P199" s="7"/>
      <c r="Q199" s="8">
        <f>bdrate(C199:C202,D199:D202,J199:J202,K199:K202)</f>
        <v>-0.15860882293726719</v>
      </c>
      <c r="R199" s="8">
        <f>bdrate(C199:C202,E199:E202,J199:J202,L199:L202)</f>
        <v>-0.22874240542595625</v>
      </c>
      <c r="S199" s="8">
        <f>bdrate(C199:C202,F199:F202,J199:J202,M199:M202)</f>
        <v>-0.21136185616069336</v>
      </c>
      <c r="T199" s="25">
        <f>bdrate(C199:C202,H199:H202,J199:J202,O199:O202)</f>
        <v>-0.17287960357495968</v>
      </c>
      <c r="U199" s="28">
        <f t="shared" si="9"/>
        <v>2.7941458852867833</v>
      </c>
    </row>
    <row r="200" spans="1:21" x14ac:dyDescent="0.25">
      <c r="B200" s="9"/>
      <c r="C200" s="17">
        <v>1074.4462890625</v>
      </c>
      <c r="D200" s="18">
        <v>41.914999999999999</v>
      </c>
      <c r="E200" s="18">
        <v>46.591000000000001</v>
      </c>
      <c r="F200" s="18">
        <v>47.497999999999998</v>
      </c>
      <c r="G200" s="18">
        <v>17.87</v>
      </c>
      <c r="H200" s="18">
        <f t="shared" si="6"/>
        <v>43.197375000000001</v>
      </c>
      <c r="I200" s="5"/>
      <c r="J200" s="17">
        <v>1021.1824</v>
      </c>
      <c r="K200" s="18">
        <v>42.1248</v>
      </c>
      <c r="L200" s="18">
        <v>46.905700000000003</v>
      </c>
      <c r="M200" s="18">
        <v>47.781599999999997</v>
      </c>
      <c r="N200" s="18">
        <v>75.566800000000001</v>
      </c>
      <c r="O200" s="18">
        <f t="shared" si="7"/>
        <v>43.429512500000001</v>
      </c>
      <c r="P200" s="7"/>
      <c r="Q200" s="10"/>
      <c r="R200" s="11"/>
      <c r="S200" s="11"/>
      <c r="T200" s="26"/>
      <c r="U200" s="28">
        <f t="shared" si="9"/>
        <v>3.2286961387800779</v>
      </c>
    </row>
    <row r="201" spans="1:21" x14ac:dyDescent="0.25">
      <c r="B201" s="9"/>
      <c r="C201" s="17">
        <v>671.7880859375</v>
      </c>
      <c r="D201" s="18">
        <v>40.668999999999997</v>
      </c>
      <c r="E201" s="18">
        <v>45.444000000000003</v>
      </c>
      <c r="F201" s="18">
        <v>46.37</v>
      </c>
      <c r="G201" s="18">
        <v>20.34</v>
      </c>
      <c r="H201" s="18">
        <f t="shared" si="6"/>
        <v>41.978499999999997</v>
      </c>
      <c r="I201" s="5"/>
      <c r="J201" s="17">
        <v>602.55280000000005</v>
      </c>
      <c r="K201" s="18">
        <v>40.854700000000001</v>
      </c>
      <c r="L201" s="18">
        <v>45.785299999999999</v>
      </c>
      <c r="M201" s="18">
        <v>46.647500000000001</v>
      </c>
      <c r="N201" s="18">
        <v>95.663300000000007</v>
      </c>
      <c r="O201" s="18">
        <f t="shared" si="7"/>
        <v>42.195124999999997</v>
      </c>
      <c r="P201" s="7"/>
      <c r="Q201" s="10"/>
      <c r="R201" s="11"/>
      <c r="S201" s="11"/>
      <c r="T201" s="26"/>
      <c r="U201" s="28">
        <f t="shared" si="9"/>
        <v>3.7032104228121927</v>
      </c>
    </row>
    <row r="202" spans="1:21" ht="16.5" thickBot="1" x14ac:dyDescent="0.3">
      <c r="B202" s="12"/>
      <c r="C202" s="19">
        <v>332.7060546875</v>
      </c>
      <c r="D202" s="20">
        <v>38.131999999999998</v>
      </c>
      <c r="E202" s="20">
        <v>43.264000000000003</v>
      </c>
      <c r="F202" s="20">
        <v>44.186</v>
      </c>
      <c r="G202" s="20">
        <v>24.14</v>
      </c>
      <c r="H202" s="20">
        <f t="shared" si="6"/>
        <v>39.530249999999995</v>
      </c>
      <c r="I202" s="5"/>
      <c r="J202" s="19">
        <v>294.56639999999999</v>
      </c>
      <c r="K202" s="20">
        <v>38.435699999999997</v>
      </c>
      <c r="L202" s="20">
        <v>43.9985</v>
      </c>
      <c r="M202" s="20">
        <v>44.878300000000003</v>
      </c>
      <c r="N202" s="20">
        <v>127.7683</v>
      </c>
      <c r="O202" s="20">
        <f t="shared" si="7"/>
        <v>39.936374999999998</v>
      </c>
      <c r="P202" s="7"/>
      <c r="Q202" s="13"/>
      <c r="R202" s="14"/>
      <c r="S202" s="14"/>
      <c r="T202" s="27"/>
      <c r="U202" s="28">
        <f t="shared" si="9"/>
        <v>4.2928044739022369</v>
      </c>
    </row>
    <row r="203" spans="1:21" x14ac:dyDescent="0.25">
      <c r="A203" s="6" t="s">
        <v>102</v>
      </c>
      <c r="B203" s="6" t="s">
        <v>103</v>
      </c>
      <c r="C203" s="15">
        <v>1455.0009765625</v>
      </c>
      <c r="D203" s="16">
        <v>47.488</v>
      </c>
      <c r="E203" s="16">
        <v>52.884</v>
      </c>
      <c r="F203" s="16">
        <v>53.593000000000004</v>
      </c>
      <c r="G203" s="16">
        <v>18.809999999999999</v>
      </c>
      <c r="H203" s="16">
        <f t="shared" ref="H203:H246" si="10">(6*D203+E203+F203)/8</f>
        <v>48.925625000000004</v>
      </c>
      <c r="I203" s="5"/>
      <c r="J203" s="15">
        <v>1231.8549</v>
      </c>
      <c r="K203" s="16">
        <v>45.126600000000003</v>
      </c>
      <c r="L203" s="16">
        <v>51.3232</v>
      </c>
      <c r="M203" s="16">
        <v>51.901800000000001</v>
      </c>
      <c r="N203" s="16">
        <v>42.107199999999999</v>
      </c>
      <c r="O203" s="16">
        <f t="shared" ref="O203:O246" si="11">(6*K203+L203+M203)/8</f>
        <v>46.748075</v>
      </c>
      <c r="P203" s="7"/>
      <c r="Q203" s="8">
        <f>bdrate(C203:C206,D203:D206,J203:J206,K203:K206)</f>
        <v>0.1575396891655938</v>
      </c>
      <c r="R203" s="8">
        <f>bdrate(C203:C206,E203:E206,J203:J206,L203:L206)</f>
        <v>-4.9673205475610938E-2</v>
      </c>
      <c r="S203" s="8">
        <f>bdrate(C203:C206,F203:F206,J203:J206,M203:M206)</f>
        <v>-8.7084775881561938E-2</v>
      </c>
      <c r="T203" s="25">
        <f>bdrate(C203:C206,H203:H206,J203:J206,O203:O206)</f>
        <v>0.10742257860185256</v>
      </c>
      <c r="U203" s="28">
        <f t="shared" si="9"/>
        <v>1.238553960659224</v>
      </c>
    </row>
    <row r="204" spans="1:21" x14ac:dyDescent="0.25">
      <c r="A204" s="9" t="s">
        <v>78</v>
      </c>
      <c r="B204" s="9"/>
      <c r="C204" s="17">
        <v>1025.99609375</v>
      </c>
      <c r="D204" s="18">
        <v>45.706000000000003</v>
      </c>
      <c r="E204" s="18">
        <v>51.225999999999999</v>
      </c>
      <c r="F204" s="18">
        <v>51.838999999999999</v>
      </c>
      <c r="G204" s="18">
        <v>20.36</v>
      </c>
      <c r="H204" s="18">
        <f t="shared" si="10"/>
        <v>47.162624999999998</v>
      </c>
      <c r="I204" s="5"/>
      <c r="J204" s="17">
        <v>830.35320000000002</v>
      </c>
      <c r="K204" s="18">
        <v>43.430100000000003</v>
      </c>
      <c r="L204" s="18">
        <v>50.055399999999999</v>
      </c>
      <c r="M204" s="18">
        <v>50.724499999999999</v>
      </c>
      <c r="N204" s="18">
        <v>48.197899999999997</v>
      </c>
      <c r="O204" s="18">
        <f t="shared" si="11"/>
        <v>45.1700625</v>
      </c>
      <c r="P204" s="7"/>
      <c r="Q204" s="10"/>
      <c r="R204" s="11"/>
      <c r="S204" s="11"/>
      <c r="T204" s="26"/>
      <c r="U204" s="28">
        <f t="shared" si="9"/>
        <v>1.3672838899803537</v>
      </c>
    </row>
    <row r="205" spans="1:21" x14ac:dyDescent="0.25">
      <c r="B205" s="9"/>
      <c r="C205" s="17">
        <v>647.04296875</v>
      </c>
      <c r="D205" s="18">
        <v>43.29</v>
      </c>
      <c r="E205" s="18">
        <v>49.265000000000001</v>
      </c>
      <c r="F205" s="18">
        <v>49.872999999999998</v>
      </c>
      <c r="G205" s="18">
        <v>22.08</v>
      </c>
      <c r="H205" s="18">
        <f t="shared" si="10"/>
        <v>44.859749999999998</v>
      </c>
      <c r="I205" s="5"/>
      <c r="J205" s="17">
        <v>506.67630000000003</v>
      </c>
      <c r="K205" s="18">
        <v>40.855400000000003</v>
      </c>
      <c r="L205" s="18">
        <v>48.154800000000002</v>
      </c>
      <c r="M205" s="18">
        <v>49.096200000000003</v>
      </c>
      <c r="N205" s="18">
        <v>57.005299999999998</v>
      </c>
      <c r="O205" s="18">
        <f t="shared" si="11"/>
        <v>42.797925000000006</v>
      </c>
      <c r="P205" s="7"/>
      <c r="Q205" s="10"/>
      <c r="R205" s="11"/>
      <c r="S205" s="11"/>
      <c r="T205" s="26"/>
      <c r="U205" s="28">
        <f t="shared" si="9"/>
        <v>1.581761775362319</v>
      </c>
    </row>
    <row r="206" spans="1:21" ht="16.5" thickBot="1" x14ac:dyDescent="0.3">
      <c r="B206" s="12"/>
      <c r="C206" s="19">
        <v>372.5048828125</v>
      </c>
      <c r="D206" s="20">
        <v>38.887</v>
      </c>
      <c r="E206" s="20">
        <v>45.433</v>
      </c>
      <c r="F206" s="20">
        <v>46.482999999999997</v>
      </c>
      <c r="G206" s="20">
        <v>23.3</v>
      </c>
      <c r="H206" s="20">
        <f t="shared" si="10"/>
        <v>40.65475</v>
      </c>
      <c r="I206" s="5"/>
      <c r="J206" s="19">
        <v>257.43360000000001</v>
      </c>
      <c r="K206" s="20">
        <v>37.416800000000002</v>
      </c>
      <c r="L206" s="20">
        <v>45.239100000000001</v>
      </c>
      <c r="M206" s="20">
        <v>46.624699999999997</v>
      </c>
      <c r="N206" s="20">
        <v>74.104600000000005</v>
      </c>
      <c r="O206" s="20">
        <f t="shared" si="11"/>
        <v>39.545575000000007</v>
      </c>
      <c r="P206" s="7"/>
      <c r="Q206" s="13"/>
      <c r="R206" s="14"/>
      <c r="S206" s="14"/>
      <c r="T206" s="27"/>
      <c r="U206" s="28">
        <f t="shared" si="9"/>
        <v>2.180454935622318</v>
      </c>
    </row>
    <row r="207" spans="1:21" x14ac:dyDescent="0.25">
      <c r="B207" s="6" t="s">
        <v>104</v>
      </c>
      <c r="C207" s="15">
        <v>1933.6630859375</v>
      </c>
      <c r="D207" s="16">
        <v>54.844000000000001</v>
      </c>
      <c r="E207" s="16">
        <v>55.866</v>
      </c>
      <c r="F207" s="16">
        <v>56.189</v>
      </c>
      <c r="G207" s="16">
        <v>17.489999999999998</v>
      </c>
      <c r="H207" s="16">
        <f t="shared" si="10"/>
        <v>55.139875000000004</v>
      </c>
      <c r="I207" s="5"/>
      <c r="J207" s="15">
        <v>1430.1007</v>
      </c>
      <c r="K207" s="16">
        <v>53.299199999999999</v>
      </c>
      <c r="L207" s="16">
        <v>54.11</v>
      </c>
      <c r="M207" s="16">
        <v>54.691000000000003</v>
      </c>
      <c r="N207" s="16">
        <v>72.786100000000005</v>
      </c>
      <c r="O207" s="16">
        <f t="shared" si="11"/>
        <v>53.574525000000008</v>
      </c>
      <c r="P207" s="7"/>
      <c r="Q207" s="8">
        <f>bdrate(C207:C210,D207:D210,J207:J210,K207:K210)</f>
        <v>-0.20288515360470483</v>
      </c>
      <c r="R207" s="8">
        <f>bdrate(C207:C210,E207:E210,J207:J210,L207:L210)</f>
        <v>-0.23373287575454482</v>
      </c>
      <c r="S207" s="8">
        <f>bdrate(C207:C210,F207:F210,J207:J210,M207:M210)</f>
        <v>-0.24217019012845753</v>
      </c>
      <c r="T207" s="25">
        <f>bdrate(C207:C210,H207:H210,J207:J210,O207:O210)</f>
        <v>-0.2105956625506531</v>
      </c>
      <c r="U207" s="28">
        <f t="shared" si="9"/>
        <v>3.1615837621498009</v>
      </c>
    </row>
    <row r="208" spans="1:21" x14ac:dyDescent="0.25">
      <c r="B208" s="9"/>
      <c r="C208" s="17">
        <v>1364.7236328125</v>
      </c>
      <c r="D208" s="18">
        <v>52.359000000000002</v>
      </c>
      <c r="E208" s="18">
        <v>53.482999999999997</v>
      </c>
      <c r="F208" s="18">
        <v>53.871000000000002</v>
      </c>
      <c r="G208" s="18">
        <v>18.670000000000002</v>
      </c>
      <c r="H208" s="18">
        <f t="shared" si="10"/>
        <v>52.688499999999998</v>
      </c>
      <c r="I208" s="5"/>
      <c r="J208" s="17">
        <v>972.46720000000005</v>
      </c>
      <c r="K208" s="18">
        <v>51.258499999999998</v>
      </c>
      <c r="L208" s="18">
        <v>52.432499999999997</v>
      </c>
      <c r="M208" s="18">
        <v>52.991300000000003</v>
      </c>
      <c r="N208" s="18">
        <v>91.3566</v>
      </c>
      <c r="O208" s="18">
        <f t="shared" si="11"/>
        <v>51.621850000000002</v>
      </c>
      <c r="P208" s="7"/>
      <c r="Q208" s="10"/>
      <c r="R208" s="11"/>
      <c r="S208" s="11"/>
      <c r="T208" s="26"/>
      <c r="U208" s="28">
        <f t="shared" si="9"/>
        <v>3.8932297803963571</v>
      </c>
    </row>
    <row r="209" spans="2:21" x14ac:dyDescent="0.25">
      <c r="B209" s="9"/>
      <c r="C209" s="17">
        <v>871.150390625</v>
      </c>
      <c r="D209" s="18">
        <v>49.213000000000001</v>
      </c>
      <c r="E209" s="18">
        <v>50.55</v>
      </c>
      <c r="F209" s="18">
        <v>51.036000000000001</v>
      </c>
      <c r="G209" s="18">
        <v>19.95</v>
      </c>
      <c r="H209" s="18">
        <f t="shared" si="10"/>
        <v>49.608000000000004</v>
      </c>
      <c r="I209" s="5"/>
      <c r="J209" s="17">
        <v>602.63930000000005</v>
      </c>
      <c r="K209" s="18">
        <v>48.465299999999999</v>
      </c>
      <c r="L209" s="18">
        <v>50.078800000000001</v>
      </c>
      <c r="M209" s="18">
        <v>50.642000000000003</v>
      </c>
      <c r="N209" s="18">
        <v>115.9644</v>
      </c>
      <c r="O209" s="18">
        <f t="shared" si="11"/>
        <v>48.939074999999995</v>
      </c>
      <c r="P209" s="7"/>
      <c r="Q209" s="10"/>
      <c r="R209" s="11"/>
      <c r="S209" s="11"/>
      <c r="T209" s="26"/>
      <c r="U209" s="28">
        <f t="shared" si="9"/>
        <v>4.8127518796992481</v>
      </c>
    </row>
    <row r="210" spans="2:21" ht="16.5" thickBot="1" x14ac:dyDescent="0.3">
      <c r="B210" s="12"/>
      <c r="C210" s="19">
        <v>456.69140625</v>
      </c>
      <c r="D210" s="20">
        <v>44.856000000000002</v>
      </c>
      <c r="E210" s="20">
        <v>46.414999999999999</v>
      </c>
      <c r="F210" s="20">
        <v>46.985999999999997</v>
      </c>
      <c r="G210" s="20">
        <v>21.83</v>
      </c>
      <c r="H210" s="20">
        <f t="shared" si="10"/>
        <v>45.317125000000004</v>
      </c>
      <c r="I210" s="5"/>
      <c r="J210" s="19">
        <v>308.18439999999998</v>
      </c>
      <c r="K210" s="20">
        <v>44.090400000000002</v>
      </c>
      <c r="L210" s="20">
        <v>46.372199999999999</v>
      </c>
      <c r="M210" s="20">
        <v>46.907600000000002</v>
      </c>
      <c r="N210" s="20">
        <v>147.5531</v>
      </c>
      <c r="O210" s="20">
        <f t="shared" si="11"/>
        <v>44.727775000000008</v>
      </c>
      <c r="P210" s="7"/>
      <c r="Q210" s="13"/>
      <c r="R210" s="14"/>
      <c r="S210" s="14"/>
      <c r="T210" s="27"/>
      <c r="U210" s="28">
        <f t="shared" si="9"/>
        <v>5.7591891891891898</v>
      </c>
    </row>
    <row r="211" spans="2:21" x14ac:dyDescent="0.25">
      <c r="B211" s="6" t="s">
        <v>105</v>
      </c>
      <c r="C211" s="15">
        <v>1957.4775390625</v>
      </c>
      <c r="D211" s="16">
        <v>43.584000000000003</v>
      </c>
      <c r="E211" s="16">
        <v>46.112000000000002</v>
      </c>
      <c r="F211" s="16">
        <v>46.561</v>
      </c>
      <c r="G211" s="16">
        <v>16.5</v>
      </c>
      <c r="H211" s="16">
        <f t="shared" si="10"/>
        <v>44.272125000000003</v>
      </c>
      <c r="I211" s="5"/>
      <c r="J211" s="15">
        <v>1489.8068000000001</v>
      </c>
      <c r="K211" s="16">
        <v>44.106699999999996</v>
      </c>
      <c r="L211" s="16">
        <v>46.586599999999997</v>
      </c>
      <c r="M211" s="16">
        <v>47.005099999999999</v>
      </c>
      <c r="N211" s="16">
        <v>45.476399999999998</v>
      </c>
      <c r="O211" s="16">
        <f t="shared" si="11"/>
        <v>44.778987499999999</v>
      </c>
      <c r="P211" s="7"/>
      <c r="Q211" s="8">
        <f>bdrate(C211:C214,D211:D214,J211:J214,K211:K214)</f>
        <v>-0.29146881609389141</v>
      </c>
      <c r="R211" s="8">
        <f>bdrate(C211:C214,E211:E214,J211:J214,L211:L214)</f>
        <v>-0.37693218398106609</v>
      </c>
      <c r="S211" s="8">
        <f>bdrate(C211:C214,F211:F214,J211:J214,M211:M214)</f>
        <v>-0.36933355645559862</v>
      </c>
      <c r="T211" s="25">
        <f>bdrate(C211:C214,H211:H214,J211:J214,O211:O214)</f>
        <v>-0.30799697617786304</v>
      </c>
      <c r="U211" s="28">
        <f t="shared" si="9"/>
        <v>1.7561454545454545</v>
      </c>
    </row>
    <row r="212" spans="2:21" x14ac:dyDescent="0.25">
      <c r="B212" s="9"/>
      <c r="C212" s="17">
        <v>1354.0751953125</v>
      </c>
      <c r="D212" s="18">
        <v>41.844000000000001</v>
      </c>
      <c r="E212" s="18">
        <v>44.661999999999999</v>
      </c>
      <c r="F212" s="18">
        <v>45.095999999999997</v>
      </c>
      <c r="G212" s="18">
        <v>18.010000000000002</v>
      </c>
      <c r="H212" s="18">
        <f t="shared" si="10"/>
        <v>42.60275</v>
      </c>
      <c r="I212" s="5"/>
      <c r="J212" s="17">
        <v>991.63959999999997</v>
      </c>
      <c r="K212" s="18">
        <v>42.217300000000002</v>
      </c>
      <c r="L212" s="18">
        <v>45.168599999999998</v>
      </c>
      <c r="M212" s="18">
        <v>45.56</v>
      </c>
      <c r="N212" s="18">
        <v>55.022300000000001</v>
      </c>
      <c r="O212" s="18">
        <f t="shared" si="11"/>
        <v>43.004049999999999</v>
      </c>
      <c r="P212" s="7"/>
      <c r="Q212" s="10"/>
      <c r="R212" s="11"/>
      <c r="S212" s="11"/>
      <c r="T212" s="26"/>
      <c r="U212" s="28">
        <f t="shared" si="9"/>
        <v>2.0550971682398664</v>
      </c>
    </row>
    <row r="213" spans="2:21" x14ac:dyDescent="0.25">
      <c r="B213" s="9"/>
      <c r="C213" s="17">
        <v>877.3369140625</v>
      </c>
      <c r="D213" s="18">
        <v>39.753</v>
      </c>
      <c r="E213" s="18">
        <v>42.857999999999997</v>
      </c>
      <c r="F213" s="18">
        <v>43.302</v>
      </c>
      <c r="G213" s="18">
        <v>19.77</v>
      </c>
      <c r="H213" s="18">
        <f t="shared" si="10"/>
        <v>40.58475</v>
      </c>
      <c r="I213" s="5"/>
      <c r="J213" s="17">
        <v>598.48069999999996</v>
      </c>
      <c r="K213" s="18">
        <v>39.475700000000003</v>
      </c>
      <c r="L213" s="18">
        <v>43.201099999999997</v>
      </c>
      <c r="M213" s="18">
        <v>43.601700000000001</v>
      </c>
      <c r="N213" s="18">
        <v>66.696299999999994</v>
      </c>
      <c r="O213" s="18">
        <f t="shared" si="11"/>
        <v>40.457124999999998</v>
      </c>
      <c r="P213" s="7"/>
      <c r="Q213" s="10"/>
      <c r="R213" s="11"/>
      <c r="S213" s="11"/>
      <c r="T213" s="26"/>
      <c r="U213" s="28">
        <f t="shared" si="9"/>
        <v>2.3736115326251896</v>
      </c>
    </row>
    <row r="214" spans="2:21" ht="16.5" thickBot="1" x14ac:dyDescent="0.3">
      <c r="B214" s="12"/>
      <c r="C214" s="19">
        <v>485.765625</v>
      </c>
      <c r="D214" s="20">
        <v>36.906999999999996</v>
      </c>
      <c r="E214" s="20">
        <v>40.515999999999998</v>
      </c>
      <c r="F214" s="20">
        <v>40.97</v>
      </c>
      <c r="G214" s="20">
        <v>21.84</v>
      </c>
      <c r="H214" s="20">
        <f t="shared" si="10"/>
        <v>37.866</v>
      </c>
      <c r="I214" s="5"/>
      <c r="J214" s="19">
        <v>302.18689999999998</v>
      </c>
      <c r="K214" s="20">
        <v>35.943899999999999</v>
      </c>
      <c r="L214" s="20">
        <v>40.881799999999998</v>
      </c>
      <c r="M214" s="20">
        <v>41.267699999999998</v>
      </c>
      <c r="N214" s="20">
        <v>82.413799999999995</v>
      </c>
      <c r="O214" s="20">
        <f t="shared" si="11"/>
        <v>37.226612500000002</v>
      </c>
      <c r="P214" s="7"/>
      <c r="Q214" s="13"/>
      <c r="R214" s="14"/>
      <c r="S214" s="14"/>
      <c r="T214" s="27"/>
      <c r="U214" s="28">
        <f t="shared" si="9"/>
        <v>2.7735256410256408</v>
      </c>
    </row>
    <row r="215" spans="2:21" x14ac:dyDescent="0.25">
      <c r="B215" s="6" t="s">
        <v>106</v>
      </c>
      <c r="C215" s="29">
        <v>1859.5205078125</v>
      </c>
      <c r="D215" s="30">
        <v>39.442</v>
      </c>
      <c r="E215" s="30">
        <v>44.206000000000003</v>
      </c>
      <c r="F215" s="30">
        <v>44.186</v>
      </c>
      <c r="G215" s="16">
        <v>16.829999999999998</v>
      </c>
      <c r="H215" s="16">
        <f t="shared" si="10"/>
        <v>40.630499999999998</v>
      </c>
      <c r="I215" s="5"/>
      <c r="J215" s="29">
        <v>1496.3993</v>
      </c>
      <c r="K215" s="30">
        <v>39.995600000000003</v>
      </c>
      <c r="L215" s="30">
        <v>44.706400000000002</v>
      </c>
      <c r="M215" s="30">
        <v>44.686399999999999</v>
      </c>
      <c r="N215" s="16">
        <v>44.362299999999998</v>
      </c>
      <c r="O215" s="16">
        <f t="shared" si="11"/>
        <v>41.170800000000007</v>
      </c>
      <c r="P215" s="7"/>
      <c r="Q215" s="8">
        <f>bdrate(C215:C218,D215:D218,J215:J218,K215:K218)</f>
        <v>-0.23913485389635103</v>
      </c>
      <c r="R215" s="8">
        <f>bdrate(C215:C218,E215:E218,J215:J218,L215:L218)</f>
        <v>-0.38384432432801396</v>
      </c>
      <c r="S215" s="8">
        <f>bdrate(C215:C218,F215:F218,J215:J218,M215:M218)</f>
        <v>-0.38364112933570249</v>
      </c>
      <c r="T215" s="25">
        <f>bdrate(C215:C218,H215:H218,J215:J218,O215:O218)</f>
        <v>-0.27087469492887783</v>
      </c>
      <c r="U215" s="28">
        <f t="shared" si="9"/>
        <v>1.6359061200237672</v>
      </c>
    </row>
    <row r="216" spans="2:21" x14ac:dyDescent="0.25">
      <c r="B216" s="9"/>
      <c r="C216" s="31">
        <v>1205.6611328125</v>
      </c>
      <c r="D216" s="32">
        <v>37.682000000000002</v>
      </c>
      <c r="E216" s="32">
        <v>42.765999999999998</v>
      </c>
      <c r="F216" s="32">
        <v>42.713000000000001</v>
      </c>
      <c r="G216" s="18">
        <v>18.329999999999998</v>
      </c>
      <c r="H216" s="18">
        <f t="shared" si="10"/>
        <v>38.946375000000003</v>
      </c>
      <c r="I216" s="5"/>
      <c r="J216" s="31">
        <v>997.77480000000003</v>
      </c>
      <c r="K216" s="32">
        <v>38.115900000000003</v>
      </c>
      <c r="L216" s="32">
        <v>43.462699999999998</v>
      </c>
      <c r="M216" s="32">
        <v>43.401800000000001</v>
      </c>
      <c r="N216" s="18">
        <v>52.469000000000001</v>
      </c>
      <c r="O216" s="18">
        <f t="shared" si="11"/>
        <v>39.444987499999996</v>
      </c>
      <c r="P216" s="7"/>
      <c r="Q216" s="10"/>
      <c r="R216" s="11"/>
      <c r="S216" s="11"/>
      <c r="T216" s="26"/>
      <c r="U216" s="28">
        <f t="shared" si="9"/>
        <v>1.8624659028914352</v>
      </c>
    </row>
    <row r="217" spans="2:21" x14ac:dyDescent="0.25">
      <c r="B217" s="9"/>
      <c r="C217" s="31">
        <v>780.6591796875</v>
      </c>
      <c r="D217" s="32">
        <v>35.701000000000001</v>
      </c>
      <c r="E217" s="32">
        <v>41.134999999999998</v>
      </c>
      <c r="F217" s="32">
        <v>41.04</v>
      </c>
      <c r="G217" s="18">
        <v>19.82</v>
      </c>
      <c r="H217" s="18">
        <f t="shared" si="10"/>
        <v>37.047625000000004</v>
      </c>
      <c r="I217" s="5"/>
      <c r="J217" s="31">
        <v>598.56150000000002</v>
      </c>
      <c r="K217" s="32">
        <v>35.7806</v>
      </c>
      <c r="L217" s="32">
        <v>41.966999999999999</v>
      </c>
      <c r="M217" s="32">
        <v>41.8949</v>
      </c>
      <c r="N217" s="18">
        <v>62.402500000000003</v>
      </c>
      <c r="O217" s="18">
        <f t="shared" si="11"/>
        <v>37.318187500000001</v>
      </c>
      <c r="P217" s="7"/>
      <c r="Q217" s="10"/>
      <c r="R217" s="11"/>
      <c r="S217" s="11"/>
      <c r="T217" s="26"/>
      <c r="U217" s="28">
        <f t="shared" si="9"/>
        <v>2.1484611503531785</v>
      </c>
    </row>
    <row r="218" spans="2:21" ht="16.5" thickBot="1" x14ac:dyDescent="0.3">
      <c r="B218" s="12"/>
      <c r="C218" s="33">
        <v>391.9189453125</v>
      </c>
      <c r="D218" s="34">
        <v>33.085999999999999</v>
      </c>
      <c r="E218" s="34">
        <v>38.973999999999997</v>
      </c>
      <c r="F218" s="34">
        <v>38.853000000000002</v>
      </c>
      <c r="G218" s="20">
        <v>21.48</v>
      </c>
      <c r="H218" s="20">
        <f t="shared" si="10"/>
        <v>34.542874999999995</v>
      </c>
      <c r="I218" s="5"/>
      <c r="J218" s="33">
        <v>299.94189999999998</v>
      </c>
      <c r="K218" s="34">
        <v>32.731499999999997</v>
      </c>
      <c r="L218" s="34">
        <v>40.030299999999997</v>
      </c>
      <c r="M218" s="34">
        <v>39.976300000000002</v>
      </c>
      <c r="N218" s="20">
        <v>79.6143</v>
      </c>
      <c r="O218" s="20">
        <f t="shared" si="11"/>
        <v>34.549449999999993</v>
      </c>
      <c r="P218" s="7"/>
      <c r="Q218" s="13"/>
      <c r="R218" s="14"/>
      <c r="S218" s="14"/>
      <c r="T218" s="27"/>
      <c r="U218" s="28">
        <f t="shared" si="9"/>
        <v>2.7064385474860333</v>
      </c>
    </row>
    <row r="219" spans="2:21" x14ac:dyDescent="0.25">
      <c r="B219" s="6" t="s">
        <v>107</v>
      </c>
      <c r="C219" s="15">
        <v>1616.931640625</v>
      </c>
      <c r="D219" s="16">
        <v>37.253999999999998</v>
      </c>
      <c r="E219" s="16">
        <v>42.134</v>
      </c>
      <c r="F219" s="16">
        <v>42.694000000000003</v>
      </c>
      <c r="G219" s="16">
        <v>17.309999999999999</v>
      </c>
      <c r="H219" s="16">
        <f t="shared" si="10"/>
        <v>38.544000000000004</v>
      </c>
      <c r="I219" s="5"/>
      <c r="J219" s="15">
        <v>1511.1850999999999</v>
      </c>
      <c r="K219" s="16">
        <v>38.144799999999996</v>
      </c>
      <c r="L219" s="16">
        <v>43.070999999999998</v>
      </c>
      <c r="M219" s="16">
        <v>43.566000000000003</v>
      </c>
      <c r="N219" s="16">
        <v>46.675699999999999</v>
      </c>
      <c r="O219" s="16">
        <f t="shared" si="11"/>
        <v>39.438225000000003</v>
      </c>
      <c r="P219" s="7"/>
      <c r="Q219" s="8">
        <f>bdrate(C219:C222,D219:D222,J219:J222,K219:K222)</f>
        <v>-0.2195055014649594</v>
      </c>
      <c r="R219" s="8">
        <f>bdrate(C219:C222,E219:E222,J219:J222,L219:L222)</f>
        <v>-0.38886459627132031</v>
      </c>
      <c r="S219" s="8">
        <f>bdrate(C219:C222,F219:F222,J219:J222,M219:M222)</f>
        <v>-0.37839890768549977</v>
      </c>
      <c r="T219" s="25">
        <f>bdrate(C219:C222,H219:H222,J219:J222,O219:O222)</f>
        <v>-0.26074331002810691</v>
      </c>
      <c r="U219" s="28">
        <f t="shared" si="9"/>
        <v>1.6964586943963029</v>
      </c>
    </row>
    <row r="220" spans="2:21" x14ac:dyDescent="0.25">
      <c r="B220" s="9"/>
      <c r="C220" s="17">
        <v>1111.982421875</v>
      </c>
      <c r="D220" s="18">
        <v>35.468000000000004</v>
      </c>
      <c r="E220" s="18">
        <v>40.5</v>
      </c>
      <c r="F220" s="18">
        <v>41.176000000000002</v>
      </c>
      <c r="G220" s="18">
        <v>18.96</v>
      </c>
      <c r="H220" s="18">
        <f t="shared" si="10"/>
        <v>36.810500000000005</v>
      </c>
      <c r="I220" s="5"/>
      <c r="J220" s="17">
        <v>1008.7264</v>
      </c>
      <c r="K220" s="18">
        <v>36.212800000000001</v>
      </c>
      <c r="L220" s="18">
        <v>41.728000000000002</v>
      </c>
      <c r="M220" s="18">
        <v>42.292999999999999</v>
      </c>
      <c r="N220" s="18">
        <v>54.086500000000001</v>
      </c>
      <c r="O220" s="18">
        <f t="shared" si="11"/>
        <v>37.662224999999999</v>
      </c>
      <c r="P220" s="7"/>
      <c r="Q220" s="10"/>
      <c r="R220" s="11"/>
      <c r="S220" s="11"/>
      <c r="T220" s="26"/>
      <c r="U220" s="28">
        <f t="shared" si="9"/>
        <v>1.8526635021097047</v>
      </c>
    </row>
    <row r="221" spans="2:21" x14ac:dyDescent="0.25">
      <c r="B221" s="9"/>
      <c r="C221" s="17">
        <v>686.4775390625</v>
      </c>
      <c r="D221" s="18">
        <v>33.280999999999999</v>
      </c>
      <c r="E221" s="18">
        <v>38.442</v>
      </c>
      <c r="F221" s="18">
        <v>39.198999999999998</v>
      </c>
      <c r="G221" s="18">
        <v>20.09</v>
      </c>
      <c r="H221" s="18">
        <f t="shared" si="10"/>
        <v>34.665875</v>
      </c>
      <c r="I221" s="5"/>
      <c r="J221" s="17">
        <v>604.99090000000001</v>
      </c>
      <c r="K221" s="18">
        <v>33.848300000000002</v>
      </c>
      <c r="L221" s="18">
        <v>39.9529</v>
      </c>
      <c r="M221" s="18">
        <v>40.566899999999997</v>
      </c>
      <c r="N221" s="18">
        <v>62.523899999999998</v>
      </c>
      <c r="O221" s="18">
        <f t="shared" si="11"/>
        <v>35.4512</v>
      </c>
      <c r="P221" s="7"/>
      <c r="Q221" s="10"/>
      <c r="R221" s="11"/>
      <c r="S221" s="11"/>
      <c r="T221" s="26"/>
      <c r="U221" s="28">
        <f t="shared" si="9"/>
        <v>2.1121901443504227</v>
      </c>
    </row>
    <row r="222" spans="2:21" ht="16.5" thickBot="1" x14ac:dyDescent="0.3">
      <c r="B222" s="12"/>
      <c r="C222" s="19">
        <v>384.390625</v>
      </c>
      <c r="D222" s="20">
        <v>30.79</v>
      </c>
      <c r="E222" s="20">
        <v>36.119</v>
      </c>
      <c r="F222" s="20">
        <v>36.933999999999997</v>
      </c>
      <c r="G222" s="20">
        <v>21.28</v>
      </c>
      <c r="H222" s="20">
        <f t="shared" si="10"/>
        <v>32.224125000000001</v>
      </c>
      <c r="I222" s="5"/>
      <c r="J222" s="19">
        <v>303.09050000000002</v>
      </c>
      <c r="K222" s="20">
        <v>30.701000000000001</v>
      </c>
      <c r="L222" s="20">
        <v>37.796300000000002</v>
      </c>
      <c r="M222" s="20">
        <v>38.542200000000001</v>
      </c>
      <c r="N222" s="20">
        <v>81.201800000000006</v>
      </c>
      <c r="O222" s="20">
        <f t="shared" si="11"/>
        <v>32.568062500000003</v>
      </c>
      <c r="P222" s="7"/>
      <c r="Q222" s="13"/>
      <c r="R222" s="14"/>
      <c r="S222" s="14"/>
      <c r="T222" s="27"/>
      <c r="U222" s="28">
        <f t="shared" si="9"/>
        <v>2.8158740601503762</v>
      </c>
    </row>
    <row r="223" spans="2:21" x14ac:dyDescent="0.25">
      <c r="B223" s="6" t="s">
        <v>108</v>
      </c>
      <c r="C223" s="15">
        <v>1708.9150390625</v>
      </c>
      <c r="D223" s="16">
        <v>37.536000000000001</v>
      </c>
      <c r="E223" s="16">
        <v>43.798999999999999</v>
      </c>
      <c r="F223" s="16">
        <v>45.637999999999998</v>
      </c>
      <c r="G223" s="16">
        <v>15.46</v>
      </c>
      <c r="H223" s="16">
        <f t="shared" si="10"/>
        <v>39.331624999999995</v>
      </c>
      <c r="I223" s="5"/>
      <c r="J223" s="15">
        <v>1517.2655999999999</v>
      </c>
      <c r="K223" s="16">
        <v>38.009099999999997</v>
      </c>
      <c r="L223" s="16">
        <v>44.114400000000003</v>
      </c>
      <c r="M223" s="16">
        <v>45.616199999999999</v>
      </c>
      <c r="N223" s="16">
        <v>42.651000000000003</v>
      </c>
      <c r="O223" s="16">
        <f t="shared" si="11"/>
        <v>39.723149999999997</v>
      </c>
      <c r="P223" s="7"/>
      <c r="Q223" s="8">
        <f>bdrate(C223:C226,D223:D226,J223:J226,K223:K226)</f>
        <v>-0.19971431224016978</v>
      </c>
      <c r="R223" s="8">
        <f>bdrate(C223:C226,E223:E226,J223:J226,L223:L226)</f>
        <v>-0.33531428648591521</v>
      </c>
      <c r="S223" s="8">
        <f>bdrate(C223:C226,F223:F226,J223:J226,M223:M226)</f>
        <v>-0.25280836710746102</v>
      </c>
      <c r="T223" s="25">
        <f>bdrate(C223:C226,H223:H226,J223:J226,O223:O226)</f>
        <v>-0.22494628177646103</v>
      </c>
      <c r="U223" s="28">
        <f t="shared" si="9"/>
        <v>1.7587968952134541</v>
      </c>
    </row>
    <row r="224" spans="2:21" x14ac:dyDescent="0.25">
      <c r="B224" s="9"/>
      <c r="C224" s="17">
        <v>1137.3984375</v>
      </c>
      <c r="D224" s="18">
        <v>36.204999999999998</v>
      </c>
      <c r="E224" s="18">
        <v>42.735999999999997</v>
      </c>
      <c r="F224" s="18">
        <v>44.436</v>
      </c>
      <c r="G224" s="18">
        <v>17.16</v>
      </c>
      <c r="H224" s="18">
        <f t="shared" si="10"/>
        <v>38.050249999999998</v>
      </c>
      <c r="I224" s="5"/>
      <c r="J224" s="17">
        <v>1007.9016</v>
      </c>
      <c r="K224" s="18">
        <v>36.581000000000003</v>
      </c>
      <c r="L224" s="18">
        <v>43.204999999999998</v>
      </c>
      <c r="M224" s="18">
        <v>44.628300000000003</v>
      </c>
      <c r="N224" s="18">
        <v>51.212000000000003</v>
      </c>
      <c r="O224" s="18">
        <f t="shared" si="11"/>
        <v>38.414912500000007</v>
      </c>
      <c r="P224" s="7"/>
      <c r="Q224" s="10"/>
      <c r="R224" s="11"/>
      <c r="S224" s="11"/>
      <c r="T224" s="26"/>
      <c r="U224" s="28">
        <f t="shared" si="9"/>
        <v>1.9843822843822847</v>
      </c>
    </row>
    <row r="225" spans="2:21" x14ac:dyDescent="0.25">
      <c r="B225" s="9"/>
      <c r="C225" s="17">
        <v>688.3154296875</v>
      </c>
      <c r="D225" s="18">
        <v>34.593000000000004</v>
      </c>
      <c r="E225" s="18">
        <v>41.356999999999999</v>
      </c>
      <c r="F225" s="18">
        <v>42.868000000000002</v>
      </c>
      <c r="G225" s="18">
        <v>19.47</v>
      </c>
      <c r="H225" s="18">
        <f t="shared" si="10"/>
        <v>36.472875000000002</v>
      </c>
      <c r="I225" s="5"/>
      <c r="J225" s="17">
        <v>602.82330000000002</v>
      </c>
      <c r="K225" s="18">
        <v>34.877099999999999</v>
      </c>
      <c r="L225" s="18">
        <v>42.136400000000002</v>
      </c>
      <c r="M225" s="18">
        <v>43.450600000000001</v>
      </c>
      <c r="N225" s="18">
        <v>62.1633</v>
      </c>
      <c r="O225" s="18">
        <f t="shared" si="11"/>
        <v>36.856200000000001</v>
      </c>
      <c r="P225" s="7"/>
      <c r="Q225" s="10"/>
      <c r="R225" s="11"/>
      <c r="S225" s="11"/>
      <c r="T225" s="26"/>
      <c r="U225" s="28">
        <f t="shared" si="9"/>
        <v>2.1927734976887523</v>
      </c>
    </row>
    <row r="226" spans="2:21" ht="16.5" thickBot="1" x14ac:dyDescent="0.3">
      <c r="B226" s="12"/>
      <c r="C226" s="19">
        <v>349.9140625</v>
      </c>
      <c r="D226" s="20">
        <v>32.604999999999997</v>
      </c>
      <c r="E226" s="20">
        <v>39.552999999999997</v>
      </c>
      <c r="F226" s="20">
        <v>40.683999999999997</v>
      </c>
      <c r="G226" s="20">
        <v>22</v>
      </c>
      <c r="H226" s="20">
        <f t="shared" si="10"/>
        <v>34.483374999999995</v>
      </c>
      <c r="I226" s="5"/>
      <c r="J226" s="19">
        <v>300.61720000000003</v>
      </c>
      <c r="K226" s="20">
        <v>32.707999999999998</v>
      </c>
      <c r="L226" s="20">
        <v>40.744900000000001</v>
      </c>
      <c r="M226" s="20">
        <v>41.881399999999999</v>
      </c>
      <c r="N226" s="20">
        <v>79.960899999999995</v>
      </c>
      <c r="O226" s="20">
        <f t="shared" si="11"/>
        <v>34.859287500000001</v>
      </c>
      <c r="P226" s="7"/>
      <c r="Q226" s="13"/>
      <c r="R226" s="14"/>
      <c r="S226" s="14"/>
      <c r="T226" s="27"/>
      <c r="U226" s="28">
        <f t="shared" si="9"/>
        <v>2.6345863636363633</v>
      </c>
    </row>
    <row r="227" spans="2:21" x14ac:dyDescent="0.25">
      <c r="B227" s="6" t="s">
        <v>109</v>
      </c>
      <c r="C227" s="15">
        <v>1422.126953125</v>
      </c>
      <c r="D227" s="16">
        <v>47.610999999999997</v>
      </c>
      <c r="E227" s="16">
        <v>53.488999999999997</v>
      </c>
      <c r="F227" s="16">
        <v>54.792000000000002</v>
      </c>
      <c r="G227" s="16">
        <v>17.850000000000001</v>
      </c>
      <c r="H227" s="16">
        <f t="shared" si="10"/>
        <v>49.243375</v>
      </c>
      <c r="I227" s="5"/>
      <c r="J227" s="15">
        <v>1499.7262000000001</v>
      </c>
      <c r="K227" s="16">
        <v>49.398800000000001</v>
      </c>
      <c r="L227" s="16">
        <v>54.319099999999999</v>
      </c>
      <c r="M227" s="16">
        <v>55.715600000000002</v>
      </c>
      <c r="N227" s="16">
        <v>54.755699999999997</v>
      </c>
      <c r="O227" s="16">
        <f t="shared" si="11"/>
        <v>50.803437500000001</v>
      </c>
      <c r="P227" s="7"/>
      <c r="Q227" s="8">
        <f>bdrate(C227:C230,D227:D230,J227:J230,K227:K230)</f>
        <v>-0.31976059809894597</v>
      </c>
      <c r="R227" s="8">
        <f>bdrate(C227:C230,E227:E230,J227:J230,L227:L230)</f>
        <v>-0.19757026738790195</v>
      </c>
      <c r="S227" s="8">
        <f>bdrate(C227:C230,F227:F230,J227:J230,M227:M230)</f>
        <v>-0.2358168598767032</v>
      </c>
      <c r="T227" s="25">
        <f>bdrate(C227:C230,H227:H230,J227:J230,O227:O230)</f>
        <v>-0.29716116775059453</v>
      </c>
      <c r="U227" s="28">
        <f t="shared" si="9"/>
        <v>2.0675462184873945</v>
      </c>
    </row>
    <row r="228" spans="2:21" x14ac:dyDescent="0.25">
      <c r="B228" s="9"/>
      <c r="C228" s="17">
        <v>1013.80078125</v>
      </c>
      <c r="D228" s="18">
        <v>46.286999999999999</v>
      </c>
      <c r="E228" s="18">
        <v>52.408000000000001</v>
      </c>
      <c r="F228" s="18">
        <v>53.744</v>
      </c>
      <c r="G228" s="18">
        <v>19.260000000000002</v>
      </c>
      <c r="H228" s="18">
        <f t="shared" si="10"/>
        <v>47.984250000000003</v>
      </c>
      <c r="I228" s="5"/>
      <c r="J228" s="17">
        <v>999.64120000000003</v>
      </c>
      <c r="K228" s="18">
        <v>47.771900000000002</v>
      </c>
      <c r="L228" s="18">
        <v>52.92</v>
      </c>
      <c r="M228" s="18">
        <v>54.392600000000002</v>
      </c>
      <c r="N228" s="18">
        <v>63.432200000000002</v>
      </c>
      <c r="O228" s="18">
        <f t="shared" si="11"/>
        <v>49.243000000000002</v>
      </c>
      <c r="P228" s="7"/>
      <c r="Q228" s="10"/>
      <c r="R228" s="11"/>
      <c r="S228" s="11"/>
      <c r="T228" s="26"/>
      <c r="U228" s="28">
        <f t="shared" si="9"/>
        <v>2.2934683281412251</v>
      </c>
    </row>
    <row r="229" spans="2:21" x14ac:dyDescent="0.25">
      <c r="B229" s="9"/>
      <c r="C229" s="17">
        <v>635.021484375</v>
      </c>
      <c r="D229" s="18">
        <v>44.393999999999998</v>
      </c>
      <c r="E229" s="18">
        <v>50.57</v>
      </c>
      <c r="F229" s="18">
        <v>51.857999999999997</v>
      </c>
      <c r="G229" s="18">
        <v>20.99</v>
      </c>
      <c r="H229" s="18">
        <f t="shared" si="10"/>
        <v>46.098999999999997</v>
      </c>
      <c r="I229" s="5"/>
      <c r="J229" s="17">
        <v>601.67089999999996</v>
      </c>
      <c r="K229" s="18">
        <v>45.759900000000002</v>
      </c>
      <c r="L229" s="18">
        <v>51.201300000000003</v>
      </c>
      <c r="M229" s="18">
        <v>52.713900000000002</v>
      </c>
      <c r="N229" s="18">
        <v>76.312899999999999</v>
      </c>
      <c r="O229" s="18">
        <f t="shared" si="11"/>
        <v>47.309325000000001</v>
      </c>
      <c r="P229" s="7"/>
      <c r="Q229" s="10"/>
      <c r="R229" s="11"/>
      <c r="S229" s="11"/>
      <c r="T229" s="26"/>
      <c r="U229" s="28">
        <f t="shared" si="9"/>
        <v>2.6356788947117678</v>
      </c>
    </row>
    <row r="230" spans="2:21" ht="16.5" thickBot="1" x14ac:dyDescent="0.3">
      <c r="B230" s="12"/>
      <c r="C230" s="19">
        <v>330.8525390625</v>
      </c>
      <c r="D230" s="20">
        <v>41.570999999999998</v>
      </c>
      <c r="E230" s="20">
        <v>47.503999999999998</v>
      </c>
      <c r="F230" s="20">
        <v>48.898000000000003</v>
      </c>
      <c r="G230" s="20">
        <v>23.52</v>
      </c>
      <c r="H230" s="20">
        <f t="shared" si="10"/>
        <v>43.228500000000004</v>
      </c>
      <c r="I230" s="5"/>
      <c r="J230" s="19">
        <v>301.61900000000003</v>
      </c>
      <c r="K230" s="20">
        <v>42.8202</v>
      </c>
      <c r="L230" s="20">
        <v>48.621299999999998</v>
      </c>
      <c r="M230" s="20">
        <v>50.081800000000001</v>
      </c>
      <c r="N230" s="20">
        <v>98.791899999999998</v>
      </c>
      <c r="O230" s="20">
        <f t="shared" si="11"/>
        <v>44.453037500000001</v>
      </c>
      <c r="P230" s="7"/>
      <c r="Q230" s="13"/>
      <c r="R230" s="14"/>
      <c r="S230" s="14"/>
      <c r="T230" s="27"/>
      <c r="U230" s="28">
        <f t="shared" si="9"/>
        <v>3.2003358843537417</v>
      </c>
    </row>
    <row r="231" spans="2:21" x14ac:dyDescent="0.25">
      <c r="B231" s="6" t="s">
        <v>110</v>
      </c>
      <c r="C231" s="15">
        <v>1611.71875</v>
      </c>
      <c r="D231" s="16">
        <v>32.124000000000002</v>
      </c>
      <c r="E231" s="16">
        <v>40.776000000000003</v>
      </c>
      <c r="F231" s="16">
        <v>40.192</v>
      </c>
      <c r="G231" s="16">
        <v>17.03</v>
      </c>
      <c r="H231" s="16">
        <f t="shared" si="10"/>
        <v>34.214000000000006</v>
      </c>
      <c r="I231" s="5"/>
      <c r="J231" s="15">
        <v>1493.694</v>
      </c>
      <c r="K231" s="16">
        <v>33.014099999999999</v>
      </c>
      <c r="L231" s="16">
        <v>41.479399999999998</v>
      </c>
      <c r="M231" s="16">
        <v>40.860399999999998</v>
      </c>
      <c r="N231" s="16">
        <v>31.327200000000001</v>
      </c>
      <c r="O231" s="16">
        <f t="shared" si="11"/>
        <v>35.053049999999999</v>
      </c>
      <c r="P231" s="7"/>
      <c r="Q231" s="8">
        <f>bdrate(C231:C234,D231:D234,J231:J234,K231:K234)</f>
        <v>-0.20913748438922064</v>
      </c>
      <c r="R231" s="8">
        <f>bdrate(C231:C234,E231:E234,J231:J234,L231:L234)</f>
        <v>-0.44116950095220164</v>
      </c>
      <c r="S231" s="8">
        <f>bdrate(C231:C234,F231:F234,J231:J234,M231:M234)</f>
        <v>-0.43266296321939246</v>
      </c>
      <c r="T231" s="25">
        <f>bdrate(C231:C234,H231:H234,J231:J234,O231:O234)</f>
        <v>-0.25814993938557129</v>
      </c>
      <c r="U231" s="28">
        <f t="shared" si="9"/>
        <v>0.83953024075161475</v>
      </c>
    </row>
    <row r="232" spans="2:21" x14ac:dyDescent="0.25">
      <c r="B232" s="9"/>
      <c r="C232" s="17">
        <v>1090.0673828125</v>
      </c>
      <c r="D232" s="18">
        <v>30.603999999999999</v>
      </c>
      <c r="E232" s="18">
        <v>39.423999999999999</v>
      </c>
      <c r="F232" s="18">
        <v>38.826999999999998</v>
      </c>
      <c r="G232" s="18">
        <v>18.25</v>
      </c>
      <c r="H232" s="18">
        <f t="shared" si="10"/>
        <v>32.734375</v>
      </c>
      <c r="I232" s="5"/>
      <c r="J232" s="17">
        <v>993.8768</v>
      </c>
      <c r="K232" s="18">
        <v>31.328199999999999</v>
      </c>
      <c r="L232" s="18">
        <v>40.585599999999999</v>
      </c>
      <c r="M232" s="18">
        <v>39.965299999999999</v>
      </c>
      <c r="N232" s="18">
        <v>36.244300000000003</v>
      </c>
      <c r="O232" s="18">
        <f t="shared" si="11"/>
        <v>33.565012500000002</v>
      </c>
      <c r="P232" s="7"/>
      <c r="Q232" s="10"/>
      <c r="R232" s="11"/>
      <c r="S232" s="11"/>
      <c r="T232" s="26"/>
      <c r="U232" s="28">
        <f t="shared" si="9"/>
        <v>0.98598904109589058</v>
      </c>
    </row>
    <row r="233" spans="2:21" x14ac:dyDescent="0.25">
      <c r="B233" s="9"/>
      <c r="C233" s="17">
        <v>711.4189453125</v>
      </c>
      <c r="D233" s="18">
        <v>29.088999999999999</v>
      </c>
      <c r="E233" s="18">
        <v>37.965000000000003</v>
      </c>
      <c r="F233" s="18">
        <v>37.356000000000002</v>
      </c>
      <c r="G233" s="18">
        <v>19.3</v>
      </c>
      <c r="H233" s="18">
        <f t="shared" si="10"/>
        <v>31.231874999999999</v>
      </c>
      <c r="I233" s="5"/>
      <c r="J233" s="17">
        <v>596.47850000000005</v>
      </c>
      <c r="K233" s="18">
        <v>29.161799999999999</v>
      </c>
      <c r="L233" s="18">
        <v>39.339199999999998</v>
      </c>
      <c r="M233" s="18">
        <v>38.690899999999999</v>
      </c>
      <c r="N233" s="18">
        <v>43.804099999999998</v>
      </c>
      <c r="O233" s="18">
        <f t="shared" si="11"/>
        <v>31.6251125</v>
      </c>
      <c r="P233" s="7"/>
      <c r="Q233" s="10"/>
      <c r="R233" s="11"/>
      <c r="S233" s="11"/>
      <c r="T233" s="26"/>
      <c r="U233" s="28">
        <f t="shared" si="9"/>
        <v>1.2696424870466319</v>
      </c>
    </row>
    <row r="234" spans="2:21" ht="16.5" thickBot="1" x14ac:dyDescent="0.3">
      <c r="B234" s="12"/>
      <c r="C234" s="19">
        <v>526.9208984375</v>
      </c>
      <c r="D234" s="20">
        <v>27.963999999999999</v>
      </c>
      <c r="E234" s="20">
        <v>36.67</v>
      </c>
      <c r="F234" s="20">
        <v>36.064</v>
      </c>
      <c r="G234" s="20">
        <v>19.37</v>
      </c>
      <c r="H234" s="20">
        <f t="shared" si="10"/>
        <v>30.06475</v>
      </c>
      <c r="I234" s="5"/>
      <c r="J234" s="19">
        <v>298.90129999999999</v>
      </c>
      <c r="K234" s="20">
        <v>26.395800000000001</v>
      </c>
      <c r="L234" s="20">
        <v>37.316600000000001</v>
      </c>
      <c r="M234" s="20">
        <v>36.671399999999998</v>
      </c>
      <c r="N234" s="20">
        <v>56.067799999999998</v>
      </c>
      <c r="O234" s="20">
        <f t="shared" si="11"/>
        <v>29.045349999999999</v>
      </c>
      <c r="P234" s="7"/>
      <c r="Q234" s="13"/>
      <c r="R234" s="14"/>
      <c r="S234" s="14"/>
      <c r="T234" s="27"/>
      <c r="U234" s="28">
        <f t="shared" si="9"/>
        <v>1.8945689210118739</v>
      </c>
    </row>
    <row r="235" spans="2:21" x14ac:dyDescent="0.25">
      <c r="B235" s="6" t="s">
        <v>111</v>
      </c>
      <c r="C235" s="15">
        <v>2193.0205078125</v>
      </c>
      <c r="D235" s="16">
        <v>48.531999999999996</v>
      </c>
      <c r="E235" s="16">
        <v>49.973999999999997</v>
      </c>
      <c r="F235" s="16">
        <v>49.886000000000003</v>
      </c>
      <c r="G235" s="16">
        <v>17.010000000000002</v>
      </c>
      <c r="H235" s="16">
        <f t="shared" si="10"/>
        <v>48.881500000000003</v>
      </c>
      <c r="I235" s="5"/>
      <c r="J235" s="15">
        <v>1416.1552999999999</v>
      </c>
      <c r="K235" s="16">
        <v>46.703499999999998</v>
      </c>
      <c r="L235" s="16">
        <v>48.072099999999999</v>
      </c>
      <c r="M235" s="16">
        <v>47.998399999999997</v>
      </c>
      <c r="N235" s="16">
        <v>39.046399999999998</v>
      </c>
      <c r="O235" s="16">
        <f t="shared" si="11"/>
        <v>47.036437499999998</v>
      </c>
      <c r="P235" s="7"/>
      <c r="Q235" s="8">
        <f>bdrate(C235:C238,D235:D238,J235:J238,K235:K238)</f>
        <v>-0.30194998763240788</v>
      </c>
      <c r="R235" s="8">
        <f>bdrate(C235:C238,E235:E238,J235:J238,L235:L238)</f>
        <v>-0.34772425936258056</v>
      </c>
      <c r="S235" s="8">
        <f>bdrate(C235:C238,F235:F238,J235:J238,M235:M238)</f>
        <v>-0.34994821670133036</v>
      </c>
      <c r="T235" s="25">
        <f>bdrate(C235:C238,H235:H238,J235:J238,O235:O238)</f>
        <v>-0.31195380594010758</v>
      </c>
      <c r="U235" s="28">
        <f t="shared" si="9"/>
        <v>1.2954967666078774</v>
      </c>
    </row>
    <row r="236" spans="2:21" x14ac:dyDescent="0.25">
      <c r="B236" s="9"/>
      <c r="C236" s="17">
        <v>1548.447265625</v>
      </c>
      <c r="D236" s="18">
        <v>45.814999999999998</v>
      </c>
      <c r="E236" s="18">
        <v>47.372999999999998</v>
      </c>
      <c r="F236" s="18">
        <v>47.228000000000002</v>
      </c>
      <c r="G236" s="18">
        <v>19.05</v>
      </c>
      <c r="H236" s="18">
        <f t="shared" si="10"/>
        <v>46.186374999999998</v>
      </c>
      <c r="I236" s="5"/>
      <c r="J236" s="17">
        <v>959.63109999999995</v>
      </c>
      <c r="K236" s="18">
        <v>45.084699999999998</v>
      </c>
      <c r="L236" s="18">
        <v>46.705500000000001</v>
      </c>
      <c r="M236" s="18">
        <v>46.614600000000003</v>
      </c>
      <c r="N236" s="18">
        <v>52.902299999999997</v>
      </c>
      <c r="O236" s="18">
        <f t="shared" si="11"/>
        <v>45.478537500000002</v>
      </c>
      <c r="P236" s="7"/>
      <c r="Q236" s="10"/>
      <c r="R236" s="11"/>
      <c r="S236" s="11"/>
      <c r="T236" s="26"/>
      <c r="U236" s="28">
        <f t="shared" si="9"/>
        <v>1.777023622047244</v>
      </c>
    </row>
    <row r="237" spans="2:21" x14ac:dyDescent="0.25">
      <c r="B237" s="9"/>
      <c r="C237" s="17">
        <v>957.5595703125</v>
      </c>
      <c r="D237" s="18">
        <v>42.826000000000001</v>
      </c>
      <c r="E237" s="18">
        <v>44.591000000000001</v>
      </c>
      <c r="F237" s="18">
        <v>44.417000000000002</v>
      </c>
      <c r="G237" s="18">
        <v>20.91</v>
      </c>
      <c r="H237" s="18">
        <f t="shared" si="10"/>
        <v>43.245500000000007</v>
      </c>
      <c r="I237" s="5"/>
      <c r="J237" s="17">
        <v>594.36149999999998</v>
      </c>
      <c r="K237" s="18">
        <v>42.2395</v>
      </c>
      <c r="L237" s="18">
        <v>44.472299999999997</v>
      </c>
      <c r="M237" s="18">
        <v>44.2849</v>
      </c>
      <c r="N237" s="18">
        <v>69.034300000000002</v>
      </c>
      <c r="O237" s="18">
        <f t="shared" si="11"/>
        <v>42.774275000000003</v>
      </c>
      <c r="P237" s="7"/>
      <c r="Q237" s="10"/>
      <c r="R237" s="11"/>
      <c r="S237" s="11"/>
      <c r="T237" s="26"/>
      <c r="U237" s="28">
        <f t="shared" si="9"/>
        <v>2.3014968914395029</v>
      </c>
    </row>
    <row r="238" spans="2:21" ht="16.5" thickBot="1" x14ac:dyDescent="0.3">
      <c r="B238" s="12"/>
      <c r="C238" s="19">
        <v>513.1123046875</v>
      </c>
      <c r="D238" s="20">
        <v>39.072000000000003</v>
      </c>
      <c r="E238" s="20">
        <v>41.137</v>
      </c>
      <c r="F238" s="20">
        <v>40.893999999999998</v>
      </c>
      <c r="G238" s="20">
        <v>22.76</v>
      </c>
      <c r="H238" s="20">
        <f t="shared" si="10"/>
        <v>39.557875000000003</v>
      </c>
      <c r="I238" s="5"/>
      <c r="J238" s="19">
        <v>303.9479</v>
      </c>
      <c r="K238" s="20">
        <v>37.789099999999998</v>
      </c>
      <c r="L238" s="20">
        <v>40.985999999999997</v>
      </c>
      <c r="M238" s="20">
        <v>40.788899999999998</v>
      </c>
      <c r="N238" s="20">
        <v>87.869200000000006</v>
      </c>
      <c r="O238" s="20">
        <f t="shared" si="11"/>
        <v>38.5636875</v>
      </c>
      <c r="P238" s="7"/>
      <c r="Q238" s="13"/>
      <c r="R238" s="14"/>
      <c r="S238" s="14"/>
      <c r="T238" s="27"/>
      <c r="U238" s="28">
        <f t="shared" si="9"/>
        <v>2.8606854130052723</v>
      </c>
    </row>
    <row r="239" spans="2:21" x14ac:dyDescent="0.25">
      <c r="B239" s="6" t="s">
        <v>112</v>
      </c>
      <c r="C239" s="15">
        <v>1512.9970703125</v>
      </c>
      <c r="D239" s="16">
        <v>52.375</v>
      </c>
      <c r="E239" s="16">
        <v>55.216999999999999</v>
      </c>
      <c r="F239" s="16">
        <v>55.148000000000003</v>
      </c>
      <c r="G239" s="16">
        <v>16.68</v>
      </c>
      <c r="H239" s="16">
        <f t="shared" si="10"/>
        <v>53.076875000000001</v>
      </c>
      <c r="I239" s="5"/>
      <c r="J239" s="15">
        <v>1422.7367999999999</v>
      </c>
      <c r="K239" s="16">
        <v>47.011000000000003</v>
      </c>
      <c r="L239" s="16">
        <v>49.972999999999999</v>
      </c>
      <c r="M239" s="16">
        <v>50.0989</v>
      </c>
      <c r="N239" s="16">
        <v>38.902900000000002</v>
      </c>
      <c r="O239" s="16">
        <f t="shared" si="11"/>
        <v>47.767237500000007</v>
      </c>
      <c r="P239" s="7"/>
      <c r="Q239" s="8">
        <f>bdrate(C239:C242,D239:D242,J239:J242,K239:K242)</f>
        <v>0.51847347017692225</v>
      </c>
      <c r="R239" s="8">
        <f>bdrate(C239:C242,E239:E242,J239:J242,L239:L242)</f>
        <v>0.43019530784415805</v>
      </c>
      <c r="S239" s="8">
        <f>bdrate(C239:C242,F239:F242,J239:J242,M239:M242)</f>
        <v>0.40486527075789858</v>
      </c>
      <c r="T239" s="25">
        <f>bdrate(C239:C242,H239:H242,J239:J242,O239:O242)</f>
        <v>0.49421442739447663</v>
      </c>
      <c r="U239" s="28">
        <f t="shared" si="9"/>
        <v>1.3323081534772183</v>
      </c>
    </row>
    <row r="240" spans="2:21" x14ac:dyDescent="0.25">
      <c r="B240" s="9"/>
      <c r="C240" s="17">
        <v>1135.841796875</v>
      </c>
      <c r="D240" s="18">
        <v>54.091999999999999</v>
      </c>
      <c r="E240" s="18">
        <v>57.1</v>
      </c>
      <c r="F240" s="18">
        <v>56.875</v>
      </c>
      <c r="G240" s="18">
        <v>21.07</v>
      </c>
      <c r="H240" s="18">
        <f t="shared" si="10"/>
        <v>54.815875000000005</v>
      </c>
      <c r="I240" s="5"/>
      <c r="J240" s="17">
        <v>978.53989999999999</v>
      </c>
      <c r="K240" s="18">
        <v>45.6935</v>
      </c>
      <c r="L240" s="18">
        <v>48.877699999999997</v>
      </c>
      <c r="M240" s="18">
        <v>49.0441</v>
      </c>
      <c r="N240" s="18">
        <v>46.582599999999999</v>
      </c>
      <c r="O240" s="18">
        <f t="shared" si="11"/>
        <v>46.510350000000003</v>
      </c>
      <c r="P240" s="7"/>
      <c r="Q240" s="10"/>
      <c r="R240" s="11"/>
      <c r="S240" s="11"/>
      <c r="T240" s="26"/>
      <c r="U240" s="28">
        <f t="shared" si="9"/>
        <v>1.2108495491219744</v>
      </c>
    </row>
    <row r="241" spans="2:21" x14ac:dyDescent="0.25">
      <c r="B241" s="9"/>
      <c r="C241" s="17">
        <v>819.322265625</v>
      </c>
      <c r="D241" s="18">
        <v>51.844999999999999</v>
      </c>
      <c r="E241" s="18">
        <v>54.872999999999998</v>
      </c>
      <c r="F241" s="18">
        <v>54.637999999999998</v>
      </c>
      <c r="G241" s="18">
        <v>22.37</v>
      </c>
      <c r="H241" s="18">
        <f t="shared" si="10"/>
        <v>52.572624999999995</v>
      </c>
      <c r="I241" s="5"/>
      <c r="J241" s="17">
        <v>639.05229999999995</v>
      </c>
      <c r="K241" s="18">
        <v>42.685699999999997</v>
      </c>
      <c r="L241" s="18">
        <v>45.984200000000001</v>
      </c>
      <c r="M241" s="18">
        <v>46.285200000000003</v>
      </c>
      <c r="N241" s="18">
        <v>47.6342</v>
      </c>
      <c r="O241" s="18">
        <f t="shared" si="11"/>
        <v>43.54795</v>
      </c>
      <c r="P241" s="7"/>
      <c r="Q241" s="10"/>
      <c r="R241" s="11"/>
      <c r="S241" s="11"/>
      <c r="T241" s="26"/>
      <c r="U241" s="28">
        <f t="shared" si="9"/>
        <v>1.1293786320965578</v>
      </c>
    </row>
    <row r="242" spans="2:21" ht="16.5" thickBot="1" x14ac:dyDescent="0.3">
      <c r="B242" s="12"/>
      <c r="C242" s="19">
        <v>484.361328125</v>
      </c>
      <c r="D242" s="20">
        <v>41.087000000000003</v>
      </c>
      <c r="E242" s="20">
        <v>43.875999999999998</v>
      </c>
      <c r="F242" s="20">
        <v>44.075000000000003</v>
      </c>
      <c r="G242" s="20">
        <v>21.86</v>
      </c>
      <c r="H242" s="20">
        <f t="shared" si="10"/>
        <v>41.809125000000002</v>
      </c>
      <c r="I242" s="5"/>
      <c r="J242" s="19">
        <v>352.22280000000001</v>
      </c>
      <c r="K242" s="20">
        <v>38.477800000000002</v>
      </c>
      <c r="L242" s="20">
        <v>42.278100000000002</v>
      </c>
      <c r="M242" s="20">
        <v>42.555900000000001</v>
      </c>
      <c r="N242" s="20">
        <v>79.677700000000002</v>
      </c>
      <c r="O242" s="20">
        <f t="shared" si="11"/>
        <v>39.462600000000002</v>
      </c>
      <c r="P242" s="7"/>
      <c r="Q242" s="13"/>
      <c r="R242" s="14"/>
      <c r="S242" s="14"/>
      <c r="T242" s="27"/>
      <c r="U242" s="28">
        <f t="shared" si="9"/>
        <v>2.6449085086916746</v>
      </c>
    </row>
    <row r="243" spans="2:21" x14ac:dyDescent="0.25">
      <c r="B243" s="6" t="s">
        <v>113</v>
      </c>
      <c r="C243" s="29">
        <v>1702.0771484375</v>
      </c>
      <c r="D243" s="30">
        <v>32.860999999999997</v>
      </c>
      <c r="E243" s="30">
        <v>36.670999999999999</v>
      </c>
      <c r="F243" s="30">
        <v>35.418999999999997</v>
      </c>
      <c r="G243" s="16">
        <v>16.850000000000001</v>
      </c>
      <c r="H243" s="16">
        <f t="shared" si="10"/>
        <v>33.656999999999996</v>
      </c>
      <c r="I243" s="5"/>
      <c r="J243" s="29">
        <v>1514.2923000000001</v>
      </c>
      <c r="K243" s="30">
        <v>33.278300000000002</v>
      </c>
      <c r="L243" s="30">
        <v>37.775199999999998</v>
      </c>
      <c r="M243" s="30">
        <v>36.616900000000001</v>
      </c>
      <c r="N243" s="16">
        <v>36.913200000000003</v>
      </c>
      <c r="O243" s="16">
        <f t="shared" si="11"/>
        <v>34.257737499999998</v>
      </c>
      <c r="P243" s="7"/>
      <c r="Q243" s="8">
        <f>bdrate(C243:C246,D243:D246,J243:J246,K243:K246)</f>
        <v>-0.14100147700287002</v>
      </c>
      <c r="R243" s="8">
        <f>bdrate(C243:C246,E243:E246,J243:J246,L243:L246)</f>
        <v>-0.49661689790152408</v>
      </c>
      <c r="S243" s="8">
        <f>bdrate(C243:C246,F243:F246,J243:J246,M243:M246)</f>
        <v>-0.49601244391147259</v>
      </c>
      <c r="T243" s="25">
        <f>bdrate(C243:C246,H243:H246,J243:J246,O243:O246)</f>
        <v>-0.22186026227799638</v>
      </c>
      <c r="U243" s="28">
        <f t="shared" si="9"/>
        <v>1.1906943620178041</v>
      </c>
    </row>
    <row r="244" spans="2:21" x14ac:dyDescent="0.25">
      <c r="B244" s="9"/>
      <c r="C244" s="31">
        <v>1147.375</v>
      </c>
      <c r="D244" s="32">
        <v>31.202999999999999</v>
      </c>
      <c r="E244" s="32">
        <v>35.35</v>
      </c>
      <c r="F244" s="32">
        <v>34.049999999999997</v>
      </c>
      <c r="G244" s="18">
        <v>17.8</v>
      </c>
      <c r="H244" s="18">
        <f t="shared" si="10"/>
        <v>32.077249999999999</v>
      </c>
      <c r="I244" s="5"/>
      <c r="J244" s="31">
        <v>1008.8763</v>
      </c>
      <c r="K244" s="32">
        <v>31.414200000000001</v>
      </c>
      <c r="L244" s="32">
        <v>36.701099999999997</v>
      </c>
      <c r="M244" s="32">
        <v>35.4955</v>
      </c>
      <c r="N244" s="18">
        <v>42.184199999999997</v>
      </c>
      <c r="O244" s="18">
        <f t="shared" si="11"/>
        <v>32.585225000000001</v>
      </c>
      <c r="P244" s="7"/>
      <c r="Q244" s="10"/>
      <c r="R244" s="11"/>
      <c r="S244" s="11"/>
      <c r="T244" s="26"/>
      <c r="U244" s="28">
        <f t="shared" si="9"/>
        <v>1.3698988764044941</v>
      </c>
    </row>
    <row r="245" spans="2:21" x14ac:dyDescent="0.25">
      <c r="B245" s="9"/>
      <c r="C245" s="31">
        <v>722.8310546875</v>
      </c>
      <c r="D245" s="32">
        <v>29.416</v>
      </c>
      <c r="E245" s="32">
        <v>33.914999999999999</v>
      </c>
      <c r="F245" s="32">
        <v>32.561</v>
      </c>
      <c r="G245" s="18">
        <v>18.87</v>
      </c>
      <c r="H245" s="18">
        <f t="shared" si="10"/>
        <v>30.371500000000001</v>
      </c>
      <c r="I245" s="5"/>
      <c r="J245" s="31">
        <v>605.36590000000001</v>
      </c>
      <c r="K245" s="32">
        <v>29.164200000000001</v>
      </c>
      <c r="L245" s="32">
        <v>35.447800000000001</v>
      </c>
      <c r="M245" s="32">
        <v>34.144799999999996</v>
      </c>
      <c r="N245" s="18">
        <v>50.807299999999998</v>
      </c>
      <c r="O245" s="18">
        <f t="shared" si="11"/>
        <v>30.572225000000003</v>
      </c>
      <c r="P245" s="7"/>
      <c r="Q245" s="10"/>
      <c r="R245" s="11"/>
      <c r="S245" s="11"/>
      <c r="T245" s="26"/>
      <c r="U245" s="28">
        <f t="shared" si="9"/>
        <v>1.6924907260201376</v>
      </c>
    </row>
    <row r="246" spans="2:21" ht="16.5" thickBot="1" x14ac:dyDescent="0.3">
      <c r="B246" s="12"/>
      <c r="C246" s="33">
        <v>496.0986328125</v>
      </c>
      <c r="D246" s="34">
        <v>27.93</v>
      </c>
      <c r="E246" s="34">
        <v>32.582999999999998</v>
      </c>
      <c r="F246" s="34">
        <v>31.265000000000001</v>
      </c>
      <c r="G246" s="20">
        <v>19.09</v>
      </c>
      <c r="H246" s="20">
        <f t="shared" si="10"/>
        <v>28.9285</v>
      </c>
      <c r="I246" s="5"/>
      <c r="J246" s="33">
        <v>304.57920000000001</v>
      </c>
      <c r="K246" s="34">
        <v>26.711500000000001</v>
      </c>
      <c r="L246" s="34">
        <v>33.826799999999999</v>
      </c>
      <c r="M246" s="34">
        <v>32.410699999999999</v>
      </c>
      <c r="N246" s="20">
        <v>63.854700000000001</v>
      </c>
      <c r="O246" s="20">
        <f t="shared" si="11"/>
        <v>28.313312499999999</v>
      </c>
      <c r="P246" s="7"/>
      <c r="Q246" s="13"/>
      <c r="R246" s="14"/>
      <c r="S246" s="14"/>
      <c r="T246" s="27"/>
      <c r="U246" s="28">
        <f t="shared" si="9"/>
        <v>2.3449292823467789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-0.15910564160677684</v>
      </c>
      <c r="R247" s="21">
        <f>AVERAGE(R131:R246)</f>
        <v>-0.33021217215643622</v>
      </c>
      <c r="S247" s="21">
        <f>AVERAGE(S131:S246)</f>
        <v>-0.33474372061884128</v>
      </c>
      <c r="T247" s="21">
        <f>AVERAGE(T131:T246)</f>
        <v>-0.19667920097614225</v>
      </c>
      <c r="U247" s="21">
        <f>AVERAGE(U131:U246)</f>
        <v>2.977919960101286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265" priority="85" operator="greaterThan">
      <formula>0.03</formula>
    </cfRule>
    <cfRule type="cellIs" dxfId="264" priority="86" stopIfTrue="1" operator="lessThan">
      <formula>-0.03</formula>
    </cfRule>
  </conditionalFormatting>
  <conditionalFormatting sqref="Q33:T36">
    <cfRule type="cellIs" dxfId="263" priority="83" operator="greaterThan">
      <formula>0.03</formula>
    </cfRule>
    <cfRule type="cellIs" dxfId="262" priority="84" stopIfTrue="1" operator="lessThan">
      <formula>-0.03</formula>
    </cfRule>
  </conditionalFormatting>
  <conditionalFormatting sqref="Q46:T48 Q62:T64">
    <cfRule type="cellIs" dxfId="261" priority="81" operator="greaterThan">
      <formula>0.03</formula>
    </cfRule>
    <cfRule type="cellIs" dxfId="260" priority="82" stopIfTrue="1" operator="lessThan">
      <formula>-0.03</formula>
    </cfRule>
  </conditionalFormatting>
  <conditionalFormatting sqref="Q50:T52 Q54:T56 Q58:T60">
    <cfRule type="cellIs" dxfId="259" priority="79" operator="greaterThan">
      <formula>0.03</formula>
    </cfRule>
    <cfRule type="cellIs" dxfId="258" priority="80" stopIfTrue="1" operator="lessThan">
      <formula>-0.03</formula>
    </cfRule>
  </conditionalFormatting>
  <conditionalFormatting sqref="Q70:T72 Q74:T76">
    <cfRule type="cellIs" dxfId="257" priority="77" operator="greaterThan">
      <formula>0.03</formula>
    </cfRule>
    <cfRule type="cellIs" dxfId="256" priority="78" stopIfTrue="1" operator="lessThan">
      <formula>-0.03</formula>
    </cfRule>
  </conditionalFormatting>
  <conditionalFormatting sqref="Q66:T68">
    <cfRule type="cellIs" dxfId="255" priority="75" operator="greaterThan">
      <formula>0.03</formula>
    </cfRule>
    <cfRule type="cellIs" dxfId="254" priority="76" stopIfTrue="1" operator="lessThan">
      <formula>-0.03</formula>
    </cfRule>
  </conditionalFormatting>
  <conditionalFormatting sqref="Q78:T80">
    <cfRule type="cellIs" dxfId="253" priority="73" operator="greaterThan">
      <formula>0.03</formula>
    </cfRule>
    <cfRule type="cellIs" dxfId="252" priority="74" stopIfTrue="1" operator="lessThan">
      <formula>-0.03</formula>
    </cfRule>
  </conditionalFormatting>
  <conditionalFormatting sqref="Q21:T28">
    <cfRule type="cellIs" dxfId="251" priority="71" operator="greaterThan">
      <formula>0.03</formula>
    </cfRule>
    <cfRule type="cellIs" dxfId="250" priority="72" stopIfTrue="1" operator="lessThan">
      <formula>-0.03</formula>
    </cfRule>
  </conditionalFormatting>
  <conditionalFormatting sqref="Q151:T154 Q159:T166 Q131:T142">
    <cfRule type="cellIs" dxfId="249" priority="69" operator="greaterThan">
      <formula>0.03</formula>
    </cfRule>
    <cfRule type="cellIs" dxfId="248" priority="70" stopIfTrue="1" operator="lessThan">
      <formula>-0.03</formula>
    </cfRule>
  </conditionalFormatting>
  <conditionalFormatting sqref="Q155:T158">
    <cfRule type="cellIs" dxfId="247" priority="67" operator="greaterThan">
      <formula>0.03</formula>
    </cfRule>
    <cfRule type="cellIs" dxfId="246" priority="68" stopIfTrue="1" operator="lessThan">
      <formula>-0.03</formula>
    </cfRule>
  </conditionalFormatting>
  <conditionalFormatting sqref="Q167:T170 Q183:T186">
    <cfRule type="cellIs" dxfId="245" priority="65" operator="greaterThan">
      <formula>0.03</formula>
    </cfRule>
    <cfRule type="cellIs" dxfId="244" priority="66" stopIfTrue="1" operator="lessThan">
      <formula>-0.03</formula>
    </cfRule>
  </conditionalFormatting>
  <conditionalFormatting sqref="Q171:T182">
    <cfRule type="cellIs" dxfId="243" priority="63" operator="greaterThan">
      <formula>0.03</formula>
    </cfRule>
    <cfRule type="cellIs" dxfId="242" priority="64" stopIfTrue="1" operator="lessThan">
      <formula>-0.03</formula>
    </cfRule>
  </conditionalFormatting>
  <conditionalFormatting sqref="Q191:T198">
    <cfRule type="cellIs" dxfId="241" priority="61" operator="greaterThan">
      <formula>0.03</formula>
    </cfRule>
    <cfRule type="cellIs" dxfId="240" priority="62" stopIfTrue="1" operator="lessThan">
      <formula>-0.03</formula>
    </cfRule>
  </conditionalFormatting>
  <conditionalFormatting sqref="Q187:T190">
    <cfRule type="cellIs" dxfId="239" priority="59" operator="greaterThan">
      <formula>0.03</formula>
    </cfRule>
    <cfRule type="cellIs" dxfId="238" priority="60" stopIfTrue="1" operator="lessThan">
      <formula>-0.03</formula>
    </cfRule>
  </conditionalFormatting>
  <conditionalFormatting sqref="Q199:T202">
    <cfRule type="cellIs" dxfId="237" priority="57" operator="greaterThan">
      <formula>0.03</formula>
    </cfRule>
    <cfRule type="cellIs" dxfId="236" priority="58" stopIfTrue="1" operator="lessThan">
      <formula>-0.03</formula>
    </cfRule>
  </conditionalFormatting>
  <conditionalFormatting sqref="Q143:T150">
    <cfRule type="cellIs" dxfId="235" priority="55" operator="greaterThan">
      <formula>0.03</formula>
    </cfRule>
    <cfRule type="cellIs" dxfId="234" priority="56" stopIfTrue="1" operator="lessThan">
      <formula>-0.03</formula>
    </cfRule>
  </conditionalFormatting>
  <conditionalFormatting sqref="Q45:T45">
    <cfRule type="cellIs" dxfId="233" priority="53" operator="greaterThan">
      <formula>0.03</formula>
    </cfRule>
    <cfRule type="cellIs" dxfId="232" priority="54" stopIfTrue="1" operator="lessThan">
      <formula>-0.03</formula>
    </cfRule>
  </conditionalFormatting>
  <conditionalFormatting sqref="Q49:T49">
    <cfRule type="cellIs" dxfId="231" priority="51" operator="greaterThan">
      <formula>0.03</formula>
    </cfRule>
    <cfRule type="cellIs" dxfId="230" priority="52" stopIfTrue="1" operator="lessThan">
      <formula>-0.03</formula>
    </cfRule>
  </conditionalFormatting>
  <conditionalFormatting sqref="Q53:T5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Q57:T57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Q61:T61">
    <cfRule type="cellIs" dxfId="225" priority="45" operator="greaterThan">
      <formula>0.03</formula>
    </cfRule>
    <cfRule type="cellIs" dxfId="224" priority="46" stopIfTrue="1" operator="lessThan">
      <formula>-0.03</formula>
    </cfRule>
  </conditionalFormatting>
  <conditionalFormatting sqref="Q65:T65">
    <cfRule type="cellIs" dxfId="223" priority="43" operator="greaterThan">
      <formula>0.03</formula>
    </cfRule>
    <cfRule type="cellIs" dxfId="222" priority="44" stopIfTrue="1" operator="lessThan">
      <formula>-0.03</formula>
    </cfRule>
  </conditionalFormatting>
  <conditionalFormatting sqref="Q69:T69">
    <cfRule type="cellIs" dxfId="221" priority="41" operator="greaterThan">
      <formula>0.03</formula>
    </cfRule>
    <cfRule type="cellIs" dxfId="220" priority="42" stopIfTrue="1" operator="lessThan">
      <formula>-0.03</formula>
    </cfRule>
  </conditionalFormatting>
  <conditionalFormatting sqref="Q73:T73">
    <cfRule type="cellIs" dxfId="219" priority="39" operator="greaterThan">
      <formula>0.03</formula>
    </cfRule>
    <cfRule type="cellIs" dxfId="218" priority="40" stopIfTrue="1" operator="lessThan">
      <formula>-0.03</formula>
    </cfRule>
  </conditionalFormatting>
  <conditionalFormatting sqref="Q77:T77">
    <cfRule type="cellIs" dxfId="217" priority="37" operator="greaterThan">
      <formula>0.03</formula>
    </cfRule>
    <cfRule type="cellIs" dxfId="216" priority="38" stopIfTrue="1" operator="lessThan">
      <formula>-0.03</formula>
    </cfRule>
  </conditionalFormatting>
  <conditionalFormatting sqref="Q117:T117">
    <cfRule type="cellIs" dxfId="215" priority="21" operator="greaterThan">
      <formula>0.03</formula>
    </cfRule>
    <cfRule type="cellIs" dxfId="214" priority="22" stopIfTrue="1" operator="lessThan">
      <formula>-0.03</formula>
    </cfRule>
  </conditionalFormatting>
  <conditionalFormatting sqref="Q93:T96 Q101:T108 Q81:T84">
    <cfRule type="cellIs" dxfId="213" priority="35" operator="greaterThan">
      <formula>0.03</formula>
    </cfRule>
    <cfRule type="cellIs" dxfId="212" priority="36" stopIfTrue="1" operator="lessThan">
      <formula>-0.03</formula>
    </cfRule>
  </conditionalFormatting>
  <conditionalFormatting sqref="Q97:T100">
    <cfRule type="cellIs" dxfId="211" priority="33" operator="greaterThan">
      <formula>0.03</formula>
    </cfRule>
    <cfRule type="cellIs" dxfId="210" priority="34" stopIfTrue="1" operator="lessThan">
      <formula>-0.03</formula>
    </cfRule>
  </conditionalFormatting>
  <conditionalFormatting sqref="Q110:T112 Q122:T124">
    <cfRule type="cellIs" dxfId="209" priority="31" operator="greaterThan">
      <formula>0.03</formula>
    </cfRule>
    <cfRule type="cellIs" dxfId="208" priority="32" stopIfTrue="1" operator="lessThan">
      <formula>-0.03</formula>
    </cfRule>
  </conditionalFormatting>
  <conditionalFormatting sqref="Q114:T116 Q118:T120">
    <cfRule type="cellIs" dxfId="207" priority="29" operator="greaterThan">
      <formula>0.03</formula>
    </cfRule>
    <cfRule type="cellIs" dxfId="206" priority="30" stopIfTrue="1" operator="lessThan">
      <formula>-0.03</formula>
    </cfRule>
  </conditionalFormatting>
  <conditionalFormatting sqref="Q85:T92">
    <cfRule type="cellIs" dxfId="205" priority="27" operator="greaterThan">
      <formula>0.03</formula>
    </cfRule>
    <cfRule type="cellIs" dxfId="204" priority="28" stopIfTrue="1" operator="lessThan">
      <formula>-0.03</formula>
    </cfRule>
  </conditionalFormatting>
  <conditionalFormatting sqref="Q109:T109">
    <cfRule type="cellIs" dxfId="203" priority="25" operator="greaterThan">
      <formula>0.03</formula>
    </cfRule>
    <cfRule type="cellIs" dxfId="202" priority="26" stopIfTrue="1" operator="lessThan">
      <formula>-0.03</formula>
    </cfRule>
  </conditionalFormatting>
  <conditionalFormatting sqref="Q113:T113">
    <cfRule type="cellIs" dxfId="201" priority="23" operator="greaterThan">
      <formula>0.03</formula>
    </cfRule>
    <cfRule type="cellIs" dxfId="200" priority="24" stopIfTrue="1" operator="lessThan">
      <formula>-0.03</formula>
    </cfRule>
  </conditionalFormatting>
  <conditionalFormatting sqref="Q121:T121">
    <cfRule type="cellIs" dxfId="199" priority="19" operator="greaterThan">
      <formula>0.03</formula>
    </cfRule>
    <cfRule type="cellIs" dxfId="198" priority="20" stopIfTrue="1" operator="lessThan">
      <formula>-0.03</formula>
    </cfRule>
  </conditionalFormatting>
  <conditionalFormatting sqref="Q239:T239">
    <cfRule type="cellIs" dxfId="197" priority="3" operator="greaterThan">
      <formula>0.03</formula>
    </cfRule>
    <cfRule type="cellIs" dxfId="196" priority="4" stopIfTrue="1" operator="lessThan">
      <formula>-0.03</formula>
    </cfRule>
  </conditionalFormatting>
  <conditionalFormatting sqref="Q215:T218 Q223:T230 Q203:T206">
    <cfRule type="cellIs" dxfId="195" priority="17" operator="greaterThan">
      <formula>0.03</formula>
    </cfRule>
    <cfRule type="cellIs" dxfId="194" priority="18" stopIfTrue="1" operator="lessThan">
      <formula>-0.03</formula>
    </cfRule>
  </conditionalFormatting>
  <conditionalFormatting sqref="Q219:T222">
    <cfRule type="cellIs" dxfId="193" priority="15" operator="greaterThan">
      <formula>0.03</formula>
    </cfRule>
    <cfRule type="cellIs" dxfId="192" priority="16" stopIfTrue="1" operator="lessThan">
      <formula>-0.03</formula>
    </cfRule>
  </conditionalFormatting>
  <conditionalFormatting sqref="Q232:T234 Q244:T246">
    <cfRule type="cellIs" dxfId="191" priority="13" operator="greaterThan">
      <formula>0.03</formula>
    </cfRule>
    <cfRule type="cellIs" dxfId="190" priority="14" stopIfTrue="1" operator="lessThan">
      <formula>-0.03</formula>
    </cfRule>
  </conditionalFormatting>
  <conditionalFormatting sqref="Q236:T238 Q240:T242">
    <cfRule type="cellIs" dxfId="189" priority="11" operator="greaterThan">
      <formula>0.03</formula>
    </cfRule>
    <cfRule type="cellIs" dxfId="188" priority="12" stopIfTrue="1" operator="lessThan">
      <formula>-0.03</formula>
    </cfRule>
  </conditionalFormatting>
  <conditionalFormatting sqref="Q207:T214">
    <cfRule type="cellIs" dxfId="187" priority="9" operator="greaterThan">
      <formula>0.03</formula>
    </cfRule>
    <cfRule type="cellIs" dxfId="186" priority="10" stopIfTrue="1" operator="lessThan">
      <formula>-0.03</formula>
    </cfRule>
  </conditionalFormatting>
  <conditionalFormatting sqref="Q231:T231">
    <cfRule type="cellIs" dxfId="185" priority="7" operator="greaterThan">
      <formula>0.03</formula>
    </cfRule>
    <cfRule type="cellIs" dxfId="184" priority="8" stopIfTrue="1" operator="lessThan">
      <formula>-0.03</formula>
    </cfRule>
  </conditionalFormatting>
  <conditionalFormatting sqref="Q235:T235">
    <cfRule type="cellIs" dxfId="183" priority="5" operator="greaterThan">
      <formula>0.03</formula>
    </cfRule>
    <cfRule type="cellIs" dxfId="182" priority="6" stopIfTrue="1" operator="lessThan">
      <formula>-0.03</formula>
    </cfRule>
  </conditionalFormatting>
  <conditionalFormatting sqref="Q243:T243">
    <cfRule type="cellIs" dxfId="181" priority="1" operator="greaterThan">
      <formula>0.03</formula>
    </cfRule>
    <cfRule type="cellIs" dxfId="180" priority="2" stopIfTrue="1" operator="lessThan">
      <formula>-0.03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>
      <selection sqref="A1:XFD1048576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0" width="6.625" customWidth="1"/>
    <col min="21" max="21" width="9.25" customWidth="1"/>
  </cols>
  <sheetData>
    <row r="1" spans="1:21" x14ac:dyDescent="0.25">
      <c r="A1" t="s">
        <v>134</v>
      </c>
    </row>
    <row r="2" spans="1:21" x14ac:dyDescent="0.25">
      <c r="A2" t="s">
        <v>85</v>
      </c>
    </row>
    <row r="3" spans="1:21" x14ac:dyDescent="0.25">
      <c r="A3" t="s">
        <v>91</v>
      </c>
    </row>
    <row r="4" spans="1:21" x14ac:dyDescent="0.25">
      <c r="A4" t="s">
        <v>85</v>
      </c>
    </row>
    <row r="5" spans="1:21" s="35" customFormat="1" ht="15.75" customHeight="1" x14ac:dyDescent="0.25">
      <c r="B5" s="58" t="s">
        <v>29</v>
      </c>
      <c r="C5" s="60" t="s">
        <v>135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2"/>
    </row>
    <row r="6" spans="1:21" s="35" customFormat="1" x14ac:dyDescent="0.25">
      <c r="B6" s="59"/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5"/>
    </row>
    <row r="7" spans="1:21" ht="16.5" customHeight="1" thickBot="1" x14ac:dyDescent="0.3">
      <c r="C7" s="66" t="s">
        <v>125</v>
      </c>
      <c r="D7" s="67"/>
      <c r="E7" s="67"/>
      <c r="F7" s="67"/>
      <c r="G7" s="67"/>
      <c r="H7" s="67"/>
      <c r="I7" s="5"/>
      <c r="J7" s="66" t="s">
        <v>136</v>
      </c>
      <c r="K7" s="67"/>
      <c r="L7" s="67"/>
      <c r="M7" s="67"/>
      <c r="N7" s="67"/>
      <c r="O7" s="67"/>
      <c r="Q7" s="66" t="s">
        <v>7</v>
      </c>
      <c r="R7" s="67"/>
      <c r="S7" s="68"/>
      <c r="T7" s="36"/>
      <c r="U7" s="6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9"/>
    </row>
    <row r="9" spans="1:21" x14ac:dyDescent="0.25">
      <c r="A9" s="6" t="s">
        <v>35</v>
      </c>
      <c r="B9" s="6" t="s">
        <v>46</v>
      </c>
      <c r="C9" s="15">
        <v>4221.4296875</v>
      </c>
      <c r="D9" s="16">
        <v>38.896999999999998</v>
      </c>
      <c r="E9" s="16">
        <v>39.734999999999999</v>
      </c>
      <c r="F9" s="16">
        <v>42.220999999999997</v>
      </c>
      <c r="G9" s="16">
        <v>0.23</v>
      </c>
      <c r="H9" s="16">
        <f t="shared" ref="H9:H80" si="0">(6*D9+E9+F9)/8</f>
        <v>39.417250000000003</v>
      </c>
      <c r="I9" s="5"/>
      <c r="J9" s="15">
        <v>4099.2608</v>
      </c>
      <c r="K9" s="16">
        <v>38.763800000000003</v>
      </c>
      <c r="L9" s="16">
        <v>40.285899999999998</v>
      </c>
      <c r="M9" s="16">
        <v>43.0764</v>
      </c>
      <c r="N9" s="16">
        <v>1.7606999999999999</v>
      </c>
      <c r="O9" s="16">
        <f t="shared" ref="O9:O80" si="1">(6*K9+L9+M9)/8</f>
        <v>39.493137499999996</v>
      </c>
      <c r="P9" s="7"/>
      <c r="Q9" s="8">
        <f>bdrate(C9:C12,D9:D12,J9:J12,K9:K12)</f>
        <v>-0.1040096517572493</v>
      </c>
      <c r="R9" s="8">
        <f>bdrate(C9:C12,E9:E12,J9:J12,L9:L12)</f>
        <v>-0.4353564839050631</v>
      </c>
      <c r="S9" s="8">
        <f>bdrate(C9:C12,F9:F12,J9:J12,M9:M12)</f>
        <v>-0.4353154144960365</v>
      </c>
      <c r="T9" s="25">
        <f>bdrate(C9:C12,H9:H12,J9:J12,O9:O12)</f>
        <v>-0.16641980834424785</v>
      </c>
      <c r="U9" s="28">
        <f t="shared" ref="U9:U72" si="2">(N9-G9)/G9</f>
        <v>6.6552173913043475</v>
      </c>
    </row>
    <row r="10" spans="1:21" x14ac:dyDescent="0.25">
      <c r="A10" s="9" t="s">
        <v>36</v>
      </c>
      <c r="B10" s="9"/>
      <c r="C10" s="17">
        <v>3128.9248046875</v>
      </c>
      <c r="D10" s="18">
        <v>37.802</v>
      </c>
      <c r="E10" s="18">
        <v>39.009</v>
      </c>
      <c r="F10" s="18">
        <v>41.427</v>
      </c>
      <c r="G10" s="18">
        <v>0.23</v>
      </c>
      <c r="H10" s="18">
        <f t="shared" si="0"/>
        <v>38.406000000000006</v>
      </c>
      <c r="I10" s="5"/>
      <c r="J10" s="17">
        <v>3002.8624</v>
      </c>
      <c r="K10" s="18">
        <v>37.816299999999998</v>
      </c>
      <c r="L10" s="18">
        <v>39.824800000000003</v>
      </c>
      <c r="M10" s="18">
        <v>42.427799999999998</v>
      </c>
      <c r="N10" s="18">
        <v>2.1141999999999999</v>
      </c>
      <c r="O10" s="18">
        <f t="shared" si="1"/>
        <v>38.643799999999999</v>
      </c>
      <c r="P10" s="7"/>
      <c r="Q10" s="10"/>
      <c r="R10" s="11"/>
      <c r="S10" s="11"/>
      <c r="T10" s="26"/>
      <c r="U10" s="28">
        <f t="shared" si="2"/>
        <v>8.1921739130434776</v>
      </c>
    </row>
    <row r="11" spans="1:21" x14ac:dyDescent="0.25">
      <c r="B11" s="9"/>
      <c r="C11" s="17">
        <v>2072.453125</v>
      </c>
      <c r="D11" s="18">
        <v>36.213000000000001</v>
      </c>
      <c r="E11" s="18">
        <v>38.063000000000002</v>
      </c>
      <c r="F11" s="18">
        <v>40.421999999999997</v>
      </c>
      <c r="G11" s="18">
        <v>0.25</v>
      </c>
      <c r="H11" s="18">
        <f t="shared" si="0"/>
        <v>36.970375000000004</v>
      </c>
      <c r="I11" s="5"/>
      <c r="J11" s="17">
        <v>1971.7760000000001</v>
      </c>
      <c r="K11" s="18">
        <v>36.442500000000003</v>
      </c>
      <c r="L11" s="18">
        <v>39.150100000000002</v>
      </c>
      <c r="M11" s="18">
        <v>41.607900000000001</v>
      </c>
      <c r="N11" s="18">
        <v>2.6621000000000001</v>
      </c>
      <c r="O11" s="18">
        <f t="shared" si="1"/>
        <v>37.426625000000001</v>
      </c>
      <c r="P11" s="7"/>
      <c r="Q11" s="10"/>
      <c r="R11" s="11"/>
      <c r="S11" s="11"/>
      <c r="T11" s="26"/>
      <c r="U11" s="28">
        <f t="shared" si="2"/>
        <v>9.6484000000000005</v>
      </c>
    </row>
    <row r="12" spans="1:21" ht="16.5" thickBot="1" x14ac:dyDescent="0.3">
      <c r="B12" s="12"/>
      <c r="C12" s="19">
        <v>1039.388671875</v>
      </c>
      <c r="D12" s="20">
        <v>33.363999999999997</v>
      </c>
      <c r="E12" s="20">
        <v>36.378</v>
      </c>
      <c r="F12" s="20">
        <v>38.808999999999997</v>
      </c>
      <c r="G12" s="20">
        <v>0.28000000000000003</v>
      </c>
      <c r="H12" s="20">
        <f t="shared" si="0"/>
        <v>34.421374999999998</v>
      </c>
      <c r="I12" s="5"/>
      <c r="J12" s="19">
        <v>904.94399999999996</v>
      </c>
      <c r="K12" s="20">
        <v>33.603999999999999</v>
      </c>
      <c r="L12" s="20">
        <v>37.743200000000002</v>
      </c>
      <c r="M12" s="20">
        <v>40.010399999999997</v>
      </c>
      <c r="N12" s="20">
        <v>4.1969000000000003</v>
      </c>
      <c r="O12" s="20">
        <f t="shared" si="1"/>
        <v>34.922199999999997</v>
      </c>
      <c r="P12" s="7"/>
      <c r="Q12" s="13"/>
      <c r="R12" s="14"/>
      <c r="S12" s="14"/>
      <c r="T12" s="27"/>
      <c r="U12" s="28">
        <f t="shared" si="2"/>
        <v>13.98892857142857</v>
      </c>
    </row>
    <row r="13" spans="1:21" x14ac:dyDescent="0.25">
      <c r="B13" s="6" t="s">
        <v>47</v>
      </c>
      <c r="C13" s="15">
        <v>4633.390625</v>
      </c>
      <c r="D13" s="16">
        <v>30.658000000000001</v>
      </c>
      <c r="E13" s="16">
        <v>40.79</v>
      </c>
      <c r="F13" s="16">
        <v>41.505000000000003</v>
      </c>
      <c r="G13" s="16">
        <v>0.16</v>
      </c>
      <c r="H13" s="16">
        <f t="shared" si="0"/>
        <v>33.280374999999999</v>
      </c>
      <c r="I13" s="5"/>
      <c r="J13" s="15">
        <v>4112.32</v>
      </c>
      <c r="K13" s="16">
        <v>30.174299999999999</v>
      </c>
      <c r="L13" s="16">
        <v>41.105699999999999</v>
      </c>
      <c r="M13" s="16">
        <v>41.896099999999997</v>
      </c>
      <c r="N13" s="16">
        <v>1.2716000000000001</v>
      </c>
      <c r="O13" s="16">
        <f t="shared" si="1"/>
        <v>33.005949999999999</v>
      </c>
      <c r="P13" s="7"/>
      <c r="Q13" s="8">
        <f>bdrate(C13:C16,D13:D16,J13:J16,K13:K16)</f>
        <v>6.3449865142451101E-2</v>
      </c>
      <c r="R13" s="8">
        <f>bdrate(C13:C16,E13:E16,J13:J16,L13:L16)</f>
        <v>-0.396818870948905</v>
      </c>
      <c r="S13" s="8">
        <f>bdrate(C13:C16,F13:F16,J13:J16,M13:M16)</f>
        <v>-0.43427547477486417</v>
      </c>
      <c r="T13" s="25">
        <f>bdrate(C13:C16,H13:H16,J13:J16,O13:O16)</f>
        <v>-2.3576558551355875E-2</v>
      </c>
      <c r="U13" s="28">
        <f t="shared" si="2"/>
        <v>6.9475000000000007</v>
      </c>
    </row>
    <row r="14" spans="1:21" x14ac:dyDescent="0.25">
      <c r="B14" s="9"/>
      <c r="C14" s="17">
        <v>3746.86328125</v>
      </c>
      <c r="D14" s="18">
        <v>29.812999999999999</v>
      </c>
      <c r="E14" s="18">
        <v>40.15</v>
      </c>
      <c r="F14" s="18">
        <v>40.962000000000003</v>
      </c>
      <c r="G14" s="18">
        <v>0.15</v>
      </c>
      <c r="H14" s="18">
        <f t="shared" si="0"/>
        <v>32.498750000000001</v>
      </c>
      <c r="I14" s="5"/>
      <c r="J14" s="17">
        <v>3067.4144000000001</v>
      </c>
      <c r="K14" s="18">
        <v>28.848500000000001</v>
      </c>
      <c r="L14" s="18">
        <v>40.563299999999998</v>
      </c>
      <c r="M14" s="18">
        <v>41.465000000000003</v>
      </c>
      <c r="N14" s="18">
        <v>1.4921</v>
      </c>
      <c r="O14" s="18">
        <f t="shared" si="1"/>
        <v>31.889912500000001</v>
      </c>
      <c r="P14" s="7"/>
      <c r="Q14" s="10"/>
      <c r="R14" s="11"/>
      <c r="S14" s="11"/>
      <c r="T14" s="26"/>
      <c r="U14" s="28">
        <f t="shared" si="2"/>
        <v>8.9473333333333347</v>
      </c>
    </row>
    <row r="15" spans="1:21" x14ac:dyDescent="0.25">
      <c r="B15" s="9"/>
      <c r="C15" s="17">
        <v>3060.19921875</v>
      </c>
      <c r="D15" s="18">
        <v>29.253</v>
      </c>
      <c r="E15" s="18">
        <v>39.179000000000002</v>
      </c>
      <c r="F15" s="18">
        <v>40.192999999999998</v>
      </c>
      <c r="G15" s="18">
        <v>0.15</v>
      </c>
      <c r="H15" s="18">
        <f t="shared" si="0"/>
        <v>31.861249999999998</v>
      </c>
      <c r="I15" s="5"/>
      <c r="J15" s="17">
        <v>2059.1743999999999</v>
      </c>
      <c r="K15" s="18">
        <v>27.0932</v>
      </c>
      <c r="L15" s="18">
        <v>39.745800000000003</v>
      </c>
      <c r="M15" s="18">
        <v>40.804400000000001</v>
      </c>
      <c r="N15" s="18">
        <v>1.8976</v>
      </c>
      <c r="O15" s="18">
        <f t="shared" si="1"/>
        <v>30.388674999999999</v>
      </c>
      <c r="P15" s="7"/>
      <c r="Q15" s="10"/>
      <c r="R15" s="11"/>
      <c r="S15" s="11"/>
      <c r="T15" s="26"/>
      <c r="U15" s="28">
        <f t="shared" si="2"/>
        <v>11.650666666666668</v>
      </c>
    </row>
    <row r="16" spans="1:21" ht="16.5" thickBot="1" x14ac:dyDescent="0.3">
      <c r="B16" s="12"/>
      <c r="C16" s="19">
        <v>2629.990234375</v>
      </c>
      <c r="D16" s="20">
        <v>28.727</v>
      </c>
      <c r="E16" s="20">
        <v>38.055</v>
      </c>
      <c r="F16" s="20">
        <v>39.241</v>
      </c>
      <c r="G16" s="20">
        <v>0.14000000000000001</v>
      </c>
      <c r="H16" s="20">
        <f t="shared" si="0"/>
        <v>31.207250000000002</v>
      </c>
      <c r="I16" s="5"/>
      <c r="J16" s="19">
        <v>1390.3568</v>
      </c>
      <c r="K16" s="20">
        <v>25.843900000000001</v>
      </c>
      <c r="L16" s="20">
        <v>38.586199999999998</v>
      </c>
      <c r="M16" s="20">
        <v>39.775100000000002</v>
      </c>
      <c r="N16" s="20">
        <v>2.2018</v>
      </c>
      <c r="O16" s="20">
        <f t="shared" si="1"/>
        <v>29.1780875</v>
      </c>
      <c r="P16" s="7"/>
      <c r="Q16" s="13"/>
      <c r="R16" s="14"/>
      <c r="S16" s="14"/>
      <c r="T16" s="27"/>
      <c r="U16" s="28">
        <f t="shared" si="2"/>
        <v>14.727142857142855</v>
      </c>
    </row>
    <row r="17" spans="1:21" x14ac:dyDescent="0.25">
      <c r="A17" s="6" t="s">
        <v>37</v>
      </c>
      <c r="B17" s="6" t="s">
        <v>48</v>
      </c>
      <c r="C17" s="15">
        <v>2154.9833984375</v>
      </c>
      <c r="D17" s="16">
        <v>39.311</v>
      </c>
      <c r="E17" s="16">
        <v>42.09</v>
      </c>
      <c r="F17" s="16">
        <v>43.451000000000001</v>
      </c>
      <c r="G17" s="16">
        <v>0.38</v>
      </c>
      <c r="H17" s="16">
        <f t="shared" si="0"/>
        <v>40.175875000000005</v>
      </c>
      <c r="I17" s="5"/>
      <c r="J17" s="15">
        <v>2368.3184000000001</v>
      </c>
      <c r="K17" s="16">
        <v>39.581200000000003</v>
      </c>
      <c r="L17" s="16">
        <v>42.519300000000001</v>
      </c>
      <c r="M17" s="16">
        <v>44.275100000000002</v>
      </c>
      <c r="N17" s="16">
        <v>2.2452000000000001</v>
      </c>
      <c r="O17" s="16">
        <f t="shared" si="1"/>
        <v>40.535200000000003</v>
      </c>
      <c r="P17" s="7"/>
      <c r="Q17" s="8">
        <f>bdrate(C17:C20,D17:D20,J17:J20,K17:K20)</f>
        <v>-3.4334409779566366E-2</v>
      </c>
      <c r="R17" s="8">
        <f>bdrate(C17:C20,E17:E20,J17:J20,L17:L20)</f>
        <v>-0.28322885416025267</v>
      </c>
      <c r="S17" s="8">
        <f>bdrate(C17:C20,F17:F20,J17:J20,M17:M20)</f>
        <v>-0.33791722617714348</v>
      </c>
      <c r="T17" s="25">
        <f>bdrate(C17:C20,H17:H20,J17:J20,O17:O20)</f>
        <v>-8.6272682634480735E-2</v>
      </c>
      <c r="U17" s="28">
        <f t="shared" si="2"/>
        <v>4.9084210526315797</v>
      </c>
    </row>
    <row r="18" spans="1:21" x14ac:dyDescent="0.25">
      <c r="A18" s="9" t="s">
        <v>38</v>
      </c>
      <c r="B18" s="9"/>
      <c r="C18" s="17">
        <v>1505.3359375</v>
      </c>
      <c r="D18" s="18">
        <v>38.183</v>
      </c>
      <c r="E18" s="18">
        <v>41.435000000000002</v>
      </c>
      <c r="F18" s="18">
        <v>42.654000000000003</v>
      </c>
      <c r="G18" s="18">
        <v>0.43</v>
      </c>
      <c r="H18" s="18">
        <f t="shared" si="0"/>
        <v>39.148375000000001</v>
      </c>
      <c r="I18" s="5"/>
      <c r="J18" s="17">
        <v>1568.9007999999999</v>
      </c>
      <c r="K18" s="18">
        <v>38.454999999999998</v>
      </c>
      <c r="L18" s="18">
        <v>41.940800000000003</v>
      </c>
      <c r="M18" s="18">
        <v>43.462000000000003</v>
      </c>
      <c r="N18" s="18">
        <v>2.8279999999999998</v>
      </c>
      <c r="O18" s="18">
        <f t="shared" si="1"/>
        <v>39.516599999999997</v>
      </c>
      <c r="P18" s="7"/>
      <c r="Q18" s="10"/>
      <c r="R18" s="11"/>
      <c r="S18" s="11"/>
      <c r="T18" s="26"/>
      <c r="U18" s="28">
        <f t="shared" si="2"/>
        <v>5.5767441860465112</v>
      </c>
    </row>
    <row r="19" spans="1:21" x14ac:dyDescent="0.25">
      <c r="B19" s="9"/>
      <c r="C19" s="17">
        <v>969.6572265625</v>
      </c>
      <c r="D19" s="18">
        <v>36.795999999999999</v>
      </c>
      <c r="E19" s="18">
        <v>40.625999999999998</v>
      </c>
      <c r="F19" s="18">
        <v>41.753</v>
      </c>
      <c r="G19" s="18">
        <v>0.47</v>
      </c>
      <c r="H19" s="18">
        <f t="shared" si="0"/>
        <v>37.894374999999997</v>
      </c>
      <c r="I19" s="5"/>
      <c r="J19" s="17">
        <v>972.62800000000004</v>
      </c>
      <c r="K19" s="18">
        <v>36.921500000000002</v>
      </c>
      <c r="L19" s="18">
        <v>41.252000000000002</v>
      </c>
      <c r="M19" s="18">
        <v>42.585700000000003</v>
      </c>
      <c r="N19" s="18">
        <v>3.7816999999999998</v>
      </c>
      <c r="O19" s="18">
        <f t="shared" si="1"/>
        <v>38.170837500000005</v>
      </c>
      <c r="P19" s="7"/>
      <c r="Q19" s="10"/>
      <c r="R19" s="11"/>
      <c r="S19" s="11"/>
      <c r="T19" s="26"/>
      <c r="U19" s="28">
        <f t="shared" si="2"/>
        <v>7.0461702127659578</v>
      </c>
    </row>
    <row r="20" spans="1:21" ht="16.5" thickBot="1" x14ac:dyDescent="0.3">
      <c r="B20" s="12"/>
      <c r="C20" s="19">
        <v>597.296875</v>
      </c>
      <c r="D20" s="20">
        <v>35.218000000000004</v>
      </c>
      <c r="E20" s="20">
        <v>39.689</v>
      </c>
      <c r="F20" s="20">
        <v>40.872999999999998</v>
      </c>
      <c r="G20" s="20">
        <v>0.48</v>
      </c>
      <c r="H20" s="20">
        <f t="shared" si="0"/>
        <v>36.483750000000001</v>
      </c>
      <c r="I20" s="5"/>
      <c r="J20" s="19">
        <v>566.28160000000003</v>
      </c>
      <c r="K20" s="20">
        <v>35.105899999999998</v>
      </c>
      <c r="L20" s="20">
        <v>40.471800000000002</v>
      </c>
      <c r="M20" s="20">
        <v>41.7333</v>
      </c>
      <c r="N20" s="20">
        <v>5.1315999999999997</v>
      </c>
      <c r="O20" s="20">
        <f t="shared" si="1"/>
        <v>36.605062500000003</v>
      </c>
      <c r="P20" s="7"/>
      <c r="Q20" s="13"/>
      <c r="R20" s="14"/>
      <c r="S20" s="14"/>
      <c r="T20" s="27"/>
      <c r="U20" s="28">
        <f t="shared" si="2"/>
        <v>9.6908333333333339</v>
      </c>
    </row>
    <row r="21" spans="1:21" x14ac:dyDescent="0.25">
      <c r="B21" s="6" t="s">
        <v>49</v>
      </c>
      <c r="C21" s="15">
        <v>2519.8701171875</v>
      </c>
      <c r="D21" s="16">
        <v>36.835999999999999</v>
      </c>
      <c r="E21" s="16">
        <v>40.183999999999997</v>
      </c>
      <c r="F21" s="16">
        <v>41.277000000000001</v>
      </c>
      <c r="G21" s="16">
        <v>0.32</v>
      </c>
      <c r="H21" s="16">
        <f t="shared" si="0"/>
        <v>37.809624999999997</v>
      </c>
      <c r="I21" s="5"/>
      <c r="J21" s="15">
        <v>2552.0344</v>
      </c>
      <c r="K21" s="16">
        <v>36.871899999999997</v>
      </c>
      <c r="L21" s="16">
        <v>40.9895</v>
      </c>
      <c r="M21" s="16">
        <v>42.372999999999998</v>
      </c>
      <c r="N21" s="16">
        <v>2.5280999999999998</v>
      </c>
      <c r="O21" s="16">
        <f t="shared" si="1"/>
        <v>38.074237499999995</v>
      </c>
      <c r="P21" s="7"/>
      <c r="Q21" s="8">
        <f>bdrate(C21:C24,D21:D24,J21:J24,K21:K24)</f>
        <v>-4.6169500535258479E-2</v>
      </c>
      <c r="R21" s="8">
        <f>bdrate(C21:C24,E21:E24,J21:J24,L21:L24)</f>
        <v>-0.3971693843833306</v>
      </c>
      <c r="S21" s="8">
        <f>bdrate(C21:C24,F21:F24,J21:J24,M21:M24)</f>
        <v>-0.43761339720512638</v>
      </c>
      <c r="T21" s="25">
        <f>bdrate(C21:C24,H21:H24,J21:J24,O21:O24)</f>
        <v>-0.12757082805193831</v>
      </c>
      <c r="U21" s="28">
        <f t="shared" si="2"/>
        <v>6.9003125000000001</v>
      </c>
    </row>
    <row r="22" spans="1:21" x14ac:dyDescent="0.25">
      <c r="B22" s="9"/>
      <c r="C22" s="17">
        <v>1692.587890625</v>
      </c>
      <c r="D22" s="18">
        <v>35.494999999999997</v>
      </c>
      <c r="E22" s="18">
        <v>39.162999999999997</v>
      </c>
      <c r="F22" s="18">
        <v>40.256</v>
      </c>
      <c r="G22" s="18">
        <v>0.34</v>
      </c>
      <c r="H22" s="18">
        <f t="shared" si="0"/>
        <v>36.548625000000001</v>
      </c>
      <c r="I22" s="5"/>
      <c r="J22" s="17">
        <v>1659.8696</v>
      </c>
      <c r="K22" s="18">
        <v>35.568199999999997</v>
      </c>
      <c r="L22" s="18">
        <v>40.1267</v>
      </c>
      <c r="M22" s="18">
        <v>41.3825</v>
      </c>
      <c r="N22" s="18">
        <v>3.2176999999999998</v>
      </c>
      <c r="O22" s="18">
        <f t="shared" si="1"/>
        <v>36.864800000000002</v>
      </c>
      <c r="P22" s="7"/>
      <c r="Q22" s="10"/>
      <c r="R22" s="11"/>
      <c r="S22" s="11"/>
      <c r="T22" s="26"/>
      <c r="U22" s="28">
        <f t="shared" si="2"/>
        <v>8.4638235294117639</v>
      </c>
    </row>
    <row r="23" spans="1:21" x14ac:dyDescent="0.25">
      <c r="B23" s="9"/>
      <c r="C23" s="17">
        <v>1041.5927734375</v>
      </c>
      <c r="D23" s="18">
        <v>33.905999999999999</v>
      </c>
      <c r="E23" s="18">
        <v>38</v>
      </c>
      <c r="F23" s="18">
        <v>39.286000000000001</v>
      </c>
      <c r="G23" s="18">
        <v>0.37</v>
      </c>
      <c r="H23" s="18">
        <f t="shared" si="0"/>
        <v>35.090249999999997</v>
      </c>
      <c r="I23" s="5"/>
      <c r="J23" s="17">
        <v>1030.2264</v>
      </c>
      <c r="K23" s="18">
        <v>34.054600000000001</v>
      </c>
      <c r="L23" s="18">
        <v>39.190300000000001</v>
      </c>
      <c r="M23" s="18">
        <v>40.4392</v>
      </c>
      <c r="N23" s="18">
        <v>4.1906999999999996</v>
      </c>
      <c r="O23" s="18">
        <f t="shared" si="1"/>
        <v>35.494637500000003</v>
      </c>
      <c r="P23" s="7"/>
      <c r="Q23" s="10"/>
      <c r="R23" s="11"/>
      <c r="S23" s="11"/>
      <c r="T23" s="26"/>
      <c r="U23" s="28">
        <f t="shared" si="2"/>
        <v>10.326216216216215</v>
      </c>
    </row>
    <row r="24" spans="1:21" ht="16.5" thickBot="1" x14ac:dyDescent="0.3">
      <c r="B24" s="12"/>
      <c r="C24" s="19">
        <v>619.904296875</v>
      </c>
      <c r="D24" s="20">
        <v>32.267000000000003</v>
      </c>
      <c r="E24" s="20">
        <v>36.892000000000003</v>
      </c>
      <c r="F24" s="20">
        <v>38.473999999999997</v>
      </c>
      <c r="G24" s="20">
        <v>0.37</v>
      </c>
      <c r="H24" s="20">
        <f t="shared" si="0"/>
        <v>33.621000000000002</v>
      </c>
      <c r="I24" s="5"/>
      <c r="J24" s="19">
        <v>613.66240000000005</v>
      </c>
      <c r="K24" s="20">
        <v>32.447499999999998</v>
      </c>
      <c r="L24" s="20">
        <v>38.203499999999998</v>
      </c>
      <c r="M24" s="20">
        <v>39.537100000000002</v>
      </c>
      <c r="N24" s="20">
        <v>5.6638999999999999</v>
      </c>
      <c r="O24" s="20">
        <f t="shared" si="1"/>
        <v>34.053199999999997</v>
      </c>
      <c r="P24" s="7"/>
      <c r="Q24" s="13"/>
      <c r="R24" s="14"/>
      <c r="S24" s="14"/>
      <c r="T24" s="27"/>
      <c r="U24" s="28">
        <f t="shared" si="2"/>
        <v>14.307837837837837</v>
      </c>
    </row>
    <row r="25" spans="1:21" x14ac:dyDescent="0.25">
      <c r="B25" s="6" t="s">
        <v>50</v>
      </c>
      <c r="C25" s="15">
        <v>2451.6630859375</v>
      </c>
      <c r="D25" s="16">
        <v>34.826999999999998</v>
      </c>
      <c r="E25" s="16">
        <v>38.302999999999997</v>
      </c>
      <c r="F25" s="16">
        <v>40.366</v>
      </c>
      <c r="G25" s="16">
        <v>0.38</v>
      </c>
      <c r="H25" s="16">
        <f t="shared" si="0"/>
        <v>35.953874999999996</v>
      </c>
      <c r="I25" s="5"/>
      <c r="J25" s="15">
        <v>2408.7192</v>
      </c>
      <c r="K25" s="16">
        <v>35.136000000000003</v>
      </c>
      <c r="L25" s="16">
        <v>38.702800000000003</v>
      </c>
      <c r="M25" s="16">
        <v>41.369199999999999</v>
      </c>
      <c r="N25" s="16">
        <v>3.5143</v>
      </c>
      <c r="O25" s="16">
        <f t="shared" si="1"/>
        <v>36.361000000000004</v>
      </c>
      <c r="P25" s="7"/>
      <c r="Q25" s="8">
        <f>bdrate(C25:C28,D25:D28,J25:J28,K25:K28)</f>
        <v>-0.1542903712723428</v>
      </c>
      <c r="R25" s="8">
        <f>bdrate(C25:C28,E25:E28,J25:J28,L25:L28)</f>
        <v>-0.47889539068731168</v>
      </c>
      <c r="S25" s="8">
        <f>bdrate(C25:C28,F25:F28,J25:J28,M25:M28)</f>
        <v>-0.47244730733833207</v>
      </c>
      <c r="T25" s="25">
        <f>bdrate(C25:C28,H25:H28,J25:J28,O25:O28)</f>
        <v>-0.22015207833825445</v>
      </c>
      <c r="U25" s="28">
        <f t="shared" si="2"/>
        <v>8.2481578947368419</v>
      </c>
    </row>
    <row r="26" spans="1:21" x14ac:dyDescent="0.25">
      <c r="B26" s="9"/>
      <c r="C26" s="17">
        <v>1631.046875</v>
      </c>
      <c r="D26" s="18">
        <v>33.555</v>
      </c>
      <c r="E26" s="18">
        <v>37.628</v>
      </c>
      <c r="F26" s="18">
        <v>39.232999999999997</v>
      </c>
      <c r="G26" s="18">
        <v>0.4</v>
      </c>
      <c r="H26" s="18">
        <f t="shared" si="0"/>
        <v>34.773874999999997</v>
      </c>
      <c r="I26" s="5"/>
      <c r="J26" s="17">
        <v>1600.8768</v>
      </c>
      <c r="K26" s="18">
        <v>34.012099999999997</v>
      </c>
      <c r="L26" s="18">
        <v>38.330199999999998</v>
      </c>
      <c r="M26" s="18">
        <v>40.548699999999997</v>
      </c>
      <c r="N26" s="18">
        <v>4.4386000000000001</v>
      </c>
      <c r="O26" s="18">
        <f t="shared" si="1"/>
        <v>35.368937499999994</v>
      </c>
      <c r="P26" s="7"/>
      <c r="Q26" s="10"/>
      <c r="R26" s="11"/>
      <c r="S26" s="11"/>
      <c r="T26" s="26"/>
      <c r="U26" s="28">
        <f t="shared" si="2"/>
        <v>10.096499999999999</v>
      </c>
    </row>
    <row r="27" spans="1:21" x14ac:dyDescent="0.25">
      <c r="B27" s="9"/>
      <c r="C27" s="17">
        <v>1019.51953125</v>
      </c>
      <c r="D27" s="18">
        <v>31.968</v>
      </c>
      <c r="E27" s="18">
        <v>36.781999999999996</v>
      </c>
      <c r="F27" s="18">
        <v>37.880000000000003</v>
      </c>
      <c r="G27" s="18">
        <v>0.35</v>
      </c>
      <c r="H27" s="18">
        <f t="shared" si="0"/>
        <v>33.308749999999996</v>
      </c>
      <c r="I27" s="5"/>
      <c r="J27" s="17">
        <v>996.90319999999997</v>
      </c>
      <c r="K27" s="18">
        <v>32.4771</v>
      </c>
      <c r="L27" s="18">
        <v>37.871000000000002</v>
      </c>
      <c r="M27" s="18">
        <v>39.592599999999997</v>
      </c>
      <c r="N27" s="18">
        <v>5.8270999999999997</v>
      </c>
      <c r="O27" s="18">
        <f t="shared" si="1"/>
        <v>34.040774999999996</v>
      </c>
      <c r="P27" s="7"/>
      <c r="Q27" s="10"/>
      <c r="R27" s="11"/>
      <c r="S27" s="11"/>
      <c r="T27" s="26"/>
      <c r="U27" s="28">
        <f t="shared" si="2"/>
        <v>15.648857142857144</v>
      </c>
    </row>
    <row r="28" spans="1:21" ht="16.5" thickBot="1" x14ac:dyDescent="0.3">
      <c r="B28" s="12"/>
      <c r="C28" s="19">
        <v>638.4892578125</v>
      </c>
      <c r="D28" s="20">
        <v>30.35</v>
      </c>
      <c r="E28" s="20">
        <v>35.832000000000001</v>
      </c>
      <c r="F28" s="20">
        <v>36.453000000000003</v>
      </c>
      <c r="G28" s="20">
        <v>0.28999999999999998</v>
      </c>
      <c r="H28" s="20">
        <f t="shared" si="0"/>
        <v>31.798125000000002</v>
      </c>
      <c r="I28" s="5"/>
      <c r="J28" s="19">
        <v>591.71839999999997</v>
      </c>
      <c r="K28" s="20">
        <v>30.704799999999999</v>
      </c>
      <c r="L28" s="20">
        <v>37.216299999999997</v>
      </c>
      <c r="M28" s="20">
        <v>38.502699999999997</v>
      </c>
      <c r="N28" s="20">
        <v>8.1471999999999998</v>
      </c>
      <c r="O28" s="20">
        <f t="shared" si="1"/>
        <v>32.493474999999997</v>
      </c>
      <c r="P28" s="7"/>
      <c r="Q28" s="13"/>
      <c r="R28" s="14"/>
      <c r="S28" s="14"/>
      <c r="T28" s="27"/>
      <c r="U28" s="28">
        <f t="shared" si="2"/>
        <v>27.093793103448277</v>
      </c>
    </row>
    <row r="29" spans="1:21" x14ac:dyDescent="0.25">
      <c r="B29" s="6" t="s">
        <v>51</v>
      </c>
      <c r="C29" s="29">
        <v>2304.39453125</v>
      </c>
      <c r="D29" s="30">
        <v>34.692</v>
      </c>
      <c r="E29" s="30">
        <v>40.799999999999997</v>
      </c>
      <c r="F29" s="30">
        <v>40.356000000000002</v>
      </c>
      <c r="G29" s="16">
        <v>0.44</v>
      </c>
      <c r="H29" s="16">
        <f t="shared" si="0"/>
        <v>36.163499999999999</v>
      </c>
      <c r="I29" s="5"/>
      <c r="J29" s="29">
        <v>2443.0016000000001</v>
      </c>
      <c r="K29" s="30">
        <v>34.912100000000002</v>
      </c>
      <c r="L29" s="30">
        <v>41.365299999999998</v>
      </c>
      <c r="M29" s="30">
        <v>41.161499999999997</v>
      </c>
      <c r="N29" s="16">
        <v>2.9864999999999999</v>
      </c>
      <c r="O29" s="16">
        <f t="shared" si="1"/>
        <v>36.499924999999998</v>
      </c>
      <c r="P29" s="7"/>
      <c r="Q29" s="8">
        <f>bdrate(C29:C32,D29:D32,J29:J32,K29:K32)</f>
        <v>2.4360396711537335E-2</v>
      </c>
      <c r="R29" s="8">
        <f>bdrate(C29:C32,E29:E32,J29:J32,L29:L32)</f>
        <v>-0.35260764449583526</v>
      </c>
      <c r="S29" s="8">
        <f>bdrate(C29:C32,F29:F32,J29:J32,M29:M32)</f>
        <v>-0.34943852194603386</v>
      </c>
      <c r="T29" s="25">
        <f>bdrate(C29:C32,H29:H32,J29:J32,O29:O32)</f>
        <v>-5.9698816929624976E-2</v>
      </c>
      <c r="U29" s="28">
        <f t="shared" si="2"/>
        <v>5.7874999999999996</v>
      </c>
    </row>
    <row r="30" spans="1:21" x14ac:dyDescent="0.25">
      <c r="B30" s="9"/>
      <c r="C30" s="31">
        <v>1582.12109375</v>
      </c>
      <c r="D30" s="32">
        <v>33.555</v>
      </c>
      <c r="E30" s="32">
        <v>39.982999999999997</v>
      </c>
      <c r="F30" s="32">
        <v>39.189</v>
      </c>
      <c r="G30" s="18">
        <v>0.41</v>
      </c>
      <c r="H30" s="18">
        <f t="shared" si="0"/>
        <v>35.062750000000001</v>
      </c>
      <c r="I30" s="5"/>
      <c r="J30" s="31">
        <v>1630.2048</v>
      </c>
      <c r="K30" s="32">
        <v>33.607799999999997</v>
      </c>
      <c r="L30" s="32">
        <v>40.706000000000003</v>
      </c>
      <c r="M30" s="32">
        <v>40.238799999999998</v>
      </c>
      <c r="N30" s="18">
        <v>3.7635999999999998</v>
      </c>
      <c r="O30" s="18">
        <f t="shared" si="1"/>
        <v>35.323949999999996</v>
      </c>
      <c r="P30" s="7"/>
      <c r="Q30" s="10"/>
      <c r="R30" s="11"/>
      <c r="S30" s="11"/>
      <c r="T30" s="26"/>
      <c r="U30" s="28">
        <f t="shared" si="2"/>
        <v>8.1795121951219514</v>
      </c>
    </row>
    <row r="31" spans="1:21" x14ac:dyDescent="0.25">
      <c r="B31" s="9"/>
      <c r="C31" s="31">
        <v>1024.1376953125</v>
      </c>
      <c r="D31" s="32">
        <v>32.149000000000001</v>
      </c>
      <c r="E31" s="32">
        <v>38.905000000000001</v>
      </c>
      <c r="F31" s="32">
        <v>37.793999999999997</v>
      </c>
      <c r="G31" s="18">
        <v>0.38</v>
      </c>
      <c r="H31" s="18">
        <f t="shared" si="0"/>
        <v>33.699125000000002</v>
      </c>
      <c r="I31" s="5"/>
      <c r="J31" s="31">
        <v>1015.04</v>
      </c>
      <c r="K31" s="32">
        <v>31.970199999999998</v>
      </c>
      <c r="L31" s="32">
        <v>39.972299999999997</v>
      </c>
      <c r="M31" s="32">
        <v>39.179299999999998</v>
      </c>
      <c r="N31" s="18">
        <v>4.8948</v>
      </c>
      <c r="O31" s="18">
        <f t="shared" si="1"/>
        <v>33.871599999999994</v>
      </c>
      <c r="P31" s="7"/>
      <c r="Q31" s="10"/>
      <c r="R31" s="11"/>
      <c r="S31" s="11"/>
      <c r="T31" s="26"/>
      <c r="U31" s="28">
        <f t="shared" si="2"/>
        <v>11.881052631578948</v>
      </c>
    </row>
    <row r="32" spans="1:21" ht="16.5" thickBot="1" x14ac:dyDescent="0.3">
      <c r="B32" s="12"/>
      <c r="C32" s="33">
        <v>794.0634765625</v>
      </c>
      <c r="D32" s="34">
        <v>31.265000000000001</v>
      </c>
      <c r="E32" s="34">
        <v>38.052</v>
      </c>
      <c r="F32" s="34">
        <v>36.875999999999998</v>
      </c>
      <c r="G32" s="20">
        <v>0.35</v>
      </c>
      <c r="H32" s="20">
        <f t="shared" si="0"/>
        <v>32.814749999999997</v>
      </c>
      <c r="I32" s="5"/>
      <c r="J32" s="33">
        <v>607.69759999999997</v>
      </c>
      <c r="K32" s="34">
        <v>30.119800000000001</v>
      </c>
      <c r="L32" s="34">
        <v>38.945</v>
      </c>
      <c r="M32" s="34">
        <v>37.7057</v>
      </c>
      <c r="N32" s="20">
        <v>6.8822999999999999</v>
      </c>
      <c r="O32" s="20">
        <f t="shared" si="1"/>
        <v>32.171187500000002</v>
      </c>
      <c r="P32" s="7"/>
      <c r="Q32" s="13"/>
      <c r="R32" s="14"/>
      <c r="S32" s="14"/>
      <c r="T32" s="27"/>
      <c r="U32" s="28">
        <f t="shared" si="2"/>
        <v>18.663714285714288</v>
      </c>
    </row>
    <row r="33" spans="1:21" x14ac:dyDescent="0.25">
      <c r="B33" s="6" t="s">
        <v>52</v>
      </c>
      <c r="C33" s="15">
        <v>2491.31640625</v>
      </c>
      <c r="D33" s="16">
        <v>33.994999999999997</v>
      </c>
      <c r="E33" s="16">
        <v>39.613999999999997</v>
      </c>
      <c r="F33" s="16">
        <v>42.082999999999998</v>
      </c>
      <c r="G33" s="16">
        <v>0.33</v>
      </c>
      <c r="H33" s="16">
        <f t="shared" si="0"/>
        <v>35.708374999999997</v>
      </c>
      <c r="I33" s="5"/>
      <c r="J33" s="15">
        <v>2395.8760000000002</v>
      </c>
      <c r="K33" s="16">
        <v>34.136600000000001</v>
      </c>
      <c r="L33" s="16">
        <v>40.463299999999997</v>
      </c>
      <c r="M33" s="16">
        <v>42.886400000000002</v>
      </c>
      <c r="N33" s="16">
        <v>4.2222999999999997</v>
      </c>
      <c r="O33" s="16">
        <f t="shared" si="1"/>
        <v>36.021162500000003</v>
      </c>
      <c r="P33" s="7"/>
      <c r="Q33" s="8">
        <f>bdrate(C33:C36,D33:D36,J33:J36,K33:K36)</f>
        <v>-0.20484167402797437</v>
      </c>
      <c r="R33" s="8">
        <f>bdrate(C33:C36,E33:E36,J33:J36,L33:L36)</f>
        <v>-0.53885485205998962</v>
      </c>
      <c r="S33" s="8">
        <f>bdrate(C33:C36,F33:F36,J33:J36,M33:M36)</f>
        <v>-0.54788897908313483</v>
      </c>
      <c r="T33" s="25">
        <f>bdrate(C33:C36,H33:H36,J33:J36,O33:O36)</f>
        <v>-0.27651167725791737</v>
      </c>
      <c r="U33" s="28">
        <f t="shared" si="2"/>
        <v>11.794848484848483</v>
      </c>
    </row>
    <row r="34" spans="1:21" x14ac:dyDescent="0.25">
      <c r="B34" s="9"/>
      <c r="C34" s="17">
        <v>1666.2705078125</v>
      </c>
      <c r="D34" s="18">
        <v>33.185000000000002</v>
      </c>
      <c r="E34" s="18">
        <v>38.960999999999999</v>
      </c>
      <c r="F34" s="18">
        <v>41.54</v>
      </c>
      <c r="G34" s="18">
        <v>0.36</v>
      </c>
      <c r="H34" s="18">
        <f t="shared" si="0"/>
        <v>34.951375000000006</v>
      </c>
      <c r="I34" s="5"/>
      <c r="J34" s="17">
        <v>1587.4472000000001</v>
      </c>
      <c r="K34" s="18">
        <v>33.495699999999999</v>
      </c>
      <c r="L34" s="18">
        <v>40.004199999999997</v>
      </c>
      <c r="M34" s="18">
        <v>42.485300000000002</v>
      </c>
      <c r="N34" s="18">
        <v>5.4828000000000001</v>
      </c>
      <c r="O34" s="18">
        <f t="shared" si="1"/>
        <v>35.432962500000002</v>
      </c>
      <c r="P34" s="7"/>
      <c r="Q34" s="10"/>
      <c r="R34" s="11"/>
      <c r="S34" s="11"/>
      <c r="T34" s="26"/>
      <c r="U34" s="28">
        <f t="shared" si="2"/>
        <v>14.23</v>
      </c>
    </row>
    <row r="35" spans="1:21" x14ac:dyDescent="0.25">
      <c r="B35" s="9"/>
      <c r="C35" s="17">
        <v>1052.7412109375</v>
      </c>
      <c r="D35" s="18">
        <v>32.048999999999999</v>
      </c>
      <c r="E35" s="18">
        <v>38.225999999999999</v>
      </c>
      <c r="F35" s="18">
        <v>40.927999999999997</v>
      </c>
      <c r="G35" s="18">
        <v>0.41</v>
      </c>
      <c r="H35" s="18">
        <f t="shared" si="0"/>
        <v>33.930999999999997</v>
      </c>
      <c r="I35" s="5"/>
      <c r="J35" s="17">
        <v>982.6576</v>
      </c>
      <c r="K35" s="18">
        <v>32.504600000000003</v>
      </c>
      <c r="L35" s="18">
        <v>39.290799999999997</v>
      </c>
      <c r="M35" s="18">
        <v>41.845300000000002</v>
      </c>
      <c r="N35" s="18">
        <v>7.5666000000000002</v>
      </c>
      <c r="O35" s="18">
        <f t="shared" si="1"/>
        <v>34.520462500000001</v>
      </c>
      <c r="P35" s="7"/>
      <c r="Q35" s="10"/>
      <c r="R35" s="11"/>
      <c r="S35" s="11"/>
      <c r="T35" s="26"/>
      <c r="U35" s="28">
        <f t="shared" si="2"/>
        <v>17.455121951219514</v>
      </c>
    </row>
    <row r="36" spans="1:21" ht="16.5" thickBot="1" x14ac:dyDescent="0.3">
      <c r="B36" s="12"/>
      <c r="C36" s="19">
        <v>662.5498046875</v>
      </c>
      <c r="D36" s="20">
        <v>30.734999999999999</v>
      </c>
      <c r="E36" s="20">
        <v>37.548000000000002</v>
      </c>
      <c r="F36" s="20">
        <v>40.334000000000003</v>
      </c>
      <c r="G36" s="20">
        <v>0.38</v>
      </c>
      <c r="H36" s="20">
        <f t="shared" si="0"/>
        <v>32.786500000000004</v>
      </c>
      <c r="I36" s="5"/>
      <c r="J36" s="19">
        <v>583.45119999999997</v>
      </c>
      <c r="K36" s="20">
        <v>31.111899999999999</v>
      </c>
      <c r="L36" s="20">
        <v>38.728099999999998</v>
      </c>
      <c r="M36" s="20">
        <v>41.338099999999997</v>
      </c>
      <c r="N36" s="20">
        <v>10.548299999999999</v>
      </c>
      <c r="O36" s="20">
        <f t="shared" si="1"/>
        <v>33.342199999999998</v>
      </c>
      <c r="P36" s="7"/>
      <c r="Q36" s="13"/>
      <c r="R36" s="14"/>
      <c r="S36" s="14"/>
      <c r="T36" s="27"/>
      <c r="U36" s="28">
        <f t="shared" si="2"/>
        <v>26.758684210526312</v>
      </c>
    </row>
    <row r="37" spans="1:21" x14ac:dyDescent="0.25">
      <c r="A37" s="6" t="s">
        <v>39</v>
      </c>
      <c r="B37" s="6" t="s">
        <v>53</v>
      </c>
      <c r="C37" s="15">
        <v>1186.017578125</v>
      </c>
      <c r="D37" s="16">
        <v>36.865000000000002</v>
      </c>
      <c r="E37" s="16">
        <v>40.808999999999997</v>
      </c>
      <c r="F37" s="16">
        <v>40.729999999999997</v>
      </c>
      <c r="G37" s="16">
        <v>1.3</v>
      </c>
      <c r="H37" s="16">
        <f t="shared" si="0"/>
        <v>37.841125000000005</v>
      </c>
      <c r="I37" s="5"/>
      <c r="J37" s="15">
        <v>1197.1528000000001</v>
      </c>
      <c r="K37" s="16">
        <v>37.040500000000002</v>
      </c>
      <c r="L37" s="16">
        <v>41.2361</v>
      </c>
      <c r="M37" s="16">
        <v>41.243000000000002</v>
      </c>
      <c r="N37" s="16">
        <v>8.7073</v>
      </c>
      <c r="O37" s="16">
        <f t="shared" si="1"/>
        <v>38.090262500000001</v>
      </c>
      <c r="P37" s="7"/>
      <c r="Q37" s="8">
        <f>bdrate(C37:C40,D37:D40,J37:J40,K37:K40)</f>
        <v>2.3707699840238128E-2</v>
      </c>
      <c r="R37" s="8">
        <f>bdrate(C37:C40,E37:E40,J37:J40,L37:L40)</f>
        <v>-0.13224536451283275</v>
      </c>
      <c r="S37" s="8">
        <f>bdrate(C37:C40,F37:F40,J37:J40,M37:M40)</f>
        <v>-0.13893441845431587</v>
      </c>
      <c r="T37" s="25">
        <f>bdrate(C37:C40,H37:H40,J37:J40,O37:O40)</f>
        <v>-1.2011938171355485E-2</v>
      </c>
      <c r="U37" s="28">
        <f t="shared" si="2"/>
        <v>5.6979230769230771</v>
      </c>
    </row>
    <row r="38" spans="1:21" x14ac:dyDescent="0.25">
      <c r="A38" s="9" t="s">
        <v>40</v>
      </c>
      <c r="B38" s="9"/>
      <c r="C38" s="17">
        <v>827.51171875</v>
      </c>
      <c r="D38" s="18">
        <v>35.396000000000001</v>
      </c>
      <c r="E38" s="18">
        <v>39.726999999999997</v>
      </c>
      <c r="F38" s="18">
        <v>39.503</v>
      </c>
      <c r="G38" s="18">
        <v>1.46</v>
      </c>
      <c r="H38" s="18">
        <f t="shared" si="0"/>
        <v>36.450749999999999</v>
      </c>
      <c r="I38" s="5"/>
      <c r="J38" s="17">
        <v>796.34320000000002</v>
      </c>
      <c r="K38" s="18">
        <v>35.191000000000003</v>
      </c>
      <c r="L38" s="18">
        <v>39.869</v>
      </c>
      <c r="M38" s="18">
        <v>39.702599999999997</v>
      </c>
      <c r="N38" s="18">
        <v>10.5396</v>
      </c>
      <c r="O38" s="18">
        <f t="shared" si="1"/>
        <v>36.339700000000001</v>
      </c>
      <c r="P38" s="7"/>
      <c r="Q38" s="10"/>
      <c r="R38" s="11"/>
      <c r="S38" s="11"/>
      <c r="T38" s="26"/>
      <c r="U38" s="28">
        <f t="shared" si="2"/>
        <v>6.2189041095890403</v>
      </c>
    </row>
    <row r="39" spans="1:21" x14ac:dyDescent="0.25">
      <c r="B39" s="9"/>
      <c r="C39" s="17">
        <v>521.8173828125</v>
      </c>
      <c r="D39" s="18">
        <v>33.524000000000001</v>
      </c>
      <c r="E39" s="18">
        <v>38.133000000000003</v>
      </c>
      <c r="F39" s="18">
        <v>37.758000000000003</v>
      </c>
      <c r="G39" s="18">
        <v>1.47</v>
      </c>
      <c r="H39" s="18">
        <f t="shared" si="0"/>
        <v>34.629375000000003</v>
      </c>
      <c r="I39" s="5"/>
      <c r="J39" s="17">
        <v>502.52480000000003</v>
      </c>
      <c r="K39" s="18">
        <v>33.2303</v>
      </c>
      <c r="L39" s="18">
        <v>38.5411</v>
      </c>
      <c r="M39" s="18">
        <v>38.244399999999999</v>
      </c>
      <c r="N39" s="18">
        <v>13.489800000000001</v>
      </c>
      <c r="O39" s="18">
        <f t="shared" si="1"/>
        <v>34.520912500000001</v>
      </c>
      <c r="P39" s="7"/>
      <c r="Q39" s="10"/>
      <c r="R39" s="11"/>
      <c r="S39" s="11"/>
      <c r="T39" s="26"/>
      <c r="U39" s="28">
        <f t="shared" si="2"/>
        <v>8.1767346938775507</v>
      </c>
    </row>
    <row r="40" spans="1:21" ht="16.5" thickBot="1" x14ac:dyDescent="0.3">
      <c r="B40" s="12"/>
      <c r="C40" s="19">
        <v>311.9921875</v>
      </c>
      <c r="D40" s="20">
        <v>31.597000000000001</v>
      </c>
      <c r="E40" s="20">
        <v>36.491999999999997</v>
      </c>
      <c r="F40" s="20">
        <v>35.951999999999998</v>
      </c>
      <c r="G40" s="20">
        <v>1.1599999999999999</v>
      </c>
      <c r="H40" s="20">
        <f t="shared" si="0"/>
        <v>32.753249999999994</v>
      </c>
      <c r="I40" s="5"/>
      <c r="J40" s="19">
        <v>300.45280000000002</v>
      </c>
      <c r="K40" s="20">
        <v>31.186</v>
      </c>
      <c r="L40" s="20">
        <v>37.161900000000003</v>
      </c>
      <c r="M40" s="20">
        <v>36.6111</v>
      </c>
      <c r="N40" s="20">
        <v>18.200299999999999</v>
      </c>
      <c r="O40" s="20">
        <f t="shared" si="1"/>
        <v>32.611125000000001</v>
      </c>
      <c r="P40" s="7"/>
      <c r="Q40" s="13"/>
      <c r="R40" s="14"/>
      <c r="S40" s="14"/>
      <c r="T40" s="27"/>
      <c r="U40" s="28">
        <f t="shared" si="2"/>
        <v>14.689913793103448</v>
      </c>
    </row>
    <row r="41" spans="1:21" x14ac:dyDescent="0.25">
      <c r="B41" s="6" t="s">
        <v>54</v>
      </c>
      <c r="C41" s="15">
        <v>1270.8427734375</v>
      </c>
      <c r="D41" s="16">
        <v>36.209000000000003</v>
      </c>
      <c r="E41" s="16">
        <v>41.017000000000003</v>
      </c>
      <c r="F41" s="16">
        <v>41.965000000000003</v>
      </c>
      <c r="G41" s="16">
        <v>1.2</v>
      </c>
      <c r="H41" s="16">
        <f t="shared" si="0"/>
        <v>37.529499999999999</v>
      </c>
      <c r="I41" s="5"/>
      <c r="J41" s="15">
        <v>1209.6848</v>
      </c>
      <c r="K41" s="16">
        <v>36.393500000000003</v>
      </c>
      <c r="L41" s="16">
        <v>41.838700000000003</v>
      </c>
      <c r="M41" s="16">
        <v>42.907400000000003</v>
      </c>
      <c r="N41" s="16">
        <v>10.7668</v>
      </c>
      <c r="O41" s="16">
        <f t="shared" si="1"/>
        <v>37.8883875</v>
      </c>
      <c r="P41" s="7"/>
      <c r="Q41" s="8">
        <f>bdrate(C41:C44,D41:D44,J41:J44,K41:K44)</f>
        <v>-0.1224485323544876</v>
      </c>
      <c r="R41" s="8">
        <f>bdrate(C41:C44,E41:E44,J41:J44,L41:L44)</f>
        <v>-0.40405582485290259</v>
      </c>
      <c r="S41" s="8">
        <f>bdrate(C41:C44,F41:F44,J41:J44,M41:M44)</f>
        <v>-0.39608030459237265</v>
      </c>
      <c r="T41" s="25">
        <f>bdrate(C41:C44,H41:H44,J41:J44,O41:O44)</f>
        <v>-0.18463705820199616</v>
      </c>
      <c r="U41" s="28">
        <f t="shared" si="2"/>
        <v>7.9723333333333342</v>
      </c>
    </row>
    <row r="42" spans="1:21" x14ac:dyDescent="0.25">
      <c r="B42" s="9"/>
      <c r="C42" s="17">
        <v>849.0869140625</v>
      </c>
      <c r="D42" s="18">
        <v>34.572000000000003</v>
      </c>
      <c r="E42" s="18">
        <v>39.805</v>
      </c>
      <c r="F42" s="18">
        <v>40.6</v>
      </c>
      <c r="G42" s="18">
        <v>1.28</v>
      </c>
      <c r="H42" s="18">
        <f t="shared" si="0"/>
        <v>35.979625000000006</v>
      </c>
      <c r="I42" s="5"/>
      <c r="J42" s="17">
        <v>806.21280000000002</v>
      </c>
      <c r="K42" s="18">
        <v>34.846299999999999</v>
      </c>
      <c r="L42" s="18">
        <v>40.941299999999998</v>
      </c>
      <c r="M42" s="18">
        <v>41.834899999999998</v>
      </c>
      <c r="N42" s="18">
        <v>13.5664</v>
      </c>
      <c r="O42" s="18">
        <f t="shared" si="1"/>
        <v>36.481749999999998</v>
      </c>
      <c r="P42" s="7"/>
      <c r="Q42" s="10"/>
      <c r="R42" s="11"/>
      <c r="S42" s="11"/>
      <c r="T42" s="26"/>
      <c r="U42" s="28">
        <f t="shared" si="2"/>
        <v>9.5987500000000008</v>
      </c>
    </row>
    <row r="43" spans="1:21" x14ac:dyDescent="0.25">
      <c r="B43" s="9"/>
      <c r="C43" s="17">
        <v>532.8984375</v>
      </c>
      <c r="D43" s="18">
        <v>32.625999999999998</v>
      </c>
      <c r="E43" s="18">
        <v>38.392000000000003</v>
      </c>
      <c r="F43" s="18">
        <v>39.058999999999997</v>
      </c>
      <c r="G43" s="18">
        <v>1.22</v>
      </c>
      <c r="H43" s="18">
        <f t="shared" si="0"/>
        <v>34.150874999999999</v>
      </c>
      <c r="I43" s="5"/>
      <c r="J43" s="17">
        <v>504.78160000000003</v>
      </c>
      <c r="K43" s="18">
        <v>32.986199999999997</v>
      </c>
      <c r="L43" s="18">
        <v>39.779499999999999</v>
      </c>
      <c r="M43" s="18">
        <v>40.536700000000003</v>
      </c>
      <c r="N43" s="18">
        <v>17.331499999999998</v>
      </c>
      <c r="O43" s="18">
        <f t="shared" si="1"/>
        <v>34.779174999999995</v>
      </c>
      <c r="P43" s="7"/>
      <c r="Q43" s="10"/>
      <c r="R43" s="11"/>
      <c r="S43" s="11"/>
      <c r="T43" s="26"/>
      <c r="U43" s="28">
        <f t="shared" si="2"/>
        <v>13.206147540983606</v>
      </c>
    </row>
    <row r="44" spans="1:21" ht="16.5" thickBot="1" x14ac:dyDescent="0.3">
      <c r="B44" s="12"/>
      <c r="C44" s="19">
        <v>326.986328125</v>
      </c>
      <c r="D44" s="20">
        <v>30.541</v>
      </c>
      <c r="E44" s="20">
        <v>36.887</v>
      </c>
      <c r="F44" s="20">
        <v>37.438000000000002</v>
      </c>
      <c r="G44" s="20">
        <v>1.06</v>
      </c>
      <c r="H44" s="20">
        <f t="shared" si="0"/>
        <v>32.196375000000003</v>
      </c>
      <c r="I44" s="5"/>
      <c r="J44" s="19">
        <v>304.38639999999998</v>
      </c>
      <c r="K44" s="20">
        <v>30.870200000000001</v>
      </c>
      <c r="L44" s="20">
        <v>38.6267</v>
      </c>
      <c r="M44" s="20">
        <v>39.301299999999998</v>
      </c>
      <c r="N44" s="20">
        <v>22.976199999999999</v>
      </c>
      <c r="O44" s="20">
        <f t="shared" si="1"/>
        <v>32.893650000000001</v>
      </c>
      <c r="P44" s="7"/>
      <c r="Q44" s="13"/>
      <c r="R44" s="14"/>
      <c r="S44" s="14"/>
      <c r="T44" s="27"/>
      <c r="U44" s="28">
        <f t="shared" si="2"/>
        <v>20.67566037735849</v>
      </c>
    </row>
    <row r="45" spans="1:21" x14ac:dyDescent="0.25">
      <c r="B45" s="6" t="s">
        <v>55</v>
      </c>
      <c r="C45" s="15">
        <v>1369.2568359375</v>
      </c>
      <c r="D45" s="16">
        <v>31.457000000000001</v>
      </c>
      <c r="E45" s="16">
        <v>37.259</v>
      </c>
      <c r="F45" s="16">
        <v>38.005000000000003</v>
      </c>
      <c r="G45" s="16">
        <v>0.8</v>
      </c>
      <c r="H45" s="16">
        <f t="shared" si="0"/>
        <v>33.000750000000004</v>
      </c>
      <c r="I45" s="5"/>
      <c r="J45" s="15">
        <v>1189.5808</v>
      </c>
      <c r="K45" s="16">
        <v>31.3001</v>
      </c>
      <c r="L45" s="16">
        <v>37.764000000000003</v>
      </c>
      <c r="M45" s="16">
        <v>38.6342</v>
      </c>
      <c r="N45" s="16">
        <v>11.148300000000001</v>
      </c>
      <c r="O45" s="16">
        <f t="shared" si="1"/>
        <v>33.024850000000001</v>
      </c>
      <c r="P45" s="7"/>
      <c r="Q45" s="8">
        <f>bdrate(C45:C48,D45:D48,J45:J48,K45:K48)</f>
        <v>-0.139354375582598</v>
      </c>
      <c r="R45" s="8">
        <f>bdrate(C45:C48,E45:E48,J45:J48,L45:L48)</f>
        <v>-0.39994833279725572</v>
      </c>
      <c r="S45" s="8">
        <f>bdrate(C45:C48,F45:F48,J45:J48,M45:M48)</f>
        <v>-0.40864840743672148</v>
      </c>
      <c r="T45" s="25">
        <f>bdrate(C45:C48,H45:H48,J45:J48,O45:O48)</f>
        <v>-0.1943567372422258</v>
      </c>
      <c r="U45" s="28">
        <f t="shared" si="2"/>
        <v>12.935374999999999</v>
      </c>
    </row>
    <row r="46" spans="1:21" x14ac:dyDescent="0.25">
      <c r="B46" s="9"/>
      <c r="C46" s="17">
        <v>947.00390625</v>
      </c>
      <c r="D46" s="18">
        <v>29.981999999999999</v>
      </c>
      <c r="E46" s="18">
        <v>36.287999999999997</v>
      </c>
      <c r="F46" s="18">
        <v>37.015999999999998</v>
      </c>
      <c r="G46" s="18">
        <v>0.78</v>
      </c>
      <c r="H46" s="18">
        <f t="shared" si="0"/>
        <v>31.6495</v>
      </c>
      <c r="I46" s="5"/>
      <c r="J46" s="17">
        <v>795.58240000000001</v>
      </c>
      <c r="K46" s="18">
        <v>29.895600000000002</v>
      </c>
      <c r="L46" s="18">
        <v>36.891100000000002</v>
      </c>
      <c r="M46" s="18">
        <v>37.688800000000001</v>
      </c>
      <c r="N46" s="18">
        <v>14.033099999999999</v>
      </c>
      <c r="O46" s="18">
        <f t="shared" si="1"/>
        <v>31.744187500000002</v>
      </c>
      <c r="P46" s="7"/>
      <c r="Q46" s="10"/>
      <c r="R46" s="11"/>
      <c r="S46" s="11"/>
      <c r="T46" s="26"/>
      <c r="U46" s="28">
        <f t="shared" si="2"/>
        <v>16.991153846153846</v>
      </c>
    </row>
    <row r="47" spans="1:21" x14ac:dyDescent="0.25">
      <c r="B47" s="9"/>
      <c r="C47" s="17">
        <v>589.1484375</v>
      </c>
      <c r="D47" s="18">
        <v>28.358000000000001</v>
      </c>
      <c r="E47" s="18">
        <v>35.122999999999998</v>
      </c>
      <c r="F47" s="18">
        <v>35.938000000000002</v>
      </c>
      <c r="G47" s="18">
        <v>0.71</v>
      </c>
      <c r="H47" s="18">
        <f t="shared" si="0"/>
        <v>30.151125</v>
      </c>
      <c r="I47" s="5"/>
      <c r="J47" s="17">
        <v>502.98079999999999</v>
      </c>
      <c r="K47" s="18">
        <v>28.37</v>
      </c>
      <c r="L47" s="18">
        <v>36.040399999999998</v>
      </c>
      <c r="M47" s="18">
        <v>36.820399999999999</v>
      </c>
      <c r="N47" s="18">
        <v>18.248799999999999</v>
      </c>
      <c r="O47" s="18">
        <f t="shared" si="1"/>
        <v>30.385100000000001</v>
      </c>
      <c r="P47" s="7"/>
      <c r="Q47" s="10"/>
      <c r="R47" s="11"/>
      <c r="S47" s="11"/>
      <c r="T47" s="26"/>
      <c r="U47" s="28">
        <f t="shared" si="2"/>
        <v>24.702535211267605</v>
      </c>
    </row>
    <row r="48" spans="1:21" ht="16.5" thickBot="1" x14ac:dyDescent="0.3">
      <c r="B48" s="12"/>
      <c r="C48" s="19">
        <v>358.29296875</v>
      </c>
      <c r="D48" s="20">
        <v>26.835999999999999</v>
      </c>
      <c r="E48" s="20">
        <v>33.996000000000002</v>
      </c>
      <c r="F48" s="20">
        <v>34.816000000000003</v>
      </c>
      <c r="G48" s="20">
        <v>0.62</v>
      </c>
      <c r="H48" s="20">
        <f t="shared" si="0"/>
        <v>28.7285</v>
      </c>
      <c r="I48" s="5"/>
      <c r="J48" s="19">
        <v>304.56</v>
      </c>
      <c r="K48" s="20">
        <v>26.8096</v>
      </c>
      <c r="L48" s="20">
        <v>35.1569</v>
      </c>
      <c r="M48" s="20">
        <v>35.881300000000003</v>
      </c>
      <c r="N48" s="20">
        <v>24.2624</v>
      </c>
      <c r="O48" s="20">
        <f t="shared" si="1"/>
        <v>28.986975000000001</v>
      </c>
      <c r="P48" s="7"/>
      <c r="Q48" s="13"/>
      <c r="R48" s="14"/>
      <c r="S48" s="14"/>
      <c r="T48" s="27"/>
      <c r="U48" s="28">
        <f t="shared" si="2"/>
        <v>38.132903225806452</v>
      </c>
    </row>
    <row r="49" spans="1:21" x14ac:dyDescent="0.25">
      <c r="B49" s="6" t="s">
        <v>56</v>
      </c>
      <c r="C49" s="15">
        <v>1222.763671875</v>
      </c>
      <c r="D49" s="16">
        <v>33.752000000000002</v>
      </c>
      <c r="E49" s="16">
        <v>37.814</v>
      </c>
      <c r="F49" s="16">
        <v>39.57</v>
      </c>
      <c r="G49" s="16">
        <v>0.93</v>
      </c>
      <c r="H49" s="16">
        <f t="shared" si="0"/>
        <v>34.987000000000002</v>
      </c>
      <c r="I49" s="5"/>
      <c r="J49" s="15">
        <v>1191.3040000000001</v>
      </c>
      <c r="K49" s="16">
        <v>33.563099999999999</v>
      </c>
      <c r="L49" s="16">
        <v>38.156500000000001</v>
      </c>
      <c r="M49" s="16">
        <v>39.7849</v>
      </c>
      <c r="N49" s="16">
        <v>6.4855</v>
      </c>
      <c r="O49" s="16">
        <f t="shared" si="1"/>
        <v>34.914999999999999</v>
      </c>
      <c r="P49" s="7"/>
      <c r="Q49" s="8">
        <f>bdrate(C49:C52,D49:D52,J49:J52,K49:K52)</f>
        <v>4.2426717500192446E-3</v>
      </c>
      <c r="R49" s="8">
        <f>bdrate(C49:C52,E49:E52,J49:J52,L49:L52)</f>
        <v>-0.27640799229951896</v>
      </c>
      <c r="S49" s="8">
        <f>bdrate(C49:C52,F49:F52,J49:J52,M49:M52)</f>
        <v>-0.25725463368428081</v>
      </c>
      <c r="T49" s="25">
        <f>bdrate(C49:C52,H49:H52,J49:J52,O49:O52)</f>
        <v>-4.9701357089328768E-2</v>
      </c>
      <c r="U49" s="28">
        <f t="shared" si="2"/>
        <v>5.9736559139784946</v>
      </c>
    </row>
    <row r="50" spans="1:21" x14ac:dyDescent="0.25">
      <c r="B50" s="9"/>
      <c r="C50" s="17">
        <v>873.431640625</v>
      </c>
      <c r="D50" s="18">
        <v>32.384</v>
      </c>
      <c r="E50" s="18">
        <v>36.823</v>
      </c>
      <c r="F50" s="18">
        <v>38.594999999999999</v>
      </c>
      <c r="G50" s="18">
        <v>0.94</v>
      </c>
      <c r="H50" s="18">
        <f t="shared" si="0"/>
        <v>33.715249999999997</v>
      </c>
      <c r="I50" s="5"/>
      <c r="J50" s="17">
        <v>794.98720000000003</v>
      </c>
      <c r="K50" s="18">
        <v>31.980599999999999</v>
      </c>
      <c r="L50" s="18">
        <v>37.217500000000001</v>
      </c>
      <c r="M50" s="18">
        <v>38.896000000000001</v>
      </c>
      <c r="N50" s="18">
        <v>7.9196999999999997</v>
      </c>
      <c r="O50" s="18">
        <f t="shared" si="1"/>
        <v>33.499637499999999</v>
      </c>
      <c r="P50" s="7"/>
      <c r="Q50" s="10"/>
      <c r="R50" s="11"/>
      <c r="S50" s="11"/>
      <c r="T50" s="26"/>
      <c r="U50" s="28">
        <f t="shared" si="2"/>
        <v>7.4252127659574469</v>
      </c>
    </row>
    <row r="51" spans="1:21" x14ac:dyDescent="0.25">
      <c r="B51" s="9"/>
      <c r="C51" s="17">
        <v>591.5361328125</v>
      </c>
      <c r="D51" s="18">
        <v>30.84</v>
      </c>
      <c r="E51" s="18">
        <v>35.813000000000002</v>
      </c>
      <c r="F51" s="18">
        <v>37.521000000000001</v>
      </c>
      <c r="G51" s="18">
        <v>0.84</v>
      </c>
      <c r="H51" s="18">
        <f t="shared" si="0"/>
        <v>32.296750000000003</v>
      </c>
      <c r="I51" s="5"/>
      <c r="J51" s="17">
        <v>495.76960000000003</v>
      </c>
      <c r="K51" s="18">
        <v>30.247900000000001</v>
      </c>
      <c r="L51" s="18">
        <v>36.283299999999997</v>
      </c>
      <c r="M51" s="18">
        <v>37.975499999999997</v>
      </c>
      <c r="N51" s="18">
        <v>10</v>
      </c>
      <c r="O51" s="18">
        <f t="shared" si="1"/>
        <v>31.968274999999998</v>
      </c>
      <c r="P51" s="7"/>
      <c r="Q51" s="10"/>
      <c r="R51" s="11"/>
      <c r="S51" s="11"/>
      <c r="T51" s="26"/>
      <c r="U51" s="28">
        <f t="shared" si="2"/>
        <v>10.904761904761905</v>
      </c>
    </row>
    <row r="52" spans="1:21" ht="16.5" thickBot="1" x14ac:dyDescent="0.3">
      <c r="B52" s="12"/>
      <c r="C52" s="19">
        <v>355.3720703125</v>
      </c>
      <c r="D52" s="20">
        <v>29.184999999999999</v>
      </c>
      <c r="E52" s="20">
        <v>34.631999999999998</v>
      </c>
      <c r="F52" s="20">
        <v>36.265000000000001</v>
      </c>
      <c r="G52" s="20">
        <v>0.74</v>
      </c>
      <c r="H52" s="20">
        <f t="shared" si="0"/>
        <v>30.750875000000001</v>
      </c>
      <c r="I52" s="5"/>
      <c r="J52" s="19">
        <v>295.7688</v>
      </c>
      <c r="K52" s="20">
        <v>28.506799999999998</v>
      </c>
      <c r="L52" s="20">
        <v>35.310299999999998</v>
      </c>
      <c r="M52" s="20">
        <v>37.017200000000003</v>
      </c>
      <c r="N52" s="20">
        <v>13.2996</v>
      </c>
      <c r="O52" s="20">
        <f t="shared" si="1"/>
        <v>30.421037499999997</v>
      </c>
      <c r="P52" s="7"/>
      <c r="Q52" s="13"/>
      <c r="R52" s="14"/>
      <c r="S52" s="14"/>
      <c r="T52" s="27"/>
      <c r="U52" s="28">
        <f t="shared" si="2"/>
        <v>16.972432432432431</v>
      </c>
    </row>
    <row r="53" spans="1:21" x14ac:dyDescent="0.25">
      <c r="A53" s="6" t="s">
        <v>41</v>
      </c>
      <c r="B53" s="6" t="s">
        <v>57</v>
      </c>
      <c r="C53" s="15">
        <v>573.060546875</v>
      </c>
      <c r="D53" s="16">
        <v>35.463999999999999</v>
      </c>
      <c r="E53" s="16">
        <v>40.985999999999997</v>
      </c>
      <c r="F53" s="16">
        <v>39.174999999999997</v>
      </c>
      <c r="G53" s="16">
        <v>2.3199999999999998</v>
      </c>
      <c r="H53" s="16">
        <f t="shared" si="0"/>
        <v>36.618124999999999</v>
      </c>
      <c r="I53" s="5"/>
      <c r="J53" s="15">
        <v>603.78560000000004</v>
      </c>
      <c r="K53" s="16">
        <v>35.822699999999998</v>
      </c>
      <c r="L53" s="16">
        <v>41.358600000000003</v>
      </c>
      <c r="M53" s="16">
        <v>39.760199999999998</v>
      </c>
      <c r="N53" s="16">
        <v>23.158899999999999</v>
      </c>
      <c r="O53" s="16">
        <f t="shared" si="1"/>
        <v>37.006875000000001</v>
      </c>
      <c r="P53" s="7"/>
      <c r="Q53" s="8">
        <f>bdrate(C53:C56,D53:D56,J53:J56,K53:K56)</f>
        <v>2.3764594263422145E-2</v>
      </c>
      <c r="R53" s="8">
        <f>bdrate(C53:C56,E53:E56,J53:J56,L53:L56)</f>
        <v>-0.16527553330746092</v>
      </c>
      <c r="S53" s="8">
        <f>bdrate(C53:C56,F53:F56,J53:J56,M53:M56)</f>
        <v>-0.20794962332028899</v>
      </c>
      <c r="T53" s="25">
        <f>bdrate(C53:C56,H53:H56,J53:J56,O53:O56)</f>
        <v>-2.0374393561728654E-2</v>
      </c>
      <c r="U53" s="28">
        <f t="shared" si="2"/>
        <v>8.9822844827586206</v>
      </c>
    </row>
    <row r="54" spans="1:21" x14ac:dyDescent="0.25">
      <c r="A54" s="9" t="s">
        <v>42</v>
      </c>
      <c r="B54" s="9"/>
      <c r="C54" s="17">
        <v>410.1953125</v>
      </c>
      <c r="D54" s="18">
        <v>33.905000000000001</v>
      </c>
      <c r="E54" s="18">
        <v>39.948999999999998</v>
      </c>
      <c r="F54" s="18">
        <v>37.954999999999998</v>
      </c>
      <c r="G54" s="18">
        <v>2.4500000000000002</v>
      </c>
      <c r="H54" s="18">
        <f t="shared" si="0"/>
        <v>35.16675</v>
      </c>
      <c r="I54" s="5"/>
      <c r="J54" s="17">
        <v>402.73039999999997</v>
      </c>
      <c r="K54" s="18">
        <v>33.862499999999997</v>
      </c>
      <c r="L54" s="18">
        <v>40.167299999999997</v>
      </c>
      <c r="M54" s="18">
        <v>38.408299999999997</v>
      </c>
      <c r="N54" s="18">
        <v>27.841200000000001</v>
      </c>
      <c r="O54" s="18">
        <f t="shared" si="1"/>
        <v>35.218824999999995</v>
      </c>
      <c r="P54" s="7"/>
      <c r="Q54" s="10"/>
      <c r="R54" s="11"/>
      <c r="S54" s="11"/>
      <c r="T54" s="26"/>
      <c r="U54" s="28">
        <f t="shared" si="2"/>
        <v>10.363755102040816</v>
      </c>
    </row>
    <row r="55" spans="1:21" x14ac:dyDescent="0.25">
      <c r="B55" s="9"/>
      <c r="C55" s="17">
        <v>266.3857421875</v>
      </c>
      <c r="D55" s="18">
        <v>32.076999999999998</v>
      </c>
      <c r="E55" s="18">
        <v>38.536000000000001</v>
      </c>
      <c r="F55" s="18">
        <v>36.43</v>
      </c>
      <c r="G55" s="18">
        <v>2.3199999999999998</v>
      </c>
      <c r="H55" s="18">
        <f t="shared" si="0"/>
        <v>33.4285</v>
      </c>
      <c r="I55" s="5"/>
      <c r="J55" s="17">
        <v>250.5384</v>
      </c>
      <c r="K55" s="18">
        <v>31.695900000000002</v>
      </c>
      <c r="L55" s="18">
        <v>38.9193</v>
      </c>
      <c r="M55" s="18">
        <v>37.031500000000001</v>
      </c>
      <c r="N55" s="18">
        <v>34.497</v>
      </c>
      <c r="O55" s="18">
        <f t="shared" si="1"/>
        <v>33.265775000000005</v>
      </c>
      <c r="P55" s="7"/>
      <c r="Q55" s="10"/>
      <c r="R55" s="11"/>
      <c r="S55" s="11"/>
      <c r="T55" s="26"/>
      <c r="U55" s="28">
        <f t="shared" si="2"/>
        <v>13.869396551724138</v>
      </c>
    </row>
    <row r="56" spans="1:21" ht="16.5" thickBot="1" x14ac:dyDescent="0.3">
      <c r="B56" s="12"/>
      <c r="C56" s="19">
        <v>133.060546875</v>
      </c>
      <c r="D56" s="20">
        <v>29.452000000000002</v>
      </c>
      <c r="E56" s="20">
        <v>36.338000000000001</v>
      </c>
      <c r="F56" s="20">
        <v>34.024999999999999</v>
      </c>
      <c r="G56" s="20">
        <v>1.94</v>
      </c>
      <c r="H56" s="20">
        <f t="shared" si="0"/>
        <v>30.884375000000002</v>
      </c>
      <c r="I56" s="5"/>
      <c r="J56" s="19">
        <v>120.56480000000001</v>
      </c>
      <c r="K56" s="20">
        <v>28.673999999999999</v>
      </c>
      <c r="L56" s="20">
        <v>37.180700000000002</v>
      </c>
      <c r="M56" s="20">
        <v>34.991599999999998</v>
      </c>
      <c r="N56" s="20">
        <v>50.241199999999999</v>
      </c>
      <c r="O56" s="20">
        <f t="shared" si="1"/>
        <v>30.527037499999999</v>
      </c>
      <c r="P56" s="7"/>
      <c r="Q56" s="13"/>
      <c r="R56" s="14"/>
      <c r="S56" s="14"/>
      <c r="T56" s="27"/>
      <c r="U56" s="28">
        <f t="shared" si="2"/>
        <v>24.897525773195877</v>
      </c>
    </row>
    <row r="57" spans="1:21" x14ac:dyDescent="0.25">
      <c r="B57" s="6" t="s">
        <v>58</v>
      </c>
      <c r="C57" s="15">
        <v>641.1611328125</v>
      </c>
      <c r="D57" s="16">
        <v>34.642000000000003</v>
      </c>
      <c r="E57" s="16">
        <v>41.872</v>
      </c>
      <c r="F57" s="16">
        <v>42.796999999999997</v>
      </c>
      <c r="G57" s="16">
        <v>1.55</v>
      </c>
      <c r="H57" s="16">
        <f t="shared" si="0"/>
        <v>36.565125000000009</v>
      </c>
      <c r="I57" s="5"/>
      <c r="J57" s="15">
        <v>596.64400000000001</v>
      </c>
      <c r="K57" s="16">
        <v>34.643999999999998</v>
      </c>
      <c r="L57" s="16">
        <v>42.262599999999999</v>
      </c>
      <c r="M57" s="16">
        <v>43.2376</v>
      </c>
      <c r="N57" s="16">
        <v>32.815600000000003</v>
      </c>
      <c r="O57" s="16">
        <f t="shared" si="1"/>
        <v>36.670524999999998</v>
      </c>
      <c r="P57" s="7"/>
      <c r="Q57" s="8">
        <f>bdrate(C57:C60,D57:D60,J57:J60,K57:K60)</f>
        <v>-9.6366014667688127E-2</v>
      </c>
      <c r="R57" s="8">
        <f>bdrate(C57:C60,E57:E60,J57:J60,L57:L60)</f>
        <v>-0.25845123117352709</v>
      </c>
      <c r="S57" s="8">
        <f>bdrate(C57:C60,F57:F60,J57:J60,M57:M60)</f>
        <v>-0.28472755139920269</v>
      </c>
      <c r="T57" s="25">
        <f>bdrate(C57:C60,H57:H60,J57:J60,O57:O60)</f>
        <v>-0.13161536112565997</v>
      </c>
      <c r="U57" s="28">
        <f t="shared" si="2"/>
        <v>20.171354838709679</v>
      </c>
    </row>
    <row r="58" spans="1:21" x14ac:dyDescent="0.25">
      <c r="B58" s="9"/>
      <c r="C58" s="17">
        <v>452.1103515625</v>
      </c>
      <c r="D58" s="18">
        <v>33.375999999999998</v>
      </c>
      <c r="E58" s="18">
        <v>41.05</v>
      </c>
      <c r="F58" s="18">
        <v>41.954999999999998</v>
      </c>
      <c r="G58" s="18">
        <v>1.61</v>
      </c>
      <c r="H58" s="18">
        <f t="shared" si="0"/>
        <v>35.407624999999996</v>
      </c>
      <c r="I58" s="5"/>
      <c r="J58" s="17">
        <v>397.42959999999999</v>
      </c>
      <c r="K58" s="18">
        <v>33.235599999999998</v>
      </c>
      <c r="L58" s="18">
        <v>41.387900000000002</v>
      </c>
      <c r="M58" s="18">
        <v>42.327800000000003</v>
      </c>
      <c r="N58" s="18">
        <v>42.357900000000001</v>
      </c>
      <c r="O58" s="18">
        <f t="shared" si="1"/>
        <v>35.3911625</v>
      </c>
      <c r="P58" s="7"/>
      <c r="Q58" s="10"/>
      <c r="R58" s="11"/>
      <c r="S58" s="11"/>
      <c r="T58" s="26"/>
      <c r="U58" s="28">
        <f t="shared" si="2"/>
        <v>25.309254658385093</v>
      </c>
    </row>
    <row r="59" spans="1:21" x14ac:dyDescent="0.25">
      <c r="B59" s="9"/>
      <c r="C59" s="17">
        <v>295.169921875</v>
      </c>
      <c r="D59" s="18">
        <v>31.856999999999999</v>
      </c>
      <c r="E59" s="18">
        <v>40.055999999999997</v>
      </c>
      <c r="F59" s="18">
        <v>40.79</v>
      </c>
      <c r="G59" s="18">
        <v>1.7</v>
      </c>
      <c r="H59" s="18">
        <f t="shared" si="0"/>
        <v>33.9985</v>
      </c>
      <c r="I59" s="5"/>
      <c r="J59" s="17">
        <v>248.1592</v>
      </c>
      <c r="K59" s="18">
        <v>31.6159</v>
      </c>
      <c r="L59" s="18">
        <v>40.303800000000003</v>
      </c>
      <c r="M59" s="18">
        <v>41.168199999999999</v>
      </c>
      <c r="N59" s="18">
        <v>57.9206</v>
      </c>
      <c r="O59" s="18">
        <f t="shared" si="1"/>
        <v>33.895924999999998</v>
      </c>
      <c r="P59" s="7"/>
      <c r="Q59" s="10"/>
      <c r="R59" s="11"/>
      <c r="S59" s="11"/>
      <c r="T59" s="26"/>
      <c r="U59" s="28">
        <f t="shared" si="2"/>
        <v>33.070941176470591</v>
      </c>
    </row>
    <row r="60" spans="1:21" ht="16.5" thickBot="1" x14ac:dyDescent="0.3">
      <c r="B60" s="12"/>
      <c r="C60" s="19">
        <v>141.990234375</v>
      </c>
      <c r="D60" s="20">
        <v>29.167999999999999</v>
      </c>
      <c r="E60" s="20">
        <v>38.386000000000003</v>
      </c>
      <c r="F60" s="20">
        <v>38.970999999999997</v>
      </c>
      <c r="G60" s="20">
        <v>1.79</v>
      </c>
      <c r="H60" s="20">
        <f t="shared" si="0"/>
        <v>31.545624999999998</v>
      </c>
      <c r="I60" s="5"/>
      <c r="J60" s="19">
        <v>118.5744</v>
      </c>
      <c r="K60" s="20">
        <v>28.945599999999999</v>
      </c>
      <c r="L60" s="20">
        <v>38.875500000000002</v>
      </c>
      <c r="M60" s="20">
        <v>39.717700000000001</v>
      </c>
      <c r="N60" s="20">
        <v>96.400999999999996</v>
      </c>
      <c r="O60" s="20">
        <f t="shared" si="1"/>
        <v>31.533350000000002</v>
      </c>
      <c r="P60" s="7"/>
      <c r="Q60" s="13"/>
      <c r="R60" s="14"/>
      <c r="S60" s="14"/>
      <c r="T60" s="27"/>
      <c r="U60" s="28">
        <f t="shared" si="2"/>
        <v>52.855307262569823</v>
      </c>
    </row>
    <row r="61" spans="1:21" x14ac:dyDescent="0.25">
      <c r="B61" s="6" t="s">
        <v>59</v>
      </c>
      <c r="C61" s="29">
        <v>663.5078125</v>
      </c>
      <c r="D61" s="30">
        <v>34.316000000000003</v>
      </c>
      <c r="E61" s="30">
        <v>39.002000000000002</v>
      </c>
      <c r="F61" s="30">
        <v>39.887</v>
      </c>
      <c r="G61" s="16">
        <v>1.66</v>
      </c>
      <c r="H61" s="16">
        <f t="shared" si="0"/>
        <v>35.598125000000003</v>
      </c>
      <c r="I61" s="5"/>
      <c r="J61" s="29">
        <v>593.57920000000001</v>
      </c>
      <c r="K61" s="30">
        <v>34.018300000000004</v>
      </c>
      <c r="L61" s="30">
        <v>39.155799999999999</v>
      </c>
      <c r="M61" s="30">
        <v>40.06</v>
      </c>
      <c r="N61" s="16">
        <v>26.466200000000001</v>
      </c>
      <c r="O61" s="16">
        <f t="shared" si="1"/>
        <v>35.415700000000001</v>
      </c>
      <c r="P61" s="7"/>
      <c r="Q61" s="8">
        <f>bdrate(C61:C64,D61:D64,J61:J64,K61:K64)</f>
        <v>-9.4874809841831276E-2</v>
      </c>
      <c r="R61" s="8">
        <f>bdrate(C61:C64,E61:E64,J61:J64,L61:L64)</f>
        <v>-0.29678833070562083</v>
      </c>
      <c r="S61" s="8">
        <f>bdrate(C61:C64,F61:F64,J61:J64,M61:M64)</f>
        <v>-0.29356413628014422</v>
      </c>
      <c r="T61" s="25">
        <f>bdrate(C61:C64,H61:H64,J61:J64,O61:O64)</f>
        <v>-0.14182411951668561</v>
      </c>
      <c r="U61" s="28">
        <f t="shared" si="2"/>
        <v>14.943493975903616</v>
      </c>
    </row>
    <row r="62" spans="1:21" x14ac:dyDescent="0.25">
      <c r="B62" s="9"/>
      <c r="C62" s="31">
        <v>463.6357421875</v>
      </c>
      <c r="D62" s="32">
        <v>32.726999999999997</v>
      </c>
      <c r="E62" s="32">
        <v>37.676000000000002</v>
      </c>
      <c r="F62" s="32">
        <v>38.511000000000003</v>
      </c>
      <c r="G62" s="18">
        <v>1.74</v>
      </c>
      <c r="H62" s="18">
        <f t="shared" si="0"/>
        <v>34.068624999999997</v>
      </c>
      <c r="I62" s="5"/>
      <c r="J62" s="31">
        <v>396.44479999999999</v>
      </c>
      <c r="K62" s="32">
        <v>32.433999999999997</v>
      </c>
      <c r="L62" s="32">
        <v>38.040399999999998</v>
      </c>
      <c r="M62" s="32">
        <v>38.904000000000003</v>
      </c>
      <c r="N62" s="18">
        <v>33.0426</v>
      </c>
      <c r="O62" s="18">
        <f t="shared" si="1"/>
        <v>33.943550000000002</v>
      </c>
      <c r="P62" s="7"/>
      <c r="Q62" s="10"/>
      <c r="R62" s="11"/>
      <c r="S62" s="11"/>
      <c r="T62" s="26"/>
      <c r="U62" s="28">
        <f t="shared" si="2"/>
        <v>17.990000000000002</v>
      </c>
    </row>
    <row r="63" spans="1:21" x14ac:dyDescent="0.25">
      <c r="B63" s="9"/>
      <c r="C63" s="31">
        <v>300.8310546875</v>
      </c>
      <c r="D63" s="32">
        <v>30.963999999999999</v>
      </c>
      <c r="E63" s="32">
        <v>36.323</v>
      </c>
      <c r="F63" s="32">
        <v>37.139000000000003</v>
      </c>
      <c r="G63" s="18">
        <v>1.84</v>
      </c>
      <c r="H63" s="18">
        <f t="shared" si="0"/>
        <v>32.405749999999998</v>
      </c>
      <c r="I63" s="5"/>
      <c r="J63" s="31">
        <v>247.1464</v>
      </c>
      <c r="K63" s="32">
        <v>30.671500000000002</v>
      </c>
      <c r="L63" s="32">
        <v>36.85</v>
      </c>
      <c r="M63" s="32">
        <v>37.647599999999997</v>
      </c>
      <c r="N63" s="18">
        <v>41.142099999999999</v>
      </c>
      <c r="O63" s="18">
        <f t="shared" si="1"/>
        <v>32.315824999999997</v>
      </c>
      <c r="P63" s="7"/>
      <c r="Q63" s="10"/>
      <c r="R63" s="11"/>
      <c r="S63" s="11"/>
      <c r="T63" s="26"/>
      <c r="U63" s="28">
        <f t="shared" si="2"/>
        <v>21.359836956521736</v>
      </c>
    </row>
    <row r="64" spans="1:21" ht="16.5" thickBot="1" x14ac:dyDescent="0.3">
      <c r="B64" s="12"/>
      <c r="C64" s="33">
        <v>144.5087890625</v>
      </c>
      <c r="D64" s="34">
        <v>28.414999999999999</v>
      </c>
      <c r="E64" s="34">
        <v>34.368000000000002</v>
      </c>
      <c r="F64" s="34">
        <v>35.143999999999998</v>
      </c>
      <c r="G64" s="20">
        <v>1.79</v>
      </c>
      <c r="H64" s="20">
        <f t="shared" si="0"/>
        <v>30.000250000000001</v>
      </c>
      <c r="I64" s="5"/>
      <c r="J64" s="33">
        <v>118.71599999999999</v>
      </c>
      <c r="K64" s="34">
        <v>28.1081</v>
      </c>
      <c r="L64" s="34">
        <v>35.345300000000002</v>
      </c>
      <c r="M64" s="34">
        <v>36.090699999999998</v>
      </c>
      <c r="N64" s="20">
        <v>61.515700000000002</v>
      </c>
      <c r="O64" s="20">
        <f t="shared" si="1"/>
        <v>30.010574999999999</v>
      </c>
      <c r="P64" s="7"/>
      <c r="Q64" s="13"/>
      <c r="R64" s="14"/>
      <c r="S64" s="14"/>
      <c r="T64" s="27"/>
      <c r="U64" s="28">
        <f t="shared" si="2"/>
        <v>33.366312849162014</v>
      </c>
    </row>
    <row r="65" spans="1:21" x14ac:dyDescent="0.25">
      <c r="B65" s="6" t="s">
        <v>60</v>
      </c>
      <c r="C65" s="15">
        <v>596.7119140625</v>
      </c>
      <c r="D65" s="16">
        <v>35.365000000000002</v>
      </c>
      <c r="E65" s="16">
        <v>39.113</v>
      </c>
      <c r="F65" s="16">
        <v>40.332999999999998</v>
      </c>
      <c r="G65" s="16">
        <v>1.74</v>
      </c>
      <c r="H65" s="16">
        <f t="shared" si="0"/>
        <v>36.454499999999996</v>
      </c>
      <c r="I65" s="5"/>
      <c r="J65" s="15">
        <v>588.50080000000003</v>
      </c>
      <c r="K65" s="16">
        <v>35.313499999999998</v>
      </c>
      <c r="L65" s="16">
        <v>39.195399999999999</v>
      </c>
      <c r="M65" s="16">
        <v>40.370199999999997</v>
      </c>
      <c r="N65" s="16">
        <v>14.4809</v>
      </c>
      <c r="O65" s="16">
        <f t="shared" si="1"/>
        <v>36.430824999999999</v>
      </c>
      <c r="P65" s="7"/>
      <c r="Q65" s="8">
        <f>bdrate(C65:C68,D65:D68,J65:J68,K65:K68)</f>
        <v>-1.0469589976870086E-2</v>
      </c>
      <c r="R65" s="8">
        <f>bdrate(C65:C68,E65:E68,J65:J68,L65:L68)</f>
        <v>-0.16721990108616314</v>
      </c>
      <c r="S65" s="8">
        <f>bdrate(C65:C68,F65:F68,J65:J68,M65:M68)</f>
        <v>-0.1499065603971057</v>
      </c>
      <c r="T65" s="25">
        <f>bdrate(C65:C68,H65:H68,J65:J68,O65:O68)</f>
        <v>-3.9519732302259247E-2</v>
      </c>
      <c r="U65" s="28">
        <f t="shared" si="2"/>
        <v>7.3223563218390808</v>
      </c>
    </row>
    <row r="66" spans="1:21" x14ac:dyDescent="0.25">
      <c r="B66" s="9"/>
      <c r="C66" s="17">
        <v>432.8046875</v>
      </c>
      <c r="D66" s="18">
        <v>33.776000000000003</v>
      </c>
      <c r="E66" s="18">
        <v>37.929000000000002</v>
      </c>
      <c r="F66" s="18">
        <v>39.234000000000002</v>
      </c>
      <c r="G66" s="18">
        <v>1.86</v>
      </c>
      <c r="H66" s="18">
        <f t="shared" si="0"/>
        <v>34.977375000000002</v>
      </c>
      <c r="I66" s="5"/>
      <c r="J66" s="17">
        <v>392.9864</v>
      </c>
      <c r="K66" s="18">
        <v>33.302900000000001</v>
      </c>
      <c r="L66" s="18">
        <v>37.956699999999998</v>
      </c>
      <c r="M66" s="18">
        <v>39.154899999999998</v>
      </c>
      <c r="N66" s="18">
        <v>17.822099999999999</v>
      </c>
      <c r="O66" s="18">
        <f t="shared" si="1"/>
        <v>34.616125000000004</v>
      </c>
      <c r="P66" s="7"/>
      <c r="Q66" s="10"/>
      <c r="R66" s="11"/>
      <c r="S66" s="11"/>
      <c r="T66" s="26"/>
      <c r="U66" s="28">
        <f t="shared" si="2"/>
        <v>8.5817741935483856</v>
      </c>
    </row>
    <row r="67" spans="1:21" x14ac:dyDescent="0.25">
      <c r="B67" s="9"/>
      <c r="C67" s="17">
        <v>297.58203125</v>
      </c>
      <c r="D67" s="18">
        <v>31.984999999999999</v>
      </c>
      <c r="E67" s="18">
        <v>36.656999999999996</v>
      </c>
      <c r="F67" s="18">
        <v>37.911000000000001</v>
      </c>
      <c r="G67" s="18">
        <v>1.93</v>
      </c>
      <c r="H67" s="18">
        <f t="shared" si="0"/>
        <v>33.309750000000001</v>
      </c>
      <c r="I67" s="5"/>
      <c r="J67" s="17">
        <v>243.72479999999999</v>
      </c>
      <c r="K67" s="18">
        <v>31.2058</v>
      </c>
      <c r="L67" s="18">
        <v>36.648000000000003</v>
      </c>
      <c r="M67" s="18">
        <v>37.8444</v>
      </c>
      <c r="N67" s="18">
        <v>22.4131</v>
      </c>
      <c r="O67" s="18">
        <f t="shared" si="1"/>
        <v>32.715899999999998</v>
      </c>
      <c r="P67" s="7"/>
      <c r="Q67" s="10"/>
      <c r="R67" s="11"/>
      <c r="S67" s="11"/>
      <c r="T67" s="26"/>
      <c r="U67" s="28">
        <f t="shared" si="2"/>
        <v>10.61300518134715</v>
      </c>
    </row>
    <row r="68" spans="1:21" ht="16.5" thickBot="1" x14ac:dyDescent="0.3">
      <c r="B68" s="12"/>
      <c r="C68" s="19">
        <v>151.90625</v>
      </c>
      <c r="D68" s="20">
        <v>29.279</v>
      </c>
      <c r="E68" s="20">
        <v>34.622999999999998</v>
      </c>
      <c r="F68" s="20">
        <v>35.811999999999998</v>
      </c>
      <c r="G68" s="20">
        <v>1.61</v>
      </c>
      <c r="H68" s="20">
        <f t="shared" si="0"/>
        <v>30.763624999999998</v>
      </c>
      <c r="I68" s="5"/>
      <c r="J68" s="19">
        <v>117.41679999999999</v>
      </c>
      <c r="K68" s="20">
        <v>28.444199999999999</v>
      </c>
      <c r="L68" s="20">
        <v>35.081800000000001</v>
      </c>
      <c r="M68" s="20">
        <v>36.211100000000002</v>
      </c>
      <c r="N68" s="20">
        <v>32.985199999999999</v>
      </c>
      <c r="O68" s="20">
        <f t="shared" si="1"/>
        <v>30.2447625</v>
      </c>
      <c r="P68" s="7"/>
      <c r="Q68" s="13"/>
      <c r="R68" s="14"/>
      <c r="S68" s="14"/>
      <c r="T68" s="27"/>
      <c r="U68" s="28">
        <f t="shared" si="2"/>
        <v>19.487701863354037</v>
      </c>
    </row>
    <row r="69" spans="1:21" x14ac:dyDescent="0.25">
      <c r="A69" s="6" t="s">
        <v>43</v>
      </c>
      <c r="B69" s="6" t="s">
        <v>61</v>
      </c>
      <c r="C69" s="15">
        <v>1521.64453125</v>
      </c>
      <c r="D69" s="16">
        <v>42.177</v>
      </c>
      <c r="E69" s="16">
        <v>46.332999999999998</v>
      </c>
      <c r="F69" s="16">
        <v>47.637</v>
      </c>
      <c r="G69" s="16">
        <v>1.35</v>
      </c>
      <c r="H69" s="16">
        <f t="shared" si="0"/>
        <v>43.378999999999998</v>
      </c>
      <c r="I69" s="5"/>
      <c r="J69" s="15">
        <v>1503.8055999999999</v>
      </c>
      <c r="K69" s="16">
        <v>42.113900000000001</v>
      </c>
      <c r="L69" s="16">
        <v>46.678100000000001</v>
      </c>
      <c r="M69" s="16">
        <v>47.959099999999999</v>
      </c>
      <c r="N69" s="16">
        <v>7.7229999999999999</v>
      </c>
      <c r="O69" s="16">
        <f t="shared" si="1"/>
        <v>43.415074999999995</v>
      </c>
      <c r="P69" s="7"/>
      <c r="Q69" s="8">
        <f>bdrate(C69:C72,D69:D72,J69:J72,K69:K72)</f>
        <v>-8.4079455565480021E-2</v>
      </c>
      <c r="R69" s="8">
        <f>bdrate(C69:C72,E69:E72,J69:J72,L69:L72)</f>
        <v>-0.21152177745506684</v>
      </c>
      <c r="S69" s="8">
        <f>bdrate(C69:C72,F69:F72,J69:J72,M69:M72)</f>
        <v>-0.18436274943109254</v>
      </c>
      <c r="T69" s="25">
        <f>bdrate(C69:C72,H69:H72,J69:J72,O69:O72)</f>
        <v>-0.1081371864305708</v>
      </c>
      <c r="U69" s="28">
        <f t="shared" si="2"/>
        <v>4.72074074074074</v>
      </c>
    </row>
    <row r="70" spans="1:21" x14ac:dyDescent="0.25">
      <c r="A70" s="9" t="s">
        <v>44</v>
      </c>
      <c r="B70" s="9"/>
      <c r="C70" s="17">
        <v>1040.8935546875</v>
      </c>
      <c r="D70" s="18">
        <v>41.125999999999998</v>
      </c>
      <c r="E70" s="18">
        <v>45.456000000000003</v>
      </c>
      <c r="F70" s="18">
        <v>46.755000000000003</v>
      </c>
      <c r="G70" s="18">
        <v>1.63</v>
      </c>
      <c r="H70" s="18">
        <f t="shared" si="0"/>
        <v>42.370874999999998</v>
      </c>
      <c r="I70" s="5"/>
      <c r="J70" s="17">
        <v>995.2296</v>
      </c>
      <c r="K70" s="18">
        <v>41.1372</v>
      </c>
      <c r="L70" s="18">
        <v>45.842300000000002</v>
      </c>
      <c r="M70" s="18">
        <v>47.064599999999999</v>
      </c>
      <c r="N70" s="18">
        <v>9.9475999999999996</v>
      </c>
      <c r="O70" s="18">
        <f t="shared" si="1"/>
        <v>42.466262499999999</v>
      </c>
      <c r="P70" s="7"/>
      <c r="Q70" s="10"/>
      <c r="R70" s="11"/>
      <c r="S70" s="11"/>
      <c r="T70" s="26"/>
      <c r="U70" s="28">
        <f t="shared" si="2"/>
        <v>5.1028220858895699</v>
      </c>
    </row>
    <row r="71" spans="1:21" x14ac:dyDescent="0.25">
      <c r="B71" s="9"/>
      <c r="C71" s="17">
        <v>641.39453125</v>
      </c>
      <c r="D71" s="18">
        <v>39.338000000000001</v>
      </c>
      <c r="E71" s="18">
        <v>43.994</v>
      </c>
      <c r="F71" s="18">
        <v>45.287999999999997</v>
      </c>
      <c r="G71" s="18">
        <v>1.92</v>
      </c>
      <c r="H71" s="18">
        <f t="shared" si="0"/>
        <v>40.663750000000007</v>
      </c>
      <c r="I71" s="5"/>
      <c r="J71" s="17">
        <v>589.45920000000001</v>
      </c>
      <c r="K71" s="18">
        <v>39.386099999999999</v>
      </c>
      <c r="L71" s="18">
        <v>44.441200000000002</v>
      </c>
      <c r="M71" s="18">
        <v>45.628500000000003</v>
      </c>
      <c r="N71" s="18">
        <v>13.6243</v>
      </c>
      <c r="O71" s="18">
        <f t="shared" si="1"/>
        <v>40.798287500000001</v>
      </c>
      <c r="P71" s="7"/>
      <c r="Q71" s="10"/>
      <c r="R71" s="11"/>
      <c r="S71" s="11"/>
      <c r="T71" s="26"/>
      <c r="U71" s="28">
        <f t="shared" si="2"/>
        <v>6.095989583333334</v>
      </c>
    </row>
    <row r="72" spans="1:21" ht="16.5" thickBot="1" x14ac:dyDescent="0.3">
      <c r="B72" s="12"/>
      <c r="C72" s="19">
        <v>326.2890625</v>
      </c>
      <c r="D72" s="20">
        <v>36.204000000000001</v>
      </c>
      <c r="E72" s="20">
        <v>41.731000000000002</v>
      </c>
      <c r="F72" s="20">
        <v>42.929000000000002</v>
      </c>
      <c r="G72" s="20">
        <v>2.0099999999999998</v>
      </c>
      <c r="H72" s="20">
        <f t="shared" si="0"/>
        <v>37.735500000000002</v>
      </c>
      <c r="I72" s="5"/>
      <c r="J72" s="19">
        <v>289.69760000000002</v>
      </c>
      <c r="K72" s="20">
        <v>36.228700000000003</v>
      </c>
      <c r="L72" s="20">
        <v>42.3964</v>
      </c>
      <c r="M72" s="20">
        <v>43.536999999999999</v>
      </c>
      <c r="N72" s="20">
        <v>20.992999999999999</v>
      </c>
      <c r="O72" s="20">
        <f t="shared" si="1"/>
        <v>37.913199999999996</v>
      </c>
      <c r="P72" s="7"/>
      <c r="Q72" s="13"/>
      <c r="R72" s="14"/>
      <c r="S72" s="14"/>
      <c r="T72" s="27"/>
      <c r="U72" s="28">
        <f t="shared" si="2"/>
        <v>9.4442786069651739</v>
      </c>
    </row>
    <row r="73" spans="1:21" x14ac:dyDescent="0.25">
      <c r="B73" s="6" t="s">
        <v>62</v>
      </c>
      <c r="C73" s="15">
        <v>1504.447265625</v>
      </c>
      <c r="D73" s="16">
        <v>43.209000000000003</v>
      </c>
      <c r="E73" s="16">
        <v>48.411000000000001</v>
      </c>
      <c r="F73" s="16">
        <v>49.061</v>
      </c>
      <c r="G73" s="16">
        <v>0.92</v>
      </c>
      <c r="H73" s="16">
        <f t="shared" si="0"/>
        <v>44.59075</v>
      </c>
      <c r="I73" s="5"/>
      <c r="J73" s="15">
        <v>1506.76</v>
      </c>
      <c r="K73" s="16">
        <v>43.055199999999999</v>
      </c>
      <c r="L73" s="16">
        <v>48.497100000000003</v>
      </c>
      <c r="M73" s="16">
        <v>49.2209</v>
      </c>
      <c r="N73" s="16">
        <v>8.8721999999999994</v>
      </c>
      <c r="O73" s="16">
        <f t="shared" si="1"/>
        <v>44.506149999999991</v>
      </c>
      <c r="P73" s="7"/>
      <c r="Q73" s="8">
        <f>bdrate(C73:C76,D73:D76,J73:J76,K73:K76)</f>
        <v>8.5109701610175392E-4</v>
      </c>
      <c r="R73" s="8">
        <f>bdrate(C73:C76,E73:E76,J73:J76,L73:L76)</f>
        <v>-0.12681500224250286</v>
      </c>
      <c r="S73" s="8">
        <f>bdrate(C73:C76,F73:F76,J73:J76,M73:M76)</f>
        <v>-0.14291516460675968</v>
      </c>
      <c r="T73" s="25">
        <f>bdrate(C73:C76,H73:H76,J73:J76,O73:O76)</f>
        <v>-3.4038185812530153E-2</v>
      </c>
      <c r="U73" s="28">
        <f t="shared" ref="U73:U124" si="3">(N73-G73)/G73</f>
        <v>8.6436956521739123</v>
      </c>
    </row>
    <row r="74" spans="1:21" x14ac:dyDescent="0.25">
      <c r="B74" s="9"/>
      <c r="C74" s="17">
        <v>1046.873046875</v>
      </c>
      <c r="D74" s="18">
        <v>42.78</v>
      </c>
      <c r="E74" s="18">
        <v>48.021999999999998</v>
      </c>
      <c r="F74" s="18">
        <v>48.633000000000003</v>
      </c>
      <c r="G74" s="18">
        <v>1.02</v>
      </c>
      <c r="H74" s="18">
        <f t="shared" si="0"/>
        <v>44.166874999999997</v>
      </c>
      <c r="I74" s="5"/>
      <c r="J74" s="17">
        <v>996.56079999999997</v>
      </c>
      <c r="K74" s="18">
        <v>42.637900000000002</v>
      </c>
      <c r="L74" s="18">
        <v>48.125100000000003</v>
      </c>
      <c r="M74" s="18">
        <v>48.822699999999998</v>
      </c>
      <c r="N74" s="18">
        <v>11.116099999999999</v>
      </c>
      <c r="O74" s="18">
        <f t="shared" si="1"/>
        <v>44.096899999999998</v>
      </c>
      <c r="P74" s="7"/>
      <c r="Q74" s="10"/>
      <c r="R74" s="11"/>
      <c r="S74" s="11"/>
      <c r="T74" s="26"/>
      <c r="U74" s="28">
        <f t="shared" si="3"/>
        <v>9.8981372549019611</v>
      </c>
    </row>
    <row r="75" spans="1:21" x14ac:dyDescent="0.25">
      <c r="B75" s="9"/>
      <c r="C75" s="17">
        <v>659.18359375</v>
      </c>
      <c r="D75" s="18">
        <v>42.103000000000002</v>
      </c>
      <c r="E75" s="18">
        <v>47.381999999999998</v>
      </c>
      <c r="F75" s="18">
        <v>48.006</v>
      </c>
      <c r="G75" s="18">
        <v>1.25</v>
      </c>
      <c r="H75" s="18">
        <f t="shared" si="0"/>
        <v>43.500749999999996</v>
      </c>
      <c r="I75" s="5"/>
      <c r="J75" s="17">
        <v>577.11680000000001</v>
      </c>
      <c r="K75" s="18">
        <v>41.8827</v>
      </c>
      <c r="L75" s="18">
        <v>47.3842</v>
      </c>
      <c r="M75" s="18">
        <v>48.054200000000002</v>
      </c>
      <c r="N75" s="18">
        <v>15.2979</v>
      </c>
      <c r="O75" s="18">
        <f t="shared" si="1"/>
        <v>43.341825</v>
      </c>
      <c r="P75" s="7"/>
      <c r="Q75" s="10"/>
      <c r="R75" s="11"/>
      <c r="S75" s="11"/>
      <c r="T75" s="26"/>
      <c r="U75" s="28">
        <f t="shared" si="3"/>
        <v>11.23832</v>
      </c>
    </row>
    <row r="76" spans="1:21" ht="16.5" thickBot="1" x14ac:dyDescent="0.3">
      <c r="B76" s="12"/>
      <c r="C76" s="19">
        <v>336.3046875</v>
      </c>
      <c r="D76" s="20">
        <v>40.557000000000002</v>
      </c>
      <c r="E76" s="20">
        <v>45.817999999999998</v>
      </c>
      <c r="F76" s="20">
        <v>46.497</v>
      </c>
      <c r="G76" s="20">
        <v>1.59</v>
      </c>
      <c r="H76" s="20">
        <f t="shared" si="0"/>
        <v>41.957125000000005</v>
      </c>
      <c r="I76" s="5"/>
      <c r="J76" s="19">
        <v>275.27199999999999</v>
      </c>
      <c r="K76" s="20">
        <v>40.0959</v>
      </c>
      <c r="L76" s="20">
        <v>45.586300000000001</v>
      </c>
      <c r="M76" s="20">
        <v>46.101700000000001</v>
      </c>
      <c r="N76" s="20">
        <v>24.0077</v>
      </c>
      <c r="O76" s="20">
        <f t="shared" si="1"/>
        <v>41.532924999999999</v>
      </c>
      <c r="P76" s="7"/>
      <c r="Q76" s="13"/>
      <c r="R76" s="14"/>
      <c r="S76" s="14"/>
      <c r="T76" s="27"/>
      <c r="U76" s="28">
        <f t="shared" si="3"/>
        <v>14.099182389937106</v>
      </c>
    </row>
    <row r="77" spans="1:21" x14ac:dyDescent="0.25">
      <c r="B77" s="6" t="s">
        <v>63</v>
      </c>
      <c r="C77" s="15">
        <v>1509.8955078125</v>
      </c>
      <c r="D77" s="16">
        <v>43.031999999999996</v>
      </c>
      <c r="E77" s="16">
        <v>47.408000000000001</v>
      </c>
      <c r="F77" s="16">
        <v>48.296999999999997</v>
      </c>
      <c r="G77" s="16">
        <v>1.21</v>
      </c>
      <c r="H77" s="16">
        <f t="shared" si="0"/>
        <v>44.237125000000006</v>
      </c>
      <c r="I77" s="5"/>
      <c r="J77" s="15">
        <v>1542.9903999999999</v>
      </c>
      <c r="K77" s="16">
        <v>43.010399999999997</v>
      </c>
      <c r="L77" s="16">
        <v>47.687899999999999</v>
      </c>
      <c r="M77" s="16">
        <v>48.612499999999997</v>
      </c>
      <c r="N77" s="16">
        <v>7.9236000000000004</v>
      </c>
      <c r="O77" s="16">
        <f t="shared" si="1"/>
        <v>44.295349999999999</v>
      </c>
      <c r="P77" s="7"/>
      <c r="Q77" s="8">
        <f>bdrate(C77:C80,D77:D80,J77:J80,K77:K80)</f>
        <v>-4.4279571493758163E-2</v>
      </c>
      <c r="R77" s="8">
        <f>bdrate(C77:C80,E77:E80,J77:J80,L77:L80)</f>
        <v>-0.17791304464100721</v>
      </c>
      <c r="S77" s="8">
        <f>bdrate(C77:C80,F77:F80,J77:J80,M77:M80)</f>
        <v>-0.17028011493059092</v>
      </c>
      <c r="T77" s="25">
        <f>bdrate(C77:C80,H77:H80,J77:J80,O77:O80)</f>
        <v>-7.538992233540398E-2</v>
      </c>
      <c r="U77" s="28">
        <f t="shared" si="3"/>
        <v>5.5484297520661165</v>
      </c>
    </row>
    <row r="78" spans="1:21" x14ac:dyDescent="0.25">
      <c r="B78" s="9"/>
      <c r="C78" s="17">
        <v>1029.6240234375</v>
      </c>
      <c r="D78" s="18">
        <v>42.317999999999998</v>
      </c>
      <c r="E78" s="18">
        <v>46.732999999999997</v>
      </c>
      <c r="F78" s="18">
        <v>47.652999999999999</v>
      </c>
      <c r="G78" s="18">
        <v>1.41</v>
      </c>
      <c r="H78" s="18">
        <f t="shared" si="0"/>
        <v>43.536749999999998</v>
      </c>
      <c r="I78" s="5"/>
      <c r="J78" s="17">
        <v>1024.3896</v>
      </c>
      <c r="K78" s="18">
        <v>42.331699999999998</v>
      </c>
      <c r="L78" s="18">
        <v>47.112000000000002</v>
      </c>
      <c r="M78" s="18">
        <v>48.020200000000003</v>
      </c>
      <c r="N78" s="18">
        <v>9.9580000000000002</v>
      </c>
      <c r="O78" s="18">
        <f t="shared" si="1"/>
        <v>43.640299999999996</v>
      </c>
      <c r="P78" s="7"/>
      <c r="Q78" s="10"/>
      <c r="R78" s="11"/>
      <c r="S78" s="11"/>
      <c r="T78" s="26"/>
      <c r="U78" s="28">
        <f t="shared" si="3"/>
        <v>6.062411347517731</v>
      </c>
    </row>
    <row r="79" spans="1:21" x14ac:dyDescent="0.25">
      <c r="B79" s="9"/>
      <c r="C79" s="17">
        <v>643.265625</v>
      </c>
      <c r="D79" s="18">
        <v>41.119</v>
      </c>
      <c r="E79" s="18">
        <v>45.683999999999997</v>
      </c>
      <c r="F79" s="18">
        <v>46.576999999999998</v>
      </c>
      <c r="G79" s="18">
        <v>1.69</v>
      </c>
      <c r="H79" s="18">
        <f t="shared" si="0"/>
        <v>42.371875000000003</v>
      </c>
      <c r="I79" s="5"/>
      <c r="J79" s="17">
        <v>600.98400000000004</v>
      </c>
      <c r="K79" s="18">
        <v>41.052199999999999</v>
      </c>
      <c r="L79" s="18">
        <v>45.918199999999999</v>
      </c>
      <c r="M79" s="18">
        <v>46.799799999999998</v>
      </c>
      <c r="N79" s="18">
        <v>13.6144</v>
      </c>
      <c r="O79" s="18">
        <f t="shared" si="1"/>
        <v>42.378900000000002</v>
      </c>
      <c r="P79" s="7"/>
      <c r="Q79" s="10"/>
      <c r="R79" s="11"/>
      <c r="S79" s="11"/>
      <c r="T79" s="26"/>
      <c r="U79" s="28">
        <f t="shared" si="3"/>
        <v>7.0558579881656813</v>
      </c>
    </row>
    <row r="80" spans="1:21" ht="16.5" thickBot="1" x14ac:dyDescent="0.3">
      <c r="B80" s="12"/>
      <c r="C80" s="19">
        <v>328.58984375</v>
      </c>
      <c r="D80" s="20">
        <v>38.715000000000003</v>
      </c>
      <c r="E80" s="20">
        <v>43.558999999999997</v>
      </c>
      <c r="F80" s="20">
        <v>44.540999999999997</v>
      </c>
      <c r="G80" s="20">
        <v>1.94</v>
      </c>
      <c r="H80" s="20">
        <f t="shared" si="0"/>
        <v>40.048750000000005</v>
      </c>
      <c r="I80" s="5"/>
      <c r="J80" s="19">
        <v>293.536</v>
      </c>
      <c r="K80" s="20">
        <v>38.618200000000002</v>
      </c>
      <c r="L80" s="20">
        <v>44.138100000000001</v>
      </c>
      <c r="M80" s="20">
        <v>44.995699999999999</v>
      </c>
      <c r="N80" s="20">
        <v>21.631</v>
      </c>
      <c r="O80" s="20">
        <f t="shared" si="1"/>
        <v>40.105375000000002</v>
      </c>
      <c r="P80" s="7"/>
      <c r="Q80" s="13"/>
      <c r="R80" s="14"/>
      <c r="S80" s="14"/>
      <c r="T80" s="27"/>
      <c r="U80" s="28">
        <f t="shared" si="3"/>
        <v>10.15</v>
      </c>
    </row>
    <row r="81" spans="1:21" x14ac:dyDescent="0.25">
      <c r="A81" s="6" t="s">
        <v>102</v>
      </c>
      <c r="B81" s="6" t="s">
        <v>103</v>
      </c>
      <c r="C81" s="15">
        <v>1368.1572265625</v>
      </c>
      <c r="D81" s="16">
        <v>48.899000000000001</v>
      </c>
      <c r="E81" s="16">
        <v>53.868000000000002</v>
      </c>
      <c r="F81" s="16">
        <v>54.62</v>
      </c>
      <c r="G81" s="16">
        <v>1.41</v>
      </c>
      <c r="H81" s="16">
        <f t="shared" ref="H81:H124" si="4">(6*D81+E81+F81)/8</f>
        <v>50.235250000000001</v>
      </c>
      <c r="I81" s="5"/>
      <c r="J81" s="15">
        <v>1228.7022999999999</v>
      </c>
      <c r="K81" s="16">
        <v>45.713900000000002</v>
      </c>
      <c r="L81" s="16">
        <v>51.793900000000001</v>
      </c>
      <c r="M81" s="16">
        <v>52.390099999999997</v>
      </c>
      <c r="N81" s="16">
        <v>4.4560000000000004</v>
      </c>
      <c r="O81" s="16">
        <f t="shared" ref="O81:O124" si="5">(6*K81+L81+M81)/8</f>
        <v>47.308425000000007</v>
      </c>
      <c r="P81" s="7"/>
      <c r="Q81" s="8">
        <f>bdrate(C81:C84,D81:D84,J81:J84,K81:K84)</f>
        <v>0.37130170590471256</v>
      </c>
      <c r="R81" s="8">
        <f>bdrate(C81:C84,E81:E84,J81:J84,L81:L84)</f>
        <v>0.12049425037276973</v>
      </c>
      <c r="S81" s="8">
        <f>bdrate(C81:C84,F81:F84,J81:J84,M81:M84)</f>
        <v>7.9563536797315981E-2</v>
      </c>
      <c r="T81" s="25">
        <f>bdrate(C81:C84,H81:H84,J81:J84,O81:O84)</f>
        <v>0.31227544507152682</v>
      </c>
      <c r="U81" s="28">
        <f t="shared" si="3"/>
        <v>2.1602836879432625</v>
      </c>
    </row>
    <row r="82" spans="1:21" x14ac:dyDescent="0.25">
      <c r="A82" s="9" t="s">
        <v>78</v>
      </c>
      <c r="B82" s="9"/>
      <c r="C82" s="17">
        <v>969.1943359375</v>
      </c>
      <c r="D82" s="18">
        <v>46.923999999999999</v>
      </c>
      <c r="E82" s="18">
        <v>52.034999999999997</v>
      </c>
      <c r="F82" s="18">
        <v>52.74</v>
      </c>
      <c r="G82" s="18">
        <v>1.44</v>
      </c>
      <c r="H82" s="18">
        <f t="shared" si="4"/>
        <v>48.289874999999995</v>
      </c>
      <c r="I82" s="5"/>
      <c r="J82" s="17">
        <v>828.15729999999996</v>
      </c>
      <c r="K82" s="18">
        <v>44.011000000000003</v>
      </c>
      <c r="L82" s="18">
        <v>50.5809</v>
      </c>
      <c r="M82" s="18">
        <v>51.166800000000002</v>
      </c>
      <c r="N82" s="18">
        <v>5.4252000000000002</v>
      </c>
      <c r="O82" s="18">
        <f t="shared" si="5"/>
        <v>45.726712500000005</v>
      </c>
      <c r="P82" s="7"/>
      <c r="Q82" s="10"/>
      <c r="R82" s="11"/>
      <c r="S82" s="11"/>
      <c r="T82" s="26"/>
      <c r="U82" s="28">
        <f t="shared" si="3"/>
        <v>2.7675000000000005</v>
      </c>
    </row>
    <row r="83" spans="1:21" x14ac:dyDescent="0.25">
      <c r="B83" s="9"/>
      <c r="C83" s="17">
        <v>613.12109375</v>
      </c>
      <c r="D83" s="18">
        <v>44.6</v>
      </c>
      <c r="E83" s="18">
        <v>50.161999999999999</v>
      </c>
      <c r="F83" s="18">
        <v>50.854999999999997</v>
      </c>
      <c r="G83" s="18">
        <v>1.33</v>
      </c>
      <c r="H83" s="18">
        <f t="shared" si="4"/>
        <v>46.077125000000002</v>
      </c>
      <c r="I83" s="5"/>
      <c r="J83" s="17">
        <v>504.45240000000001</v>
      </c>
      <c r="K83" s="18">
        <v>41.5092</v>
      </c>
      <c r="L83" s="18">
        <v>48.548900000000003</v>
      </c>
      <c r="M83" s="18">
        <v>49.550600000000003</v>
      </c>
      <c r="N83" s="18">
        <v>7.0355999999999996</v>
      </c>
      <c r="O83" s="18">
        <f t="shared" si="5"/>
        <v>43.394337500000006</v>
      </c>
      <c r="P83" s="7"/>
      <c r="Q83" s="10"/>
      <c r="R83" s="11"/>
      <c r="S83" s="11"/>
      <c r="T83" s="26"/>
      <c r="U83" s="28">
        <f t="shared" si="3"/>
        <v>4.2899248120300744</v>
      </c>
    </row>
    <row r="84" spans="1:21" ht="16.5" thickBot="1" x14ac:dyDescent="0.3">
      <c r="B84" s="12"/>
      <c r="C84" s="19">
        <v>344.42578125</v>
      </c>
      <c r="D84" s="20">
        <v>40.006999999999998</v>
      </c>
      <c r="E84" s="20">
        <v>46.411000000000001</v>
      </c>
      <c r="F84" s="20">
        <v>47.322000000000003</v>
      </c>
      <c r="G84" s="20">
        <v>1.1200000000000001</v>
      </c>
      <c r="H84" s="20">
        <f t="shared" si="4"/>
        <v>41.721874999999997</v>
      </c>
      <c r="I84" s="5"/>
      <c r="J84" s="19">
        <v>257.93729999999999</v>
      </c>
      <c r="K84" s="20">
        <v>37.988599999999998</v>
      </c>
      <c r="L84" s="20">
        <v>45.655700000000003</v>
      </c>
      <c r="M84" s="20">
        <v>47.074199999999998</v>
      </c>
      <c r="N84" s="20">
        <v>10.5847</v>
      </c>
      <c r="O84" s="20">
        <f t="shared" si="5"/>
        <v>40.082687500000006</v>
      </c>
      <c r="P84" s="7"/>
      <c r="Q84" s="13"/>
      <c r="R84" s="14"/>
      <c r="S84" s="14"/>
      <c r="T84" s="27"/>
      <c r="U84" s="28">
        <f t="shared" si="3"/>
        <v>8.4506250000000005</v>
      </c>
    </row>
    <row r="85" spans="1:21" x14ac:dyDescent="0.25">
      <c r="B85" s="6" t="s">
        <v>104</v>
      </c>
      <c r="C85" s="15">
        <v>1889.9267578125</v>
      </c>
      <c r="D85" s="16">
        <v>56.29</v>
      </c>
      <c r="E85" s="16">
        <v>56.930999999999997</v>
      </c>
      <c r="F85" s="16">
        <v>57.244999999999997</v>
      </c>
      <c r="G85" s="16">
        <v>2.93</v>
      </c>
      <c r="H85" s="16">
        <f t="shared" si="4"/>
        <v>56.4895</v>
      </c>
      <c r="I85" s="5"/>
      <c r="J85" s="15">
        <v>1400.2001</v>
      </c>
      <c r="K85" s="16">
        <v>53.811799999999998</v>
      </c>
      <c r="L85" s="16">
        <v>54.6205</v>
      </c>
      <c r="M85" s="16">
        <v>55.241100000000003</v>
      </c>
      <c r="N85" s="16">
        <v>11.867900000000001</v>
      </c>
      <c r="O85" s="16">
        <f t="shared" si="5"/>
        <v>54.091549999999998</v>
      </c>
      <c r="P85" s="7"/>
      <c r="Q85" s="8">
        <f>bdrate(C85:C88,D85:D88,J85:J88,K85:K88)</f>
        <v>-7.0992816225062372E-2</v>
      </c>
      <c r="R85" s="8">
        <f>bdrate(C85:C88,E85:E88,J85:J88,L85:L88)</f>
        <v>-0.12571866883816218</v>
      </c>
      <c r="S85" s="8">
        <f>bdrate(C85:C88,F85:F88,J85:J88,M85:M88)</f>
        <v>-0.13849648178710061</v>
      </c>
      <c r="T85" s="25">
        <f>bdrate(C85:C88,H85:H88,J85:J88,O85:O88)</f>
        <v>-8.5339526089972639E-2</v>
      </c>
      <c r="U85" s="28">
        <f t="shared" si="3"/>
        <v>3.0504778156996588</v>
      </c>
    </row>
    <row r="86" spans="1:21" x14ac:dyDescent="0.25">
      <c r="B86" s="9"/>
      <c r="C86" s="17">
        <v>1333.634765625</v>
      </c>
      <c r="D86" s="18">
        <v>53.878999999999998</v>
      </c>
      <c r="E86" s="18">
        <v>54.62</v>
      </c>
      <c r="F86" s="18">
        <v>54.982999999999997</v>
      </c>
      <c r="G86" s="18">
        <v>3.06</v>
      </c>
      <c r="H86" s="18">
        <f t="shared" si="4"/>
        <v>54.109625000000001</v>
      </c>
      <c r="I86" s="5"/>
      <c r="J86" s="17">
        <v>966.50519999999995</v>
      </c>
      <c r="K86" s="18">
        <v>51.916499999999999</v>
      </c>
      <c r="L86" s="18">
        <v>52.958599999999997</v>
      </c>
      <c r="M86" s="18">
        <v>53.519199999999998</v>
      </c>
      <c r="N86" s="18">
        <v>13.5725</v>
      </c>
      <c r="O86" s="18">
        <f t="shared" si="5"/>
        <v>52.247100000000003</v>
      </c>
      <c r="P86" s="7"/>
      <c r="Q86" s="10"/>
      <c r="R86" s="11"/>
      <c r="S86" s="11"/>
      <c r="T86" s="26"/>
      <c r="U86" s="28">
        <f t="shared" si="3"/>
        <v>3.4354575163398691</v>
      </c>
    </row>
    <row r="87" spans="1:21" x14ac:dyDescent="0.25">
      <c r="B87" s="9"/>
      <c r="C87" s="17">
        <v>845.0126953125</v>
      </c>
      <c r="D87" s="18">
        <v>50.768999999999998</v>
      </c>
      <c r="E87" s="18">
        <v>51.662999999999997</v>
      </c>
      <c r="F87" s="18">
        <v>52.125</v>
      </c>
      <c r="G87" s="18">
        <v>3.14</v>
      </c>
      <c r="H87" s="18">
        <f t="shared" si="4"/>
        <v>51.050249999999998</v>
      </c>
      <c r="I87" s="5"/>
      <c r="J87" s="17">
        <v>601.02639999999997</v>
      </c>
      <c r="K87" s="18">
        <v>49.275700000000001</v>
      </c>
      <c r="L87" s="18">
        <v>50.653700000000001</v>
      </c>
      <c r="M87" s="18">
        <v>51.206499999999998</v>
      </c>
      <c r="N87" s="18">
        <v>16.420100000000001</v>
      </c>
      <c r="O87" s="18">
        <f t="shared" si="5"/>
        <v>49.689300000000003</v>
      </c>
      <c r="P87" s="7"/>
      <c r="Q87" s="10"/>
      <c r="R87" s="11"/>
      <c r="S87" s="11"/>
      <c r="T87" s="26"/>
      <c r="U87" s="28">
        <f t="shared" si="3"/>
        <v>4.2293312101910825</v>
      </c>
    </row>
    <row r="88" spans="1:21" ht="16.5" thickBot="1" x14ac:dyDescent="0.3">
      <c r="B88" s="12"/>
      <c r="C88" s="19">
        <v>447.712890625</v>
      </c>
      <c r="D88" s="20">
        <v>46.594000000000001</v>
      </c>
      <c r="E88" s="20">
        <v>47.741999999999997</v>
      </c>
      <c r="F88" s="20">
        <v>48.271999999999998</v>
      </c>
      <c r="G88" s="20">
        <v>3.02</v>
      </c>
      <c r="H88" s="20">
        <f t="shared" si="4"/>
        <v>46.947250000000004</v>
      </c>
      <c r="I88" s="5"/>
      <c r="J88" s="19">
        <v>309.03050000000002</v>
      </c>
      <c r="K88" s="20">
        <v>44.7547</v>
      </c>
      <c r="L88" s="20">
        <v>46.761899999999997</v>
      </c>
      <c r="M88" s="20">
        <v>47.3125</v>
      </c>
      <c r="N88" s="20">
        <v>22.771599999999999</v>
      </c>
      <c r="O88" s="20">
        <f t="shared" si="5"/>
        <v>45.325324999999992</v>
      </c>
      <c r="P88" s="7"/>
      <c r="Q88" s="13"/>
      <c r="R88" s="14"/>
      <c r="S88" s="14"/>
      <c r="T88" s="27"/>
      <c r="U88" s="28">
        <f t="shared" si="3"/>
        <v>6.540264900662252</v>
      </c>
    </row>
    <row r="89" spans="1:21" x14ac:dyDescent="0.25">
      <c r="B89" s="6" t="s">
        <v>105</v>
      </c>
      <c r="C89" s="15">
        <v>1917.8544921875</v>
      </c>
      <c r="D89" s="16">
        <v>45.128</v>
      </c>
      <c r="E89" s="16">
        <v>47.215000000000003</v>
      </c>
      <c r="F89" s="16">
        <v>47.639000000000003</v>
      </c>
      <c r="G89" s="16">
        <v>1.51</v>
      </c>
      <c r="H89" s="16">
        <f t="shared" si="4"/>
        <v>45.702750000000009</v>
      </c>
      <c r="I89" s="5"/>
      <c r="J89" s="15">
        <v>1486.4960000000001</v>
      </c>
      <c r="K89" s="16">
        <v>44.836100000000002</v>
      </c>
      <c r="L89" s="16">
        <v>47.089300000000001</v>
      </c>
      <c r="M89" s="16">
        <v>47.526899999999998</v>
      </c>
      <c r="N89" s="16">
        <v>5.3743999999999996</v>
      </c>
      <c r="O89" s="16">
        <f t="shared" si="5"/>
        <v>45.454100000000004</v>
      </c>
      <c r="P89" s="7"/>
      <c r="Q89" s="8">
        <f>bdrate(C89:C92,D89:D92,J89:J92,K89:K92)</f>
        <v>-0.13325627957559294</v>
      </c>
      <c r="R89" s="8">
        <f>bdrate(C89:C92,E89:E92,J89:J92,L89:L92)</f>
        <v>-0.22068829242078958</v>
      </c>
      <c r="S89" s="8">
        <f>bdrate(C89:C92,F89:F92,J89:J92,M89:M92)</f>
        <v>-0.2161670698035818</v>
      </c>
      <c r="T89" s="25">
        <f>bdrate(C89:C92,H89:H92,J89:J92,O89:O92)</f>
        <v>-0.15029525412473821</v>
      </c>
      <c r="U89" s="28">
        <f t="shared" si="3"/>
        <v>2.5592052980132447</v>
      </c>
    </row>
    <row r="90" spans="1:21" x14ac:dyDescent="0.25">
      <c r="B90" s="9"/>
      <c r="C90" s="17">
        <v>1306.5009765625</v>
      </c>
      <c r="D90" s="18">
        <v>43.357999999999997</v>
      </c>
      <c r="E90" s="18">
        <v>45.722999999999999</v>
      </c>
      <c r="F90" s="18">
        <v>46.167000000000002</v>
      </c>
      <c r="G90" s="18">
        <v>1.56</v>
      </c>
      <c r="H90" s="18">
        <f t="shared" si="4"/>
        <v>44.004750000000001</v>
      </c>
      <c r="I90" s="5"/>
      <c r="J90" s="17">
        <v>995.26369999999997</v>
      </c>
      <c r="K90" s="18">
        <v>42.912799999999997</v>
      </c>
      <c r="L90" s="18">
        <v>45.616500000000002</v>
      </c>
      <c r="M90" s="18">
        <v>46.030799999999999</v>
      </c>
      <c r="N90" s="18">
        <v>6.5255000000000001</v>
      </c>
      <c r="O90" s="18">
        <f t="shared" si="5"/>
        <v>43.6405125</v>
      </c>
      <c r="P90" s="7"/>
      <c r="Q90" s="10"/>
      <c r="R90" s="11"/>
      <c r="S90" s="11"/>
      <c r="T90" s="26"/>
      <c r="U90" s="28">
        <f t="shared" si="3"/>
        <v>3.1830128205128205</v>
      </c>
    </row>
    <row r="91" spans="1:21" x14ac:dyDescent="0.25">
      <c r="B91" s="9"/>
      <c r="C91" s="17">
        <v>828.111328125</v>
      </c>
      <c r="D91" s="18">
        <v>41.213999999999999</v>
      </c>
      <c r="E91" s="18">
        <v>43.954000000000001</v>
      </c>
      <c r="F91" s="18">
        <v>44.402999999999999</v>
      </c>
      <c r="G91" s="18">
        <v>1.58</v>
      </c>
      <c r="H91" s="18">
        <f t="shared" si="4"/>
        <v>41.955125000000002</v>
      </c>
      <c r="I91" s="5"/>
      <c r="J91" s="17">
        <v>598.33870000000002</v>
      </c>
      <c r="K91" s="18">
        <v>40.203400000000002</v>
      </c>
      <c r="L91" s="18">
        <v>43.621899999999997</v>
      </c>
      <c r="M91" s="18">
        <v>44.042700000000004</v>
      </c>
      <c r="N91" s="18">
        <v>8.3666</v>
      </c>
      <c r="O91" s="18">
        <f t="shared" si="5"/>
        <v>41.110625000000006</v>
      </c>
      <c r="P91" s="7"/>
      <c r="Q91" s="10"/>
      <c r="R91" s="11"/>
      <c r="S91" s="11"/>
      <c r="T91" s="26"/>
      <c r="U91" s="28">
        <f t="shared" si="3"/>
        <v>4.2953164556962022</v>
      </c>
    </row>
    <row r="92" spans="1:21" ht="16.5" thickBot="1" x14ac:dyDescent="0.3">
      <c r="B92" s="12"/>
      <c r="C92" s="19">
        <v>450.40625</v>
      </c>
      <c r="D92" s="20">
        <v>38.253999999999998</v>
      </c>
      <c r="E92" s="20">
        <v>41.515000000000001</v>
      </c>
      <c r="F92" s="20">
        <v>41.942</v>
      </c>
      <c r="G92" s="20">
        <v>1.49</v>
      </c>
      <c r="H92" s="20">
        <f t="shared" si="4"/>
        <v>39.122624999999999</v>
      </c>
      <c r="I92" s="5"/>
      <c r="J92" s="19">
        <v>300.01159999999999</v>
      </c>
      <c r="K92" s="20">
        <v>36.468200000000003</v>
      </c>
      <c r="L92" s="20">
        <v>41.165700000000001</v>
      </c>
      <c r="M92" s="20">
        <v>41.581899999999997</v>
      </c>
      <c r="N92" s="20">
        <v>12.023999999999999</v>
      </c>
      <c r="O92" s="20">
        <f t="shared" si="5"/>
        <v>37.694600000000008</v>
      </c>
      <c r="P92" s="7"/>
      <c r="Q92" s="13"/>
      <c r="R92" s="14"/>
      <c r="S92" s="14"/>
      <c r="T92" s="27"/>
      <c r="U92" s="28">
        <f t="shared" si="3"/>
        <v>7.0697986577181204</v>
      </c>
    </row>
    <row r="93" spans="1:21" x14ac:dyDescent="0.25">
      <c r="B93" s="6" t="s">
        <v>106</v>
      </c>
      <c r="C93" s="29">
        <v>1815.333984375</v>
      </c>
      <c r="D93" s="30">
        <v>40.725999999999999</v>
      </c>
      <c r="E93" s="30">
        <v>44.982999999999997</v>
      </c>
      <c r="F93" s="30">
        <v>44.948999999999998</v>
      </c>
      <c r="G93" s="16">
        <v>1.21</v>
      </c>
      <c r="H93" s="16">
        <f t="shared" si="4"/>
        <v>41.786000000000001</v>
      </c>
      <c r="I93" s="5"/>
      <c r="J93" s="29">
        <v>1495.5361</v>
      </c>
      <c r="K93" s="30">
        <v>40.617199999999997</v>
      </c>
      <c r="L93" s="30">
        <v>45.162999999999997</v>
      </c>
      <c r="M93" s="30">
        <v>45.132599999999996</v>
      </c>
      <c r="N93" s="16">
        <v>4.7397</v>
      </c>
      <c r="O93" s="16">
        <f t="shared" si="5"/>
        <v>41.749849999999995</v>
      </c>
      <c r="P93" s="7"/>
      <c r="Q93" s="8">
        <f>bdrate(C93:C96,D93:D96,J93:J96,K93:K96)</f>
        <v>-0.10692522540790639</v>
      </c>
      <c r="R93" s="8">
        <f>bdrate(C93:C96,E93:E96,J93:J96,L93:L96)</f>
        <v>-0.27790713646362086</v>
      </c>
      <c r="S93" s="8">
        <f>bdrate(C93:C96,F93:F96,J93:J96,M93:M96)</f>
        <v>-0.29154439763534845</v>
      </c>
      <c r="T93" s="25">
        <f>bdrate(C93:C96,H93:H96,J93:J96,O93:O96)</f>
        <v>-0.14449061306405009</v>
      </c>
      <c r="U93" s="28">
        <f t="shared" si="3"/>
        <v>2.9171074380165289</v>
      </c>
    </row>
    <row r="94" spans="1:21" x14ac:dyDescent="0.25">
      <c r="B94" s="9"/>
      <c r="C94" s="31">
        <v>1242.123046875</v>
      </c>
      <c r="D94" s="32">
        <v>39.051000000000002</v>
      </c>
      <c r="E94" s="32">
        <v>43.637999999999998</v>
      </c>
      <c r="F94" s="32">
        <v>43.569000000000003</v>
      </c>
      <c r="G94" s="18">
        <v>1.23</v>
      </c>
      <c r="H94" s="18">
        <f t="shared" si="4"/>
        <v>40.189125000000004</v>
      </c>
      <c r="I94" s="5"/>
      <c r="J94" s="31">
        <v>997.44209999999998</v>
      </c>
      <c r="K94" s="32">
        <v>38.691299999999998</v>
      </c>
      <c r="L94" s="32">
        <v>43.839100000000002</v>
      </c>
      <c r="M94" s="32">
        <v>43.826099999999997</v>
      </c>
      <c r="N94" s="18">
        <v>5.7915999999999999</v>
      </c>
      <c r="O94" s="18">
        <f t="shared" si="5"/>
        <v>39.976624999999999</v>
      </c>
      <c r="P94" s="7"/>
      <c r="Q94" s="10"/>
      <c r="R94" s="11"/>
      <c r="S94" s="11"/>
      <c r="T94" s="26"/>
      <c r="U94" s="28">
        <f t="shared" si="3"/>
        <v>3.7086178861788621</v>
      </c>
    </row>
    <row r="95" spans="1:21" x14ac:dyDescent="0.25">
      <c r="B95" s="9"/>
      <c r="C95" s="31">
        <v>756.716796875</v>
      </c>
      <c r="D95" s="32">
        <v>36.890999999999998</v>
      </c>
      <c r="E95" s="32">
        <v>41.914999999999999</v>
      </c>
      <c r="F95" s="32">
        <v>41.8</v>
      </c>
      <c r="G95" s="18">
        <v>1.22</v>
      </c>
      <c r="H95" s="18">
        <f t="shared" si="4"/>
        <v>38.132625000000004</v>
      </c>
      <c r="I95" s="5"/>
      <c r="J95" s="31">
        <v>598.2441</v>
      </c>
      <c r="K95" s="32">
        <v>36.289200000000001</v>
      </c>
      <c r="L95" s="32">
        <v>42.221899999999998</v>
      </c>
      <c r="M95" s="32">
        <v>42.210700000000003</v>
      </c>
      <c r="N95" s="18">
        <v>7.5045000000000002</v>
      </c>
      <c r="O95" s="18">
        <f t="shared" si="5"/>
        <v>37.770975000000007</v>
      </c>
      <c r="P95" s="7"/>
      <c r="Q95" s="10"/>
      <c r="R95" s="11"/>
      <c r="S95" s="11"/>
      <c r="T95" s="26"/>
      <c r="U95" s="28">
        <f t="shared" si="3"/>
        <v>5.1512295081967219</v>
      </c>
    </row>
    <row r="96" spans="1:21" ht="16.5" thickBot="1" x14ac:dyDescent="0.3">
      <c r="B96" s="12"/>
      <c r="C96" s="33">
        <v>387.3154296875</v>
      </c>
      <c r="D96" s="34">
        <v>34.058999999999997</v>
      </c>
      <c r="E96" s="34">
        <v>39.624000000000002</v>
      </c>
      <c r="F96" s="34">
        <v>39.506</v>
      </c>
      <c r="G96" s="20">
        <v>1.1200000000000001</v>
      </c>
      <c r="H96" s="20">
        <f t="shared" si="4"/>
        <v>35.435499999999998</v>
      </c>
      <c r="I96" s="5"/>
      <c r="J96" s="33">
        <v>299.39960000000002</v>
      </c>
      <c r="K96" s="34">
        <v>33.155999999999999</v>
      </c>
      <c r="L96" s="34">
        <v>40.353900000000003</v>
      </c>
      <c r="M96" s="34">
        <v>40.226999999999997</v>
      </c>
      <c r="N96" s="20">
        <v>11.042</v>
      </c>
      <c r="O96" s="20">
        <f t="shared" si="5"/>
        <v>34.939612499999996</v>
      </c>
      <c r="P96" s="7"/>
      <c r="Q96" s="13"/>
      <c r="R96" s="14"/>
      <c r="S96" s="14"/>
      <c r="T96" s="27"/>
      <c r="U96" s="28">
        <f t="shared" si="3"/>
        <v>8.8589285714285708</v>
      </c>
    </row>
    <row r="97" spans="2:21" x14ac:dyDescent="0.25">
      <c r="B97" s="6" t="s">
        <v>107</v>
      </c>
      <c r="C97" s="15">
        <v>1552.462890625</v>
      </c>
      <c r="D97" s="16">
        <v>38.871000000000002</v>
      </c>
      <c r="E97" s="16">
        <v>43.13</v>
      </c>
      <c r="F97" s="16">
        <v>43.643999999999998</v>
      </c>
      <c r="G97" s="16">
        <v>1.36</v>
      </c>
      <c r="H97" s="16">
        <f t="shared" si="4"/>
        <v>40</v>
      </c>
      <c r="I97" s="5"/>
      <c r="J97" s="15">
        <v>1508.2043000000001</v>
      </c>
      <c r="K97" s="16">
        <v>38.907200000000003</v>
      </c>
      <c r="L97" s="16">
        <v>43.643999999999998</v>
      </c>
      <c r="M97" s="16">
        <v>44.1357</v>
      </c>
      <c r="N97" s="16">
        <v>5.9320000000000004</v>
      </c>
      <c r="O97" s="16">
        <f t="shared" si="5"/>
        <v>40.152862499999998</v>
      </c>
      <c r="P97" s="7"/>
      <c r="Q97" s="8">
        <f>bdrate(C97:C100,D97:D100,J97:J100,K97:K100)</f>
        <v>-2.8274104597926564E-2</v>
      </c>
      <c r="R97" s="8">
        <f>bdrate(C97:C100,E97:E100,J97:J100,L97:L100)</f>
        <v>-0.25984643475138425</v>
      </c>
      <c r="S97" s="8">
        <f>bdrate(C97:C100,F97:F100,J97:J100,M97:M100)</f>
        <v>-0.24924769274184855</v>
      </c>
      <c r="T97" s="25">
        <f>bdrate(C97:C100,H97:H100,J97:J100,O97:O100)</f>
        <v>-8.1839552130002713E-2</v>
      </c>
      <c r="U97" s="28">
        <f t="shared" si="3"/>
        <v>3.3617647058823525</v>
      </c>
    </row>
    <row r="98" spans="2:21" x14ac:dyDescent="0.25">
      <c r="B98" s="9"/>
      <c r="C98" s="17">
        <v>1080.1708984375</v>
      </c>
      <c r="D98" s="18">
        <v>37.130000000000003</v>
      </c>
      <c r="E98" s="18">
        <v>41.585000000000001</v>
      </c>
      <c r="F98" s="18">
        <v>42.197000000000003</v>
      </c>
      <c r="G98" s="18">
        <v>1.38</v>
      </c>
      <c r="H98" s="18">
        <f t="shared" si="4"/>
        <v>38.320250000000001</v>
      </c>
      <c r="I98" s="5"/>
      <c r="J98" s="17">
        <v>1013.1001</v>
      </c>
      <c r="K98" s="18">
        <v>36.970399999999998</v>
      </c>
      <c r="L98" s="18">
        <v>42.222000000000001</v>
      </c>
      <c r="M98" s="18">
        <v>42.766100000000002</v>
      </c>
      <c r="N98" s="18">
        <v>7.2717999999999998</v>
      </c>
      <c r="O98" s="18">
        <f t="shared" si="5"/>
        <v>38.351312499999999</v>
      </c>
      <c r="P98" s="7"/>
      <c r="Q98" s="10"/>
      <c r="R98" s="11"/>
      <c r="S98" s="11"/>
      <c r="T98" s="26"/>
      <c r="U98" s="28">
        <f t="shared" si="3"/>
        <v>4.2694202898550726</v>
      </c>
    </row>
    <row r="99" spans="2:21" x14ac:dyDescent="0.25">
      <c r="B99" s="9"/>
      <c r="C99" s="17">
        <v>668.6474609375</v>
      </c>
      <c r="D99" s="18">
        <v>34.81</v>
      </c>
      <c r="E99" s="18">
        <v>39.49</v>
      </c>
      <c r="F99" s="18">
        <v>40.207999999999998</v>
      </c>
      <c r="G99" s="18">
        <v>1.26</v>
      </c>
      <c r="H99" s="18">
        <f t="shared" si="4"/>
        <v>36.069749999999999</v>
      </c>
      <c r="I99" s="5"/>
      <c r="J99" s="17">
        <v>603.18190000000004</v>
      </c>
      <c r="K99" s="18">
        <v>34.458500000000001</v>
      </c>
      <c r="L99" s="18">
        <v>40.369799999999998</v>
      </c>
      <c r="M99" s="18">
        <v>40.967100000000002</v>
      </c>
      <c r="N99" s="18">
        <v>9.2996999999999996</v>
      </c>
      <c r="O99" s="18">
        <f t="shared" si="5"/>
        <v>36.010987499999999</v>
      </c>
      <c r="P99" s="7"/>
      <c r="Q99" s="10"/>
      <c r="R99" s="11"/>
      <c r="S99" s="11"/>
      <c r="T99" s="26"/>
      <c r="U99" s="28">
        <f t="shared" si="3"/>
        <v>6.3807142857142853</v>
      </c>
    </row>
    <row r="100" spans="2:21" ht="16.5" thickBot="1" x14ac:dyDescent="0.3">
      <c r="B100" s="12"/>
      <c r="C100" s="19">
        <v>366.845703125</v>
      </c>
      <c r="D100" s="20">
        <v>31.972000000000001</v>
      </c>
      <c r="E100" s="20">
        <v>36.89</v>
      </c>
      <c r="F100" s="20">
        <v>37.628999999999998</v>
      </c>
      <c r="G100" s="20">
        <v>1.03</v>
      </c>
      <c r="H100" s="20">
        <f t="shared" si="4"/>
        <v>33.293875</v>
      </c>
      <c r="I100" s="5"/>
      <c r="J100" s="19">
        <v>304.89749999999998</v>
      </c>
      <c r="K100" s="20">
        <v>31.139900000000001</v>
      </c>
      <c r="L100" s="20">
        <v>38.103499999999997</v>
      </c>
      <c r="M100" s="20">
        <v>38.825000000000003</v>
      </c>
      <c r="N100" s="20">
        <v>13.138400000000001</v>
      </c>
      <c r="O100" s="20">
        <f t="shared" si="5"/>
        <v>32.9709875</v>
      </c>
      <c r="P100" s="7"/>
      <c r="Q100" s="13"/>
      <c r="R100" s="14"/>
      <c r="S100" s="14"/>
      <c r="T100" s="27"/>
      <c r="U100" s="28">
        <f t="shared" si="3"/>
        <v>11.755728155339806</v>
      </c>
    </row>
    <row r="101" spans="2:21" x14ac:dyDescent="0.25">
      <c r="B101" s="6" t="s">
        <v>108</v>
      </c>
      <c r="C101" s="15">
        <v>1655.7490234375</v>
      </c>
      <c r="D101" s="16">
        <v>38.648000000000003</v>
      </c>
      <c r="E101" s="16">
        <v>44.39</v>
      </c>
      <c r="F101" s="16">
        <v>46.314</v>
      </c>
      <c r="G101" s="16">
        <v>1.1200000000000001</v>
      </c>
      <c r="H101" s="16">
        <f t="shared" si="4"/>
        <v>40.324000000000005</v>
      </c>
      <c r="I101" s="5"/>
      <c r="J101" s="15">
        <v>1510.1267</v>
      </c>
      <c r="K101" s="16">
        <v>38.584899999999998</v>
      </c>
      <c r="L101" s="16">
        <v>44.537799999999997</v>
      </c>
      <c r="M101" s="16">
        <v>46.1036</v>
      </c>
      <c r="N101" s="16">
        <v>4.2763</v>
      </c>
      <c r="O101" s="16">
        <f t="shared" si="5"/>
        <v>40.26885</v>
      </c>
      <c r="P101" s="7"/>
      <c r="Q101" s="8">
        <f>bdrate(C101:C104,D101:D104,J101:J104,K101:K104)</f>
        <v>-1.7582544267558342E-2</v>
      </c>
      <c r="R101" s="8">
        <f>bdrate(C101:C104,E101:E104,J101:J104,L101:L104)</f>
        <v>-0.23330996212125077</v>
      </c>
      <c r="S101" s="8">
        <f>bdrate(C101:C104,F101:F104,J101:J104,M101:M104)</f>
        <v>-0.13027154155621234</v>
      </c>
      <c r="T101" s="25">
        <f>bdrate(C101:C104,H101:H104,J101:J104,O101:O104)</f>
        <v>-5.2697342599240304E-2</v>
      </c>
      <c r="U101" s="28">
        <f t="shared" si="3"/>
        <v>2.8181249999999998</v>
      </c>
    </row>
    <row r="102" spans="2:21" x14ac:dyDescent="0.25">
      <c r="B102" s="9"/>
      <c r="C102" s="17">
        <v>1115.8994140625</v>
      </c>
      <c r="D102" s="18">
        <v>37.337000000000003</v>
      </c>
      <c r="E102" s="18">
        <v>43.414999999999999</v>
      </c>
      <c r="F102" s="18">
        <v>45.295000000000002</v>
      </c>
      <c r="G102" s="18">
        <v>1.2</v>
      </c>
      <c r="H102" s="18">
        <f t="shared" si="4"/>
        <v>39.091500000000003</v>
      </c>
      <c r="I102" s="5"/>
      <c r="J102" s="17">
        <v>1008.1327</v>
      </c>
      <c r="K102" s="18">
        <v>37.139699999999998</v>
      </c>
      <c r="L102" s="18">
        <v>43.645600000000002</v>
      </c>
      <c r="M102" s="18">
        <v>45.148800000000001</v>
      </c>
      <c r="N102" s="18">
        <v>5.3044000000000002</v>
      </c>
      <c r="O102" s="18">
        <f t="shared" si="5"/>
        <v>38.954074999999996</v>
      </c>
      <c r="P102" s="7"/>
      <c r="Q102" s="10"/>
      <c r="R102" s="11"/>
      <c r="S102" s="11"/>
      <c r="T102" s="26"/>
      <c r="U102" s="28">
        <f t="shared" si="3"/>
        <v>3.4203333333333337</v>
      </c>
    </row>
    <row r="103" spans="2:21" x14ac:dyDescent="0.25">
      <c r="B103" s="9"/>
      <c r="C103" s="17">
        <v>671.5478515625</v>
      </c>
      <c r="D103" s="18">
        <v>35.659999999999997</v>
      </c>
      <c r="E103" s="18">
        <v>42.058</v>
      </c>
      <c r="F103" s="18">
        <v>43.734000000000002</v>
      </c>
      <c r="G103" s="18">
        <v>1.24</v>
      </c>
      <c r="H103" s="18">
        <f t="shared" si="4"/>
        <v>37.468999999999994</v>
      </c>
      <c r="I103" s="5"/>
      <c r="J103" s="17">
        <v>603.03689999999995</v>
      </c>
      <c r="K103" s="18">
        <v>35.320599999999999</v>
      </c>
      <c r="L103" s="18">
        <v>42.502499999999998</v>
      </c>
      <c r="M103" s="18">
        <v>43.890300000000003</v>
      </c>
      <c r="N103" s="18">
        <v>7.0399000000000003</v>
      </c>
      <c r="O103" s="18">
        <f t="shared" si="5"/>
        <v>37.289549999999998</v>
      </c>
      <c r="P103" s="7"/>
      <c r="Q103" s="10"/>
      <c r="R103" s="11"/>
      <c r="S103" s="11"/>
      <c r="T103" s="26"/>
      <c r="U103" s="28">
        <f t="shared" si="3"/>
        <v>4.6773387096774197</v>
      </c>
    </row>
    <row r="104" spans="2:21" ht="16.5" thickBot="1" x14ac:dyDescent="0.3">
      <c r="B104" s="12"/>
      <c r="C104" s="19">
        <v>343.34765625</v>
      </c>
      <c r="D104" s="20">
        <v>33.593000000000004</v>
      </c>
      <c r="E104" s="20">
        <v>40.308999999999997</v>
      </c>
      <c r="F104" s="20">
        <v>41.67</v>
      </c>
      <c r="G104" s="20">
        <v>1.1499999999999999</v>
      </c>
      <c r="H104" s="20">
        <f t="shared" si="4"/>
        <v>35.442125000000004</v>
      </c>
      <c r="I104" s="5"/>
      <c r="J104" s="19">
        <v>300.48649999999998</v>
      </c>
      <c r="K104" s="20">
        <v>33.031500000000001</v>
      </c>
      <c r="L104" s="20">
        <v>41.017200000000003</v>
      </c>
      <c r="M104" s="20">
        <v>42.216200000000001</v>
      </c>
      <c r="N104" s="20">
        <v>10.4857</v>
      </c>
      <c r="O104" s="20">
        <f t="shared" si="5"/>
        <v>35.177800000000005</v>
      </c>
      <c r="P104" s="7"/>
      <c r="Q104" s="13"/>
      <c r="R104" s="14"/>
      <c r="S104" s="14"/>
      <c r="T104" s="27"/>
      <c r="U104" s="28">
        <f t="shared" si="3"/>
        <v>8.1180000000000003</v>
      </c>
    </row>
    <row r="105" spans="2:21" x14ac:dyDescent="0.25">
      <c r="B105" s="6" t="s">
        <v>109</v>
      </c>
      <c r="C105" s="15">
        <v>1339.361328125</v>
      </c>
      <c r="D105" s="16">
        <v>49.686999999999998</v>
      </c>
      <c r="E105" s="16">
        <v>54.524000000000001</v>
      </c>
      <c r="F105" s="16">
        <v>55.872999999999998</v>
      </c>
      <c r="G105" s="16">
        <v>2.97</v>
      </c>
      <c r="H105" s="16">
        <f t="shared" si="4"/>
        <v>51.064874999999994</v>
      </c>
      <c r="I105" s="5"/>
      <c r="J105" s="15">
        <v>1491.7997</v>
      </c>
      <c r="K105" s="16">
        <v>50.652500000000003</v>
      </c>
      <c r="L105" s="16">
        <v>55.351900000000001</v>
      </c>
      <c r="M105" s="16">
        <v>56.7119</v>
      </c>
      <c r="N105" s="16">
        <v>5.3391000000000002</v>
      </c>
      <c r="O105" s="16">
        <f t="shared" si="5"/>
        <v>51.997350000000004</v>
      </c>
      <c r="P105" s="7"/>
      <c r="Q105" s="8">
        <f>bdrate(C105:C108,D105:D108,J105:J108,K105:K108)</f>
        <v>-6.0636848949905731E-2</v>
      </c>
      <c r="R105" s="8">
        <f>bdrate(C105:C108,E105:E108,J105:J108,L105:L108)</f>
        <v>-5.2098236926301777E-2</v>
      </c>
      <c r="S105" s="8">
        <f>bdrate(C105:C108,F105:F108,J105:J108,M105:M108)</f>
        <v>-6.8150777175426724E-2</v>
      </c>
      <c r="T105" s="25">
        <f>bdrate(C105:C108,H105:H108,J105:J108,O105:O108)</f>
        <v>-6.051111683501742E-2</v>
      </c>
      <c r="U105" s="28">
        <f t="shared" si="3"/>
        <v>0.79767676767676765</v>
      </c>
    </row>
    <row r="106" spans="2:21" x14ac:dyDescent="0.25">
      <c r="B106" s="9"/>
      <c r="C106" s="17">
        <v>926.7841796875</v>
      </c>
      <c r="D106" s="18">
        <v>48.332000000000001</v>
      </c>
      <c r="E106" s="18">
        <v>53.424999999999997</v>
      </c>
      <c r="F106" s="18">
        <v>54.853999999999999</v>
      </c>
      <c r="G106" s="18">
        <v>3.19</v>
      </c>
      <c r="H106" s="18">
        <f t="shared" si="4"/>
        <v>49.783875000000002</v>
      </c>
      <c r="I106" s="5"/>
      <c r="J106" s="17">
        <v>997.84460000000001</v>
      </c>
      <c r="K106" s="18">
        <v>49.0154</v>
      </c>
      <c r="L106" s="18">
        <v>53.944400000000002</v>
      </c>
      <c r="M106" s="18">
        <v>55.403300000000002</v>
      </c>
      <c r="N106" s="18">
        <v>6.6272000000000002</v>
      </c>
      <c r="O106" s="18">
        <f t="shared" si="5"/>
        <v>50.430012499999997</v>
      </c>
      <c r="P106" s="7"/>
      <c r="Q106" s="10"/>
      <c r="R106" s="11"/>
      <c r="S106" s="11"/>
      <c r="T106" s="26"/>
      <c r="U106" s="28">
        <f t="shared" si="3"/>
        <v>1.0774921630094045</v>
      </c>
    </row>
    <row r="107" spans="2:21" x14ac:dyDescent="0.25">
      <c r="B107" s="9"/>
      <c r="C107" s="17">
        <v>590.33984375</v>
      </c>
      <c r="D107" s="18">
        <v>46.561999999999998</v>
      </c>
      <c r="E107" s="18">
        <v>51.975999999999999</v>
      </c>
      <c r="F107" s="18">
        <v>53.436</v>
      </c>
      <c r="G107" s="18">
        <v>3.43</v>
      </c>
      <c r="H107" s="18">
        <f t="shared" si="4"/>
        <v>48.097999999999992</v>
      </c>
      <c r="I107" s="5"/>
      <c r="J107" s="17">
        <v>601.25990000000002</v>
      </c>
      <c r="K107" s="18">
        <v>46.875500000000002</v>
      </c>
      <c r="L107" s="18">
        <v>52.209899999999998</v>
      </c>
      <c r="M107" s="18">
        <v>53.711399999999998</v>
      </c>
      <c r="N107" s="18">
        <v>8.9413</v>
      </c>
      <c r="O107" s="18">
        <f t="shared" si="5"/>
        <v>48.396787500000002</v>
      </c>
      <c r="P107" s="7"/>
      <c r="Q107" s="10"/>
      <c r="R107" s="11"/>
      <c r="S107" s="11"/>
      <c r="T107" s="26"/>
      <c r="U107" s="28">
        <f t="shared" si="3"/>
        <v>1.606793002915452</v>
      </c>
    </row>
    <row r="108" spans="2:21" ht="16.5" thickBot="1" x14ac:dyDescent="0.3">
      <c r="B108" s="12"/>
      <c r="C108" s="19">
        <v>319.8994140625</v>
      </c>
      <c r="D108" s="20">
        <v>43.96</v>
      </c>
      <c r="E108" s="20">
        <v>49.683</v>
      </c>
      <c r="F108" s="20">
        <v>51.027000000000001</v>
      </c>
      <c r="G108" s="20">
        <v>3.61</v>
      </c>
      <c r="H108" s="20">
        <f t="shared" si="4"/>
        <v>45.558749999999996</v>
      </c>
      <c r="I108" s="5"/>
      <c r="J108" s="19">
        <v>301.21679999999998</v>
      </c>
      <c r="K108" s="20">
        <v>43.742100000000001</v>
      </c>
      <c r="L108" s="20">
        <v>49.4681</v>
      </c>
      <c r="M108" s="20">
        <v>50.973599999999998</v>
      </c>
      <c r="N108" s="20">
        <v>13.847099999999999</v>
      </c>
      <c r="O108" s="20">
        <f t="shared" si="5"/>
        <v>45.361787499999998</v>
      </c>
      <c r="P108" s="7"/>
      <c r="Q108" s="13"/>
      <c r="R108" s="14"/>
      <c r="S108" s="14"/>
      <c r="T108" s="27"/>
      <c r="U108" s="28">
        <f t="shared" si="3"/>
        <v>2.8357617728531856</v>
      </c>
    </row>
    <row r="109" spans="2:21" x14ac:dyDescent="0.25">
      <c r="B109" s="6" t="s">
        <v>110</v>
      </c>
      <c r="C109" s="15">
        <v>1559.15625</v>
      </c>
      <c r="D109" s="16">
        <v>33.482999999999997</v>
      </c>
      <c r="E109" s="16">
        <v>41.613999999999997</v>
      </c>
      <c r="F109" s="16">
        <v>41.109000000000002</v>
      </c>
      <c r="G109" s="16">
        <v>0.84</v>
      </c>
      <c r="H109" s="16">
        <f t="shared" si="4"/>
        <v>35.452624999999998</v>
      </c>
      <c r="I109" s="5"/>
      <c r="J109" s="15">
        <v>1495.3823</v>
      </c>
      <c r="K109" s="16">
        <v>33.614899999999999</v>
      </c>
      <c r="L109" s="16">
        <v>41.906199999999998</v>
      </c>
      <c r="M109" s="16">
        <v>41.347099999999998</v>
      </c>
      <c r="N109" s="16">
        <v>3.7317</v>
      </c>
      <c r="O109" s="16">
        <f t="shared" si="5"/>
        <v>35.6178375</v>
      </c>
      <c r="P109" s="7"/>
      <c r="Q109" s="8">
        <f>bdrate(C109:C112,D109:D112,J109:J112,K109:K112)</f>
        <v>-4.4270608758150587E-2</v>
      </c>
      <c r="R109" s="8">
        <f>bdrate(C109:C112,E109:E112,J109:J112,L109:L112)</f>
        <v>-0.32573219179761492</v>
      </c>
      <c r="S109" s="8">
        <f>bdrate(C109:C112,F109:F112,J109:J112,M109:M112)</f>
        <v>-0.3104401647546734</v>
      </c>
      <c r="T109" s="25">
        <f>bdrate(C109:C112,H109:H112,J109:J112,O109:O112)</f>
        <v>-9.9600800257876654E-2</v>
      </c>
      <c r="U109" s="28">
        <f t="shared" si="3"/>
        <v>3.4425000000000003</v>
      </c>
    </row>
    <row r="110" spans="2:21" x14ac:dyDescent="0.25">
      <c r="B110" s="9"/>
      <c r="C110" s="17">
        <v>1063.06640625</v>
      </c>
      <c r="D110" s="18">
        <v>31.937000000000001</v>
      </c>
      <c r="E110" s="18">
        <v>40.377000000000002</v>
      </c>
      <c r="F110" s="18">
        <v>39.86</v>
      </c>
      <c r="G110" s="18">
        <v>0.76</v>
      </c>
      <c r="H110" s="18">
        <f t="shared" si="4"/>
        <v>33.982375000000005</v>
      </c>
      <c r="I110" s="5"/>
      <c r="J110" s="17">
        <v>996.35519999999997</v>
      </c>
      <c r="K110" s="18">
        <v>31.936900000000001</v>
      </c>
      <c r="L110" s="18">
        <v>40.9786</v>
      </c>
      <c r="M110" s="18">
        <v>40.418700000000001</v>
      </c>
      <c r="N110" s="18">
        <v>4.5670999999999999</v>
      </c>
      <c r="O110" s="18">
        <f t="shared" si="5"/>
        <v>34.127337499999996</v>
      </c>
      <c r="P110" s="7"/>
      <c r="Q110" s="10"/>
      <c r="R110" s="11"/>
      <c r="S110" s="11"/>
      <c r="T110" s="26"/>
      <c r="U110" s="28">
        <f t="shared" si="3"/>
        <v>5.0093421052631584</v>
      </c>
    </row>
    <row r="111" spans="2:21" x14ac:dyDescent="0.25">
      <c r="B111" s="9"/>
      <c r="C111" s="17">
        <v>687.4501953125</v>
      </c>
      <c r="D111" s="18">
        <v>30.257999999999999</v>
      </c>
      <c r="E111" s="18">
        <v>38.823999999999998</v>
      </c>
      <c r="F111" s="18">
        <v>38.284999999999997</v>
      </c>
      <c r="G111" s="18">
        <v>0.69</v>
      </c>
      <c r="H111" s="18">
        <f t="shared" si="4"/>
        <v>32.332125000000005</v>
      </c>
      <c r="I111" s="5"/>
      <c r="J111" s="17">
        <v>597.09230000000002</v>
      </c>
      <c r="K111" s="18">
        <v>29.74</v>
      </c>
      <c r="L111" s="18">
        <v>39.758899999999997</v>
      </c>
      <c r="M111" s="18">
        <v>39.151499999999999</v>
      </c>
      <c r="N111" s="18">
        <v>6.0392000000000001</v>
      </c>
      <c r="O111" s="18">
        <f t="shared" si="5"/>
        <v>32.168799999999997</v>
      </c>
      <c r="P111" s="7"/>
      <c r="Q111" s="10"/>
      <c r="R111" s="11"/>
      <c r="S111" s="11"/>
      <c r="T111" s="26"/>
      <c r="U111" s="28">
        <f t="shared" si="3"/>
        <v>7.7524637681159421</v>
      </c>
    </row>
    <row r="112" spans="2:21" ht="16.5" thickBot="1" x14ac:dyDescent="0.3">
      <c r="B112" s="12"/>
      <c r="C112" s="19">
        <v>507.048828125</v>
      </c>
      <c r="D112" s="20">
        <v>28.954000000000001</v>
      </c>
      <c r="E112" s="20">
        <v>37.228000000000002</v>
      </c>
      <c r="F112" s="20">
        <v>36.679000000000002</v>
      </c>
      <c r="G112" s="20">
        <v>0.64</v>
      </c>
      <c r="H112" s="20">
        <f t="shared" si="4"/>
        <v>30.953875</v>
      </c>
      <c r="I112" s="5"/>
      <c r="J112" s="19">
        <v>298.68869999999998</v>
      </c>
      <c r="K112" s="20">
        <v>26.844100000000001</v>
      </c>
      <c r="L112" s="20">
        <v>37.709499999999998</v>
      </c>
      <c r="M112" s="20">
        <v>37.090800000000002</v>
      </c>
      <c r="N112" s="20">
        <v>9.1549999999999994</v>
      </c>
      <c r="O112" s="20">
        <f t="shared" si="5"/>
        <v>29.483112500000001</v>
      </c>
      <c r="P112" s="7"/>
      <c r="Q112" s="13"/>
      <c r="R112" s="14"/>
      <c r="S112" s="14"/>
      <c r="T112" s="27"/>
      <c r="U112" s="28">
        <f t="shared" si="3"/>
        <v>13.304687499999998</v>
      </c>
    </row>
    <row r="113" spans="2:21" x14ac:dyDescent="0.25">
      <c r="B113" s="6" t="s">
        <v>111</v>
      </c>
      <c r="C113" s="15">
        <v>2053.8876953125</v>
      </c>
      <c r="D113" s="16">
        <v>51.366</v>
      </c>
      <c r="E113" s="16">
        <v>52.402999999999999</v>
      </c>
      <c r="F113" s="16">
        <v>52.348999999999997</v>
      </c>
      <c r="G113" s="16">
        <v>2.0699999999999998</v>
      </c>
      <c r="H113" s="16">
        <f t="shared" si="4"/>
        <v>51.618500000000004</v>
      </c>
      <c r="I113" s="5"/>
      <c r="J113" s="15">
        <v>1406.7319</v>
      </c>
      <c r="K113" s="16">
        <v>47.424300000000002</v>
      </c>
      <c r="L113" s="16">
        <v>48.649799999999999</v>
      </c>
      <c r="M113" s="16">
        <v>48.560499999999998</v>
      </c>
      <c r="N113" s="16">
        <v>5.7065999999999999</v>
      </c>
      <c r="O113" s="16">
        <f t="shared" si="5"/>
        <v>47.7195125</v>
      </c>
      <c r="P113" s="7"/>
      <c r="Q113" s="8">
        <f>bdrate(C113:C116,D113:D116,J113:J116,K113:K116)</f>
        <v>-7.7360110184915731E-2</v>
      </c>
      <c r="R113" s="8">
        <f>bdrate(C113:C116,E113:E116,J113:J116,L113:L116)</f>
        <v>-0.11483373724056545</v>
      </c>
      <c r="S113" s="8">
        <f>bdrate(C113:C116,F113:F116,J113:J116,M113:M116)</f>
        <v>-0.12878397825647814</v>
      </c>
      <c r="T113" s="25">
        <f>bdrate(C113:C116,H113:H116,J113:J116,O113:O116)</f>
        <v>-8.7144404706224976E-2</v>
      </c>
      <c r="U113" s="28">
        <f t="shared" si="3"/>
        <v>1.7568115942028988</v>
      </c>
    </row>
    <row r="114" spans="2:21" x14ac:dyDescent="0.25">
      <c r="B114" s="9"/>
      <c r="C114" s="17">
        <v>1440.5029296875</v>
      </c>
      <c r="D114" s="18">
        <v>47.868000000000002</v>
      </c>
      <c r="E114" s="18">
        <v>49.054000000000002</v>
      </c>
      <c r="F114" s="18">
        <v>48.932000000000002</v>
      </c>
      <c r="G114" s="18">
        <v>2.23</v>
      </c>
      <c r="H114" s="18">
        <f t="shared" si="4"/>
        <v>48.149250000000009</v>
      </c>
      <c r="I114" s="5"/>
      <c r="J114" s="17">
        <v>949.64200000000005</v>
      </c>
      <c r="K114" s="18">
        <v>45.889800000000001</v>
      </c>
      <c r="L114" s="18">
        <v>47.252699999999997</v>
      </c>
      <c r="M114" s="18">
        <v>47.166699999999999</v>
      </c>
      <c r="N114" s="18">
        <v>6.9394999999999998</v>
      </c>
      <c r="O114" s="18">
        <f t="shared" si="5"/>
        <v>46.219774999999998</v>
      </c>
      <c r="P114" s="7"/>
      <c r="Q114" s="10"/>
      <c r="R114" s="11"/>
      <c r="S114" s="11"/>
      <c r="T114" s="26"/>
      <c r="U114" s="28">
        <f t="shared" si="3"/>
        <v>2.111883408071749</v>
      </c>
    </row>
    <row r="115" spans="2:21" x14ac:dyDescent="0.25">
      <c r="B115" s="9"/>
      <c r="C115" s="17">
        <v>894.83203125</v>
      </c>
      <c r="D115" s="18">
        <v>45.154000000000003</v>
      </c>
      <c r="E115" s="18">
        <v>46.551000000000002</v>
      </c>
      <c r="F115" s="18">
        <v>46.357999999999997</v>
      </c>
      <c r="G115" s="18">
        <v>2.35</v>
      </c>
      <c r="H115" s="18">
        <f t="shared" si="4"/>
        <v>45.479125000000003</v>
      </c>
      <c r="I115" s="5"/>
      <c r="J115" s="17">
        <v>592.67110000000002</v>
      </c>
      <c r="K115" s="18">
        <v>43.287700000000001</v>
      </c>
      <c r="L115" s="18">
        <v>45.1753</v>
      </c>
      <c r="M115" s="18">
        <v>45.032800000000002</v>
      </c>
      <c r="N115" s="18">
        <v>8.9811999999999994</v>
      </c>
      <c r="O115" s="18">
        <f t="shared" si="5"/>
        <v>43.741787500000001</v>
      </c>
      <c r="P115" s="7"/>
      <c r="Q115" s="10"/>
      <c r="R115" s="11"/>
      <c r="S115" s="11"/>
      <c r="T115" s="26"/>
      <c r="U115" s="28">
        <f t="shared" si="3"/>
        <v>2.8217872340425529</v>
      </c>
    </row>
    <row r="116" spans="2:21" ht="16.5" thickBot="1" x14ac:dyDescent="0.3">
      <c r="B116" s="12"/>
      <c r="C116" s="19">
        <v>481.9052734375</v>
      </c>
      <c r="D116" s="20">
        <v>41.335999999999999</v>
      </c>
      <c r="E116" s="20">
        <v>43.110999999999997</v>
      </c>
      <c r="F116" s="20">
        <v>42.856999999999999</v>
      </c>
      <c r="G116" s="20">
        <v>2.0299999999999998</v>
      </c>
      <c r="H116" s="20">
        <f t="shared" si="4"/>
        <v>41.748000000000005</v>
      </c>
      <c r="I116" s="5"/>
      <c r="J116" s="19">
        <v>301.85489999999999</v>
      </c>
      <c r="K116" s="20">
        <v>38.679299999999998</v>
      </c>
      <c r="L116" s="20">
        <v>41.566600000000001</v>
      </c>
      <c r="M116" s="20">
        <v>41.366700000000002</v>
      </c>
      <c r="N116" s="20">
        <v>12.932600000000001</v>
      </c>
      <c r="O116" s="20">
        <f t="shared" si="5"/>
        <v>39.376137499999999</v>
      </c>
      <c r="P116" s="7"/>
      <c r="Q116" s="13"/>
      <c r="R116" s="14"/>
      <c r="S116" s="14"/>
      <c r="T116" s="27"/>
      <c r="U116" s="28">
        <f t="shared" si="3"/>
        <v>5.3707389162561592</v>
      </c>
    </row>
    <row r="117" spans="2:21" x14ac:dyDescent="0.25">
      <c r="B117" s="6" t="s">
        <v>112</v>
      </c>
      <c r="C117" s="15">
        <v>1465.3369140625</v>
      </c>
      <c r="D117" s="16">
        <v>56.548000000000002</v>
      </c>
      <c r="E117" s="16">
        <v>58.872999999999998</v>
      </c>
      <c r="F117" s="16">
        <v>58.774000000000001</v>
      </c>
      <c r="G117" s="16">
        <v>1.97</v>
      </c>
      <c r="H117" s="16">
        <f t="shared" si="4"/>
        <v>57.116875</v>
      </c>
      <c r="I117" s="5"/>
      <c r="J117" s="15">
        <v>1415.3512000000001</v>
      </c>
      <c r="K117" s="16">
        <v>47.597299999999997</v>
      </c>
      <c r="L117" s="16">
        <v>50.241999999999997</v>
      </c>
      <c r="M117" s="16">
        <v>50.308</v>
      </c>
      <c r="N117" s="16">
        <v>7.4608999999999996</v>
      </c>
      <c r="O117" s="16">
        <f t="shared" si="5"/>
        <v>48.266725000000001</v>
      </c>
      <c r="P117" s="7"/>
      <c r="Q117" s="8">
        <f>bdrate(C117:C120,D117:D120,J117:J120,K117:K120)</f>
        <v>0.51357621138975573</v>
      </c>
      <c r="R117" s="8">
        <f>bdrate(C117:C120,E117:E120,J117:J120,L117:L120)</f>
        <v>0.4489379493436414</v>
      </c>
      <c r="S117" s="8">
        <f>bdrate(C117:C120,F117:F120,J117:J120,M117:M120)</f>
        <v>0.41862852602868328</v>
      </c>
      <c r="T117" s="25">
        <f>bdrate(C117:C120,H117:H120,J117:J120,O117:O120)</f>
        <v>0.49416151080339743</v>
      </c>
      <c r="U117" s="28">
        <f t="shared" si="3"/>
        <v>2.7872588832487311</v>
      </c>
    </row>
    <row r="118" spans="2:21" x14ac:dyDescent="0.25">
      <c r="B118" s="9"/>
      <c r="C118" s="17">
        <v>1101.642578125</v>
      </c>
      <c r="D118" s="18">
        <v>52.412999999999997</v>
      </c>
      <c r="E118" s="18">
        <v>54.648000000000003</v>
      </c>
      <c r="F118" s="18">
        <v>54.679000000000002</v>
      </c>
      <c r="G118" s="18">
        <v>2</v>
      </c>
      <c r="H118" s="18">
        <f t="shared" si="4"/>
        <v>52.975624999999994</v>
      </c>
      <c r="I118" s="5"/>
      <c r="J118" s="17">
        <v>978.75279999999998</v>
      </c>
      <c r="K118" s="18">
        <v>46.340800000000002</v>
      </c>
      <c r="L118" s="18">
        <v>49.228299999999997</v>
      </c>
      <c r="M118" s="18">
        <v>49.307000000000002</v>
      </c>
      <c r="N118" s="18">
        <v>9.0632000000000001</v>
      </c>
      <c r="O118" s="18">
        <f t="shared" si="5"/>
        <v>47.072512500000002</v>
      </c>
      <c r="P118" s="7"/>
      <c r="Q118" s="10"/>
      <c r="R118" s="11"/>
      <c r="S118" s="11"/>
      <c r="T118" s="26"/>
      <c r="U118" s="28">
        <f t="shared" si="3"/>
        <v>3.5316000000000001</v>
      </c>
    </row>
    <row r="119" spans="2:21" x14ac:dyDescent="0.25">
      <c r="B119" s="9"/>
      <c r="C119" s="17">
        <v>769.6884765625</v>
      </c>
      <c r="D119" s="18">
        <v>53.069000000000003</v>
      </c>
      <c r="E119" s="18">
        <v>55.661999999999999</v>
      </c>
      <c r="F119" s="18">
        <v>55.512999999999998</v>
      </c>
      <c r="G119" s="18">
        <v>2.09</v>
      </c>
      <c r="H119" s="18">
        <f t="shared" si="4"/>
        <v>53.698624999999993</v>
      </c>
      <c r="I119" s="5"/>
      <c r="J119" s="17">
        <v>638.64589999999998</v>
      </c>
      <c r="K119" s="18">
        <v>43.264099999999999</v>
      </c>
      <c r="L119" s="18">
        <v>46.32</v>
      </c>
      <c r="M119" s="18">
        <v>46.593499999999999</v>
      </c>
      <c r="N119" s="18">
        <v>11.0266</v>
      </c>
      <c r="O119" s="18">
        <f t="shared" si="5"/>
        <v>44.062262500000003</v>
      </c>
      <c r="P119" s="7"/>
      <c r="Q119" s="10"/>
      <c r="R119" s="11"/>
      <c r="S119" s="11"/>
      <c r="T119" s="26"/>
      <c r="U119" s="28">
        <f t="shared" si="3"/>
        <v>4.2758851674641152</v>
      </c>
    </row>
    <row r="120" spans="2:21" ht="16.5" thickBot="1" x14ac:dyDescent="0.3">
      <c r="B120" s="12"/>
      <c r="C120" s="19">
        <v>451.4189453125</v>
      </c>
      <c r="D120" s="20">
        <v>42.23</v>
      </c>
      <c r="E120" s="20">
        <v>44.646999999999998</v>
      </c>
      <c r="F120" s="20">
        <v>44.853999999999999</v>
      </c>
      <c r="G120" s="20">
        <v>1.7</v>
      </c>
      <c r="H120" s="20">
        <f t="shared" si="4"/>
        <v>42.860124999999996</v>
      </c>
      <c r="I120" s="5"/>
      <c r="J120" s="19">
        <v>355.84809999999999</v>
      </c>
      <c r="K120" s="20">
        <v>39.1282</v>
      </c>
      <c r="L120" s="20">
        <v>42.715800000000002</v>
      </c>
      <c r="M120" s="20">
        <v>43.0075</v>
      </c>
      <c r="N120" s="20">
        <v>16.697700000000001</v>
      </c>
      <c r="O120" s="20">
        <f t="shared" si="5"/>
        <v>40.061562500000001</v>
      </c>
      <c r="P120" s="7"/>
      <c r="Q120" s="13"/>
      <c r="R120" s="14"/>
      <c r="S120" s="14"/>
      <c r="T120" s="27"/>
      <c r="U120" s="28">
        <f t="shared" si="3"/>
        <v>8.8221764705882357</v>
      </c>
    </row>
    <row r="121" spans="2:21" x14ac:dyDescent="0.25">
      <c r="B121" s="6" t="s">
        <v>113</v>
      </c>
      <c r="C121" s="29">
        <v>1684.67578125</v>
      </c>
      <c r="D121" s="30">
        <v>34.386000000000003</v>
      </c>
      <c r="E121" s="30">
        <v>37.585999999999999</v>
      </c>
      <c r="F121" s="30">
        <v>36.378</v>
      </c>
      <c r="G121" s="16">
        <v>0.87</v>
      </c>
      <c r="H121" s="16">
        <f t="shared" si="4"/>
        <v>35.035000000000004</v>
      </c>
      <c r="I121" s="5"/>
      <c r="J121" s="29">
        <v>1510.8924999999999</v>
      </c>
      <c r="K121" s="30">
        <v>33.819699999999997</v>
      </c>
      <c r="L121" s="30">
        <v>38.052500000000002</v>
      </c>
      <c r="M121" s="30">
        <v>36.892600000000002</v>
      </c>
      <c r="N121" s="16">
        <v>4.6623000000000001</v>
      </c>
      <c r="O121" s="16">
        <f t="shared" si="5"/>
        <v>34.732912499999998</v>
      </c>
      <c r="P121" s="7"/>
      <c r="Q121" s="8">
        <f>bdrate(C121:C124,D121:D124,J121:J124,K121:K124)</f>
        <v>2.4207965003024468E-2</v>
      </c>
      <c r="R121" s="8">
        <f>bdrate(C121:C124,E121:E124,J121:J124,L121:L124)</f>
        <v>-0.37856353138239762</v>
      </c>
      <c r="S121" s="8">
        <f>bdrate(C121:C124,F121:F124,J121:J124,M121:M124)</f>
        <v>-0.37974218992799402</v>
      </c>
      <c r="T121" s="25">
        <f>bdrate(C121:C124,H121:H124,J121:J124,O121:O124)</f>
        <v>-6.5303873533144263E-2</v>
      </c>
      <c r="U121" s="28">
        <f t="shared" si="3"/>
        <v>4.358965517241379</v>
      </c>
    </row>
    <row r="122" spans="2:21" x14ac:dyDescent="0.25">
      <c r="B122" s="9"/>
      <c r="C122" s="31">
        <v>1132.5654296875</v>
      </c>
      <c r="D122" s="32">
        <v>32.533999999999999</v>
      </c>
      <c r="E122" s="32">
        <v>36.170999999999999</v>
      </c>
      <c r="F122" s="32">
        <v>34.901000000000003</v>
      </c>
      <c r="G122" s="18">
        <v>0.81</v>
      </c>
      <c r="H122" s="18">
        <f t="shared" si="4"/>
        <v>33.284500000000001</v>
      </c>
      <c r="I122" s="5"/>
      <c r="J122" s="31">
        <v>1010.2969000000001</v>
      </c>
      <c r="K122" s="32">
        <v>31.912299999999998</v>
      </c>
      <c r="L122" s="32">
        <v>36.9739</v>
      </c>
      <c r="M122" s="32">
        <v>35.758499999999998</v>
      </c>
      <c r="N122" s="18">
        <v>5.5972999999999997</v>
      </c>
      <c r="O122" s="18">
        <f t="shared" si="5"/>
        <v>33.025774999999996</v>
      </c>
      <c r="P122" s="7"/>
      <c r="Q122" s="10"/>
      <c r="R122" s="11"/>
      <c r="S122" s="11"/>
      <c r="T122" s="26"/>
      <c r="U122" s="28">
        <f t="shared" si="3"/>
        <v>5.9102469135802469</v>
      </c>
    </row>
    <row r="123" spans="2:21" x14ac:dyDescent="0.25">
      <c r="B123" s="9"/>
      <c r="C123" s="31">
        <v>719.0146484375</v>
      </c>
      <c r="D123" s="32">
        <v>30.516999999999999</v>
      </c>
      <c r="E123" s="32">
        <v>34.610999999999997</v>
      </c>
      <c r="F123" s="32">
        <v>33.279000000000003</v>
      </c>
      <c r="G123" s="18">
        <v>0.72</v>
      </c>
      <c r="H123" s="18">
        <f t="shared" si="4"/>
        <v>31.373999999999999</v>
      </c>
      <c r="I123" s="5"/>
      <c r="J123" s="31">
        <v>606.30809999999997</v>
      </c>
      <c r="K123" s="32">
        <v>29.618300000000001</v>
      </c>
      <c r="L123" s="32">
        <v>35.691099999999999</v>
      </c>
      <c r="M123" s="32">
        <v>34.405299999999997</v>
      </c>
      <c r="N123" s="18">
        <v>7.2439999999999998</v>
      </c>
      <c r="O123" s="18">
        <f t="shared" si="5"/>
        <v>30.975774999999999</v>
      </c>
      <c r="P123" s="7"/>
      <c r="Q123" s="10"/>
      <c r="R123" s="11"/>
      <c r="S123" s="11"/>
      <c r="T123" s="26"/>
      <c r="U123" s="28">
        <f t="shared" si="3"/>
        <v>9.0611111111111118</v>
      </c>
    </row>
    <row r="124" spans="2:21" ht="16.5" thickBot="1" x14ac:dyDescent="0.3">
      <c r="B124" s="12"/>
      <c r="C124" s="33">
        <v>500.4169921875</v>
      </c>
      <c r="D124" s="34">
        <v>28.849</v>
      </c>
      <c r="E124" s="34">
        <v>33.186999999999998</v>
      </c>
      <c r="F124" s="34">
        <v>31.861999999999998</v>
      </c>
      <c r="G124" s="20">
        <v>0.63</v>
      </c>
      <c r="H124" s="20">
        <f t="shared" si="4"/>
        <v>29.767875</v>
      </c>
      <c r="I124" s="5"/>
      <c r="J124" s="33">
        <v>304.53050000000002</v>
      </c>
      <c r="K124" s="34">
        <v>27.017800000000001</v>
      </c>
      <c r="L124" s="34">
        <v>34.025300000000001</v>
      </c>
      <c r="M124" s="34">
        <v>32.612499999999997</v>
      </c>
      <c r="N124" s="20">
        <v>10.4818</v>
      </c>
      <c r="O124" s="20">
        <f t="shared" si="5"/>
        <v>28.593075000000006</v>
      </c>
      <c r="P124" s="7"/>
      <c r="Q124" s="13"/>
      <c r="R124" s="14"/>
      <c r="S124" s="14"/>
      <c r="T124" s="27"/>
      <c r="U124" s="28">
        <f t="shared" si="3"/>
        <v>15.637777777777776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-2.1563940958650375E-2</v>
      </c>
      <c r="R125" s="21">
        <f>AVERAGE(R9:R124)</f>
        <v>-0.2385806830324215</v>
      </c>
      <c r="S125" s="21">
        <f>AVERAGE(S9:S124)</f>
        <v>-0.24359214539193833</v>
      </c>
      <c r="T125" s="21">
        <f>AVERAGE(T9:T124)</f>
        <v>-6.8020481702169192E-2</v>
      </c>
      <c r="U125" s="21">
        <f>AVERAGE(U9:U124)</f>
        <v>10.216168046963888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79" priority="33" operator="greaterThan">
      <formula>0.03</formula>
    </cfRule>
    <cfRule type="cellIs" dxfId="178" priority="34" stopIfTrue="1" operator="lessThan">
      <formula>-0.03</formula>
    </cfRule>
  </conditionalFormatting>
  <conditionalFormatting sqref="Q33:T36">
    <cfRule type="cellIs" dxfId="177" priority="31" operator="greaterThan">
      <formula>0.03</formula>
    </cfRule>
    <cfRule type="cellIs" dxfId="176" priority="32" stopIfTrue="1" operator="lessThan">
      <formula>-0.03</formula>
    </cfRule>
  </conditionalFormatting>
  <conditionalFormatting sqref="Q45:T48 Q61:T64">
    <cfRule type="cellIs" dxfId="175" priority="29" operator="greaterThan">
      <formula>0.03</formula>
    </cfRule>
    <cfRule type="cellIs" dxfId="174" priority="30" stopIfTrue="1" operator="lessThan">
      <formula>-0.03</formula>
    </cfRule>
  </conditionalFormatting>
  <conditionalFormatting sqref="Q49:T60">
    <cfRule type="cellIs" dxfId="173" priority="27" operator="greaterThan">
      <formula>0.03</formula>
    </cfRule>
    <cfRule type="cellIs" dxfId="172" priority="28" stopIfTrue="1" operator="lessThan">
      <formula>-0.03</formula>
    </cfRule>
  </conditionalFormatting>
  <conditionalFormatting sqref="Q69:T76">
    <cfRule type="cellIs" dxfId="171" priority="25" operator="greaterThan">
      <formula>0.03</formula>
    </cfRule>
    <cfRule type="cellIs" dxfId="170" priority="26" stopIfTrue="1" operator="lessThan">
      <formula>-0.03</formula>
    </cfRule>
  </conditionalFormatting>
  <conditionalFormatting sqref="Q65:T68">
    <cfRule type="cellIs" dxfId="169" priority="23" operator="greaterThan">
      <formula>0.03</formula>
    </cfRule>
    <cfRule type="cellIs" dxfId="168" priority="24" stopIfTrue="1" operator="lessThan">
      <formula>-0.03</formula>
    </cfRule>
  </conditionalFormatting>
  <conditionalFormatting sqref="Q77:T80">
    <cfRule type="cellIs" dxfId="167" priority="21" operator="greaterThan">
      <formula>0.03</formula>
    </cfRule>
    <cfRule type="cellIs" dxfId="166" priority="22" stopIfTrue="1" operator="lessThan">
      <formula>-0.03</formula>
    </cfRule>
  </conditionalFormatting>
  <conditionalFormatting sqref="Q21:T28">
    <cfRule type="cellIs" dxfId="165" priority="19" operator="greaterThan">
      <formula>0.03</formula>
    </cfRule>
    <cfRule type="cellIs" dxfId="164" priority="20" stopIfTrue="1" operator="lessThan">
      <formula>-0.03</formula>
    </cfRule>
  </conditionalFormatting>
  <conditionalFormatting sqref="Q117:T117">
    <cfRule type="cellIs" dxfId="163" priority="3" operator="greaterThan">
      <formula>0.03</formula>
    </cfRule>
    <cfRule type="cellIs" dxfId="162" priority="4" stopIfTrue="1" operator="lessThan">
      <formula>-0.03</formula>
    </cfRule>
  </conditionalFormatting>
  <conditionalFormatting sqref="Q93:T96 Q101:T108 Q81:T84">
    <cfRule type="cellIs" dxfId="161" priority="17" operator="greaterThan">
      <formula>0.03</formula>
    </cfRule>
    <cfRule type="cellIs" dxfId="160" priority="18" stopIfTrue="1" operator="lessThan">
      <formula>-0.03</formula>
    </cfRule>
  </conditionalFormatting>
  <conditionalFormatting sqref="Q97:T100">
    <cfRule type="cellIs" dxfId="159" priority="15" operator="greaterThan">
      <formula>0.03</formula>
    </cfRule>
    <cfRule type="cellIs" dxfId="158" priority="16" stopIfTrue="1" operator="lessThan">
      <formula>-0.03</formula>
    </cfRule>
  </conditionalFormatting>
  <conditionalFormatting sqref="Q110:T112 Q122:T124">
    <cfRule type="cellIs" dxfId="157" priority="13" operator="greaterThan">
      <formula>0.03</formula>
    </cfRule>
    <cfRule type="cellIs" dxfId="156" priority="14" stopIfTrue="1" operator="lessThan">
      <formula>-0.03</formula>
    </cfRule>
  </conditionalFormatting>
  <conditionalFormatting sqref="Q114:T116 Q118:T120">
    <cfRule type="cellIs" dxfId="155" priority="11" operator="greaterThan">
      <formula>0.03</formula>
    </cfRule>
    <cfRule type="cellIs" dxfId="154" priority="12" stopIfTrue="1" operator="lessThan">
      <formula>-0.03</formula>
    </cfRule>
  </conditionalFormatting>
  <conditionalFormatting sqref="Q85:T92">
    <cfRule type="cellIs" dxfId="153" priority="9" operator="greaterThan">
      <formula>0.03</formula>
    </cfRule>
    <cfRule type="cellIs" dxfId="152" priority="10" stopIfTrue="1" operator="lessThan">
      <formula>-0.03</formula>
    </cfRule>
  </conditionalFormatting>
  <conditionalFormatting sqref="Q109:T109">
    <cfRule type="cellIs" dxfId="151" priority="7" operator="greaterThan">
      <formula>0.03</formula>
    </cfRule>
    <cfRule type="cellIs" dxfId="150" priority="8" stopIfTrue="1" operator="lessThan">
      <formula>-0.03</formula>
    </cfRule>
  </conditionalFormatting>
  <conditionalFormatting sqref="Q113:T113">
    <cfRule type="cellIs" dxfId="149" priority="5" operator="greaterThan">
      <formula>0.03</formula>
    </cfRule>
    <cfRule type="cellIs" dxfId="148" priority="6" stopIfTrue="1" operator="lessThan">
      <formula>-0.03</formula>
    </cfRule>
  </conditionalFormatting>
  <conditionalFormatting sqref="Q121:T121">
    <cfRule type="cellIs" dxfId="147" priority="1" operator="greaterThan">
      <formula>0.03</formula>
    </cfRule>
    <cfRule type="cellIs" dxfId="146" priority="2" stopIfTrue="1" operator="lessThan">
      <formula>-0.03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2" x14ac:dyDescent="0.25">
      <c r="A1" t="s">
        <v>164</v>
      </c>
      <c r="V1" t="s">
        <v>165</v>
      </c>
    </row>
    <row r="2" spans="1:22" x14ac:dyDescent="0.25">
      <c r="A2" t="s">
        <v>166</v>
      </c>
    </row>
    <row r="3" spans="1:22" x14ac:dyDescent="0.25">
      <c r="A3" t="s">
        <v>85</v>
      </c>
    </row>
    <row r="5" spans="1:22" s="35" customFormat="1" ht="15.75" customHeight="1" x14ac:dyDescent="0.25">
      <c r="B5" s="58" t="s">
        <v>29</v>
      </c>
      <c r="C5" s="60" t="s">
        <v>175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2"/>
    </row>
    <row r="6" spans="1:22" s="35" customFormat="1" x14ac:dyDescent="0.25">
      <c r="B6" s="59"/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5"/>
    </row>
    <row r="7" spans="1:22" ht="16.5" customHeight="1" thickBot="1" x14ac:dyDescent="0.3">
      <c r="C7" s="66" t="s">
        <v>179</v>
      </c>
      <c r="D7" s="67"/>
      <c r="E7" s="67"/>
      <c r="F7" s="67"/>
      <c r="G7" s="67"/>
      <c r="H7" s="67"/>
      <c r="I7" s="5"/>
      <c r="J7" s="66" t="s">
        <v>180</v>
      </c>
      <c r="K7" s="67"/>
      <c r="L7" s="67"/>
      <c r="M7" s="67"/>
      <c r="N7" s="67"/>
      <c r="O7" s="67"/>
      <c r="Q7" s="66" t="s">
        <v>7</v>
      </c>
      <c r="R7" s="67"/>
      <c r="S7" s="68"/>
      <c r="T7" s="36"/>
      <c r="U7" s="69" t="s">
        <v>45</v>
      </c>
    </row>
    <row r="8" spans="1:22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9"/>
    </row>
    <row r="9" spans="1:22" x14ac:dyDescent="0.25">
      <c r="A9" s="6" t="s">
        <v>35</v>
      </c>
      <c r="B9" s="6" t="s">
        <v>46</v>
      </c>
      <c r="C9" s="15">
        <v>3734.1650390625</v>
      </c>
      <c r="D9" s="16">
        <v>37.544400000000003</v>
      </c>
      <c r="E9" s="16">
        <v>39.116999999999997</v>
      </c>
      <c r="F9" s="16">
        <v>41.506700000000002</v>
      </c>
      <c r="G9" s="16">
        <v>50.083472454090149</v>
      </c>
      <c r="H9" s="16">
        <f t="shared" ref="H9:H80" si="0">(6*D9+E9+F9)/8</f>
        <v>38.236262500000009</v>
      </c>
      <c r="I9" s="5"/>
      <c r="J9" s="15">
        <v>4000.2240000000002</v>
      </c>
      <c r="K9" s="16">
        <v>37.521599999999999</v>
      </c>
      <c r="L9" s="16">
        <v>39.359699999999997</v>
      </c>
      <c r="M9" s="16">
        <v>41.832500000000003</v>
      </c>
      <c r="N9" s="16">
        <v>81.124899999999997</v>
      </c>
      <c r="O9" s="16">
        <f t="shared" ref="O9:O80" si="1">(6*K9+L9+M9)/8</f>
        <v>38.290224999999992</v>
      </c>
      <c r="P9" s="7"/>
      <c r="Q9" s="8">
        <f>bdrate(C9:C12,D9:D12,J9:J12,K9:K12)</f>
        <v>6.0358123412853626E-3</v>
      </c>
      <c r="R9" s="8">
        <f>bdrate(C9:C12,E9:E12,J9:J12,L9:L12)</f>
        <v>-8.4882240157736488E-2</v>
      </c>
      <c r="S9" s="8">
        <f>bdrate(C9:C12,F9:F12,J9:J12,M9:M12)</f>
        <v>-7.4724858745681133E-2</v>
      </c>
      <c r="T9" s="25">
        <f>bdrate(C9:C12,H9:H12,J9:J12,O9:O12)</f>
        <v>-5.8827322402608129E-3</v>
      </c>
      <c r="U9" s="28">
        <f t="shared" ref="U9:U72" si="2">(N9-G9)/G9</f>
        <v>0.61979383666666665</v>
      </c>
    </row>
    <row r="10" spans="1:22" x14ac:dyDescent="0.25">
      <c r="A10" s="9" t="s">
        <v>36</v>
      </c>
      <c r="B10" s="9"/>
      <c r="C10" s="17">
        <v>2769.625</v>
      </c>
      <c r="D10" s="18">
        <v>36.486499999999999</v>
      </c>
      <c r="E10" s="18">
        <v>38.604700000000001</v>
      </c>
      <c r="F10" s="18">
        <v>40.958100000000002</v>
      </c>
      <c r="G10" s="18">
        <v>55.289347585698486</v>
      </c>
      <c r="H10" s="18">
        <f t="shared" si="0"/>
        <v>37.310224999999996</v>
      </c>
      <c r="I10" s="5"/>
      <c r="J10" s="17">
        <v>2918.1264000000001</v>
      </c>
      <c r="K10" s="18">
        <v>36.5351</v>
      </c>
      <c r="L10" s="18">
        <v>38.801299999999998</v>
      </c>
      <c r="M10" s="18">
        <v>41.149099999999997</v>
      </c>
      <c r="N10" s="18">
        <v>88.235299999999995</v>
      </c>
      <c r="O10" s="18">
        <f t="shared" si="1"/>
        <v>37.395124999999993</v>
      </c>
      <c r="P10" s="7"/>
      <c r="Q10" s="10"/>
      <c r="R10" s="11"/>
      <c r="S10" s="11"/>
      <c r="T10" s="26"/>
      <c r="U10" s="28">
        <f t="shared" si="2"/>
        <v>0.59588245933333328</v>
      </c>
    </row>
    <row r="11" spans="1:22" x14ac:dyDescent="0.25">
      <c r="B11" s="9"/>
      <c r="C11" s="17">
        <v>1872.43359375</v>
      </c>
      <c r="D11" s="18">
        <v>34.852200000000003</v>
      </c>
      <c r="E11" s="18">
        <v>37.8748</v>
      </c>
      <c r="F11" s="18">
        <v>40.170699999999997</v>
      </c>
      <c r="G11" s="18">
        <v>60.362173038229379</v>
      </c>
      <c r="H11" s="18">
        <f t="shared" si="0"/>
        <v>35.894837500000001</v>
      </c>
      <c r="I11" s="5"/>
      <c r="J11" s="17">
        <v>1906.192</v>
      </c>
      <c r="K11" s="18">
        <v>34.927900000000001</v>
      </c>
      <c r="L11" s="18">
        <v>38.104100000000003</v>
      </c>
      <c r="M11" s="18">
        <v>40.3994</v>
      </c>
      <c r="N11" s="18">
        <v>102.3891</v>
      </c>
      <c r="O11" s="18">
        <f t="shared" si="1"/>
        <v>36.008862500000006</v>
      </c>
      <c r="P11" s="7"/>
      <c r="Q11" s="10"/>
      <c r="R11" s="11"/>
      <c r="S11" s="11"/>
      <c r="T11" s="26"/>
      <c r="U11" s="28">
        <f t="shared" si="2"/>
        <v>0.69624608999999993</v>
      </c>
    </row>
    <row r="12" spans="1:22" ht="16.5" thickBot="1" x14ac:dyDescent="0.3">
      <c r="B12" s="12"/>
      <c r="C12" s="19">
        <v>922.94140625</v>
      </c>
      <c r="D12" s="20">
        <v>31.920999999999999</v>
      </c>
      <c r="E12" s="20">
        <v>36.762999999999998</v>
      </c>
      <c r="F12" s="20">
        <v>39.026699999999998</v>
      </c>
      <c r="G12" s="20">
        <v>67.598017124831003</v>
      </c>
      <c r="H12" s="20">
        <f t="shared" si="0"/>
        <v>33.414462499999999</v>
      </c>
      <c r="I12" s="5"/>
      <c r="J12" s="19">
        <v>917.69600000000003</v>
      </c>
      <c r="K12" s="20">
        <v>32.003399999999999</v>
      </c>
      <c r="L12" s="20">
        <v>36.828499999999998</v>
      </c>
      <c r="M12" s="20">
        <v>39.062399999999997</v>
      </c>
      <c r="N12" s="20">
        <v>128.75540000000001</v>
      </c>
      <c r="O12" s="20">
        <f t="shared" si="1"/>
        <v>33.488912499999998</v>
      </c>
      <c r="P12" s="7"/>
      <c r="Q12" s="13"/>
      <c r="R12" s="14"/>
      <c r="S12" s="14"/>
      <c r="T12" s="27"/>
      <c r="U12" s="28">
        <f t="shared" si="2"/>
        <v>0.90472155066666682</v>
      </c>
    </row>
    <row r="13" spans="1:22" x14ac:dyDescent="0.25">
      <c r="B13" s="6" t="s">
        <v>47</v>
      </c>
      <c r="C13" s="15">
        <v>3753.380859375</v>
      </c>
      <c r="D13" s="16">
        <v>28.6983</v>
      </c>
      <c r="E13" s="16">
        <v>39.041699999999999</v>
      </c>
      <c r="F13" s="16">
        <v>40.024099999999997</v>
      </c>
      <c r="G13" s="16">
        <v>37.650602409638552</v>
      </c>
      <c r="H13" s="16">
        <f t="shared" si="0"/>
        <v>31.406949999999998</v>
      </c>
      <c r="I13" s="5"/>
      <c r="J13" s="15">
        <v>4058.3359999999998</v>
      </c>
      <c r="K13" s="16">
        <v>28.9556</v>
      </c>
      <c r="L13" s="16">
        <v>39.227200000000003</v>
      </c>
      <c r="M13" s="16">
        <v>40.188200000000002</v>
      </c>
      <c r="N13" s="16">
        <v>64.047799999999995</v>
      </c>
      <c r="O13" s="16">
        <f t="shared" si="1"/>
        <v>31.643625</v>
      </c>
      <c r="P13" s="7"/>
      <c r="Q13" s="8">
        <f>bdrate(C13:C16,D13:D16,J13:J16,K13:K16)</f>
        <v>7.6551689468537854E-2</v>
      </c>
      <c r="R13" s="8">
        <f>bdrate(C13:C16,E13:E16,J13:J16,L13:L16)</f>
        <v>2.5346905920086593E-2</v>
      </c>
      <c r="S13" s="8">
        <f>bdrate(C13:C16,F13:F16,J13:J16,M13:M16)</f>
        <v>-9.3065608292239865E-3</v>
      </c>
      <c r="T13" s="25">
        <f>bdrate(C13:C16,H13:H16,J13:J16,O13:O16)</f>
        <v>6.7372861715198296E-2</v>
      </c>
      <c r="U13" s="28">
        <f t="shared" si="2"/>
        <v>0.70110956800000002</v>
      </c>
    </row>
    <row r="14" spans="1:22" x14ac:dyDescent="0.25">
      <c r="B14" s="9"/>
      <c r="C14" s="17">
        <v>2795.591796875</v>
      </c>
      <c r="D14" s="18">
        <v>27.468900000000001</v>
      </c>
      <c r="E14" s="18">
        <v>38.607399999999998</v>
      </c>
      <c r="F14" s="18">
        <v>39.610799999999998</v>
      </c>
      <c r="G14" s="18">
        <v>47.483380816714153</v>
      </c>
      <c r="H14" s="18">
        <f t="shared" si="0"/>
        <v>30.378949999999996</v>
      </c>
      <c r="I14" s="5"/>
      <c r="J14" s="17">
        <v>3017.6959999999999</v>
      </c>
      <c r="K14" s="18">
        <v>27.6189</v>
      </c>
      <c r="L14" s="18">
        <v>38.702500000000001</v>
      </c>
      <c r="M14" s="18">
        <v>39.732399999999998</v>
      </c>
      <c r="N14" s="18">
        <v>72.9572</v>
      </c>
      <c r="O14" s="18">
        <f t="shared" si="1"/>
        <v>30.518537500000001</v>
      </c>
      <c r="P14" s="7"/>
      <c r="Q14" s="10"/>
      <c r="R14" s="11"/>
      <c r="S14" s="11"/>
      <c r="T14" s="26"/>
      <c r="U14" s="28">
        <f t="shared" si="2"/>
        <v>0.5364786319999999</v>
      </c>
    </row>
    <row r="15" spans="1:22" x14ac:dyDescent="0.25">
      <c r="B15" s="9"/>
      <c r="C15" s="17">
        <v>1848.671875</v>
      </c>
      <c r="D15" s="18">
        <v>25.880199999999999</v>
      </c>
      <c r="E15" s="18">
        <v>37.8202</v>
      </c>
      <c r="F15" s="18">
        <v>38.917299999999997</v>
      </c>
      <c r="G15" s="18">
        <v>47.60393525864805</v>
      </c>
      <c r="H15" s="18">
        <f t="shared" si="0"/>
        <v>29.002337499999996</v>
      </c>
      <c r="I15" s="5"/>
      <c r="J15" s="17">
        <v>2019.9072000000001</v>
      </c>
      <c r="K15" s="18">
        <v>25.869800000000001</v>
      </c>
      <c r="L15" s="18">
        <v>37.972299999999997</v>
      </c>
      <c r="M15" s="18">
        <v>39.1357</v>
      </c>
      <c r="N15" s="18">
        <v>88.600099999999998</v>
      </c>
      <c r="O15" s="18">
        <f t="shared" si="1"/>
        <v>29.040849999999999</v>
      </c>
      <c r="P15" s="7"/>
      <c r="Q15" s="10"/>
      <c r="R15" s="11"/>
      <c r="S15" s="11"/>
      <c r="T15" s="26"/>
      <c r="U15" s="28">
        <f t="shared" si="2"/>
        <v>0.86119276733333316</v>
      </c>
    </row>
    <row r="16" spans="1:22" ht="16.5" thickBot="1" x14ac:dyDescent="0.3">
      <c r="B16" s="12"/>
      <c r="C16" s="19">
        <v>1051.65625</v>
      </c>
      <c r="D16" s="20">
        <v>23.982099999999999</v>
      </c>
      <c r="E16" s="20">
        <v>36.368400000000001</v>
      </c>
      <c r="F16" s="20">
        <v>37.640799999999999</v>
      </c>
      <c r="G16" s="20">
        <v>46.831095847642835</v>
      </c>
      <c r="H16" s="20">
        <f t="shared" si="0"/>
        <v>27.237724999999998</v>
      </c>
      <c r="I16" s="5"/>
      <c r="J16" s="19">
        <v>1158.7872</v>
      </c>
      <c r="K16" s="20">
        <v>23.919799999999999</v>
      </c>
      <c r="L16" s="20">
        <v>36.479999999999997</v>
      </c>
      <c r="M16" s="20">
        <v>37.772399999999998</v>
      </c>
      <c r="N16" s="20">
        <v>105.93219999999999</v>
      </c>
      <c r="O16" s="20">
        <f t="shared" si="1"/>
        <v>27.221399999999999</v>
      </c>
      <c r="P16" s="7"/>
      <c r="Q16" s="13"/>
      <c r="R16" s="14"/>
      <c r="S16" s="14"/>
      <c r="T16" s="27"/>
      <c r="U16" s="28">
        <f t="shared" si="2"/>
        <v>1.2620055773333332</v>
      </c>
    </row>
    <row r="17" spans="1:21" x14ac:dyDescent="0.25">
      <c r="A17" s="6" t="s">
        <v>37</v>
      </c>
      <c r="B17" s="6" t="s">
        <v>48</v>
      </c>
      <c r="C17" s="15">
        <v>2226.564453125</v>
      </c>
      <c r="D17" s="16">
        <v>39.180199999999999</v>
      </c>
      <c r="E17" s="16">
        <v>41.775199999999998</v>
      </c>
      <c r="F17" s="16">
        <v>43.1252</v>
      </c>
      <c r="G17" s="16">
        <v>61.680801850424054</v>
      </c>
      <c r="H17" s="16">
        <f t="shared" si="0"/>
        <v>39.997700000000002</v>
      </c>
      <c r="I17" s="5"/>
      <c r="J17" s="15">
        <v>2374.4184</v>
      </c>
      <c r="K17" s="16">
        <v>38.905500000000004</v>
      </c>
      <c r="L17" s="16">
        <v>41.820900000000002</v>
      </c>
      <c r="M17" s="16">
        <v>43.161000000000001</v>
      </c>
      <c r="N17" s="16">
        <v>151.80269999999999</v>
      </c>
      <c r="O17" s="16">
        <f t="shared" si="1"/>
        <v>39.801862500000006</v>
      </c>
      <c r="P17" s="7"/>
      <c r="Q17" s="8">
        <f>bdrate(C17:C20,D17:D20,J17:J20,K17:K20)</f>
        <v>6.0513022789826065E-2</v>
      </c>
      <c r="R17" s="8">
        <f>bdrate(C17:C20,E17:E20,J17:J20,L17:L20)</f>
        <v>5.5708710754289736E-3</v>
      </c>
      <c r="S17" s="8">
        <f>bdrate(C17:C20,F17:F20,J17:J20,M17:M20)</f>
        <v>2.8799106051498269E-2</v>
      </c>
      <c r="T17" s="25">
        <f>bdrate(C17:C20,H17:H20,J17:J20,O17:O20)</f>
        <v>5.491227388613007E-2</v>
      </c>
      <c r="U17" s="28">
        <f t="shared" si="2"/>
        <v>1.46110127375</v>
      </c>
    </row>
    <row r="18" spans="1:21" x14ac:dyDescent="0.25">
      <c r="A18" s="9" t="s">
        <v>38</v>
      </c>
      <c r="B18" s="9"/>
      <c r="C18" s="17">
        <v>1484.376953125</v>
      </c>
      <c r="D18" s="18">
        <v>37.775399999999998</v>
      </c>
      <c r="E18" s="18">
        <v>41.140700000000002</v>
      </c>
      <c r="F18" s="18">
        <v>42.39</v>
      </c>
      <c r="G18" s="18">
        <v>80</v>
      </c>
      <c r="H18" s="18">
        <f t="shared" si="0"/>
        <v>38.772887499999996</v>
      </c>
      <c r="I18" s="5"/>
      <c r="J18" s="17">
        <v>1556.8352</v>
      </c>
      <c r="K18" s="18">
        <v>37.640999999999998</v>
      </c>
      <c r="L18" s="18">
        <v>41.161999999999999</v>
      </c>
      <c r="M18" s="18">
        <v>42.387700000000002</v>
      </c>
      <c r="N18" s="18">
        <v>167.0146</v>
      </c>
      <c r="O18" s="18">
        <f t="shared" si="1"/>
        <v>38.674462499999997</v>
      </c>
      <c r="P18" s="7"/>
      <c r="Q18" s="10"/>
      <c r="R18" s="11"/>
      <c r="S18" s="11"/>
      <c r="T18" s="26"/>
      <c r="U18" s="28">
        <f t="shared" si="2"/>
        <v>1.0876825000000001</v>
      </c>
    </row>
    <row r="19" spans="1:21" x14ac:dyDescent="0.25">
      <c r="B19" s="9"/>
      <c r="C19" s="17">
        <v>927.3447265625</v>
      </c>
      <c r="D19" s="18">
        <v>36.075899999999997</v>
      </c>
      <c r="E19" s="18">
        <v>40.323099999999997</v>
      </c>
      <c r="F19" s="18">
        <v>41.5351</v>
      </c>
      <c r="G19" s="18">
        <v>96.618357487922708</v>
      </c>
      <c r="H19" s="18">
        <f t="shared" si="0"/>
        <v>37.289200000000001</v>
      </c>
      <c r="I19" s="5"/>
      <c r="J19" s="17">
        <v>960.22479999999996</v>
      </c>
      <c r="K19" s="18">
        <v>36.056100000000001</v>
      </c>
      <c r="L19" s="18">
        <v>40.396099999999997</v>
      </c>
      <c r="M19" s="18">
        <v>41.574800000000003</v>
      </c>
      <c r="N19" s="18">
        <v>186.62520000000001</v>
      </c>
      <c r="O19" s="18">
        <f t="shared" si="1"/>
        <v>37.288437500000001</v>
      </c>
      <c r="P19" s="7"/>
      <c r="Q19" s="10"/>
      <c r="R19" s="11"/>
      <c r="S19" s="11"/>
      <c r="T19" s="26"/>
      <c r="U19" s="28">
        <f t="shared" si="2"/>
        <v>0.93157082000000002</v>
      </c>
    </row>
    <row r="20" spans="1:21" ht="16.5" thickBot="1" x14ac:dyDescent="0.3">
      <c r="B20" s="12"/>
      <c r="C20" s="19">
        <v>556.25</v>
      </c>
      <c r="D20" s="20">
        <v>34.1935</v>
      </c>
      <c r="E20" s="20">
        <v>39.565899999999999</v>
      </c>
      <c r="F20" s="20">
        <v>40.850700000000003</v>
      </c>
      <c r="G20" s="20">
        <v>112.09715086408221</v>
      </c>
      <c r="H20" s="20">
        <f t="shared" si="0"/>
        <v>35.697200000000002</v>
      </c>
      <c r="I20" s="5"/>
      <c r="J20" s="19">
        <v>551.05280000000005</v>
      </c>
      <c r="K20" s="20">
        <v>34.155999999999999</v>
      </c>
      <c r="L20" s="20">
        <v>39.6143</v>
      </c>
      <c r="M20" s="20">
        <v>40.8352</v>
      </c>
      <c r="N20" s="20">
        <v>217.58840000000001</v>
      </c>
      <c r="O20" s="20">
        <f t="shared" si="1"/>
        <v>35.673187499999997</v>
      </c>
      <c r="P20" s="7"/>
      <c r="Q20" s="13"/>
      <c r="R20" s="14"/>
      <c r="S20" s="14"/>
      <c r="T20" s="27"/>
      <c r="U20" s="28">
        <f t="shared" si="2"/>
        <v>0.94106985166666668</v>
      </c>
    </row>
    <row r="21" spans="1:21" x14ac:dyDescent="0.25">
      <c r="B21" s="6" t="s">
        <v>49</v>
      </c>
      <c r="C21" s="15">
        <v>2263.255859375</v>
      </c>
      <c r="D21" s="16">
        <v>35.997399999999999</v>
      </c>
      <c r="E21" s="16">
        <v>39.601500000000001</v>
      </c>
      <c r="F21" s="16">
        <v>40.733199999999997</v>
      </c>
      <c r="G21" s="16">
        <v>66.11570247933885</v>
      </c>
      <c r="H21" s="16">
        <f t="shared" si="0"/>
        <v>37.039887499999999</v>
      </c>
      <c r="I21" s="5"/>
      <c r="J21" s="15">
        <v>2448.7392</v>
      </c>
      <c r="K21" s="16">
        <v>35.728200000000001</v>
      </c>
      <c r="L21" s="16">
        <v>39.813400000000001</v>
      </c>
      <c r="M21" s="16">
        <v>41.043999999999997</v>
      </c>
      <c r="N21" s="16">
        <v>133.2593</v>
      </c>
      <c r="O21" s="16">
        <f t="shared" si="1"/>
        <v>36.903325000000002</v>
      </c>
      <c r="P21" s="7"/>
      <c r="Q21" s="8">
        <f>bdrate(C21:C24,D21:D24,J21:J24,K21:K24)</f>
        <v>0.12436543139587886</v>
      </c>
      <c r="R21" s="8">
        <f>bdrate(C21:C24,E21:E24,J21:J24,L21:L24)</f>
        <v>-4.6922320436525333E-2</v>
      </c>
      <c r="S21" s="8">
        <f>bdrate(C21:C24,F21:F24,J21:J24,M21:M24)</f>
        <v>-6.4802369694105466E-2</v>
      </c>
      <c r="T21" s="25">
        <f>bdrate(C21:C24,H21:H24,J21:J24,O21:O24)</f>
        <v>9.584422039467877E-2</v>
      </c>
      <c r="U21" s="28">
        <f t="shared" si="2"/>
        <v>1.0155469124999996</v>
      </c>
    </row>
    <row r="22" spans="1:21" x14ac:dyDescent="0.25">
      <c r="B22" s="9"/>
      <c r="C22" s="17">
        <v>1514.9853515625</v>
      </c>
      <c r="D22" s="18">
        <v>34.646500000000003</v>
      </c>
      <c r="E22" s="18">
        <v>38.808300000000003</v>
      </c>
      <c r="F22" s="18">
        <v>40.0077</v>
      </c>
      <c r="G22" s="18">
        <v>85.959885386819494</v>
      </c>
      <c r="H22" s="18">
        <f t="shared" si="0"/>
        <v>35.836875000000006</v>
      </c>
      <c r="I22" s="5"/>
      <c r="J22" s="17">
        <v>1655.0832</v>
      </c>
      <c r="K22" s="18">
        <v>34.472299999999997</v>
      </c>
      <c r="L22" s="18">
        <v>39.064900000000002</v>
      </c>
      <c r="M22" s="18">
        <v>40.292499999999997</v>
      </c>
      <c r="N22" s="18">
        <v>150.3759</v>
      </c>
      <c r="O22" s="18">
        <f t="shared" si="1"/>
        <v>35.773899999999998</v>
      </c>
      <c r="P22" s="7"/>
      <c r="Q22" s="10"/>
      <c r="R22" s="11"/>
      <c r="S22" s="11"/>
      <c r="T22" s="26"/>
      <c r="U22" s="28">
        <f t="shared" si="2"/>
        <v>0.74937296999999981</v>
      </c>
    </row>
    <row r="23" spans="1:21" x14ac:dyDescent="0.25">
      <c r="B23" s="9"/>
      <c r="C23" s="17">
        <v>944.41015625</v>
      </c>
      <c r="D23" s="18">
        <v>33.099699999999999</v>
      </c>
      <c r="E23" s="18">
        <v>37.911499999999997</v>
      </c>
      <c r="F23" s="18">
        <v>39.2821</v>
      </c>
      <c r="G23" s="18">
        <v>99.543757776856069</v>
      </c>
      <c r="H23" s="18">
        <f t="shared" si="0"/>
        <v>34.473974999999996</v>
      </c>
      <c r="I23" s="5"/>
      <c r="J23" s="17">
        <v>1008.3592</v>
      </c>
      <c r="K23" s="18">
        <v>32.973199999999999</v>
      </c>
      <c r="L23" s="18">
        <v>38.132399999999997</v>
      </c>
      <c r="M23" s="18">
        <v>39.472299999999997</v>
      </c>
      <c r="N23" s="18">
        <v>177.2526</v>
      </c>
      <c r="O23" s="18">
        <f t="shared" si="1"/>
        <v>34.430487499999998</v>
      </c>
      <c r="P23" s="7"/>
      <c r="Q23" s="10"/>
      <c r="R23" s="11"/>
      <c r="S23" s="11"/>
      <c r="T23" s="26"/>
      <c r="U23" s="28">
        <f t="shared" si="2"/>
        <v>0.78065007750000015</v>
      </c>
    </row>
    <row r="24" spans="1:21" ht="16.5" thickBot="1" x14ac:dyDescent="0.3">
      <c r="B24" s="12"/>
      <c r="C24" s="19">
        <v>568.34375</v>
      </c>
      <c r="D24" s="20">
        <v>31.4621</v>
      </c>
      <c r="E24" s="20">
        <v>37.134799999999998</v>
      </c>
      <c r="F24" s="20">
        <v>38.713500000000003</v>
      </c>
      <c r="G24" s="20">
        <v>117.82032400589102</v>
      </c>
      <c r="H24" s="20">
        <f t="shared" si="0"/>
        <v>33.077612500000001</v>
      </c>
      <c r="I24" s="5"/>
      <c r="J24" s="19">
        <v>572.04319999999996</v>
      </c>
      <c r="K24" s="20">
        <v>31.306000000000001</v>
      </c>
      <c r="L24" s="20">
        <v>37.188400000000001</v>
      </c>
      <c r="M24" s="20">
        <v>38.7376</v>
      </c>
      <c r="N24" s="20">
        <v>214.8612</v>
      </c>
      <c r="O24" s="20">
        <f t="shared" si="1"/>
        <v>32.97025</v>
      </c>
      <c r="P24" s="7"/>
      <c r="Q24" s="13"/>
      <c r="R24" s="14"/>
      <c r="S24" s="14"/>
      <c r="T24" s="27"/>
      <c r="U24" s="28">
        <f t="shared" si="2"/>
        <v>0.82363443499999989</v>
      </c>
    </row>
    <row r="25" spans="1:21" x14ac:dyDescent="0.25">
      <c r="B25" s="6" t="s">
        <v>50</v>
      </c>
      <c r="C25" s="15">
        <v>2302.2958984375</v>
      </c>
      <c r="D25" s="16">
        <v>33.702300000000001</v>
      </c>
      <c r="E25" s="16">
        <v>37.834600000000002</v>
      </c>
      <c r="F25" s="16">
        <v>39.494599999999998</v>
      </c>
      <c r="G25" s="16">
        <v>82.196284727930291</v>
      </c>
      <c r="H25" s="16">
        <f t="shared" si="0"/>
        <v>34.942875000000001</v>
      </c>
      <c r="I25" s="5"/>
      <c r="J25" s="15">
        <v>2408.6504</v>
      </c>
      <c r="K25" s="16">
        <v>33.781999999999996</v>
      </c>
      <c r="L25" s="16">
        <v>38.046100000000003</v>
      </c>
      <c r="M25" s="16">
        <v>39.983499999999999</v>
      </c>
      <c r="N25" s="16">
        <v>183.41890000000001</v>
      </c>
      <c r="O25" s="16">
        <f t="shared" si="1"/>
        <v>35.090199999999996</v>
      </c>
      <c r="P25" s="7"/>
      <c r="Q25" s="8">
        <f>bdrate(C25:C28,D25:D28,J25:J28,K25:K28)</f>
        <v>-2.8940370764486301E-2</v>
      </c>
      <c r="R25" s="8">
        <f>bdrate(C25:C28,E25:E28,J25:J28,L25:L28)</f>
        <v>-0.11596248940185361</v>
      </c>
      <c r="S25" s="8">
        <f>bdrate(C25:C28,F25:F28,J25:J28,M25:M28)</f>
        <v>-0.12535121471121169</v>
      </c>
      <c r="T25" s="25">
        <f>bdrate(C25:C28,H25:H28,J25:J28,O25:O28)</f>
        <v>-4.2926181391269358E-2</v>
      </c>
      <c r="U25" s="28">
        <f t="shared" si="2"/>
        <v>1.2314743374000003</v>
      </c>
    </row>
    <row r="26" spans="1:21" x14ac:dyDescent="0.25">
      <c r="B26" s="9"/>
      <c r="C26" s="17">
        <v>1536.7490234375</v>
      </c>
      <c r="D26" s="18">
        <v>32.306600000000003</v>
      </c>
      <c r="E26" s="18">
        <v>37.325200000000002</v>
      </c>
      <c r="F26" s="18">
        <v>38.601599999999998</v>
      </c>
      <c r="G26" s="18">
        <v>125.18778167250876</v>
      </c>
      <c r="H26" s="18">
        <f t="shared" si="0"/>
        <v>33.720800000000004</v>
      </c>
      <c r="I26" s="5"/>
      <c r="J26" s="17">
        <v>1601.6496</v>
      </c>
      <c r="K26" s="18">
        <v>32.544600000000003</v>
      </c>
      <c r="L26" s="18">
        <v>37.593000000000004</v>
      </c>
      <c r="M26" s="18">
        <v>39.1432</v>
      </c>
      <c r="N26" s="18">
        <v>203.25200000000001</v>
      </c>
      <c r="O26" s="18">
        <f t="shared" si="1"/>
        <v>34.000475000000002</v>
      </c>
      <c r="P26" s="7"/>
      <c r="Q26" s="10"/>
      <c r="R26" s="11"/>
      <c r="S26" s="11"/>
      <c r="T26" s="26"/>
      <c r="U26" s="28">
        <f t="shared" si="2"/>
        <v>0.62357697600000006</v>
      </c>
    </row>
    <row r="27" spans="1:21" x14ac:dyDescent="0.25">
      <c r="B27" s="9"/>
      <c r="C27" s="17">
        <v>959.7177734375</v>
      </c>
      <c r="D27" s="18">
        <v>30.6526</v>
      </c>
      <c r="E27" s="18">
        <v>36.825000000000003</v>
      </c>
      <c r="F27" s="18">
        <v>37.863300000000002</v>
      </c>
      <c r="G27" s="18">
        <v>142.65335235378032</v>
      </c>
      <c r="H27" s="18">
        <f t="shared" si="0"/>
        <v>32.325487499999994</v>
      </c>
      <c r="I27" s="5"/>
      <c r="J27" s="17">
        <v>998.39120000000003</v>
      </c>
      <c r="K27" s="18">
        <v>30.9328</v>
      </c>
      <c r="L27" s="18">
        <v>37.012799999999999</v>
      </c>
      <c r="M27" s="18">
        <v>38.1203</v>
      </c>
      <c r="N27" s="18">
        <v>236.0718</v>
      </c>
      <c r="O27" s="18">
        <f t="shared" si="1"/>
        <v>32.591237499999998</v>
      </c>
      <c r="P27" s="7"/>
      <c r="Q27" s="10"/>
      <c r="R27" s="11"/>
      <c r="S27" s="11"/>
      <c r="T27" s="26"/>
      <c r="U27" s="28">
        <f t="shared" si="2"/>
        <v>0.65486331799999986</v>
      </c>
    </row>
    <row r="28" spans="1:21" ht="16.5" thickBot="1" x14ac:dyDescent="0.3">
      <c r="B28" s="12"/>
      <c r="C28" s="19">
        <v>577.669921875</v>
      </c>
      <c r="D28" s="20">
        <v>28.8247</v>
      </c>
      <c r="E28" s="20">
        <v>36.219499999999996</v>
      </c>
      <c r="F28" s="20">
        <v>36.830800000000004</v>
      </c>
      <c r="G28" s="20">
        <v>147.3187978786093</v>
      </c>
      <c r="H28" s="20">
        <f t="shared" si="0"/>
        <v>30.749812499999997</v>
      </c>
      <c r="I28" s="5"/>
      <c r="J28" s="19">
        <v>598.68640000000005</v>
      </c>
      <c r="K28" s="20">
        <v>29.065799999999999</v>
      </c>
      <c r="L28" s="20">
        <v>36.271999999999998</v>
      </c>
      <c r="M28" s="20">
        <v>36.964399999999998</v>
      </c>
      <c r="N28" s="20">
        <v>280.26909999999998</v>
      </c>
      <c r="O28" s="20">
        <f t="shared" si="1"/>
        <v>30.953899999999997</v>
      </c>
      <c r="P28" s="7"/>
      <c r="Q28" s="13"/>
      <c r="R28" s="14"/>
      <c r="S28" s="14"/>
      <c r="T28" s="27"/>
      <c r="U28" s="28">
        <f t="shared" si="2"/>
        <v>0.90246665079999999</v>
      </c>
    </row>
    <row r="29" spans="1:21" x14ac:dyDescent="0.25">
      <c r="B29" s="6" t="s">
        <v>51</v>
      </c>
      <c r="C29" s="29">
        <v>2296.3505859375</v>
      </c>
      <c r="D29" s="30">
        <v>34.024099999999997</v>
      </c>
      <c r="E29" s="30">
        <v>40.217199999999998</v>
      </c>
      <c r="F29" s="30">
        <v>39.823700000000002</v>
      </c>
      <c r="G29" s="16">
        <v>79.415501905972036</v>
      </c>
      <c r="H29" s="16">
        <f t="shared" si="0"/>
        <v>35.523187499999992</v>
      </c>
      <c r="I29" s="5"/>
      <c r="J29" s="29">
        <v>2416.6776</v>
      </c>
      <c r="K29" s="30">
        <v>33.756100000000004</v>
      </c>
      <c r="L29" s="30">
        <v>40.1629</v>
      </c>
      <c r="M29" s="30">
        <v>39.723300000000002</v>
      </c>
      <c r="N29" s="16">
        <v>152.06809999999999</v>
      </c>
      <c r="O29" s="16">
        <f t="shared" si="1"/>
        <v>35.302850000000007</v>
      </c>
      <c r="P29" s="7"/>
      <c r="Q29" s="8">
        <f>bdrate(C29:C32,D29:D32,J29:J32,K29:K32)</f>
        <v>0.10214727386970912</v>
      </c>
      <c r="R29" s="8">
        <f>bdrate(C29:C32,E29:E32,J29:J32,L29:L32)</f>
        <v>0.12135418551111044</v>
      </c>
      <c r="S29" s="8">
        <f>bdrate(C29:C32,F29:F32,J29:J32,M29:M32)</f>
        <v>5.9464883954956527E-2</v>
      </c>
      <c r="T29" s="25">
        <f>bdrate(C29:C32,H29:H32,J29:J32,O29:O32)</f>
        <v>9.9451486112943188E-2</v>
      </c>
      <c r="U29" s="28">
        <f t="shared" si="2"/>
        <v>0.91484151520000012</v>
      </c>
    </row>
    <row r="30" spans="1:21" x14ac:dyDescent="0.25">
      <c r="B30" s="9"/>
      <c r="C30" s="31">
        <v>1529.2265625</v>
      </c>
      <c r="D30" s="32">
        <v>32.523299999999999</v>
      </c>
      <c r="E30" s="32">
        <v>39.479700000000001</v>
      </c>
      <c r="F30" s="32">
        <v>38.791499999999999</v>
      </c>
      <c r="G30" s="18">
        <v>112.15791834903544</v>
      </c>
      <c r="H30" s="18">
        <f t="shared" si="0"/>
        <v>34.176375</v>
      </c>
      <c r="I30" s="5"/>
      <c r="J30" s="31">
        <v>1605.6744000000001</v>
      </c>
      <c r="K30" s="32">
        <v>32.339799999999997</v>
      </c>
      <c r="L30" s="32">
        <v>39.393500000000003</v>
      </c>
      <c r="M30" s="32">
        <v>38.756799999999998</v>
      </c>
      <c r="N30" s="18">
        <v>170.3578</v>
      </c>
      <c r="O30" s="18">
        <f t="shared" si="1"/>
        <v>34.0236375</v>
      </c>
      <c r="P30" s="7"/>
      <c r="Q30" s="10"/>
      <c r="R30" s="11"/>
      <c r="S30" s="11"/>
      <c r="T30" s="26"/>
      <c r="U30" s="28">
        <f t="shared" si="2"/>
        <v>0.51891014479999997</v>
      </c>
    </row>
    <row r="31" spans="1:21" x14ac:dyDescent="0.25">
      <c r="B31" s="9"/>
      <c r="C31" s="31">
        <v>955.12109375</v>
      </c>
      <c r="D31" s="32">
        <v>30.737300000000001</v>
      </c>
      <c r="E31" s="32">
        <v>38.533999999999999</v>
      </c>
      <c r="F31" s="32">
        <v>37.4955</v>
      </c>
      <c r="G31" s="18">
        <v>121.32977432661974</v>
      </c>
      <c r="H31" s="18">
        <f t="shared" si="0"/>
        <v>32.556662500000002</v>
      </c>
      <c r="I31" s="5"/>
      <c r="J31" s="31">
        <v>999.30240000000003</v>
      </c>
      <c r="K31" s="32">
        <v>30.527699999999999</v>
      </c>
      <c r="L31" s="32">
        <v>38.336399999999998</v>
      </c>
      <c r="M31" s="32">
        <v>37.4529</v>
      </c>
      <c r="N31" s="18">
        <v>205.76130000000001</v>
      </c>
      <c r="O31" s="18">
        <f t="shared" si="1"/>
        <v>32.369437500000004</v>
      </c>
      <c r="P31" s="7"/>
      <c r="Q31" s="10"/>
      <c r="R31" s="11"/>
      <c r="S31" s="11"/>
      <c r="T31" s="26"/>
      <c r="U31" s="28">
        <f t="shared" si="2"/>
        <v>0.69588463460000016</v>
      </c>
    </row>
    <row r="32" spans="1:21" ht="16.5" thickBot="1" x14ac:dyDescent="0.3">
      <c r="B32" s="12"/>
      <c r="C32" s="33">
        <v>573.96875</v>
      </c>
      <c r="D32" s="34">
        <v>28.715299999999999</v>
      </c>
      <c r="E32" s="34">
        <v>37.025199999999998</v>
      </c>
      <c r="F32" s="34">
        <v>35.732100000000003</v>
      </c>
      <c r="G32" s="20">
        <v>137.85497656465398</v>
      </c>
      <c r="H32" s="20">
        <f t="shared" si="0"/>
        <v>30.631137500000001</v>
      </c>
      <c r="I32" s="5"/>
      <c r="J32" s="33">
        <v>599.7432</v>
      </c>
      <c r="K32" s="34">
        <v>28.62</v>
      </c>
      <c r="L32" s="34">
        <v>36.683700000000002</v>
      </c>
      <c r="M32" s="34">
        <v>35.795200000000001</v>
      </c>
      <c r="N32" s="20">
        <v>241.6626</v>
      </c>
      <c r="O32" s="20">
        <f t="shared" si="1"/>
        <v>30.524862500000001</v>
      </c>
      <c r="P32" s="7"/>
      <c r="Q32" s="13"/>
      <c r="R32" s="14"/>
      <c r="S32" s="14"/>
      <c r="T32" s="27"/>
      <c r="U32" s="28">
        <f t="shared" si="2"/>
        <v>0.75302050040000001</v>
      </c>
    </row>
    <row r="33" spans="1:21" x14ac:dyDescent="0.25">
      <c r="B33" s="6" t="s">
        <v>52</v>
      </c>
      <c r="C33" s="15">
        <v>2319.078125</v>
      </c>
      <c r="D33" s="16">
        <v>33.500900000000001</v>
      </c>
      <c r="E33" s="16">
        <v>39.625300000000003</v>
      </c>
      <c r="F33" s="16">
        <v>42.035699999999999</v>
      </c>
      <c r="G33" s="16">
        <v>86.667629640329338</v>
      </c>
      <c r="H33" s="16">
        <f t="shared" si="0"/>
        <v>35.333300000000001</v>
      </c>
      <c r="I33" s="5"/>
      <c r="J33" s="15">
        <v>2402.864</v>
      </c>
      <c r="K33" s="16">
        <v>33.322099999999999</v>
      </c>
      <c r="L33" s="16">
        <v>39.683900000000001</v>
      </c>
      <c r="M33" s="16">
        <v>42.19</v>
      </c>
      <c r="N33" s="16">
        <v>196.46369999999999</v>
      </c>
      <c r="O33" s="16">
        <f t="shared" si="1"/>
        <v>35.225812499999996</v>
      </c>
      <c r="P33" s="7"/>
      <c r="Q33" s="8">
        <f>bdrate(C33:C36,D33:D36,J33:J36,K33:K36)</f>
        <v>6.6699464456526636E-2</v>
      </c>
      <c r="R33" s="8">
        <f>bdrate(C33:C36,E33:E36,J33:J36,L33:L36)</f>
        <v>4.2728603156877432E-2</v>
      </c>
      <c r="S33" s="8">
        <f>bdrate(C33:C36,F33:F36,J33:J36,M33:M36)</f>
        <v>-7.720353875617092E-3</v>
      </c>
      <c r="T33" s="25">
        <f>bdrate(C33:C36,H33:H36,J33:J36,O33:O36)</f>
        <v>6.0390573396746694E-2</v>
      </c>
      <c r="U33" s="28">
        <f t="shared" si="2"/>
        <v>1.2668636584999999</v>
      </c>
    </row>
    <row r="34" spans="1:21" x14ac:dyDescent="0.25">
      <c r="B34" s="9"/>
      <c r="C34" s="17">
        <v>1536.4267578125</v>
      </c>
      <c r="D34" s="18">
        <v>32.718000000000004</v>
      </c>
      <c r="E34" s="18">
        <v>39.182000000000002</v>
      </c>
      <c r="F34" s="18">
        <v>41.625</v>
      </c>
      <c r="G34" s="18">
        <v>123.68583797155226</v>
      </c>
      <c r="H34" s="18">
        <f t="shared" si="0"/>
        <v>34.639375000000001</v>
      </c>
      <c r="I34" s="5"/>
      <c r="J34" s="17">
        <v>1609.0672</v>
      </c>
      <c r="K34" s="18">
        <v>32.615000000000002</v>
      </c>
      <c r="L34" s="18">
        <v>39.207099999999997</v>
      </c>
      <c r="M34" s="18">
        <v>41.764099999999999</v>
      </c>
      <c r="N34" s="18">
        <v>218.8184</v>
      </c>
      <c r="O34" s="18">
        <f t="shared" si="1"/>
        <v>34.582650000000001</v>
      </c>
      <c r="P34" s="7"/>
      <c r="Q34" s="10"/>
      <c r="R34" s="11"/>
      <c r="S34" s="11"/>
      <c r="T34" s="26"/>
      <c r="U34" s="28">
        <f t="shared" si="2"/>
        <v>0.76914676399999993</v>
      </c>
    </row>
    <row r="35" spans="1:21" x14ac:dyDescent="0.25">
      <c r="B35" s="9"/>
      <c r="C35" s="17">
        <v>955.3603515625</v>
      </c>
      <c r="D35" s="18">
        <v>31.467300000000002</v>
      </c>
      <c r="E35" s="18">
        <v>38.5411</v>
      </c>
      <c r="F35" s="18">
        <v>41.084699999999998</v>
      </c>
      <c r="G35" s="18">
        <v>134.7103726986978</v>
      </c>
      <c r="H35" s="18">
        <f t="shared" si="0"/>
        <v>33.553700000000006</v>
      </c>
      <c r="I35" s="5"/>
      <c r="J35" s="17">
        <v>1023.0392000000001</v>
      </c>
      <c r="K35" s="18">
        <v>31.479299999999999</v>
      </c>
      <c r="L35" s="18">
        <v>38.563099999999999</v>
      </c>
      <c r="M35" s="18">
        <v>41.128100000000003</v>
      </c>
      <c r="N35" s="18">
        <v>247.62690000000001</v>
      </c>
      <c r="O35" s="18">
        <f t="shared" si="1"/>
        <v>33.570875000000001</v>
      </c>
      <c r="P35" s="7"/>
      <c r="Q35" s="10"/>
      <c r="R35" s="11"/>
      <c r="S35" s="11"/>
      <c r="T35" s="26"/>
      <c r="U35" s="28">
        <f t="shared" si="2"/>
        <v>0.83821702100000006</v>
      </c>
    </row>
    <row r="36" spans="1:21" ht="16.5" thickBot="1" x14ac:dyDescent="0.3">
      <c r="B36" s="12"/>
      <c r="C36" s="19">
        <v>573.6943359375</v>
      </c>
      <c r="D36" s="20">
        <v>29.7821</v>
      </c>
      <c r="E36" s="20">
        <v>38.049500000000002</v>
      </c>
      <c r="F36" s="20">
        <v>40.638500000000001</v>
      </c>
      <c r="G36" s="20">
        <v>147.38393515106856</v>
      </c>
      <c r="H36" s="20">
        <f t="shared" si="0"/>
        <v>32.172575000000002</v>
      </c>
      <c r="I36" s="5"/>
      <c r="J36" s="19">
        <v>597.23119999999994</v>
      </c>
      <c r="K36" s="20">
        <v>29.954699999999999</v>
      </c>
      <c r="L36" s="20">
        <v>37.983699999999999</v>
      </c>
      <c r="M36" s="20">
        <v>40.559899999999999</v>
      </c>
      <c r="N36" s="20">
        <v>278.68090000000001</v>
      </c>
      <c r="O36" s="20">
        <f t="shared" si="1"/>
        <v>32.283974999999998</v>
      </c>
      <c r="P36" s="7"/>
      <c r="Q36" s="13"/>
      <c r="R36" s="14"/>
      <c r="S36" s="14"/>
      <c r="T36" s="27"/>
      <c r="U36" s="28">
        <f t="shared" si="2"/>
        <v>0.89084990649999973</v>
      </c>
    </row>
    <row r="37" spans="1:21" x14ac:dyDescent="0.25">
      <c r="A37" s="6" t="s">
        <v>39</v>
      </c>
      <c r="B37" s="6" t="s">
        <v>53</v>
      </c>
      <c r="C37" s="15">
        <v>1154.859375</v>
      </c>
      <c r="D37" s="16">
        <v>34.786900000000003</v>
      </c>
      <c r="E37" s="16">
        <v>38.6633</v>
      </c>
      <c r="F37" s="16">
        <v>38.4512</v>
      </c>
      <c r="G37" s="16">
        <v>234.96240601503757</v>
      </c>
      <c r="H37" s="16">
        <f t="shared" si="0"/>
        <v>35.729487500000005</v>
      </c>
      <c r="I37" s="5"/>
      <c r="J37" s="15">
        <v>1214.2728</v>
      </c>
      <c r="K37" s="16">
        <v>34.613100000000003</v>
      </c>
      <c r="L37" s="16">
        <v>38.721800000000002</v>
      </c>
      <c r="M37" s="16">
        <v>38.503799999999998</v>
      </c>
      <c r="N37" s="16">
        <v>542.88819999999998</v>
      </c>
      <c r="O37" s="16">
        <f t="shared" si="1"/>
        <v>35.613025</v>
      </c>
      <c r="P37" s="7"/>
      <c r="Q37" s="8">
        <f>bdrate(C37:C40,D37:D40,J37:J40,K37:K40)</f>
        <v>2.2472683418680584E-2</v>
      </c>
      <c r="R37" s="8">
        <f>bdrate(C37:C40,E37:E40,J37:J40,L37:L40)</f>
        <v>1.4674107763381405E-2</v>
      </c>
      <c r="S37" s="8">
        <f>bdrate(C37:C40,F37:F40,J37:J40,M37:M40)</f>
        <v>3.03209894091101E-2</v>
      </c>
      <c r="T37" s="25">
        <f>bdrate(C37:C40,H37:H40,J37:J40,O37:O40)</f>
        <v>2.2713228097394511E-2</v>
      </c>
      <c r="U37" s="28">
        <f t="shared" si="2"/>
        <v>1.3105321792000002</v>
      </c>
    </row>
    <row r="38" spans="1:21" x14ac:dyDescent="0.25">
      <c r="A38" s="9" t="s">
        <v>40</v>
      </c>
      <c r="B38" s="9"/>
      <c r="C38" s="17">
        <v>769.4033203125</v>
      </c>
      <c r="D38" s="18">
        <v>33.098199999999999</v>
      </c>
      <c r="E38" s="18">
        <v>37.614899999999999</v>
      </c>
      <c r="F38" s="18">
        <v>37.263300000000001</v>
      </c>
      <c r="G38" s="18">
        <v>305.99755201958385</v>
      </c>
      <c r="H38" s="18">
        <f t="shared" si="0"/>
        <v>34.183425</v>
      </c>
      <c r="I38" s="5"/>
      <c r="J38" s="17">
        <v>803.24080000000004</v>
      </c>
      <c r="K38" s="18">
        <v>33.083799999999997</v>
      </c>
      <c r="L38" s="18">
        <v>37.627499999999998</v>
      </c>
      <c r="M38" s="18">
        <v>37.252499999999998</v>
      </c>
      <c r="N38" s="18">
        <v>619.57870000000003</v>
      </c>
      <c r="O38" s="18">
        <f t="shared" si="1"/>
        <v>34.172849999999997</v>
      </c>
      <c r="P38" s="7"/>
      <c r="Q38" s="10"/>
      <c r="R38" s="11"/>
      <c r="S38" s="11"/>
      <c r="T38" s="26"/>
      <c r="U38" s="28">
        <f t="shared" si="2"/>
        <v>1.0247831916000001</v>
      </c>
    </row>
    <row r="39" spans="1:21" x14ac:dyDescent="0.25">
      <c r="B39" s="9"/>
      <c r="C39" s="17">
        <v>480.7216796875</v>
      </c>
      <c r="D39" s="18">
        <v>31.103100000000001</v>
      </c>
      <c r="E39" s="18">
        <v>36.302100000000003</v>
      </c>
      <c r="F39" s="18">
        <v>35.783700000000003</v>
      </c>
      <c r="G39" s="18">
        <v>407.49796251018739</v>
      </c>
      <c r="H39" s="18">
        <f t="shared" si="0"/>
        <v>32.338050000000003</v>
      </c>
      <c r="I39" s="5"/>
      <c r="J39" s="17">
        <v>502.01119999999997</v>
      </c>
      <c r="K39" s="18">
        <v>31.2926</v>
      </c>
      <c r="L39" s="18">
        <v>36.441600000000001</v>
      </c>
      <c r="M39" s="18">
        <v>35.876199999999997</v>
      </c>
      <c r="N39" s="18">
        <v>723.58900000000006</v>
      </c>
      <c r="O39" s="18">
        <f t="shared" si="1"/>
        <v>32.509174999999999</v>
      </c>
      <c r="P39" s="7"/>
      <c r="Q39" s="10"/>
      <c r="R39" s="11"/>
      <c r="S39" s="11"/>
      <c r="T39" s="26"/>
      <c r="U39" s="28">
        <f t="shared" si="2"/>
        <v>0.77568740600000041</v>
      </c>
    </row>
    <row r="40" spans="1:21" ht="16.5" thickBot="1" x14ac:dyDescent="0.3">
      <c r="B40" s="12"/>
      <c r="C40" s="19">
        <v>288.7939453125</v>
      </c>
      <c r="D40" s="20">
        <v>29.160799999999998</v>
      </c>
      <c r="E40" s="20">
        <v>35.025399999999998</v>
      </c>
      <c r="F40" s="20">
        <v>34.383299999999998</v>
      </c>
      <c r="G40" s="20">
        <v>504.54086781029264</v>
      </c>
      <c r="H40" s="20">
        <f t="shared" si="0"/>
        <v>30.546687499999997</v>
      </c>
      <c r="I40" s="5"/>
      <c r="J40" s="19">
        <v>301.05919999999998</v>
      </c>
      <c r="K40" s="20">
        <v>29.368600000000001</v>
      </c>
      <c r="L40" s="20">
        <v>35.0854</v>
      </c>
      <c r="M40" s="20">
        <v>34.393300000000004</v>
      </c>
      <c r="N40" s="20">
        <v>891.26559999999995</v>
      </c>
      <c r="O40" s="20">
        <f t="shared" si="1"/>
        <v>30.711287500000001</v>
      </c>
      <c r="P40" s="7"/>
      <c r="Q40" s="13"/>
      <c r="R40" s="14"/>
      <c r="S40" s="14"/>
      <c r="T40" s="27"/>
      <c r="U40" s="28">
        <f t="shared" si="2"/>
        <v>0.76648841919999988</v>
      </c>
    </row>
    <row r="41" spans="1:21" x14ac:dyDescent="0.25">
      <c r="B41" s="6" t="s">
        <v>54</v>
      </c>
      <c r="C41" s="15">
        <v>1203.3740234375</v>
      </c>
      <c r="D41" s="16">
        <v>35.0901</v>
      </c>
      <c r="E41" s="16">
        <v>40.210299999999997</v>
      </c>
      <c r="F41" s="16">
        <v>41.058599999999998</v>
      </c>
      <c r="G41" s="16">
        <v>270.51397655545537</v>
      </c>
      <c r="H41" s="16">
        <f t="shared" si="0"/>
        <v>36.476187499999995</v>
      </c>
      <c r="I41" s="5"/>
      <c r="J41" s="15">
        <v>1236.82</v>
      </c>
      <c r="K41" s="16">
        <v>34.831600000000002</v>
      </c>
      <c r="L41" s="16">
        <v>40.313800000000001</v>
      </c>
      <c r="M41" s="16">
        <v>41.123600000000003</v>
      </c>
      <c r="N41" s="16">
        <v>528.63440000000003</v>
      </c>
      <c r="O41" s="16">
        <f t="shared" si="1"/>
        <v>36.303375000000003</v>
      </c>
      <c r="P41" s="7"/>
      <c r="Q41" s="8">
        <f>bdrate(C41:C44,D41:D44,J41:J44,K41:K44)</f>
        <v>1.5740549964088801E-2</v>
      </c>
      <c r="R41" s="8">
        <f>bdrate(C41:C44,E41:E44,J41:J44,L41:L44)</f>
        <v>-7.8096995798205726E-2</v>
      </c>
      <c r="S41" s="8">
        <f>bdrate(C41:C44,F41:F44,J41:J44,M41:M44)</f>
        <v>-3.5725711741504518E-2</v>
      </c>
      <c r="T41" s="25">
        <f>bdrate(C41:C44,H41:H44,J41:J44,O41:O44)</f>
        <v>4.4238512563041787E-3</v>
      </c>
      <c r="U41" s="28">
        <f t="shared" si="2"/>
        <v>0.95418516533333342</v>
      </c>
    </row>
    <row r="42" spans="1:21" x14ac:dyDescent="0.25">
      <c r="B42" s="9"/>
      <c r="C42" s="17">
        <v>803.1669921875</v>
      </c>
      <c r="D42" s="18">
        <v>33.314599999999999</v>
      </c>
      <c r="E42" s="18">
        <v>39.159500000000001</v>
      </c>
      <c r="F42" s="18">
        <v>39.919400000000003</v>
      </c>
      <c r="G42" s="18">
        <v>376.1755485893417</v>
      </c>
      <c r="H42" s="18">
        <f t="shared" si="0"/>
        <v>34.8708125</v>
      </c>
      <c r="I42" s="5"/>
      <c r="J42" s="17">
        <v>825.49199999999996</v>
      </c>
      <c r="K42" s="18">
        <v>33.2699</v>
      </c>
      <c r="L42" s="18">
        <v>39.4148</v>
      </c>
      <c r="M42" s="18">
        <v>40.098300000000002</v>
      </c>
      <c r="N42" s="18">
        <v>592.8854</v>
      </c>
      <c r="O42" s="18">
        <f t="shared" si="1"/>
        <v>34.891562499999999</v>
      </c>
      <c r="P42" s="7"/>
      <c r="Q42" s="10"/>
      <c r="R42" s="11"/>
      <c r="S42" s="11"/>
      <c r="T42" s="26"/>
      <c r="U42" s="28">
        <f t="shared" si="2"/>
        <v>0.57608702166666659</v>
      </c>
    </row>
    <row r="43" spans="1:21" x14ac:dyDescent="0.25">
      <c r="B43" s="9"/>
      <c r="C43" s="17">
        <v>502.2822265625</v>
      </c>
      <c r="D43" s="18">
        <v>31.2483</v>
      </c>
      <c r="E43" s="18">
        <v>38.1083</v>
      </c>
      <c r="F43" s="18">
        <v>38.745199999999997</v>
      </c>
      <c r="G43" s="18">
        <v>463.32046332046332</v>
      </c>
      <c r="H43" s="18">
        <f t="shared" si="0"/>
        <v>33.0429125</v>
      </c>
      <c r="I43" s="5"/>
      <c r="J43" s="17">
        <v>514.75199999999995</v>
      </c>
      <c r="K43" s="18">
        <v>31.384799999999998</v>
      </c>
      <c r="L43" s="18">
        <v>38.366300000000003</v>
      </c>
      <c r="M43" s="18">
        <v>38.929499999999997</v>
      </c>
      <c r="N43" s="18">
        <v>706.71379999999999</v>
      </c>
      <c r="O43" s="18">
        <f t="shared" si="1"/>
        <v>33.200575000000001</v>
      </c>
      <c r="P43" s="7"/>
      <c r="Q43" s="10"/>
      <c r="R43" s="11"/>
      <c r="S43" s="11"/>
      <c r="T43" s="26"/>
      <c r="U43" s="28">
        <f t="shared" si="2"/>
        <v>0.52532395166666668</v>
      </c>
    </row>
    <row r="44" spans="1:21" ht="16.5" thickBot="1" x14ac:dyDescent="0.3">
      <c r="B44" s="12"/>
      <c r="C44" s="19">
        <v>301.619140625</v>
      </c>
      <c r="D44" s="20">
        <v>29.146100000000001</v>
      </c>
      <c r="E44" s="20">
        <v>37.1342</v>
      </c>
      <c r="F44" s="20">
        <v>37.638500000000001</v>
      </c>
      <c r="G44" s="20">
        <v>519.03114186851212</v>
      </c>
      <c r="H44" s="20">
        <f t="shared" si="0"/>
        <v>31.206162499999998</v>
      </c>
      <c r="I44" s="5"/>
      <c r="J44" s="19">
        <v>308.73840000000001</v>
      </c>
      <c r="K44" s="20">
        <v>29.315300000000001</v>
      </c>
      <c r="L44" s="20">
        <v>37.331200000000003</v>
      </c>
      <c r="M44" s="20">
        <v>37.697000000000003</v>
      </c>
      <c r="N44" s="20">
        <v>927.35699999999997</v>
      </c>
      <c r="O44" s="20">
        <f t="shared" si="1"/>
        <v>31.364999999999998</v>
      </c>
      <c r="P44" s="7"/>
      <c r="Q44" s="13"/>
      <c r="R44" s="14"/>
      <c r="S44" s="14"/>
      <c r="T44" s="27"/>
      <c r="U44" s="28">
        <f t="shared" si="2"/>
        <v>0.78670781999999995</v>
      </c>
    </row>
    <row r="45" spans="1:21" x14ac:dyDescent="0.25">
      <c r="B45" s="6" t="s">
        <v>55</v>
      </c>
      <c r="C45" s="15">
        <v>1183.5654296875</v>
      </c>
      <c r="D45" s="16">
        <v>30.094200000000001</v>
      </c>
      <c r="E45" s="16">
        <v>36.2821</v>
      </c>
      <c r="F45" s="16">
        <v>37.010599999999997</v>
      </c>
      <c r="G45" s="16">
        <v>232.55813953488374</v>
      </c>
      <c r="H45" s="16">
        <f t="shared" si="0"/>
        <v>31.732237500000004</v>
      </c>
      <c r="I45" s="5"/>
      <c r="J45" s="15">
        <v>1212.9623999999999</v>
      </c>
      <c r="K45" s="16">
        <v>29.936900000000001</v>
      </c>
      <c r="L45" s="16">
        <v>36.528100000000002</v>
      </c>
      <c r="M45" s="16">
        <v>37.296900000000001</v>
      </c>
      <c r="N45" s="16">
        <v>499.50049999999999</v>
      </c>
      <c r="O45" s="16">
        <f t="shared" si="1"/>
        <v>31.680799999999998</v>
      </c>
      <c r="P45" s="7"/>
      <c r="Q45" s="8">
        <f>bdrate(C45:C48,D45:D48,J45:J48,K45:K48)</f>
        <v>-3.3204017450126577E-2</v>
      </c>
      <c r="R45" s="8">
        <f>bdrate(C45:C48,E45:E48,J45:J48,L45:L48)</f>
        <v>-0.10874228173093869</v>
      </c>
      <c r="S45" s="8">
        <f>bdrate(C45:C48,F45:F48,J45:J48,M45:M48)</f>
        <v>-0.11901122412939102</v>
      </c>
      <c r="T45" s="25">
        <f>bdrate(C45:C48,H45:H48,J45:J48,O45:O48)</f>
        <v>-4.5271308740285066E-2</v>
      </c>
      <c r="U45" s="28">
        <f t="shared" si="2"/>
        <v>1.1478521499999998</v>
      </c>
    </row>
    <row r="46" spans="1:21" x14ac:dyDescent="0.25">
      <c r="B46" s="9"/>
      <c r="C46" s="17">
        <v>782.6728515625</v>
      </c>
      <c r="D46" s="18">
        <v>28.5319</v>
      </c>
      <c r="E46" s="18">
        <v>35.499200000000002</v>
      </c>
      <c r="F46" s="18">
        <v>36.215200000000003</v>
      </c>
      <c r="G46" s="18">
        <v>301.93236714975848</v>
      </c>
      <c r="H46" s="18">
        <f t="shared" si="0"/>
        <v>30.363225</v>
      </c>
      <c r="I46" s="5"/>
      <c r="J46" s="17">
        <v>810.57119999999998</v>
      </c>
      <c r="K46" s="18">
        <v>28.6248</v>
      </c>
      <c r="L46" s="18">
        <v>35.761600000000001</v>
      </c>
      <c r="M46" s="18">
        <v>36.507100000000001</v>
      </c>
      <c r="N46" s="18">
        <v>576.03689999999995</v>
      </c>
      <c r="O46" s="18">
        <f t="shared" si="1"/>
        <v>30.502187500000002</v>
      </c>
      <c r="P46" s="7"/>
      <c r="Q46" s="10"/>
      <c r="R46" s="11"/>
      <c r="S46" s="11"/>
      <c r="T46" s="26"/>
      <c r="U46" s="28">
        <f t="shared" si="2"/>
        <v>0.90783421279999965</v>
      </c>
    </row>
    <row r="47" spans="1:21" x14ac:dyDescent="0.25">
      <c r="B47" s="9"/>
      <c r="C47" s="17">
        <v>497.37890625</v>
      </c>
      <c r="D47" s="18">
        <v>26.8782</v>
      </c>
      <c r="E47" s="18">
        <v>34.656599999999997</v>
      </c>
      <c r="F47" s="18">
        <v>35.377099999999999</v>
      </c>
      <c r="G47" s="18">
        <v>379.93920972644378</v>
      </c>
      <c r="H47" s="18">
        <f t="shared" si="0"/>
        <v>28.912862500000003</v>
      </c>
      <c r="I47" s="5"/>
      <c r="J47" s="17">
        <v>509.15280000000001</v>
      </c>
      <c r="K47" s="18">
        <v>27.218900000000001</v>
      </c>
      <c r="L47" s="18">
        <v>34.953099999999999</v>
      </c>
      <c r="M47" s="18">
        <v>35.696399999999997</v>
      </c>
      <c r="N47" s="18">
        <v>696.37879999999996</v>
      </c>
      <c r="O47" s="18">
        <f t="shared" si="1"/>
        <v>29.245362499999999</v>
      </c>
      <c r="P47" s="7"/>
      <c r="Q47" s="10"/>
      <c r="R47" s="11"/>
      <c r="S47" s="11"/>
      <c r="T47" s="26"/>
      <c r="U47" s="28">
        <f t="shared" si="2"/>
        <v>0.83286900159999988</v>
      </c>
    </row>
    <row r="48" spans="1:21" ht="16.5" thickBot="1" x14ac:dyDescent="0.3">
      <c r="B48" s="12"/>
      <c r="C48" s="19">
        <v>297.640625</v>
      </c>
      <c r="D48" s="20">
        <v>25.255299999999998</v>
      </c>
      <c r="E48" s="20">
        <v>33.981699999999996</v>
      </c>
      <c r="F48" s="20">
        <v>34.665199999999999</v>
      </c>
      <c r="G48" s="20">
        <v>438.21209465381241</v>
      </c>
      <c r="H48" s="20">
        <f t="shared" si="0"/>
        <v>27.522337499999995</v>
      </c>
      <c r="I48" s="5"/>
      <c r="J48" s="19">
        <v>305.55599999999998</v>
      </c>
      <c r="K48" s="20">
        <v>25.646699999999999</v>
      </c>
      <c r="L48" s="20">
        <v>34.047800000000002</v>
      </c>
      <c r="M48" s="20">
        <v>34.744199999999999</v>
      </c>
      <c r="N48" s="20">
        <v>846.02369999999996</v>
      </c>
      <c r="O48" s="20">
        <f t="shared" si="1"/>
        <v>27.834025</v>
      </c>
      <c r="P48" s="7"/>
      <c r="Q48" s="13"/>
      <c r="R48" s="14"/>
      <c r="S48" s="14"/>
      <c r="T48" s="27"/>
      <c r="U48" s="28">
        <f t="shared" si="2"/>
        <v>0.93062608340000008</v>
      </c>
    </row>
    <row r="49" spans="1:21" x14ac:dyDescent="0.25">
      <c r="B49" s="6" t="s">
        <v>56</v>
      </c>
      <c r="C49" s="15">
        <v>1144.103515625</v>
      </c>
      <c r="D49" s="16">
        <v>32.784700000000001</v>
      </c>
      <c r="E49" s="16">
        <v>36.922499999999999</v>
      </c>
      <c r="F49" s="16">
        <v>38.481699999999996</v>
      </c>
      <c r="G49" s="16">
        <v>186.79950186799502</v>
      </c>
      <c r="H49" s="16">
        <f t="shared" si="0"/>
        <v>34.014049999999997</v>
      </c>
      <c r="I49" s="5"/>
      <c r="J49" s="15">
        <v>1198.5927999999999</v>
      </c>
      <c r="K49" s="16">
        <v>31.869199999999999</v>
      </c>
      <c r="L49" s="16">
        <v>36.630299999999998</v>
      </c>
      <c r="M49" s="16">
        <v>38.182200000000002</v>
      </c>
      <c r="N49" s="16">
        <v>391.64490000000001</v>
      </c>
      <c r="O49" s="16">
        <f t="shared" si="1"/>
        <v>33.253462499999998</v>
      </c>
      <c r="P49" s="7"/>
      <c r="Q49" s="8">
        <f>bdrate(C49:C52,D49:D52,J49:J52,K49:K52)</f>
        <v>0.24735461181296281</v>
      </c>
      <c r="R49" s="8">
        <f>bdrate(C49:C52,E49:E52,J49:J52,L49:L52)</f>
        <v>0.16201737828727847</v>
      </c>
      <c r="S49" s="8">
        <f>bdrate(C49:C52,F49:F52,J49:J52,M49:M52)</f>
        <v>0.16721185578768205</v>
      </c>
      <c r="T49" s="25">
        <f>bdrate(C49:C52,H49:H52,J49:J52,O49:O52)</f>
        <v>0.23348636096593767</v>
      </c>
      <c r="U49" s="28">
        <f t="shared" si="2"/>
        <v>1.0966056980000001</v>
      </c>
    </row>
    <row r="50" spans="1:21" x14ac:dyDescent="0.25">
      <c r="B50" s="9"/>
      <c r="C50" s="17">
        <v>764.11328125</v>
      </c>
      <c r="D50" s="18">
        <v>31.145499999999998</v>
      </c>
      <c r="E50" s="18">
        <v>36.048999999999999</v>
      </c>
      <c r="F50" s="18">
        <v>37.6175</v>
      </c>
      <c r="G50" s="18">
        <v>247.72914946325349</v>
      </c>
      <c r="H50" s="18">
        <f t="shared" si="0"/>
        <v>32.567437499999997</v>
      </c>
      <c r="I50" s="5"/>
      <c r="J50" s="17">
        <v>797.61360000000002</v>
      </c>
      <c r="K50" s="18">
        <v>30.403099999999998</v>
      </c>
      <c r="L50" s="18">
        <v>35.782400000000003</v>
      </c>
      <c r="M50" s="18">
        <v>37.308900000000001</v>
      </c>
      <c r="N50" s="18">
        <v>447.76119999999997</v>
      </c>
      <c r="O50" s="18">
        <f t="shared" si="1"/>
        <v>31.938737499999998</v>
      </c>
      <c r="P50" s="7"/>
      <c r="Q50" s="10"/>
      <c r="R50" s="11"/>
      <c r="S50" s="11"/>
      <c r="T50" s="26"/>
      <c r="U50" s="28">
        <f t="shared" si="2"/>
        <v>0.80746271066666664</v>
      </c>
    </row>
    <row r="51" spans="1:21" x14ac:dyDescent="0.25">
      <c r="B51" s="9"/>
      <c r="C51" s="17">
        <v>487.0693359375</v>
      </c>
      <c r="D51" s="18">
        <v>29.4223</v>
      </c>
      <c r="E51" s="18">
        <v>35.076599999999999</v>
      </c>
      <c r="F51" s="18">
        <v>36.597999999999999</v>
      </c>
      <c r="G51" s="18">
        <v>337.07865168539325</v>
      </c>
      <c r="H51" s="18">
        <f t="shared" si="0"/>
        <v>31.026049999999998</v>
      </c>
      <c r="I51" s="5"/>
      <c r="J51" s="17">
        <v>498.28800000000001</v>
      </c>
      <c r="K51" s="18">
        <v>28.795000000000002</v>
      </c>
      <c r="L51" s="18">
        <v>34.856400000000001</v>
      </c>
      <c r="M51" s="18">
        <v>36.358699999999999</v>
      </c>
      <c r="N51" s="18">
        <v>518.13469999999995</v>
      </c>
      <c r="O51" s="18">
        <f t="shared" si="1"/>
        <v>30.498137500000002</v>
      </c>
      <c r="P51" s="7"/>
      <c r="Q51" s="10"/>
      <c r="R51" s="11"/>
      <c r="S51" s="11"/>
      <c r="T51" s="26"/>
      <c r="U51" s="28">
        <f t="shared" si="2"/>
        <v>0.53713294333333317</v>
      </c>
    </row>
    <row r="52" spans="1:21" ht="16.5" thickBot="1" x14ac:dyDescent="0.3">
      <c r="B52" s="12"/>
      <c r="C52" s="19">
        <v>300.0771484375</v>
      </c>
      <c r="D52" s="20">
        <v>27.738299999999999</v>
      </c>
      <c r="E52" s="20">
        <v>34.113199999999999</v>
      </c>
      <c r="F52" s="20">
        <v>35.523400000000002</v>
      </c>
      <c r="G52" s="20">
        <v>408.16326530612247</v>
      </c>
      <c r="H52" s="20">
        <f t="shared" si="0"/>
        <v>29.508300000000002</v>
      </c>
      <c r="I52" s="5"/>
      <c r="J52" s="19">
        <v>299.40719999999999</v>
      </c>
      <c r="K52" s="20">
        <v>27.1539</v>
      </c>
      <c r="L52" s="20">
        <v>33.863799999999998</v>
      </c>
      <c r="M52" s="20">
        <v>35.277900000000002</v>
      </c>
      <c r="N52" s="20">
        <v>649.35059999999999</v>
      </c>
      <c r="O52" s="20">
        <f t="shared" si="1"/>
        <v>29.008137500000004</v>
      </c>
      <c r="P52" s="7"/>
      <c r="Q52" s="13"/>
      <c r="R52" s="14"/>
      <c r="S52" s="14"/>
      <c r="T52" s="27"/>
      <c r="U52" s="28">
        <f t="shared" si="2"/>
        <v>0.59090896999999987</v>
      </c>
    </row>
    <row r="53" spans="1:21" x14ac:dyDescent="0.25">
      <c r="A53" s="6" t="s">
        <v>41</v>
      </c>
      <c r="B53" s="6" t="s">
        <v>57</v>
      </c>
      <c r="C53" s="15">
        <v>576.86328125</v>
      </c>
      <c r="D53" s="16">
        <v>34.4801</v>
      </c>
      <c r="E53" s="16">
        <v>39.499899999999997</v>
      </c>
      <c r="F53" s="16">
        <v>38.0627</v>
      </c>
      <c r="G53" s="16">
        <v>588.23529411764707</v>
      </c>
      <c r="H53" s="16">
        <f t="shared" si="0"/>
        <v>35.555399999999999</v>
      </c>
      <c r="I53" s="5"/>
      <c r="J53" s="15">
        <v>601.59839999999997</v>
      </c>
      <c r="K53" s="16">
        <v>33.935299999999998</v>
      </c>
      <c r="L53" s="16">
        <v>39.349600000000002</v>
      </c>
      <c r="M53" s="16">
        <v>37.799399999999999</v>
      </c>
      <c r="N53" s="16">
        <v>1138.9521999999999</v>
      </c>
      <c r="O53" s="16">
        <f t="shared" si="1"/>
        <v>35.095100000000002</v>
      </c>
      <c r="P53" s="7"/>
      <c r="Q53" s="8">
        <f>bdrate(C53:C56,D53:D56,J53:J56,K53:K56)</f>
        <v>8.9396337859853237E-2</v>
      </c>
      <c r="R53" s="8">
        <f>bdrate(C53:C56,E53:E56,J53:J56,L53:L56)</f>
        <v>2.9661016370918336E-2</v>
      </c>
      <c r="S53" s="8">
        <f>bdrate(C53:C56,F53:F56,J53:J56,M53:M56)</f>
        <v>6.2810828631140181E-2</v>
      </c>
      <c r="T53" s="25">
        <f>bdrate(C53:C56,H53:H56,J53:J56,O53:O56)</f>
        <v>8.1753182251460998E-2</v>
      </c>
      <c r="U53" s="28">
        <f t="shared" si="2"/>
        <v>0.93621873999999983</v>
      </c>
    </row>
    <row r="54" spans="1:21" x14ac:dyDescent="0.25">
      <c r="A54" s="9" t="s">
        <v>42</v>
      </c>
      <c r="B54" s="9"/>
      <c r="C54" s="17">
        <v>394.443359375</v>
      </c>
      <c r="D54" s="18">
        <v>32.641500000000001</v>
      </c>
      <c r="E54" s="18">
        <v>38.3703</v>
      </c>
      <c r="F54" s="18">
        <v>36.839500000000001</v>
      </c>
      <c r="G54" s="18">
        <v>683.99452804377563</v>
      </c>
      <c r="H54" s="18">
        <f t="shared" si="0"/>
        <v>33.882349999999995</v>
      </c>
      <c r="I54" s="5"/>
      <c r="J54" s="17">
        <v>401.97280000000001</v>
      </c>
      <c r="K54" s="18">
        <v>32.164200000000001</v>
      </c>
      <c r="L54" s="18">
        <v>38.250700000000002</v>
      </c>
      <c r="M54" s="18">
        <v>36.555599999999998</v>
      </c>
      <c r="N54" s="18">
        <v>1282.0513000000001</v>
      </c>
      <c r="O54" s="18">
        <f t="shared" si="1"/>
        <v>33.473937500000005</v>
      </c>
      <c r="P54" s="7"/>
      <c r="Q54" s="10"/>
      <c r="R54" s="11"/>
      <c r="S54" s="11"/>
      <c r="T54" s="26"/>
      <c r="U54" s="28">
        <f t="shared" si="2"/>
        <v>0.87435900060000016</v>
      </c>
    </row>
    <row r="55" spans="1:21" x14ac:dyDescent="0.25">
      <c r="B55" s="9"/>
      <c r="C55" s="17">
        <v>248.203125</v>
      </c>
      <c r="D55" s="18">
        <v>30.513000000000002</v>
      </c>
      <c r="E55" s="18">
        <v>37.202100000000002</v>
      </c>
      <c r="F55" s="18">
        <v>35.494399999999999</v>
      </c>
      <c r="G55" s="18">
        <v>825.08250825082507</v>
      </c>
      <c r="H55" s="18">
        <f t="shared" si="0"/>
        <v>31.971812499999999</v>
      </c>
      <c r="I55" s="5"/>
      <c r="J55" s="17">
        <v>251.66079999999999</v>
      </c>
      <c r="K55" s="18">
        <v>30.253399999999999</v>
      </c>
      <c r="L55" s="18">
        <v>37.202599999999997</v>
      </c>
      <c r="M55" s="18">
        <v>35.377499999999998</v>
      </c>
      <c r="N55" s="18">
        <v>1510.5740000000001</v>
      </c>
      <c r="O55" s="18">
        <f t="shared" si="1"/>
        <v>31.762562499999998</v>
      </c>
      <c r="P55" s="7"/>
      <c r="Q55" s="10"/>
      <c r="R55" s="11"/>
      <c r="S55" s="11"/>
      <c r="T55" s="26"/>
      <c r="U55" s="28">
        <f t="shared" si="2"/>
        <v>0.83081568800000016</v>
      </c>
    </row>
    <row r="56" spans="1:21" ht="16.5" thickBot="1" x14ac:dyDescent="0.3">
      <c r="B56" s="12"/>
      <c r="C56" s="19">
        <v>120.03515625</v>
      </c>
      <c r="D56" s="20">
        <v>27.503900000000002</v>
      </c>
      <c r="E56" s="20">
        <v>35.559899999999999</v>
      </c>
      <c r="F56" s="20">
        <v>33.322699999999998</v>
      </c>
      <c r="G56" s="20">
        <v>1072.9613733905578</v>
      </c>
      <c r="H56" s="20">
        <f t="shared" si="0"/>
        <v>29.238250000000001</v>
      </c>
      <c r="I56" s="5"/>
      <c r="J56" s="19">
        <v>121.16160000000001</v>
      </c>
      <c r="K56" s="20">
        <v>27.4726</v>
      </c>
      <c r="L56" s="20">
        <v>35.646900000000002</v>
      </c>
      <c r="M56" s="20">
        <v>33.476199999999999</v>
      </c>
      <c r="N56" s="20">
        <v>2066.1156999999998</v>
      </c>
      <c r="O56" s="20">
        <f t="shared" si="1"/>
        <v>29.244837500000003</v>
      </c>
      <c r="P56" s="7"/>
      <c r="Q56" s="13"/>
      <c r="R56" s="14"/>
      <c r="S56" s="14"/>
      <c r="T56" s="27"/>
      <c r="U56" s="28">
        <f t="shared" si="2"/>
        <v>0.92561983240000012</v>
      </c>
    </row>
    <row r="57" spans="1:21" x14ac:dyDescent="0.25">
      <c r="B57" s="6" t="s">
        <v>58</v>
      </c>
      <c r="C57" s="15">
        <v>575.205078125</v>
      </c>
      <c r="D57" s="16">
        <v>33.565899999999999</v>
      </c>
      <c r="E57" s="16">
        <v>40.760599999999997</v>
      </c>
      <c r="F57" s="16">
        <v>41.595199999999998</v>
      </c>
      <c r="G57" s="16">
        <v>555.55555555555554</v>
      </c>
      <c r="H57" s="16">
        <f t="shared" si="0"/>
        <v>35.468899999999998</v>
      </c>
      <c r="I57" s="5"/>
      <c r="J57" s="15">
        <v>599.40480000000002</v>
      </c>
      <c r="K57" s="16">
        <v>33.214300000000001</v>
      </c>
      <c r="L57" s="16">
        <v>41.178600000000003</v>
      </c>
      <c r="M57" s="16">
        <v>41.960900000000002</v>
      </c>
      <c r="N57" s="16">
        <v>1287.5536</v>
      </c>
      <c r="O57" s="16">
        <f t="shared" si="1"/>
        <v>35.303162499999999</v>
      </c>
      <c r="P57" s="7"/>
      <c r="Q57" s="8">
        <f>bdrate(C57:C60,D57:D60,J57:J60,K57:K60)</f>
        <v>4.3094742936192532E-2</v>
      </c>
      <c r="R57" s="8">
        <f>bdrate(C57:C60,E57:E60,J57:J60,L57:L60)</f>
        <v>-0.10979878334344817</v>
      </c>
      <c r="S57" s="8">
        <f>bdrate(C57:C60,F57:F60,J57:J60,M57:M60)</f>
        <v>-3.4733848658906719E-2</v>
      </c>
      <c r="T57" s="25">
        <f>bdrate(C57:C60,H57:H60,J57:J60,O57:O60)</f>
        <v>2.5497053031340089E-2</v>
      </c>
      <c r="U57" s="28">
        <f t="shared" si="2"/>
        <v>1.31759648</v>
      </c>
    </row>
    <row r="58" spans="1:21" x14ac:dyDescent="0.25">
      <c r="B58" s="9"/>
      <c r="C58" s="17">
        <v>383.29296875</v>
      </c>
      <c r="D58" s="18">
        <v>32.137999999999998</v>
      </c>
      <c r="E58" s="18">
        <v>39.9544</v>
      </c>
      <c r="F58" s="18">
        <v>40.748100000000001</v>
      </c>
      <c r="G58" s="18">
        <v>632.2444678609063</v>
      </c>
      <c r="H58" s="18">
        <f t="shared" si="0"/>
        <v>34.191312499999995</v>
      </c>
      <c r="I58" s="5"/>
      <c r="J58" s="17">
        <v>399.56560000000002</v>
      </c>
      <c r="K58" s="18">
        <v>31.9132</v>
      </c>
      <c r="L58" s="18">
        <v>40.315600000000003</v>
      </c>
      <c r="M58" s="18">
        <v>41.062199999999997</v>
      </c>
      <c r="N58" s="18">
        <v>1546.3918000000001</v>
      </c>
      <c r="O58" s="18">
        <f t="shared" si="1"/>
        <v>34.107125000000003</v>
      </c>
      <c r="P58" s="7"/>
      <c r="Q58" s="10"/>
      <c r="R58" s="11"/>
      <c r="S58" s="11"/>
      <c r="T58" s="26"/>
      <c r="U58" s="28">
        <f t="shared" si="2"/>
        <v>1.4458763636666665</v>
      </c>
    </row>
    <row r="59" spans="1:21" x14ac:dyDescent="0.25">
      <c r="B59" s="9"/>
      <c r="C59" s="17">
        <v>239.17578125</v>
      </c>
      <c r="D59" s="18">
        <v>30.3567</v>
      </c>
      <c r="E59" s="18">
        <v>39.040999999999997</v>
      </c>
      <c r="F59" s="18">
        <v>39.828699999999998</v>
      </c>
      <c r="G59" s="18">
        <v>684.15051311288482</v>
      </c>
      <c r="H59" s="18">
        <f t="shared" si="0"/>
        <v>32.626237500000002</v>
      </c>
      <c r="I59" s="5"/>
      <c r="J59" s="17">
        <v>249.0864</v>
      </c>
      <c r="K59" s="18">
        <v>30.3626</v>
      </c>
      <c r="L59" s="18">
        <v>39.355400000000003</v>
      </c>
      <c r="M59" s="18">
        <v>39.9587</v>
      </c>
      <c r="N59" s="18">
        <v>1875</v>
      </c>
      <c r="O59" s="18">
        <f t="shared" si="1"/>
        <v>32.686212500000003</v>
      </c>
      <c r="P59" s="7"/>
      <c r="Q59" s="10"/>
      <c r="R59" s="11"/>
      <c r="S59" s="11"/>
      <c r="T59" s="26"/>
      <c r="U59" s="28">
        <f t="shared" si="2"/>
        <v>1.7406250000000003</v>
      </c>
    </row>
    <row r="60" spans="1:21" ht="16.5" thickBot="1" x14ac:dyDescent="0.3">
      <c r="B60" s="12"/>
      <c r="C60" s="19">
        <v>114.9755859375</v>
      </c>
      <c r="D60" s="20">
        <v>27.282399999999999</v>
      </c>
      <c r="E60" s="20">
        <v>38.140900000000002</v>
      </c>
      <c r="F60" s="20">
        <v>38.807200000000002</v>
      </c>
      <c r="G60" s="20">
        <v>843.88185654008441</v>
      </c>
      <c r="H60" s="20">
        <f t="shared" si="0"/>
        <v>30.080312500000002</v>
      </c>
      <c r="I60" s="5"/>
      <c r="J60" s="19">
        <v>119.584</v>
      </c>
      <c r="K60" s="20">
        <v>27.790299999999998</v>
      </c>
      <c r="L60" s="20">
        <v>38.160699999999999</v>
      </c>
      <c r="M60" s="20">
        <v>38.639600000000002</v>
      </c>
      <c r="N60" s="20">
        <v>2586.2069000000001</v>
      </c>
      <c r="O60" s="20">
        <f t="shared" si="1"/>
        <v>30.442762499999997</v>
      </c>
      <c r="P60" s="7"/>
      <c r="Q60" s="13"/>
      <c r="R60" s="14"/>
      <c r="S60" s="14"/>
      <c r="T60" s="27"/>
      <c r="U60" s="28">
        <f t="shared" si="2"/>
        <v>2.0646551765000001</v>
      </c>
    </row>
    <row r="61" spans="1:21" x14ac:dyDescent="0.25">
      <c r="B61" s="6" t="s">
        <v>59</v>
      </c>
      <c r="C61" s="29">
        <v>594.4072265625</v>
      </c>
      <c r="D61" s="30">
        <v>33.198900000000002</v>
      </c>
      <c r="E61" s="30">
        <v>37.646299999999997</v>
      </c>
      <c r="F61" s="30">
        <v>38.326900000000002</v>
      </c>
      <c r="G61" s="16">
        <v>349.40600978336823</v>
      </c>
      <c r="H61" s="16">
        <f t="shared" si="0"/>
        <v>34.395825000000002</v>
      </c>
      <c r="I61" s="5"/>
      <c r="J61" s="29">
        <v>635.80079999999998</v>
      </c>
      <c r="K61" s="30">
        <v>32.753599999999999</v>
      </c>
      <c r="L61" s="30">
        <v>37.839500000000001</v>
      </c>
      <c r="M61" s="30">
        <v>38.628399999999999</v>
      </c>
      <c r="N61" s="16">
        <v>1170.9602</v>
      </c>
      <c r="O61" s="16">
        <f t="shared" si="1"/>
        <v>34.123687499999996</v>
      </c>
      <c r="P61" s="7"/>
      <c r="Q61" s="8">
        <f>bdrate(C61:C64,D61:D64,J61:J64,K61:K64)</f>
        <v>7.2503140801435162E-2</v>
      </c>
      <c r="R61" s="8">
        <f>bdrate(C61:C64,E61:E64,J61:J64,L61:L64)</f>
        <v>-4.3360787303558967E-2</v>
      </c>
      <c r="S61" s="8">
        <f>bdrate(C61:C64,F61:F64,J61:J64,M61:M64)</f>
        <v>-7.3307883753407133E-2</v>
      </c>
      <c r="T61" s="25">
        <f>bdrate(C61:C64,H61:H64,J61:J64,O61:O64)</f>
        <v>5.0062034821792611E-2</v>
      </c>
      <c r="U61" s="28">
        <f t="shared" si="2"/>
        <v>2.3512880924000004</v>
      </c>
    </row>
    <row r="62" spans="1:21" x14ac:dyDescent="0.25">
      <c r="B62" s="9"/>
      <c r="C62" s="31">
        <v>399.44140625</v>
      </c>
      <c r="D62" s="32">
        <v>31.483599999999999</v>
      </c>
      <c r="E62" s="32">
        <v>36.6357</v>
      </c>
      <c r="F62" s="32">
        <v>37.283299999999997</v>
      </c>
      <c r="G62" s="18">
        <v>397.45627980922097</v>
      </c>
      <c r="H62" s="18">
        <f t="shared" si="0"/>
        <v>32.852575000000002</v>
      </c>
      <c r="I62" s="5"/>
      <c r="J62" s="31">
        <v>426.36079999999998</v>
      </c>
      <c r="K62" s="32">
        <v>31.2456</v>
      </c>
      <c r="L62" s="32">
        <v>36.8917</v>
      </c>
      <c r="M62" s="32">
        <v>37.616500000000002</v>
      </c>
      <c r="N62" s="18">
        <v>1347.7089000000001</v>
      </c>
      <c r="O62" s="18">
        <f t="shared" si="1"/>
        <v>32.747725000000003</v>
      </c>
      <c r="P62" s="7"/>
      <c r="Q62" s="10"/>
      <c r="R62" s="11"/>
      <c r="S62" s="11"/>
      <c r="T62" s="26"/>
      <c r="U62" s="28">
        <f t="shared" si="2"/>
        <v>2.3908355924000002</v>
      </c>
    </row>
    <row r="63" spans="1:21" x14ac:dyDescent="0.25">
      <c r="B63" s="9"/>
      <c r="C63" s="31">
        <v>250.3994140625</v>
      </c>
      <c r="D63" s="32">
        <v>29.625499999999999</v>
      </c>
      <c r="E63" s="32">
        <v>35.511699999999998</v>
      </c>
      <c r="F63" s="32">
        <v>36.165700000000001</v>
      </c>
      <c r="G63" s="18">
        <v>517.59834368530028</v>
      </c>
      <c r="H63" s="18">
        <f t="shared" si="0"/>
        <v>31.178799999999995</v>
      </c>
      <c r="I63" s="5"/>
      <c r="J63" s="31">
        <v>265.79680000000002</v>
      </c>
      <c r="K63" s="32">
        <v>29.634</v>
      </c>
      <c r="L63" s="32">
        <v>35.757300000000001</v>
      </c>
      <c r="M63" s="32">
        <v>36.481000000000002</v>
      </c>
      <c r="N63" s="18">
        <v>1683.5017</v>
      </c>
      <c r="O63" s="18">
        <f t="shared" si="1"/>
        <v>31.255287500000001</v>
      </c>
      <c r="P63" s="7"/>
      <c r="Q63" s="10"/>
      <c r="R63" s="11"/>
      <c r="S63" s="11"/>
      <c r="T63" s="26"/>
      <c r="U63" s="28">
        <f t="shared" si="2"/>
        <v>2.2525252843999994</v>
      </c>
    </row>
    <row r="64" spans="1:21" ht="16.5" thickBot="1" x14ac:dyDescent="0.3">
      <c r="B64" s="12"/>
      <c r="C64" s="33">
        <v>120.2216796875</v>
      </c>
      <c r="D64" s="34">
        <v>26.921900000000001</v>
      </c>
      <c r="E64" s="34">
        <v>34.068100000000001</v>
      </c>
      <c r="F64" s="34">
        <v>34.6813</v>
      </c>
      <c r="G64" s="20">
        <v>718.39080459770116</v>
      </c>
      <c r="H64" s="20">
        <f t="shared" si="0"/>
        <v>28.785100000000003</v>
      </c>
      <c r="I64" s="5"/>
      <c r="J64" s="33">
        <v>126.7432</v>
      </c>
      <c r="K64" s="34">
        <v>27.270299999999999</v>
      </c>
      <c r="L64" s="34">
        <v>34.261000000000003</v>
      </c>
      <c r="M64" s="34">
        <v>34.957999999999998</v>
      </c>
      <c r="N64" s="20">
        <v>2415.4589000000001</v>
      </c>
      <c r="O64" s="20">
        <f t="shared" si="1"/>
        <v>29.1051</v>
      </c>
      <c r="P64" s="7"/>
      <c r="Q64" s="13"/>
      <c r="R64" s="14"/>
      <c r="S64" s="14"/>
      <c r="T64" s="27"/>
      <c r="U64" s="28">
        <f t="shared" si="2"/>
        <v>2.3623187888000001</v>
      </c>
    </row>
    <row r="65" spans="1:21" x14ac:dyDescent="0.25">
      <c r="B65" s="6" t="s">
        <v>60</v>
      </c>
      <c r="C65" s="15">
        <v>574.19921875</v>
      </c>
      <c r="D65" s="16">
        <v>34.341500000000003</v>
      </c>
      <c r="E65" s="16">
        <v>37.766100000000002</v>
      </c>
      <c r="F65" s="16">
        <v>38.832099999999997</v>
      </c>
      <c r="G65" s="16">
        <v>258.39793281653743</v>
      </c>
      <c r="H65" s="16">
        <f t="shared" si="0"/>
        <v>35.3309</v>
      </c>
      <c r="I65" s="5"/>
      <c r="J65" s="15">
        <v>602.34720000000004</v>
      </c>
      <c r="K65" s="16">
        <v>33.324399999999997</v>
      </c>
      <c r="L65" s="16">
        <v>37.354599999999998</v>
      </c>
      <c r="M65" s="16">
        <v>38.423900000000003</v>
      </c>
      <c r="N65" s="16">
        <v>859.59889999999996</v>
      </c>
      <c r="O65" s="16">
        <f t="shared" si="1"/>
        <v>34.465612499999999</v>
      </c>
      <c r="P65" s="7"/>
      <c r="Q65" s="8">
        <f>bdrate(C65:C68,D65:D68,J65:J68,K65:K68)</f>
        <v>0.20543869281818949</v>
      </c>
      <c r="R65" s="8">
        <f>bdrate(C65:C68,E65:E68,J65:J68,L65:L68)</f>
        <v>0.15458020475472978</v>
      </c>
      <c r="S65" s="8">
        <f>bdrate(C65:C68,F65:F68,J65:J68,M65:M68)</f>
        <v>0.14305256729933702</v>
      </c>
      <c r="T65" s="25">
        <f>bdrate(C65:C68,H65:H68,J65:J68,O65:O68)</f>
        <v>0.19573691897260481</v>
      </c>
      <c r="U65" s="28">
        <f t="shared" si="2"/>
        <v>2.3266477430000005</v>
      </c>
    </row>
    <row r="66" spans="1:21" x14ac:dyDescent="0.25">
      <c r="B66" s="9"/>
      <c r="C66" s="17">
        <v>385.6953125</v>
      </c>
      <c r="D66" s="18">
        <v>32.3596</v>
      </c>
      <c r="E66" s="18">
        <v>36.571199999999997</v>
      </c>
      <c r="F66" s="18">
        <v>37.637799999999999</v>
      </c>
      <c r="G66" s="18">
        <v>314.79538300104934</v>
      </c>
      <c r="H66" s="18">
        <f t="shared" si="0"/>
        <v>33.545825000000001</v>
      </c>
      <c r="I66" s="5"/>
      <c r="J66" s="17">
        <v>401.75279999999998</v>
      </c>
      <c r="K66" s="18">
        <v>31.538</v>
      </c>
      <c r="L66" s="18">
        <v>36.314700000000002</v>
      </c>
      <c r="M66" s="18">
        <v>37.3489</v>
      </c>
      <c r="N66" s="18">
        <v>943.39620000000002</v>
      </c>
      <c r="O66" s="18">
        <f t="shared" si="1"/>
        <v>32.861450000000005</v>
      </c>
      <c r="P66" s="7"/>
      <c r="Q66" s="10"/>
      <c r="R66" s="11"/>
      <c r="S66" s="11"/>
      <c r="T66" s="26"/>
      <c r="U66" s="28">
        <f t="shared" si="2"/>
        <v>1.9968552619999997</v>
      </c>
    </row>
    <row r="67" spans="1:21" x14ac:dyDescent="0.25">
      <c r="B67" s="9"/>
      <c r="C67" s="17">
        <v>243.861328125</v>
      </c>
      <c r="D67" s="18">
        <v>30.2883</v>
      </c>
      <c r="E67" s="18">
        <v>35.394500000000001</v>
      </c>
      <c r="F67" s="18">
        <v>36.410899999999998</v>
      </c>
      <c r="G67" s="18">
        <v>439.23865300146412</v>
      </c>
      <c r="H67" s="18">
        <f t="shared" si="0"/>
        <v>31.6919</v>
      </c>
      <c r="I67" s="5"/>
      <c r="J67" s="17">
        <v>250.72720000000001</v>
      </c>
      <c r="K67" s="18">
        <v>29.702100000000002</v>
      </c>
      <c r="L67" s="18">
        <v>35.0822</v>
      </c>
      <c r="M67" s="18">
        <v>36.134599999999999</v>
      </c>
      <c r="N67" s="18">
        <v>1107.0110999999999</v>
      </c>
      <c r="O67" s="18">
        <f t="shared" si="1"/>
        <v>31.178675000000002</v>
      </c>
      <c r="P67" s="7"/>
      <c r="Q67" s="10"/>
      <c r="R67" s="11"/>
      <c r="S67" s="11"/>
      <c r="T67" s="26"/>
      <c r="U67" s="28">
        <f t="shared" si="2"/>
        <v>1.5202952709999997</v>
      </c>
    </row>
    <row r="68" spans="1:21" ht="16.5" thickBot="1" x14ac:dyDescent="0.3">
      <c r="B68" s="12"/>
      <c r="C68" s="19">
        <v>120.19921875</v>
      </c>
      <c r="D68" s="20">
        <v>27.599499999999999</v>
      </c>
      <c r="E68" s="20">
        <v>33.801400000000001</v>
      </c>
      <c r="F68" s="20">
        <v>34.719000000000001</v>
      </c>
      <c r="G68" s="20">
        <v>694.44444444444446</v>
      </c>
      <c r="H68" s="20">
        <f t="shared" si="0"/>
        <v>29.264674999999997</v>
      </c>
      <c r="I68" s="5"/>
      <c r="J68" s="19">
        <v>120.98</v>
      </c>
      <c r="K68" s="20">
        <v>27.2822</v>
      </c>
      <c r="L68" s="20">
        <v>33.6479</v>
      </c>
      <c r="M68" s="20">
        <v>34.604100000000003</v>
      </c>
      <c r="N68" s="20">
        <v>1485.1485</v>
      </c>
      <c r="O68" s="20">
        <f t="shared" si="1"/>
        <v>28.99315</v>
      </c>
      <c r="P68" s="7"/>
      <c r="Q68" s="13"/>
      <c r="R68" s="14"/>
      <c r="S68" s="14"/>
      <c r="T68" s="27"/>
      <c r="U68" s="28">
        <f t="shared" si="2"/>
        <v>1.1386138399999999</v>
      </c>
    </row>
    <row r="69" spans="1:21" x14ac:dyDescent="0.25">
      <c r="A69" s="6" t="s">
        <v>43</v>
      </c>
      <c r="B69" s="6" t="s">
        <v>61</v>
      </c>
      <c r="C69" s="15">
        <v>1419.8583984375</v>
      </c>
      <c r="D69" s="16">
        <v>41.099200000000003</v>
      </c>
      <c r="E69" s="16">
        <v>45.161799999999999</v>
      </c>
      <c r="F69" s="16">
        <v>46.3384</v>
      </c>
      <c r="G69" s="16">
        <v>193.36126329358683</v>
      </c>
      <c r="H69" s="16">
        <f t="shared" si="0"/>
        <v>42.261925000000005</v>
      </c>
      <c r="I69" s="5"/>
      <c r="J69" s="15">
        <v>1497.4944</v>
      </c>
      <c r="K69" s="16">
        <v>41.135899999999999</v>
      </c>
      <c r="L69" s="16">
        <v>45.462899999999998</v>
      </c>
      <c r="M69" s="16">
        <v>46.6541</v>
      </c>
      <c r="N69" s="16">
        <v>381.92230000000001</v>
      </c>
      <c r="O69" s="16">
        <f t="shared" si="1"/>
        <v>42.366550000000004</v>
      </c>
      <c r="P69" s="7"/>
      <c r="Q69" s="8">
        <f>bdrate(C69:C72,D69:D72,J69:J72,K69:K72)</f>
        <v>-7.1317535265050247E-2</v>
      </c>
      <c r="R69" s="8">
        <f>bdrate(C69:C72,E69:E72,J69:J72,L69:L72)</f>
        <v>-0.12694987056536522</v>
      </c>
      <c r="S69" s="8">
        <f>bdrate(C69:C72,F69:F72,J69:J72,M69:M72)</f>
        <v>-0.12645141850077535</v>
      </c>
      <c r="T69" s="25">
        <f>bdrate(C69:C72,H69:H72,J69:J72,O69:O72)</f>
        <v>-8.1565792104451695E-2</v>
      </c>
      <c r="U69" s="28">
        <f t="shared" si="2"/>
        <v>0.9751748281666669</v>
      </c>
    </row>
    <row r="70" spans="1:21" x14ac:dyDescent="0.25">
      <c r="A70" s="9" t="s">
        <v>44</v>
      </c>
      <c r="B70" s="9"/>
      <c r="C70" s="17">
        <v>936.0751953125</v>
      </c>
      <c r="D70" s="18">
        <v>39.740600000000001</v>
      </c>
      <c r="E70" s="18">
        <v>44.003500000000003</v>
      </c>
      <c r="F70" s="18">
        <v>45.191200000000002</v>
      </c>
      <c r="G70" s="18">
        <v>299.25187032418955</v>
      </c>
      <c r="H70" s="18">
        <f t="shared" si="0"/>
        <v>40.954787499999995</v>
      </c>
      <c r="I70" s="5"/>
      <c r="J70" s="17">
        <v>983.08479999999997</v>
      </c>
      <c r="K70" s="18">
        <v>39.920099999999998</v>
      </c>
      <c r="L70" s="18">
        <v>44.4863</v>
      </c>
      <c r="M70" s="18">
        <v>45.661299999999997</v>
      </c>
      <c r="N70" s="18">
        <v>417.24619999999999</v>
      </c>
      <c r="O70" s="18">
        <f t="shared" si="1"/>
        <v>41.208524999999995</v>
      </c>
      <c r="P70" s="7"/>
      <c r="Q70" s="10"/>
      <c r="R70" s="11"/>
      <c r="S70" s="11"/>
      <c r="T70" s="26"/>
      <c r="U70" s="28">
        <f t="shared" si="2"/>
        <v>0.39429771833333316</v>
      </c>
    </row>
    <row r="71" spans="1:21" x14ac:dyDescent="0.25">
      <c r="B71" s="9"/>
      <c r="C71" s="17">
        <v>561.4296875</v>
      </c>
      <c r="D71" s="18">
        <v>37.498800000000003</v>
      </c>
      <c r="E71" s="18">
        <v>42.691299999999998</v>
      </c>
      <c r="F71" s="18">
        <v>43.767000000000003</v>
      </c>
      <c r="G71" s="18">
        <v>354.19126328217237</v>
      </c>
      <c r="H71" s="18">
        <f t="shared" si="0"/>
        <v>38.9313875</v>
      </c>
      <c r="I71" s="5"/>
      <c r="J71" s="17">
        <v>576.15200000000004</v>
      </c>
      <c r="K71" s="18">
        <v>38.015099999999997</v>
      </c>
      <c r="L71" s="18">
        <v>43.1511</v>
      </c>
      <c r="M71" s="18">
        <v>44.239800000000002</v>
      </c>
      <c r="N71" s="18">
        <v>487.80489999999998</v>
      </c>
      <c r="O71" s="18">
        <f t="shared" si="1"/>
        <v>39.435187499999998</v>
      </c>
      <c r="P71" s="7"/>
      <c r="Q71" s="10"/>
      <c r="R71" s="11"/>
      <c r="S71" s="11"/>
      <c r="T71" s="26"/>
      <c r="U71" s="28">
        <f t="shared" si="2"/>
        <v>0.37723583433333324</v>
      </c>
    </row>
    <row r="72" spans="1:21" ht="16.5" thickBot="1" x14ac:dyDescent="0.3">
      <c r="B72" s="12"/>
      <c r="C72" s="19">
        <v>282.4560546875</v>
      </c>
      <c r="D72" s="20">
        <v>33.774700000000003</v>
      </c>
      <c r="E72" s="20">
        <v>41.007199999999997</v>
      </c>
      <c r="F72" s="20">
        <v>41.8902</v>
      </c>
      <c r="G72" s="20">
        <v>409.55631399317406</v>
      </c>
      <c r="H72" s="20">
        <f t="shared" si="0"/>
        <v>35.693200000000004</v>
      </c>
      <c r="I72" s="5"/>
      <c r="J72" s="19">
        <v>282.03280000000001</v>
      </c>
      <c r="K72" s="20">
        <v>34.671500000000002</v>
      </c>
      <c r="L72" s="20">
        <v>41.247</v>
      </c>
      <c r="M72" s="20">
        <v>42.257899999999999</v>
      </c>
      <c r="N72" s="20">
        <v>655.73770000000002</v>
      </c>
      <c r="O72" s="20">
        <f t="shared" si="1"/>
        <v>36.441737500000002</v>
      </c>
      <c r="P72" s="7"/>
      <c r="Q72" s="13"/>
      <c r="R72" s="14"/>
      <c r="S72" s="14"/>
      <c r="T72" s="27"/>
      <c r="U72" s="28">
        <f t="shared" si="2"/>
        <v>0.60109288416666673</v>
      </c>
    </row>
    <row r="73" spans="1:21" x14ac:dyDescent="0.25">
      <c r="B73" s="6" t="s">
        <v>62</v>
      </c>
      <c r="C73" s="15">
        <v>1423.1220703125</v>
      </c>
      <c r="D73" s="16">
        <v>42.507800000000003</v>
      </c>
      <c r="E73" s="16">
        <v>47.160499999999999</v>
      </c>
      <c r="F73" s="16">
        <v>47.769199999999998</v>
      </c>
      <c r="G73" s="16">
        <v>194.99512512187195</v>
      </c>
      <c r="H73" s="16">
        <f t="shared" si="0"/>
        <v>43.747062500000006</v>
      </c>
      <c r="I73" s="5"/>
      <c r="J73" s="15">
        <v>1478.1288</v>
      </c>
      <c r="K73" s="16">
        <v>42.455399999999997</v>
      </c>
      <c r="L73" s="16">
        <v>47.577599999999997</v>
      </c>
      <c r="M73" s="16">
        <v>48.204799999999999</v>
      </c>
      <c r="N73" s="16">
        <v>490.9984</v>
      </c>
      <c r="O73" s="16">
        <f t="shared" si="1"/>
        <v>43.814349999999997</v>
      </c>
      <c r="P73" s="7"/>
      <c r="Q73" s="8">
        <f>bdrate(C73:C76,D73:D76,J73:J76,K73:K76)</f>
        <v>2.5247493106973939E-2</v>
      </c>
      <c r="R73" s="8">
        <f>bdrate(C73:C76,E73:E76,J73:J76,L73:L76)</f>
        <v>-0.19452390032199429</v>
      </c>
      <c r="S73" s="8">
        <f>bdrate(C73:C76,F73:F76,J73:J76,M73:M76)</f>
        <v>-0.21355459407520849</v>
      </c>
      <c r="T73" s="25">
        <f>bdrate(C73:C76,H73:H76,J73:J76,O73:O76)</f>
        <v>-3.5225630801644314E-2</v>
      </c>
      <c r="U73" s="28">
        <f t="shared" ref="U73:U124" si="3">(N73-G73)/G73</f>
        <v>1.5180034613333335</v>
      </c>
    </row>
    <row r="74" spans="1:21" x14ac:dyDescent="0.25">
      <c r="B74" s="9"/>
      <c r="C74" s="17">
        <v>950.8447265625</v>
      </c>
      <c r="D74" s="18">
        <v>41.957000000000001</v>
      </c>
      <c r="E74" s="18">
        <v>46.612499999999997</v>
      </c>
      <c r="F74" s="18">
        <v>47.146999999999998</v>
      </c>
      <c r="G74" s="18">
        <v>275.1031636863824</v>
      </c>
      <c r="H74" s="18">
        <f t="shared" si="0"/>
        <v>43.187687500000003</v>
      </c>
      <c r="I74" s="5"/>
      <c r="J74" s="17">
        <v>969.17600000000004</v>
      </c>
      <c r="K74" s="18">
        <v>41.896799999999999</v>
      </c>
      <c r="L74" s="18">
        <v>47.068300000000001</v>
      </c>
      <c r="M74" s="18">
        <v>47.6691</v>
      </c>
      <c r="N74" s="18">
        <v>545.95090000000005</v>
      </c>
      <c r="O74" s="18">
        <f t="shared" si="1"/>
        <v>43.264775</v>
      </c>
      <c r="P74" s="7"/>
      <c r="Q74" s="10"/>
      <c r="R74" s="11"/>
      <c r="S74" s="11"/>
      <c r="T74" s="26"/>
      <c r="U74" s="28">
        <f t="shared" si="3"/>
        <v>0.98453152150000012</v>
      </c>
    </row>
    <row r="75" spans="1:21" x14ac:dyDescent="0.25">
      <c r="B75" s="9"/>
      <c r="C75" s="17">
        <v>573.9287109375</v>
      </c>
      <c r="D75" s="18">
        <v>41.058500000000002</v>
      </c>
      <c r="E75" s="18">
        <v>45.721899999999998</v>
      </c>
      <c r="F75" s="18">
        <v>46.278799999999997</v>
      </c>
      <c r="G75" s="18">
        <v>304.72320975114269</v>
      </c>
      <c r="H75" s="18">
        <f t="shared" si="0"/>
        <v>42.293962499999999</v>
      </c>
      <c r="I75" s="5"/>
      <c r="J75" s="17">
        <v>575.71759999999995</v>
      </c>
      <c r="K75" s="18">
        <v>40.973500000000001</v>
      </c>
      <c r="L75" s="18">
        <v>46.167000000000002</v>
      </c>
      <c r="M75" s="18">
        <v>46.758800000000001</v>
      </c>
      <c r="N75" s="18">
        <v>609.13710000000003</v>
      </c>
      <c r="O75" s="18">
        <f t="shared" si="1"/>
        <v>42.345850000000006</v>
      </c>
      <c r="P75" s="7"/>
      <c r="Q75" s="10"/>
      <c r="R75" s="11"/>
      <c r="S75" s="11"/>
      <c r="T75" s="26"/>
      <c r="U75" s="28">
        <f t="shared" si="3"/>
        <v>0.99898491650000021</v>
      </c>
    </row>
    <row r="76" spans="1:21" ht="16.5" thickBot="1" x14ac:dyDescent="0.3">
      <c r="B76" s="12"/>
      <c r="C76" s="19">
        <v>287.96875</v>
      </c>
      <c r="D76" s="20">
        <v>38.976900000000001</v>
      </c>
      <c r="E76" s="20">
        <v>44.133000000000003</v>
      </c>
      <c r="F76" s="20">
        <v>44.405900000000003</v>
      </c>
      <c r="G76" s="20">
        <v>388.09831824062093</v>
      </c>
      <c r="H76" s="20">
        <f t="shared" si="0"/>
        <v>40.300037500000002</v>
      </c>
      <c r="I76" s="5"/>
      <c r="J76" s="19">
        <v>278.86160000000001</v>
      </c>
      <c r="K76" s="20">
        <v>39.085299999999997</v>
      </c>
      <c r="L76" s="20">
        <v>44.392499999999998</v>
      </c>
      <c r="M76" s="20">
        <v>44.911900000000003</v>
      </c>
      <c r="N76" s="20">
        <v>721.15380000000005</v>
      </c>
      <c r="O76" s="20">
        <f t="shared" si="1"/>
        <v>40.477024999999998</v>
      </c>
      <c r="P76" s="7"/>
      <c r="Q76" s="13"/>
      <c r="R76" s="14"/>
      <c r="S76" s="14"/>
      <c r="T76" s="27"/>
      <c r="U76" s="28">
        <f t="shared" si="3"/>
        <v>0.85817295800000026</v>
      </c>
    </row>
    <row r="77" spans="1:21" x14ac:dyDescent="0.25">
      <c r="B77" s="6" t="s">
        <v>63</v>
      </c>
      <c r="C77" s="15">
        <v>1440.6064453125</v>
      </c>
      <c r="D77" s="16">
        <v>42.221699999999998</v>
      </c>
      <c r="E77" s="16">
        <v>46.094499999999996</v>
      </c>
      <c r="F77" s="16">
        <v>46.9343</v>
      </c>
      <c r="G77" s="16">
        <v>191.69329073482427</v>
      </c>
      <c r="H77" s="16">
        <f t="shared" si="0"/>
        <v>43.294874999999998</v>
      </c>
      <c r="I77" s="5"/>
      <c r="J77" s="15">
        <v>1529.3807999999999</v>
      </c>
      <c r="K77" s="16">
        <v>42.342399999999998</v>
      </c>
      <c r="L77" s="16">
        <v>46.6509</v>
      </c>
      <c r="M77" s="16">
        <v>47.531500000000001</v>
      </c>
      <c r="N77" s="16">
        <v>398.40640000000002</v>
      </c>
      <c r="O77" s="16">
        <f t="shared" si="1"/>
        <v>43.529599999999995</v>
      </c>
      <c r="P77" s="7"/>
      <c r="Q77" s="8">
        <f>bdrate(C77:C80,D77:D80,J77:J80,K77:K80)</f>
        <v>-6.6824218806901814E-2</v>
      </c>
      <c r="R77" s="8">
        <f>bdrate(C77:C80,E77:E80,J77:J80,L77:L80)</f>
        <v>-0.21209757288603914</v>
      </c>
      <c r="S77" s="8">
        <f>bdrate(C77:C80,F77:F80,J77:J80,M77:M80)</f>
        <v>-0.2222217263983014</v>
      </c>
      <c r="T77" s="25">
        <f>bdrate(C77:C80,H77:H80,J77:J80,O77:O80)</f>
        <v>-0.10111924032490494</v>
      </c>
      <c r="U77" s="28">
        <f t="shared" si="3"/>
        <v>1.0783533866666668</v>
      </c>
    </row>
    <row r="78" spans="1:21" x14ac:dyDescent="0.25">
      <c r="B78" s="9"/>
      <c r="C78" s="17">
        <v>964.6123046875</v>
      </c>
      <c r="D78" s="18">
        <v>41.340499999999999</v>
      </c>
      <c r="E78" s="18">
        <v>45.2697</v>
      </c>
      <c r="F78" s="18">
        <v>46.075099999999999</v>
      </c>
      <c r="G78" s="18">
        <v>278.68091035764047</v>
      </c>
      <c r="H78" s="18">
        <f t="shared" si="0"/>
        <v>42.423475000000003</v>
      </c>
      <c r="I78" s="5"/>
      <c r="J78" s="17">
        <v>1005.2551999999999</v>
      </c>
      <c r="K78" s="18">
        <v>41.497900000000001</v>
      </c>
      <c r="L78" s="18">
        <v>45.909100000000002</v>
      </c>
      <c r="M78" s="18">
        <v>46.7485</v>
      </c>
      <c r="N78" s="18">
        <v>445.76519999999999</v>
      </c>
      <c r="O78" s="18">
        <f t="shared" si="1"/>
        <v>42.705624999999998</v>
      </c>
      <c r="P78" s="7"/>
      <c r="Q78" s="10"/>
      <c r="R78" s="11"/>
      <c r="S78" s="11"/>
      <c r="T78" s="26"/>
      <c r="U78" s="28">
        <f t="shared" si="3"/>
        <v>0.59955412600000013</v>
      </c>
    </row>
    <row r="79" spans="1:21" x14ac:dyDescent="0.25">
      <c r="B79" s="9"/>
      <c r="C79" s="17">
        <v>583.0009765625</v>
      </c>
      <c r="D79" s="18">
        <v>39.774500000000003</v>
      </c>
      <c r="E79" s="18">
        <v>43.991</v>
      </c>
      <c r="F79" s="18">
        <v>44.681899999999999</v>
      </c>
      <c r="G79" s="18">
        <v>314.13612565445027</v>
      </c>
      <c r="H79" s="18">
        <f t="shared" si="0"/>
        <v>40.914987500000002</v>
      </c>
      <c r="I79" s="5"/>
      <c r="J79" s="17">
        <v>600.66319999999996</v>
      </c>
      <c r="K79" s="18">
        <v>40.113799999999998</v>
      </c>
      <c r="L79" s="18">
        <v>44.730800000000002</v>
      </c>
      <c r="M79" s="18">
        <v>45.502600000000001</v>
      </c>
      <c r="N79" s="18">
        <v>514.13879999999995</v>
      </c>
      <c r="O79" s="18">
        <f t="shared" si="1"/>
        <v>41.364525</v>
      </c>
      <c r="P79" s="7"/>
      <c r="Q79" s="10"/>
      <c r="R79" s="11"/>
      <c r="S79" s="11"/>
      <c r="T79" s="26"/>
      <c r="U79" s="28">
        <f t="shared" si="3"/>
        <v>0.63667517999999979</v>
      </c>
    </row>
    <row r="80" spans="1:21" ht="16.5" thickBot="1" x14ac:dyDescent="0.3">
      <c r="B80" s="12"/>
      <c r="C80" s="19">
        <v>294.5234375</v>
      </c>
      <c r="D80" s="20">
        <v>36.710799999999999</v>
      </c>
      <c r="E80" s="20">
        <v>42.1098</v>
      </c>
      <c r="F80" s="20">
        <v>43.0047</v>
      </c>
      <c r="G80" s="20">
        <v>385.35645472061657</v>
      </c>
      <c r="H80" s="20">
        <f t="shared" si="0"/>
        <v>38.1724125</v>
      </c>
      <c r="I80" s="5"/>
      <c r="J80" s="19">
        <v>295.53440000000001</v>
      </c>
      <c r="K80" s="20">
        <v>37.3508</v>
      </c>
      <c r="L80" s="20">
        <v>42.604599999999998</v>
      </c>
      <c r="M80" s="20">
        <v>43.425600000000003</v>
      </c>
      <c r="N80" s="20">
        <v>634.92060000000004</v>
      </c>
      <c r="O80" s="20">
        <f t="shared" si="1"/>
        <v>38.766874999999999</v>
      </c>
      <c r="P80" s="7"/>
      <c r="Q80" s="13"/>
      <c r="R80" s="14"/>
      <c r="S80" s="14"/>
      <c r="T80" s="27"/>
      <c r="U80" s="28">
        <f t="shared" si="3"/>
        <v>0.64761895700000005</v>
      </c>
    </row>
    <row r="81" spans="1:21" x14ac:dyDescent="0.25">
      <c r="A81" s="6" t="s">
        <v>102</v>
      </c>
      <c r="B81" s="6" t="s">
        <v>103</v>
      </c>
      <c r="C81" s="15">
        <v>1476.3330078125</v>
      </c>
      <c r="D81" s="16">
        <v>36.355800000000002</v>
      </c>
      <c r="E81" s="16">
        <v>42.019399999999997</v>
      </c>
      <c r="F81" s="16">
        <v>42.573099999999997</v>
      </c>
      <c r="G81" s="16">
        <v>147.58937356510333</v>
      </c>
      <c r="H81" s="16">
        <f t="shared" ref="H81:H124" si="4">(6*D81+E81+F81)/8</f>
        <v>37.840912500000002</v>
      </c>
      <c r="I81" s="5"/>
      <c r="J81" s="15">
        <v>1512.9376</v>
      </c>
      <c r="K81" s="16">
        <v>35.358199999999997</v>
      </c>
      <c r="L81" s="16">
        <v>41.3431</v>
      </c>
      <c r="M81" s="16">
        <v>41.980499999999999</v>
      </c>
      <c r="N81" s="16">
        <v>233.9485</v>
      </c>
      <c r="O81" s="16">
        <f t="shared" ref="O81:O124" si="5">(6*K81+L81+M81)/8</f>
        <v>36.934099999999994</v>
      </c>
      <c r="P81" s="7"/>
      <c r="Q81" s="8">
        <f>bdrate(C81:C84,D81:D84,J81:J84,K81:K84)</f>
        <v>0.16858925606703856</v>
      </c>
      <c r="R81" s="8">
        <f>bdrate(C81:C84,E81:E84,J81:J84,L81:L84)</f>
        <v>0.1706838854130992</v>
      </c>
      <c r="S81" s="8">
        <f>bdrate(C81:C84,F81:F84,J81:J84,M81:M84)</f>
        <v>0.12849791148548007</v>
      </c>
      <c r="T81" s="25">
        <f>bdrate(C81:C84,H81:H84,J81:J84,O81:O84)</f>
        <v>0.16539455733158315</v>
      </c>
      <c r="U81" s="28">
        <f t="shared" si="3"/>
        <v>0.58513105888888872</v>
      </c>
    </row>
    <row r="82" spans="1:21" x14ac:dyDescent="0.25">
      <c r="A82" s="9" t="s">
        <v>78</v>
      </c>
      <c r="B82" s="9"/>
      <c r="C82" s="17">
        <v>985.09765625</v>
      </c>
      <c r="D82" s="18">
        <v>34.304200000000002</v>
      </c>
      <c r="E82" s="18">
        <v>40.718400000000003</v>
      </c>
      <c r="F82" s="18">
        <v>41.259599999999999</v>
      </c>
      <c r="G82" s="18">
        <v>191.53011278995533</v>
      </c>
      <c r="H82" s="18">
        <f t="shared" si="4"/>
        <v>35.9754</v>
      </c>
      <c r="I82" s="5"/>
      <c r="J82" s="17">
        <v>1007.1472</v>
      </c>
      <c r="K82" s="18">
        <v>33.5398</v>
      </c>
      <c r="L82" s="18">
        <v>40.225999999999999</v>
      </c>
      <c r="M82" s="18">
        <v>40.880099999999999</v>
      </c>
      <c r="N82" s="18">
        <v>265.40839999999997</v>
      </c>
      <c r="O82" s="18">
        <f t="shared" si="5"/>
        <v>35.293112499999999</v>
      </c>
      <c r="P82" s="7"/>
      <c r="Q82" s="10"/>
      <c r="R82" s="11"/>
      <c r="S82" s="11"/>
      <c r="T82" s="26"/>
      <c r="U82" s="28">
        <f t="shared" si="3"/>
        <v>0.38572674622222197</v>
      </c>
    </row>
    <row r="83" spans="1:21" x14ac:dyDescent="0.25">
      <c r="B83" s="9"/>
      <c r="C83" s="17">
        <v>591.2626953125</v>
      </c>
      <c r="D83" s="18">
        <v>31.789100000000001</v>
      </c>
      <c r="E83" s="18">
        <v>39.226399999999998</v>
      </c>
      <c r="F83" s="18">
        <v>39.767499999999998</v>
      </c>
      <c r="G83" s="18">
        <v>239.1708743024183</v>
      </c>
      <c r="H83" s="18">
        <f t="shared" si="4"/>
        <v>33.7160625</v>
      </c>
      <c r="I83" s="5"/>
      <c r="J83" s="17">
        <v>606.67570000000001</v>
      </c>
      <c r="K83" s="18">
        <v>31.2453</v>
      </c>
      <c r="L83" s="18">
        <v>38.940100000000001</v>
      </c>
      <c r="M83" s="18">
        <v>39.5657</v>
      </c>
      <c r="N83" s="18">
        <v>318.92270000000002</v>
      </c>
      <c r="O83" s="18">
        <f t="shared" si="5"/>
        <v>33.247199999999999</v>
      </c>
      <c r="P83" s="7"/>
      <c r="Q83" s="10"/>
      <c r="R83" s="11"/>
      <c r="S83" s="11"/>
      <c r="T83" s="26"/>
      <c r="U83" s="28">
        <f t="shared" si="3"/>
        <v>0.33345124455555558</v>
      </c>
    </row>
    <row r="84" spans="1:21" ht="16.5" thickBot="1" x14ac:dyDescent="0.3">
      <c r="B84" s="12"/>
      <c r="C84" s="19">
        <v>295.70703125</v>
      </c>
      <c r="D84" s="20">
        <v>28.612300000000001</v>
      </c>
      <c r="E84" s="20">
        <v>37.363100000000003</v>
      </c>
      <c r="F84" s="20">
        <v>37.874899999999997</v>
      </c>
      <c r="G84" s="20">
        <v>275.39779681762548</v>
      </c>
      <c r="H84" s="20">
        <f t="shared" si="4"/>
        <v>30.863975</v>
      </c>
      <c r="I84" s="5"/>
      <c r="J84" s="19">
        <v>303.14</v>
      </c>
      <c r="K84" s="20">
        <v>28.2136</v>
      </c>
      <c r="L84" s="20">
        <v>37.058500000000002</v>
      </c>
      <c r="M84" s="20">
        <v>37.704300000000003</v>
      </c>
      <c r="N84" s="20">
        <v>405.04050000000001</v>
      </c>
      <c r="O84" s="20">
        <f t="shared" si="5"/>
        <v>30.505549999999999</v>
      </c>
      <c r="P84" s="7"/>
      <c r="Q84" s="13"/>
      <c r="R84" s="14"/>
      <c r="S84" s="14"/>
      <c r="T84" s="27"/>
      <c r="U84" s="28">
        <f t="shared" si="3"/>
        <v>0.47074705999999994</v>
      </c>
    </row>
    <row r="85" spans="1:21" x14ac:dyDescent="0.25">
      <c r="B85" s="6" t="s">
        <v>104</v>
      </c>
      <c r="C85" s="15">
        <v>1441.2705078125</v>
      </c>
      <c r="D85" s="16">
        <v>52.4696</v>
      </c>
      <c r="E85" s="16">
        <v>51.265099999999997</v>
      </c>
      <c r="F85" s="16">
        <v>51.523499999999999</v>
      </c>
      <c r="G85" s="16">
        <v>184.72906403940888</v>
      </c>
      <c r="H85" s="16">
        <f t="shared" si="4"/>
        <v>52.200775</v>
      </c>
      <c r="I85" s="5"/>
      <c r="J85" s="15">
        <v>1471.6211000000001</v>
      </c>
      <c r="K85" s="16">
        <v>51.606900000000003</v>
      </c>
      <c r="L85" s="16">
        <v>51.962800000000001</v>
      </c>
      <c r="M85" s="16">
        <v>52.427199999999999</v>
      </c>
      <c r="N85" s="16">
        <v>449.10180000000003</v>
      </c>
      <c r="O85" s="16">
        <f t="shared" si="5"/>
        <v>51.75392500000001</v>
      </c>
      <c r="P85" s="7"/>
      <c r="Q85" s="8">
        <f>bdrate(C85:C88,D85:D88,J85:J88,K85:K88)</f>
        <v>3.2986837151340653E-2</v>
      </c>
      <c r="R85" s="8">
        <f>bdrate(C85:C88,E85:E88,J85:J88,L85:L88)</f>
        <v>-0.19520022459945729</v>
      </c>
      <c r="S85" s="8">
        <f>bdrate(C85:C88,F85:F88,J85:J88,M85:M88)</f>
        <v>-0.22404468466962335</v>
      </c>
      <c r="T85" s="25">
        <f>bdrate(C85:C88,H85:H88,J85:J88,O85:O88)</f>
        <v>-2.3469538009790347E-2</v>
      </c>
      <c r="U85" s="28">
        <f t="shared" si="3"/>
        <v>1.4311377440000002</v>
      </c>
    </row>
    <row r="86" spans="1:21" x14ac:dyDescent="0.25">
      <c r="B86" s="9"/>
      <c r="C86" s="17">
        <v>962.974609375</v>
      </c>
      <c r="D86" s="18">
        <v>49.691600000000001</v>
      </c>
      <c r="E86" s="18">
        <v>48.862299999999998</v>
      </c>
      <c r="F86" s="18">
        <v>49.140999999999998</v>
      </c>
      <c r="G86" s="18">
        <v>269.29982046678634</v>
      </c>
      <c r="H86" s="18">
        <f t="shared" si="4"/>
        <v>49.519112500000006</v>
      </c>
      <c r="I86" s="5"/>
      <c r="J86" s="17">
        <v>985.21280000000002</v>
      </c>
      <c r="K86" s="18">
        <v>49.502600000000001</v>
      </c>
      <c r="L86" s="18">
        <v>50.221400000000003</v>
      </c>
      <c r="M86" s="18">
        <v>50.686199999999999</v>
      </c>
      <c r="N86" s="18">
        <v>548.78049999999996</v>
      </c>
      <c r="O86" s="18">
        <f t="shared" si="5"/>
        <v>49.740400000000001</v>
      </c>
      <c r="P86" s="7"/>
      <c r="Q86" s="10"/>
      <c r="R86" s="11"/>
      <c r="S86" s="11"/>
      <c r="T86" s="26"/>
      <c r="U86" s="28">
        <f t="shared" si="3"/>
        <v>1.0378049233333333</v>
      </c>
    </row>
    <row r="87" spans="1:21" x14ac:dyDescent="0.25">
      <c r="B87" s="9"/>
      <c r="C87" s="17">
        <v>580.1142578125</v>
      </c>
      <c r="D87" s="18">
        <v>46.4649</v>
      </c>
      <c r="E87" s="18">
        <v>46.29</v>
      </c>
      <c r="F87" s="18">
        <v>46.558500000000002</v>
      </c>
      <c r="G87" s="18">
        <v>310.23784901758017</v>
      </c>
      <c r="H87" s="18">
        <f t="shared" si="4"/>
        <v>46.4547375</v>
      </c>
      <c r="I87" s="5"/>
      <c r="J87" s="17">
        <v>607.02480000000003</v>
      </c>
      <c r="K87" s="18">
        <v>46.664400000000001</v>
      </c>
      <c r="L87" s="18">
        <v>47.768799999999999</v>
      </c>
      <c r="M87" s="18">
        <v>48.256500000000003</v>
      </c>
      <c r="N87" s="18">
        <v>612.6617</v>
      </c>
      <c r="O87" s="18">
        <f t="shared" si="5"/>
        <v>47.001462500000002</v>
      </c>
      <c r="P87" s="7"/>
      <c r="Q87" s="10"/>
      <c r="R87" s="11"/>
      <c r="S87" s="11"/>
      <c r="T87" s="26"/>
      <c r="U87" s="28">
        <f t="shared" si="3"/>
        <v>0.97481287966666652</v>
      </c>
    </row>
    <row r="88" spans="1:21" ht="16.5" thickBot="1" x14ac:dyDescent="0.3">
      <c r="B88" s="12"/>
      <c r="C88" s="19">
        <v>290.912109375</v>
      </c>
      <c r="D88" s="20">
        <v>42.029499999999999</v>
      </c>
      <c r="E88" s="20">
        <v>42.747199999999999</v>
      </c>
      <c r="F88" s="20">
        <v>43.011200000000002</v>
      </c>
      <c r="G88" s="20">
        <v>363.63636363636363</v>
      </c>
      <c r="H88" s="20">
        <f t="shared" si="4"/>
        <v>42.241924999999995</v>
      </c>
      <c r="I88" s="5"/>
      <c r="J88" s="19">
        <v>304.7851</v>
      </c>
      <c r="K88" s="20">
        <v>42.264899999999997</v>
      </c>
      <c r="L88" s="20">
        <v>43.779000000000003</v>
      </c>
      <c r="M88" s="20">
        <v>44.1492</v>
      </c>
      <c r="N88" s="20">
        <v>685.45320000000004</v>
      </c>
      <c r="O88" s="20">
        <f t="shared" si="5"/>
        <v>42.689700000000002</v>
      </c>
      <c r="P88" s="7"/>
      <c r="Q88" s="13"/>
      <c r="R88" s="14"/>
      <c r="S88" s="14"/>
      <c r="T88" s="27"/>
      <c r="U88" s="28">
        <f t="shared" si="3"/>
        <v>0.88499630000000018</v>
      </c>
    </row>
    <row r="89" spans="1:21" x14ac:dyDescent="0.25">
      <c r="B89" s="6" t="s">
        <v>105</v>
      </c>
      <c r="C89" s="15">
        <v>1446.8310546875</v>
      </c>
      <c r="D89" s="16">
        <v>43.945099999999996</v>
      </c>
      <c r="E89" s="16">
        <v>46.0246</v>
      </c>
      <c r="F89" s="16">
        <v>46.492699999999999</v>
      </c>
      <c r="G89" s="16">
        <v>164.17365924844947</v>
      </c>
      <c r="H89" s="16">
        <f t="shared" si="4"/>
        <v>44.523487500000002</v>
      </c>
      <c r="I89" s="5"/>
      <c r="J89" s="15">
        <v>1505.2933</v>
      </c>
      <c r="K89" s="16">
        <v>43.093200000000003</v>
      </c>
      <c r="L89" s="16">
        <v>45.684199999999997</v>
      </c>
      <c r="M89" s="16">
        <v>46.148699999999998</v>
      </c>
      <c r="N89" s="16">
        <v>327.51089999999999</v>
      </c>
      <c r="O89" s="16">
        <f t="shared" si="5"/>
        <v>43.799012500000003</v>
      </c>
      <c r="P89" s="7"/>
      <c r="Q89" s="8">
        <f>bdrate(C89:C92,D89:D92,J89:J92,K89:K92)</f>
        <v>9.9226563536577439E-2</v>
      </c>
      <c r="R89" s="8">
        <f>bdrate(C89:C92,E89:E92,J89:J92,L89:L92)</f>
        <v>8.8329532334847638E-3</v>
      </c>
      <c r="S89" s="8">
        <f>bdrate(C89:C92,F89:F92,J89:J92,M89:M92)</f>
        <v>1.4680520986185552E-2</v>
      </c>
      <c r="T89" s="25">
        <f>bdrate(C89:C92,H89:H92,J89:J92,O89:O92)</f>
        <v>8.2068293630918498E-2</v>
      </c>
      <c r="U89" s="28">
        <f t="shared" si="3"/>
        <v>0.99490528199999995</v>
      </c>
    </row>
    <row r="90" spans="1:21" x14ac:dyDescent="0.25">
      <c r="B90" s="9"/>
      <c r="C90" s="17">
        <v>966.6953125</v>
      </c>
      <c r="D90" s="18">
        <v>41.816699999999997</v>
      </c>
      <c r="E90" s="18">
        <v>44.484900000000003</v>
      </c>
      <c r="F90" s="18">
        <v>44.978499999999997</v>
      </c>
      <c r="G90" s="18">
        <v>222.05773501110289</v>
      </c>
      <c r="H90" s="18">
        <f t="shared" si="4"/>
        <v>42.545449999999995</v>
      </c>
      <c r="I90" s="5"/>
      <c r="J90" s="17">
        <v>1004.1319999999999</v>
      </c>
      <c r="K90" s="18">
        <v>41.335099999999997</v>
      </c>
      <c r="L90" s="18">
        <v>44.490099999999998</v>
      </c>
      <c r="M90" s="18">
        <v>44.932200000000002</v>
      </c>
      <c r="N90" s="18">
        <v>382.0034</v>
      </c>
      <c r="O90" s="18">
        <f t="shared" si="5"/>
        <v>42.179112500000002</v>
      </c>
      <c r="P90" s="7"/>
      <c r="Q90" s="10"/>
      <c r="R90" s="11"/>
      <c r="S90" s="11"/>
      <c r="T90" s="26"/>
      <c r="U90" s="28">
        <f t="shared" si="3"/>
        <v>0.72028864466666664</v>
      </c>
    </row>
    <row r="91" spans="1:21" x14ac:dyDescent="0.25">
      <c r="B91" s="9"/>
      <c r="C91" s="17">
        <v>583.962890625</v>
      </c>
      <c r="D91" s="18">
        <v>39.040199999999999</v>
      </c>
      <c r="E91" s="18">
        <v>42.557000000000002</v>
      </c>
      <c r="F91" s="18">
        <v>43.052300000000002</v>
      </c>
      <c r="G91" s="18">
        <v>261.09660574412533</v>
      </c>
      <c r="H91" s="18">
        <f t="shared" si="4"/>
        <v>39.981312500000001</v>
      </c>
      <c r="I91" s="5"/>
      <c r="J91" s="17">
        <v>607.25070000000005</v>
      </c>
      <c r="K91" s="18">
        <v>38.905799999999999</v>
      </c>
      <c r="L91" s="18">
        <v>42.808700000000002</v>
      </c>
      <c r="M91" s="18">
        <v>43.276800000000001</v>
      </c>
      <c r="N91" s="18">
        <v>432.90039999999999</v>
      </c>
      <c r="O91" s="18">
        <f t="shared" si="5"/>
        <v>39.940037499999995</v>
      </c>
      <c r="P91" s="7"/>
      <c r="Q91" s="10"/>
      <c r="R91" s="11"/>
      <c r="S91" s="11"/>
      <c r="T91" s="26"/>
      <c r="U91" s="28">
        <f t="shared" si="3"/>
        <v>0.65800853199999998</v>
      </c>
    </row>
    <row r="92" spans="1:21" ht="16.5" thickBot="1" x14ac:dyDescent="0.3">
      <c r="B92" s="12"/>
      <c r="C92" s="19">
        <v>294.2578125</v>
      </c>
      <c r="D92" s="20">
        <v>35.276000000000003</v>
      </c>
      <c r="E92" s="20">
        <v>39.944800000000001</v>
      </c>
      <c r="F92" s="20">
        <v>40.4497</v>
      </c>
      <c r="G92" s="20">
        <v>309.38466827088348</v>
      </c>
      <c r="H92" s="20">
        <f t="shared" si="4"/>
        <v>36.5063125</v>
      </c>
      <c r="I92" s="5"/>
      <c r="J92" s="19">
        <v>302.3981</v>
      </c>
      <c r="K92" s="20">
        <v>34.895400000000002</v>
      </c>
      <c r="L92" s="20">
        <v>39.9373</v>
      </c>
      <c r="M92" s="20">
        <v>40.477800000000002</v>
      </c>
      <c r="N92" s="20">
        <v>475.68709999999999</v>
      </c>
      <c r="O92" s="20">
        <f t="shared" si="5"/>
        <v>36.223437500000003</v>
      </c>
      <c r="P92" s="7"/>
      <c r="Q92" s="13"/>
      <c r="R92" s="14"/>
      <c r="S92" s="14"/>
      <c r="T92" s="27"/>
      <c r="U92" s="28">
        <f t="shared" si="3"/>
        <v>0.53752641544444435</v>
      </c>
    </row>
    <row r="93" spans="1:21" x14ac:dyDescent="0.25">
      <c r="B93" s="6" t="s">
        <v>106</v>
      </c>
      <c r="C93" s="29">
        <v>1452.072265625</v>
      </c>
      <c r="D93" s="30">
        <v>38.467500000000001</v>
      </c>
      <c r="E93" s="30">
        <v>42.371099999999998</v>
      </c>
      <c r="F93" s="30">
        <v>42.114800000000002</v>
      </c>
      <c r="G93" s="16">
        <v>150.45135406218657</v>
      </c>
      <c r="H93" s="16">
        <f t="shared" si="4"/>
        <v>39.411362500000003</v>
      </c>
      <c r="I93" s="5"/>
      <c r="J93" s="29">
        <v>1512.8317</v>
      </c>
      <c r="K93" s="30">
        <v>37.872199999999999</v>
      </c>
      <c r="L93" s="30">
        <v>42.198999999999998</v>
      </c>
      <c r="M93" s="30">
        <v>41.968800000000002</v>
      </c>
      <c r="N93" s="16">
        <v>282.57459999999998</v>
      </c>
      <c r="O93" s="16">
        <f t="shared" si="5"/>
        <v>38.925125000000001</v>
      </c>
      <c r="P93" s="7"/>
      <c r="Q93" s="8">
        <f>bdrate(C93:C96,D93:D96,J93:J96,K93:K96)</f>
        <v>0.13269865050888408</v>
      </c>
      <c r="R93" s="8">
        <f>bdrate(C93:C96,E93:E96,J93:J96,L93:L96)</f>
        <v>9.6778249698155294E-2</v>
      </c>
      <c r="S93" s="8">
        <f>bdrate(C93:C96,F93:F96,J93:J96,M93:M96)</f>
        <v>8.9395567297180012E-2</v>
      </c>
      <c r="T93" s="25">
        <f>bdrate(C93:C96,H93:H96,J93:J96,O93:O96)</f>
        <v>0.12589888592010179</v>
      </c>
      <c r="U93" s="28">
        <f t="shared" si="3"/>
        <v>0.8781791746666664</v>
      </c>
    </row>
    <row r="94" spans="1:21" x14ac:dyDescent="0.25">
      <c r="B94" s="9"/>
      <c r="C94" s="31">
        <v>968.689453125</v>
      </c>
      <c r="D94" s="32">
        <v>36.529000000000003</v>
      </c>
      <c r="E94" s="32">
        <v>41.1599</v>
      </c>
      <c r="F94" s="32">
        <v>40.875700000000002</v>
      </c>
      <c r="G94" s="18">
        <v>191.77498401875135</v>
      </c>
      <c r="H94" s="18">
        <f t="shared" si="4"/>
        <v>37.651200000000003</v>
      </c>
      <c r="I94" s="5"/>
      <c r="J94" s="31">
        <v>1003.0629</v>
      </c>
      <c r="K94" s="32">
        <v>36.0017</v>
      </c>
      <c r="L94" s="32">
        <v>40.998699999999999</v>
      </c>
      <c r="M94" s="32">
        <v>40.733600000000003</v>
      </c>
      <c r="N94" s="18">
        <v>320.74130000000002</v>
      </c>
      <c r="O94" s="18">
        <f t="shared" si="5"/>
        <v>37.217812500000001</v>
      </c>
      <c r="P94" s="7"/>
      <c r="Q94" s="10"/>
      <c r="R94" s="11"/>
      <c r="S94" s="11"/>
      <c r="T94" s="26"/>
      <c r="U94" s="28">
        <f t="shared" si="3"/>
        <v>0.67248768988888885</v>
      </c>
    </row>
    <row r="95" spans="1:21" x14ac:dyDescent="0.25">
      <c r="B95" s="9"/>
      <c r="C95" s="31">
        <v>583.119140625</v>
      </c>
      <c r="D95" s="32">
        <v>34.175400000000003</v>
      </c>
      <c r="E95" s="32">
        <v>39.715200000000003</v>
      </c>
      <c r="F95" s="32">
        <v>39.3857</v>
      </c>
      <c r="G95" s="18">
        <v>235.47880690737833</v>
      </c>
      <c r="H95" s="18">
        <f t="shared" si="4"/>
        <v>35.519162500000007</v>
      </c>
      <c r="I95" s="5"/>
      <c r="J95" s="31">
        <v>605.58370000000002</v>
      </c>
      <c r="K95" s="32">
        <v>33.807600000000001</v>
      </c>
      <c r="L95" s="32">
        <v>39.560600000000001</v>
      </c>
      <c r="M95" s="32">
        <v>39.243699999999997</v>
      </c>
      <c r="N95" s="18">
        <v>382.65309999999999</v>
      </c>
      <c r="O95" s="18">
        <f t="shared" si="5"/>
        <v>35.2062375</v>
      </c>
      <c r="P95" s="7"/>
      <c r="Q95" s="10"/>
      <c r="R95" s="11"/>
      <c r="S95" s="11"/>
      <c r="T95" s="26"/>
      <c r="U95" s="28">
        <f t="shared" si="3"/>
        <v>0.62500016466666675</v>
      </c>
    </row>
    <row r="96" spans="1:21" ht="16.5" thickBot="1" x14ac:dyDescent="0.3">
      <c r="B96" s="12"/>
      <c r="C96" s="33">
        <v>294.1953125</v>
      </c>
      <c r="D96" s="34">
        <v>31.112300000000001</v>
      </c>
      <c r="E96" s="34">
        <v>37.935600000000001</v>
      </c>
      <c r="F96" s="34">
        <v>37.536799999999999</v>
      </c>
      <c r="G96" s="20">
        <v>297.91459781529295</v>
      </c>
      <c r="H96" s="20">
        <f t="shared" si="4"/>
        <v>32.768275000000003</v>
      </c>
      <c r="I96" s="5"/>
      <c r="J96" s="33">
        <v>300.48590000000002</v>
      </c>
      <c r="K96" s="34">
        <v>30.917400000000001</v>
      </c>
      <c r="L96" s="34">
        <v>37.774299999999997</v>
      </c>
      <c r="M96" s="34">
        <v>37.376100000000001</v>
      </c>
      <c r="N96" s="20">
        <v>485.43689999999998</v>
      </c>
      <c r="O96" s="20">
        <f t="shared" si="5"/>
        <v>32.581850000000003</v>
      </c>
      <c r="P96" s="7"/>
      <c r="Q96" s="13"/>
      <c r="R96" s="14"/>
      <c r="S96" s="14"/>
      <c r="T96" s="27"/>
      <c r="U96" s="28">
        <f t="shared" si="3"/>
        <v>0.62944986099999989</v>
      </c>
    </row>
    <row r="97" spans="2:21" x14ac:dyDescent="0.25">
      <c r="B97" s="6" t="s">
        <v>107</v>
      </c>
      <c r="C97" s="15">
        <v>1472.2236328125</v>
      </c>
      <c r="D97" s="16">
        <v>37.090699999999998</v>
      </c>
      <c r="E97" s="16">
        <v>40.999200000000002</v>
      </c>
      <c r="F97" s="16">
        <v>41.6905</v>
      </c>
      <c r="G97" s="16">
        <v>158.00561797752809</v>
      </c>
      <c r="H97" s="16">
        <f t="shared" si="4"/>
        <v>38.154237500000001</v>
      </c>
      <c r="I97" s="5"/>
      <c r="J97" s="15">
        <v>1497.8096</v>
      </c>
      <c r="K97" s="16">
        <v>36.345999999999997</v>
      </c>
      <c r="L97" s="16">
        <v>41.0488</v>
      </c>
      <c r="M97" s="16">
        <v>41.5779</v>
      </c>
      <c r="N97" s="16">
        <v>292.96879999999999</v>
      </c>
      <c r="O97" s="16">
        <f t="shared" si="5"/>
        <v>37.587837499999992</v>
      </c>
      <c r="P97" s="7"/>
      <c r="Q97" s="8">
        <f>bdrate(C97:C100,D97:D100,J97:J100,K97:K100)</f>
        <v>9.1608726213918468E-2</v>
      </c>
      <c r="R97" s="8">
        <f>bdrate(C97:C100,E97:E100,J97:J100,L97:L100)</f>
        <v>-5.892929814287895E-2</v>
      </c>
      <c r="S97" s="8">
        <f>bdrate(C97:C100,F97:F100,J97:J100,M97:M100)</f>
        <v>-6.6544201074759668E-3</v>
      </c>
      <c r="T97" s="25">
        <f>bdrate(C97:C100,H97:H100,J97:J100,O97:O100)</f>
        <v>6.8451373732457688E-2</v>
      </c>
      <c r="U97" s="28">
        <f t="shared" si="3"/>
        <v>0.85416698311111106</v>
      </c>
    </row>
    <row r="98" spans="2:21" x14ac:dyDescent="0.25">
      <c r="B98" s="9"/>
      <c r="C98" s="17">
        <v>983.173828125</v>
      </c>
      <c r="D98" s="18">
        <v>35.045200000000001</v>
      </c>
      <c r="E98" s="18">
        <v>39.601399999999998</v>
      </c>
      <c r="F98" s="18">
        <v>40.353099999999998</v>
      </c>
      <c r="G98" s="18">
        <v>208.33333333333331</v>
      </c>
      <c r="H98" s="18">
        <f t="shared" si="4"/>
        <v>36.278212500000002</v>
      </c>
      <c r="I98" s="5"/>
      <c r="J98" s="17">
        <v>1000.5181</v>
      </c>
      <c r="K98" s="18">
        <v>34.467399999999998</v>
      </c>
      <c r="L98" s="18">
        <v>39.7301</v>
      </c>
      <c r="M98" s="18">
        <v>40.305</v>
      </c>
      <c r="N98" s="18">
        <v>331.6139</v>
      </c>
      <c r="O98" s="18">
        <f t="shared" si="5"/>
        <v>35.854937499999998</v>
      </c>
      <c r="P98" s="7"/>
      <c r="Q98" s="10"/>
      <c r="R98" s="11"/>
      <c r="S98" s="11"/>
      <c r="T98" s="26"/>
      <c r="U98" s="28">
        <f t="shared" si="3"/>
        <v>0.59174672000000017</v>
      </c>
    </row>
    <row r="99" spans="2:21" x14ac:dyDescent="0.25">
      <c r="B99" s="9"/>
      <c r="C99" s="17">
        <v>591.3369140625</v>
      </c>
      <c r="D99" s="18">
        <v>32.427700000000002</v>
      </c>
      <c r="E99" s="18">
        <v>37.819200000000002</v>
      </c>
      <c r="F99" s="18">
        <v>38.620699999999999</v>
      </c>
      <c r="G99" s="18">
        <v>245.56616643929058</v>
      </c>
      <c r="H99" s="18">
        <f t="shared" si="4"/>
        <v>33.8757625</v>
      </c>
      <c r="I99" s="5"/>
      <c r="J99" s="17">
        <v>599.91549999999995</v>
      </c>
      <c r="K99" s="18">
        <v>32.155000000000001</v>
      </c>
      <c r="L99" s="18">
        <v>38.143000000000001</v>
      </c>
      <c r="M99" s="18">
        <v>38.786299999999997</v>
      </c>
      <c r="N99" s="18">
        <v>389.77910000000003</v>
      </c>
      <c r="O99" s="18">
        <f t="shared" si="5"/>
        <v>33.732412500000002</v>
      </c>
      <c r="P99" s="7"/>
      <c r="Q99" s="10"/>
      <c r="R99" s="11"/>
      <c r="S99" s="11"/>
      <c r="T99" s="26"/>
      <c r="U99" s="28">
        <f t="shared" si="3"/>
        <v>0.58726711277777788</v>
      </c>
    </row>
    <row r="100" spans="2:21" ht="16.5" thickBot="1" x14ac:dyDescent="0.3">
      <c r="B100" s="12"/>
      <c r="C100" s="19">
        <v>295.623046875</v>
      </c>
      <c r="D100" s="20">
        <v>29.045999999999999</v>
      </c>
      <c r="E100" s="20">
        <v>35.814500000000002</v>
      </c>
      <c r="F100" s="20">
        <v>36.721299999999999</v>
      </c>
      <c r="G100" s="20">
        <v>311.52647975077883</v>
      </c>
      <c r="H100" s="20">
        <f t="shared" si="4"/>
        <v>30.851475000000001</v>
      </c>
      <c r="I100" s="5"/>
      <c r="J100" s="19">
        <v>301.28210000000001</v>
      </c>
      <c r="K100" s="20">
        <v>29.029199999999999</v>
      </c>
      <c r="L100" s="20">
        <v>36.165799999999997</v>
      </c>
      <c r="M100" s="20">
        <v>36.833300000000001</v>
      </c>
      <c r="N100" s="20">
        <v>482.83260000000001</v>
      </c>
      <c r="O100" s="20">
        <f t="shared" si="5"/>
        <v>30.896787499999999</v>
      </c>
      <c r="P100" s="7"/>
      <c r="Q100" s="13"/>
      <c r="R100" s="14"/>
      <c r="S100" s="14"/>
      <c r="T100" s="27"/>
      <c r="U100" s="28">
        <f t="shared" si="3"/>
        <v>0.54989264599999998</v>
      </c>
    </row>
    <row r="101" spans="2:21" x14ac:dyDescent="0.25">
      <c r="B101" s="6" t="s">
        <v>108</v>
      </c>
      <c r="C101" s="15">
        <v>1477.38671875</v>
      </c>
      <c r="D101" s="16">
        <v>37.803800000000003</v>
      </c>
      <c r="E101" s="16">
        <v>43.225700000000003</v>
      </c>
      <c r="F101" s="16">
        <v>45.104199999999999</v>
      </c>
      <c r="G101" s="16">
        <v>151.20967741935485</v>
      </c>
      <c r="H101" s="16">
        <f t="shared" si="4"/>
        <v>39.394087500000005</v>
      </c>
      <c r="I101" s="5"/>
      <c r="J101" s="15">
        <v>1506.1063999999999</v>
      </c>
      <c r="K101" s="16">
        <v>36.847000000000001</v>
      </c>
      <c r="L101" s="16">
        <v>42.7911</v>
      </c>
      <c r="M101" s="16">
        <v>44.627899999999997</v>
      </c>
      <c r="N101" s="16">
        <v>284.2704</v>
      </c>
      <c r="O101" s="16">
        <f t="shared" si="5"/>
        <v>38.562625000000004</v>
      </c>
      <c r="P101" s="7"/>
      <c r="Q101" s="8">
        <f>bdrate(C101:C104,D101:D104,J101:J104,K101:K104)</f>
        <v>0.2688208956898519</v>
      </c>
      <c r="R101" s="8">
        <f>bdrate(C101:C104,E101:E104,J101:J104,L101:L104)</f>
        <v>0.17426436649926491</v>
      </c>
      <c r="S101" s="8">
        <f>bdrate(C101:C104,F101:F104,J101:J104,M101:M104)</f>
        <v>0.14227483317572753</v>
      </c>
      <c r="T101" s="25">
        <f>bdrate(C101:C104,H101:H104,J101:J104,O101:O104)</f>
        <v>0.24680166556433858</v>
      </c>
      <c r="U101" s="28">
        <f t="shared" si="3"/>
        <v>0.87997491199999989</v>
      </c>
    </row>
    <row r="102" spans="2:21" x14ac:dyDescent="0.25">
      <c r="B102" s="9"/>
      <c r="C102" s="17">
        <v>984.8251953125</v>
      </c>
      <c r="D102" s="18">
        <v>36.333199999999998</v>
      </c>
      <c r="E102" s="18">
        <v>42.295400000000001</v>
      </c>
      <c r="F102" s="18">
        <v>44.089399999999998</v>
      </c>
      <c r="G102" s="18">
        <v>193.631669535284</v>
      </c>
      <c r="H102" s="18">
        <f t="shared" si="4"/>
        <v>38.047999999999995</v>
      </c>
      <c r="I102" s="5"/>
      <c r="J102" s="17">
        <v>1006.4976</v>
      </c>
      <c r="K102" s="18">
        <v>35.449199999999998</v>
      </c>
      <c r="L102" s="18">
        <v>41.914999999999999</v>
      </c>
      <c r="M102" s="18">
        <v>43.693100000000001</v>
      </c>
      <c r="N102" s="18">
        <v>318.58409999999998</v>
      </c>
      <c r="O102" s="18">
        <f t="shared" si="5"/>
        <v>37.287912499999997</v>
      </c>
      <c r="P102" s="7"/>
      <c r="Q102" s="10"/>
      <c r="R102" s="11"/>
      <c r="S102" s="11"/>
      <c r="T102" s="26"/>
      <c r="U102" s="28">
        <f t="shared" si="3"/>
        <v>0.64530988533333311</v>
      </c>
    </row>
    <row r="103" spans="2:21" x14ac:dyDescent="0.25">
      <c r="B103" s="9"/>
      <c r="C103" s="17">
        <v>592.34375</v>
      </c>
      <c r="D103" s="18">
        <v>34.521999999999998</v>
      </c>
      <c r="E103" s="18">
        <v>41.136600000000001</v>
      </c>
      <c r="F103" s="18">
        <v>42.698900000000002</v>
      </c>
      <c r="G103" s="18">
        <v>235.97273203985316</v>
      </c>
      <c r="H103" s="18">
        <f t="shared" si="4"/>
        <v>36.370937499999997</v>
      </c>
      <c r="I103" s="5"/>
      <c r="J103" s="17">
        <v>603.78290000000004</v>
      </c>
      <c r="K103" s="18">
        <v>33.821800000000003</v>
      </c>
      <c r="L103" s="18">
        <v>40.872900000000001</v>
      </c>
      <c r="M103" s="18">
        <v>42.495100000000001</v>
      </c>
      <c r="N103" s="18">
        <v>366.59879999999998</v>
      </c>
      <c r="O103" s="18">
        <f t="shared" si="5"/>
        <v>35.787350000000004</v>
      </c>
      <c r="P103" s="7"/>
      <c r="Q103" s="10"/>
      <c r="R103" s="11"/>
      <c r="S103" s="11"/>
      <c r="T103" s="26"/>
      <c r="U103" s="28">
        <f t="shared" si="3"/>
        <v>0.55356424800000004</v>
      </c>
    </row>
    <row r="104" spans="2:21" ht="16.5" thickBot="1" x14ac:dyDescent="0.3">
      <c r="B104" s="12"/>
      <c r="C104" s="19">
        <v>297.251953125</v>
      </c>
      <c r="D104" s="20">
        <v>32.197499999999998</v>
      </c>
      <c r="E104" s="20">
        <v>39.676200000000001</v>
      </c>
      <c r="F104" s="20">
        <v>41.012300000000003</v>
      </c>
      <c r="G104" s="20">
        <v>314.68531468531472</v>
      </c>
      <c r="H104" s="20">
        <f t="shared" si="4"/>
        <v>34.234187499999997</v>
      </c>
      <c r="I104" s="5"/>
      <c r="J104" s="19">
        <v>301.71890000000002</v>
      </c>
      <c r="K104" s="20">
        <v>31.755500000000001</v>
      </c>
      <c r="L104" s="20">
        <v>39.438899999999997</v>
      </c>
      <c r="M104" s="20">
        <v>40.748100000000001</v>
      </c>
      <c r="N104" s="20">
        <v>449.10180000000003</v>
      </c>
      <c r="O104" s="20">
        <f t="shared" si="5"/>
        <v>33.840000000000003</v>
      </c>
      <c r="P104" s="7"/>
      <c r="Q104" s="13"/>
      <c r="R104" s="14"/>
      <c r="S104" s="14"/>
      <c r="T104" s="27"/>
      <c r="U104" s="28">
        <f t="shared" si="3"/>
        <v>0.4271457199999999</v>
      </c>
    </row>
    <row r="105" spans="2:21" x14ac:dyDescent="0.25">
      <c r="B105" s="6" t="s">
        <v>109</v>
      </c>
      <c r="C105" s="15">
        <v>1455.9482421875</v>
      </c>
      <c r="D105" s="16">
        <v>49.102699999999999</v>
      </c>
      <c r="E105" s="16">
        <v>54.517000000000003</v>
      </c>
      <c r="F105" s="16">
        <v>54.462600000000002</v>
      </c>
      <c r="G105" s="16">
        <v>167.5977653631285</v>
      </c>
      <c r="H105" s="16">
        <f t="shared" si="4"/>
        <v>50.449475</v>
      </c>
      <c r="I105" s="5"/>
      <c r="J105" s="15">
        <v>1508.8496</v>
      </c>
      <c r="K105" s="16">
        <v>47.606900000000003</v>
      </c>
      <c r="L105" s="16">
        <v>53.124200000000002</v>
      </c>
      <c r="M105" s="16">
        <v>53.194000000000003</v>
      </c>
      <c r="N105" s="16">
        <v>348.02780000000001</v>
      </c>
      <c r="O105" s="16">
        <f t="shared" si="5"/>
        <v>48.99495000000001</v>
      </c>
      <c r="P105" s="7"/>
      <c r="Q105" s="8">
        <f>bdrate(C105:C108,D105:D108,J105:J108,K105:K108)</f>
        <v>0.44097031342303583</v>
      </c>
      <c r="R105" s="8">
        <f>bdrate(C105:C108,E105:E108,J105:J108,L105:L108)</f>
        <v>0.31583506616826273</v>
      </c>
      <c r="S105" s="8">
        <f>bdrate(C105:C108,F105:F108,J105:J108,M105:M108)</f>
        <v>0.32641486865467506</v>
      </c>
      <c r="T105" s="25">
        <f>bdrate(C105:C108,H105:H108,J105:J108,O105:O108)</f>
        <v>0.41366843919216878</v>
      </c>
      <c r="U105" s="28">
        <f t="shared" si="3"/>
        <v>1.0765658733333332</v>
      </c>
    </row>
    <row r="106" spans="2:21" x14ac:dyDescent="0.25">
      <c r="B106" s="9"/>
      <c r="C106" s="17">
        <v>970.0771484375</v>
      </c>
      <c r="D106" s="18">
        <v>47.197400000000002</v>
      </c>
      <c r="E106" s="18">
        <v>52.861600000000003</v>
      </c>
      <c r="F106" s="18">
        <v>52.752699999999997</v>
      </c>
      <c r="G106" s="18">
        <v>230.47375160051217</v>
      </c>
      <c r="H106" s="18">
        <f t="shared" si="4"/>
        <v>48.5998375</v>
      </c>
      <c r="I106" s="5"/>
      <c r="J106" s="17">
        <v>1010.8861000000001</v>
      </c>
      <c r="K106" s="18">
        <v>45.835299999999997</v>
      </c>
      <c r="L106" s="18">
        <v>51.940399999999997</v>
      </c>
      <c r="M106" s="18">
        <v>51.762599999999999</v>
      </c>
      <c r="N106" s="18">
        <v>394.91</v>
      </c>
      <c r="O106" s="18">
        <f t="shared" si="5"/>
        <v>47.339350000000003</v>
      </c>
      <c r="P106" s="7"/>
      <c r="Q106" s="10"/>
      <c r="R106" s="11"/>
      <c r="S106" s="11"/>
      <c r="T106" s="26"/>
      <c r="U106" s="28">
        <f t="shared" si="3"/>
        <v>0.7134706111111111</v>
      </c>
    </row>
    <row r="107" spans="2:21" x14ac:dyDescent="0.25">
      <c r="B107" s="9"/>
      <c r="C107" s="17">
        <v>581.96484375</v>
      </c>
      <c r="D107" s="18">
        <v>45.080100000000002</v>
      </c>
      <c r="E107" s="18">
        <v>50.968600000000002</v>
      </c>
      <c r="F107" s="18">
        <v>50.829900000000002</v>
      </c>
      <c r="G107" s="18">
        <v>274.22303473491775</v>
      </c>
      <c r="H107" s="18">
        <f t="shared" si="4"/>
        <v>46.534887499999996</v>
      </c>
      <c r="I107" s="5"/>
      <c r="J107" s="17">
        <v>607.31679999999994</v>
      </c>
      <c r="K107" s="18">
        <v>43.6755</v>
      </c>
      <c r="L107" s="18">
        <v>50.149700000000003</v>
      </c>
      <c r="M107" s="18">
        <v>49.9771</v>
      </c>
      <c r="N107" s="18">
        <v>457.31709999999998</v>
      </c>
      <c r="O107" s="18">
        <f t="shared" si="5"/>
        <v>45.272475</v>
      </c>
      <c r="P107" s="7"/>
      <c r="Q107" s="10"/>
      <c r="R107" s="11"/>
      <c r="S107" s="11"/>
      <c r="T107" s="26"/>
      <c r="U107" s="28">
        <f t="shared" si="3"/>
        <v>0.66768302466666651</v>
      </c>
    </row>
    <row r="108" spans="2:21" ht="16.5" thickBot="1" x14ac:dyDescent="0.3">
      <c r="B108" s="12"/>
      <c r="C108" s="19">
        <v>291.5322265625</v>
      </c>
      <c r="D108" s="20">
        <v>42.0441</v>
      </c>
      <c r="E108" s="20">
        <v>48.212400000000002</v>
      </c>
      <c r="F108" s="20">
        <v>48.078099999999999</v>
      </c>
      <c r="G108" s="20">
        <v>341.1675511751327</v>
      </c>
      <c r="H108" s="20">
        <f t="shared" si="4"/>
        <v>43.569387499999998</v>
      </c>
      <c r="I108" s="5"/>
      <c r="J108" s="19">
        <v>303.988</v>
      </c>
      <c r="K108" s="20">
        <v>40.584899999999998</v>
      </c>
      <c r="L108" s="20">
        <v>47.284799999999997</v>
      </c>
      <c r="M108" s="20">
        <v>47.088299999999997</v>
      </c>
      <c r="N108" s="20">
        <v>568.54070000000002</v>
      </c>
      <c r="O108" s="20">
        <f t="shared" si="5"/>
        <v>42.235312499999999</v>
      </c>
      <c r="P108" s="7"/>
      <c r="Q108" s="13"/>
      <c r="R108" s="14"/>
      <c r="S108" s="14"/>
      <c r="T108" s="27"/>
      <c r="U108" s="28">
        <f t="shared" si="3"/>
        <v>0.66645596288888886</v>
      </c>
    </row>
    <row r="109" spans="2:21" x14ac:dyDescent="0.25">
      <c r="B109" s="6" t="s">
        <v>110</v>
      </c>
      <c r="C109" s="15">
        <v>1472.69921875</v>
      </c>
      <c r="D109" s="16">
        <v>31.409300000000002</v>
      </c>
      <c r="E109" s="16">
        <v>40.091000000000001</v>
      </c>
      <c r="F109" s="16">
        <v>39.360199999999999</v>
      </c>
      <c r="G109" s="16">
        <v>147.58937356510333</v>
      </c>
      <c r="H109" s="16">
        <f t="shared" si="4"/>
        <v>33.488375000000005</v>
      </c>
      <c r="I109" s="5"/>
      <c r="J109" s="15">
        <v>1507.1487999999999</v>
      </c>
      <c r="K109" s="16">
        <v>30.466200000000001</v>
      </c>
      <c r="L109" s="16">
        <v>39.5105</v>
      </c>
      <c r="M109" s="16">
        <v>38.660499999999999</v>
      </c>
      <c r="N109" s="16">
        <v>244.8313</v>
      </c>
      <c r="O109" s="16">
        <f t="shared" si="5"/>
        <v>32.621025000000003</v>
      </c>
      <c r="P109" s="7"/>
      <c r="Q109" s="8">
        <f>bdrate(C109:C112,D109:D112,J109:J112,K109:K112)</f>
        <v>0.17159502179631825</v>
      </c>
      <c r="R109" s="8">
        <f>bdrate(C109:C112,E109:E112,J109:J112,L109:L112)</f>
        <v>0.18698544434387032</v>
      </c>
      <c r="S109" s="8">
        <f>bdrate(C109:C112,F109:F112,J109:J112,M109:M112)</f>
        <v>0.21480514455401467</v>
      </c>
      <c r="T109" s="25">
        <f>bdrate(C109:C112,H109:H112,J109:J112,O109:O112)</f>
        <v>0.17707686853442106</v>
      </c>
      <c r="U109" s="28">
        <f t="shared" si="3"/>
        <v>0.65886807488888866</v>
      </c>
    </row>
    <row r="110" spans="2:21" x14ac:dyDescent="0.25">
      <c r="B110" s="9"/>
      <c r="C110" s="17">
        <v>982.4912109375</v>
      </c>
      <c r="D110" s="18">
        <v>29.501899999999999</v>
      </c>
      <c r="E110" s="18">
        <v>39.070099999999996</v>
      </c>
      <c r="F110" s="18">
        <v>38.253500000000003</v>
      </c>
      <c r="G110" s="18">
        <v>194.21665947345704</v>
      </c>
      <c r="H110" s="18">
        <f t="shared" si="4"/>
        <v>31.791874999999997</v>
      </c>
      <c r="I110" s="5"/>
      <c r="J110" s="17">
        <v>1005.3064000000001</v>
      </c>
      <c r="K110" s="18">
        <v>28.740300000000001</v>
      </c>
      <c r="L110" s="18">
        <v>38.6248</v>
      </c>
      <c r="M110" s="18">
        <v>37.711100000000002</v>
      </c>
      <c r="N110" s="18">
        <v>282.84100000000001</v>
      </c>
      <c r="O110" s="18">
        <f t="shared" si="5"/>
        <v>31.097212499999998</v>
      </c>
      <c r="P110" s="7"/>
      <c r="Q110" s="10"/>
      <c r="R110" s="11"/>
      <c r="S110" s="11"/>
      <c r="T110" s="26"/>
      <c r="U110" s="28">
        <f t="shared" si="3"/>
        <v>0.45631688222222239</v>
      </c>
    </row>
    <row r="111" spans="2:21" x14ac:dyDescent="0.25">
      <c r="B111" s="9"/>
      <c r="C111" s="17">
        <v>589.6591796875</v>
      </c>
      <c r="D111" s="18">
        <v>27.1706</v>
      </c>
      <c r="E111" s="18">
        <v>37.723300000000002</v>
      </c>
      <c r="F111" s="18">
        <v>36.814900000000002</v>
      </c>
      <c r="G111" s="18">
        <v>219.99511121975067</v>
      </c>
      <c r="H111" s="18">
        <f t="shared" si="4"/>
        <v>29.695224999999997</v>
      </c>
      <c r="I111" s="5"/>
      <c r="J111" s="17">
        <v>602.82190000000003</v>
      </c>
      <c r="K111" s="18">
        <v>26.630099999999999</v>
      </c>
      <c r="L111" s="18">
        <v>37.308900000000001</v>
      </c>
      <c r="M111" s="18">
        <v>36.335099999999997</v>
      </c>
      <c r="N111" s="18">
        <v>322.5806</v>
      </c>
      <c r="O111" s="18">
        <f t="shared" si="5"/>
        <v>29.178075</v>
      </c>
      <c r="P111" s="7"/>
      <c r="Q111" s="10"/>
      <c r="R111" s="11"/>
      <c r="S111" s="11"/>
      <c r="T111" s="26"/>
      <c r="U111" s="28">
        <f t="shared" si="3"/>
        <v>0.46630803844444446</v>
      </c>
    </row>
    <row r="112" spans="2:21" ht="16.5" thickBot="1" x14ac:dyDescent="0.3">
      <c r="B112" s="12"/>
      <c r="C112" s="19">
        <v>296.564453125</v>
      </c>
      <c r="D112" s="20">
        <v>24.260400000000001</v>
      </c>
      <c r="E112" s="20">
        <v>35.425699999999999</v>
      </c>
      <c r="F112" s="20">
        <v>34.617100000000001</v>
      </c>
      <c r="G112" s="20">
        <v>222.82743253280518</v>
      </c>
      <c r="H112" s="20">
        <f t="shared" si="4"/>
        <v>26.95065</v>
      </c>
      <c r="I112" s="5"/>
      <c r="J112" s="19">
        <v>302.38529999999997</v>
      </c>
      <c r="K112" s="20">
        <v>24.0136</v>
      </c>
      <c r="L112" s="20">
        <v>35.020000000000003</v>
      </c>
      <c r="M112" s="20">
        <v>34.191200000000002</v>
      </c>
      <c r="N112" s="20">
        <v>408.16329999999999</v>
      </c>
      <c r="O112" s="20">
        <f t="shared" si="5"/>
        <v>26.661600000000004</v>
      </c>
      <c r="P112" s="7"/>
      <c r="Q112" s="13"/>
      <c r="R112" s="14"/>
      <c r="S112" s="14"/>
      <c r="T112" s="27"/>
      <c r="U112" s="28">
        <f t="shared" si="3"/>
        <v>0.83174618744444417</v>
      </c>
    </row>
    <row r="113" spans="2:21" x14ac:dyDescent="0.25">
      <c r="B113" s="6" t="s">
        <v>111</v>
      </c>
      <c r="C113" s="15">
        <v>1450.359375</v>
      </c>
      <c r="D113" s="16">
        <v>46.554600000000001</v>
      </c>
      <c r="E113" s="16">
        <v>46.803100000000001</v>
      </c>
      <c r="F113" s="16">
        <v>46.842700000000001</v>
      </c>
      <c r="G113" s="16">
        <v>169.36394429808055</v>
      </c>
      <c r="H113" s="16">
        <f t="shared" si="4"/>
        <v>46.621675000000003</v>
      </c>
      <c r="I113" s="5"/>
      <c r="J113" s="15">
        <v>1372.6405</v>
      </c>
      <c r="K113" s="16">
        <v>45.064100000000003</v>
      </c>
      <c r="L113" s="16">
        <v>45.849299999999999</v>
      </c>
      <c r="M113" s="16">
        <v>45.883099999999999</v>
      </c>
      <c r="N113" s="16">
        <v>316.56700000000001</v>
      </c>
      <c r="O113" s="16">
        <f t="shared" si="5"/>
        <v>45.264625000000009</v>
      </c>
      <c r="P113" s="7"/>
      <c r="Q113" s="8">
        <f>bdrate(C113:C116,D113:D116,J113:J116,K113:K116)</f>
        <v>0.18799499117429352</v>
      </c>
      <c r="R113" s="8">
        <f>bdrate(C113:C116,E113:E116,J113:J116,L113:L116)</f>
        <v>0.12462302898465438</v>
      </c>
      <c r="S113" s="8">
        <f>bdrate(C113:C116,F113:F116,J113:J116,M113:M116)</f>
        <v>0.11521152324498329</v>
      </c>
      <c r="T113" s="25">
        <f>bdrate(C113:C116,H113:H116,J113:J116,O113:O116)</f>
        <v>0.17385919760047397</v>
      </c>
      <c r="U113" s="28">
        <f t="shared" si="3"/>
        <v>0.86915226444444438</v>
      </c>
    </row>
    <row r="114" spans="2:21" x14ac:dyDescent="0.25">
      <c r="B114" s="9"/>
      <c r="C114" s="17">
        <v>984.310546875</v>
      </c>
      <c r="D114" s="18">
        <v>44.634799999999998</v>
      </c>
      <c r="E114" s="18">
        <v>45.098999999999997</v>
      </c>
      <c r="F114" s="18">
        <v>45.123399999999997</v>
      </c>
      <c r="G114" s="18">
        <v>240.25627335824879</v>
      </c>
      <c r="H114" s="18">
        <f t="shared" si="4"/>
        <v>44.753900000000002</v>
      </c>
      <c r="I114" s="5"/>
      <c r="J114" s="17">
        <v>928.42269999999996</v>
      </c>
      <c r="K114" s="18">
        <v>43.112099999999998</v>
      </c>
      <c r="L114" s="18">
        <v>44.221600000000002</v>
      </c>
      <c r="M114" s="18">
        <v>44.244999999999997</v>
      </c>
      <c r="N114" s="18">
        <v>385.76940000000002</v>
      </c>
      <c r="O114" s="18">
        <f t="shared" si="5"/>
        <v>43.392400000000002</v>
      </c>
      <c r="P114" s="7"/>
      <c r="Q114" s="10"/>
      <c r="R114" s="11"/>
      <c r="S114" s="11"/>
      <c r="T114" s="26"/>
      <c r="U114" s="28">
        <f t="shared" si="3"/>
        <v>0.60565796933333349</v>
      </c>
    </row>
    <row r="115" spans="2:21" x14ac:dyDescent="0.25">
      <c r="B115" s="9"/>
      <c r="C115" s="17">
        <v>599.50390625</v>
      </c>
      <c r="D115" s="18">
        <v>41.557699999999997</v>
      </c>
      <c r="E115" s="18">
        <v>42.658700000000003</v>
      </c>
      <c r="F115" s="18">
        <v>42.663800000000002</v>
      </c>
      <c r="G115" s="18">
        <v>286.16852146263909</v>
      </c>
      <c r="H115" s="18">
        <f t="shared" si="4"/>
        <v>41.833587499999993</v>
      </c>
      <c r="I115" s="5"/>
      <c r="J115" s="17">
        <v>562.07489999999996</v>
      </c>
      <c r="K115" s="18">
        <v>39.992899999999999</v>
      </c>
      <c r="L115" s="18">
        <v>41.707299999999996</v>
      </c>
      <c r="M115" s="18">
        <v>41.749000000000002</v>
      </c>
      <c r="N115" s="18">
        <v>450</v>
      </c>
      <c r="O115" s="18">
        <f t="shared" si="5"/>
        <v>40.426712500000001</v>
      </c>
      <c r="P115" s="7"/>
      <c r="Q115" s="10"/>
      <c r="R115" s="11"/>
      <c r="S115" s="11"/>
      <c r="T115" s="26"/>
      <c r="U115" s="28">
        <f t="shared" si="3"/>
        <v>0.57250000000000012</v>
      </c>
    </row>
    <row r="116" spans="2:21" ht="16.5" thickBot="1" x14ac:dyDescent="0.3">
      <c r="B116" s="12"/>
      <c r="C116" s="19">
        <v>301.1416015625</v>
      </c>
      <c r="D116" s="20">
        <v>36.687399999999997</v>
      </c>
      <c r="E116" s="20">
        <v>39.153300000000002</v>
      </c>
      <c r="F116" s="20">
        <v>39.094299999999997</v>
      </c>
      <c r="G116" s="20">
        <v>336.82634730538922</v>
      </c>
      <c r="H116" s="20">
        <f t="shared" si="4"/>
        <v>37.296499999999995</v>
      </c>
      <c r="I116" s="5"/>
      <c r="J116" s="19">
        <v>285.03870000000001</v>
      </c>
      <c r="K116" s="20">
        <v>35.814900000000002</v>
      </c>
      <c r="L116" s="20">
        <v>38.715200000000003</v>
      </c>
      <c r="M116" s="20">
        <v>38.7483</v>
      </c>
      <c r="N116" s="20">
        <v>539.56830000000002</v>
      </c>
      <c r="O116" s="20">
        <f t="shared" si="5"/>
        <v>36.544112500000004</v>
      </c>
      <c r="P116" s="7"/>
      <c r="Q116" s="13"/>
      <c r="R116" s="14"/>
      <c r="S116" s="14"/>
      <c r="T116" s="27"/>
      <c r="U116" s="28">
        <f t="shared" si="3"/>
        <v>0.60191833066666678</v>
      </c>
    </row>
    <row r="117" spans="2:21" x14ac:dyDescent="0.25">
      <c r="B117" s="6" t="s">
        <v>112</v>
      </c>
      <c r="C117" s="15">
        <v>1440.3330078125</v>
      </c>
      <c r="D117" s="16">
        <v>51.007199999999997</v>
      </c>
      <c r="E117" s="16">
        <v>51.074300000000001</v>
      </c>
      <c r="F117" s="16">
        <v>51.265700000000002</v>
      </c>
      <c r="G117" s="16">
        <v>186.06574322927435</v>
      </c>
      <c r="H117" s="16">
        <f t="shared" si="4"/>
        <v>51.047899999999991</v>
      </c>
      <c r="I117" s="5"/>
      <c r="J117" s="15">
        <v>762.86530000000005</v>
      </c>
      <c r="K117" s="16">
        <v>50.161499999999997</v>
      </c>
      <c r="L117" s="16">
        <v>50.993299999999998</v>
      </c>
      <c r="M117" s="16">
        <v>51.346200000000003</v>
      </c>
      <c r="N117" s="16">
        <v>344.82760000000002</v>
      </c>
      <c r="O117" s="16">
        <f t="shared" si="5"/>
        <v>50.413562499999998</v>
      </c>
      <c r="P117" s="7"/>
      <c r="Q117" s="8">
        <f>bdrate(C117:C120,D117:D120,J117:J120,K117:K120)</f>
        <v>-0.32460388467979984</v>
      </c>
      <c r="R117" s="8">
        <f>bdrate(C117:C120,E117:E120,J117:J120,L117:L120)</f>
        <v>-0.36410879059497991</v>
      </c>
      <c r="S117" s="8">
        <f>bdrate(C117:C120,F117:F120,J117:J120,M117:M120)</f>
        <v>-0.37261752252869706</v>
      </c>
      <c r="T117" s="25">
        <f>bdrate(C117:C120,H117:H120,J117:J120,O117:O120)</f>
        <v>-0.33483623760075132</v>
      </c>
      <c r="U117" s="28">
        <f t="shared" si="3"/>
        <v>0.8532567791111112</v>
      </c>
    </row>
    <row r="118" spans="2:21" x14ac:dyDescent="0.25">
      <c r="B118" s="9"/>
      <c r="C118" s="17">
        <v>960.15625</v>
      </c>
      <c r="D118" s="18">
        <v>48.1021</v>
      </c>
      <c r="E118" s="18">
        <v>48.442300000000003</v>
      </c>
      <c r="F118" s="18">
        <v>48.691000000000003</v>
      </c>
      <c r="G118" s="18">
        <v>275.14521553041885</v>
      </c>
      <c r="H118" s="18">
        <f t="shared" si="4"/>
        <v>48.218237500000001</v>
      </c>
      <c r="I118" s="5"/>
      <c r="J118" s="17">
        <v>587.84159999999997</v>
      </c>
      <c r="K118" s="18">
        <v>47.813699999999997</v>
      </c>
      <c r="L118" s="18">
        <v>48.638300000000001</v>
      </c>
      <c r="M118" s="18">
        <v>48.996600000000001</v>
      </c>
      <c r="N118" s="18">
        <v>319.94310000000002</v>
      </c>
      <c r="O118" s="18">
        <f t="shared" si="5"/>
        <v>48.064637500000003</v>
      </c>
      <c r="P118" s="7"/>
      <c r="Q118" s="10"/>
      <c r="R118" s="11"/>
      <c r="S118" s="11"/>
      <c r="T118" s="26"/>
      <c r="U118" s="28">
        <f t="shared" si="3"/>
        <v>0.16281542233333329</v>
      </c>
    </row>
    <row r="119" spans="2:21" x14ac:dyDescent="0.25">
      <c r="B119" s="9"/>
      <c r="C119" s="17">
        <v>578.9990234375</v>
      </c>
      <c r="D119" s="18">
        <v>44.004600000000003</v>
      </c>
      <c r="E119" s="18">
        <v>44.700899999999997</v>
      </c>
      <c r="F119" s="18">
        <v>44.980800000000002</v>
      </c>
      <c r="G119" s="18">
        <v>314.02651779483602</v>
      </c>
      <c r="H119" s="18">
        <f t="shared" si="4"/>
        <v>44.213662499999998</v>
      </c>
      <c r="I119" s="5"/>
      <c r="J119" s="17">
        <v>410.3664</v>
      </c>
      <c r="K119" s="18">
        <v>44.432600000000001</v>
      </c>
      <c r="L119" s="18">
        <v>45.451300000000003</v>
      </c>
      <c r="M119" s="18">
        <v>45.836599999999997</v>
      </c>
      <c r="N119" s="18">
        <v>349.78620000000001</v>
      </c>
      <c r="O119" s="18">
        <f t="shared" si="5"/>
        <v>44.735437499999996</v>
      </c>
      <c r="P119" s="7"/>
      <c r="Q119" s="10"/>
      <c r="R119" s="11"/>
      <c r="S119" s="11"/>
      <c r="T119" s="26"/>
      <c r="U119" s="28">
        <f t="shared" si="3"/>
        <v>0.1138747213333333</v>
      </c>
    </row>
    <row r="120" spans="2:21" ht="16.5" thickBot="1" x14ac:dyDescent="0.3">
      <c r="B120" s="12"/>
      <c r="C120" s="19">
        <v>291.5244140625</v>
      </c>
      <c r="D120" s="20">
        <v>38.2256</v>
      </c>
      <c r="E120" s="20">
        <v>39.879899999999999</v>
      </c>
      <c r="F120" s="20">
        <v>40.199399999999997</v>
      </c>
      <c r="G120" s="20">
        <v>357.85288270377731</v>
      </c>
      <c r="H120" s="20">
        <f t="shared" si="4"/>
        <v>38.679112500000002</v>
      </c>
      <c r="I120" s="5"/>
      <c r="J120" s="19">
        <v>284.78829999999999</v>
      </c>
      <c r="K120" s="20">
        <v>39.975299999999997</v>
      </c>
      <c r="L120" s="20">
        <v>41.490600000000001</v>
      </c>
      <c r="M120" s="20">
        <v>41.851199999999999</v>
      </c>
      <c r="N120" s="20">
        <v>612.6617</v>
      </c>
      <c r="O120" s="20">
        <f t="shared" si="5"/>
        <v>40.3992</v>
      </c>
      <c r="P120" s="7"/>
      <c r="Q120" s="13"/>
      <c r="R120" s="14"/>
      <c r="S120" s="14"/>
      <c r="T120" s="27"/>
      <c r="U120" s="28">
        <f t="shared" si="3"/>
        <v>0.71204908388888899</v>
      </c>
    </row>
    <row r="121" spans="2:21" x14ac:dyDescent="0.25">
      <c r="B121" s="6" t="s">
        <v>113</v>
      </c>
      <c r="C121" s="29">
        <v>1476.84765625</v>
      </c>
      <c r="D121" s="30">
        <v>32.707099999999997</v>
      </c>
      <c r="E121" s="30">
        <v>36.402900000000002</v>
      </c>
      <c r="F121" s="30">
        <v>35.685400000000001</v>
      </c>
      <c r="G121" s="16">
        <v>143.83890043151672</v>
      </c>
      <c r="H121" s="16">
        <f t="shared" si="4"/>
        <v>33.541362499999998</v>
      </c>
      <c r="I121" s="5"/>
      <c r="J121" s="29">
        <v>1506.7548999999999</v>
      </c>
      <c r="K121" s="30">
        <v>32.148499999999999</v>
      </c>
      <c r="L121" s="30">
        <v>36.095300000000002</v>
      </c>
      <c r="M121" s="30">
        <v>35.375100000000003</v>
      </c>
      <c r="N121" s="16">
        <v>251.60749999999999</v>
      </c>
      <c r="O121" s="16">
        <f t="shared" si="5"/>
        <v>33.045175</v>
      </c>
      <c r="P121" s="7"/>
      <c r="Q121" s="8">
        <f>bdrate(C121:C124,D121:D124,J121:J124,K121:K124)</f>
        <v>7.6567658408379424E-2</v>
      </c>
      <c r="R121" s="8">
        <f>bdrate(C121:C124,E121:E124,J121:J124,L121:L124)</f>
        <v>9.7437791034485244E-2</v>
      </c>
      <c r="S121" s="8">
        <f>bdrate(C121:C124,F121:F124,J121:J124,M121:M124)</f>
        <v>9.0323553614196195E-2</v>
      </c>
      <c r="T121" s="25">
        <f>bdrate(C121:C124,H121:H124,J121:J124,O121:O124)</f>
        <v>7.9314861170494355E-2</v>
      </c>
      <c r="U121" s="28">
        <f t="shared" si="3"/>
        <v>0.74923125277777747</v>
      </c>
    </row>
    <row r="122" spans="2:21" x14ac:dyDescent="0.25">
      <c r="B122" s="9"/>
      <c r="C122" s="31">
        <v>987.0419921875</v>
      </c>
      <c r="D122" s="32">
        <v>30.686900000000001</v>
      </c>
      <c r="E122" s="32">
        <v>35.232799999999997</v>
      </c>
      <c r="F122" s="32">
        <v>34.450299999999999</v>
      </c>
      <c r="G122" s="18">
        <v>190.71837253655434</v>
      </c>
      <c r="H122" s="18">
        <f t="shared" si="4"/>
        <v>31.725562499999999</v>
      </c>
      <c r="I122" s="5"/>
      <c r="J122" s="31">
        <v>1006.2883</v>
      </c>
      <c r="K122" s="32">
        <v>30.239899999999999</v>
      </c>
      <c r="L122" s="32">
        <v>35.049999999999997</v>
      </c>
      <c r="M122" s="32">
        <v>34.278700000000001</v>
      </c>
      <c r="N122" s="18">
        <v>291.35640000000001</v>
      </c>
      <c r="O122" s="18">
        <f t="shared" si="5"/>
        <v>31.346012500000001</v>
      </c>
      <c r="P122" s="7"/>
      <c r="Q122" s="10"/>
      <c r="R122" s="11"/>
      <c r="S122" s="11"/>
      <c r="T122" s="26"/>
      <c r="U122" s="28">
        <f t="shared" si="3"/>
        <v>0.52767872400000015</v>
      </c>
    </row>
    <row r="123" spans="2:21" x14ac:dyDescent="0.25">
      <c r="B123" s="9"/>
      <c r="C123" s="31">
        <v>592.76953125</v>
      </c>
      <c r="D123" s="32">
        <v>28.279199999999999</v>
      </c>
      <c r="E123" s="32">
        <v>33.8504</v>
      </c>
      <c r="F123" s="32">
        <v>33.0017</v>
      </c>
      <c r="G123" s="18">
        <v>223.26966013396182</v>
      </c>
      <c r="H123" s="18">
        <f t="shared" si="4"/>
        <v>29.5659125</v>
      </c>
      <c r="I123" s="5"/>
      <c r="J123" s="31">
        <v>601.86559999999997</v>
      </c>
      <c r="K123" s="32">
        <v>28.0778</v>
      </c>
      <c r="L123" s="32">
        <v>33.665700000000001</v>
      </c>
      <c r="M123" s="32">
        <v>32.819200000000002</v>
      </c>
      <c r="N123" s="18">
        <v>355.30990000000003</v>
      </c>
      <c r="O123" s="18">
        <f t="shared" si="5"/>
        <v>29.368962499999999</v>
      </c>
      <c r="P123" s="7"/>
      <c r="Q123" s="10"/>
      <c r="R123" s="11"/>
      <c r="S123" s="11"/>
      <c r="T123" s="26"/>
      <c r="U123" s="28">
        <f t="shared" si="3"/>
        <v>0.59139356322222214</v>
      </c>
    </row>
    <row r="124" spans="2:21" ht="16.5" thickBot="1" x14ac:dyDescent="0.3">
      <c r="B124" s="12"/>
      <c r="C124" s="33">
        <v>297.03125</v>
      </c>
      <c r="D124" s="34">
        <v>25.349299999999999</v>
      </c>
      <c r="E124" s="34">
        <v>31.880199999999999</v>
      </c>
      <c r="F124" s="34">
        <v>30.927099999999999</v>
      </c>
      <c r="G124" s="20">
        <v>234.00936037441497</v>
      </c>
      <c r="H124" s="20">
        <f t="shared" si="4"/>
        <v>26.862887499999999</v>
      </c>
      <c r="I124" s="5"/>
      <c r="J124" s="33">
        <v>305.29680000000002</v>
      </c>
      <c r="K124" s="34">
        <v>25.494499999999999</v>
      </c>
      <c r="L124" s="34">
        <v>31.569199999999999</v>
      </c>
      <c r="M124" s="34">
        <v>30.655000000000001</v>
      </c>
      <c r="N124" s="20">
        <v>450.45049999999998</v>
      </c>
      <c r="O124" s="20">
        <f t="shared" si="5"/>
        <v>26.898899999999998</v>
      </c>
      <c r="P124" s="7"/>
      <c r="Q124" s="13"/>
      <c r="R124" s="14"/>
      <c r="S124" s="14"/>
      <c r="T124" s="27"/>
      <c r="U124" s="28">
        <f t="shared" si="3"/>
        <v>0.92492513666666665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7.9438959794600472E-2</v>
      </c>
      <c r="R125" s="21">
        <f>AVERAGE(R9:R124)</f>
        <v>-2.8281024372046643E-4</v>
      </c>
      <c r="S125" s="21">
        <f>AVERAGE(S9:S124)</f>
        <v>-3.3435944232056503E-3</v>
      </c>
      <c r="T125" s="21">
        <f>AVERAGE(T9:T124)</f>
        <v>6.3926949185039036E-2</v>
      </c>
      <c r="U125" s="21">
        <f>AVERAGE(U9:U124)</f>
        <v>0.89202321941020124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45" priority="69" operator="greaterThan">
      <formula>0.03</formula>
    </cfRule>
    <cfRule type="cellIs" dxfId="144" priority="70" stopIfTrue="1" operator="lessThan">
      <formula>-0.03</formula>
    </cfRule>
  </conditionalFormatting>
  <conditionalFormatting sqref="Q33:T36">
    <cfRule type="cellIs" dxfId="143" priority="67" operator="greaterThan">
      <formula>0.03</formula>
    </cfRule>
    <cfRule type="cellIs" dxfId="142" priority="68" stopIfTrue="1" operator="lessThan">
      <formula>-0.03</formula>
    </cfRule>
  </conditionalFormatting>
  <conditionalFormatting sqref="Q45:T48 Q61:T64">
    <cfRule type="cellIs" dxfId="141" priority="65" operator="greaterThan">
      <formula>0.03</formula>
    </cfRule>
    <cfRule type="cellIs" dxfId="140" priority="66" stopIfTrue="1" operator="lessThan">
      <formula>-0.03</formula>
    </cfRule>
  </conditionalFormatting>
  <conditionalFormatting sqref="Q49:T60">
    <cfRule type="cellIs" dxfId="139" priority="63" operator="greaterThan">
      <formula>0.03</formula>
    </cfRule>
    <cfRule type="cellIs" dxfId="138" priority="64" stopIfTrue="1" operator="lessThan">
      <formula>-0.03</formula>
    </cfRule>
  </conditionalFormatting>
  <conditionalFormatting sqref="Q69:T76">
    <cfRule type="cellIs" dxfId="137" priority="61" operator="greaterThan">
      <formula>0.03</formula>
    </cfRule>
    <cfRule type="cellIs" dxfId="136" priority="62" stopIfTrue="1" operator="lessThan">
      <formula>-0.03</formula>
    </cfRule>
  </conditionalFormatting>
  <conditionalFormatting sqref="Q65:T68">
    <cfRule type="cellIs" dxfId="135" priority="59" operator="greaterThan">
      <formula>0.03</formula>
    </cfRule>
    <cfRule type="cellIs" dxfId="134" priority="60" stopIfTrue="1" operator="lessThan">
      <formula>-0.03</formula>
    </cfRule>
  </conditionalFormatting>
  <conditionalFormatting sqref="Q77:T80">
    <cfRule type="cellIs" dxfId="133" priority="57" operator="greaterThan">
      <formula>0.03</formula>
    </cfRule>
    <cfRule type="cellIs" dxfId="132" priority="58" stopIfTrue="1" operator="lessThan">
      <formula>-0.03</formula>
    </cfRule>
  </conditionalFormatting>
  <conditionalFormatting sqref="Q21:T28">
    <cfRule type="cellIs" dxfId="131" priority="55" operator="greaterThan">
      <formula>0.03</formula>
    </cfRule>
    <cfRule type="cellIs" dxfId="130" priority="56" stopIfTrue="1" operator="lessThan">
      <formula>-0.03</formula>
    </cfRule>
  </conditionalFormatting>
  <conditionalFormatting sqref="Q117:T117">
    <cfRule type="cellIs" dxfId="129" priority="3" operator="greaterThan">
      <formula>0.03</formula>
    </cfRule>
    <cfRule type="cellIs" dxfId="128" priority="4" stopIfTrue="1" operator="lessThan">
      <formula>-0.03</formula>
    </cfRule>
  </conditionalFormatting>
  <conditionalFormatting sqref="Q93:T96 Q101:T108 Q81:T84">
    <cfRule type="cellIs" dxfId="127" priority="17" operator="greaterThan">
      <formula>0.03</formula>
    </cfRule>
    <cfRule type="cellIs" dxfId="126" priority="18" stopIfTrue="1" operator="lessThan">
      <formula>-0.03</formula>
    </cfRule>
  </conditionalFormatting>
  <conditionalFormatting sqref="Q97:T100">
    <cfRule type="cellIs" dxfId="125" priority="15" operator="greaterThan">
      <formula>0.03</formula>
    </cfRule>
    <cfRule type="cellIs" dxfId="124" priority="16" stopIfTrue="1" operator="lessThan">
      <formula>-0.03</formula>
    </cfRule>
  </conditionalFormatting>
  <conditionalFormatting sqref="Q110:T112 Q122:T124">
    <cfRule type="cellIs" dxfId="123" priority="13" operator="greaterThan">
      <formula>0.03</formula>
    </cfRule>
    <cfRule type="cellIs" dxfId="122" priority="14" stopIfTrue="1" operator="lessThan">
      <formula>-0.03</formula>
    </cfRule>
  </conditionalFormatting>
  <conditionalFormatting sqref="Q114:T116 Q118:T120">
    <cfRule type="cellIs" dxfId="121" priority="11" operator="greaterThan">
      <formula>0.03</formula>
    </cfRule>
    <cfRule type="cellIs" dxfId="120" priority="12" stopIfTrue="1" operator="lessThan">
      <formula>-0.03</formula>
    </cfRule>
  </conditionalFormatting>
  <conditionalFormatting sqref="Q85:T92">
    <cfRule type="cellIs" dxfId="119" priority="9" operator="greaterThan">
      <formula>0.03</formula>
    </cfRule>
    <cfRule type="cellIs" dxfId="118" priority="10" stopIfTrue="1" operator="lessThan">
      <formula>-0.03</formula>
    </cfRule>
  </conditionalFormatting>
  <conditionalFormatting sqref="Q109:T109">
    <cfRule type="cellIs" dxfId="117" priority="7" operator="greaterThan">
      <formula>0.03</formula>
    </cfRule>
    <cfRule type="cellIs" dxfId="116" priority="8" stopIfTrue="1" operator="lessThan">
      <formula>-0.03</formula>
    </cfRule>
  </conditionalFormatting>
  <conditionalFormatting sqref="Q113:T113">
    <cfRule type="cellIs" dxfId="115" priority="5" operator="greaterThan">
      <formula>0.03</formula>
    </cfRule>
    <cfRule type="cellIs" dxfId="114" priority="6" stopIfTrue="1" operator="lessThan">
      <formula>-0.03</formula>
    </cfRule>
  </conditionalFormatting>
  <conditionalFormatting sqref="Q121:T121">
    <cfRule type="cellIs" dxfId="113" priority="1" operator="greaterThan">
      <formula>0.03</formula>
    </cfRule>
    <cfRule type="cellIs" dxfId="112" priority="2" stopIfTrue="1" operator="lessThan">
      <formula>-0.03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2" x14ac:dyDescent="0.25">
      <c r="A1" t="s">
        <v>164</v>
      </c>
      <c r="V1" t="s">
        <v>165</v>
      </c>
    </row>
    <row r="2" spans="1:22" x14ac:dyDescent="0.25">
      <c r="A2" t="s">
        <v>167</v>
      </c>
    </row>
    <row r="3" spans="1:22" x14ac:dyDescent="0.25">
      <c r="A3" t="s">
        <v>85</v>
      </c>
    </row>
    <row r="5" spans="1:22" s="35" customFormat="1" ht="15.75" customHeight="1" x14ac:dyDescent="0.25">
      <c r="B5" s="58" t="s">
        <v>29</v>
      </c>
      <c r="C5" s="60" t="s">
        <v>176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2"/>
    </row>
    <row r="6" spans="1:22" s="35" customFormat="1" x14ac:dyDescent="0.25">
      <c r="B6" s="59"/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5"/>
    </row>
    <row r="7" spans="1:22" ht="16.5" customHeight="1" thickBot="1" x14ac:dyDescent="0.3">
      <c r="C7" s="66" t="s">
        <v>179</v>
      </c>
      <c r="D7" s="67"/>
      <c r="E7" s="67"/>
      <c r="F7" s="67"/>
      <c r="G7" s="67"/>
      <c r="H7" s="67"/>
      <c r="I7" s="5"/>
      <c r="J7" s="66" t="s">
        <v>181</v>
      </c>
      <c r="K7" s="67"/>
      <c r="L7" s="67"/>
      <c r="M7" s="67"/>
      <c r="N7" s="67"/>
      <c r="O7" s="67"/>
      <c r="Q7" s="66" t="s">
        <v>7</v>
      </c>
      <c r="R7" s="67"/>
      <c r="S7" s="68"/>
      <c r="T7" s="36"/>
      <c r="U7" s="69" t="s">
        <v>45</v>
      </c>
    </row>
    <row r="8" spans="1:22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9"/>
    </row>
    <row r="9" spans="1:22" x14ac:dyDescent="0.25">
      <c r="A9" s="6" t="s">
        <v>35</v>
      </c>
      <c r="B9" s="6" t="s">
        <v>46</v>
      </c>
      <c r="C9" s="15">
        <v>3734.1650390625</v>
      </c>
      <c r="D9" s="16">
        <v>37.544400000000003</v>
      </c>
      <c r="E9" s="16">
        <v>39.116999999999997</v>
      </c>
      <c r="F9" s="16">
        <v>41.506700000000002</v>
      </c>
      <c r="G9" s="16">
        <v>50.083472454090149</v>
      </c>
      <c r="H9" s="16">
        <f t="shared" ref="H9:H80" si="0">(6*D9+E9+F9)/8</f>
        <v>38.236262500000009</v>
      </c>
      <c r="I9" s="5"/>
      <c r="J9" s="15">
        <v>4003.4</v>
      </c>
      <c r="K9" s="16">
        <v>37.874200000000002</v>
      </c>
      <c r="L9" s="16">
        <v>39.445500000000003</v>
      </c>
      <c r="M9" s="16">
        <v>41.921199999999999</v>
      </c>
      <c r="N9" s="16">
        <v>55.7</v>
      </c>
      <c r="O9" s="16">
        <f t="shared" ref="O9:O80" si="1">(6*K9+L9+M9)/8</f>
        <v>38.576487499999999</v>
      </c>
      <c r="P9" s="7"/>
      <c r="Q9" s="8">
        <f>bdrate(C9:C12,D9:D12,J9:J12,K9:K12)</f>
        <v>-8.0156403833787082E-2</v>
      </c>
      <c r="R9" s="8">
        <f>bdrate(C9:C12,E9:E12,J9:J12,L9:L12)</f>
        <v>-0.1345510469204062</v>
      </c>
      <c r="S9" s="8">
        <f>bdrate(C9:C12,F9:F12,J9:J12,M9:M12)</f>
        <v>-0.11739590500733676</v>
      </c>
      <c r="T9" s="25">
        <f>bdrate(C9:C12,H9:H12,J9:J12,O9:O12)</f>
        <v>-8.6471257268730728E-2</v>
      </c>
      <c r="U9" s="28">
        <f t="shared" ref="U9:U72" si="2">(N9-G9)/G9</f>
        <v>0.11214333333333341</v>
      </c>
    </row>
    <row r="10" spans="1:22" x14ac:dyDescent="0.25">
      <c r="A10" s="9" t="s">
        <v>36</v>
      </c>
      <c r="B10" s="9"/>
      <c r="C10" s="17">
        <v>2769.625</v>
      </c>
      <c r="D10" s="18">
        <v>36.486499999999999</v>
      </c>
      <c r="E10" s="18">
        <v>38.604700000000001</v>
      </c>
      <c r="F10" s="18">
        <v>40.958100000000002</v>
      </c>
      <c r="G10" s="18">
        <v>55.289347585698486</v>
      </c>
      <c r="H10" s="18">
        <f t="shared" si="0"/>
        <v>37.310224999999996</v>
      </c>
      <c r="I10" s="5"/>
      <c r="J10" s="17">
        <v>2869.7759999999998</v>
      </c>
      <c r="K10" s="18">
        <v>36.808599999999998</v>
      </c>
      <c r="L10" s="18">
        <v>38.8491</v>
      </c>
      <c r="M10" s="18">
        <v>41.195099999999996</v>
      </c>
      <c r="N10" s="18">
        <v>61.5764</v>
      </c>
      <c r="O10" s="18">
        <f t="shared" si="1"/>
        <v>37.611975000000001</v>
      </c>
      <c r="P10" s="7"/>
      <c r="Q10" s="10"/>
      <c r="R10" s="11"/>
      <c r="S10" s="11"/>
      <c r="T10" s="26"/>
      <c r="U10" s="28">
        <f t="shared" si="2"/>
        <v>0.11371182133333338</v>
      </c>
    </row>
    <row r="11" spans="1:22" x14ac:dyDescent="0.25">
      <c r="B11" s="9"/>
      <c r="C11" s="17">
        <v>1872.43359375</v>
      </c>
      <c r="D11" s="18">
        <v>34.852200000000003</v>
      </c>
      <c r="E11" s="18">
        <v>37.8748</v>
      </c>
      <c r="F11" s="18">
        <v>40.170699999999997</v>
      </c>
      <c r="G11" s="18">
        <v>60.362173038229379</v>
      </c>
      <c r="H11" s="18">
        <f t="shared" si="0"/>
        <v>35.894837500000001</v>
      </c>
      <c r="I11" s="5"/>
      <c r="J11" s="17">
        <v>1891.9023999999999</v>
      </c>
      <c r="K11" s="18">
        <v>35.2575</v>
      </c>
      <c r="L11" s="18">
        <v>38.191899999999997</v>
      </c>
      <c r="M11" s="18">
        <v>40.490499999999997</v>
      </c>
      <c r="N11" s="18">
        <v>72.046099999999996</v>
      </c>
      <c r="O11" s="18">
        <f t="shared" si="1"/>
        <v>36.278424999999999</v>
      </c>
      <c r="P11" s="7"/>
      <c r="Q11" s="10"/>
      <c r="R11" s="11"/>
      <c r="S11" s="11"/>
      <c r="T11" s="26"/>
      <c r="U11" s="28">
        <f t="shared" si="2"/>
        <v>0.19356372333333322</v>
      </c>
    </row>
    <row r="12" spans="1:22" ht="16.5" thickBot="1" x14ac:dyDescent="0.3">
      <c r="B12" s="12"/>
      <c r="C12" s="19">
        <v>922.94140625</v>
      </c>
      <c r="D12" s="20">
        <v>31.920999999999999</v>
      </c>
      <c r="E12" s="20">
        <v>36.762999999999998</v>
      </c>
      <c r="F12" s="20">
        <v>39.026699999999998</v>
      </c>
      <c r="G12" s="20">
        <v>67.598017124831003</v>
      </c>
      <c r="H12" s="20">
        <f t="shared" si="0"/>
        <v>33.414462499999999</v>
      </c>
      <c r="I12" s="5"/>
      <c r="J12" s="19">
        <v>901.82399999999996</v>
      </c>
      <c r="K12" s="20">
        <v>32.248199999999997</v>
      </c>
      <c r="L12" s="20">
        <v>36.884900000000002</v>
      </c>
      <c r="M12" s="20">
        <v>39.069800000000001</v>
      </c>
      <c r="N12" s="20">
        <v>94.518000000000001</v>
      </c>
      <c r="O12" s="20">
        <f t="shared" si="1"/>
        <v>33.680487499999998</v>
      </c>
      <c r="P12" s="7"/>
      <c r="Q12" s="13"/>
      <c r="R12" s="14"/>
      <c r="S12" s="14"/>
      <c r="T12" s="27"/>
      <c r="U12" s="28">
        <f t="shared" si="2"/>
        <v>0.39823628000000005</v>
      </c>
    </row>
    <row r="13" spans="1:22" x14ac:dyDescent="0.25">
      <c r="B13" s="6" t="s">
        <v>47</v>
      </c>
      <c r="C13" s="15">
        <v>3753.380859375</v>
      </c>
      <c r="D13" s="16">
        <v>28.6983</v>
      </c>
      <c r="E13" s="16">
        <v>39.041699999999999</v>
      </c>
      <c r="F13" s="16">
        <v>40.024099999999997</v>
      </c>
      <c r="G13" s="16">
        <v>37.650602409638552</v>
      </c>
      <c r="H13" s="16">
        <f t="shared" si="0"/>
        <v>31.406949999999998</v>
      </c>
      <c r="I13" s="5"/>
      <c r="J13" s="15">
        <v>4032.7984000000001</v>
      </c>
      <c r="K13" s="16">
        <v>29.372399999999999</v>
      </c>
      <c r="L13" s="16">
        <v>39.339799999999997</v>
      </c>
      <c r="M13" s="16">
        <v>40.287100000000002</v>
      </c>
      <c r="N13" s="16">
        <v>44.378700000000002</v>
      </c>
      <c r="O13" s="16">
        <f t="shared" si="1"/>
        <v>31.9826625</v>
      </c>
      <c r="P13" s="7"/>
      <c r="Q13" s="8">
        <f>bdrate(C13:C16,D13:D16,J13:J16,K13:K16)</f>
        <v>-2.4034140408030091E-2</v>
      </c>
      <c r="R13" s="8">
        <f>bdrate(C13:C16,E13:E16,J13:J16,L13:L16)</f>
        <v>-3.6934062160549619E-2</v>
      </c>
      <c r="S13" s="8">
        <f>bdrate(C13:C16,F13:F16,J13:J16,M13:M16)</f>
        <v>-5.842372387060768E-2</v>
      </c>
      <c r="T13" s="25">
        <f>bdrate(C13:C16,H13:H16,J13:J16,O13:O16)</f>
        <v>-2.6716548947902319E-2</v>
      </c>
      <c r="U13" s="28">
        <f t="shared" si="2"/>
        <v>0.17869827200000013</v>
      </c>
    </row>
    <row r="14" spans="1:22" x14ac:dyDescent="0.25">
      <c r="B14" s="9"/>
      <c r="C14" s="17">
        <v>2795.591796875</v>
      </c>
      <c r="D14" s="18">
        <v>27.468900000000001</v>
      </c>
      <c r="E14" s="18">
        <v>38.607399999999998</v>
      </c>
      <c r="F14" s="18">
        <v>39.610799999999998</v>
      </c>
      <c r="G14" s="18">
        <v>47.483380816714153</v>
      </c>
      <c r="H14" s="18">
        <f t="shared" si="0"/>
        <v>30.378949999999996</v>
      </c>
      <c r="I14" s="5"/>
      <c r="J14" s="17">
        <v>3036.0608000000002</v>
      </c>
      <c r="K14" s="18">
        <v>28.071400000000001</v>
      </c>
      <c r="L14" s="18">
        <v>38.837899999999998</v>
      </c>
      <c r="M14" s="18">
        <v>39.820599999999999</v>
      </c>
      <c r="N14" s="18">
        <v>50.692799999999998</v>
      </c>
      <c r="O14" s="18">
        <f t="shared" si="1"/>
        <v>30.885862500000002</v>
      </c>
      <c r="P14" s="7"/>
      <c r="Q14" s="10"/>
      <c r="R14" s="11"/>
      <c r="S14" s="11"/>
      <c r="T14" s="26"/>
      <c r="U14" s="28">
        <f t="shared" si="2"/>
        <v>6.7590367999999901E-2</v>
      </c>
    </row>
    <row r="15" spans="1:22" x14ac:dyDescent="0.25">
      <c r="B15" s="9"/>
      <c r="C15" s="17">
        <v>1848.671875</v>
      </c>
      <c r="D15" s="18">
        <v>25.880199999999999</v>
      </c>
      <c r="E15" s="18">
        <v>37.8202</v>
      </c>
      <c r="F15" s="18">
        <v>38.917299999999997</v>
      </c>
      <c r="G15" s="18">
        <v>47.60393525864805</v>
      </c>
      <c r="H15" s="18">
        <f t="shared" si="0"/>
        <v>29.002337499999996</v>
      </c>
      <c r="I15" s="5"/>
      <c r="J15" s="17">
        <v>2016.4096</v>
      </c>
      <c r="K15" s="18">
        <v>26.270099999999999</v>
      </c>
      <c r="L15" s="18">
        <v>38.108600000000003</v>
      </c>
      <c r="M15" s="18">
        <v>39.215299999999999</v>
      </c>
      <c r="N15" s="18">
        <v>61.906700000000001</v>
      </c>
      <c r="O15" s="18">
        <f t="shared" si="1"/>
        <v>29.368062500000001</v>
      </c>
      <c r="P15" s="7"/>
      <c r="Q15" s="10"/>
      <c r="R15" s="11"/>
      <c r="S15" s="11"/>
      <c r="T15" s="26"/>
      <c r="U15" s="28">
        <f t="shared" si="2"/>
        <v>0.30045341133333331</v>
      </c>
    </row>
    <row r="16" spans="1:22" ht="16.5" thickBot="1" x14ac:dyDescent="0.3">
      <c r="B16" s="12"/>
      <c r="C16" s="19">
        <v>1051.65625</v>
      </c>
      <c r="D16" s="20">
        <v>23.982099999999999</v>
      </c>
      <c r="E16" s="20">
        <v>36.368400000000001</v>
      </c>
      <c r="F16" s="20">
        <v>37.640799999999999</v>
      </c>
      <c r="G16" s="20">
        <v>46.831095847642835</v>
      </c>
      <c r="H16" s="20">
        <f t="shared" si="0"/>
        <v>27.237724999999998</v>
      </c>
      <c r="I16" s="5"/>
      <c r="J16" s="19">
        <v>1137.7888</v>
      </c>
      <c r="K16" s="20">
        <v>24.144300000000001</v>
      </c>
      <c r="L16" s="20">
        <v>36.556899999999999</v>
      </c>
      <c r="M16" s="20">
        <v>37.876399999999997</v>
      </c>
      <c r="N16" s="20">
        <v>76.026399999999995</v>
      </c>
      <c r="O16" s="20">
        <f t="shared" si="1"/>
        <v>27.412387500000001</v>
      </c>
      <c r="P16" s="7"/>
      <c r="Q16" s="13"/>
      <c r="R16" s="14"/>
      <c r="S16" s="14"/>
      <c r="T16" s="27"/>
      <c r="U16" s="28">
        <f t="shared" si="2"/>
        <v>0.62341706133333319</v>
      </c>
    </row>
    <row r="17" spans="1:21" x14ac:dyDescent="0.25">
      <c r="A17" s="6" t="s">
        <v>37</v>
      </c>
      <c r="B17" s="6" t="s">
        <v>48</v>
      </c>
      <c r="C17" s="15">
        <v>2226.564453125</v>
      </c>
      <c r="D17" s="16">
        <v>39.180199999999999</v>
      </c>
      <c r="E17" s="16">
        <v>41.775199999999998</v>
      </c>
      <c r="F17" s="16">
        <v>43.1252</v>
      </c>
      <c r="G17" s="16">
        <v>61.680801850424054</v>
      </c>
      <c r="H17" s="16">
        <f t="shared" si="0"/>
        <v>39.997700000000002</v>
      </c>
      <c r="I17" s="5"/>
      <c r="J17" s="15">
        <v>2375.4128000000001</v>
      </c>
      <c r="K17" s="16">
        <v>39.0473</v>
      </c>
      <c r="L17" s="16">
        <v>41.876600000000003</v>
      </c>
      <c r="M17" s="16">
        <v>43.2166</v>
      </c>
      <c r="N17" s="16">
        <v>105.30929999999999</v>
      </c>
      <c r="O17" s="16">
        <f t="shared" si="1"/>
        <v>39.922124999999994</v>
      </c>
      <c r="P17" s="7"/>
      <c r="Q17" s="8">
        <f>bdrate(C17:C20,D17:D20,J17:J20,K17:K20)</f>
        <v>1.2767347920753958E-2</v>
      </c>
      <c r="R17" s="8">
        <f>bdrate(C17:C20,E17:E20,J17:J20,L17:L20)</f>
        <v>-9.6004016587306618E-3</v>
      </c>
      <c r="S17" s="8">
        <f>bdrate(C17:C20,F17:F20,J17:J20,M17:M20)</f>
        <v>1.1317708468059573E-2</v>
      </c>
      <c r="T17" s="25">
        <f>bdrate(C17:C20,H17:H20,J17:J20,O17:O20)</f>
        <v>1.1455636661849455E-2</v>
      </c>
      <c r="U17" s="28">
        <f t="shared" si="2"/>
        <v>0.70732702624999999</v>
      </c>
    </row>
    <row r="18" spans="1:21" x14ac:dyDescent="0.25">
      <c r="A18" s="9" t="s">
        <v>38</v>
      </c>
      <c r="B18" s="9"/>
      <c r="C18" s="17">
        <v>1484.376953125</v>
      </c>
      <c r="D18" s="18">
        <v>37.775399999999998</v>
      </c>
      <c r="E18" s="18">
        <v>41.140700000000002</v>
      </c>
      <c r="F18" s="18">
        <v>42.39</v>
      </c>
      <c r="G18" s="18">
        <v>80</v>
      </c>
      <c r="H18" s="18">
        <f t="shared" si="0"/>
        <v>38.772887499999996</v>
      </c>
      <c r="I18" s="5"/>
      <c r="J18" s="17">
        <v>1566.184</v>
      </c>
      <c r="K18" s="18">
        <v>37.809800000000003</v>
      </c>
      <c r="L18" s="18">
        <v>41.188600000000001</v>
      </c>
      <c r="M18" s="18">
        <v>42.4238</v>
      </c>
      <c r="N18" s="18">
        <v>118.11020000000001</v>
      </c>
      <c r="O18" s="18">
        <f t="shared" si="1"/>
        <v>38.808900000000008</v>
      </c>
      <c r="P18" s="7"/>
      <c r="Q18" s="10"/>
      <c r="R18" s="11"/>
      <c r="S18" s="11"/>
      <c r="T18" s="26"/>
      <c r="U18" s="28">
        <f t="shared" si="2"/>
        <v>0.47637750000000006</v>
      </c>
    </row>
    <row r="19" spans="1:21" x14ac:dyDescent="0.25">
      <c r="B19" s="9"/>
      <c r="C19" s="17">
        <v>927.3447265625</v>
      </c>
      <c r="D19" s="18">
        <v>36.075899999999997</v>
      </c>
      <c r="E19" s="18">
        <v>40.323099999999997</v>
      </c>
      <c r="F19" s="18">
        <v>41.5351</v>
      </c>
      <c r="G19" s="18">
        <v>96.618357487922708</v>
      </c>
      <c r="H19" s="18">
        <f t="shared" si="0"/>
        <v>37.289200000000001</v>
      </c>
      <c r="I19" s="5"/>
      <c r="J19" s="17">
        <v>958.10640000000001</v>
      </c>
      <c r="K19" s="18">
        <v>36.216000000000001</v>
      </c>
      <c r="L19" s="18">
        <v>40.4176</v>
      </c>
      <c r="M19" s="18">
        <v>41.607199999999999</v>
      </c>
      <c r="N19" s="18">
        <v>136.2089</v>
      </c>
      <c r="O19" s="18">
        <f t="shared" si="1"/>
        <v>37.415099999999995</v>
      </c>
      <c r="P19" s="7"/>
      <c r="Q19" s="10"/>
      <c r="R19" s="11"/>
      <c r="S19" s="11"/>
      <c r="T19" s="26"/>
      <c r="U19" s="28">
        <f t="shared" si="2"/>
        <v>0.40976211499999998</v>
      </c>
    </row>
    <row r="20" spans="1:21" ht="16.5" thickBot="1" x14ac:dyDescent="0.3">
      <c r="B20" s="12"/>
      <c r="C20" s="19">
        <v>556.25</v>
      </c>
      <c r="D20" s="20">
        <v>34.1935</v>
      </c>
      <c r="E20" s="20">
        <v>39.565899999999999</v>
      </c>
      <c r="F20" s="20">
        <v>40.850700000000003</v>
      </c>
      <c r="G20" s="20">
        <v>112.09715086408221</v>
      </c>
      <c r="H20" s="20">
        <f t="shared" si="0"/>
        <v>35.697200000000002</v>
      </c>
      <c r="I20" s="5"/>
      <c r="J20" s="19">
        <v>549.09199999999998</v>
      </c>
      <c r="K20" s="20">
        <v>34.3476</v>
      </c>
      <c r="L20" s="20">
        <v>39.628799999999998</v>
      </c>
      <c r="M20" s="20">
        <v>40.825499999999998</v>
      </c>
      <c r="N20" s="20">
        <v>161.50739999999999</v>
      </c>
      <c r="O20" s="20">
        <f t="shared" si="1"/>
        <v>35.817487499999999</v>
      </c>
      <c r="P20" s="7"/>
      <c r="Q20" s="13"/>
      <c r="R20" s="14"/>
      <c r="S20" s="14"/>
      <c r="T20" s="27"/>
      <c r="U20" s="28">
        <f t="shared" si="2"/>
        <v>0.44078059749999987</v>
      </c>
    </row>
    <row r="21" spans="1:21" x14ac:dyDescent="0.25">
      <c r="B21" s="6" t="s">
        <v>49</v>
      </c>
      <c r="C21" s="15">
        <v>2263.255859375</v>
      </c>
      <c r="D21" s="16">
        <v>35.997399999999999</v>
      </c>
      <c r="E21" s="16">
        <v>39.601500000000001</v>
      </c>
      <c r="F21" s="16">
        <v>40.733199999999997</v>
      </c>
      <c r="G21" s="16">
        <v>66.11570247933885</v>
      </c>
      <c r="H21" s="16">
        <f t="shared" si="0"/>
        <v>37.039887499999999</v>
      </c>
      <c r="I21" s="5"/>
      <c r="J21" s="15">
        <v>2455.0832</v>
      </c>
      <c r="K21" s="16">
        <v>35.998800000000003</v>
      </c>
      <c r="L21" s="16">
        <v>39.944600000000001</v>
      </c>
      <c r="M21" s="16">
        <v>41.160400000000003</v>
      </c>
      <c r="N21" s="16">
        <v>94.007099999999994</v>
      </c>
      <c r="O21" s="16">
        <f t="shared" si="1"/>
        <v>37.137225000000001</v>
      </c>
      <c r="P21" s="7"/>
      <c r="Q21" s="8">
        <f>bdrate(C21:C24,D21:D24,J21:J24,K21:K24)</f>
        <v>4.0011747985765567E-2</v>
      </c>
      <c r="R21" s="8">
        <f>bdrate(C21:C24,E21:E24,J21:J24,L21:L24)</f>
        <v>-9.4129576489262901E-2</v>
      </c>
      <c r="S21" s="8">
        <f>bdrate(C21:C24,F21:F24,J21:J24,M21:M24)</f>
        <v>-0.10022857567653709</v>
      </c>
      <c r="T21" s="25">
        <f>bdrate(C21:C24,H21:H24,J21:J24,O21:O24)</f>
        <v>1.7873993899392593E-2</v>
      </c>
      <c r="U21" s="28">
        <f t="shared" si="2"/>
        <v>0.42185738749999974</v>
      </c>
    </row>
    <row r="22" spans="1:21" x14ac:dyDescent="0.25">
      <c r="B22" s="9"/>
      <c r="C22" s="17">
        <v>1514.9853515625</v>
      </c>
      <c r="D22" s="18">
        <v>34.646500000000003</v>
      </c>
      <c r="E22" s="18">
        <v>38.808300000000003</v>
      </c>
      <c r="F22" s="18">
        <v>40.0077</v>
      </c>
      <c r="G22" s="18">
        <v>85.959885386819494</v>
      </c>
      <c r="H22" s="18">
        <f t="shared" si="0"/>
        <v>35.836875000000006</v>
      </c>
      <c r="I22" s="5"/>
      <c r="J22" s="17">
        <v>1637.6415999999999</v>
      </c>
      <c r="K22" s="18">
        <v>34.697099999999999</v>
      </c>
      <c r="L22" s="18">
        <v>39.136400000000002</v>
      </c>
      <c r="M22" s="18">
        <v>40.35</v>
      </c>
      <c r="N22" s="18">
        <v>109.6391</v>
      </c>
      <c r="O22" s="18">
        <f t="shared" si="1"/>
        <v>35.958624999999998</v>
      </c>
      <c r="P22" s="7"/>
      <c r="Q22" s="10"/>
      <c r="R22" s="11"/>
      <c r="S22" s="11"/>
      <c r="T22" s="26"/>
      <c r="U22" s="28">
        <f t="shared" si="2"/>
        <v>0.2754681966666665</v>
      </c>
    </row>
    <row r="23" spans="1:21" x14ac:dyDescent="0.25">
      <c r="B23" s="9"/>
      <c r="C23" s="17">
        <v>944.41015625</v>
      </c>
      <c r="D23" s="18">
        <v>33.099699999999999</v>
      </c>
      <c r="E23" s="18">
        <v>37.911499999999997</v>
      </c>
      <c r="F23" s="18">
        <v>39.2821</v>
      </c>
      <c r="G23" s="18">
        <v>99.543757776856069</v>
      </c>
      <c r="H23" s="18">
        <f t="shared" si="0"/>
        <v>34.473974999999996</v>
      </c>
      <c r="I23" s="5"/>
      <c r="J23" s="17">
        <v>1000.7632</v>
      </c>
      <c r="K23" s="18">
        <v>33.216900000000003</v>
      </c>
      <c r="L23" s="18">
        <v>38.223500000000001</v>
      </c>
      <c r="M23" s="18">
        <v>39.524099999999997</v>
      </c>
      <c r="N23" s="18">
        <v>130.4348</v>
      </c>
      <c r="O23" s="18">
        <f t="shared" si="1"/>
        <v>34.631124999999997</v>
      </c>
      <c r="P23" s="7"/>
      <c r="Q23" s="10"/>
      <c r="R23" s="11"/>
      <c r="S23" s="11"/>
      <c r="T23" s="26"/>
      <c r="U23" s="28">
        <f t="shared" si="2"/>
        <v>0.31032626166666671</v>
      </c>
    </row>
    <row r="24" spans="1:21" ht="16.5" thickBot="1" x14ac:dyDescent="0.3">
      <c r="B24" s="12"/>
      <c r="C24" s="19">
        <v>568.34375</v>
      </c>
      <c r="D24" s="20">
        <v>31.4621</v>
      </c>
      <c r="E24" s="20">
        <v>37.134799999999998</v>
      </c>
      <c r="F24" s="20">
        <v>38.713500000000003</v>
      </c>
      <c r="G24" s="20">
        <v>117.82032400589102</v>
      </c>
      <c r="H24" s="20">
        <f t="shared" si="0"/>
        <v>33.077612500000001</v>
      </c>
      <c r="I24" s="5"/>
      <c r="J24" s="19">
        <v>579.79359999999997</v>
      </c>
      <c r="K24" s="20">
        <v>31.508600000000001</v>
      </c>
      <c r="L24" s="20">
        <v>37.2562</v>
      </c>
      <c r="M24" s="20">
        <v>38.765000000000001</v>
      </c>
      <c r="N24" s="20">
        <v>157.68729999999999</v>
      </c>
      <c r="O24" s="20">
        <f t="shared" si="1"/>
        <v>33.134100000000004</v>
      </c>
      <c r="P24" s="7"/>
      <c r="Q24" s="13"/>
      <c r="R24" s="14"/>
      <c r="S24" s="14"/>
      <c r="T24" s="27"/>
      <c r="U24" s="28">
        <f t="shared" si="2"/>
        <v>0.33837095874999984</v>
      </c>
    </row>
    <row r="25" spans="1:21" x14ac:dyDescent="0.25">
      <c r="B25" s="6" t="s">
        <v>50</v>
      </c>
      <c r="C25" s="15">
        <v>2302.2958984375</v>
      </c>
      <c r="D25" s="16">
        <v>33.702300000000001</v>
      </c>
      <c r="E25" s="16">
        <v>37.834600000000002</v>
      </c>
      <c r="F25" s="16">
        <v>39.494599999999998</v>
      </c>
      <c r="G25" s="16">
        <v>82.196284727930291</v>
      </c>
      <c r="H25" s="16">
        <f t="shared" si="0"/>
        <v>34.942875000000001</v>
      </c>
      <c r="I25" s="5"/>
      <c r="J25" s="15">
        <v>2407.2991999999999</v>
      </c>
      <c r="K25" s="16">
        <v>34.031399999999998</v>
      </c>
      <c r="L25" s="16">
        <v>38.0959</v>
      </c>
      <c r="M25" s="16">
        <v>40.068199999999997</v>
      </c>
      <c r="N25" s="16">
        <v>139.50890000000001</v>
      </c>
      <c r="O25" s="16">
        <f t="shared" si="1"/>
        <v>35.294062500000003</v>
      </c>
      <c r="P25" s="7"/>
      <c r="Q25" s="8">
        <f>bdrate(C25:C28,D25:D28,J25:J28,K25:K28)</f>
        <v>-0.10363130387754227</v>
      </c>
      <c r="R25" s="8">
        <f>bdrate(C25:C28,E25:E28,J25:J28,L25:L28)</f>
        <v>-0.15328359371488087</v>
      </c>
      <c r="S25" s="8">
        <f>bdrate(C25:C28,F25:F28,J25:J28,M25:M28)</f>
        <v>-0.17415587638741792</v>
      </c>
      <c r="T25" s="25">
        <f>bdrate(C25:C28,H25:H28,J25:J28,O25:O28)</f>
        <v>-0.11322709936284137</v>
      </c>
      <c r="U25" s="28">
        <f t="shared" si="2"/>
        <v>0.69726527740000033</v>
      </c>
    </row>
    <row r="26" spans="1:21" x14ac:dyDescent="0.25">
      <c r="B26" s="9"/>
      <c r="C26" s="17">
        <v>1536.7490234375</v>
      </c>
      <c r="D26" s="18">
        <v>32.306600000000003</v>
      </c>
      <c r="E26" s="18">
        <v>37.325200000000002</v>
      </c>
      <c r="F26" s="18">
        <v>38.601599999999998</v>
      </c>
      <c r="G26" s="18">
        <v>125.18778167250876</v>
      </c>
      <c r="H26" s="18">
        <f t="shared" si="0"/>
        <v>33.720800000000004</v>
      </c>
      <c r="I26" s="5"/>
      <c r="J26" s="17">
        <v>1607.1343999999999</v>
      </c>
      <c r="K26" s="18">
        <v>32.806399999999996</v>
      </c>
      <c r="L26" s="18">
        <v>37.648400000000002</v>
      </c>
      <c r="M26" s="18">
        <v>39.255800000000001</v>
      </c>
      <c r="N26" s="18">
        <v>154.8947</v>
      </c>
      <c r="O26" s="18">
        <f t="shared" si="1"/>
        <v>34.217824999999998</v>
      </c>
      <c r="P26" s="7"/>
      <c r="Q26" s="10"/>
      <c r="R26" s="11"/>
      <c r="S26" s="11"/>
      <c r="T26" s="26"/>
      <c r="U26" s="28">
        <f t="shared" si="2"/>
        <v>0.23729886360000002</v>
      </c>
    </row>
    <row r="27" spans="1:21" x14ac:dyDescent="0.25">
      <c r="B27" s="9"/>
      <c r="C27" s="17">
        <v>959.7177734375</v>
      </c>
      <c r="D27" s="18">
        <v>30.6526</v>
      </c>
      <c r="E27" s="18">
        <v>36.825000000000003</v>
      </c>
      <c r="F27" s="18">
        <v>37.863300000000002</v>
      </c>
      <c r="G27" s="18">
        <v>142.65335235378032</v>
      </c>
      <c r="H27" s="18">
        <f t="shared" si="0"/>
        <v>32.325487499999994</v>
      </c>
      <c r="I27" s="5"/>
      <c r="J27" s="17">
        <v>1000.0816</v>
      </c>
      <c r="K27" s="18">
        <v>31.1936</v>
      </c>
      <c r="L27" s="18">
        <v>37.045400000000001</v>
      </c>
      <c r="M27" s="18">
        <v>38.225200000000001</v>
      </c>
      <c r="N27" s="18">
        <v>183.15020000000001</v>
      </c>
      <c r="O27" s="18">
        <f t="shared" si="1"/>
        <v>32.804024999999996</v>
      </c>
      <c r="P27" s="7"/>
      <c r="Q27" s="10"/>
      <c r="R27" s="11"/>
      <c r="S27" s="11"/>
      <c r="T27" s="26"/>
      <c r="U27" s="28">
        <f t="shared" si="2"/>
        <v>0.28388290200000005</v>
      </c>
    </row>
    <row r="28" spans="1:21" ht="16.5" thickBot="1" x14ac:dyDescent="0.3">
      <c r="B28" s="12"/>
      <c r="C28" s="19">
        <v>577.669921875</v>
      </c>
      <c r="D28" s="20">
        <v>28.8247</v>
      </c>
      <c r="E28" s="20">
        <v>36.219499999999996</v>
      </c>
      <c r="F28" s="20">
        <v>36.830800000000004</v>
      </c>
      <c r="G28" s="20">
        <v>147.3187978786093</v>
      </c>
      <c r="H28" s="20">
        <f t="shared" si="0"/>
        <v>30.749812499999997</v>
      </c>
      <c r="I28" s="5"/>
      <c r="J28" s="19">
        <v>596.6952</v>
      </c>
      <c r="K28" s="20">
        <v>29.446400000000001</v>
      </c>
      <c r="L28" s="20">
        <v>36.363999999999997</v>
      </c>
      <c r="M28" s="20">
        <v>37.107799999999997</v>
      </c>
      <c r="N28" s="20">
        <v>217.67519999999999</v>
      </c>
      <c r="O28" s="20">
        <f t="shared" si="1"/>
        <v>31.268775000000002</v>
      </c>
      <c r="P28" s="7"/>
      <c r="Q28" s="13"/>
      <c r="R28" s="14"/>
      <c r="S28" s="14"/>
      <c r="T28" s="27"/>
      <c r="U28" s="28">
        <f t="shared" si="2"/>
        <v>0.47757925760000003</v>
      </c>
    </row>
    <row r="29" spans="1:21" x14ac:dyDescent="0.25">
      <c r="B29" s="6" t="s">
        <v>51</v>
      </c>
      <c r="C29" s="29">
        <v>2296.3505859375</v>
      </c>
      <c r="D29" s="30">
        <v>34.024099999999997</v>
      </c>
      <c r="E29" s="30">
        <v>40.217199999999998</v>
      </c>
      <c r="F29" s="30">
        <v>39.823700000000002</v>
      </c>
      <c r="G29" s="16">
        <v>79.415501905972036</v>
      </c>
      <c r="H29" s="16">
        <f t="shared" si="0"/>
        <v>35.523187499999992</v>
      </c>
      <c r="I29" s="5"/>
      <c r="J29" s="29">
        <v>2412.5016000000001</v>
      </c>
      <c r="K29" s="30">
        <v>33.9908</v>
      </c>
      <c r="L29" s="30">
        <v>40.2624</v>
      </c>
      <c r="M29" s="30">
        <v>39.854999999999997</v>
      </c>
      <c r="N29" s="16">
        <v>115.7675</v>
      </c>
      <c r="O29" s="16">
        <f t="shared" si="1"/>
        <v>35.507775000000002</v>
      </c>
      <c r="P29" s="7"/>
      <c r="Q29" s="8">
        <f>bdrate(C29:C32,D29:D32,J29:J32,K29:K32)</f>
        <v>2.7444328875242396E-2</v>
      </c>
      <c r="R29" s="8">
        <f>bdrate(C29:C32,E29:E32,J29:J32,L29:L32)</f>
        <v>7.1975206405342051E-2</v>
      </c>
      <c r="S29" s="8">
        <f>bdrate(C29:C32,F29:F32,J29:J32,M29:M32)</f>
        <v>5.7636862317602677E-3</v>
      </c>
      <c r="T29" s="25">
        <f>bdrate(C29:C32,H29:H32,J29:J32,O29:O32)</f>
        <v>2.8936543051788943E-2</v>
      </c>
      <c r="U29" s="28">
        <f t="shared" si="2"/>
        <v>0.45774436000000018</v>
      </c>
    </row>
    <row r="30" spans="1:21" x14ac:dyDescent="0.25">
      <c r="B30" s="9"/>
      <c r="C30" s="31">
        <v>1529.2265625</v>
      </c>
      <c r="D30" s="32">
        <v>32.523299999999999</v>
      </c>
      <c r="E30" s="32">
        <v>39.479700000000001</v>
      </c>
      <c r="F30" s="32">
        <v>38.791499999999999</v>
      </c>
      <c r="G30" s="18">
        <v>112.15791834903544</v>
      </c>
      <c r="H30" s="18">
        <f t="shared" si="0"/>
        <v>34.176375</v>
      </c>
      <c r="I30" s="5"/>
      <c r="J30" s="31">
        <v>1607.0624</v>
      </c>
      <c r="K30" s="32">
        <v>32.591000000000001</v>
      </c>
      <c r="L30" s="32">
        <v>39.470500000000001</v>
      </c>
      <c r="M30" s="32">
        <v>38.866799999999998</v>
      </c>
      <c r="N30" s="18">
        <v>132.73159999999999</v>
      </c>
      <c r="O30" s="18">
        <f t="shared" si="1"/>
        <v>34.235412500000002</v>
      </c>
      <c r="P30" s="7"/>
      <c r="Q30" s="10"/>
      <c r="R30" s="11"/>
      <c r="S30" s="11"/>
      <c r="T30" s="26"/>
      <c r="U30" s="28">
        <f t="shared" si="2"/>
        <v>0.18343494559999987</v>
      </c>
    </row>
    <row r="31" spans="1:21" x14ac:dyDescent="0.25">
      <c r="B31" s="9"/>
      <c r="C31" s="31">
        <v>955.12109375</v>
      </c>
      <c r="D31" s="32">
        <v>30.737300000000001</v>
      </c>
      <c r="E31" s="32">
        <v>38.533999999999999</v>
      </c>
      <c r="F31" s="32">
        <v>37.4955</v>
      </c>
      <c r="G31" s="18">
        <v>121.32977432661974</v>
      </c>
      <c r="H31" s="18">
        <f t="shared" si="0"/>
        <v>32.556662500000002</v>
      </c>
      <c r="I31" s="5"/>
      <c r="J31" s="31">
        <v>998.49279999999999</v>
      </c>
      <c r="K31" s="32">
        <v>30.804099999999998</v>
      </c>
      <c r="L31" s="32">
        <v>38.4544</v>
      </c>
      <c r="M31" s="32">
        <v>37.6462</v>
      </c>
      <c r="N31" s="18">
        <v>157.33170000000001</v>
      </c>
      <c r="O31" s="18">
        <f t="shared" si="1"/>
        <v>32.615649999999995</v>
      </c>
      <c r="P31" s="7"/>
      <c r="Q31" s="10"/>
      <c r="R31" s="11"/>
      <c r="S31" s="11"/>
      <c r="T31" s="26"/>
      <c r="U31" s="28">
        <f t="shared" si="2"/>
        <v>0.29672787140000023</v>
      </c>
    </row>
    <row r="32" spans="1:21" ht="16.5" thickBot="1" x14ac:dyDescent="0.3">
      <c r="B32" s="12"/>
      <c r="C32" s="33">
        <v>573.96875</v>
      </c>
      <c r="D32" s="34">
        <v>28.715299999999999</v>
      </c>
      <c r="E32" s="34">
        <v>37.025199999999998</v>
      </c>
      <c r="F32" s="34">
        <v>35.732100000000003</v>
      </c>
      <c r="G32" s="20">
        <v>137.85497656465398</v>
      </c>
      <c r="H32" s="20">
        <f t="shared" si="0"/>
        <v>30.631137500000001</v>
      </c>
      <c r="I32" s="5"/>
      <c r="J32" s="33">
        <v>598.68079999999998</v>
      </c>
      <c r="K32" s="34">
        <v>28.9085</v>
      </c>
      <c r="L32" s="34">
        <v>36.835299999999997</v>
      </c>
      <c r="M32" s="34">
        <v>35.904000000000003</v>
      </c>
      <c r="N32" s="20">
        <v>190.69409999999999</v>
      </c>
      <c r="O32" s="20">
        <f t="shared" si="1"/>
        <v>30.773787499999997</v>
      </c>
      <c r="P32" s="7"/>
      <c r="Q32" s="13"/>
      <c r="R32" s="14"/>
      <c r="S32" s="14"/>
      <c r="T32" s="27"/>
      <c r="U32" s="28">
        <f t="shared" si="2"/>
        <v>0.38329500139999995</v>
      </c>
    </row>
    <row r="33" spans="1:21" x14ac:dyDescent="0.25">
      <c r="B33" s="6" t="s">
        <v>52</v>
      </c>
      <c r="C33" s="15">
        <v>2319.078125</v>
      </c>
      <c r="D33" s="16">
        <v>33.500900000000001</v>
      </c>
      <c r="E33" s="16">
        <v>39.625300000000003</v>
      </c>
      <c r="F33" s="16">
        <v>42.035699999999999</v>
      </c>
      <c r="G33" s="16">
        <v>86.667629640329338</v>
      </c>
      <c r="H33" s="16">
        <f t="shared" si="0"/>
        <v>35.333300000000001</v>
      </c>
      <c r="I33" s="5"/>
      <c r="J33" s="15">
        <v>2408.1824000000001</v>
      </c>
      <c r="K33" s="16">
        <v>33.560899999999997</v>
      </c>
      <c r="L33" s="16">
        <v>39.734699999999997</v>
      </c>
      <c r="M33" s="16">
        <v>42.180799999999998</v>
      </c>
      <c r="N33" s="16">
        <v>143.60939999999999</v>
      </c>
      <c r="O33" s="16">
        <f t="shared" si="1"/>
        <v>35.410112499999997</v>
      </c>
      <c r="P33" s="7"/>
      <c r="Q33" s="8">
        <f>bdrate(C33:C36,D33:D36,J33:J36,K33:K36)</f>
        <v>-3.5641779400096163E-2</v>
      </c>
      <c r="R33" s="8">
        <f>bdrate(C33:C36,E33:E36,J33:J36,L33:L36)</f>
        <v>1.7201804880820015E-2</v>
      </c>
      <c r="S33" s="8">
        <f>bdrate(C33:C36,F33:F36,J33:J36,M33:M36)</f>
        <v>1.0623933600396818E-2</v>
      </c>
      <c r="T33" s="25">
        <f>bdrate(C33:C36,H33:H36,J33:J36,O33:O36)</f>
        <v>-2.9800411784314695E-2</v>
      </c>
      <c r="U33" s="28">
        <f t="shared" si="2"/>
        <v>0.65701312699999992</v>
      </c>
    </row>
    <row r="34" spans="1:21" x14ac:dyDescent="0.25">
      <c r="B34" s="9"/>
      <c r="C34" s="17">
        <v>1536.4267578125</v>
      </c>
      <c r="D34" s="18">
        <v>32.718000000000004</v>
      </c>
      <c r="E34" s="18">
        <v>39.182000000000002</v>
      </c>
      <c r="F34" s="18">
        <v>41.625</v>
      </c>
      <c r="G34" s="18">
        <v>123.68583797155226</v>
      </c>
      <c r="H34" s="18">
        <f t="shared" si="0"/>
        <v>34.639375000000001</v>
      </c>
      <c r="I34" s="5"/>
      <c r="J34" s="17">
        <v>1597.7936</v>
      </c>
      <c r="K34" s="18">
        <v>32.841000000000001</v>
      </c>
      <c r="L34" s="18">
        <v>39.241</v>
      </c>
      <c r="M34" s="18">
        <v>41.7532</v>
      </c>
      <c r="N34" s="18">
        <v>159.4049</v>
      </c>
      <c r="O34" s="18">
        <f t="shared" si="1"/>
        <v>34.755024999999996</v>
      </c>
      <c r="P34" s="7"/>
      <c r="Q34" s="10"/>
      <c r="R34" s="11"/>
      <c r="S34" s="11"/>
      <c r="T34" s="26"/>
      <c r="U34" s="28">
        <f t="shared" si="2"/>
        <v>0.28878861649999993</v>
      </c>
    </row>
    <row r="35" spans="1:21" x14ac:dyDescent="0.25">
      <c r="B35" s="9"/>
      <c r="C35" s="17">
        <v>955.3603515625</v>
      </c>
      <c r="D35" s="18">
        <v>31.467300000000002</v>
      </c>
      <c r="E35" s="18">
        <v>38.5411</v>
      </c>
      <c r="F35" s="18">
        <v>41.084699999999998</v>
      </c>
      <c r="G35" s="18">
        <v>134.7103726986978</v>
      </c>
      <c r="H35" s="18">
        <f t="shared" si="0"/>
        <v>33.553700000000006</v>
      </c>
      <c r="I35" s="5"/>
      <c r="J35" s="17">
        <v>1019.2016</v>
      </c>
      <c r="K35" s="18">
        <v>31.740300000000001</v>
      </c>
      <c r="L35" s="18">
        <v>38.564900000000002</v>
      </c>
      <c r="M35" s="18">
        <v>41.069699999999997</v>
      </c>
      <c r="N35" s="18">
        <v>181.9836</v>
      </c>
      <c r="O35" s="18">
        <f t="shared" si="1"/>
        <v>33.759549999999997</v>
      </c>
      <c r="P35" s="7"/>
      <c r="Q35" s="10"/>
      <c r="R35" s="11"/>
      <c r="S35" s="11"/>
      <c r="T35" s="26"/>
      <c r="U35" s="28">
        <f t="shared" si="2"/>
        <v>0.35092492400000003</v>
      </c>
    </row>
    <row r="36" spans="1:21" ht="16.5" thickBot="1" x14ac:dyDescent="0.3">
      <c r="B36" s="12"/>
      <c r="C36" s="19">
        <v>573.6943359375</v>
      </c>
      <c r="D36" s="20">
        <v>29.7821</v>
      </c>
      <c r="E36" s="20">
        <v>38.049500000000002</v>
      </c>
      <c r="F36" s="20">
        <v>40.638500000000001</v>
      </c>
      <c r="G36" s="20">
        <v>147.38393515106856</v>
      </c>
      <c r="H36" s="20">
        <f t="shared" si="0"/>
        <v>32.172575000000002</v>
      </c>
      <c r="I36" s="5"/>
      <c r="J36" s="19">
        <v>592.7808</v>
      </c>
      <c r="K36" s="20">
        <v>30.234500000000001</v>
      </c>
      <c r="L36" s="20">
        <v>38.037300000000002</v>
      </c>
      <c r="M36" s="20">
        <v>40.583300000000001</v>
      </c>
      <c r="N36" s="20">
        <v>208.47810000000001</v>
      </c>
      <c r="O36" s="20">
        <f t="shared" si="1"/>
        <v>32.503450000000001</v>
      </c>
      <c r="P36" s="7"/>
      <c r="Q36" s="13"/>
      <c r="R36" s="14"/>
      <c r="S36" s="14"/>
      <c r="T36" s="27"/>
      <c r="U36" s="28">
        <f t="shared" si="2"/>
        <v>0.41452390849999987</v>
      </c>
    </row>
    <row r="37" spans="1:21" x14ac:dyDescent="0.25">
      <c r="A37" s="6" t="s">
        <v>39</v>
      </c>
      <c r="B37" s="6" t="s">
        <v>53</v>
      </c>
      <c r="C37" s="15">
        <v>1154.859375</v>
      </c>
      <c r="D37" s="16">
        <v>34.786900000000003</v>
      </c>
      <c r="E37" s="16">
        <v>38.6633</v>
      </c>
      <c r="F37" s="16">
        <v>38.4512</v>
      </c>
      <c r="G37" s="16">
        <v>234.96240601503757</v>
      </c>
      <c r="H37" s="16">
        <f t="shared" si="0"/>
        <v>35.729487500000005</v>
      </c>
      <c r="I37" s="5"/>
      <c r="J37" s="15">
        <v>1203.1536000000001</v>
      </c>
      <c r="K37" s="16">
        <v>34.9499</v>
      </c>
      <c r="L37" s="16">
        <v>38.974299999999999</v>
      </c>
      <c r="M37" s="16">
        <v>38.804099999999998</v>
      </c>
      <c r="N37" s="16">
        <v>417.71089999999998</v>
      </c>
      <c r="O37" s="16">
        <f t="shared" si="1"/>
        <v>35.934725</v>
      </c>
      <c r="P37" s="7"/>
      <c r="Q37" s="8">
        <f>bdrate(C37:C40,D37:D40,J37:J40,K37:K40)</f>
        <v>-5.4705853098758417E-2</v>
      </c>
      <c r="R37" s="8">
        <f>bdrate(C37:C40,E37:E40,J37:J40,L37:L40)</f>
        <v>-4.6044643446998434E-2</v>
      </c>
      <c r="S37" s="8">
        <f>bdrate(C37:C40,F37:F40,J37:J40,M37:M40)</f>
        <v>-4.96731965731525E-2</v>
      </c>
      <c r="T37" s="25">
        <f>bdrate(C37:C40,H37:H40,J37:J40,O37:O40)</f>
        <v>-5.3716267115416105E-2</v>
      </c>
      <c r="U37" s="28">
        <f t="shared" si="2"/>
        <v>0.77777759040000005</v>
      </c>
    </row>
    <row r="38" spans="1:21" x14ac:dyDescent="0.25">
      <c r="A38" s="9" t="s">
        <v>40</v>
      </c>
      <c r="B38" s="9"/>
      <c r="C38" s="17">
        <v>769.4033203125</v>
      </c>
      <c r="D38" s="18">
        <v>33.098199999999999</v>
      </c>
      <c r="E38" s="18">
        <v>37.614899999999999</v>
      </c>
      <c r="F38" s="18">
        <v>37.263300000000001</v>
      </c>
      <c r="G38" s="18">
        <v>305.99755201958385</v>
      </c>
      <c r="H38" s="18">
        <f t="shared" si="0"/>
        <v>34.183425</v>
      </c>
      <c r="I38" s="5"/>
      <c r="J38" s="17">
        <v>806.5104</v>
      </c>
      <c r="K38" s="18">
        <v>33.413699999999999</v>
      </c>
      <c r="L38" s="18">
        <v>37.806699999999999</v>
      </c>
      <c r="M38" s="18">
        <v>37.500799999999998</v>
      </c>
      <c r="N38" s="18">
        <v>477.55489999999998</v>
      </c>
      <c r="O38" s="18">
        <f t="shared" si="1"/>
        <v>34.473712499999998</v>
      </c>
      <c r="P38" s="7"/>
      <c r="Q38" s="10"/>
      <c r="R38" s="11"/>
      <c r="S38" s="11"/>
      <c r="T38" s="26"/>
      <c r="U38" s="28">
        <f t="shared" si="2"/>
        <v>0.56064941319999984</v>
      </c>
    </row>
    <row r="39" spans="1:21" x14ac:dyDescent="0.25">
      <c r="B39" s="9"/>
      <c r="C39" s="17">
        <v>480.7216796875</v>
      </c>
      <c r="D39" s="18">
        <v>31.103100000000001</v>
      </c>
      <c r="E39" s="18">
        <v>36.302100000000003</v>
      </c>
      <c r="F39" s="18">
        <v>35.783700000000003</v>
      </c>
      <c r="G39" s="18">
        <v>407.49796251018739</v>
      </c>
      <c r="H39" s="18">
        <f t="shared" si="0"/>
        <v>32.338050000000003</v>
      </c>
      <c r="I39" s="5"/>
      <c r="J39" s="17">
        <v>501.47680000000003</v>
      </c>
      <c r="K39" s="18">
        <v>31.594999999999999</v>
      </c>
      <c r="L39" s="18">
        <v>36.569600000000001</v>
      </c>
      <c r="M39" s="18">
        <v>36.088799999999999</v>
      </c>
      <c r="N39" s="18">
        <v>568.18179999999995</v>
      </c>
      <c r="O39" s="18">
        <f t="shared" si="1"/>
        <v>32.778550000000003</v>
      </c>
      <c r="P39" s="7"/>
      <c r="Q39" s="10"/>
      <c r="R39" s="11"/>
      <c r="S39" s="11"/>
      <c r="T39" s="26"/>
      <c r="U39" s="28">
        <f t="shared" si="2"/>
        <v>0.39431813720000009</v>
      </c>
    </row>
    <row r="40" spans="1:21" ht="16.5" thickBot="1" x14ac:dyDescent="0.3">
      <c r="B40" s="12"/>
      <c r="C40" s="19">
        <v>288.7939453125</v>
      </c>
      <c r="D40" s="20">
        <v>29.160799999999998</v>
      </c>
      <c r="E40" s="20">
        <v>35.025399999999998</v>
      </c>
      <c r="F40" s="20">
        <v>34.383299999999998</v>
      </c>
      <c r="G40" s="20">
        <v>504.54086781029264</v>
      </c>
      <c r="H40" s="20">
        <f t="shared" si="0"/>
        <v>30.546687499999997</v>
      </c>
      <c r="I40" s="5"/>
      <c r="J40" s="19">
        <v>301.84640000000002</v>
      </c>
      <c r="K40" s="20">
        <v>29.674399999999999</v>
      </c>
      <c r="L40" s="20">
        <v>35.284300000000002</v>
      </c>
      <c r="M40" s="20">
        <v>34.676099999999998</v>
      </c>
      <c r="N40" s="20">
        <v>692.52080000000001</v>
      </c>
      <c r="O40" s="20">
        <f t="shared" si="1"/>
        <v>31.00085</v>
      </c>
      <c r="P40" s="7"/>
      <c r="Q40" s="13"/>
      <c r="R40" s="14"/>
      <c r="S40" s="14"/>
      <c r="T40" s="27"/>
      <c r="U40" s="28">
        <f t="shared" si="2"/>
        <v>0.37257622559999998</v>
      </c>
    </row>
    <row r="41" spans="1:21" x14ac:dyDescent="0.25">
      <c r="B41" s="6" t="s">
        <v>54</v>
      </c>
      <c r="C41" s="15">
        <v>1203.3740234375</v>
      </c>
      <c r="D41" s="16">
        <v>35.0901</v>
      </c>
      <c r="E41" s="16">
        <v>40.210299999999997</v>
      </c>
      <c r="F41" s="16">
        <v>41.058599999999998</v>
      </c>
      <c r="G41" s="16">
        <v>270.51397655545537</v>
      </c>
      <c r="H41" s="16">
        <f t="shared" si="0"/>
        <v>36.476187499999995</v>
      </c>
      <c r="I41" s="5"/>
      <c r="J41" s="15">
        <v>1231.6264000000001</v>
      </c>
      <c r="K41" s="16">
        <v>35.168300000000002</v>
      </c>
      <c r="L41" s="16">
        <v>40.424100000000003</v>
      </c>
      <c r="M41" s="16">
        <v>41.276000000000003</v>
      </c>
      <c r="N41" s="16">
        <v>389.35759999999999</v>
      </c>
      <c r="O41" s="16">
        <f t="shared" si="1"/>
        <v>36.588737500000001</v>
      </c>
      <c r="P41" s="7"/>
      <c r="Q41" s="8">
        <f>bdrate(C41:C44,D41:D44,J41:J44,K41:K44)</f>
        <v>-5.8551407197709571E-2</v>
      </c>
      <c r="R41" s="8">
        <f>bdrate(C41:C44,E41:E44,J41:J44,L41:L44)</f>
        <v>-0.10215616501059166</v>
      </c>
      <c r="S41" s="8">
        <f>bdrate(C41:C44,F41:F44,J41:J44,M41:M44)</f>
        <v>-6.8306187648122241E-2</v>
      </c>
      <c r="T41" s="25">
        <f>bdrate(C41:C44,H41:H44,J41:J44,O41:O44)</f>
        <v>-6.2864893836212965E-2</v>
      </c>
      <c r="U41" s="28">
        <f t="shared" si="2"/>
        <v>0.43932526133333327</v>
      </c>
    </row>
    <row r="42" spans="1:21" x14ac:dyDescent="0.25">
      <c r="B42" s="9"/>
      <c r="C42" s="17">
        <v>803.1669921875</v>
      </c>
      <c r="D42" s="18">
        <v>33.314599999999999</v>
      </c>
      <c r="E42" s="18">
        <v>39.159500000000001</v>
      </c>
      <c r="F42" s="18">
        <v>39.919400000000003</v>
      </c>
      <c r="G42" s="18">
        <v>376.1755485893417</v>
      </c>
      <c r="H42" s="18">
        <f t="shared" si="0"/>
        <v>34.8708125</v>
      </c>
      <c r="I42" s="5"/>
      <c r="J42" s="17">
        <v>822.06560000000002</v>
      </c>
      <c r="K42" s="18">
        <v>33.600299999999997</v>
      </c>
      <c r="L42" s="18">
        <v>39.451000000000001</v>
      </c>
      <c r="M42" s="18">
        <v>40.169400000000003</v>
      </c>
      <c r="N42" s="18">
        <v>448.43049999999999</v>
      </c>
      <c r="O42" s="18">
        <f t="shared" si="1"/>
        <v>35.152774999999998</v>
      </c>
      <c r="P42" s="7"/>
      <c r="Q42" s="10"/>
      <c r="R42" s="11"/>
      <c r="S42" s="11"/>
      <c r="T42" s="26"/>
      <c r="U42" s="28">
        <f t="shared" si="2"/>
        <v>0.19207774583333329</v>
      </c>
    </row>
    <row r="43" spans="1:21" x14ac:dyDescent="0.25">
      <c r="B43" s="9"/>
      <c r="C43" s="17">
        <v>502.2822265625</v>
      </c>
      <c r="D43" s="18">
        <v>31.2483</v>
      </c>
      <c r="E43" s="18">
        <v>38.1083</v>
      </c>
      <c r="F43" s="18">
        <v>38.745199999999997</v>
      </c>
      <c r="G43" s="18">
        <v>463.32046332046332</v>
      </c>
      <c r="H43" s="18">
        <f t="shared" si="0"/>
        <v>33.0429125</v>
      </c>
      <c r="I43" s="5"/>
      <c r="J43" s="17">
        <v>512.39120000000003</v>
      </c>
      <c r="K43" s="18">
        <v>31.676400000000001</v>
      </c>
      <c r="L43" s="18">
        <v>38.426299999999998</v>
      </c>
      <c r="M43" s="18">
        <v>38.992600000000003</v>
      </c>
      <c r="N43" s="18">
        <v>537.63440000000003</v>
      </c>
      <c r="O43" s="18">
        <f t="shared" si="1"/>
        <v>33.434662500000002</v>
      </c>
      <c r="P43" s="7"/>
      <c r="Q43" s="10"/>
      <c r="R43" s="11"/>
      <c r="S43" s="11"/>
      <c r="T43" s="26"/>
      <c r="U43" s="28">
        <f t="shared" si="2"/>
        <v>0.16039424666666674</v>
      </c>
    </row>
    <row r="44" spans="1:21" ht="16.5" thickBot="1" x14ac:dyDescent="0.3">
      <c r="B44" s="12"/>
      <c r="C44" s="19">
        <v>301.619140625</v>
      </c>
      <c r="D44" s="20">
        <v>29.146100000000001</v>
      </c>
      <c r="E44" s="20">
        <v>37.1342</v>
      </c>
      <c r="F44" s="20">
        <v>37.638500000000001</v>
      </c>
      <c r="G44" s="20">
        <v>519.03114186851212</v>
      </c>
      <c r="H44" s="20">
        <f t="shared" si="0"/>
        <v>31.206162499999998</v>
      </c>
      <c r="I44" s="5"/>
      <c r="J44" s="19">
        <v>307.73439999999999</v>
      </c>
      <c r="K44" s="20">
        <v>29.5808</v>
      </c>
      <c r="L44" s="20">
        <v>37.347700000000003</v>
      </c>
      <c r="M44" s="20">
        <v>37.767299999999999</v>
      </c>
      <c r="N44" s="20">
        <v>665.92669999999998</v>
      </c>
      <c r="O44" s="20">
        <f t="shared" si="1"/>
        <v>31.574975000000002</v>
      </c>
      <c r="P44" s="7"/>
      <c r="Q44" s="13"/>
      <c r="R44" s="14"/>
      <c r="S44" s="14"/>
      <c r="T44" s="27"/>
      <c r="U44" s="28">
        <f t="shared" si="2"/>
        <v>0.28301877533333325</v>
      </c>
    </row>
    <row r="45" spans="1:21" x14ac:dyDescent="0.25">
      <c r="B45" s="6" t="s">
        <v>55</v>
      </c>
      <c r="C45" s="15">
        <v>1183.5654296875</v>
      </c>
      <c r="D45" s="16">
        <v>30.094200000000001</v>
      </c>
      <c r="E45" s="16">
        <v>36.2821</v>
      </c>
      <c r="F45" s="16">
        <v>37.010599999999997</v>
      </c>
      <c r="G45" s="16">
        <v>232.55813953488374</v>
      </c>
      <c r="H45" s="16">
        <f t="shared" si="0"/>
        <v>31.732237500000004</v>
      </c>
      <c r="I45" s="5"/>
      <c r="J45" s="15">
        <v>1211.1744000000001</v>
      </c>
      <c r="K45" s="16">
        <v>30.290400000000002</v>
      </c>
      <c r="L45" s="16">
        <v>36.702800000000003</v>
      </c>
      <c r="M45" s="16">
        <v>37.469900000000003</v>
      </c>
      <c r="N45" s="16">
        <v>367.37689999999998</v>
      </c>
      <c r="O45" s="16">
        <f t="shared" si="1"/>
        <v>31.989387499999999</v>
      </c>
      <c r="P45" s="7"/>
      <c r="Q45" s="8">
        <f>bdrate(C45:C48,D45:D48,J45:J48,K45:K48)</f>
        <v>-0.10887473556675531</v>
      </c>
      <c r="R45" s="8">
        <f>bdrate(C45:C48,E45:E48,J45:J48,L45:L48)</f>
        <v>-0.15035998093161029</v>
      </c>
      <c r="S45" s="8">
        <f>bdrate(C45:C48,F45:F48,J45:J48,M45:M48)</f>
        <v>-0.16546668120312502</v>
      </c>
      <c r="T45" s="25">
        <f>bdrate(C45:C48,H45:H48,J45:J48,O45:O48)</f>
        <v>-0.11751013195719684</v>
      </c>
      <c r="U45" s="28">
        <f t="shared" si="2"/>
        <v>0.57972066999999983</v>
      </c>
    </row>
    <row r="46" spans="1:21" x14ac:dyDescent="0.25">
      <c r="B46" s="9"/>
      <c r="C46" s="17">
        <v>782.6728515625</v>
      </c>
      <c r="D46" s="18">
        <v>28.5319</v>
      </c>
      <c r="E46" s="18">
        <v>35.499200000000002</v>
      </c>
      <c r="F46" s="18">
        <v>36.215200000000003</v>
      </c>
      <c r="G46" s="18">
        <v>301.93236714975848</v>
      </c>
      <c r="H46" s="18">
        <f t="shared" si="0"/>
        <v>30.363225</v>
      </c>
      <c r="I46" s="5"/>
      <c r="J46" s="17">
        <v>806.98159999999996</v>
      </c>
      <c r="K46" s="18">
        <v>28.9344</v>
      </c>
      <c r="L46" s="18">
        <v>35.858600000000003</v>
      </c>
      <c r="M46" s="18">
        <v>36.616399999999999</v>
      </c>
      <c r="N46" s="18">
        <v>424.08819999999997</v>
      </c>
      <c r="O46" s="18">
        <f t="shared" si="1"/>
        <v>30.760175</v>
      </c>
      <c r="P46" s="7"/>
      <c r="Q46" s="10"/>
      <c r="R46" s="11"/>
      <c r="S46" s="11"/>
      <c r="T46" s="26"/>
      <c r="U46" s="28">
        <f t="shared" si="2"/>
        <v>0.4045801183999998</v>
      </c>
    </row>
    <row r="47" spans="1:21" x14ac:dyDescent="0.25">
      <c r="B47" s="9"/>
      <c r="C47" s="17">
        <v>497.37890625</v>
      </c>
      <c r="D47" s="18">
        <v>26.8782</v>
      </c>
      <c r="E47" s="18">
        <v>34.656599999999997</v>
      </c>
      <c r="F47" s="18">
        <v>35.377099999999999</v>
      </c>
      <c r="G47" s="18">
        <v>379.93920972644378</v>
      </c>
      <c r="H47" s="18">
        <f t="shared" si="0"/>
        <v>28.912862500000003</v>
      </c>
      <c r="I47" s="5"/>
      <c r="J47" s="17">
        <v>507.58080000000001</v>
      </c>
      <c r="K47" s="18">
        <v>27.454799999999999</v>
      </c>
      <c r="L47" s="18">
        <v>35.011299999999999</v>
      </c>
      <c r="M47" s="18">
        <v>35.766399999999997</v>
      </c>
      <c r="N47" s="18">
        <v>510.72519999999997</v>
      </c>
      <c r="O47" s="18">
        <f t="shared" si="1"/>
        <v>29.438312499999999</v>
      </c>
      <c r="P47" s="7"/>
      <c r="Q47" s="10"/>
      <c r="R47" s="11"/>
      <c r="S47" s="11"/>
      <c r="T47" s="26"/>
      <c r="U47" s="28">
        <f t="shared" si="2"/>
        <v>0.34422872639999991</v>
      </c>
    </row>
    <row r="48" spans="1:21" ht="16.5" thickBot="1" x14ac:dyDescent="0.3">
      <c r="B48" s="12"/>
      <c r="C48" s="19">
        <v>297.640625</v>
      </c>
      <c r="D48" s="20">
        <v>25.255299999999998</v>
      </c>
      <c r="E48" s="20">
        <v>33.981699999999996</v>
      </c>
      <c r="F48" s="20">
        <v>34.665199999999999</v>
      </c>
      <c r="G48" s="20">
        <v>438.21209465381241</v>
      </c>
      <c r="H48" s="20">
        <f t="shared" si="0"/>
        <v>27.522337499999995</v>
      </c>
      <c r="I48" s="5"/>
      <c r="J48" s="19">
        <v>304.904</v>
      </c>
      <c r="K48" s="20">
        <v>25.850200000000001</v>
      </c>
      <c r="L48" s="20">
        <v>34.1158</v>
      </c>
      <c r="M48" s="20">
        <v>34.831899999999997</v>
      </c>
      <c r="N48" s="20">
        <v>606.06060000000002</v>
      </c>
      <c r="O48" s="20">
        <f t="shared" si="1"/>
        <v>28.0061125</v>
      </c>
      <c r="P48" s="7"/>
      <c r="Q48" s="13"/>
      <c r="R48" s="14"/>
      <c r="S48" s="14"/>
      <c r="T48" s="27"/>
      <c r="U48" s="28">
        <f t="shared" si="2"/>
        <v>0.38303028920000015</v>
      </c>
    </row>
    <row r="49" spans="1:21" x14ac:dyDescent="0.25">
      <c r="B49" s="6" t="s">
        <v>56</v>
      </c>
      <c r="C49" s="15">
        <v>1144.103515625</v>
      </c>
      <c r="D49" s="16">
        <v>32.784700000000001</v>
      </c>
      <c r="E49" s="16">
        <v>36.922499999999999</v>
      </c>
      <c r="F49" s="16">
        <v>38.481699999999996</v>
      </c>
      <c r="G49" s="16">
        <v>186.79950186799502</v>
      </c>
      <c r="H49" s="16">
        <f t="shared" si="0"/>
        <v>34.014049999999997</v>
      </c>
      <c r="I49" s="5"/>
      <c r="J49" s="15">
        <v>1204.3696</v>
      </c>
      <c r="K49" s="16">
        <v>32.338799999999999</v>
      </c>
      <c r="L49" s="16">
        <v>36.834400000000002</v>
      </c>
      <c r="M49" s="16">
        <v>38.395800000000001</v>
      </c>
      <c r="N49" s="16">
        <v>285.17110000000002</v>
      </c>
      <c r="O49" s="16">
        <f t="shared" si="1"/>
        <v>33.657875000000004</v>
      </c>
      <c r="P49" s="7"/>
      <c r="Q49" s="8">
        <f>bdrate(C49:C52,D49:D52,J49:J52,K49:K52)</f>
        <v>0.12702022908316635</v>
      </c>
      <c r="R49" s="8">
        <f>bdrate(C49:C52,E49:E52,J49:J52,L49:L52)</f>
        <v>6.9829513126526743E-2</v>
      </c>
      <c r="S49" s="8">
        <f>bdrate(C49:C52,F49:F52,J49:J52,M49:M52)</f>
        <v>7.3716522942748108E-2</v>
      </c>
      <c r="T49" s="25">
        <f>bdrate(C49:C52,H49:H52,J49:J52,O49:O52)</f>
        <v>0.1180524427882752</v>
      </c>
      <c r="U49" s="28">
        <f t="shared" si="2"/>
        <v>0.5266159553333335</v>
      </c>
    </row>
    <row r="50" spans="1:21" x14ac:dyDescent="0.25">
      <c r="B50" s="9"/>
      <c r="C50" s="17">
        <v>764.11328125</v>
      </c>
      <c r="D50" s="18">
        <v>31.145499999999998</v>
      </c>
      <c r="E50" s="18">
        <v>36.048999999999999</v>
      </c>
      <c r="F50" s="18">
        <v>37.6175</v>
      </c>
      <c r="G50" s="18">
        <v>247.72914946325349</v>
      </c>
      <c r="H50" s="18">
        <f t="shared" si="0"/>
        <v>32.567437499999997</v>
      </c>
      <c r="I50" s="5"/>
      <c r="J50" s="17">
        <v>801.9624</v>
      </c>
      <c r="K50" s="18">
        <v>30.8279</v>
      </c>
      <c r="L50" s="18">
        <v>35.946300000000001</v>
      </c>
      <c r="M50" s="18">
        <v>37.4983</v>
      </c>
      <c r="N50" s="18">
        <v>323.27589999999998</v>
      </c>
      <c r="O50" s="18">
        <f t="shared" si="1"/>
        <v>32.301500000000004</v>
      </c>
      <c r="P50" s="7"/>
      <c r="Q50" s="10"/>
      <c r="R50" s="11"/>
      <c r="S50" s="11"/>
      <c r="T50" s="26"/>
      <c r="U50" s="28">
        <f t="shared" si="2"/>
        <v>0.30495704966666665</v>
      </c>
    </row>
    <row r="51" spans="1:21" x14ac:dyDescent="0.25">
      <c r="B51" s="9"/>
      <c r="C51" s="17">
        <v>487.0693359375</v>
      </c>
      <c r="D51" s="18">
        <v>29.4223</v>
      </c>
      <c r="E51" s="18">
        <v>35.076599999999999</v>
      </c>
      <c r="F51" s="18">
        <v>36.597999999999999</v>
      </c>
      <c r="G51" s="18">
        <v>337.07865168539325</v>
      </c>
      <c r="H51" s="18">
        <f t="shared" si="0"/>
        <v>31.026049999999998</v>
      </c>
      <c r="I51" s="5"/>
      <c r="J51" s="17">
        <v>499.988</v>
      </c>
      <c r="K51" s="18">
        <v>29.128399999999999</v>
      </c>
      <c r="L51" s="18">
        <v>35.030500000000004</v>
      </c>
      <c r="M51" s="18">
        <v>36.529600000000002</v>
      </c>
      <c r="N51" s="18">
        <v>399.4674</v>
      </c>
      <c r="O51" s="18">
        <f t="shared" si="1"/>
        <v>30.791312500000004</v>
      </c>
      <c r="P51" s="7"/>
      <c r="Q51" s="10"/>
      <c r="R51" s="11"/>
      <c r="S51" s="11"/>
      <c r="T51" s="26"/>
      <c r="U51" s="28">
        <f t="shared" si="2"/>
        <v>0.18508662000000001</v>
      </c>
    </row>
    <row r="52" spans="1:21" ht="16.5" thickBot="1" x14ac:dyDescent="0.3">
      <c r="B52" s="12"/>
      <c r="C52" s="19">
        <v>300.0771484375</v>
      </c>
      <c r="D52" s="20">
        <v>27.738299999999999</v>
      </c>
      <c r="E52" s="20">
        <v>34.113199999999999</v>
      </c>
      <c r="F52" s="20">
        <v>35.523400000000002</v>
      </c>
      <c r="G52" s="20">
        <v>408.16326530612247</v>
      </c>
      <c r="H52" s="20">
        <f t="shared" si="0"/>
        <v>29.508300000000002</v>
      </c>
      <c r="I52" s="5"/>
      <c r="J52" s="19">
        <v>300.1816</v>
      </c>
      <c r="K52" s="20">
        <v>27.480499999999999</v>
      </c>
      <c r="L52" s="20">
        <v>34.079099999999997</v>
      </c>
      <c r="M52" s="20">
        <v>35.500700000000002</v>
      </c>
      <c r="N52" s="20">
        <v>484.65269999999998</v>
      </c>
      <c r="O52" s="20">
        <f t="shared" si="1"/>
        <v>29.307849999999995</v>
      </c>
      <c r="P52" s="7"/>
      <c r="Q52" s="13"/>
      <c r="R52" s="14"/>
      <c r="S52" s="14"/>
      <c r="T52" s="27"/>
      <c r="U52" s="28">
        <f t="shared" si="2"/>
        <v>0.18739911499999989</v>
      </c>
    </row>
    <row r="53" spans="1:21" x14ac:dyDescent="0.25">
      <c r="A53" s="6" t="s">
        <v>41</v>
      </c>
      <c r="B53" s="6" t="s">
        <v>57</v>
      </c>
      <c r="C53" s="15">
        <v>576.86328125</v>
      </c>
      <c r="D53" s="16">
        <v>34.4801</v>
      </c>
      <c r="E53" s="16">
        <v>39.499899999999997</v>
      </c>
      <c r="F53" s="16">
        <v>38.0627</v>
      </c>
      <c r="G53" s="16">
        <v>588.23529411764707</v>
      </c>
      <c r="H53" s="16">
        <f t="shared" si="0"/>
        <v>35.555399999999999</v>
      </c>
      <c r="I53" s="5"/>
      <c r="J53" s="15">
        <v>602.93280000000004</v>
      </c>
      <c r="K53" s="16">
        <v>34.341999999999999</v>
      </c>
      <c r="L53" s="16">
        <v>39.629899999999999</v>
      </c>
      <c r="M53" s="16">
        <v>38.143900000000002</v>
      </c>
      <c r="N53" s="16">
        <v>854.70090000000005</v>
      </c>
      <c r="O53" s="16">
        <f t="shared" si="1"/>
        <v>35.478224999999995</v>
      </c>
      <c r="P53" s="7"/>
      <c r="Q53" s="8">
        <f>bdrate(C53:C56,D53:D56,J53:J56,K53:K56)</f>
        <v>1.8538523036895516E-2</v>
      </c>
      <c r="R53" s="8">
        <f>bdrate(C53:C56,E53:E56,J53:J56,L53:L56)</f>
        <v>-3.4082647800627308E-2</v>
      </c>
      <c r="S53" s="8">
        <f>bdrate(C53:C56,F53:F56,J53:J56,M53:M56)</f>
        <v>-9.6792198598042445E-3</v>
      </c>
      <c r="T53" s="25">
        <f>bdrate(C53:C56,H53:H56,J53:J56,O53:O56)</f>
        <v>1.1753505862213798E-2</v>
      </c>
      <c r="U53" s="28">
        <f t="shared" si="2"/>
        <v>0.45299153000000003</v>
      </c>
    </row>
    <row r="54" spans="1:21" x14ac:dyDescent="0.25">
      <c r="A54" s="9" t="s">
        <v>42</v>
      </c>
      <c r="B54" s="9"/>
      <c r="C54" s="17">
        <v>394.443359375</v>
      </c>
      <c r="D54" s="18">
        <v>32.641500000000001</v>
      </c>
      <c r="E54" s="18">
        <v>38.3703</v>
      </c>
      <c r="F54" s="18">
        <v>36.839500000000001</v>
      </c>
      <c r="G54" s="18">
        <v>683.99452804377563</v>
      </c>
      <c r="H54" s="18">
        <f t="shared" si="0"/>
        <v>33.882349999999995</v>
      </c>
      <c r="I54" s="5"/>
      <c r="J54" s="17">
        <v>402.2912</v>
      </c>
      <c r="K54" s="18">
        <v>32.533999999999999</v>
      </c>
      <c r="L54" s="18">
        <v>38.434699999999999</v>
      </c>
      <c r="M54" s="18">
        <v>36.829700000000003</v>
      </c>
      <c r="N54" s="18">
        <v>978.47360000000003</v>
      </c>
      <c r="O54" s="18">
        <f t="shared" si="1"/>
        <v>33.808549999999997</v>
      </c>
      <c r="P54" s="7"/>
      <c r="Q54" s="10"/>
      <c r="R54" s="11"/>
      <c r="S54" s="11"/>
      <c r="T54" s="26"/>
      <c r="U54" s="28">
        <f t="shared" si="2"/>
        <v>0.43052840320000008</v>
      </c>
    </row>
    <row r="55" spans="1:21" x14ac:dyDescent="0.25">
      <c r="B55" s="9"/>
      <c r="C55" s="17">
        <v>248.203125</v>
      </c>
      <c r="D55" s="18">
        <v>30.513000000000002</v>
      </c>
      <c r="E55" s="18">
        <v>37.202100000000002</v>
      </c>
      <c r="F55" s="18">
        <v>35.494399999999999</v>
      </c>
      <c r="G55" s="18">
        <v>825.08250825082507</v>
      </c>
      <c r="H55" s="18">
        <f t="shared" si="0"/>
        <v>31.971812499999999</v>
      </c>
      <c r="I55" s="5"/>
      <c r="J55" s="17">
        <v>252.16</v>
      </c>
      <c r="K55" s="18">
        <v>30.538599999999999</v>
      </c>
      <c r="L55" s="18">
        <v>37.353499999999997</v>
      </c>
      <c r="M55" s="18">
        <v>35.562600000000003</v>
      </c>
      <c r="N55" s="18">
        <v>1157.4074000000001</v>
      </c>
      <c r="O55" s="18">
        <f t="shared" si="1"/>
        <v>32.018462499999998</v>
      </c>
      <c r="P55" s="7"/>
      <c r="Q55" s="10"/>
      <c r="R55" s="11"/>
      <c r="S55" s="11"/>
      <c r="T55" s="26"/>
      <c r="U55" s="28">
        <f t="shared" si="2"/>
        <v>0.4027777688000001</v>
      </c>
    </row>
    <row r="56" spans="1:21" ht="16.5" thickBot="1" x14ac:dyDescent="0.3">
      <c r="B56" s="12"/>
      <c r="C56" s="19">
        <v>120.03515625</v>
      </c>
      <c r="D56" s="20">
        <v>27.503900000000002</v>
      </c>
      <c r="E56" s="20">
        <v>35.559899999999999</v>
      </c>
      <c r="F56" s="20">
        <v>33.322699999999998</v>
      </c>
      <c r="G56" s="20">
        <v>1072.9613733905578</v>
      </c>
      <c r="H56" s="20">
        <f t="shared" si="0"/>
        <v>29.238250000000001</v>
      </c>
      <c r="I56" s="5"/>
      <c r="J56" s="19">
        <v>121.7184</v>
      </c>
      <c r="K56" s="20">
        <v>27.6876</v>
      </c>
      <c r="L56" s="20">
        <v>35.765900000000002</v>
      </c>
      <c r="M56" s="20">
        <v>33.6325</v>
      </c>
      <c r="N56" s="20">
        <v>1506.0241000000001</v>
      </c>
      <c r="O56" s="20">
        <f t="shared" si="1"/>
        <v>29.4405</v>
      </c>
      <c r="P56" s="7"/>
      <c r="Q56" s="13"/>
      <c r="R56" s="14"/>
      <c r="S56" s="14"/>
      <c r="T56" s="27"/>
      <c r="U56" s="28">
        <f t="shared" si="2"/>
        <v>0.40361446120000027</v>
      </c>
    </row>
    <row r="57" spans="1:21" x14ac:dyDescent="0.25">
      <c r="B57" s="6" t="s">
        <v>58</v>
      </c>
      <c r="C57" s="15">
        <v>575.205078125</v>
      </c>
      <c r="D57" s="16">
        <v>33.565899999999999</v>
      </c>
      <c r="E57" s="16">
        <v>40.760599999999997</v>
      </c>
      <c r="F57" s="16">
        <v>41.595199999999998</v>
      </c>
      <c r="G57" s="16">
        <v>555.55555555555554</v>
      </c>
      <c r="H57" s="16">
        <f t="shared" si="0"/>
        <v>35.468899999999998</v>
      </c>
      <c r="I57" s="5"/>
      <c r="J57" s="15">
        <v>600.28719999999998</v>
      </c>
      <c r="K57" s="16">
        <v>33.593400000000003</v>
      </c>
      <c r="L57" s="16">
        <v>41.274099999999997</v>
      </c>
      <c r="M57" s="16">
        <v>42.092199999999998</v>
      </c>
      <c r="N57" s="16">
        <v>842.69659999999999</v>
      </c>
      <c r="O57" s="16">
        <f t="shared" si="1"/>
        <v>35.615837500000005</v>
      </c>
      <c r="P57" s="7"/>
      <c r="Q57" s="8">
        <f>bdrate(C57:C60,D57:D60,J57:J60,K57:K60)</f>
        <v>-6.1051099489625171E-2</v>
      </c>
      <c r="R57" s="8">
        <f>bdrate(C57:C60,E57:E60,J57:J60,L57:L60)</f>
        <v>-0.144845699696034</v>
      </c>
      <c r="S57" s="8">
        <f>bdrate(C57:C60,F57:F60,J57:J60,M57:M60)</f>
        <v>-9.8446296164631741E-2</v>
      </c>
      <c r="T57" s="25">
        <f>bdrate(C57:C60,H57:H60,J57:J60,O57:O60)</f>
        <v>-7.3167284112213182E-2</v>
      </c>
      <c r="U57" s="28">
        <f t="shared" si="2"/>
        <v>0.51685387999999999</v>
      </c>
    </row>
    <row r="58" spans="1:21" x14ac:dyDescent="0.25">
      <c r="B58" s="9"/>
      <c r="C58" s="17">
        <v>383.29296875</v>
      </c>
      <c r="D58" s="18">
        <v>32.137999999999998</v>
      </c>
      <c r="E58" s="18">
        <v>39.9544</v>
      </c>
      <c r="F58" s="18">
        <v>40.748100000000001</v>
      </c>
      <c r="G58" s="18">
        <v>632.2444678609063</v>
      </c>
      <c r="H58" s="18">
        <f t="shared" si="0"/>
        <v>34.191312499999995</v>
      </c>
      <c r="I58" s="5"/>
      <c r="J58" s="17">
        <v>399.03440000000001</v>
      </c>
      <c r="K58" s="18">
        <v>32.321300000000001</v>
      </c>
      <c r="L58" s="18">
        <v>40.404499999999999</v>
      </c>
      <c r="M58" s="18">
        <v>41.225999999999999</v>
      </c>
      <c r="N58" s="18">
        <v>991.7355</v>
      </c>
      <c r="O58" s="18">
        <f t="shared" si="1"/>
        <v>34.444787499999997</v>
      </c>
      <c r="P58" s="7"/>
      <c r="Q58" s="10"/>
      <c r="R58" s="11"/>
      <c r="S58" s="11"/>
      <c r="T58" s="26"/>
      <c r="U58" s="28">
        <f t="shared" si="2"/>
        <v>0.56859498249999985</v>
      </c>
    </row>
    <row r="59" spans="1:21" x14ac:dyDescent="0.25">
      <c r="B59" s="9"/>
      <c r="C59" s="17">
        <v>239.17578125</v>
      </c>
      <c r="D59" s="18">
        <v>30.3567</v>
      </c>
      <c r="E59" s="18">
        <v>39.040999999999997</v>
      </c>
      <c r="F59" s="18">
        <v>39.828699999999998</v>
      </c>
      <c r="G59" s="18">
        <v>684.15051311288482</v>
      </c>
      <c r="H59" s="18">
        <f t="shared" si="0"/>
        <v>32.626237500000002</v>
      </c>
      <c r="I59" s="5"/>
      <c r="J59" s="17">
        <v>249.20320000000001</v>
      </c>
      <c r="K59" s="18">
        <v>30.776700000000002</v>
      </c>
      <c r="L59" s="18">
        <v>39.443399999999997</v>
      </c>
      <c r="M59" s="18">
        <v>40.105600000000003</v>
      </c>
      <c r="N59" s="18">
        <v>1136.3635999999999</v>
      </c>
      <c r="O59" s="18">
        <f t="shared" si="1"/>
        <v>33.026150000000001</v>
      </c>
      <c r="P59" s="7"/>
      <c r="Q59" s="10"/>
      <c r="R59" s="11"/>
      <c r="S59" s="11"/>
      <c r="T59" s="26"/>
      <c r="U59" s="28">
        <f t="shared" si="2"/>
        <v>0.66098479533333321</v>
      </c>
    </row>
    <row r="60" spans="1:21" ht="16.5" thickBot="1" x14ac:dyDescent="0.3">
      <c r="B60" s="12"/>
      <c r="C60" s="19">
        <v>114.9755859375</v>
      </c>
      <c r="D60" s="20">
        <v>27.282399999999999</v>
      </c>
      <c r="E60" s="20">
        <v>38.140900000000002</v>
      </c>
      <c r="F60" s="20">
        <v>38.807200000000002</v>
      </c>
      <c r="G60" s="20">
        <v>843.88185654008441</v>
      </c>
      <c r="H60" s="20">
        <f t="shared" si="0"/>
        <v>30.080312500000002</v>
      </c>
      <c r="I60" s="5"/>
      <c r="J60" s="19">
        <v>119.5904</v>
      </c>
      <c r="K60" s="20">
        <v>28.148199999999999</v>
      </c>
      <c r="L60" s="20">
        <v>38.177500000000002</v>
      </c>
      <c r="M60" s="20">
        <v>38.735199999999999</v>
      </c>
      <c r="N60" s="20">
        <v>1570.6805999999999</v>
      </c>
      <c r="O60" s="20">
        <f t="shared" si="1"/>
        <v>30.725237499999999</v>
      </c>
      <c r="P60" s="7"/>
      <c r="Q60" s="13"/>
      <c r="R60" s="14"/>
      <c r="S60" s="14"/>
      <c r="T60" s="27"/>
      <c r="U60" s="28">
        <f t="shared" si="2"/>
        <v>0.86125651099999989</v>
      </c>
    </row>
    <row r="61" spans="1:21" x14ac:dyDescent="0.25">
      <c r="B61" s="6" t="s">
        <v>59</v>
      </c>
      <c r="C61" s="29">
        <v>594.4072265625</v>
      </c>
      <c r="D61" s="30">
        <v>33.198900000000002</v>
      </c>
      <c r="E61" s="30">
        <v>37.646299999999997</v>
      </c>
      <c r="F61" s="30">
        <v>38.326900000000002</v>
      </c>
      <c r="G61" s="16">
        <v>349.40600978336823</v>
      </c>
      <c r="H61" s="16">
        <f t="shared" si="0"/>
        <v>34.395825000000002</v>
      </c>
      <c r="I61" s="5"/>
      <c r="J61" s="29">
        <v>637.23519999999996</v>
      </c>
      <c r="K61" s="30">
        <v>33.101900000000001</v>
      </c>
      <c r="L61" s="30">
        <v>38.116599999999998</v>
      </c>
      <c r="M61" s="30">
        <v>38.852899999999998</v>
      </c>
      <c r="N61" s="16">
        <v>708.21529999999996</v>
      </c>
      <c r="O61" s="16">
        <f t="shared" si="1"/>
        <v>34.447612499999998</v>
      </c>
      <c r="P61" s="7"/>
      <c r="Q61" s="8">
        <f>bdrate(C61:C64,D61:D64,J61:J64,K61:K64)</f>
        <v>5.0608262813556237E-5</v>
      </c>
      <c r="R61" s="8">
        <f>bdrate(C61:C64,E61:E64,J61:J64,L61:L64)</f>
        <v>-8.866137730828183E-2</v>
      </c>
      <c r="S61" s="8">
        <f>bdrate(C61:C64,F61:F64,J61:J64,M61:M64)</f>
        <v>-0.13115609857272292</v>
      </c>
      <c r="T61" s="25">
        <f>bdrate(C61:C64,H61:H64,J61:J64,O61:O64)</f>
        <v>-1.9478285919823479E-2</v>
      </c>
      <c r="U61" s="28">
        <f t="shared" si="2"/>
        <v>1.0269121886000001</v>
      </c>
    </row>
    <row r="62" spans="1:21" x14ac:dyDescent="0.25">
      <c r="B62" s="9"/>
      <c r="C62" s="31">
        <v>399.44140625</v>
      </c>
      <c r="D62" s="32">
        <v>31.483599999999999</v>
      </c>
      <c r="E62" s="32">
        <v>36.6357</v>
      </c>
      <c r="F62" s="32">
        <v>37.283299999999997</v>
      </c>
      <c r="G62" s="18">
        <v>397.45627980922097</v>
      </c>
      <c r="H62" s="18">
        <f t="shared" si="0"/>
        <v>32.852575000000002</v>
      </c>
      <c r="I62" s="5"/>
      <c r="J62" s="31">
        <v>426.28320000000002</v>
      </c>
      <c r="K62" s="32">
        <v>31.594000000000001</v>
      </c>
      <c r="L62" s="32">
        <v>37.034500000000001</v>
      </c>
      <c r="M62" s="32">
        <v>37.805</v>
      </c>
      <c r="N62" s="18">
        <v>777.60500000000002</v>
      </c>
      <c r="O62" s="18">
        <f t="shared" si="1"/>
        <v>33.050437500000001</v>
      </c>
      <c r="P62" s="7"/>
      <c r="Q62" s="10"/>
      <c r="R62" s="11"/>
      <c r="S62" s="11"/>
      <c r="T62" s="26"/>
      <c r="U62" s="28">
        <f t="shared" si="2"/>
        <v>0.95645418000000015</v>
      </c>
    </row>
    <row r="63" spans="1:21" x14ac:dyDescent="0.25">
      <c r="B63" s="9"/>
      <c r="C63" s="31">
        <v>250.3994140625</v>
      </c>
      <c r="D63" s="32">
        <v>29.625499999999999</v>
      </c>
      <c r="E63" s="32">
        <v>35.511699999999998</v>
      </c>
      <c r="F63" s="32">
        <v>36.165700000000001</v>
      </c>
      <c r="G63" s="18">
        <v>517.59834368530028</v>
      </c>
      <c r="H63" s="18">
        <f t="shared" si="0"/>
        <v>31.178799999999995</v>
      </c>
      <c r="I63" s="5"/>
      <c r="J63" s="31">
        <v>265.94319999999999</v>
      </c>
      <c r="K63" s="32">
        <v>29.892600000000002</v>
      </c>
      <c r="L63" s="32">
        <v>35.837400000000002</v>
      </c>
      <c r="M63" s="32">
        <v>36.636099999999999</v>
      </c>
      <c r="N63" s="18">
        <v>863.55790000000002</v>
      </c>
      <c r="O63" s="18">
        <f t="shared" si="1"/>
        <v>31.478637500000001</v>
      </c>
      <c r="P63" s="7"/>
      <c r="Q63" s="10"/>
      <c r="R63" s="11"/>
      <c r="S63" s="11"/>
      <c r="T63" s="26"/>
      <c r="U63" s="28">
        <f t="shared" si="2"/>
        <v>0.66839386279999979</v>
      </c>
    </row>
    <row r="64" spans="1:21" ht="16.5" thickBot="1" x14ac:dyDescent="0.3">
      <c r="B64" s="12"/>
      <c r="C64" s="33">
        <v>120.2216796875</v>
      </c>
      <c r="D64" s="34">
        <v>26.921900000000001</v>
      </c>
      <c r="E64" s="34">
        <v>34.068100000000001</v>
      </c>
      <c r="F64" s="34">
        <v>34.6813</v>
      </c>
      <c r="G64" s="20">
        <v>718.39080459770116</v>
      </c>
      <c r="H64" s="20">
        <f t="shared" si="0"/>
        <v>28.785100000000003</v>
      </c>
      <c r="I64" s="5"/>
      <c r="J64" s="33">
        <v>126.7296</v>
      </c>
      <c r="K64" s="34">
        <v>27.441299999999998</v>
      </c>
      <c r="L64" s="34">
        <v>34.375300000000003</v>
      </c>
      <c r="M64" s="34">
        <v>35.032600000000002</v>
      </c>
      <c r="N64" s="20">
        <v>1126.1261</v>
      </c>
      <c r="O64" s="20">
        <f t="shared" si="1"/>
        <v>29.2569625</v>
      </c>
      <c r="P64" s="7"/>
      <c r="Q64" s="13"/>
      <c r="R64" s="14"/>
      <c r="S64" s="14"/>
      <c r="T64" s="27"/>
      <c r="U64" s="28">
        <f t="shared" si="2"/>
        <v>0.56756753119999992</v>
      </c>
    </row>
    <row r="65" spans="1:21" x14ac:dyDescent="0.25">
      <c r="B65" s="6" t="s">
        <v>60</v>
      </c>
      <c r="C65" s="15">
        <v>574.19921875</v>
      </c>
      <c r="D65" s="16">
        <v>34.341500000000003</v>
      </c>
      <c r="E65" s="16">
        <v>37.766100000000002</v>
      </c>
      <c r="F65" s="16">
        <v>38.832099999999997</v>
      </c>
      <c r="G65" s="16">
        <v>258.39793281653743</v>
      </c>
      <c r="H65" s="16">
        <f t="shared" si="0"/>
        <v>35.3309</v>
      </c>
      <c r="I65" s="5"/>
      <c r="J65" s="15">
        <v>601.99199999999996</v>
      </c>
      <c r="K65" s="16">
        <v>33.937399999999997</v>
      </c>
      <c r="L65" s="16">
        <v>37.744999999999997</v>
      </c>
      <c r="M65" s="16">
        <v>38.802799999999998</v>
      </c>
      <c r="N65" s="16">
        <v>383.14179999999999</v>
      </c>
      <c r="O65" s="16">
        <f t="shared" si="1"/>
        <v>35.021524999999997</v>
      </c>
      <c r="P65" s="7"/>
      <c r="Q65" s="8">
        <f>bdrate(C65:C68,D65:D68,J65:J68,K65:K68)</f>
        <v>6.5757345278945945E-2</v>
      </c>
      <c r="R65" s="8">
        <f>bdrate(C65:C68,E65:E68,J65:J68,L65:L68)</f>
        <v>4.0226554458504094E-2</v>
      </c>
      <c r="S65" s="8">
        <f>bdrate(C65:C68,F65:F68,J65:J68,M65:M68)</f>
        <v>3.5710899930518902E-2</v>
      </c>
      <c r="T65" s="25">
        <f>bdrate(C65:C68,H65:H68,J65:J68,O65:O68)</f>
        <v>6.1195264354606316E-2</v>
      </c>
      <c r="U65" s="28">
        <f t="shared" si="2"/>
        <v>0.48275876600000017</v>
      </c>
    </row>
    <row r="66" spans="1:21" x14ac:dyDescent="0.25">
      <c r="B66" s="9"/>
      <c r="C66" s="17">
        <v>385.6953125</v>
      </c>
      <c r="D66" s="18">
        <v>32.3596</v>
      </c>
      <c r="E66" s="18">
        <v>36.571199999999997</v>
      </c>
      <c r="F66" s="18">
        <v>37.637799999999999</v>
      </c>
      <c r="G66" s="18">
        <v>314.79538300104934</v>
      </c>
      <c r="H66" s="18">
        <f t="shared" si="0"/>
        <v>33.545825000000001</v>
      </c>
      <c r="I66" s="5"/>
      <c r="J66" s="17">
        <v>400.86559999999997</v>
      </c>
      <c r="K66" s="18">
        <v>32.082500000000003</v>
      </c>
      <c r="L66" s="18">
        <v>36.563099999999999</v>
      </c>
      <c r="M66" s="18">
        <v>37.629300000000001</v>
      </c>
      <c r="N66" s="18">
        <v>447.09390000000002</v>
      </c>
      <c r="O66" s="18">
        <f t="shared" si="1"/>
        <v>33.335925000000003</v>
      </c>
      <c r="P66" s="7"/>
      <c r="Q66" s="10"/>
      <c r="R66" s="11"/>
      <c r="S66" s="11"/>
      <c r="T66" s="26"/>
      <c r="U66" s="28">
        <f t="shared" si="2"/>
        <v>0.42026828899999996</v>
      </c>
    </row>
    <row r="67" spans="1:21" x14ac:dyDescent="0.25">
      <c r="B67" s="9"/>
      <c r="C67" s="17">
        <v>243.861328125</v>
      </c>
      <c r="D67" s="18">
        <v>30.2883</v>
      </c>
      <c r="E67" s="18">
        <v>35.394500000000001</v>
      </c>
      <c r="F67" s="18">
        <v>36.410899999999998</v>
      </c>
      <c r="G67" s="18">
        <v>439.23865300146412</v>
      </c>
      <c r="H67" s="18">
        <f t="shared" si="0"/>
        <v>31.6919</v>
      </c>
      <c r="I67" s="5"/>
      <c r="J67" s="17">
        <v>250.94319999999999</v>
      </c>
      <c r="K67" s="18">
        <v>30.198899999999998</v>
      </c>
      <c r="L67" s="18">
        <v>35.334800000000001</v>
      </c>
      <c r="M67" s="18">
        <v>36.366700000000002</v>
      </c>
      <c r="N67" s="18">
        <v>473.18610000000001</v>
      </c>
      <c r="O67" s="18">
        <f t="shared" si="1"/>
        <v>31.611862500000001</v>
      </c>
      <c r="P67" s="7"/>
      <c r="Q67" s="10"/>
      <c r="R67" s="11"/>
      <c r="S67" s="11"/>
      <c r="T67" s="26"/>
      <c r="U67" s="28">
        <f t="shared" si="2"/>
        <v>7.7287021000000053E-2</v>
      </c>
    </row>
    <row r="68" spans="1:21" ht="16.5" thickBot="1" x14ac:dyDescent="0.3">
      <c r="B68" s="12"/>
      <c r="C68" s="19">
        <v>120.19921875</v>
      </c>
      <c r="D68" s="20">
        <v>27.599499999999999</v>
      </c>
      <c r="E68" s="20">
        <v>33.801400000000001</v>
      </c>
      <c r="F68" s="20">
        <v>34.719000000000001</v>
      </c>
      <c r="G68" s="20">
        <v>694.44444444444446</v>
      </c>
      <c r="H68" s="20">
        <f t="shared" si="0"/>
        <v>29.264674999999997</v>
      </c>
      <c r="I68" s="5"/>
      <c r="J68" s="19">
        <v>121.3352</v>
      </c>
      <c r="K68" s="20">
        <v>27.665600000000001</v>
      </c>
      <c r="L68" s="20">
        <v>33.854999999999997</v>
      </c>
      <c r="M68" s="20">
        <v>34.796999999999997</v>
      </c>
      <c r="N68" s="20">
        <v>649.35059999999999</v>
      </c>
      <c r="O68" s="20">
        <f t="shared" si="1"/>
        <v>29.3307</v>
      </c>
      <c r="P68" s="7"/>
      <c r="Q68" s="13"/>
      <c r="R68" s="14"/>
      <c r="S68" s="14"/>
      <c r="T68" s="27"/>
      <c r="U68" s="28">
        <f t="shared" si="2"/>
        <v>-6.4935136000000032E-2</v>
      </c>
    </row>
    <row r="69" spans="1:21" x14ac:dyDescent="0.25">
      <c r="A69" s="6" t="s">
        <v>43</v>
      </c>
      <c r="B69" s="6" t="s">
        <v>61</v>
      </c>
      <c r="C69" s="15">
        <v>1419.8583984375</v>
      </c>
      <c r="D69" s="16">
        <v>41.099200000000003</v>
      </c>
      <c r="E69" s="16">
        <v>45.161799999999999</v>
      </c>
      <c r="F69" s="16">
        <v>46.3384</v>
      </c>
      <c r="G69" s="16">
        <v>193.36126329358683</v>
      </c>
      <c r="H69" s="16">
        <f t="shared" si="0"/>
        <v>42.261925000000005</v>
      </c>
      <c r="I69" s="5"/>
      <c r="J69" s="15">
        <v>1493.3119999999999</v>
      </c>
      <c r="K69" s="16">
        <v>41.339500000000001</v>
      </c>
      <c r="L69" s="16">
        <v>45.610300000000002</v>
      </c>
      <c r="M69" s="16">
        <v>46.768000000000001</v>
      </c>
      <c r="N69" s="16">
        <v>249.79179999999999</v>
      </c>
      <c r="O69" s="16">
        <f t="shared" si="1"/>
        <v>42.5519125</v>
      </c>
      <c r="P69" s="7"/>
      <c r="Q69" s="8">
        <f>bdrate(C69:C72,D69:D72,J69:J72,K69:K72)</f>
        <v>-0.11561209555800678</v>
      </c>
      <c r="R69" s="8">
        <f>bdrate(C69:C72,E69:E72,J69:J72,L69:L72)</f>
        <v>-0.14082067493924966</v>
      </c>
      <c r="S69" s="8">
        <f>bdrate(C69:C72,F69:F72,J69:J72,M69:M72)</f>
        <v>-0.12991365562722124</v>
      </c>
      <c r="T69" s="25">
        <f>bdrate(C69:C72,H69:H72,J69:J72,O69:O72)</f>
        <v>-0.11954864973047752</v>
      </c>
      <c r="U69" s="28">
        <f t="shared" si="2"/>
        <v>0.29183992566666678</v>
      </c>
    </row>
    <row r="70" spans="1:21" x14ac:dyDescent="0.25">
      <c r="A70" s="9" t="s">
        <v>44</v>
      </c>
      <c r="B70" s="9"/>
      <c r="C70" s="17">
        <v>936.0751953125</v>
      </c>
      <c r="D70" s="18">
        <v>39.740600000000001</v>
      </c>
      <c r="E70" s="18">
        <v>44.003500000000003</v>
      </c>
      <c r="F70" s="18">
        <v>45.191200000000002</v>
      </c>
      <c r="G70" s="18">
        <v>299.25187032418955</v>
      </c>
      <c r="H70" s="18">
        <f t="shared" si="0"/>
        <v>40.954787499999995</v>
      </c>
      <c r="I70" s="5"/>
      <c r="J70" s="17">
        <v>985.59839999999997</v>
      </c>
      <c r="K70" s="18">
        <v>40.175899999999999</v>
      </c>
      <c r="L70" s="18">
        <v>44.627099999999999</v>
      </c>
      <c r="M70" s="18">
        <v>45.7926</v>
      </c>
      <c r="N70" s="18">
        <v>321.88839999999999</v>
      </c>
      <c r="O70" s="18">
        <f t="shared" si="1"/>
        <v>41.4343875</v>
      </c>
      <c r="P70" s="7"/>
      <c r="Q70" s="10"/>
      <c r="R70" s="11"/>
      <c r="S70" s="11"/>
      <c r="T70" s="26"/>
      <c r="U70" s="28">
        <f t="shared" si="2"/>
        <v>7.5643736666666531E-2</v>
      </c>
    </row>
    <row r="71" spans="1:21" x14ac:dyDescent="0.25">
      <c r="B71" s="9"/>
      <c r="C71" s="17">
        <v>561.4296875</v>
      </c>
      <c r="D71" s="18">
        <v>37.498800000000003</v>
      </c>
      <c r="E71" s="18">
        <v>42.691299999999998</v>
      </c>
      <c r="F71" s="18">
        <v>43.767000000000003</v>
      </c>
      <c r="G71" s="18">
        <v>354.19126328217237</v>
      </c>
      <c r="H71" s="18">
        <f t="shared" si="0"/>
        <v>38.9313875</v>
      </c>
      <c r="I71" s="5"/>
      <c r="J71" s="17">
        <v>579.25519999999995</v>
      </c>
      <c r="K71" s="18">
        <v>38.221800000000002</v>
      </c>
      <c r="L71" s="18">
        <v>43.176099999999998</v>
      </c>
      <c r="M71" s="18">
        <v>44.238199999999999</v>
      </c>
      <c r="N71" s="18">
        <v>361.22820000000002</v>
      </c>
      <c r="O71" s="18">
        <f t="shared" si="1"/>
        <v>39.593137500000005</v>
      </c>
      <c r="P71" s="7"/>
      <c r="Q71" s="10"/>
      <c r="R71" s="11"/>
      <c r="S71" s="11"/>
      <c r="T71" s="26"/>
      <c r="U71" s="28">
        <f t="shared" si="2"/>
        <v>1.9867618000000045E-2</v>
      </c>
    </row>
    <row r="72" spans="1:21" ht="16.5" thickBot="1" x14ac:dyDescent="0.3">
      <c r="B72" s="12"/>
      <c r="C72" s="19">
        <v>282.4560546875</v>
      </c>
      <c r="D72" s="20">
        <v>33.774700000000003</v>
      </c>
      <c r="E72" s="20">
        <v>41.007199999999997</v>
      </c>
      <c r="F72" s="20">
        <v>41.8902</v>
      </c>
      <c r="G72" s="20">
        <v>409.55631399317406</v>
      </c>
      <c r="H72" s="20">
        <f t="shared" si="0"/>
        <v>35.693200000000004</v>
      </c>
      <c r="I72" s="5"/>
      <c r="J72" s="19">
        <v>282.62479999999999</v>
      </c>
      <c r="K72" s="20">
        <v>34.8431</v>
      </c>
      <c r="L72" s="20">
        <v>41.232599999999998</v>
      </c>
      <c r="M72" s="20">
        <v>42.172800000000002</v>
      </c>
      <c r="N72" s="20">
        <v>480.3843</v>
      </c>
      <c r="O72" s="20">
        <f t="shared" si="1"/>
        <v>36.558</v>
      </c>
      <c r="P72" s="7"/>
      <c r="Q72" s="13"/>
      <c r="R72" s="14"/>
      <c r="S72" s="14"/>
      <c r="T72" s="27"/>
      <c r="U72" s="28">
        <f t="shared" si="2"/>
        <v>0.17293833250000001</v>
      </c>
    </row>
    <row r="73" spans="1:21" x14ac:dyDescent="0.25">
      <c r="B73" s="6" t="s">
        <v>62</v>
      </c>
      <c r="C73" s="15">
        <v>1423.1220703125</v>
      </c>
      <c r="D73" s="16">
        <v>42.507800000000003</v>
      </c>
      <c r="E73" s="16">
        <v>47.160499999999999</v>
      </c>
      <c r="F73" s="16">
        <v>47.769199999999998</v>
      </c>
      <c r="G73" s="16">
        <v>194.99512512187195</v>
      </c>
      <c r="H73" s="16">
        <f t="shared" si="0"/>
        <v>43.747062500000006</v>
      </c>
      <c r="I73" s="5"/>
      <c r="J73" s="15">
        <v>1473.2056</v>
      </c>
      <c r="K73" s="16">
        <v>42.6004</v>
      </c>
      <c r="L73" s="16">
        <v>47.618400000000001</v>
      </c>
      <c r="M73" s="16">
        <v>48.291899999999998</v>
      </c>
      <c r="N73" s="16">
        <v>338.79160000000002</v>
      </c>
      <c r="O73" s="16">
        <f t="shared" si="1"/>
        <v>43.939087499999999</v>
      </c>
      <c r="P73" s="7"/>
      <c r="Q73" s="8">
        <f>bdrate(C73:C76,D73:D76,J73:J76,K73:K76)</f>
        <v>-4.6127257999133864E-2</v>
      </c>
      <c r="R73" s="8">
        <f>bdrate(C73:C76,E73:E76,J73:J76,L73:L76)</f>
        <v>-0.20748082283155089</v>
      </c>
      <c r="S73" s="8">
        <f>bdrate(C73:C76,F73:F76,J73:J76,M73:M76)</f>
        <v>-0.22589417285188407</v>
      </c>
      <c r="T73" s="25">
        <f>bdrate(C73:C76,H73:H76,J73:J76,O73:O76)</f>
        <v>-9.1214449663959751E-2</v>
      </c>
      <c r="U73" s="28">
        <f t="shared" ref="U73:U124" si="3">(N73-G73)/G73</f>
        <v>0.73743625533333346</v>
      </c>
    </row>
    <row r="74" spans="1:21" x14ac:dyDescent="0.25">
      <c r="B74" s="9"/>
      <c r="C74" s="17">
        <v>950.8447265625</v>
      </c>
      <c r="D74" s="18">
        <v>41.957000000000001</v>
      </c>
      <c r="E74" s="18">
        <v>46.612499999999997</v>
      </c>
      <c r="F74" s="18">
        <v>47.146999999999998</v>
      </c>
      <c r="G74" s="18">
        <v>275.1031636863824</v>
      </c>
      <c r="H74" s="18">
        <f t="shared" si="0"/>
        <v>43.187687500000003</v>
      </c>
      <c r="I74" s="5"/>
      <c r="J74" s="17">
        <v>962.87599999999998</v>
      </c>
      <c r="K74" s="18">
        <v>42.034300000000002</v>
      </c>
      <c r="L74" s="18">
        <v>47.106499999999997</v>
      </c>
      <c r="M74" s="18">
        <v>47.749400000000001</v>
      </c>
      <c r="N74" s="18">
        <v>383.87720000000002</v>
      </c>
      <c r="O74" s="18">
        <f t="shared" si="1"/>
        <v>43.382712499999997</v>
      </c>
      <c r="P74" s="7"/>
      <c r="Q74" s="10"/>
      <c r="R74" s="11"/>
      <c r="S74" s="11"/>
      <c r="T74" s="26"/>
      <c r="U74" s="28">
        <f t="shared" si="3"/>
        <v>0.395393622</v>
      </c>
    </row>
    <row r="75" spans="1:21" x14ac:dyDescent="0.25">
      <c r="B75" s="9"/>
      <c r="C75" s="17">
        <v>573.9287109375</v>
      </c>
      <c r="D75" s="18">
        <v>41.058500000000002</v>
      </c>
      <c r="E75" s="18">
        <v>45.721899999999998</v>
      </c>
      <c r="F75" s="18">
        <v>46.278799999999997</v>
      </c>
      <c r="G75" s="18">
        <v>304.72320975114269</v>
      </c>
      <c r="H75" s="18">
        <f t="shared" si="0"/>
        <v>42.293962499999999</v>
      </c>
      <c r="I75" s="5"/>
      <c r="J75" s="17">
        <v>570.64959999999996</v>
      </c>
      <c r="K75" s="18">
        <v>41.113599999999998</v>
      </c>
      <c r="L75" s="18">
        <v>46.187899999999999</v>
      </c>
      <c r="M75" s="18">
        <v>46.762300000000003</v>
      </c>
      <c r="N75" s="18">
        <v>439.8827</v>
      </c>
      <c r="O75" s="18">
        <f t="shared" si="1"/>
        <v>42.453975</v>
      </c>
      <c r="P75" s="7"/>
      <c r="Q75" s="10"/>
      <c r="R75" s="11"/>
      <c r="S75" s="11"/>
      <c r="T75" s="26"/>
      <c r="U75" s="28">
        <f t="shared" si="3"/>
        <v>0.44354839383333344</v>
      </c>
    </row>
    <row r="76" spans="1:21" ht="16.5" thickBot="1" x14ac:dyDescent="0.3">
      <c r="B76" s="12"/>
      <c r="C76" s="19">
        <v>287.96875</v>
      </c>
      <c r="D76" s="20">
        <v>38.976900000000001</v>
      </c>
      <c r="E76" s="20">
        <v>44.133000000000003</v>
      </c>
      <c r="F76" s="20">
        <v>44.405900000000003</v>
      </c>
      <c r="G76" s="20">
        <v>388.09831824062093</v>
      </c>
      <c r="H76" s="20">
        <f t="shared" si="0"/>
        <v>40.300037500000002</v>
      </c>
      <c r="I76" s="5"/>
      <c r="J76" s="19">
        <v>276.6216</v>
      </c>
      <c r="K76" s="20">
        <v>39.1952</v>
      </c>
      <c r="L76" s="20">
        <v>44.381700000000002</v>
      </c>
      <c r="M76" s="20">
        <v>44.9345</v>
      </c>
      <c r="N76" s="20">
        <v>524.93439999999998</v>
      </c>
      <c r="O76" s="20">
        <f t="shared" si="1"/>
        <v>40.560925000000005</v>
      </c>
      <c r="P76" s="7"/>
      <c r="Q76" s="13"/>
      <c r="R76" s="14"/>
      <c r="S76" s="14"/>
      <c r="T76" s="27"/>
      <c r="U76" s="28">
        <f t="shared" si="3"/>
        <v>0.35258097066666672</v>
      </c>
    </row>
    <row r="77" spans="1:21" x14ac:dyDescent="0.25">
      <c r="B77" s="6" t="s">
        <v>63</v>
      </c>
      <c r="C77" s="15">
        <v>1440.6064453125</v>
      </c>
      <c r="D77" s="16">
        <v>42.221699999999998</v>
      </c>
      <c r="E77" s="16">
        <v>46.094499999999996</v>
      </c>
      <c r="F77" s="16">
        <v>46.9343</v>
      </c>
      <c r="G77" s="16">
        <v>191.69329073482427</v>
      </c>
      <c r="H77" s="16">
        <f t="shared" si="0"/>
        <v>43.294874999999998</v>
      </c>
      <c r="I77" s="5"/>
      <c r="J77" s="15">
        <v>1531.5391999999999</v>
      </c>
      <c r="K77" s="16">
        <v>42.482799999999997</v>
      </c>
      <c r="L77" s="16">
        <v>46.752200000000002</v>
      </c>
      <c r="M77" s="16">
        <v>47.590600000000002</v>
      </c>
      <c r="N77" s="16">
        <v>294.11759999999998</v>
      </c>
      <c r="O77" s="16">
        <f t="shared" si="1"/>
        <v>43.654949999999999</v>
      </c>
      <c r="P77" s="7"/>
      <c r="Q77" s="8">
        <f>bdrate(C77:C80,D77:D80,J77:J80,K77:K80)</f>
        <v>-0.11685680572433021</v>
      </c>
      <c r="R77" s="8">
        <f>bdrate(C77:C80,E77:E80,J77:J80,L77:L80)</f>
        <v>-0.22956643303407986</v>
      </c>
      <c r="S77" s="8">
        <f>bdrate(C77:C80,F77:F80,J77:J80,M77:M80)</f>
        <v>-0.23583667938325903</v>
      </c>
      <c r="T77" s="25">
        <f>bdrate(C77:C80,H77:H80,J77:J80,O77:O80)</f>
        <v>-0.14321781896979535</v>
      </c>
      <c r="U77" s="28">
        <f t="shared" si="3"/>
        <v>0.53431348000000001</v>
      </c>
    </row>
    <row r="78" spans="1:21" x14ac:dyDescent="0.25">
      <c r="B78" s="9"/>
      <c r="C78" s="17">
        <v>964.6123046875</v>
      </c>
      <c r="D78" s="18">
        <v>41.340499999999999</v>
      </c>
      <c r="E78" s="18">
        <v>45.2697</v>
      </c>
      <c r="F78" s="18">
        <v>46.075099999999999</v>
      </c>
      <c r="G78" s="18">
        <v>278.68091035764047</v>
      </c>
      <c r="H78" s="18">
        <f t="shared" si="0"/>
        <v>42.423475000000003</v>
      </c>
      <c r="I78" s="5"/>
      <c r="J78" s="17">
        <v>1006.7648</v>
      </c>
      <c r="K78" s="18">
        <v>41.639499999999998</v>
      </c>
      <c r="L78" s="18">
        <v>45.94</v>
      </c>
      <c r="M78" s="18">
        <v>46.810400000000001</v>
      </c>
      <c r="N78" s="18">
        <v>330.57850000000002</v>
      </c>
      <c r="O78" s="18">
        <f t="shared" si="1"/>
        <v>42.823425</v>
      </c>
      <c r="P78" s="7"/>
      <c r="Q78" s="10"/>
      <c r="R78" s="11"/>
      <c r="S78" s="11"/>
      <c r="T78" s="26"/>
      <c r="U78" s="28">
        <f t="shared" si="3"/>
        <v>0.18622585083333354</v>
      </c>
    </row>
    <row r="79" spans="1:21" x14ac:dyDescent="0.25">
      <c r="B79" s="9"/>
      <c r="C79" s="17">
        <v>583.0009765625</v>
      </c>
      <c r="D79" s="18">
        <v>39.774500000000003</v>
      </c>
      <c r="E79" s="18">
        <v>43.991</v>
      </c>
      <c r="F79" s="18">
        <v>44.681899999999999</v>
      </c>
      <c r="G79" s="18">
        <v>314.13612565445027</v>
      </c>
      <c r="H79" s="18">
        <f t="shared" si="0"/>
        <v>40.914987500000002</v>
      </c>
      <c r="I79" s="5"/>
      <c r="J79" s="17">
        <v>599.80240000000003</v>
      </c>
      <c r="K79" s="18">
        <v>40.271099999999997</v>
      </c>
      <c r="L79" s="18">
        <v>44.759799999999998</v>
      </c>
      <c r="M79" s="18">
        <v>45.515900000000002</v>
      </c>
      <c r="N79" s="18">
        <v>389.86349999999999</v>
      </c>
      <c r="O79" s="18">
        <f t="shared" si="1"/>
        <v>41.487787499999996</v>
      </c>
      <c r="P79" s="7"/>
      <c r="Q79" s="10"/>
      <c r="R79" s="11"/>
      <c r="S79" s="11"/>
      <c r="T79" s="26"/>
      <c r="U79" s="28">
        <f t="shared" si="3"/>
        <v>0.24106547499999995</v>
      </c>
    </row>
    <row r="80" spans="1:21" ht="16.5" thickBot="1" x14ac:dyDescent="0.3">
      <c r="B80" s="12"/>
      <c r="C80" s="19">
        <v>294.5234375</v>
      </c>
      <c r="D80" s="20">
        <v>36.710799999999999</v>
      </c>
      <c r="E80" s="20">
        <v>42.1098</v>
      </c>
      <c r="F80" s="20">
        <v>43.0047</v>
      </c>
      <c r="G80" s="20">
        <v>385.35645472061657</v>
      </c>
      <c r="H80" s="20">
        <f t="shared" si="0"/>
        <v>38.1724125</v>
      </c>
      <c r="I80" s="5"/>
      <c r="J80" s="19">
        <v>294.48320000000001</v>
      </c>
      <c r="K80" s="20">
        <v>37.643300000000004</v>
      </c>
      <c r="L80" s="20">
        <v>42.747700000000002</v>
      </c>
      <c r="M80" s="20">
        <v>43.523200000000003</v>
      </c>
      <c r="N80" s="20">
        <v>464.03710000000001</v>
      </c>
      <c r="O80" s="20">
        <f t="shared" si="1"/>
        <v>39.016337500000006</v>
      </c>
      <c r="P80" s="7"/>
      <c r="Q80" s="13"/>
      <c r="R80" s="14"/>
      <c r="S80" s="14"/>
      <c r="T80" s="27"/>
      <c r="U80" s="28">
        <f t="shared" si="3"/>
        <v>0.20417627450000003</v>
      </c>
    </row>
    <row r="81" spans="1:21" x14ac:dyDescent="0.25">
      <c r="A81" s="6" t="s">
        <v>102</v>
      </c>
      <c r="B81" s="6" t="s">
        <v>103</v>
      </c>
      <c r="C81" s="15">
        <v>1476.3330078125</v>
      </c>
      <c r="D81" s="16">
        <v>36.355800000000002</v>
      </c>
      <c r="E81" s="16">
        <v>42.019399999999997</v>
      </c>
      <c r="F81" s="16">
        <v>42.573099999999997</v>
      </c>
      <c r="G81" s="16">
        <v>147.58937356510333</v>
      </c>
      <c r="H81" s="16">
        <f t="shared" ref="H81:H124" si="4">(6*D81+E81+F81)/8</f>
        <v>37.840912500000002</v>
      </c>
      <c r="I81" s="5"/>
      <c r="J81" s="15">
        <v>1511.3739</v>
      </c>
      <c r="K81" s="16">
        <v>35.9255</v>
      </c>
      <c r="L81" s="16">
        <v>41.751600000000003</v>
      </c>
      <c r="M81" s="16">
        <v>42.403799999999997</v>
      </c>
      <c r="N81" s="16">
        <v>163.96430000000001</v>
      </c>
      <c r="O81" s="16">
        <f t="shared" ref="O81:O124" si="5">(6*K81+L81+M81)/8</f>
        <v>37.463549999999998</v>
      </c>
      <c r="P81" s="7"/>
      <c r="Q81" s="8">
        <f>bdrate(C81:C84,D81:D84,J81:J84,K81:K84)</f>
        <v>6.4682518412513046E-2</v>
      </c>
      <c r="R81" s="8">
        <f>bdrate(C81:C84,E81:E84,J81:J84,L81:L84)</f>
        <v>6.4091847185867135E-2</v>
      </c>
      <c r="S81" s="8">
        <f>bdrate(C81:C84,F81:F84,J81:J84,M81:M84)</f>
        <v>2.4614475091746302E-2</v>
      </c>
      <c r="T81" s="25">
        <f>bdrate(C81:C84,H81:H84,J81:J84,O81:O84)</f>
        <v>6.118466900342856E-2</v>
      </c>
      <c r="U81" s="28">
        <f t="shared" si="3"/>
        <v>0.1109492237777777</v>
      </c>
    </row>
    <row r="82" spans="1:21" x14ac:dyDescent="0.25">
      <c r="A82" s="9" t="s">
        <v>78</v>
      </c>
      <c r="B82" s="9"/>
      <c r="C82" s="17">
        <v>985.09765625</v>
      </c>
      <c r="D82" s="18">
        <v>34.304200000000002</v>
      </c>
      <c r="E82" s="18">
        <v>40.718400000000003</v>
      </c>
      <c r="F82" s="18">
        <v>41.259599999999999</v>
      </c>
      <c r="G82" s="18">
        <v>191.53011278995533</v>
      </c>
      <c r="H82" s="18">
        <f t="shared" si="4"/>
        <v>35.9754</v>
      </c>
      <c r="I82" s="5"/>
      <c r="J82" s="17">
        <v>1012.8979</v>
      </c>
      <c r="K82" s="18">
        <v>34.040700000000001</v>
      </c>
      <c r="L82" s="18">
        <v>40.525599999999997</v>
      </c>
      <c r="M82" s="18">
        <v>41.2121</v>
      </c>
      <c r="N82" s="18">
        <v>190.79920000000001</v>
      </c>
      <c r="O82" s="18">
        <f t="shared" si="5"/>
        <v>35.747737499999999</v>
      </c>
      <c r="P82" s="7"/>
      <c r="Q82" s="10"/>
      <c r="R82" s="11"/>
      <c r="S82" s="11"/>
      <c r="T82" s="26"/>
      <c r="U82" s="28">
        <f t="shared" si="3"/>
        <v>-3.8161768888889001E-3</v>
      </c>
    </row>
    <row r="83" spans="1:21" x14ac:dyDescent="0.25">
      <c r="B83" s="9"/>
      <c r="C83" s="17">
        <v>591.2626953125</v>
      </c>
      <c r="D83" s="18">
        <v>31.789100000000001</v>
      </c>
      <c r="E83" s="18">
        <v>39.226399999999998</v>
      </c>
      <c r="F83" s="18">
        <v>39.767499999999998</v>
      </c>
      <c r="G83" s="18">
        <v>239.1708743024183</v>
      </c>
      <c r="H83" s="18">
        <f t="shared" si="4"/>
        <v>33.7160625</v>
      </c>
      <c r="I83" s="5"/>
      <c r="J83" s="17">
        <v>607.78129999999999</v>
      </c>
      <c r="K83" s="18">
        <v>31.688199999999998</v>
      </c>
      <c r="L83" s="18">
        <v>39.1907</v>
      </c>
      <c r="M83" s="18">
        <v>39.816800000000001</v>
      </c>
      <c r="N83" s="18">
        <v>231.36250000000001</v>
      </c>
      <c r="O83" s="18">
        <f t="shared" si="5"/>
        <v>33.642087500000002</v>
      </c>
      <c r="P83" s="7"/>
      <c r="Q83" s="10"/>
      <c r="R83" s="11"/>
      <c r="S83" s="11"/>
      <c r="T83" s="26"/>
      <c r="U83" s="28">
        <f t="shared" si="3"/>
        <v>-3.2647680555555565E-2</v>
      </c>
    </row>
    <row r="84" spans="1:21" ht="16.5" thickBot="1" x14ac:dyDescent="0.3">
      <c r="B84" s="12"/>
      <c r="C84" s="19">
        <v>295.70703125</v>
      </c>
      <c r="D84" s="20">
        <v>28.612300000000001</v>
      </c>
      <c r="E84" s="20">
        <v>37.363100000000003</v>
      </c>
      <c r="F84" s="20">
        <v>37.874899999999997</v>
      </c>
      <c r="G84" s="20">
        <v>275.39779681762548</v>
      </c>
      <c r="H84" s="20">
        <f t="shared" si="4"/>
        <v>30.863975</v>
      </c>
      <c r="I84" s="5"/>
      <c r="J84" s="19">
        <v>303.09070000000003</v>
      </c>
      <c r="K84" s="20">
        <v>28.5242</v>
      </c>
      <c r="L84" s="20">
        <v>37.316400000000002</v>
      </c>
      <c r="M84" s="20">
        <v>37.939799999999998</v>
      </c>
      <c r="N84" s="20">
        <v>302.92829999999998</v>
      </c>
      <c r="O84" s="20">
        <f t="shared" si="5"/>
        <v>30.800174999999996</v>
      </c>
      <c r="P84" s="7"/>
      <c r="Q84" s="13"/>
      <c r="R84" s="14"/>
      <c r="S84" s="14"/>
      <c r="T84" s="27"/>
      <c r="U84" s="28">
        <f t="shared" si="3"/>
        <v>9.9966315999999861E-2</v>
      </c>
    </row>
    <row r="85" spans="1:21" x14ac:dyDescent="0.25">
      <c r="B85" s="6" t="s">
        <v>104</v>
      </c>
      <c r="C85" s="15">
        <v>1441.2705078125</v>
      </c>
      <c r="D85" s="16">
        <v>52.4696</v>
      </c>
      <c r="E85" s="16">
        <v>51.265099999999997</v>
      </c>
      <c r="F85" s="16">
        <v>51.523499999999999</v>
      </c>
      <c r="G85" s="16">
        <v>184.72906403940888</v>
      </c>
      <c r="H85" s="16">
        <f t="shared" si="4"/>
        <v>52.200775</v>
      </c>
      <c r="I85" s="5"/>
      <c r="J85" s="15">
        <v>1479.3507</v>
      </c>
      <c r="K85" s="16">
        <v>51.424799999999998</v>
      </c>
      <c r="L85" s="16">
        <v>52.434899999999999</v>
      </c>
      <c r="M85" s="16">
        <v>52.993200000000002</v>
      </c>
      <c r="N85" s="16">
        <v>231.1842</v>
      </c>
      <c r="O85" s="16">
        <f t="shared" si="5"/>
        <v>51.7471125</v>
      </c>
      <c r="P85" s="7"/>
      <c r="Q85" s="8">
        <f>bdrate(C85:C88,D85:D88,J85:J88,K85:K88)</f>
        <v>1.9801330880562684E-2</v>
      </c>
      <c r="R85" s="8">
        <f>bdrate(C85:C88,E85:E88,J85:J88,L85:L88)</f>
        <v>-0.24027219192004634</v>
      </c>
      <c r="S85" s="8">
        <f>bdrate(C85:C88,F85:F88,J85:J88,M85:M88)</f>
        <v>-0.27316855264676865</v>
      </c>
      <c r="T85" s="25">
        <f>bdrate(C85:C88,H85:H88,J85:J88,O85:O88)</f>
        <v>-4.6428782395259827E-2</v>
      </c>
      <c r="U85" s="28">
        <f t="shared" si="3"/>
        <v>0.25147713599999993</v>
      </c>
    </row>
    <row r="86" spans="1:21" x14ac:dyDescent="0.25">
      <c r="B86" s="9"/>
      <c r="C86" s="17">
        <v>962.974609375</v>
      </c>
      <c r="D86" s="18">
        <v>49.691600000000001</v>
      </c>
      <c r="E86" s="18">
        <v>48.862299999999998</v>
      </c>
      <c r="F86" s="18">
        <v>49.140999999999998</v>
      </c>
      <c r="G86" s="18">
        <v>269.29982046678634</v>
      </c>
      <c r="H86" s="18">
        <f t="shared" si="4"/>
        <v>49.519112500000006</v>
      </c>
      <c r="I86" s="5"/>
      <c r="J86" s="17">
        <v>989.1259</v>
      </c>
      <c r="K86" s="18">
        <v>49.526899999999998</v>
      </c>
      <c r="L86" s="18">
        <v>50.658999999999999</v>
      </c>
      <c r="M86" s="18">
        <v>51.2393</v>
      </c>
      <c r="N86" s="18">
        <v>402.14479999999998</v>
      </c>
      <c r="O86" s="18">
        <f t="shared" si="5"/>
        <v>49.882462499999995</v>
      </c>
      <c r="P86" s="7"/>
      <c r="Q86" s="10"/>
      <c r="R86" s="11"/>
      <c r="S86" s="11"/>
      <c r="T86" s="26"/>
      <c r="U86" s="28">
        <f t="shared" si="3"/>
        <v>0.49329769066666662</v>
      </c>
    </row>
    <row r="87" spans="1:21" x14ac:dyDescent="0.25">
      <c r="B87" s="9"/>
      <c r="C87" s="17">
        <v>580.1142578125</v>
      </c>
      <c r="D87" s="18">
        <v>46.4649</v>
      </c>
      <c r="E87" s="18">
        <v>46.29</v>
      </c>
      <c r="F87" s="18">
        <v>46.558500000000002</v>
      </c>
      <c r="G87" s="18">
        <v>310.23784901758017</v>
      </c>
      <c r="H87" s="18">
        <f t="shared" si="4"/>
        <v>46.4547375</v>
      </c>
      <c r="I87" s="5"/>
      <c r="J87" s="17">
        <v>605.49789999999996</v>
      </c>
      <c r="K87" s="18">
        <v>46.796100000000003</v>
      </c>
      <c r="L87" s="18">
        <v>48.087000000000003</v>
      </c>
      <c r="M87" s="18">
        <v>48.607900000000001</v>
      </c>
      <c r="N87" s="18">
        <v>468.01870000000002</v>
      </c>
      <c r="O87" s="18">
        <f t="shared" si="5"/>
        <v>47.183937499999999</v>
      </c>
      <c r="P87" s="7"/>
      <c r="Q87" s="10"/>
      <c r="R87" s="11"/>
      <c r="S87" s="11"/>
      <c r="T87" s="26"/>
      <c r="U87" s="28">
        <f t="shared" si="3"/>
        <v>0.50858027633333325</v>
      </c>
    </row>
    <row r="88" spans="1:21" ht="16.5" thickBot="1" x14ac:dyDescent="0.3">
      <c r="B88" s="12"/>
      <c r="C88" s="19">
        <v>290.912109375</v>
      </c>
      <c r="D88" s="20">
        <v>42.029499999999999</v>
      </c>
      <c r="E88" s="20">
        <v>42.747199999999999</v>
      </c>
      <c r="F88" s="20">
        <v>43.011200000000002</v>
      </c>
      <c r="G88" s="20">
        <v>363.63636363636363</v>
      </c>
      <c r="H88" s="20">
        <f t="shared" si="4"/>
        <v>42.241924999999995</v>
      </c>
      <c r="I88" s="5"/>
      <c r="J88" s="19">
        <v>305.62509999999997</v>
      </c>
      <c r="K88" s="20">
        <v>42.331499999999998</v>
      </c>
      <c r="L88" s="20">
        <v>43.889499999999998</v>
      </c>
      <c r="M88" s="20">
        <v>44.307299999999998</v>
      </c>
      <c r="N88" s="20">
        <v>529.10050000000001</v>
      </c>
      <c r="O88" s="20">
        <f t="shared" si="5"/>
        <v>42.773224999999996</v>
      </c>
      <c r="P88" s="7"/>
      <c r="Q88" s="13"/>
      <c r="R88" s="14"/>
      <c r="S88" s="14"/>
      <c r="T88" s="27"/>
      <c r="U88" s="28">
        <f t="shared" si="3"/>
        <v>0.45502637500000009</v>
      </c>
    </row>
    <row r="89" spans="1:21" x14ac:dyDescent="0.25">
      <c r="B89" s="6" t="s">
        <v>105</v>
      </c>
      <c r="C89" s="15">
        <v>1446.8310546875</v>
      </c>
      <c r="D89" s="16">
        <v>43.945099999999996</v>
      </c>
      <c r="E89" s="16">
        <v>46.0246</v>
      </c>
      <c r="F89" s="16">
        <v>46.492699999999999</v>
      </c>
      <c r="G89" s="16">
        <v>164.17365924844947</v>
      </c>
      <c r="H89" s="16">
        <f t="shared" si="4"/>
        <v>44.523487500000002</v>
      </c>
      <c r="I89" s="5"/>
      <c r="J89" s="15">
        <v>1500.8157000000001</v>
      </c>
      <c r="K89" s="16">
        <v>43.555599999999998</v>
      </c>
      <c r="L89" s="16">
        <v>46.224299999999999</v>
      </c>
      <c r="M89" s="16">
        <v>46.676900000000003</v>
      </c>
      <c r="N89" s="16">
        <v>223.76929999999999</v>
      </c>
      <c r="O89" s="16">
        <f t="shared" si="5"/>
        <v>44.279350000000001</v>
      </c>
      <c r="P89" s="7"/>
      <c r="Q89" s="8">
        <f>bdrate(C89:C92,D89:D92,J89:J92,K89:K92)</f>
        <v>2.6251184594920485E-2</v>
      </c>
      <c r="R89" s="8">
        <f>bdrate(C89:C92,E89:E92,J89:J92,L89:L92)</f>
        <v>-6.5654842843909766E-2</v>
      </c>
      <c r="S89" s="8">
        <f>bdrate(C89:C92,F89:F92,J89:J92,M89:M92)</f>
        <v>-6.0747230236074312E-2</v>
      </c>
      <c r="T89" s="25">
        <f>bdrate(C89:C92,H89:H92,J89:J92,O89:O92)</f>
        <v>9.0479554398532613E-3</v>
      </c>
      <c r="U89" s="28">
        <f t="shared" si="3"/>
        <v>0.36300366955555552</v>
      </c>
    </row>
    <row r="90" spans="1:21" x14ac:dyDescent="0.25">
      <c r="B90" s="9"/>
      <c r="C90" s="17">
        <v>966.6953125</v>
      </c>
      <c r="D90" s="18">
        <v>41.816699999999997</v>
      </c>
      <c r="E90" s="18">
        <v>44.484900000000003</v>
      </c>
      <c r="F90" s="18">
        <v>44.978499999999997</v>
      </c>
      <c r="G90" s="18">
        <v>222.05773501110289</v>
      </c>
      <c r="H90" s="18">
        <f t="shared" si="4"/>
        <v>42.545449999999995</v>
      </c>
      <c r="I90" s="5"/>
      <c r="J90" s="17">
        <v>999.9683</v>
      </c>
      <c r="K90" s="18">
        <v>41.727200000000003</v>
      </c>
      <c r="L90" s="18">
        <v>44.889200000000002</v>
      </c>
      <c r="M90" s="18">
        <v>45.351300000000002</v>
      </c>
      <c r="N90" s="18">
        <v>287.35629999999998</v>
      </c>
      <c r="O90" s="18">
        <f t="shared" si="5"/>
        <v>42.5754625</v>
      </c>
      <c r="P90" s="7"/>
      <c r="Q90" s="10"/>
      <c r="R90" s="11"/>
      <c r="S90" s="11"/>
      <c r="T90" s="26"/>
      <c r="U90" s="28">
        <f t="shared" si="3"/>
        <v>0.29406120433333321</v>
      </c>
    </row>
    <row r="91" spans="1:21" x14ac:dyDescent="0.25">
      <c r="B91" s="9"/>
      <c r="C91" s="17">
        <v>583.962890625</v>
      </c>
      <c r="D91" s="18">
        <v>39.040199999999999</v>
      </c>
      <c r="E91" s="18">
        <v>42.557000000000002</v>
      </c>
      <c r="F91" s="18">
        <v>43.052300000000002</v>
      </c>
      <c r="G91" s="18">
        <v>261.09660574412533</v>
      </c>
      <c r="H91" s="18">
        <f t="shared" si="4"/>
        <v>39.981312500000001</v>
      </c>
      <c r="I91" s="5"/>
      <c r="J91" s="17">
        <v>606.28689999999995</v>
      </c>
      <c r="K91" s="18">
        <v>39.218200000000003</v>
      </c>
      <c r="L91" s="18">
        <v>42.998399999999997</v>
      </c>
      <c r="M91" s="18">
        <v>43.470199999999998</v>
      </c>
      <c r="N91" s="18">
        <v>334.57249999999999</v>
      </c>
      <c r="O91" s="18">
        <f t="shared" si="5"/>
        <v>40.222225000000002</v>
      </c>
      <c r="P91" s="7"/>
      <c r="Q91" s="10"/>
      <c r="R91" s="11"/>
      <c r="S91" s="11"/>
      <c r="T91" s="26"/>
      <c r="U91" s="28">
        <f t="shared" si="3"/>
        <v>0.28141267499999995</v>
      </c>
    </row>
    <row r="92" spans="1:21" ht="16.5" thickBot="1" x14ac:dyDescent="0.3">
      <c r="B92" s="12"/>
      <c r="C92" s="19">
        <v>294.2578125</v>
      </c>
      <c r="D92" s="20">
        <v>35.276000000000003</v>
      </c>
      <c r="E92" s="20">
        <v>39.944800000000001</v>
      </c>
      <c r="F92" s="20">
        <v>40.4497</v>
      </c>
      <c r="G92" s="20">
        <v>309.38466827088348</v>
      </c>
      <c r="H92" s="20">
        <f t="shared" si="4"/>
        <v>36.5063125</v>
      </c>
      <c r="I92" s="5"/>
      <c r="J92" s="19">
        <v>302.84050000000002</v>
      </c>
      <c r="K92" s="20">
        <v>35.362699999999997</v>
      </c>
      <c r="L92" s="20">
        <v>40.236800000000002</v>
      </c>
      <c r="M92" s="20">
        <v>40.738500000000002</v>
      </c>
      <c r="N92" s="20">
        <v>408.16329999999999</v>
      </c>
      <c r="O92" s="20">
        <f t="shared" si="5"/>
        <v>36.6439375</v>
      </c>
      <c r="P92" s="7"/>
      <c r="Q92" s="13"/>
      <c r="R92" s="14"/>
      <c r="S92" s="14"/>
      <c r="T92" s="27"/>
      <c r="U92" s="28">
        <f t="shared" si="3"/>
        <v>0.31927448855555546</v>
      </c>
    </row>
    <row r="93" spans="1:21" x14ac:dyDescent="0.25">
      <c r="B93" s="6" t="s">
        <v>106</v>
      </c>
      <c r="C93" s="29">
        <v>1452.072265625</v>
      </c>
      <c r="D93" s="30">
        <v>38.467500000000001</v>
      </c>
      <c r="E93" s="30">
        <v>42.371099999999998</v>
      </c>
      <c r="F93" s="30">
        <v>42.114800000000002</v>
      </c>
      <c r="G93" s="16">
        <v>150.45135406218657</v>
      </c>
      <c r="H93" s="16">
        <f t="shared" si="4"/>
        <v>39.411362500000003</v>
      </c>
      <c r="I93" s="5"/>
      <c r="J93" s="29">
        <v>1512.6551999999999</v>
      </c>
      <c r="K93" s="30">
        <v>38.220599999999997</v>
      </c>
      <c r="L93" s="30">
        <v>42.519399999999997</v>
      </c>
      <c r="M93" s="30">
        <v>42.299199999999999</v>
      </c>
      <c r="N93" s="16">
        <v>213.92920000000001</v>
      </c>
      <c r="O93" s="16">
        <f t="shared" si="5"/>
        <v>39.267775</v>
      </c>
      <c r="P93" s="7"/>
      <c r="Q93" s="8">
        <f>bdrate(C93:C96,D93:D96,J93:J96,K93:K96)</f>
        <v>4.9611780702598196E-2</v>
      </c>
      <c r="R93" s="8">
        <f>bdrate(C93:C96,E93:E96,J93:J96,L93:L96)</f>
        <v>1.1487990144415816E-2</v>
      </c>
      <c r="S93" s="8">
        <f>bdrate(C93:C96,F93:F96,J93:J96,M93:M96)</f>
        <v>3.7632128233007212E-3</v>
      </c>
      <c r="T93" s="25">
        <f>bdrate(C93:C96,H93:H96,J93:J96,O93:O96)</f>
        <v>4.2274891092883848E-2</v>
      </c>
      <c r="U93" s="28">
        <f t="shared" si="3"/>
        <v>0.42191608266666664</v>
      </c>
    </row>
    <row r="94" spans="1:21" x14ac:dyDescent="0.25">
      <c r="B94" s="9"/>
      <c r="C94" s="31">
        <v>968.689453125</v>
      </c>
      <c r="D94" s="32">
        <v>36.529000000000003</v>
      </c>
      <c r="E94" s="32">
        <v>41.1599</v>
      </c>
      <c r="F94" s="32">
        <v>40.875700000000002</v>
      </c>
      <c r="G94" s="18">
        <v>191.77498401875135</v>
      </c>
      <c r="H94" s="18">
        <f t="shared" si="4"/>
        <v>37.651200000000003</v>
      </c>
      <c r="I94" s="5"/>
      <c r="J94" s="31">
        <v>1005.4624</v>
      </c>
      <c r="K94" s="32">
        <v>36.380899999999997</v>
      </c>
      <c r="L94" s="32">
        <v>41.2637</v>
      </c>
      <c r="M94" s="32">
        <v>41.016800000000003</v>
      </c>
      <c r="N94" s="18">
        <v>251.04599999999999</v>
      </c>
      <c r="O94" s="18">
        <f t="shared" si="5"/>
        <v>37.570737499999993</v>
      </c>
      <c r="P94" s="7"/>
      <c r="Q94" s="10"/>
      <c r="R94" s="11"/>
      <c r="S94" s="11"/>
      <c r="T94" s="26"/>
      <c r="U94" s="28">
        <f t="shared" si="3"/>
        <v>0.30906541999999981</v>
      </c>
    </row>
    <row r="95" spans="1:21" x14ac:dyDescent="0.25">
      <c r="B95" s="9"/>
      <c r="C95" s="31">
        <v>583.119140625</v>
      </c>
      <c r="D95" s="32">
        <v>34.175400000000003</v>
      </c>
      <c r="E95" s="32">
        <v>39.715200000000003</v>
      </c>
      <c r="F95" s="32">
        <v>39.3857</v>
      </c>
      <c r="G95" s="18">
        <v>235.47880690737833</v>
      </c>
      <c r="H95" s="18">
        <f t="shared" si="4"/>
        <v>35.519162500000007</v>
      </c>
      <c r="I95" s="5"/>
      <c r="J95" s="31">
        <v>602.5299</v>
      </c>
      <c r="K95" s="32">
        <v>34.140099999999997</v>
      </c>
      <c r="L95" s="32">
        <v>39.764800000000001</v>
      </c>
      <c r="M95" s="32">
        <v>39.460099999999997</v>
      </c>
      <c r="N95" s="18">
        <v>293.0641</v>
      </c>
      <c r="O95" s="18">
        <f t="shared" si="5"/>
        <v>35.508187499999998</v>
      </c>
      <c r="P95" s="7"/>
      <c r="Q95" s="10"/>
      <c r="R95" s="11"/>
      <c r="S95" s="11"/>
      <c r="T95" s="26"/>
      <c r="U95" s="28">
        <f t="shared" si="3"/>
        <v>0.2445455446666667</v>
      </c>
    </row>
    <row r="96" spans="1:21" ht="16.5" thickBot="1" x14ac:dyDescent="0.3">
      <c r="B96" s="12"/>
      <c r="C96" s="33">
        <v>294.1953125</v>
      </c>
      <c r="D96" s="34">
        <v>31.112300000000001</v>
      </c>
      <c r="E96" s="34">
        <v>37.935600000000001</v>
      </c>
      <c r="F96" s="34">
        <v>37.536799999999999</v>
      </c>
      <c r="G96" s="20">
        <v>297.91459781529295</v>
      </c>
      <c r="H96" s="20">
        <f t="shared" si="4"/>
        <v>32.768275000000003</v>
      </c>
      <c r="I96" s="5"/>
      <c r="J96" s="33">
        <v>301.12240000000003</v>
      </c>
      <c r="K96" s="34">
        <v>31.175599999999999</v>
      </c>
      <c r="L96" s="34">
        <v>37.918100000000003</v>
      </c>
      <c r="M96" s="34">
        <v>37.516500000000001</v>
      </c>
      <c r="N96" s="20">
        <v>365.40800000000002</v>
      </c>
      <c r="O96" s="20">
        <f t="shared" si="5"/>
        <v>32.811025000000001</v>
      </c>
      <c r="P96" s="7"/>
      <c r="Q96" s="13"/>
      <c r="R96" s="14"/>
      <c r="S96" s="14"/>
      <c r="T96" s="27"/>
      <c r="U96" s="28">
        <f t="shared" si="3"/>
        <v>0.22655285333333339</v>
      </c>
    </row>
    <row r="97" spans="2:21" x14ac:dyDescent="0.25">
      <c r="B97" s="6" t="s">
        <v>107</v>
      </c>
      <c r="C97" s="15">
        <v>1472.2236328125</v>
      </c>
      <c r="D97" s="16">
        <v>37.090699999999998</v>
      </c>
      <c r="E97" s="16">
        <v>40.999200000000002</v>
      </c>
      <c r="F97" s="16">
        <v>41.6905</v>
      </c>
      <c r="G97" s="16">
        <v>158.00561797752809</v>
      </c>
      <c r="H97" s="16">
        <f t="shared" si="4"/>
        <v>38.154237500000001</v>
      </c>
      <c r="I97" s="5"/>
      <c r="J97" s="15">
        <v>1501.5965000000001</v>
      </c>
      <c r="K97" s="16">
        <v>36.824399999999997</v>
      </c>
      <c r="L97" s="16">
        <v>41.406799999999997</v>
      </c>
      <c r="M97" s="16">
        <v>41.913800000000002</v>
      </c>
      <c r="N97" s="16">
        <v>199.86680000000001</v>
      </c>
      <c r="O97" s="16">
        <f t="shared" si="5"/>
        <v>38.033374999999992</v>
      </c>
      <c r="P97" s="7"/>
      <c r="Q97" s="8">
        <f>bdrate(C97:C100,D97:D100,J97:J100,K97:K100)</f>
        <v>2.0061784896521218E-3</v>
      </c>
      <c r="R97" s="8">
        <f>bdrate(C97:C100,E97:E100,J97:J100,L97:L100)</f>
        <v>-0.12926376429879138</v>
      </c>
      <c r="S97" s="8">
        <f>bdrate(C97:C100,F97:F100,J97:J100,M97:M100)</f>
        <v>-7.011862103823463E-2</v>
      </c>
      <c r="T97" s="25">
        <f>bdrate(C97:C100,H97:H100,J97:J100,O97:O100)</f>
        <v>-1.6498690999494747E-2</v>
      </c>
      <c r="U97" s="28">
        <f t="shared" si="3"/>
        <v>0.26493476977777786</v>
      </c>
    </row>
    <row r="98" spans="2:21" x14ac:dyDescent="0.25">
      <c r="B98" s="9"/>
      <c r="C98" s="17">
        <v>983.173828125</v>
      </c>
      <c r="D98" s="18">
        <v>35.045200000000001</v>
      </c>
      <c r="E98" s="18">
        <v>39.601399999999998</v>
      </c>
      <c r="F98" s="18">
        <v>40.353099999999998</v>
      </c>
      <c r="G98" s="18">
        <v>208.33333333333331</v>
      </c>
      <c r="H98" s="18">
        <f t="shared" si="4"/>
        <v>36.278212500000002</v>
      </c>
      <c r="I98" s="5"/>
      <c r="J98" s="17">
        <v>1000.804</v>
      </c>
      <c r="K98" s="18">
        <v>34.918900000000001</v>
      </c>
      <c r="L98" s="18">
        <v>40.013300000000001</v>
      </c>
      <c r="M98" s="18">
        <v>40.549100000000003</v>
      </c>
      <c r="N98" s="18">
        <v>243.57239999999999</v>
      </c>
      <c r="O98" s="18">
        <f t="shared" si="5"/>
        <v>36.259475000000002</v>
      </c>
      <c r="P98" s="7"/>
      <c r="Q98" s="10"/>
      <c r="R98" s="11"/>
      <c r="S98" s="11"/>
      <c r="T98" s="26"/>
      <c r="U98" s="28">
        <f t="shared" si="3"/>
        <v>0.16914752000000005</v>
      </c>
    </row>
    <row r="99" spans="2:21" x14ac:dyDescent="0.25">
      <c r="B99" s="9"/>
      <c r="C99" s="17">
        <v>591.3369140625</v>
      </c>
      <c r="D99" s="18">
        <v>32.427700000000002</v>
      </c>
      <c r="E99" s="18">
        <v>37.819200000000002</v>
      </c>
      <c r="F99" s="18">
        <v>38.620699999999999</v>
      </c>
      <c r="G99" s="18">
        <v>245.56616643929058</v>
      </c>
      <c r="H99" s="18">
        <f t="shared" si="4"/>
        <v>33.8757625</v>
      </c>
      <c r="I99" s="5"/>
      <c r="J99" s="17">
        <v>601.23889999999994</v>
      </c>
      <c r="K99" s="18">
        <v>32.590000000000003</v>
      </c>
      <c r="L99" s="18">
        <v>38.3812</v>
      </c>
      <c r="M99" s="18">
        <v>38.970599999999997</v>
      </c>
      <c r="N99" s="18">
        <v>286.16849999999999</v>
      </c>
      <c r="O99" s="18">
        <f t="shared" si="5"/>
        <v>34.111475000000006</v>
      </c>
      <c r="P99" s="7"/>
      <c r="Q99" s="10"/>
      <c r="R99" s="11"/>
      <c r="S99" s="11"/>
      <c r="T99" s="26"/>
      <c r="U99" s="28">
        <f t="shared" si="3"/>
        <v>0.16534172499999999</v>
      </c>
    </row>
    <row r="100" spans="2:21" ht="16.5" thickBot="1" x14ac:dyDescent="0.3">
      <c r="B100" s="12"/>
      <c r="C100" s="19">
        <v>295.623046875</v>
      </c>
      <c r="D100" s="20">
        <v>29.045999999999999</v>
      </c>
      <c r="E100" s="20">
        <v>35.814500000000002</v>
      </c>
      <c r="F100" s="20">
        <v>36.721299999999999</v>
      </c>
      <c r="G100" s="20">
        <v>311.52647975077883</v>
      </c>
      <c r="H100" s="20">
        <f t="shared" si="4"/>
        <v>30.851475000000001</v>
      </c>
      <c r="I100" s="5"/>
      <c r="J100" s="19">
        <v>300.72559999999999</v>
      </c>
      <c r="K100" s="20">
        <v>29.404499999999999</v>
      </c>
      <c r="L100" s="20">
        <v>36.344700000000003</v>
      </c>
      <c r="M100" s="20">
        <v>36.978400000000001</v>
      </c>
      <c r="N100" s="20">
        <v>358.9948</v>
      </c>
      <c r="O100" s="20">
        <f t="shared" si="5"/>
        <v>31.2187625</v>
      </c>
      <c r="P100" s="7"/>
      <c r="Q100" s="13"/>
      <c r="R100" s="14"/>
      <c r="S100" s="14"/>
      <c r="T100" s="27"/>
      <c r="U100" s="28">
        <f t="shared" si="3"/>
        <v>0.15237330799999993</v>
      </c>
    </row>
    <row r="101" spans="2:21" x14ac:dyDescent="0.25">
      <c r="B101" s="6" t="s">
        <v>108</v>
      </c>
      <c r="C101" s="15">
        <v>1477.38671875</v>
      </c>
      <c r="D101" s="16">
        <v>37.803800000000003</v>
      </c>
      <c r="E101" s="16">
        <v>43.225700000000003</v>
      </c>
      <c r="F101" s="16">
        <v>45.104199999999999</v>
      </c>
      <c r="G101" s="16">
        <v>151.20967741935485</v>
      </c>
      <c r="H101" s="16">
        <f t="shared" si="4"/>
        <v>39.394087500000005</v>
      </c>
      <c r="I101" s="5"/>
      <c r="J101" s="15">
        <v>1505.2616</v>
      </c>
      <c r="K101" s="16">
        <v>37.220500000000001</v>
      </c>
      <c r="L101" s="16">
        <v>43.089300000000001</v>
      </c>
      <c r="M101" s="16">
        <v>44.921399999999998</v>
      </c>
      <c r="N101" s="16">
        <v>197.67189999999999</v>
      </c>
      <c r="O101" s="16">
        <f t="shared" si="5"/>
        <v>38.916712500000003</v>
      </c>
      <c r="P101" s="7"/>
      <c r="Q101" s="8">
        <f>bdrate(C101:C104,D101:D104,J101:J104,K101:K104)</f>
        <v>0.16175757881714459</v>
      </c>
      <c r="R101" s="8">
        <f>bdrate(C101:C104,E101:E104,J101:J104,L101:L104)</f>
        <v>0.11106999102556747</v>
      </c>
      <c r="S101" s="8">
        <f>bdrate(C101:C104,F101:F104,J101:J104,M101:M104)</f>
        <v>8.0937462509166114E-2</v>
      </c>
      <c r="T101" s="25">
        <f>bdrate(C101:C104,H101:H104,J101:J104,O101:O104)</f>
        <v>0.14889607789231118</v>
      </c>
      <c r="U101" s="28">
        <f t="shared" si="3"/>
        <v>0.30727016533333323</v>
      </c>
    </row>
    <row r="102" spans="2:21" x14ac:dyDescent="0.25">
      <c r="B102" s="9"/>
      <c r="C102" s="17">
        <v>984.8251953125</v>
      </c>
      <c r="D102" s="18">
        <v>36.333199999999998</v>
      </c>
      <c r="E102" s="18">
        <v>42.295400000000001</v>
      </c>
      <c r="F102" s="18">
        <v>44.089399999999998</v>
      </c>
      <c r="G102" s="18">
        <v>193.631669535284</v>
      </c>
      <c r="H102" s="18">
        <f t="shared" si="4"/>
        <v>38.047999999999995</v>
      </c>
      <c r="I102" s="5"/>
      <c r="J102" s="17">
        <v>1003.1133</v>
      </c>
      <c r="K102" s="18">
        <v>35.730899999999998</v>
      </c>
      <c r="L102" s="18">
        <v>42.075699999999998</v>
      </c>
      <c r="M102" s="18">
        <v>43.862499999999997</v>
      </c>
      <c r="N102" s="18">
        <v>231.12479999999999</v>
      </c>
      <c r="O102" s="18">
        <f t="shared" si="5"/>
        <v>37.54045</v>
      </c>
      <c r="P102" s="7"/>
      <c r="Q102" s="10"/>
      <c r="R102" s="11"/>
      <c r="S102" s="11"/>
      <c r="T102" s="26"/>
      <c r="U102" s="28">
        <f t="shared" si="3"/>
        <v>0.19363118933333323</v>
      </c>
    </row>
    <row r="103" spans="2:21" x14ac:dyDescent="0.25">
      <c r="B103" s="9"/>
      <c r="C103" s="17">
        <v>592.34375</v>
      </c>
      <c r="D103" s="18">
        <v>34.521999999999998</v>
      </c>
      <c r="E103" s="18">
        <v>41.136600000000001</v>
      </c>
      <c r="F103" s="18">
        <v>42.698900000000002</v>
      </c>
      <c r="G103" s="18">
        <v>235.97273203985316</v>
      </c>
      <c r="H103" s="18">
        <f t="shared" si="4"/>
        <v>36.370937499999997</v>
      </c>
      <c r="I103" s="5"/>
      <c r="J103" s="17">
        <v>605.6413</v>
      </c>
      <c r="K103" s="18">
        <v>34.133000000000003</v>
      </c>
      <c r="L103" s="18">
        <v>40.954599999999999</v>
      </c>
      <c r="M103" s="18">
        <v>42.607100000000003</v>
      </c>
      <c r="N103" s="18">
        <v>273.9726</v>
      </c>
      <c r="O103" s="18">
        <f t="shared" si="5"/>
        <v>36.044962499999997</v>
      </c>
      <c r="P103" s="7"/>
      <c r="Q103" s="10"/>
      <c r="R103" s="11"/>
      <c r="S103" s="11"/>
      <c r="T103" s="26"/>
      <c r="U103" s="28">
        <f t="shared" si="3"/>
        <v>0.16103499600000007</v>
      </c>
    </row>
    <row r="104" spans="2:21" ht="16.5" thickBot="1" x14ac:dyDescent="0.3">
      <c r="B104" s="12"/>
      <c r="C104" s="19">
        <v>297.251953125</v>
      </c>
      <c r="D104" s="20">
        <v>32.197499999999998</v>
      </c>
      <c r="E104" s="20">
        <v>39.676200000000001</v>
      </c>
      <c r="F104" s="20">
        <v>41.012300000000003</v>
      </c>
      <c r="G104" s="20">
        <v>314.68531468531472</v>
      </c>
      <c r="H104" s="20">
        <f t="shared" si="4"/>
        <v>34.234187499999997</v>
      </c>
      <c r="I104" s="5"/>
      <c r="J104" s="19">
        <v>305.68270000000001</v>
      </c>
      <c r="K104" s="20">
        <v>32.000799999999998</v>
      </c>
      <c r="L104" s="20">
        <v>39.515300000000003</v>
      </c>
      <c r="M104" s="20">
        <v>40.896099999999997</v>
      </c>
      <c r="N104" s="20">
        <v>346.82080000000002</v>
      </c>
      <c r="O104" s="20">
        <f t="shared" si="5"/>
        <v>34.052025</v>
      </c>
      <c r="P104" s="7"/>
      <c r="Q104" s="13"/>
      <c r="R104" s="14"/>
      <c r="S104" s="14"/>
      <c r="T104" s="27"/>
      <c r="U104" s="28">
        <f t="shared" si="3"/>
        <v>0.10211943111111105</v>
      </c>
    </row>
    <row r="105" spans="2:21" x14ac:dyDescent="0.25">
      <c r="B105" s="6" t="s">
        <v>109</v>
      </c>
      <c r="C105" s="15">
        <v>1455.9482421875</v>
      </c>
      <c r="D105" s="16">
        <v>49.102699999999999</v>
      </c>
      <c r="E105" s="16">
        <v>54.517000000000003</v>
      </c>
      <c r="F105" s="16">
        <v>54.462600000000002</v>
      </c>
      <c r="G105" s="16">
        <v>167.5977653631285</v>
      </c>
      <c r="H105" s="16">
        <f t="shared" si="4"/>
        <v>50.449475</v>
      </c>
      <c r="I105" s="5"/>
      <c r="J105" s="15">
        <v>1511.1312</v>
      </c>
      <c r="K105" s="16">
        <v>48.324100000000001</v>
      </c>
      <c r="L105" s="16">
        <v>54.502400000000002</v>
      </c>
      <c r="M105" s="16">
        <v>54.527700000000003</v>
      </c>
      <c r="N105" s="16">
        <v>221.56569999999999</v>
      </c>
      <c r="O105" s="16">
        <f t="shared" si="5"/>
        <v>49.871837500000005</v>
      </c>
      <c r="P105" s="7"/>
      <c r="Q105" s="8">
        <f>bdrate(C105:C108,D105:D108,J105:J108,K105:K108)</f>
        <v>0.25310372008672766</v>
      </c>
      <c r="R105" s="8">
        <f>bdrate(C105:C108,E105:E108,J105:J108,L105:L108)</f>
        <v>5.7678702479547761E-2</v>
      </c>
      <c r="S105" s="8">
        <f>bdrate(C105:C108,F105:F108,J105:J108,M105:M108)</f>
        <v>6.8132552662268475E-2</v>
      </c>
      <c r="T105" s="25">
        <f>bdrate(C105:C108,H105:H108,J105:J108,O105:O108)</f>
        <v>0.20566332443736068</v>
      </c>
      <c r="U105" s="28">
        <f t="shared" si="3"/>
        <v>0.32200867666666655</v>
      </c>
    </row>
    <row r="106" spans="2:21" x14ac:dyDescent="0.25">
      <c r="B106" s="9"/>
      <c r="C106" s="17">
        <v>970.0771484375</v>
      </c>
      <c r="D106" s="18">
        <v>47.197400000000002</v>
      </c>
      <c r="E106" s="18">
        <v>52.861600000000003</v>
      </c>
      <c r="F106" s="18">
        <v>52.752699999999997</v>
      </c>
      <c r="G106" s="18">
        <v>230.47375160051217</v>
      </c>
      <c r="H106" s="18">
        <f t="shared" si="4"/>
        <v>48.5998375</v>
      </c>
      <c r="I106" s="5"/>
      <c r="J106" s="17">
        <v>1011.3677</v>
      </c>
      <c r="K106" s="18">
        <v>46.510399999999997</v>
      </c>
      <c r="L106" s="18">
        <v>52.962600000000002</v>
      </c>
      <c r="M106" s="18">
        <v>52.733800000000002</v>
      </c>
      <c r="N106" s="18">
        <v>293.9255</v>
      </c>
      <c r="O106" s="18">
        <f t="shared" si="5"/>
        <v>48.094849999999994</v>
      </c>
      <c r="P106" s="7"/>
      <c r="Q106" s="10"/>
      <c r="R106" s="11"/>
      <c r="S106" s="11"/>
      <c r="T106" s="26"/>
      <c r="U106" s="28">
        <f t="shared" si="3"/>
        <v>0.27531008611111107</v>
      </c>
    </row>
    <row r="107" spans="2:21" x14ac:dyDescent="0.25">
      <c r="B107" s="9"/>
      <c r="C107" s="17">
        <v>581.96484375</v>
      </c>
      <c r="D107" s="18">
        <v>45.080100000000002</v>
      </c>
      <c r="E107" s="18">
        <v>50.968600000000002</v>
      </c>
      <c r="F107" s="18">
        <v>50.829900000000002</v>
      </c>
      <c r="G107" s="18">
        <v>274.22303473491775</v>
      </c>
      <c r="H107" s="18">
        <f t="shared" si="4"/>
        <v>46.534887499999996</v>
      </c>
      <c r="I107" s="5"/>
      <c r="J107" s="17">
        <v>606.70050000000003</v>
      </c>
      <c r="K107" s="18">
        <v>44.234099999999998</v>
      </c>
      <c r="L107" s="18">
        <v>50.928400000000003</v>
      </c>
      <c r="M107" s="18">
        <v>50.735300000000002</v>
      </c>
      <c r="N107" s="18">
        <v>347.49029999999999</v>
      </c>
      <c r="O107" s="18">
        <f t="shared" si="5"/>
        <v>45.883537499999996</v>
      </c>
      <c r="P107" s="7"/>
      <c r="Q107" s="10"/>
      <c r="R107" s="11"/>
      <c r="S107" s="11"/>
      <c r="T107" s="26"/>
      <c r="U107" s="28">
        <f t="shared" si="3"/>
        <v>0.2671812939999999</v>
      </c>
    </row>
    <row r="108" spans="2:21" ht="16.5" thickBot="1" x14ac:dyDescent="0.3">
      <c r="B108" s="12"/>
      <c r="C108" s="19">
        <v>291.5322265625</v>
      </c>
      <c r="D108" s="20">
        <v>42.0441</v>
      </c>
      <c r="E108" s="20">
        <v>48.212400000000002</v>
      </c>
      <c r="F108" s="20">
        <v>48.078099999999999</v>
      </c>
      <c r="G108" s="20">
        <v>341.1675511751327</v>
      </c>
      <c r="H108" s="20">
        <f t="shared" si="4"/>
        <v>43.569387499999998</v>
      </c>
      <c r="I108" s="5"/>
      <c r="J108" s="19">
        <v>302.96030000000002</v>
      </c>
      <c r="K108" s="20">
        <v>40.950400000000002</v>
      </c>
      <c r="L108" s="20">
        <v>47.680799999999998</v>
      </c>
      <c r="M108" s="20">
        <v>47.663200000000003</v>
      </c>
      <c r="N108" s="20">
        <v>443.34980000000002</v>
      </c>
      <c r="O108" s="20">
        <f t="shared" si="5"/>
        <v>42.630800000000001</v>
      </c>
      <c r="P108" s="7"/>
      <c r="Q108" s="13"/>
      <c r="R108" s="14"/>
      <c r="S108" s="14"/>
      <c r="T108" s="27"/>
      <c r="U108" s="28">
        <f t="shared" si="3"/>
        <v>0.29950752488888882</v>
      </c>
    </row>
    <row r="109" spans="2:21" x14ac:dyDescent="0.25">
      <c r="B109" s="6" t="s">
        <v>110</v>
      </c>
      <c r="C109" s="15">
        <v>1472.69921875</v>
      </c>
      <c r="D109" s="16">
        <v>31.409300000000002</v>
      </c>
      <c r="E109" s="16">
        <v>40.091000000000001</v>
      </c>
      <c r="F109" s="16">
        <v>39.360199999999999</v>
      </c>
      <c r="G109" s="16">
        <v>147.58937356510333</v>
      </c>
      <c r="H109" s="16">
        <f t="shared" si="4"/>
        <v>33.488375000000005</v>
      </c>
      <c r="I109" s="5"/>
      <c r="J109" s="15">
        <v>1505.0325</v>
      </c>
      <c r="K109" s="16">
        <v>31.025500000000001</v>
      </c>
      <c r="L109" s="16">
        <v>39.786499999999997</v>
      </c>
      <c r="M109" s="16">
        <v>38.974699999999999</v>
      </c>
      <c r="N109" s="16">
        <v>159.68770000000001</v>
      </c>
      <c r="O109" s="16">
        <f t="shared" si="5"/>
        <v>33.114274999999999</v>
      </c>
      <c r="P109" s="7"/>
      <c r="Q109" s="8">
        <f>bdrate(C109:C112,D109:D112,J109:J112,K109:K112)</f>
        <v>6.0720118458321259E-2</v>
      </c>
      <c r="R109" s="8">
        <f>bdrate(C109:C112,E109:E112,J109:J112,L109:L112)</f>
        <v>7.0375399048115961E-2</v>
      </c>
      <c r="S109" s="8">
        <f>bdrate(C109:C112,F109:F112,J109:J112,M109:M112)</f>
        <v>9.0118112561649033E-2</v>
      </c>
      <c r="T109" s="25">
        <f>bdrate(C109:C112,H109:H112,J109:J112,O109:O112)</f>
        <v>6.4556949944662323E-2</v>
      </c>
      <c r="U109" s="28">
        <f t="shared" si="3"/>
        <v>8.1972882888888807E-2</v>
      </c>
    </row>
    <row r="110" spans="2:21" x14ac:dyDescent="0.25">
      <c r="B110" s="9"/>
      <c r="C110" s="17">
        <v>982.4912109375</v>
      </c>
      <c r="D110" s="18">
        <v>29.501899999999999</v>
      </c>
      <c r="E110" s="18">
        <v>39.070099999999996</v>
      </c>
      <c r="F110" s="18">
        <v>38.253500000000003</v>
      </c>
      <c r="G110" s="18">
        <v>194.21665947345704</v>
      </c>
      <c r="H110" s="18">
        <f t="shared" si="4"/>
        <v>31.791874999999997</v>
      </c>
      <c r="I110" s="5"/>
      <c r="J110" s="17">
        <v>1002.8224</v>
      </c>
      <c r="K110" s="18">
        <v>29.234000000000002</v>
      </c>
      <c r="L110" s="18">
        <v>38.906199999999998</v>
      </c>
      <c r="M110" s="18">
        <v>38.011600000000001</v>
      </c>
      <c r="N110" s="18">
        <v>190.96119999999999</v>
      </c>
      <c r="O110" s="18">
        <f t="shared" si="5"/>
        <v>31.540225</v>
      </c>
      <c r="P110" s="7"/>
      <c r="Q110" s="10"/>
      <c r="R110" s="11"/>
      <c r="S110" s="11"/>
      <c r="T110" s="26"/>
      <c r="U110" s="28">
        <f t="shared" si="3"/>
        <v>-1.6761999111111085E-2</v>
      </c>
    </row>
    <row r="111" spans="2:21" x14ac:dyDescent="0.25">
      <c r="B111" s="9"/>
      <c r="C111" s="17">
        <v>589.6591796875</v>
      </c>
      <c r="D111" s="18">
        <v>27.1706</v>
      </c>
      <c r="E111" s="18">
        <v>37.723300000000002</v>
      </c>
      <c r="F111" s="18">
        <v>36.814900000000002</v>
      </c>
      <c r="G111" s="18">
        <v>219.99511121975067</v>
      </c>
      <c r="H111" s="18">
        <f t="shared" si="4"/>
        <v>29.695224999999997</v>
      </c>
      <c r="I111" s="5"/>
      <c r="J111" s="17">
        <v>602.00480000000005</v>
      </c>
      <c r="K111" s="18">
        <v>27.026</v>
      </c>
      <c r="L111" s="18">
        <v>37.628999999999998</v>
      </c>
      <c r="M111" s="18">
        <v>36.667700000000004</v>
      </c>
      <c r="N111" s="18">
        <v>236.77979999999999</v>
      </c>
      <c r="O111" s="18">
        <f t="shared" si="5"/>
        <v>29.556587499999999</v>
      </c>
      <c r="P111" s="7"/>
      <c r="Q111" s="10"/>
      <c r="R111" s="11"/>
      <c r="S111" s="11"/>
      <c r="T111" s="26"/>
      <c r="U111" s="28">
        <f t="shared" si="3"/>
        <v>7.6295735333333323E-2</v>
      </c>
    </row>
    <row r="112" spans="2:21" ht="16.5" thickBot="1" x14ac:dyDescent="0.3">
      <c r="B112" s="12"/>
      <c r="C112" s="19">
        <v>296.564453125</v>
      </c>
      <c r="D112" s="20">
        <v>24.260400000000001</v>
      </c>
      <c r="E112" s="20">
        <v>35.425699999999999</v>
      </c>
      <c r="F112" s="20">
        <v>34.617100000000001</v>
      </c>
      <c r="G112" s="20">
        <v>222.82743253280518</v>
      </c>
      <c r="H112" s="20">
        <f t="shared" si="4"/>
        <v>26.95065</v>
      </c>
      <c r="I112" s="5"/>
      <c r="J112" s="19">
        <v>301.83010000000002</v>
      </c>
      <c r="K112" s="20">
        <v>24.290900000000001</v>
      </c>
      <c r="L112" s="20">
        <v>35.232900000000001</v>
      </c>
      <c r="M112" s="20">
        <v>34.431800000000003</v>
      </c>
      <c r="N112" s="20">
        <v>308.11369999999999</v>
      </c>
      <c r="O112" s="20">
        <f t="shared" si="5"/>
        <v>26.926262500000004</v>
      </c>
      <c r="P112" s="7"/>
      <c r="Q112" s="13"/>
      <c r="R112" s="14"/>
      <c r="S112" s="14"/>
      <c r="T112" s="27"/>
      <c r="U112" s="28">
        <f t="shared" si="3"/>
        <v>0.38274581588888867</v>
      </c>
    </row>
    <row r="113" spans="2:21" x14ac:dyDescent="0.25">
      <c r="B113" s="6" t="s">
        <v>111</v>
      </c>
      <c r="C113" s="15">
        <v>1450.359375</v>
      </c>
      <c r="D113" s="16">
        <v>46.554600000000001</v>
      </c>
      <c r="E113" s="16">
        <v>46.803100000000001</v>
      </c>
      <c r="F113" s="16">
        <v>46.842700000000001</v>
      </c>
      <c r="G113" s="16">
        <v>169.36394429808055</v>
      </c>
      <c r="H113" s="16">
        <f t="shared" si="4"/>
        <v>46.621675000000003</v>
      </c>
      <c r="I113" s="5"/>
      <c r="J113" s="15">
        <v>1390.56</v>
      </c>
      <c r="K113" s="16">
        <v>45.512</v>
      </c>
      <c r="L113" s="16">
        <v>46.403799999999997</v>
      </c>
      <c r="M113" s="16">
        <v>46.406100000000002</v>
      </c>
      <c r="N113" s="16">
        <v>204.3133</v>
      </c>
      <c r="O113" s="16">
        <f t="shared" si="5"/>
        <v>45.735237499999997</v>
      </c>
      <c r="P113" s="7"/>
      <c r="Q113" s="8">
        <f>bdrate(C113:C116,D113:D116,J113:J116,K113:K116)</f>
        <v>6.6789423732221298E-2</v>
      </c>
      <c r="R113" s="8">
        <f>bdrate(C113:C116,E113:E116,J113:J116,L113:L116)</f>
        <v>-4.552485922535543E-3</v>
      </c>
      <c r="S113" s="8">
        <f>bdrate(C113:C116,F113:F116,J113:J116,M113:M116)</f>
        <v>-9.4323077286425638E-3</v>
      </c>
      <c r="T113" s="25">
        <f>bdrate(C113:C116,H113:H116,J113:J116,O113:O116)</f>
        <v>5.1231822040323838E-2</v>
      </c>
      <c r="U113" s="28">
        <f t="shared" si="3"/>
        <v>0.20635652911111102</v>
      </c>
    </row>
    <row r="114" spans="2:21" x14ac:dyDescent="0.25">
      <c r="B114" s="9"/>
      <c r="C114" s="17">
        <v>984.310546875</v>
      </c>
      <c r="D114" s="18">
        <v>44.634799999999998</v>
      </c>
      <c r="E114" s="18">
        <v>45.098999999999997</v>
      </c>
      <c r="F114" s="18">
        <v>45.123399999999997</v>
      </c>
      <c r="G114" s="18">
        <v>240.25627335824879</v>
      </c>
      <c r="H114" s="18">
        <f t="shared" si="4"/>
        <v>44.753900000000002</v>
      </c>
      <c r="I114" s="5"/>
      <c r="J114" s="17">
        <v>927.49040000000002</v>
      </c>
      <c r="K114" s="18">
        <v>43.610100000000003</v>
      </c>
      <c r="L114" s="18">
        <v>44.746699999999997</v>
      </c>
      <c r="M114" s="18">
        <v>44.786999999999999</v>
      </c>
      <c r="N114" s="18">
        <v>273.55619999999999</v>
      </c>
      <c r="O114" s="18">
        <f t="shared" si="5"/>
        <v>43.8992875</v>
      </c>
      <c r="P114" s="7"/>
      <c r="Q114" s="10"/>
      <c r="R114" s="11"/>
      <c r="S114" s="11"/>
      <c r="T114" s="26"/>
      <c r="U114" s="28">
        <f t="shared" si="3"/>
        <v>0.13860169466666666</v>
      </c>
    </row>
    <row r="115" spans="2:21" x14ac:dyDescent="0.25">
      <c r="B115" s="9"/>
      <c r="C115" s="17">
        <v>599.50390625</v>
      </c>
      <c r="D115" s="18">
        <v>41.557699999999997</v>
      </c>
      <c r="E115" s="18">
        <v>42.658700000000003</v>
      </c>
      <c r="F115" s="18">
        <v>42.663800000000002</v>
      </c>
      <c r="G115" s="18">
        <v>286.16852146263909</v>
      </c>
      <c r="H115" s="18">
        <f t="shared" si="4"/>
        <v>41.833587499999993</v>
      </c>
      <c r="I115" s="5"/>
      <c r="J115" s="17">
        <v>570.79679999999996</v>
      </c>
      <c r="K115" s="18">
        <v>40.869300000000003</v>
      </c>
      <c r="L115" s="18">
        <v>42.452300000000001</v>
      </c>
      <c r="M115" s="18">
        <v>42.477800000000002</v>
      </c>
      <c r="N115" s="18">
        <v>330.76069999999999</v>
      </c>
      <c r="O115" s="18">
        <f t="shared" si="5"/>
        <v>41.268237499999998</v>
      </c>
      <c r="P115" s="7"/>
      <c r="Q115" s="10"/>
      <c r="R115" s="11"/>
      <c r="S115" s="11"/>
      <c r="T115" s="26"/>
      <c r="U115" s="28">
        <f t="shared" si="3"/>
        <v>0.15582489055555557</v>
      </c>
    </row>
    <row r="116" spans="2:21" ht="16.5" thickBot="1" x14ac:dyDescent="0.3">
      <c r="B116" s="12"/>
      <c r="C116" s="19">
        <v>301.1416015625</v>
      </c>
      <c r="D116" s="20">
        <v>36.687399999999997</v>
      </c>
      <c r="E116" s="20">
        <v>39.153300000000002</v>
      </c>
      <c r="F116" s="20">
        <v>39.094299999999997</v>
      </c>
      <c r="G116" s="20">
        <v>336.82634730538922</v>
      </c>
      <c r="H116" s="20">
        <f t="shared" si="4"/>
        <v>37.296499999999995</v>
      </c>
      <c r="I116" s="5"/>
      <c r="J116" s="19">
        <v>284.86509999999998</v>
      </c>
      <c r="K116" s="20">
        <v>36.473300000000002</v>
      </c>
      <c r="L116" s="20">
        <v>39.130000000000003</v>
      </c>
      <c r="M116" s="20">
        <v>39.1252</v>
      </c>
      <c r="N116" s="20">
        <v>397.351</v>
      </c>
      <c r="O116" s="20">
        <f t="shared" si="5"/>
        <v>37.136875000000003</v>
      </c>
      <c r="P116" s="7"/>
      <c r="Q116" s="13"/>
      <c r="R116" s="14"/>
      <c r="S116" s="14"/>
      <c r="T116" s="27"/>
      <c r="U116" s="28">
        <f t="shared" si="3"/>
        <v>0.17969096888888889</v>
      </c>
    </row>
    <row r="117" spans="2:21" x14ac:dyDescent="0.25">
      <c r="B117" s="6" t="s">
        <v>112</v>
      </c>
      <c r="C117" s="15">
        <v>1440.3330078125</v>
      </c>
      <c r="D117" s="16">
        <v>51.007199999999997</v>
      </c>
      <c r="E117" s="16">
        <v>51.074300000000001</v>
      </c>
      <c r="F117" s="16">
        <v>51.265700000000002</v>
      </c>
      <c r="G117" s="16">
        <v>186.06574322927435</v>
      </c>
      <c r="H117" s="16">
        <f t="shared" si="4"/>
        <v>51.047899999999991</v>
      </c>
      <c r="I117" s="5"/>
      <c r="J117" s="15">
        <v>768.81089999999995</v>
      </c>
      <c r="K117" s="16">
        <v>50.218800000000002</v>
      </c>
      <c r="L117" s="16">
        <v>51.158900000000003</v>
      </c>
      <c r="M117" s="16">
        <v>51.467199999999998</v>
      </c>
      <c r="N117" s="16">
        <v>214.8997</v>
      </c>
      <c r="O117" s="16">
        <f t="shared" si="5"/>
        <v>50.492362500000006</v>
      </c>
      <c r="P117" s="7"/>
      <c r="Q117" s="8">
        <f>bdrate(C117:C120,D117:D120,J117:J120,K117:K120)</f>
        <v>-0.32951590132644648</v>
      </c>
      <c r="R117" s="8">
        <f>bdrate(C117:C120,E117:E120,J117:J120,L117:L120)</f>
        <v>-0.37461075460583426</v>
      </c>
      <c r="S117" s="8">
        <f>bdrate(C117:C120,F117:F120,J117:J120,M117:M120)</f>
        <v>-0.37965405798963758</v>
      </c>
      <c r="T117" s="25">
        <f>bdrate(C117:C120,H117:H120,J117:J120,O117:O120)</f>
        <v>-0.34093283803180241</v>
      </c>
      <c r="U117" s="28">
        <f t="shared" si="3"/>
        <v>0.15496649877777774</v>
      </c>
    </row>
    <row r="118" spans="2:21" x14ac:dyDescent="0.25">
      <c r="B118" s="9"/>
      <c r="C118" s="17">
        <v>960.15625</v>
      </c>
      <c r="D118" s="18">
        <v>48.1021</v>
      </c>
      <c r="E118" s="18">
        <v>48.442300000000003</v>
      </c>
      <c r="F118" s="18">
        <v>48.691000000000003</v>
      </c>
      <c r="G118" s="18">
        <v>275.14521553041885</v>
      </c>
      <c r="H118" s="18">
        <f t="shared" si="4"/>
        <v>48.218237500000001</v>
      </c>
      <c r="I118" s="5"/>
      <c r="J118" s="17">
        <v>593.89149999999995</v>
      </c>
      <c r="K118" s="18">
        <v>48.3005</v>
      </c>
      <c r="L118" s="18">
        <v>49.358699999999999</v>
      </c>
      <c r="M118" s="18">
        <v>49.691200000000002</v>
      </c>
      <c r="N118" s="18">
        <v>263.92959999999999</v>
      </c>
      <c r="O118" s="18">
        <f t="shared" si="5"/>
        <v>48.606612499999997</v>
      </c>
      <c r="P118" s="7"/>
      <c r="Q118" s="10"/>
      <c r="R118" s="11"/>
      <c r="S118" s="11"/>
      <c r="T118" s="26"/>
      <c r="U118" s="28">
        <f t="shared" si="3"/>
        <v>-4.0762531555555648E-2</v>
      </c>
    </row>
    <row r="119" spans="2:21" x14ac:dyDescent="0.25">
      <c r="B119" s="9"/>
      <c r="C119" s="17">
        <v>578.9990234375</v>
      </c>
      <c r="D119" s="18">
        <v>44.004600000000003</v>
      </c>
      <c r="E119" s="18">
        <v>44.700899999999997</v>
      </c>
      <c r="F119" s="18">
        <v>44.980800000000002</v>
      </c>
      <c r="G119" s="18">
        <v>314.02651779483602</v>
      </c>
      <c r="H119" s="18">
        <f t="shared" si="4"/>
        <v>44.213662499999998</v>
      </c>
      <c r="I119" s="5"/>
      <c r="J119" s="17">
        <v>412.78910000000002</v>
      </c>
      <c r="K119" s="18">
        <v>44.410400000000003</v>
      </c>
      <c r="L119" s="18">
        <v>45.403799999999997</v>
      </c>
      <c r="M119" s="18">
        <v>45.739199999999997</v>
      </c>
      <c r="N119" s="18">
        <v>278.29309999999998</v>
      </c>
      <c r="O119" s="18">
        <f t="shared" si="5"/>
        <v>44.700674999999997</v>
      </c>
      <c r="P119" s="7"/>
      <c r="Q119" s="10"/>
      <c r="R119" s="11"/>
      <c r="S119" s="11"/>
      <c r="T119" s="26"/>
      <c r="U119" s="28">
        <f t="shared" si="3"/>
        <v>-0.11379108377777788</v>
      </c>
    </row>
    <row r="120" spans="2:21" ht="16.5" thickBot="1" x14ac:dyDescent="0.3">
      <c r="B120" s="12"/>
      <c r="C120" s="19">
        <v>291.5244140625</v>
      </c>
      <c r="D120" s="20">
        <v>38.2256</v>
      </c>
      <c r="E120" s="20">
        <v>39.879899999999999</v>
      </c>
      <c r="F120" s="20">
        <v>40.199399999999997</v>
      </c>
      <c r="G120" s="20">
        <v>357.85288270377731</v>
      </c>
      <c r="H120" s="20">
        <f t="shared" si="4"/>
        <v>38.679112500000002</v>
      </c>
      <c r="I120" s="5"/>
      <c r="J120" s="19">
        <v>284.32029999999997</v>
      </c>
      <c r="K120" s="20">
        <v>39.8996</v>
      </c>
      <c r="L120" s="20">
        <v>41.414900000000003</v>
      </c>
      <c r="M120" s="20">
        <v>41.765500000000003</v>
      </c>
      <c r="N120" s="20">
        <v>486.48649999999998</v>
      </c>
      <c r="O120" s="20">
        <f t="shared" si="5"/>
        <v>40.322249999999997</v>
      </c>
      <c r="P120" s="7"/>
      <c r="Q120" s="13"/>
      <c r="R120" s="14"/>
      <c r="S120" s="14"/>
      <c r="T120" s="27"/>
      <c r="U120" s="28">
        <f t="shared" si="3"/>
        <v>0.35945949722222226</v>
      </c>
    </row>
    <row r="121" spans="2:21" x14ac:dyDescent="0.25">
      <c r="B121" s="6" t="s">
        <v>113</v>
      </c>
      <c r="C121" s="29">
        <v>1476.84765625</v>
      </c>
      <c r="D121" s="30">
        <v>32.707099999999997</v>
      </c>
      <c r="E121" s="30">
        <v>36.402900000000002</v>
      </c>
      <c r="F121" s="30">
        <v>35.685400000000001</v>
      </c>
      <c r="G121" s="16">
        <v>143.83890043151672</v>
      </c>
      <c r="H121" s="16">
        <f t="shared" si="4"/>
        <v>33.541362499999998</v>
      </c>
      <c r="I121" s="5"/>
      <c r="J121" s="29">
        <v>1513.4650999999999</v>
      </c>
      <c r="K121" s="30">
        <v>32.581800000000001</v>
      </c>
      <c r="L121" s="30">
        <v>36.366599999999998</v>
      </c>
      <c r="M121" s="30">
        <v>35.664099999999998</v>
      </c>
      <c r="N121" s="16">
        <v>185.68190000000001</v>
      </c>
      <c r="O121" s="16">
        <f t="shared" si="5"/>
        <v>33.4401875</v>
      </c>
      <c r="P121" s="7"/>
      <c r="Q121" s="8">
        <f>bdrate(C121:C124,D121:D124,J121:J124,K121:K124)</f>
        <v>1.0886663561334053E-2</v>
      </c>
      <c r="R121" s="8">
        <f>bdrate(C121:C124,E121:E124,J121:J124,L121:L124)</f>
        <v>2.5394451938783424E-2</v>
      </c>
      <c r="S121" s="8">
        <f>bdrate(C121:C124,F121:F124,J121:J124,M121:M124)</f>
        <v>1.0579943196161956E-2</v>
      </c>
      <c r="T121" s="25">
        <f>bdrate(C121:C124,H121:H124,J121:J124,O121:O124)</f>
        <v>1.1819095252032286E-2</v>
      </c>
      <c r="U121" s="28">
        <f t="shared" si="3"/>
        <v>0.29090183144444437</v>
      </c>
    </row>
    <row r="122" spans="2:21" x14ac:dyDescent="0.25">
      <c r="B122" s="9"/>
      <c r="C122" s="31">
        <v>987.0419921875</v>
      </c>
      <c r="D122" s="32">
        <v>30.686900000000001</v>
      </c>
      <c r="E122" s="32">
        <v>35.232799999999997</v>
      </c>
      <c r="F122" s="32">
        <v>34.450299999999999</v>
      </c>
      <c r="G122" s="18">
        <v>190.71837253655434</v>
      </c>
      <c r="H122" s="18">
        <f t="shared" si="4"/>
        <v>31.725562499999999</v>
      </c>
      <c r="I122" s="5"/>
      <c r="J122" s="31">
        <v>1006.3611</v>
      </c>
      <c r="K122" s="32">
        <v>30.612100000000002</v>
      </c>
      <c r="L122" s="32">
        <v>35.258200000000002</v>
      </c>
      <c r="M122" s="32">
        <v>34.514000000000003</v>
      </c>
      <c r="N122" s="18">
        <v>219.29820000000001</v>
      </c>
      <c r="O122" s="18">
        <f t="shared" si="5"/>
        <v>31.680600000000005</v>
      </c>
      <c r="P122" s="7"/>
      <c r="Q122" s="10"/>
      <c r="R122" s="11"/>
      <c r="S122" s="11"/>
      <c r="T122" s="26"/>
      <c r="U122" s="28">
        <f t="shared" si="3"/>
        <v>0.14985356200000013</v>
      </c>
    </row>
    <row r="123" spans="2:21" x14ac:dyDescent="0.25">
      <c r="B123" s="9"/>
      <c r="C123" s="31">
        <v>592.76953125</v>
      </c>
      <c r="D123" s="32">
        <v>28.279199999999999</v>
      </c>
      <c r="E123" s="32">
        <v>33.8504</v>
      </c>
      <c r="F123" s="32">
        <v>33.0017</v>
      </c>
      <c r="G123" s="18">
        <v>223.26966013396182</v>
      </c>
      <c r="H123" s="18">
        <f t="shared" si="4"/>
        <v>29.5659125</v>
      </c>
      <c r="I123" s="5"/>
      <c r="J123" s="31">
        <v>603.68399999999997</v>
      </c>
      <c r="K123" s="32">
        <v>28.334900000000001</v>
      </c>
      <c r="L123" s="32">
        <v>33.852600000000002</v>
      </c>
      <c r="M123" s="32">
        <v>33.049300000000002</v>
      </c>
      <c r="N123" s="18">
        <v>261.70400000000001</v>
      </c>
      <c r="O123" s="18">
        <f t="shared" si="5"/>
        <v>29.613912499999998</v>
      </c>
      <c r="P123" s="7"/>
      <c r="Q123" s="10"/>
      <c r="R123" s="11"/>
      <c r="S123" s="11"/>
      <c r="T123" s="26"/>
      <c r="U123" s="28">
        <f t="shared" si="3"/>
        <v>0.17214313777777768</v>
      </c>
    </row>
    <row r="124" spans="2:21" ht="16.5" thickBot="1" x14ac:dyDescent="0.3">
      <c r="B124" s="12"/>
      <c r="C124" s="33">
        <v>297.03125</v>
      </c>
      <c r="D124" s="34">
        <v>25.349299999999999</v>
      </c>
      <c r="E124" s="34">
        <v>31.880199999999999</v>
      </c>
      <c r="F124" s="34">
        <v>30.927099999999999</v>
      </c>
      <c r="G124" s="20">
        <v>234.00936037441497</v>
      </c>
      <c r="H124" s="20">
        <f t="shared" si="4"/>
        <v>26.862887499999999</v>
      </c>
      <c r="I124" s="5"/>
      <c r="J124" s="33">
        <v>305.2355</v>
      </c>
      <c r="K124" s="34">
        <v>25.682400000000001</v>
      </c>
      <c r="L124" s="34">
        <v>31.761099999999999</v>
      </c>
      <c r="M124" s="34">
        <v>30.871700000000001</v>
      </c>
      <c r="N124" s="20">
        <v>341.94529999999997</v>
      </c>
      <c r="O124" s="20">
        <f t="shared" si="5"/>
        <v>27.090900000000001</v>
      </c>
      <c r="P124" s="7"/>
      <c r="Q124" s="13"/>
      <c r="R124" s="14"/>
      <c r="S124" s="14"/>
      <c r="T124" s="27"/>
      <c r="U124" s="28">
        <f t="shared" si="3"/>
        <v>0.46124624866666664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-4.3985570793325084E-3</v>
      </c>
      <c r="R125" s="21">
        <f>AVERAGE(R9:R124)</f>
        <v>-6.3708265684154525E-2</v>
      </c>
      <c r="S125" s="21">
        <f>AVERAGE(S9:S124)</f>
        <v>-6.6979949256807017E-2</v>
      </c>
      <c r="T125" s="21">
        <f>AVERAGE(T9:T124)</f>
        <v>-1.7132801323257205E-2</v>
      </c>
      <c r="U125" s="21">
        <f>AVERAGE(U9:U124)</f>
        <v>0.32707696329003838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11" priority="69" operator="greaterThan">
      <formula>0.03</formula>
    </cfRule>
    <cfRule type="cellIs" dxfId="110" priority="70" stopIfTrue="1" operator="lessThan">
      <formula>-0.03</formula>
    </cfRule>
  </conditionalFormatting>
  <conditionalFormatting sqref="Q33:T36">
    <cfRule type="cellIs" dxfId="109" priority="67" operator="greaterThan">
      <formula>0.03</formula>
    </cfRule>
    <cfRule type="cellIs" dxfId="108" priority="68" stopIfTrue="1" operator="lessThan">
      <formula>-0.03</formula>
    </cfRule>
  </conditionalFormatting>
  <conditionalFormatting sqref="Q45:T48 Q61:T64">
    <cfRule type="cellIs" dxfId="107" priority="65" operator="greaterThan">
      <formula>0.03</formula>
    </cfRule>
    <cfRule type="cellIs" dxfId="106" priority="66" stopIfTrue="1" operator="lessThan">
      <formula>-0.03</formula>
    </cfRule>
  </conditionalFormatting>
  <conditionalFormatting sqref="Q49:T60">
    <cfRule type="cellIs" dxfId="105" priority="63" operator="greaterThan">
      <formula>0.03</formula>
    </cfRule>
    <cfRule type="cellIs" dxfId="104" priority="64" stopIfTrue="1" operator="lessThan">
      <formula>-0.03</formula>
    </cfRule>
  </conditionalFormatting>
  <conditionalFormatting sqref="Q69:T76">
    <cfRule type="cellIs" dxfId="103" priority="61" operator="greaterThan">
      <formula>0.03</formula>
    </cfRule>
    <cfRule type="cellIs" dxfId="102" priority="62" stopIfTrue="1" operator="lessThan">
      <formula>-0.03</formula>
    </cfRule>
  </conditionalFormatting>
  <conditionalFormatting sqref="Q65:T68">
    <cfRule type="cellIs" dxfId="101" priority="59" operator="greaterThan">
      <formula>0.03</formula>
    </cfRule>
    <cfRule type="cellIs" dxfId="100" priority="60" stopIfTrue="1" operator="lessThan">
      <formula>-0.03</formula>
    </cfRule>
  </conditionalFormatting>
  <conditionalFormatting sqref="Q77:T80">
    <cfRule type="cellIs" dxfId="99" priority="57" operator="greaterThan">
      <formula>0.03</formula>
    </cfRule>
    <cfRule type="cellIs" dxfId="98" priority="58" stopIfTrue="1" operator="lessThan">
      <formula>-0.03</formula>
    </cfRule>
  </conditionalFormatting>
  <conditionalFormatting sqref="Q21:T28">
    <cfRule type="cellIs" dxfId="97" priority="55" operator="greaterThan">
      <formula>0.03</formula>
    </cfRule>
    <cfRule type="cellIs" dxfId="96" priority="56" stopIfTrue="1" operator="lessThan">
      <formula>-0.03</formula>
    </cfRule>
  </conditionalFormatting>
  <conditionalFormatting sqref="Q117:T117">
    <cfRule type="cellIs" dxfId="95" priority="3" operator="greaterThan">
      <formula>0.03</formula>
    </cfRule>
    <cfRule type="cellIs" dxfId="94" priority="4" stopIfTrue="1" operator="lessThan">
      <formula>-0.03</formula>
    </cfRule>
  </conditionalFormatting>
  <conditionalFormatting sqref="Q93:T96 Q101:T108 Q81:T84">
    <cfRule type="cellIs" dxfId="93" priority="17" operator="greaterThan">
      <formula>0.03</formula>
    </cfRule>
    <cfRule type="cellIs" dxfId="92" priority="18" stopIfTrue="1" operator="lessThan">
      <formula>-0.03</formula>
    </cfRule>
  </conditionalFormatting>
  <conditionalFormatting sqref="Q97:T100">
    <cfRule type="cellIs" dxfId="91" priority="15" operator="greaterThan">
      <formula>0.03</formula>
    </cfRule>
    <cfRule type="cellIs" dxfId="90" priority="16" stopIfTrue="1" operator="lessThan">
      <formula>-0.03</formula>
    </cfRule>
  </conditionalFormatting>
  <conditionalFormatting sqref="Q110:T112 Q122:T124">
    <cfRule type="cellIs" dxfId="89" priority="13" operator="greaterThan">
      <formula>0.03</formula>
    </cfRule>
    <cfRule type="cellIs" dxfId="88" priority="14" stopIfTrue="1" operator="lessThan">
      <formula>-0.03</formula>
    </cfRule>
  </conditionalFormatting>
  <conditionalFormatting sqref="Q114:T116 Q118:T120">
    <cfRule type="cellIs" dxfId="87" priority="11" operator="greaterThan">
      <formula>0.03</formula>
    </cfRule>
    <cfRule type="cellIs" dxfId="86" priority="12" stopIfTrue="1" operator="lessThan">
      <formula>-0.03</formula>
    </cfRule>
  </conditionalFormatting>
  <conditionalFormatting sqref="Q85:T92">
    <cfRule type="cellIs" dxfId="85" priority="9" operator="greaterThan">
      <formula>0.03</formula>
    </cfRule>
    <cfRule type="cellIs" dxfId="84" priority="10" stopIfTrue="1" operator="lessThan">
      <formula>-0.03</formula>
    </cfRule>
  </conditionalFormatting>
  <conditionalFormatting sqref="Q109:T109">
    <cfRule type="cellIs" dxfId="83" priority="7" operator="greaterThan">
      <formula>0.03</formula>
    </cfRule>
    <cfRule type="cellIs" dxfId="82" priority="8" stopIfTrue="1" operator="lessThan">
      <formula>-0.03</formula>
    </cfRule>
  </conditionalFormatting>
  <conditionalFormatting sqref="Q113:T113">
    <cfRule type="cellIs" dxfId="81" priority="5" operator="greaterThan">
      <formula>0.03</formula>
    </cfRule>
    <cfRule type="cellIs" dxfId="80" priority="6" stopIfTrue="1" operator="lessThan">
      <formula>-0.03</formula>
    </cfRule>
  </conditionalFormatting>
  <conditionalFormatting sqref="Q121:T121">
    <cfRule type="cellIs" dxfId="79" priority="1" operator="greaterThan">
      <formula>0.03</formula>
    </cfRule>
    <cfRule type="cellIs" dxfId="78" priority="2" stopIfTrue="1" operator="lessThan">
      <formula>-0.03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168</v>
      </c>
      <c r="U1" t="s">
        <v>169</v>
      </c>
    </row>
    <row r="2" spans="1:21" x14ac:dyDescent="0.25">
      <c r="A2" t="s">
        <v>170</v>
      </c>
    </row>
    <row r="3" spans="1:21" x14ac:dyDescent="0.25">
      <c r="A3" t="s">
        <v>85</v>
      </c>
    </row>
    <row r="5" spans="1:21" s="35" customFormat="1" ht="15.75" customHeight="1" x14ac:dyDescent="0.25">
      <c r="B5" s="58" t="s">
        <v>29</v>
      </c>
      <c r="C5" s="60" t="s">
        <v>177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2"/>
    </row>
    <row r="6" spans="1:21" s="35" customFormat="1" x14ac:dyDescent="0.25">
      <c r="B6" s="59"/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5"/>
    </row>
    <row r="7" spans="1:21" ht="16.5" customHeight="1" thickBot="1" x14ac:dyDescent="0.3">
      <c r="C7" s="66" t="s">
        <v>182</v>
      </c>
      <c r="D7" s="67"/>
      <c r="E7" s="67"/>
      <c r="F7" s="67"/>
      <c r="G7" s="67"/>
      <c r="H7" s="67"/>
      <c r="I7" s="5"/>
      <c r="J7" s="66" t="s">
        <v>183</v>
      </c>
      <c r="K7" s="67"/>
      <c r="L7" s="67"/>
      <c r="M7" s="67"/>
      <c r="N7" s="67"/>
      <c r="O7" s="67"/>
      <c r="Q7" s="66" t="s">
        <v>7</v>
      </c>
      <c r="R7" s="67"/>
      <c r="S7" s="68"/>
      <c r="T7" s="36"/>
      <c r="U7" s="6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9"/>
    </row>
    <row r="9" spans="1:21" x14ac:dyDescent="0.25">
      <c r="A9" s="6" t="s">
        <v>35</v>
      </c>
      <c r="B9" s="6" t="s">
        <v>46</v>
      </c>
      <c r="C9" s="15">
        <v>3730.490234375</v>
      </c>
      <c r="D9" s="16">
        <v>37.8626</v>
      </c>
      <c r="E9" s="16">
        <v>39.442900000000002</v>
      </c>
      <c r="F9" s="16">
        <v>41.863999999999997</v>
      </c>
      <c r="G9" s="16">
        <v>22.50562640660165</v>
      </c>
      <c r="H9" s="16">
        <f t="shared" ref="H9:H80" si="0">(6*D9+E9+F9)/8</f>
        <v>38.560312499999995</v>
      </c>
      <c r="I9" s="5"/>
      <c r="J9" s="15">
        <v>4091.1504</v>
      </c>
      <c r="K9" s="16">
        <v>38.473199999999999</v>
      </c>
      <c r="L9" s="16">
        <v>40.186999999999998</v>
      </c>
      <c r="M9" s="16">
        <v>42.971899999999998</v>
      </c>
      <c r="N9" s="16">
        <v>11.001899999999999</v>
      </c>
      <c r="O9" s="16">
        <f t="shared" ref="O9:O80" si="1">(6*K9+L9+M9)/8</f>
        <v>39.249762500000003</v>
      </c>
      <c r="P9" s="7"/>
      <c r="Q9" s="8">
        <f>bdrate(C9:C12,D9:D12,J9:J12,K9:K12)</f>
        <v>-0.1709310864523359</v>
      </c>
      <c r="R9" s="8">
        <f>bdrate(C9:C12,E9:E12,J9:J12,L9:L12)</f>
        <v>-0.38122150401742871</v>
      </c>
      <c r="S9" s="8">
        <f>bdrate(C9:C12,F9:F12,J9:J12,M9:M12)</f>
        <v>-0.38497328818097687</v>
      </c>
      <c r="T9" s="25">
        <f>bdrate(C9:C12,H9:H12,J9:J12,O9:O12)</f>
        <v>-0.20572537802140911</v>
      </c>
      <c r="U9" s="28">
        <f t="shared" ref="U9:U72" si="2">(N9-G9)/G9</f>
        <v>-0.51114891000000007</v>
      </c>
    </row>
    <row r="10" spans="1:21" x14ac:dyDescent="0.25">
      <c r="A10" s="9" t="s">
        <v>36</v>
      </c>
      <c r="B10" s="9"/>
      <c r="C10" s="17">
        <v>2794.39453125</v>
      </c>
      <c r="D10" s="18">
        <v>36.859299999999998</v>
      </c>
      <c r="E10" s="18">
        <v>38.8782</v>
      </c>
      <c r="F10" s="18">
        <v>41.252200000000002</v>
      </c>
      <c r="G10" s="18">
        <v>28.620492272467089</v>
      </c>
      <c r="H10" s="18">
        <f t="shared" si="0"/>
        <v>37.660775000000001</v>
      </c>
      <c r="I10" s="5"/>
      <c r="J10" s="17">
        <v>3008.4176000000002</v>
      </c>
      <c r="K10" s="18">
        <v>37.534799999999997</v>
      </c>
      <c r="L10" s="18">
        <v>39.727499999999999</v>
      </c>
      <c r="M10" s="18">
        <v>42.330199999999998</v>
      </c>
      <c r="N10" s="18">
        <v>13.171799999999999</v>
      </c>
      <c r="O10" s="18">
        <f t="shared" si="1"/>
        <v>38.408312500000001</v>
      </c>
      <c r="P10" s="7"/>
      <c r="Q10" s="10"/>
      <c r="R10" s="11"/>
      <c r="S10" s="11"/>
      <c r="T10" s="26"/>
      <c r="U10" s="28">
        <f t="shared" si="2"/>
        <v>-0.53977730800000012</v>
      </c>
    </row>
    <row r="11" spans="1:21" x14ac:dyDescent="0.25">
      <c r="B11" s="9"/>
      <c r="C11" s="17">
        <v>1866.021484375</v>
      </c>
      <c r="D11" s="18">
        <v>35.301000000000002</v>
      </c>
      <c r="E11" s="18">
        <v>38.113100000000003</v>
      </c>
      <c r="F11" s="18">
        <v>40.427</v>
      </c>
      <c r="G11" s="18">
        <v>33.557046979865774</v>
      </c>
      <c r="H11" s="18">
        <f t="shared" si="0"/>
        <v>36.293262500000004</v>
      </c>
      <c r="I11" s="5"/>
      <c r="J11" s="17">
        <v>1971.8463999999999</v>
      </c>
      <c r="K11" s="18">
        <v>36.183100000000003</v>
      </c>
      <c r="L11" s="18">
        <v>39.078800000000001</v>
      </c>
      <c r="M11" s="18">
        <v>41.519799999999996</v>
      </c>
      <c r="N11" s="18">
        <v>15.5974</v>
      </c>
      <c r="O11" s="18">
        <f t="shared" si="1"/>
        <v>37.212150000000001</v>
      </c>
      <c r="P11" s="7"/>
      <c r="Q11" s="10"/>
      <c r="R11" s="11"/>
      <c r="S11" s="11"/>
      <c r="T11" s="26"/>
      <c r="U11" s="28">
        <f t="shared" si="2"/>
        <v>-0.53519748</v>
      </c>
    </row>
    <row r="12" spans="1:21" ht="16.5" thickBot="1" x14ac:dyDescent="0.3">
      <c r="B12" s="12"/>
      <c r="C12" s="19">
        <v>929.8046875</v>
      </c>
      <c r="D12" s="20">
        <v>32.343200000000003</v>
      </c>
      <c r="E12" s="20">
        <v>36.924599999999998</v>
      </c>
      <c r="F12" s="20">
        <v>39.191400000000002</v>
      </c>
      <c r="G12" s="20">
        <v>42.205965109735509</v>
      </c>
      <c r="H12" s="20">
        <f t="shared" si="0"/>
        <v>33.771900000000002</v>
      </c>
      <c r="I12" s="5"/>
      <c r="J12" s="19">
        <v>912.46400000000006</v>
      </c>
      <c r="K12" s="20">
        <v>33.412399999999998</v>
      </c>
      <c r="L12" s="20">
        <v>37.727800000000002</v>
      </c>
      <c r="M12" s="20">
        <v>39.981900000000003</v>
      </c>
      <c r="N12" s="20">
        <v>20.369399999999999</v>
      </c>
      <c r="O12" s="20">
        <f t="shared" si="1"/>
        <v>34.7730125</v>
      </c>
      <c r="P12" s="7"/>
      <c r="Q12" s="13"/>
      <c r="R12" s="14"/>
      <c r="S12" s="14"/>
      <c r="T12" s="27"/>
      <c r="U12" s="28">
        <f t="shared" si="2"/>
        <v>-0.51738101599999997</v>
      </c>
    </row>
    <row r="13" spans="1:21" x14ac:dyDescent="0.25">
      <c r="B13" s="6" t="s">
        <v>47</v>
      </c>
      <c r="C13" s="15">
        <v>3753.2041015625</v>
      </c>
      <c r="D13" s="16">
        <v>29.191199999999998</v>
      </c>
      <c r="E13" s="16">
        <v>39.403199999999998</v>
      </c>
      <c r="F13" s="16">
        <v>40.381300000000003</v>
      </c>
      <c r="G13" s="16">
        <v>22.414823670053796</v>
      </c>
      <c r="H13" s="16">
        <f t="shared" si="0"/>
        <v>31.866462500000001</v>
      </c>
      <c r="I13" s="5"/>
      <c r="J13" s="15">
        <v>4174.3887999999997</v>
      </c>
      <c r="K13" s="16">
        <v>29.9255</v>
      </c>
      <c r="L13" s="16">
        <v>40.861699999999999</v>
      </c>
      <c r="M13" s="16">
        <v>41.671900000000001</v>
      </c>
      <c r="N13" s="16">
        <v>8.4967000000000006</v>
      </c>
      <c r="O13" s="16">
        <f t="shared" si="1"/>
        <v>32.760824999999997</v>
      </c>
      <c r="P13" s="7"/>
      <c r="Q13" s="8">
        <f>bdrate(C13:C16,D13:D16,J13:J16,K13:K16)</f>
        <v>-6.0452630228893467E-2</v>
      </c>
      <c r="R13" s="8">
        <f>bdrate(C13:C16,E13:E16,J13:J16,L13:L16)</f>
        <v>-0.43108103218334781</v>
      </c>
      <c r="S13" s="8">
        <f>bdrate(C13:C16,F13:F16,J13:J16,M13:M16)</f>
        <v>-0.44730501882129914</v>
      </c>
      <c r="T13" s="25">
        <f>bdrate(C13:C16,H13:H16,J13:J16,O13:O16)</f>
        <v>-0.13007409655334268</v>
      </c>
      <c r="U13" s="28">
        <f t="shared" si="2"/>
        <v>-0.6209338906666666</v>
      </c>
    </row>
    <row r="14" spans="1:21" x14ac:dyDescent="0.25">
      <c r="B14" s="9"/>
      <c r="C14" s="17">
        <v>2775.62890625</v>
      </c>
      <c r="D14" s="18">
        <v>27.819800000000001</v>
      </c>
      <c r="E14" s="18">
        <v>38.8673</v>
      </c>
      <c r="F14" s="18">
        <v>39.888500000000001</v>
      </c>
      <c r="G14" s="18">
        <v>27.568461679838265</v>
      </c>
      <c r="H14" s="18">
        <f t="shared" si="0"/>
        <v>30.709325</v>
      </c>
      <c r="I14" s="5"/>
      <c r="J14" s="17">
        <v>3083.8688000000002</v>
      </c>
      <c r="K14" s="18">
        <v>28.520700000000001</v>
      </c>
      <c r="L14" s="18">
        <v>40.336500000000001</v>
      </c>
      <c r="M14" s="18">
        <v>41.227699999999999</v>
      </c>
      <c r="N14" s="18">
        <v>9.9278999999999993</v>
      </c>
      <c r="O14" s="18">
        <f t="shared" si="1"/>
        <v>31.58605</v>
      </c>
      <c r="P14" s="7"/>
      <c r="Q14" s="10"/>
      <c r="R14" s="11"/>
      <c r="S14" s="11"/>
      <c r="T14" s="26"/>
      <c r="U14" s="28">
        <f t="shared" si="2"/>
        <v>-0.63988197399999991</v>
      </c>
    </row>
    <row r="15" spans="1:21" x14ac:dyDescent="0.25">
      <c r="B15" s="9"/>
      <c r="C15" s="17">
        <v>1853.7060546875</v>
      </c>
      <c r="D15" s="18">
        <v>26.196000000000002</v>
      </c>
      <c r="E15" s="18">
        <v>38.0321</v>
      </c>
      <c r="F15" s="18">
        <v>39.153100000000002</v>
      </c>
      <c r="G15" s="18">
        <v>29.429075927015891</v>
      </c>
      <c r="H15" s="18">
        <f t="shared" si="0"/>
        <v>29.29515</v>
      </c>
      <c r="I15" s="5"/>
      <c r="J15" s="17">
        <v>2062.5871999999999</v>
      </c>
      <c r="K15" s="18">
        <v>26.828700000000001</v>
      </c>
      <c r="L15" s="18">
        <v>39.554600000000001</v>
      </c>
      <c r="M15" s="18">
        <v>40.566600000000001</v>
      </c>
      <c r="N15" s="18">
        <v>11.3233</v>
      </c>
      <c r="O15" s="18">
        <f t="shared" si="1"/>
        <v>30.136675</v>
      </c>
      <c r="P15" s="7"/>
      <c r="Q15" s="10"/>
      <c r="R15" s="11"/>
      <c r="S15" s="11"/>
      <c r="T15" s="26"/>
      <c r="U15" s="28">
        <f t="shared" si="2"/>
        <v>-0.61523426599999997</v>
      </c>
    </row>
    <row r="16" spans="1:21" ht="16.5" thickBot="1" x14ac:dyDescent="0.3">
      <c r="B16" s="12"/>
      <c r="C16" s="19">
        <v>1082.73828125</v>
      </c>
      <c r="D16" s="20">
        <v>24.3537</v>
      </c>
      <c r="E16" s="20">
        <v>36.570599999999999</v>
      </c>
      <c r="F16" s="20">
        <v>37.796999999999997</v>
      </c>
      <c r="G16" s="20">
        <v>29.928172386272948</v>
      </c>
      <c r="H16" s="20">
        <f t="shared" si="0"/>
        <v>27.561224999999997</v>
      </c>
      <c r="I16" s="5"/>
      <c r="J16" s="19">
        <v>1420.4096</v>
      </c>
      <c r="K16" s="20">
        <v>25.648199999999999</v>
      </c>
      <c r="L16" s="20">
        <v>38.453299999999999</v>
      </c>
      <c r="M16" s="20">
        <v>39.564900000000002</v>
      </c>
      <c r="N16" s="20">
        <v>12.0715</v>
      </c>
      <c r="O16" s="20">
        <f t="shared" si="1"/>
        <v>28.988424999999996</v>
      </c>
      <c r="P16" s="7"/>
      <c r="Q16" s="13"/>
      <c r="R16" s="14"/>
      <c r="S16" s="14"/>
      <c r="T16" s="27"/>
      <c r="U16" s="28">
        <f t="shared" si="2"/>
        <v>-0.59665094666666674</v>
      </c>
    </row>
    <row r="17" spans="1:21" x14ac:dyDescent="0.25">
      <c r="A17" s="6" t="s">
        <v>37</v>
      </c>
      <c r="B17" s="6" t="s">
        <v>48</v>
      </c>
      <c r="C17" s="15">
        <v>2226.564453125</v>
      </c>
      <c r="D17" s="16">
        <v>39.387999999999998</v>
      </c>
      <c r="E17" s="16">
        <v>42.0839</v>
      </c>
      <c r="F17" s="16">
        <v>43.482100000000003</v>
      </c>
      <c r="G17" s="16">
        <v>30.773176048211308</v>
      </c>
      <c r="H17" s="16">
        <f t="shared" si="0"/>
        <v>40.236749999999994</v>
      </c>
      <c r="I17" s="5"/>
      <c r="J17" s="15">
        <v>2371.16</v>
      </c>
      <c r="K17" s="16">
        <v>39.362699999999997</v>
      </c>
      <c r="L17" s="16">
        <v>42.357100000000003</v>
      </c>
      <c r="M17" s="16">
        <v>44.0762</v>
      </c>
      <c r="N17" s="16">
        <v>19.061199999999999</v>
      </c>
      <c r="O17" s="16">
        <f t="shared" si="1"/>
        <v>40.326187500000003</v>
      </c>
      <c r="P17" s="7"/>
      <c r="Q17" s="8">
        <f>bdrate(C17:C20,D17:D20,J17:J20,K17:K20)</f>
        <v>-2.0373427449204784E-2</v>
      </c>
      <c r="R17" s="8">
        <f>bdrate(C17:C20,E17:E20,J17:J20,L17:L20)</f>
        <v>-0.24601087745070771</v>
      </c>
      <c r="S17" s="8">
        <f>bdrate(C17:C20,F17:F20,J17:J20,M17:M20)</f>
        <v>-0.28111921168682463</v>
      </c>
      <c r="T17" s="25">
        <f>bdrate(C17:C20,H17:H20,J17:J20,O17:O20)</f>
        <v>-6.0513623829102525E-2</v>
      </c>
      <c r="U17" s="28">
        <f t="shared" si="2"/>
        <v>-0.38059042166666668</v>
      </c>
    </row>
    <row r="18" spans="1:21" x14ac:dyDescent="0.25">
      <c r="A18" s="9" t="s">
        <v>38</v>
      </c>
      <c r="B18" s="9"/>
      <c r="C18" s="17">
        <v>1484.9169921875</v>
      </c>
      <c r="D18" s="18">
        <v>38.078699999999998</v>
      </c>
      <c r="E18" s="18">
        <v>41.361699999999999</v>
      </c>
      <c r="F18" s="18">
        <v>42.626399999999997</v>
      </c>
      <c r="G18" s="18">
        <v>40.712468193384225</v>
      </c>
      <c r="H18" s="18">
        <f t="shared" si="0"/>
        <v>39.057537499999995</v>
      </c>
      <c r="I18" s="5"/>
      <c r="J18" s="17">
        <v>1558.8896</v>
      </c>
      <c r="K18" s="18">
        <v>38.225000000000001</v>
      </c>
      <c r="L18" s="18">
        <v>41.805799999999998</v>
      </c>
      <c r="M18" s="18">
        <v>43.3018</v>
      </c>
      <c r="N18" s="18">
        <v>23.5502</v>
      </c>
      <c r="O18" s="18">
        <f t="shared" si="1"/>
        <v>39.307200000000002</v>
      </c>
      <c r="P18" s="7"/>
      <c r="Q18" s="10"/>
      <c r="R18" s="11"/>
      <c r="S18" s="11"/>
      <c r="T18" s="26"/>
      <c r="U18" s="28">
        <f t="shared" si="2"/>
        <v>-0.42154821250000002</v>
      </c>
    </row>
    <row r="19" spans="1:21" x14ac:dyDescent="0.25">
      <c r="B19" s="9"/>
      <c r="C19" s="17">
        <v>927.345703125</v>
      </c>
      <c r="D19" s="18">
        <v>36.427799999999998</v>
      </c>
      <c r="E19" s="18">
        <v>40.5229</v>
      </c>
      <c r="F19" s="18">
        <v>41.728099999999998</v>
      </c>
      <c r="G19" s="18">
        <v>53.203280868986923</v>
      </c>
      <c r="H19" s="18">
        <f t="shared" si="0"/>
        <v>37.602224999999997</v>
      </c>
      <c r="I19" s="5"/>
      <c r="J19" s="17">
        <v>966.53679999999997</v>
      </c>
      <c r="K19" s="18">
        <v>36.693300000000001</v>
      </c>
      <c r="L19" s="18">
        <v>41.116500000000002</v>
      </c>
      <c r="M19" s="18">
        <v>42.415300000000002</v>
      </c>
      <c r="N19" s="18">
        <v>28.145900000000001</v>
      </c>
      <c r="O19" s="18">
        <f t="shared" si="1"/>
        <v>37.961449999999999</v>
      </c>
      <c r="P19" s="7"/>
      <c r="Q19" s="10"/>
      <c r="R19" s="11"/>
      <c r="S19" s="11"/>
      <c r="T19" s="26"/>
      <c r="U19" s="28">
        <f t="shared" si="2"/>
        <v>-0.47097435458333331</v>
      </c>
    </row>
    <row r="20" spans="1:21" ht="16.5" thickBot="1" x14ac:dyDescent="0.3">
      <c r="B20" s="12"/>
      <c r="C20" s="19">
        <v>556.2509765625</v>
      </c>
      <c r="D20" s="20">
        <v>34.506999999999998</v>
      </c>
      <c r="E20" s="20">
        <v>39.708799999999997</v>
      </c>
      <c r="F20" s="20">
        <v>40.970399999999998</v>
      </c>
      <c r="G20" s="20">
        <v>68.065796937039138</v>
      </c>
      <c r="H20" s="20">
        <f t="shared" si="0"/>
        <v>35.965149999999994</v>
      </c>
      <c r="I20" s="5"/>
      <c r="J20" s="19">
        <v>563.66160000000002</v>
      </c>
      <c r="K20" s="20">
        <v>34.9161</v>
      </c>
      <c r="L20" s="20">
        <v>40.393999999999998</v>
      </c>
      <c r="M20" s="20">
        <v>41.639099999999999</v>
      </c>
      <c r="N20" s="20">
        <v>34.290599999999998</v>
      </c>
      <c r="O20" s="20">
        <f t="shared" si="1"/>
        <v>36.441212499999999</v>
      </c>
      <c r="P20" s="7"/>
      <c r="Q20" s="13"/>
      <c r="R20" s="14"/>
      <c r="S20" s="14"/>
      <c r="T20" s="27"/>
      <c r="U20" s="28">
        <f t="shared" si="2"/>
        <v>-0.49621393500000005</v>
      </c>
    </row>
    <row r="21" spans="1:21" x14ac:dyDescent="0.25">
      <c r="B21" s="6" t="s">
        <v>49</v>
      </c>
      <c r="C21" s="15">
        <v>2265.12890625</v>
      </c>
      <c r="D21" s="16">
        <v>36.337200000000003</v>
      </c>
      <c r="E21" s="16">
        <v>40.003700000000002</v>
      </c>
      <c r="F21" s="16">
        <v>41.100099999999998</v>
      </c>
      <c r="G21" s="16">
        <v>30.690537084398976</v>
      </c>
      <c r="H21" s="16">
        <f t="shared" si="0"/>
        <v>37.390875000000001</v>
      </c>
      <c r="I21" s="5"/>
      <c r="J21" s="15">
        <v>2540.7512000000002</v>
      </c>
      <c r="K21" s="16">
        <v>36.586599999999997</v>
      </c>
      <c r="L21" s="16">
        <v>40.8292</v>
      </c>
      <c r="M21" s="16">
        <v>42.178400000000003</v>
      </c>
      <c r="N21" s="16">
        <v>17.7331</v>
      </c>
      <c r="O21" s="16">
        <f t="shared" si="1"/>
        <v>37.815899999999999</v>
      </c>
      <c r="P21" s="7"/>
      <c r="Q21" s="8">
        <f>bdrate(C21:C24,D21:D24,J21:J24,K21:K24)</f>
        <v>-2.022765818526262E-2</v>
      </c>
      <c r="R21" s="8">
        <f>bdrate(C21:C24,E21:E24,J21:J24,L21:L24)</f>
        <v>-0.31847594712538307</v>
      </c>
      <c r="S21" s="8">
        <f>bdrate(C21:C24,F21:F24,J21:J24,M21:M24)</f>
        <v>-0.35058604668335003</v>
      </c>
      <c r="T21" s="25">
        <f>bdrate(C21:C24,H21:H24,J21:J24,O21:O24)</f>
        <v>-8.0537488636918342E-2</v>
      </c>
      <c r="U21" s="28">
        <f t="shared" si="2"/>
        <v>-0.42219649166666662</v>
      </c>
    </row>
    <row r="22" spans="1:21" x14ac:dyDescent="0.25">
      <c r="B22" s="9"/>
      <c r="C22" s="17">
        <v>1510.69921875</v>
      </c>
      <c r="D22" s="18">
        <v>35.002800000000001</v>
      </c>
      <c r="E22" s="18">
        <v>39.119500000000002</v>
      </c>
      <c r="F22" s="18">
        <v>40.255699999999997</v>
      </c>
      <c r="G22" s="18">
        <v>40.547389761784089</v>
      </c>
      <c r="H22" s="18">
        <f t="shared" si="0"/>
        <v>36.173999999999999</v>
      </c>
      <c r="I22" s="5"/>
      <c r="J22" s="17">
        <v>1666.4728</v>
      </c>
      <c r="K22" s="18">
        <v>35.338900000000002</v>
      </c>
      <c r="L22" s="18">
        <v>40.027500000000003</v>
      </c>
      <c r="M22" s="18">
        <v>41.271799999999999</v>
      </c>
      <c r="N22" s="18">
        <v>21.633299999999998</v>
      </c>
      <c r="O22" s="18">
        <f t="shared" si="1"/>
        <v>36.666587500000006</v>
      </c>
      <c r="P22" s="7"/>
      <c r="Q22" s="10"/>
      <c r="R22" s="11"/>
      <c r="S22" s="11"/>
      <c r="T22" s="26"/>
      <c r="U22" s="28">
        <f t="shared" si="2"/>
        <v>-0.46646873875000011</v>
      </c>
    </row>
    <row r="23" spans="1:21" x14ac:dyDescent="0.25">
      <c r="B23" s="9"/>
      <c r="C23" s="17">
        <v>942.9580078125</v>
      </c>
      <c r="D23" s="18">
        <v>33.466099999999997</v>
      </c>
      <c r="E23" s="18">
        <v>38.149900000000002</v>
      </c>
      <c r="F23" s="18">
        <v>39.444400000000002</v>
      </c>
      <c r="G23" s="18">
        <v>52.677787532923617</v>
      </c>
      <c r="H23" s="18">
        <f t="shared" si="0"/>
        <v>34.798862499999998</v>
      </c>
      <c r="I23" s="5"/>
      <c r="J23" s="17">
        <v>1037.7248</v>
      </c>
      <c r="K23" s="18">
        <v>33.866100000000003</v>
      </c>
      <c r="L23" s="18">
        <v>39.135300000000001</v>
      </c>
      <c r="M23" s="18">
        <v>40.361199999999997</v>
      </c>
      <c r="N23" s="18">
        <v>26.275500000000001</v>
      </c>
      <c r="O23" s="18">
        <f t="shared" si="1"/>
        <v>35.336637500000002</v>
      </c>
      <c r="P23" s="7"/>
      <c r="Q23" s="10"/>
      <c r="R23" s="11"/>
      <c r="S23" s="11"/>
      <c r="T23" s="26"/>
      <c r="U23" s="28">
        <f t="shared" si="2"/>
        <v>-0.50120342499999992</v>
      </c>
    </row>
    <row r="24" spans="1:21" ht="16.5" thickBot="1" x14ac:dyDescent="0.3">
      <c r="B24" s="12"/>
      <c r="C24" s="19">
        <v>566.7060546875</v>
      </c>
      <c r="D24" s="20">
        <v>31.7959</v>
      </c>
      <c r="E24" s="20">
        <v>37.300699999999999</v>
      </c>
      <c r="F24" s="20">
        <v>38.817700000000002</v>
      </c>
      <c r="G24" s="20">
        <v>65.934065934065927</v>
      </c>
      <c r="H24" s="20">
        <f t="shared" si="0"/>
        <v>33.361725</v>
      </c>
      <c r="I24" s="5"/>
      <c r="J24" s="19">
        <v>611.74480000000005</v>
      </c>
      <c r="K24" s="20">
        <v>32.251899999999999</v>
      </c>
      <c r="L24" s="20">
        <v>38.134900000000002</v>
      </c>
      <c r="M24" s="20">
        <v>39.474699999999999</v>
      </c>
      <c r="N24" s="20">
        <v>31.438300000000002</v>
      </c>
      <c r="O24" s="20">
        <f t="shared" si="1"/>
        <v>33.890124999999998</v>
      </c>
      <c r="P24" s="7"/>
      <c r="Q24" s="13"/>
      <c r="R24" s="14"/>
      <c r="S24" s="14"/>
      <c r="T24" s="27"/>
      <c r="U24" s="28">
        <f t="shared" si="2"/>
        <v>-0.52318578333333332</v>
      </c>
    </row>
    <row r="25" spans="1:21" x14ac:dyDescent="0.25">
      <c r="B25" s="6" t="s">
        <v>50</v>
      </c>
      <c r="C25" s="15">
        <v>2301.6904296875</v>
      </c>
      <c r="D25" s="16">
        <v>34.073599999999999</v>
      </c>
      <c r="E25" s="16">
        <v>38.042400000000001</v>
      </c>
      <c r="F25" s="16">
        <v>39.887599999999999</v>
      </c>
      <c r="G25" s="16">
        <v>44.460252534234392</v>
      </c>
      <c r="H25" s="16">
        <f t="shared" si="0"/>
        <v>35.29645</v>
      </c>
      <c r="I25" s="5"/>
      <c r="J25" s="15">
        <v>2411.1424000000002</v>
      </c>
      <c r="K25" s="16">
        <v>34.866799999999998</v>
      </c>
      <c r="L25" s="16">
        <v>38.607799999999997</v>
      </c>
      <c r="M25" s="16">
        <v>41.186799999999998</v>
      </c>
      <c r="N25" s="16">
        <v>26.6539</v>
      </c>
      <c r="O25" s="16">
        <f t="shared" si="1"/>
        <v>36.124424999999995</v>
      </c>
      <c r="P25" s="7"/>
      <c r="Q25" s="8">
        <f>bdrate(C25:C28,D25:D28,J25:J28,K25:K28)</f>
        <v>-0.25395224954829809</v>
      </c>
      <c r="R25" s="8">
        <f>bdrate(C25:C28,E25:E28,J25:J28,L25:L28)</f>
        <v>-0.50488827375015677</v>
      </c>
      <c r="S25" s="8">
        <f>bdrate(C25:C28,F25:F28,J25:J28,M25:M28)</f>
        <v>-0.49357180289671154</v>
      </c>
      <c r="T25" s="25">
        <f>bdrate(C25:C28,H25:H28,J25:J28,O25:O28)</f>
        <v>-0.29105399323150405</v>
      </c>
      <c r="U25" s="28">
        <f t="shared" si="2"/>
        <v>-0.40050048119999998</v>
      </c>
    </row>
    <row r="26" spans="1:21" x14ac:dyDescent="0.25">
      <c r="B26" s="9"/>
      <c r="C26" s="17">
        <v>1537.359375</v>
      </c>
      <c r="D26" s="18">
        <v>32.6813</v>
      </c>
      <c r="E26" s="18">
        <v>37.449599999999997</v>
      </c>
      <c r="F26" s="18">
        <v>38.902700000000003</v>
      </c>
      <c r="G26" s="18">
        <v>61.766522544780727</v>
      </c>
      <c r="H26" s="18">
        <f t="shared" si="0"/>
        <v>34.055012500000004</v>
      </c>
      <c r="I26" s="5"/>
      <c r="J26" s="17">
        <v>1602.76</v>
      </c>
      <c r="K26" s="18">
        <v>33.716999999999999</v>
      </c>
      <c r="L26" s="18">
        <v>38.251300000000001</v>
      </c>
      <c r="M26" s="18">
        <v>40.398899999999998</v>
      </c>
      <c r="N26" s="18">
        <v>32.366599999999998</v>
      </c>
      <c r="O26" s="18">
        <f t="shared" si="1"/>
        <v>35.119024999999993</v>
      </c>
      <c r="P26" s="7"/>
      <c r="Q26" s="10"/>
      <c r="R26" s="11"/>
      <c r="S26" s="11"/>
      <c r="T26" s="26"/>
      <c r="U26" s="28">
        <f t="shared" si="2"/>
        <v>-0.47598474600000001</v>
      </c>
    </row>
    <row r="27" spans="1:21" x14ac:dyDescent="0.25">
      <c r="B27" s="9"/>
      <c r="C27" s="17">
        <v>959.1865234375</v>
      </c>
      <c r="D27" s="18">
        <v>31.0152</v>
      </c>
      <c r="E27" s="18">
        <v>36.988799999999998</v>
      </c>
      <c r="F27" s="18">
        <v>38.127200000000002</v>
      </c>
      <c r="G27" s="18">
        <v>78.222778473091367</v>
      </c>
      <c r="H27" s="18">
        <f t="shared" si="0"/>
        <v>32.6509</v>
      </c>
      <c r="I27" s="5"/>
      <c r="J27" s="17">
        <v>999.98080000000004</v>
      </c>
      <c r="K27" s="18">
        <v>32.205300000000001</v>
      </c>
      <c r="L27" s="18">
        <v>37.8125</v>
      </c>
      <c r="M27" s="18">
        <v>39.4617</v>
      </c>
      <c r="N27" s="18">
        <v>38.494100000000003</v>
      </c>
      <c r="O27" s="18">
        <f t="shared" si="1"/>
        <v>33.813250000000004</v>
      </c>
      <c r="P27" s="7"/>
      <c r="Q27" s="10"/>
      <c r="R27" s="11"/>
      <c r="S27" s="11"/>
      <c r="T27" s="26"/>
      <c r="U27" s="28">
        <f t="shared" si="2"/>
        <v>-0.5078914256</v>
      </c>
    </row>
    <row r="28" spans="1:21" ht="16.5" thickBot="1" x14ac:dyDescent="0.3">
      <c r="B28" s="12"/>
      <c r="C28" s="19">
        <v>575.51171875</v>
      </c>
      <c r="D28" s="20">
        <v>29.150700000000001</v>
      </c>
      <c r="E28" s="20">
        <v>36.3795</v>
      </c>
      <c r="F28" s="20">
        <v>37.1389</v>
      </c>
      <c r="G28" s="20">
        <v>85.660442007880761</v>
      </c>
      <c r="H28" s="20">
        <f t="shared" si="0"/>
        <v>31.052825000000002</v>
      </c>
      <c r="I28" s="5"/>
      <c r="J28" s="19">
        <v>586.39919999999995</v>
      </c>
      <c r="K28" s="20">
        <v>30.4498</v>
      </c>
      <c r="L28" s="20">
        <v>37.137500000000003</v>
      </c>
      <c r="M28" s="20">
        <v>38.371200000000002</v>
      </c>
      <c r="N28" s="20">
        <v>46.720199999999998</v>
      </c>
      <c r="O28" s="20">
        <f t="shared" si="1"/>
        <v>32.275937499999998</v>
      </c>
      <c r="P28" s="7"/>
      <c r="Q28" s="13"/>
      <c r="R28" s="14"/>
      <c r="S28" s="14"/>
      <c r="T28" s="27"/>
      <c r="U28" s="28">
        <f t="shared" si="2"/>
        <v>-0.4545883852</v>
      </c>
    </row>
    <row r="29" spans="1:21" x14ac:dyDescent="0.25">
      <c r="B29" s="6" t="s">
        <v>51</v>
      </c>
      <c r="C29" s="29">
        <v>2291.6455078125</v>
      </c>
      <c r="D29" s="30">
        <v>34.459000000000003</v>
      </c>
      <c r="E29" s="30">
        <v>40.654299999999999</v>
      </c>
      <c r="F29" s="30">
        <v>40.423400000000001</v>
      </c>
      <c r="G29" s="16">
        <v>46.036276585949729</v>
      </c>
      <c r="H29" s="16">
        <f t="shared" si="0"/>
        <v>35.978962500000002</v>
      </c>
      <c r="I29" s="5"/>
      <c r="J29" s="29">
        <v>2448.0680000000002</v>
      </c>
      <c r="K29" s="30">
        <v>34.607999999999997</v>
      </c>
      <c r="L29" s="30">
        <v>41.178899999999999</v>
      </c>
      <c r="M29" s="30">
        <v>40.9116</v>
      </c>
      <c r="N29" s="16">
        <v>21.9481</v>
      </c>
      <c r="O29" s="16">
        <f t="shared" si="1"/>
        <v>36.217312499999998</v>
      </c>
      <c r="P29" s="7"/>
      <c r="Q29" s="8">
        <f>bdrate(C29:C32,D29:D32,J29:J32,K29:K32)</f>
        <v>-4.7297726214787894E-2</v>
      </c>
      <c r="R29" s="8">
        <f>bdrate(C29:C32,E29:E32,J29:J32,L29:L32)</f>
        <v>-0.27706983284310405</v>
      </c>
      <c r="S29" s="8">
        <f>bdrate(C29:C32,F29:F32,J29:J32,M29:M32)</f>
        <v>-0.20448511317700979</v>
      </c>
      <c r="T29" s="25">
        <f>bdrate(C29:C32,H29:H32,J29:J32,O29:O32)</f>
        <v>-8.1907089865243088E-2</v>
      </c>
      <c r="U29" s="28">
        <f t="shared" si="2"/>
        <v>-0.52324337180000002</v>
      </c>
    </row>
    <row r="30" spans="1:21" x14ac:dyDescent="0.25">
      <c r="B30" s="9"/>
      <c r="C30" s="31">
        <v>1531.1728515625</v>
      </c>
      <c r="D30" s="32">
        <v>32.985399999999998</v>
      </c>
      <c r="E30" s="32">
        <v>39.906199999999998</v>
      </c>
      <c r="F30" s="32">
        <v>39.3718</v>
      </c>
      <c r="G30" s="18">
        <v>59.887411666067791</v>
      </c>
      <c r="H30" s="18">
        <f t="shared" si="0"/>
        <v>34.648800000000001</v>
      </c>
      <c r="I30" s="5"/>
      <c r="J30" s="31">
        <v>1630.828</v>
      </c>
      <c r="K30" s="32">
        <v>33.2896</v>
      </c>
      <c r="L30" s="32">
        <v>40.514200000000002</v>
      </c>
      <c r="M30" s="32">
        <v>39.998899999999999</v>
      </c>
      <c r="N30" s="18">
        <v>25.732099999999999</v>
      </c>
      <c r="O30" s="18">
        <f t="shared" si="1"/>
        <v>35.031337499999999</v>
      </c>
      <c r="P30" s="7"/>
      <c r="Q30" s="10"/>
      <c r="R30" s="11"/>
      <c r="S30" s="11"/>
      <c r="T30" s="26"/>
      <c r="U30" s="28">
        <f t="shared" si="2"/>
        <v>-0.57032539419999995</v>
      </c>
    </row>
    <row r="31" spans="1:21" x14ac:dyDescent="0.25">
      <c r="B31" s="9"/>
      <c r="C31" s="31">
        <v>954.90234375</v>
      </c>
      <c r="D31" s="32">
        <v>31.170999999999999</v>
      </c>
      <c r="E31" s="32">
        <v>39.000999999999998</v>
      </c>
      <c r="F31" s="32">
        <v>38.055399999999999</v>
      </c>
      <c r="G31" s="18">
        <v>68.82312456985548</v>
      </c>
      <c r="H31" s="18">
        <f t="shared" si="0"/>
        <v>33.010300000000001</v>
      </c>
      <c r="I31" s="5"/>
      <c r="J31" s="31">
        <v>1016.3271999999999</v>
      </c>
      <c r="K31" s="32">
        <v>31.654900000000001</v>
      </c>
      <c r="L31" s="32">
        <v>39.786099999999998</v>
      </c>
      <c r="M31" s="32">
        <v>38.926900000000003</v>
      </c>
      <c r="N31" s="18">
        <v>30.387699999999999</v>
      </c>
      <c r="O31" s="18">
        <f t="shared" si="1"/>
        <v>33.580300000000001</v>
      </c>
      <c r="P31" s="7"/>
      <c r="Q31" s="10"/>
      <c r="R31" s="11"/>
      <c r="S31" s="11"/>
      <c r="T31" s="26"/>
      <c r="U31" s="28">
        <f t="shared" si="2"/>
        <v>-0.55846671900000011</v>
      </c>
    </row>
    <row r="32" spans="1:21" ht="16.5" thickBot="1" x14ac:dyDescent="0.3">
      <c r="B32" s="12"/>
      <c r="C32" s="33">
        <v>573.79296875</v>
      </c>
      <c r="D32" s="34">
        <v>29.178599999999999</v>
      </c>
      <c r="E32" s="34">
        <v>37.805100000000003</v>
      </c>
      <c r="F32" s="34">
        <v>36.500900000000001</v>
      </c>
      <c r="G32" s="20">
        <v>72.358900144717794</v>
      </c>
      <c r="H32" s="20">
        <f t="shared" si="0"/>
        <v>31.1722</v>
      </c>
      <c r="I32" s="5"/>
      <c r="J32" s="33">
        <v>607.11680000000001</v>
      </c>
      <c r="K32" s="34">
        <v>29.8308</v>
      </c>
      <c r="L32" s="34">
        <v>38.743099999999998</v>
      </c>
      <c r="M32" s="34">
        <v>37.489199999999997</v>
      </c>
      <c r="N32" s="20">
        <v>36.279200000000003</v>
      </c>
      <c r="O32" s="20">
        <f t="shared" si="1"/>
        <v>31.902137500000002</v>
      </c>
      <c r="P32" s="7"/>
      <c r="Q32" s="13"/>
      <c r="R32" s="14"/>
      <c r="S32" s="14"/>
      <c r="T32" s="27"/>
      <c r="U32" s="28">
        <f t="shared" si="2"/>
        <v>-0.49862145599999991</v>
      </c>
    </row>
    <row r="33" spans="1:21" x14ac:dyDescent="0.25">
      <c r="B33" s="6" t="s">
        <v>52</v>
      </c>
      <c r="C33" s="15">
        <v>2327.220703125</v>
      </c>
      <c r="D33" s="16">
        <v>33.741500000000002</v>
      </c>
      <c r="E33" s="16">
        <v>39.884999999999998</v>
      </c>
      <c r="F33" s="16">
        <v>42.281999999999996</v>
      </c>
      <c r="G33" s="16">
        <v>53.036329885971888</v>
      </c>
      <c r="H33" s="16">
        <f t="shared" si="0"/>
        <v>35.576999999999998</v>
      </c>
      <c r="I33" s="5"/>
      <c r="J33" s="15">
        <v>2412.1487999999999</v>
      </c>
      <c r="K33" s="16">
        <v>33.986899999999999</v>
      </c>
      <c r="L33" s="16">
        <v>40.374099999999999</v>
      </c>
      <c r="M33" s="16">
        <v>42.814799999999998</v>
      </c>
      <c r="N33" s="16">
        <v>24.1022</v>
      </c>
      <c r="O33" s="16">
        <f t="shared" si="1"/>
        <v>35.888787499999999</v>
      </c>
      <c r="P33" s="7"/>
      <c r="Q33" s="8">
        <f>bdrate(C33:C36,D33:D36,J33:J36,K33:K36)</f>
        <v>-0.15498890510959873</v>
      </c>
      <c r="R33" s="8">
        <f>bdrate(C33:C36,E33:E36,J33:J36,L33:L36)</f>
        <v>-0.29346540029412715</v>
      </c>
      <c r="S33" s="8">
        <f>bdrate(C33:C36,F33:F36,J33:J36,M33:M36)</f>
        <v>-0.35801616922042201</v>
      </c>
      <c r="T33" s="25">
        <f>bdrate(C33:C36,H33:H36,J33:J36,O33:O36)</f>
        <v>-0.18377026853720935</v>
      </c>
      <c r="U33" s="28">
        <f t="shared" si="2"/>
        <v>-0.54555301899999997</v>
      </c>
    </row>
    <row r="34" spans="1:21" x14ac:dyDescent="0.25">
      <c r="B34" s="9"/>
      <c r="C34" s="17">
        <v>1542.5654296875</v>
      </c>
      <c r="D34" s="18">
        <v>32.9925</v>
      </c>
      <c r="E34" s="18">
        <v>39.433</v>
      </c>
      <c r="F34" s="18">
        <v>41.862699999999997</v>
      </c>
      <c r="G34" s="18">
        <v>63.197809142616393</v>
      </c>
      <c r="H34" s="18">
        <f t="shared" si="0"/>
        <v>34.906337499999999</v>
      </c>
      <c r="I34" s="5"/>
      <c r="J34" s="17">
        <v>1583.8584000000001</v>
      </c>
      <c r="K34" s="18">
        <v>33.327800000000003</v>
      </c>
      <c r="L34" s="18">
        <v>39.9161</v>
      </c>
      <c r="M34" s="18">
        <v>42.404800000000002</v>
      </c>
      <c r="N34" s="18">
        <v>28.985499999999998</v>
      </c>
      <c r="O34" s="18">
        <f t="shared" si="1"/>
        <v>35.285962500000004</v>
      </c>
      <c r="P34" s="7"/>
      <c r="Q34" s="10"/>
      <c r="R34" s="11"/>
      <c r="S34" s="11"/>
      <c r="T34" s="26"/>
      <c r="U34" s="28">
        <f t="shared" si="2"/>
        <v>-0.54135277166666662</v>
      </c>
    </row>
    <row r="35" spans="1:21" x14ac:dyDescent="0.25">
      <c r="B35" s="9"/>
      <c r="C35" s="17">
        <v>956.6728515625</v>
      </c>
      <c r="D35" s="18">
        <v>31.809699999999999</v>
      </c>
      <c r="E35" s="18">
        <v>38.745899999999999</v>
      </c>
      <c r="F35" s="18">
        <v>41.224699999999999</v>
      </c>
      <c r="G35" s="18">
        <v>72.709646146388749</v>
      </c>
      <c r="H35" s="18">
        <f t="shared" si="0"/>
        <v>33.8536</v>
      </c>
      <c r="I35" s="5"/>
      <c r="J35" s="17">
        <v>989.51679999999999</v>
      </c>
      <c r="K35" s="18">
        <v>32.343400000000003</v>
      </c>
      <c r="L35" s="18">
        <v>39.2348</v>
      </c>
      <c r="M35" s="18">
        <v>41.799799999999998</v>
      </c>
      <c r="N35" s="18">
        <v>34.9711</v>
      </c>
      <c r="O35" s="18">
        <f t="shared" si="1"/>
        <v>34.386875000000003</v>
      </c>
      <c r="P35" s="7"/>
      <c r="Q35" s="10"/>
      <c r="R35" s="11"/>
      <c r="S35" s="11"/>
      <c r="T35" s="26"/>
      <c r="U35" s="28">
        <f t="shared" si="2"/>
        <v>-0.51903080466666662</v>
      </c>
    </row>
    <row r="36" spans="1:21" ht="16.5" thickBot="1" x14ac:dyDescent="0.3">
      <c r="B36" s="12"/>
      <c r="C36" s="19">
        <v>575.08984375</v>
      </c>
      <c r="D36" s="20">
        <v>30.165199999999999</v>
      </c>
      <c r="E36" s="20">
        <v>38.1616</v>
      </c>
      <c r="F36" s="20">
        <v>40.741900000000001</v>
      </c>
      <c r="G36" s="20">
        <v>81.62154808869542</v>
      </c>
      <c r="H36" s="20">
        <f t="shared" si="0"/>
        <v>32.4868375</v>
      </c>
      <c r="I36" s="5"/>
      <c r="J36" s="19">
        <v>582.19439999999997</v>
      </c>
      <c r="K36" s="20">
        <v>30.923999999999999</v>
      </c>
      <c r="L36" s="20">
        <v>38.666800000000002</v>
      </c>
      <c r="M36" s="20">
        <v>41.289000000000001</v>
      </c>
      <c r="N36" s="20">
        <v>43.0077</v>
      </c>
      <c r="O36" s="20">
        <f t="shared" si="1"/>
        <v>33.187474999999999</v>
      </c>
      <c r="P36" s="7"/>
      <c r="Q36" s="13"/>
      <c r="R36" s="14"/>
      <c r="S36" s="14"/>
      <c r="T36" s="27"/>
      <c r="U36" s="28">
        <f t="shared" si="2"/>
        <v>-0.47308399550000002</v>
      </c>
    </row>
    <row r="37" spans="1:21" x14ac:dyDescent="0.25">
      <c r="A37" s="6" t="s">
        <v>39</v>
      </c>
      <c r="B37" s="6" t="s">
        <v>53</v>
      </c>
      <c r="C37" s="15">
        <v>1154.4580078125</v>
      </c>
      <c r="D37" s="16">
        <v>35.302700000000002</v>
      </c>
      <c r="E37" s="16">
        <v>39.477499999999999</v>
      </c>
      <c r="F37" s="16">
        <v>39.485999999999997</v>
      </c>
      <c r="G37" s="16">
        <v>84.846427965382659</v>
      </c>
      <c r="H37" s="16">
        <f t="shared" si="0"/>
        <v>36.347462499999999</v>
      </c>
      <c r="I37" s="5"/>
      <c r="J37" s="15">
        <v>1211.2696000000001</v>
      </c>
      <c r="K37" s="16">
        <v>36.612099999999998</v>
      </c>
      <c r="L37" s="16">
        <v>40.954099999999997</v>
      </c>
      <c r="M37" s="16">
        <v>40.954000000000001</v>
      </c>
      <c r="N37" s="16">
        <v>75.620099999999994</v>
      </c>
      <c r="O37" s="16">
        <f t="shared" si="1"/>
        <v>37.697587499999997</v>
      </c>
      <c r="P37" s="7"/>
      <c r="Q37" s="8">
        <f>bdrate(C37:C40,D37:D40,J37:J40,K37:K40)</f>
        <v>-0.22901069646137973</v>
      </c>
      <c r="R37" s="8">
        <f>bdrate(C37:C40,E37:E40,J37:J40,L37:L40)</f>
        <v>-0.37308954872819233</v>
      </c>
      <c r="S37" s="8">
        <f>bdrate(C37:C40,F37:F40,J37:J40,M37:M40)</f>
        <v>-0.326402045329937</v>
      </c>
      <c r="T37" s="25">
        <f>bdrate(C37:C40,H37:H40,J37:J40,O37:O40)</f>
        <v>-0.2550784973578516</v>
      </c>
      <c r="U37" s="28">
        <f t="shared" si="2"/>
        <v>-0.10874150140000009</v>
      </c>
    </row>
    <row r="38" spans="1:21" x14ac:dyDescent="0.25">
      <c r="A38" s="9" t="s">
        <v>40</v>
      </c>
      <c r="B38" s="9"/>
      <c r="C38" s="17">
        <v>769.57421875</v>
      </c>
      <c r="D38" s="18">
        <v>33.599299999999999</v>
      </c>
      <c r="E38" s="18">
        <v>38.301000000000002</v>
      </c>
      <c r="F38" s="18">
        <v>38.162199999999999</v>
      </c>
      <c r="G38" s="18">
        <v>115.55350127108852</v>
      </c>
      <c r="H38" s="18">
        <f t="shared" si="0"/>
        <v>34.757374999999996</v>
      </c>
      <c r="I38" s="5"/>
      <c r="J38" s="17">
        <v>803.21600000000001</v>
      </c>
      <c r="K38" s="18">
        <v>34.8185</v>
      </c>
      <c r="L38" s="18">
        <v>39.672800000000002</v>
      </c>
      <c r="M38" s="18">
        <v>39.446899999999999</v>
      </c>
      <c r="N38" s="18">
        <v>87.001900000000006</v>
      </c>
      <c r="O38" s="18">
        <f t="shared" si="1"/>
        <v>36.003837500000003</v>
      </c>
      <c r="P38" s="7"/>
      <c r="Q38" s="10"/>
      <c r="R38" s="11"/>
      <c r="S38" s="11"/>
      <c r="T38" s="26"/>
      <c r="U38" s="28">
        <f t="shared" si="2"/>
        <v>-0.24708555739999999</v>
      </c>
    </row>
    <row r="39" spans="1:21" x14ac:dyDescent="0.25">
      <c r="B39" s="9"/>
      <c r="C39" s="17">
        <v>480.328125</v>
      </c>
      <c r="D39" s="18">
        <v>31.639199999999999</v>
      </c>
      <c r="E39" s="18">
        <v>36.784799999999997</v>
      </c>
      <c r="F39" s="18">
        <v>36.459000000000003</v>
      </c>
      <c r="G39" s="18">
        <v>168.63406408094437</v>
      </c>
      <c r="H39" s="18">
        <f t="shared" si="0"/>
        <v>32.884874999999994</v>
      </c>
      <c r="I39" s="5"/>
      <c r="J39" s="17">
        <v>497.0016</v>
      </c>
      <c r="K39" s="18">
        <v>32.846899999999998</v>
      </c>
      <c r="L39" s="18">
        <v>38.335900000000002</v>
      </c>
      <c r="M39" s="18">
        <v>37.972799999999999</v>
      </c>
      <c r="N39" s="18">
        <v>99.522300000000001</v>
      </c>
      <c r="O39" s="18">
        <f t="shared" si="1"/>
        <v>34.173762499999995</v>
      </c>
      <c r="P39" s="7"/>
      <c r="Q39" s="10"/>
      <c r="R39" s="11"/>
      <c r="S39" s="11"/>
      <c r="T39" s="26"/>
      <c r="U39" s="28">
        <f t="shared" si="2"/>
        <v>-0.40983276100000005</v>
      </c>
    </row>
    <row r="40" spans="1:21" ht="16.5" thickBot="1" x14ac:dyDescent="0.3">
      <c r="B40" s="12"/>
      <c r="C40" s="19">
        <v>288.98046875</v>
      </c>
      <c r="D40" s="20">
        <v>29.596699999999998</v>
      </c>
      <c r="E40" s="20">
        <v>35.389499999999998</v>
      </c>
      <c r="F40" s="20">
        <v>34.810499999999998</v>
      </c>
      <c r="G40" s="20">
        <v>245.33856722276744</v>
      </c>
      <c r="H40" s="20">
        <f t="shared" si="0"/>
        <v>30.972524999999997</v>
      </c>
      <c r="I40" s="5"/>
      <c r="J40" s="19">
        <v>298.41680000000002</v>
      </c>
      <c r="K40" s="20">
        <v>30.886199999999999</v>
      </c>
      <c r="L40" s="20">
        <v>37.015000000000001</v>
      </c>
      <c r="M40" s="20">
        <v>36.501100000000001</v>
      </c>
      <c r="N40" s="20">
        <v>117.0686</v>
      </c>
      <c r="O40" s="20">
        <f t="shared" si="1"/>
        <v>32.354162500000001</v>
      </c>
      <c r="P40" s="7"/>
      <c r="Q40" s="13"/>
      <c r="R40" s="14"/>
      <c r="S40" s="14"/>
      <c r="T40" s="27"/>
      <c r="U40" s="28">
        <f t="shared" si="2"/>
        <v>-0.52282838640000007</v>
      </c>
    </row>
    <row r="41" spans="1:21" x14ac:dyDescent="0.25">
      <c r="B41" s="6" t="s">
        <v>54</v>
      </c>
      <c r="C41" s="15">
        <v>1204.4208984375</v>
      </c>
      <c r="D41" s="16">
        <v>35.580300000000001</v>
      </c>
      <c r="E41" s="16">
        <v>40.716900000000003</v>
      </c>
      <c r="F41" s="16">
        <v>41.697499999999998</v>
      </c>
      <c r="G41" s="16">
        <v>100.51934997487015</v>
      </c>
      <c r="H41" s="16">
        <f t="shared" si="0"/>
        <v>36.987025000000003</v>
      </c>
      <c r="I41" s="5"/>
      <c r="J41" s="15">
        <v>1212.4096</v>
      </c>
      <c r="K41" s="16">
        <v>36.027999999999999</v>
      </c>
      <c r="L41" s="16">
        <v>41.671399999999998</v>
      </c>
      <c r="M41" s="16">
        <v>42.655200000000001</v>
      </c>
      <c r="N41" s="16">
        <v>79.586200000000005</v>
      </c>
      <c r="O41" s="16">
        <f t="shared" si="1"/>
        <v>37.561824999999999</v>
      </c>
      <c r="P41" s="7"/>
      <c r="Q41" s="8">
        <f>bdrate(C41:C44,D41:D44,J41:J44,K41:K44)</f>
        <v>-0.17990758660255191</v>
      </c>
      <c r="R41" s="8">
        <f>bdrate(C41:C44,E41:E44,J41:J44,L41:L44)</f>
        <v>-0.38235674603064651</v>
      </c>
      <c r="S41" s="8">
        <f>bdrate(C41:C44,F41:F44,J41:J44,M41:M44)</f>
        <v>-0.34871532572820929</v>
      </c>
      <c r="T41" s="25">
        <f>bdrate(C41:C44,H41:H44,J41:J44,O41:O44)</f>
        <v>-0.21417127066114294</v>
      </c>
      <c r="U41" s="28">
        <f t="shared" si="2"/>
        <v>-0.20824995366666654</v>
      </c>
    </row>
    <row r="42" spans="1:21" x14ac:dyDescent="0.25">
      <c r="B42" s="9"/>
      <c r="C42" s="17">
        <v>804.0498046875</v>
      </c>
      <c r="D42" s="18">
        <v>33.795499999999997</v>
      </c>
      <c r="E42" s="18">
        <v>39.5989</v>
      </c>
      <c r="F42" s="18">
        <v>40.442599999999999</v>
      </c>
      <c r="G42" s="18">
        <v>136.36363636363635</v>
      </c>
      <c r="H42" s="18">
        <f t="shared" si="0"/>
        <v>35.351812499999994</v>
      </c>
      <c r="I42" s="5"/>
      <c r="J42" s="17">
        <v>806.6576</v>
      </c>
      <c r="K42" s="18">
        <v>34.5002</v>
      </c>
      <c r="L42" s="18">
        <v>40.744199999999999</v>
      </c>
      <c r="M42" s="18">
        <v>41.577300000000001</v>
      </c>
      <c r="N42" s="18">
        <v>90.3887</v>
      </c>
      <c r="O42" s="18">
        <f t="shared" si="1"/>
        <v>36.1653375</v>
      </c>
      <c r="P42" s="7"/>
      <c r="Q42" s="10"/>
      <c r="R42" s="11"/>
      <c r="S42" s="11"/>
      <c r="T42" s="26"/>
      <c r="U42" s="28">
        <f t="shared" si="2"/>
        <v>-0.33714953333333325</v>
      </c>
    </row>
    <row r="43" spans="1:21" x14ac:dyDescent="0.25">
      <c r="B43" s="9"/>
      <c r="C43" s="17">
        <v>502.3291015625</v>
      </c>
      <c r="D43" s="18">
        <v>31.695</v>
      </c>
      <c r="E43" s="18">
        <v>38.481900000000003</v>
      </c>
      <c r="F43" s="18">
        <v>39.212299999999999</v>
      </c>
      <c r="G43" s="18">
        <v>201.47750167897917</v>
      </c>
      <c r="H43" s="18">
        <f t="shared" si="0"/>
        <v>33.483024999999998</v>
      </c>
      <c r="I43" s="5"/>
      <c r="J43" s="17">
        <v>504.80399999999997</v>
      </c>
      <c r="K43" s="18">
        <v>32.683</v>
      </c>
      <c r="L43" s="18">
        <v>39.645200000000003</v>
      </c>
      <c r="M43" s="18">
        <v>40.3626</v>
      </c>
      <c r="N43" s="18">
        <v>103.288</v>
      </c>
      <c r="O43" s="18">
        <f t="shared" si="1"/>
        <v>34.513224999999998</v>
      </c>
      <c r="P43" s="7"/>
      <c r="Q43" s="10"/>
      <c r="R43" s="11"/>
      <c r="S43" s="11"/>
      <c r="T43" s="26"/>
      <c r="U43" s="28">
        <f t="shared" si="2"/>
        <v>-0.48734722666666663</v>
      </c>
    </row>
    <row r="44" spans="1:21" ht="16.5" thickBot="1" x14ac:dyDescent="0.3">
      <c r="B44" s="12"/>
      <c r="C44" s="19">
        <v>301.990234375</v>
      </c>
      <c r="D44" s="20">
        <v>29.498699999999999</v>
      </c>
      <c r="E44" s="20">
        <v>37.413200000000003</v>
      </c>
      <c r="F44" s="20">
        <v>37.947000000000003</v>
      </c>
      <c r="G44" s="20">
        <v>257.40025740025743</v>
      </c>
      <c r="H44" s="20">
        <f t="shared" si="0"/>
        <v>31.544049999999999</v>
      </c>
      <c r="I44" s="5"/>
      <c r="J44" s="19">
        <v>304.57920000000001</v>
      </c>
      <c r="K44" s="20">
        <v>30.646799999999999</v>
      </c>
      <c r="L44" s="20">
        <v>38.564300000000003</v>
      </c>
      <c r="M44" s="20">
        <v>39.171199999999999</v>
      </c>
      <c r="N44" s="20">
        <v>121.3347</v>
      </c>
      <c r="O44" s="20">
        <f t="shared" si="1"/>
        <v>32.702037500000003</v>
      </c>
      <c r="P44" s="7"/>
      <c r="Q44" s="13"/>
      <c r="R44" s="14"/>
      <c r="S44" s="14"/>
      <c r="T44" s="27"/>
      <c r="U44" s="28">
        <f t="shared" si="2"/>
        <v>-0.5286146905000001</v>
      </c>
    </row>
    <row r="45" spans="1:21" x14ac:dyDescent="0.25">
      <c r="B45" s="6" t="s">
        <v>55</v>
      </c>
      <c r="C45" s="15">
        <v>1182.232421875</v>
      </c>
      <c r="D45" s="16">
        <v>30.3751</v>
      </c>
      <c r="E45" s="16">
        <v>36.7346</v>
      </c>
      <c r="F45" s="16">
        <v>37.469700000000003</v>
      </c>
      <c r="G45" s="16">
        <v>87.858021437357237</v>
      </c>
      <c r="H45" s="16">
        <f t="shared" si="0"/>
        <v>32.056862500000001</v>
      </c>
      <c r="I45" s="5"/>
      <c r="J45" s="15">
        <v>1195.0968</v>
      </c>
      <c r="K45" s="16">
        <v>30.958100000000002</v>
      </c>
      <c r="L45" s="16">
        <v>37.608699999999999</v>
      </c>
      <c r="M45" s="16">
        <v>38.441600000000001</v>
      </c>
      <c r="N45" s="16">
        <v>70.392799999999994</v>
      </c>
      <c r="O45" s="16">
        <f t="shared" si="1"/>
        <v>32.7248625</v>
      </c>
      <c r="P45" s="7"/>
      <c r="Q45" s="8">
        <f>bdrate(C45:C48,D45:D48,J45:J48,K45:K48)</f>
        <v>-0.2283783457722407</v>
      </c>
      <c r="R45" s="8">
        <f>bdrate(C45:C48,E45:E48,J45:J48,L45:L48)</f>
        <v>-0.39026415457195751</v>
      </c>
      <c r="S45" s="8">
        <f>bdrate(C45:C48,F45:F48,J45:J48,M45:M48)</f>
        <v>-0.40144114210682869</v>
      </c>
      <c r="T45" s="25">
        <f>bdrate(C45:C48,H45:H48,J45:J48,O45:O48)</f>
        <v>-0.25845695900858723</v>
      </c>
      <c r="U45" s="28">
        <f t="shared" si="2"/>
        <v>-0.19878915040000014</v>
      </c>
    </row>
    <row r="46" spans="1:21" x14ac:dyDescent="0.25">
      <c r="B46" s="9"/>
      <c r="C46" s="17">
        <v>780.67578125</v>
      </c>
      <c r="D46" s="18">
        <v>28.756599999999999</v>
      </c>
      <c r="E46" s="18">
        <v>35.869599999999998</v>
      </c>
      <c r="F46" s="18">
        <v>36.591200000000001</v>
      </c>
      <c r="G46" s="18">
        <v>119.61722488038278</v>
      </c>
      <c r="H46" s="18">
        <f t="shared" si="0"/>
        <v>30.625050000000002</v>
      </c>
      <c r="I46" s="5"/>
      <c r="J46" s="17">
        <v>792.72799999999995</v>
      </c>
      <c r="K46" s="18">
        <v>29.593299999999999</v>
      </c>
      <c r="L46" s="18">
        <v>36.804000000000002</v>
      </c>
      <c r="M46" s="18">
        <v>37.5867</v>
      </c>
      <c r="N46" s="18">
        <v>81.433199999999999</v>
      </c>
      <c r="O46" s="18">
        <f t="shared" si="1"/>
        <v>31.493812500000001</v>
      </c>
      <c r="P46" s="7"/>
      <c r="Q46" s="10"/>
      <c r="R46" s="11"/>
      <c r="S46" s="11"/>
      <c r="T46" s="26"/>
      <c r="U46" s="28">
        <f t="shared" si="2"/>
        <v>-0.31921844800000004</v>
      </c>
    </row>
    <row r="47" spans="1:21" x14ac:dyDescent="0.25">
      <c r="B47" s="9"/>
      <c r="C47" s="17">
        <v>488.7021484375</v>
      </c>
      <c r="D47" s="18">
        <v>27.080400000000001</v>
      </c>
      <c r="E47" s="18">
        <v>34.936399999999999</v>
      </c>
      <c r="F47" s="18">
        <v>35.6297</v>
      </c>
      <c r="G47" s="18">
        <v>172.95053614666205</v>
      </c>
      <c r="H47" s="18">
        <f t="shared" si="0"/>
        <v>29.131062499999999</v>
      </c>
      <c r="I47" s="5"/>
      <c r="J47" s="17">
        <v>503.91120000000001</v>
      </c>
      <c r="K47" s="18">
        <v>28.174399999999999</v>
      </c>
      <c r="L47" s="18">
        <v>35.976700000000001</v>
      </c>
      <c r="M47" s="18">
        <v>36.745399999999997</v>
      </c>
      <c r="N47" s="18">
        <v>96.302000000000007</v>
      </c>
      <c r="O47" s="18">
        <f t="shared" si="1"/>
        <v>30.221062499999999</v>
      </c>
      <c r="P47" s="7"/>
      <c r="Q47" s="10"/>
      <c r="R47" s="11"/>
      <c r="S47" s="11"/>
      <c r="T47" s="26"/>
      <c r="U47" s="28">
        <f t="shared" si="2"/>
        <v>-0.44318183599999994</v>
      </c>
    </row>
    <row r="48" spans="1:21" ht="16.5" thickBot="1" x14ac:dyDescent="0.3">
      <c r="B48" s="12"/>
      <c r="C48" s="19">
        <v>297.2998046875</v>
      </c>
      <c r="D48" s="20">
        <v>25.551200000000001</v>
      </c>
      <c r="E48" s="20">
        <v>34.1922</v>
      </c>
      <c r="F48" s="20">
        <v>34.884300000000003</v>
      </c>
      <c r="G48" s="20">
        <v>216.26297577854672</v>
      </c>
      <c r="H48" s="20">
        <f t="shared" si="0"/>
        <v>27.797962500000004</v>
      </c>
      <c r="I48" s="5"/>
      <c r="J48" s="19">
        <v>305.56799999999998</v>
      </c>
      <c r="K48" s="20">
        <v>26.6599</v>
      </c>
      <c r="L48" s="20">
        <v>35.075600000000001</v>
      </c>
      <c r="M48" s="20">
        <v>35.765799999999999</v>
      </c>
      <c r="N48" s="20">
        <v>112.3343</v>
      </c>
      <c r="O48" s="20">
        <f t="shared" si="1"/>
        <v>28.850100000000005</v>
      </c>
      <c r="P48" s="7"/>
      <c r="Q48" s="13"/>
      <c r="R48" s="14"/>
      <c r="S48" s="14"/>
      <c r="T48" s="27"/>
      <c r="U48" s="28">
        <f t="shared" si="2"/>
        <v>-0.48056619680000001</v>
      </c>
    </row>
    <row r="49" spans="1:21" x14ac:dyDescent="0.25">
      <c r="B49" s="6" t="s">
        <v>56</v>
      </c>
      <c r="C49" s="15">
        <v>1145.3271484375</v>
      </c>
      <c r="D49" s="16">
        <v>33.327300000000001</v>
      </c>
      <c r="E49" s="16">
        <v>37.531399999999998</v>
      </c>
      <c r="F49" s="16">
        <v>39.128</v>
      </c>
      <c r="G49" s="16">
        <v>62.021914409758118</v>
      </c>
      <c r="H49" s="16">
        <f t="shared" si="0"/>
        <v>34.5779</v>
      </c>
      <c r="I49" s="5"/>
      <c r="J49" s="15">
        <v>1189.9903999999999</v>
      </c>
      <c r="K49" s="16">
        <v>32.940899999999999</v>
      </c>
      <c r="L49" s="16">
        <v>37.7834</v>
      </c>
      <c r="M49" s="16">
        <v>39.357100000000003</v>
      </c>
      <c r="N49" s="16">
        <v>56.818199999999997</v>
      </c>
      <c r="O49" s="16">
        <f t="shared" si="1"/>
        <v>34.348237499999996</v>
      </c>
      <c r="P49" s="7"/>
      <c r="Q49" s="8">
        <f>bdrate(C49:C52,D49:D52,J49:J52,K49:K52)</f>
        <v>6.6997176399792524E-2</v>
      </c>
      <c r="R49" s="8">
        <f>bdrate(C49:C52,E49:E52,J49:J52,L49:L52)</f>
        <v>-0.15825401863246336</v>
      </c>
      <c r="S49" s="8">
        <f>bdrate(C49:C52,F49:F52,J49:J52,M49:M52)</f>
        <v>-0.17101884401331768</v>
      </c>
      <c r="T49" s="25">
        <f>bdrate(C49:C52,H49:H52,J49:J52,O49:O52)</f>
        <v>2.6602879908956822E-2</v>
      </c>
      <c r="U49" s="28">
        <f t="shared" si="2"/>
        <v>-8.3901222000000095E-2</v>
      </c>
    </row>
    <row r="50" spans="1:21" x14ac:dyDescent="0.25">
      <c r="B50" s="9"/>
      <c r="C50" s="17">
        <v>763.310546875</v>
      </c>
      <c r="D50" s="18">
        <v>31.674399999999999</v>
      </c>
      <c r="E50" s="18">
        <v>36.515099999999997</v>
      </c>
      <c r="F50" s="18">
        <v>38.1404</v>
      </c>
      <c r="G50" s="18">
        <v>82.804305823902837</v>
      </c>
      <c r="H50" s="18">
        <f t="shared" si="0"/>
        <v>33.087737500000003</v>
      </c>
      <c r="I50" s="5"/>
      <c r="J50" s="17">
        <v>793.20240000000001</v>
      </c>
      <c r="K50" s="18">
        <v>31.4251</v>
      </c>
      <c r="L50" s="18">
        <v>36.876199999999997</v>
      </c>
      <c r="M50" s="18">
        <v>38.488799999999998</v>
      </c>
      <c r="N50" s="18">
        <v>64.9773</v>
      </c>
      <c r="O50" s="18">
        <f t="shared" si="1"/>
        <v>32.989450000000005</v>
      </c>
      <c r="P50" s="7"/>
      <c r="Q50" s="10"/>
      <c r="R50" s="11"/>
      <c r="S50" s="11"/>
      <c r="T50" s="26"/>
      <c r="U50" s="28">
        <f t="shared" si="2"/>
        <v>-0.21529080699999995</v>
      </c>
    </row>
    <row r="51" spans="1:21" x14ac:dyDescent="0.25">
      <c r="B51" s="9"/>
      <c r="C51" s="17">
        <v>482.673828125</v>
      </c>
      <c r="D51" s="18">
        <v>29.842300000000002</v>
      </c>
      <c r="E51" s="18">
        <v>35.4908</v>
      </c>
      <c r="F51" s="18">
        <v>37.075099999999999</v>
      </c>
      <c r="G51" s="18">
        <v>123.96694214876034</v>
      </c>
      <c r="H51" s="18">
        <f t="shared" si="0"/>
        <v>31.452462500000003</v>
      </c>
      <c r="I51" s="5"/>
      <c r="J51" s="17">
        <v>496.38720000000001</v>
      </c>
      <c r="K51" s="18">
        <v>29.7973</v>
      </c>
      <c r="L51" s="18">
        <v>35.998399999999997</v>
      </c>
      <c r="M51" s="18">
        <v>37.6614</v>
      </c>
      <c r="N51" s="18">
        <v>73.385499999999993</v>
      </c>
      <c r="O51" s="18">
        <f t="shared" si="1"/>
        <v>31.55545</v>
      </c>
      <c r="P51" s="7"/>
      <c r="Q51" s="10"/>
      <c r="R51" s="11"/>
      <c r="S51" s="11"/>
      <c r="T51" s="26"/>
      <c r="U51" s="28">
        <f t="shared" si="2"/>
        <v>-0.40802363333333341</v>
      </c>
    </row>
    <row r="52" spans="1:21" ht="16.5" thickBot="1" x14ac:dyDescent="0.3">
      <c r="B52" s="12"/>
      <c r="C52" s="19">
        <v>300.263671875</v>
      </c>
      <c r="D52" s="20">
        <v>28.112300000000001</v>
      </c>
      <c r="E52" s="20">
        <v>34.531100000000002</v>
      </c>
      <c r="F52" s="20">
        <v>36.054900000000004</v>
      </c>
      <c r="G52" s="20">
        <v>174.82517482517483</v>
      </c>
      <c r="H52" s="20">
        <f t="shared" si="0"/>
        <v>29.907475000000002</v>
      </c>
      <c r="I52" s="5"/>
      <c r="J52" s="19">
        <v>297.81760000000003</v>
      </c>
      <c r="K52" s="20">
        <v>28.154800000000002</v>
      </c>
      <c r="L52" s="20">
        <v>35.085999999999999</v>
      </c>
      <c r="M52" s="20">
        <v>36.7271</v>
      </c>
      <c r="N52" s="20">
        <v>86.956500000000005</v>
      </c>
      <c r="O52" s="20">
        <f t="shared" si="1"/>
        <v>30.092737500000005</v>
      </c>
      <c r="P52" s="7"/>
      <c r="Q52" s="13"/>
      <c r="R52" s="14"/>
      <c r="S52" s="14"/>
      <c r="T52" s="27"/>
      <c r="U52" s="28">
        <f t="shared" si="2"/>
        <v>-0.50260881999999996</v>
      </c>
    </row>
    <row r="53" spans="1:21" x14ac:dyDescent="0.25">
      <c r="A53" s="6" t="s">
        <v>41</v>
      </c>
      <c r="B53" s="6" t="s">
        <v>57</v>
      </c>
      <c r="C53" s="15">
        <v>578.8828125</v>
      </c>
      <c r="D53" s="16">
        <v>35.110599999999998</v>
      </c>
      <c r="E53" s="16">
        <v>40.219700000000003</v>
      </c>
      <c r="F53" s="16">
        <v>38.870899999999999</v>
      </c>
      <c r="G53" s="16">
        <v>116.17100371747212</v>
      </c>
      <c r="H53" s="16">
        <f t="shared" si="0"/>
        <v>36.219274999999996</v>
      </c>
      <c r="I53" s="5"/>
      <c r="J53" s="15">
        <v>601.05039999999997</v>
      </c>
      <c r="K53" s="16">
        <v>35.170999999999999</v>
      </c>
      <c r="L53" s="16">
        <v>40.917499999999997</v>
      </c>
      <c r="M53" s="16">
        <v>39.307000000000002</v>
      </c>
      <c r="N53" s="16">
        <v>178.18960000000001</v>
      </c>
      <c r="O53" s="16">
        <f t="shared" si="1"/>
        <v>36.406312499999999</v>
      </c>
      <c r="P53" s="7"/>
      <c r="Q53" s="8">
        <f>bdrate(C53:C56,D53:D56,J53:J56,K53:K56)</f>
        <v>-4.2516012650950064E-2</v>
      </c>
      <c r="R53" s="8">
        <f>bdrate(C53:C56,E53:E56,J53:J56,L53:L56)</f>
        <v>-0.26599337320184879</v>
      </c>
      <c r="S53" s="8">
        <f>bdrate(C53:C56,F53:F56,J53:J56,M53:M56)</f>
        <v>-0.16519999537979047</v>
      </c>
      <c r="T53" s="25">
        <f>bdrate(C53:C56,H53:H56,J53:J56,O53:O56)</f>
        <v>-7.516335865679169E-2</v>
      </c>
      <c r="U53" s="28">
        <f t="shared" si="2"/>
        <v>0.53385607680000013</v>
      </c>
    </row>
    <row r="54" spans="1:21" x14ac:dyDescent="0.25">
      <c r="A54" s="9" t="s">
        <v>42</v>
      </c>
      <c r="B54" s="9"/>
      <c r="C54" s="17">
        <v>393.048828125</v>
      </c>
      <c r="D54" s="18">
        <v>33.1721</v>
      </c>
      <c r="E54" s="18">
        <v>39.032499999999999</v>
      </c>
      <c r="F54" s="18">
        <v>37.598300000000002</v>
      </c>
      <c r="G54" s="18">
        <v>116.55011655011656</v>
      </c>
      <c r="H54" s="18">
        <f t="shared" si="0"/>
        <v>34.457925000000003</v>
      </c>
      <c r="I54" s="5"/>
      <c r="J54" s="17">
        <v>401.16160000000002</v>
      </c>
      <c r="K54" s="18">
        <v>33.302</v>
      </c>
      <c r="L54" s="18">
        <v>39.753700000000002</v>
      </c>
      <c r="M54" s="18">
        <v>38.000700000000002</v>
      </c>
      <c r="N54" s="18">
        <v>205.08609999999999</v>
      </c>
      <c r="O54" s="18">
        <f t="shared" si="1"/>
        <v>34.695800000000006</v>
      </c>
      <c r="P54" s="7"/>
      <c r="Q54" s="10"/>
      <c r="R54" s="11"/>
      <c r="S54" s="11"/>
      <c r="T54" s="26"/>
      <c r="U54" s="28">
        <f t="shared" si="2"/>
        <v>0.75963873799999981</v>
      </c>
    </row>
    <row r="55" spans="1:21" x14ac:dyDescent="0.25">
      <c r="B55" s="9"/>
      <c r="C55" s="17">
        <v>248.181640625</v>
      </c>
      <c r="D55" s="18">
        <v>30.973400000000002</v>
      </c>
      <c r="E55" s="18">
        <v>37.665500000000002</v>
      </c>
      <c r="F55" s="18">
        <v>36.082700000000003</v>
      </c>
      <c r="G55" s="18">
        <v>166.05778811026235</v>
      </c>
      <c r="H55" s="18">
        <f t="shared" si="0"/>
        <v>32.448575000000005</v>
      </c>
      <c r="I55" s="5"/>
      <c r="J55" s="17">
        <v>250.77600000000001</v>
      </c>
      <c r="K55" s="18">
        <v>31.2653</v>
      </c>
      <c r="L55" s="18">
        <v>38.5764</v>
      </c>
      <c r="M55" s="18">
        <v>36.718400000000003</v>
      </c>
      <c r="N55" s="18">
        <v>237.30420000000001</v>
      </c>
      <c r="O55" s="18">
        <f t="shared" si="1"/>
        <v>32.860825000000006</v>
      </c>
      <c r="P55" s="7"/>
      <c r="Q55" s="10"/>
      <c r="R55" s="11"/>
      <c r="S55" s="11"/>
      <c r="T55" s="26"/>
      <c r="U55" s="28">
        <f t="shared" si="2"/>
        <v>0.42904589240000024</v>
      </c>
    </row>
    <row r="56" spans="1:21" ht="16.5" thickBot="1" x14ac:dyDescent="0.3">
      <c r="B56" s="12"/>
      <c r="C56" s="19">
        <v>119.93359375</v>
      </c>
      <c r="D56" s="20">
        <v>27.827500000000001</v>
      </c>
      <c r="E56" s="20">
        <v>35.902999999999999</v>
      </c>
      <c r="F56" s="20">
        <v>33.795999999999999</v>
      </c>
      <c r="G56" s="20">
        <v>308.64197530864197</v>
      </c>
      <c r="H56" s="20">
        <f t="shared" si="0"/>
        <v>29.582999999999998</v>
      </c>
      <c r="I56" s="5"/>
      <c r="J56" s="19">
        <v>120.4216</v>
      </c>
      <c r="K56" s="20">
        <v>28.345199999999998</v>
      </c>
      <c r="L56" s="20">
        <v>36.969700000000003</v>
      </c>
      <c r="M56" s="20">
        <v>34.761099999999999</v>
      </c>
      <c r="N56" s="20">
        <v>304.13630000000001</v>
      </c>
      <c r="O56" s="20">
        <f t="shared" si="1"/>
        <v>30.225249999999996</v>
      </c>
      <c r="P56" s="7"/>
      <c r="Q56" s="13"/>
      <c r="R56" s="14"/>
      <c r="S56" s="14"/>
      <c r="T56" s="27"/>
      <c r="U56" s="28">
        <f t="shared" si="2"/>
        <v>-1.459838799999998E-2</v>
      </c>
    </row>
    <row r="57" spans="1:21" x14ac:dyDescent="0.25">
      <c r="B57" s="6" t="s">
        <v>58</v>
      </c>
      <c r="C57" s="15">
        <v>574.2626953125</v>
      </c>
      <c r="D57" s="16">
        <v>33.892099999999999</v>
      </c>
      <c r="E57" s="16">
        <v>41.0745</v>
      </c>
      <c r="F57" s="16">
        <v>41.980499999999999</v>
      </c>
      <c r="G57" s="16">
        <v>149.36519790888721</v>
      </c>
      <c r="H57" s="16">
        <f t="shared" si="0"/>
        <v>35.80095</v>
      </c>
      <c r="I57" s="5"/>
      <c r="J57" s="15">
        <v>595.5</v>
      </c>
      <c r="K57" s="16">
        <v>34.094999999999999</v>
      </c>
      <c r="L57" s="16">
        <v>42.1479</v>
      </c>
      <c r="M57" s="16">
        <v>43.139499999999998</v>
      </c>
      <c r="N57" s="16">
        <v>225.14070000000001</v>
      </c>
      <c r="O57" s="16">
        <f t="shared" si="1"/>
        <v>36.232174999999998</v>
      </c>
      <c r="P57" s="7"/>
      <c r="Q57" s="8">
        <f>bdrate(C57:C60,D57:D60,J57:J60,K57:K60)</f>
        <v>-0.10409586178652497</v>
      </c>
      <c r="R57" s="8">
        <f>bdrate(C57:C60,E57:E60,J57:J60,L57:L60)</f>
        <v>-0.3198829877405196</v>
      </c>
      <c r="S57" s="8">
        <f>bdrate(C57:C60,F57:F60,J57:J60,M57:M60)</f>
        <v>-0.34888198120355485</v>
      </c>
      <c r="T57" s="25">
        <f>bdrate(C57:C60,H57:H60,J57:J60,O57:O60)</f>
        <v>-0.14576580863496291</v>
      </c>
      <c r="U57" s="28">
        <f t="shared" si="2"/>
        <v>0.50731698650000023</v>
      </c>
    </row>
    <row r="58" spans="1:21" x14ac:dyDescent="0.25">
      <c r="B58" s="9"/>
      <c r="C58" s="17">
        <v>383.3671875</v>
      </c>
      <c r="D58" s="18">
        <v>32.470500000000001</v>
      </c>
      <c r="E58" s="18">
        <v>40.353999999999999</v>
      </c>
      <c r="F58" s="18">
        <v>41.2117</v>
      </c>
      <c r="G58" s="18">
        <v>187.38288569643973</v>
      </c>
      <c r="H58" s="18">
        <f t="shared" si="0"/>
        <v>34.548587500000004</v>
      </c>
      <c r="I58" s="5"/>
      <c r="J58" s="17">
        <v>394.25200000000001</v>
      </c>
      <c r="K58" s="18">
        <v>32.761899999999997</v>
      </c>
      <c r="L58" s="18">
        <v>41.228000000000002</v>
      </c>
      <c r="M58" s="18">
        <v>42.097200000000001</v>
      </c>
      <c r="N58" s="18">
        <v>261.55189999999999</v>
      </c>
      <c r="O58" s="18">
        <f t="shared" si="1"/>
        <v>34.987074999999997</v>
      </c>
      <c r="P58" s="7"/>
      <c r="Q58" s="10"/>
      <c r="R58" s="11"/>
      <c r="S58" s="11"/>
      <c r="T58" s="26"/>
      <c r="U58" s="28">
        <f t="shared" si="2"/>
        <v>0.39581530633333323</v>
      </c>
    </row>
    <row r="59" spans="1:21" x14ac:dyDescent="0.25">
      <c r="B59" s="9"/>
      <c r="C59" s="17">
        <v>239.205078125</v>
      </c>
      <c r="D59" s="18">
        <v>30.704599999999999</v>
      </c>
      <c r="E59" s="18">
        <v>39.432000000000002</v>
      </c>
      <c r="F59" s="18">
        <v>40.185499999999998</v>
      </c>
      <c r="G59" s="18">
        <v>245.29844644317251</v>
      </c>
      <c r="H59" s="18">
        <f t="shared" si="0"/>
        <v>32.9806375</v>
      </c>
      <c r="I59" s="5"/>
      <c r="J59" s="17">
        <v>248.0488</v>
      </c>
      <c r="K59" s="18">
        <v>31.245999999999999</v>
      </c>
      <c r="L59" s="18">
        <v>40.181899999999999</v>
      </c>
      <c r="M59" s="18">
        <v>41.164999999999999</v>
      </c>
      <c r="N59" s="18">
        <v>311.04199999999997</v>
      </c>
      <c r="O59" s="18">
        <f t="shared" si="1"/>
        <v>33.602862500000001</v>
      </c>
      <c r="P59" s="7"/>
      <c r="Q59" s="10"/>
      <c r="R59" s="11"/>
      <c r="S59" s="11"/>
      <c r="T59" s="26"/>
      <c r="U59" s="28">
        <f t="shared" si="2"/>
        <v>0.26801455333333329</v>
      </c>
    </row>
    <row r="60" spans="1:21" ht="16.5" thickBot="1" x14ac:dyDescent="0.3">
      <c r="B60" s="12"/>
      <c r="C60" s="19">
        <v>114.630859375</v>
      </c>
      <c r="D60" s="20">
        <v>27.567499999999999</v>
      </c>
      <c r="E60" s="20">
        <v>38.201900000000002</v>
      </c>
      <c r="F60" s="20">
        <v>38.9422</v>
      </c>
      <c r="G60" s="20">
        <v>368.0981595092025</v>
      </c>
      <c r="H60" s="20">
        <f t="shared" si="0"/>
        <v>30.318637500000001</v>
      </c>
      <c r="I60" s="5"/>
      <c r="J60" s="19">
        <v>118.0728</v>
      </c>
      <c r="K60" s="20">
        <v>28.717500000000001</v>
      </c>
      <c r="L60" s="20">
        <v>38.9771</v>
      </c>
      <c r="M60" s="20">
        <v>39.6755</v>
      </c>
      <c r="N60" s="20">
        <v>409.83609999999999</v>
      </c>
      <c r="O60" s="20">
        <f t="shared" si="1"/>
        <v>31.369700000000002</v>
      </c>
      <c r="P60" s="7"/>
      <c r="Q60" s="13"/>
      <c r="R60" s="14"/>
      <c r="S60" s="14"/>
      <c r="T60" s="27"/>
      <c r="U60" s="28">
        <f t="shared" si="2"/>
        <v>0.11338807166666648</v>
      </c>
    </row>
    <row r="61" spans="1:21" x14ac:dyDescent="0.25">
      <c r="B61" s="6" t="s">
        <v>59</v>
      </c>
      <c r="C61" s="29">
        <v>594.46484375</v>
      </c>
      <c r="D61" s="30">
        <v>33.536499999999997</v>
      </c>
      <c r="E61" s="30">
        <v>38.188699999999997</v>
      </c>
      <c r="F61" s="30">
        <v>38.872399999999999</v>
      </c>
      <c r="G61" s="16">
        <v>110.03521126760565</v>
      </c>
      <c r="H61" s="16">
        <f t="shared" si="0"/>
        <v>34.785012499999993</v>
      </c>
      <c r="I61" s="5"/>
      <c r="J61" s="29">
        <v>595.27599999999995</v>
      </c>
      <c r="K61" s="30">
        <v>33.435099999999998</v>
      </c>
      <c r="L61" s="30">
        <v>39.062199999999997</v>
      </c>
      <c r="M61" s="30">
        <v>39.985399999999998</v>
      </c>
      <c r="N61" s="16">
        <v>202.2654</v>
      </c>
      <c r="O61" s="16">
        <f t="shared" si="1"/>
        <v>34.957274999999996</v>
      </c>
      <c r="P61" s="7"/>
      <c r="Q61" s="8">
        <f>bdrate(C61:C64,D61:D64,J61:J64,K61:K64)</f>
        <v>-7.199625461878556E-2</v>
      </c>
      <c r="R61" s="8">
        <f>bdrate(C61:C64,E61:E64,J61:J64,L61:L64)</f>
        <v>-0.24985855300724802</v>
      </c>
      <c r="S61" s="8">
        <f>bdrate(C61:C64,F61:F64,J61:J64,M61:M64)</f>
        <v>-0.28786000269082912</v>
      </c>
      <c r="T61" s="25">
        <f>bdrate(C61:C64,H61:H64,J61:J64,O61:O64)</f>
        <v>-0.1107825247499955</v>
      </c>
      <c r="U61" s="28">
        <f t="shared" si="2"/>
        <v>0.83818795519999978</v>
      </c>
    </row>
    <row r="62" spans="1:21" x14ac:dyDescent="0.25">
      <c r="B62" s="9"/>
      <c r="C62" s="31">
        <v>398.2705078125</v>
      </c>
      <c r="D62" s="32">
        <v>31.786200000000001</v>
      </c>
      <c r="E62" s="32">
        <v>37.187399999999997</v>
      </c>
      <c r="F62" s="32">
        <v>37.8337</v>
      </c>
      <c r="G62" s="18">
        <v>139.70382788488405</v>
      </c>
      <c r="H62" s="18">
        <f t="shared" si="0"/>
        <v>33.217287499999998</v>
      </c>
      <c r="I62" s="5"/>
      <c r="J62" s="31">
        <v>383.3784</v>
      </c>
      <c r="K62" s="32">
        <v>31.739100000000001</v>
      </c>
      <c r="L62" s="32">
        <v>37.7303</v>
      </c>
      <c r="M62" s="32">
        <v>38.618899999999996</v>
      </c>
      <c r="N62" s="18">
        <v>234.08240000000001</v>
      </c>
      <c r="O62" s="18">
        <f t="shared" si="1"/>
        <v>33.347974999999998</v>
      </c>
      <c r="P62" s="7"/>
      <c r="Q62" s="10"/>
      <c r="R62" s="11"/>
      <c r="S62" s="11"/>
      <c r="T62" s="26"/>
      <c r="U62" s="28">
        <f t="shared" si="2"/>
        <v>0.67556181920000002</v>
      </c>
    </row>
    <row r="63" spans="1:21" x14ac:dyDescent="0.25">
      <c r="B63" s="9"/>
      <c r="C63" s="31">
        <v>250.4248046875</v>
      </c>
      <c r="D63" s="32">
        <v>29.862100000000002</v>
      </c>
      <c r="E63" s="32">
        <v>36.047800000000002</v>
      </c>
      <c r="F63" s="32">
        <v>36.646799999999999</v>
      </c>
      <c r="G63" s="18">
        <v>180.57060310581437</v>
      </c>
      <c r="H63" s="18">
        <f t="shared" si="0"/>
        <v>31.483400000000003</v>
      </c>
      <c r="I63" s="5"/>
      <c r="J63" s="31">
        <v>239.8056</v>
      </c>
      <c r="K63" s="32">
        <v>30.051600000000001</v>
      </c>
      <c r="L63" s="32">
        <v>36.588099999999997</v>
      </c>
      <c r="M63" s="32">
        <v>37.303600000000003</v>
      </c>
      <c r="N63" s="18">
        <v>265.6748</v>
      </c>
      <c r="O63" s="18">
        <f t="shared" si="1"/>
        <v>31.7751625</v>
      </c>
      <c r="P63" s="7"/>
      <c r="Q63" s="10"/>
      <c r="R63" s="11"/>
      <c r="S63" s="11"/>
      <c r="T63" s="26"/>
      <c r="U63" s="28">
        <f t="shared" si="2"/>
        <v>0.47130704240000004</v>
      </c>
    </row>
    <row r="64" spans="1:21" ht="16.5" thickBot="1" x14ac:dyDescent="0.3">
      <c r="B64" s="12"/>
      <c r="C64" s="33">
        <v>120.4296875</v>
      </c>
      <c r="D64" s="34">
        <v>27.125399999999999</v>
      </c>
      <c r="E64" s="34">
        <v>34.4133</v>
      </c>
      <c r="F64" s="34">
        <v>34.944000000000003</v>
      </c>
      <c r="G64" s="20">
        <v>321.95750160978753</v>
      </c>
      <c r="H64" s="20">
        <f t="shared" si="0"/>
        <v>29.013712499999997</v>
      </c>
      <c r="I64" s="5"/>
      <c r="J64" s="33">
        <v>118.996</v>
      </c>
      <c r="K64" s="34">
        <v>27.8032</v>
      </c>
      <c r="L64" s="34">
        <v>35.268599999999999</v>
      </c>
      <c r="M64" s="34">
        <v>35.955300000000001</v>
      </c>
      <c r="N64" s="20">
        <v>350.6311</v>
      </c>
      <c r="O64" s="20">
        <f t="shared" si="1"/>
        <v>29.755387499999998</v>
      </c>
      <c r="P64" s="7"/>
      <c r="Q64" s="13"/>
      <c r="R64" s="14"/>
      <c r="S64" s="14"/>
      <c r="T64" s="27"/>
      <c r="U64" s="28">
        <f t="shared" si="2"/>
        <v>8.9060196599999947E-2</v>
      </c>
    </row>
    <row r="65" spans="1:21" x14ac:dyDescent="0.25">
      <c r="B65" s="6" t="s">
        <v>60</v>
      </c>
      <c r="C65" s="15">
        <v>574.9091796875</v>
      </c>
      <c r="D65" s="16">
        <v>34.9998</v>
      </c>
      <c r="E65" s="16">
        <v>38.399099999999997</v>
      </c>
      <c r="F65" s="16">
        <v>39.556800000000003</v>
      </c>
      <c r="G65" s="16">
        <v>69.783670621074663</v>
      </c>
      <c r="H65" s="16">
        <f t="shared" si="0"/>
        <v>35.9943375</v>
      </c>
      <c r="I65" s="5"/>
      <c r="J65" s="15">
        <v>587.94880000000001</v>
      </c>
      <c r="K65" s="16">
        <v>34.508299999999998</v>
      </c>
      <c r="L65" s="16">
        <v>38.662799999999997</v>
      </c>
      <c r="M65" s="16">
        <v>39.836199999999998</v>
      </c>
      <c r="N65" s="16">
        <v>122.0504</v>
      </c>
      <c r="O65" s="16">
        <f t="shared" si="1"/>
        <v>35.693600000000004</v>
      </c>
      <c r="P65" s="7"/>
      <c r="Q65" s="8">
        <f>bdrate(C65:C68,D65:D68,J65:J68,K65:K68)</f>
        <v>4.355641683266831E-2</v>
      </c>
      <c r="R65" s="8">
        <f>bdrate(C65:C68,E65:E68,J65:J68,L65:L68)</f>
        <v>-0.13869391655731911</v>
      </c>
      <c r="S65" s="8">
        <f>bdrate(C65:C68,F65:F68,J65:J68,M65:M68)</f>
        <v>-0.15053395247777512</v>
      </c>
      <c r="T65" s="25">
        <f>bdrate(C65:C68,H65:H68,J65:J68,O65:O68)</f>
        <v>9.6205099991906184E-3</v>
      </c>
      <c r="U65" s="28">
        <f t="shared" si="2"/>
        <v>0.74898223200000014</v>
      </c>
    </row>
    <row r="66" spans="1:21" x14ac:dyDescent="0.25">
      <c r="B66" s="9"/>
      <c r="C66" s="17">
        <v>386.0908203125</v>
      </c>
      <c r="D66" s="18">
        <v>32.969000000000001</v>
      </c>
      <c r="E66" s="18">
        <v>37.196899999999999</v>
      </c>
      <c r="F66" s="18">
        <v>38.3566</v>
      </c>
      <c r="G66" s="18">
        <v>86.430423509075197</v>
      </c>
      <c r="H66" s="18">
        <f t="shared" si="0"/>
        <v>34.170937500000001</v>
      </c>
      <c r="I66" s="5"/>
      <c r="J66" s="17">
        <v>387.86160000000001</v>
      </c>
      <c r="K66" s="18">
        <v>32.577100000000002</v>
      </c>
      <c r="L66" s="18">
        <v>37.5197</v>
      </c>
      <c r="M66" s="18">
        <v>38.701000000000001</v>
      </c>
      <c r="N66" s="18">
        <v>142.315</v>
      </c>
      <c r="O66" s="18">
        <f t="shared" si="1"/>
        <v>33.960412500000004</v>
      </c>
      <c r="P66" s="7"/>
      <c r="Q66" s="10"/>
      <c r="R66" s="11"/>
      <c r="S66" s="11"/>
      <c r="T66" s="26"/>
      <c r="U66" s="28">
        <f t="shared" si="2"/>
        <v>0.64658454999999992</v>
      </c>
    </row>
    <row r="67" spans="1:21" x14ac:dyDescent="0.25">
      <c r="B67" s="9"/>
      <c r="C67" s="17">
        <v>243.8857421875</v>
      </c>
      <c r="D67" s="18">
        <v>30.810300000000002</v>
      </c>
      <c r="E67" s="18">
        <v>35.971499999999999</v>
      </c>
      <c r="F67" s="18">
        <v>37.079900000000002</v>
      </c>
      <c r="G67" s="18">
        <v>112.99435028248588</v>
      </c>
      <c r="H67" s="18">
        <f t="shared" si="0"/>
        <v>32.239150000000002</v>
      </c>
      <c r="I67" s="5"/>
      <c r="J67" s="17">
        <v>242.33199999999999</v>
      </c>
      <c r="K67" s="18">
        <v>30.662099999999999</v>
      </c>
      <c r="L67" s="18">
        <v>36.314599999999999</v>
      </c>
      <c r="M67" s="18">
        <v>37.485199999999999</v>
      </c>
      <c r="N67" s="18">
        <v>164.92580000000001</v>
      </c>
      <c r="O67" s="18">
        <f t="shared" si="1"/>
        <v>32.221550000000001</v>
      </c>
      <c r="P67" s="7"/>
      <c r="Q67" s="10"/>
      <c r="R67" s="11"/>
      <c r="S67" s="11"/>
      <c r="T67" s="26"/>
      <c r="U67" s="28">
        <f t="shared" si="2"/>
        <v>0.45959333000000002</v>
      </c>
    </row>
    <row r="68" spans="1:21" ht="16.5" thickBot="1" x14ac:dyDescent="0.3">
      <c r="B68" s="12"/>
      <c r="C68" s="19">
        <v>120.2783203125</v>
      </c>
      <c r="D68" s="20">
        <v>27.958500000000001</v>
      </c>
      <c r="E68" s="20">
        <v>34.186700000000002</v>
      </c>
      <c r="F68" s="20">
        <v>35.200099999999999</v>
      </c>
      <c r="G68" s="20">
        <v>206.7539627842867</v>
      </c>
      <c r="H68" s="20">
        <f t="shared" si="0"/>
        <v>29.642225</v>
      </c>
      <c r="I68" s="5"/>
      <c r="J68" s="19">
        <v>116.5856</v>
      </c>
      <c r="K68" s="20">
        <v>28.0367</v>
      </c>
      <c r="L68" s="20">
        <v>34.870600000000003</v>
      </c>
      <c r="M68" s="20">
        <v>35.956000000000003</v>
      </c>
      <c r="N68" s="20">
        <v>218.49959999999999</v>
      </c>
      <c r="O68" s="20">
        <f t="shared" si="1"/>
        <v>29.880850000000002</v>
      </c>
      <c r="P68" s="7"/>
      <c r="Q68" s="13"/>
      <c r="R68" s="14"/>
      <c r="S68" s="14"/>
      <c r="T68" s="27"/>
      <c r="U68" s="28">
        <f t="shared" si="2"/>
        <v>5.6809731999999932E-2</v>
      </c>
    </row>
    <row r="69" spans="1:21" x14ac:dyDescent="0.25">
      <c r="A69" s="6" t="s">
        <v>43</v>
      </c>
      <c r="B69" s="6" t="s">
        <v>61</v>
      </c>
      <c r="C69" s="15">
        <v>1412.6982421875</v>
      </c>
      <c r="D69" s="16">
        <v>41.425800000000002</v>
      </c>
      <c r="E69" s="16">
        <v>45.745100000000001</v>
      </c>
      <c r="F69" s="16">
        <v>46.961399999999998</v>
      </c>
      <c r="G69" s="16">
        <v>86.98173383589446</v>
      </c>
      <c r="H69" s="16">
        <f t="shared" si="0"/>
        <v>42.657662500000001</v>
      </c>
      <c r="I69" s="5"/>
      <c r="J69" s="15">
        <v>1507.1120000000001</v>
      </c>
      <c r="K69" s="16">
        <v>41.879100000000001</v>
      </c>
      <c r="L69" s="16">
        <v>46.478200000000001</v>
      </c>
      <c r="M69" s="16">
        <v>47.766199999999998</v>
      </c>
      <c r="N69" s="16">
        <v>53.172600000000003</v>
      </c>
      <c r="O69" s="16">
        <f t="shared" si="1"/>
        <v>43.189875000000001</v>
      </c>
      <c r="P69" s="7"/>
      <c r="Q69" s="8">
        <f>bdrate(C69:C72,D69:D72,J69:J72,K69:K72)</f>
        <v>-0.19237038967249209</v>
      </c>
      <c r="R69" s="8">
        <f>bdrate(C69:C72,E69:E72,J69:J72,L69:L72)</f>
        <v>-0.30238558225336332</v>
      </c>
      <c r="S69" s="8">
        <f>bdrate(C69:C72,F69:F72,J69:J72,M69:M72)</f>
        <v>-0.29274204435068096</v>
      </c>
      <c r="T69" s="25">
        <f>bdrate(C69:C72,H69:H72,J69:J72,O69:O72)</f>
        <v>-0.21362924235861169</v>
      </c>
      <c r="U69" s="28">
        <f t="shared" si="2"/>
        <v>-0.38869234199999997</v>
      </c>
    </row>
    <row r="70" spans="1:21" x14ac:dyDescent="0.25">
      <c r="A70" s="9" t="s">
        <v>44</v>
      </c>
      <c r="B70" s="9"/>
      <c r="C70" s="17">
        <v>936.3505859375</v>
      </c>
      <c r="D70" s="18">
        <v>40.137500000000003</v>
      </c>
      <c r="E70" s="18">
        <v>44.665399999999998</v>
      </c>
      <c r="F70" s="18">
        <v>45.8887</v>
      </c>
      <c r="G70" s="18">
        <v>121.2856276531231</v>
      </c>
      <c r="H70" s="18">
        <f t="shared" si="0"/>
        <v>41.422387499999999</v>
      </c>
      <c r="I70" s="5"/>
      <c r="J70" s="17">
        <v>996.77440000000001</v>
      </c>
      <c r="K70" s="18">
        <v>40.907499999999999</v>
      </c>
      <c r="L70" s="18">
        <v>45.731099999999998</v>
      </c>
      <c r="M70" s="18">
        <v>46.946100000000001</v>
      </c>
      <c r="N70" s="18">
        <v>65.302599999999998</v>
      </c>
      <c r="O70" s="18">
        <f t="shared" si="1"/>
        <v>42.265275000000003</v>
      </c>
      <c r="P70" s="7"/>
      <c r="Q70" s="10"/>
      <c r="R70" s="11"/>
      <c r="S70" s="11"/>
      <c r="T70" s="26"/>
      <c r="U70" s="28">
        <f t="shared" si="2"/>
        <v>-0.46158006299999998</v>
      </c>
    </row>
    <row r="71" spans="1:21" x14ac:dyDescent="0.25">
      <c r="B71" s="9"/>
      <c r="C71" s="17">
        <v>561.609375</v>
      </c>
      <c r="D71" s="18">
        <v>37.998899999999999</v>
      </c>
      <c r="E71" s="18">
        <v>43.137</v>
      </c>
      <c r="F71" s="18">
        <v>44.341299999999997</v>
      </c>
      <c r="G71" s="18">
        <v>154.5993300695697</v>
      </c>
      <c r="H71" s="18">
        <f t="shared" si="0"/>
        <v>39.4339625</v>
      </c>
      <c r="I71" s="5"/>
      <c r="J71" s="17">
        <v>590.51120000000003</v>
      </c>
      <c r="K71" s="18">
        <v>39.129399999999997</v>
      </c>
      <c r="L71" s="18">
        <v>44.322400000000002</v>
      </c>
      <c r="M71" s="18">
        <v>45.497599999999998</v>
      </c>
      <c r="N71" s="18">
        <v>80.321299999999994</v>
      </c>
      <c r="O71" s="18">
        <f t="shared" si="1"/>
        <v>40.574549999999995</v>
      </c>
      <c r="P71" s="7"/>
      <c r="Q71" s="10"/>
      <c r="R71" s="11"/>
      <c r="S71" s="11"/>
      <c r="T71" s="26"/>
      <c r="U71" s="28">
        <f t="shared" si="2"/>
        <v>-0.48045505783333337</v>
      </c>
    </row>
    <row r="72" spans="1:21" ht="16.5" thickBot="1" x14ac:dyDescent="0.3">
      <c r="B72" s="12"/>
      <c r="C72" s="19">
        <v>282.6416015625</v>
      </c>
      <c r="D72" s="20">
        <v>34.326799999999999</v>
      </c>
      <c r="E72" s="20">
        <v>41.190100000000001</v>
      </c>
      <c r="F72" s="20">
        <v>42.210799999999999</v>
      </c>
      <c r="G72" s="20">
        <v>197.23865877712032</v>
      </c>
      <c r="H72" s="20">
        <f t="shared" si="0"/>
        <v>36.170212499999998</v>
      </c>
      <c r="I72" s="5"/>
      <c r="J72" s="19">
        <v>290.8</v>
      </c>
      <c r="K72" s="20">
        <v>35.988999999999997</v>
      </c>
      <c r="L72" s="20">
        <v>42.353200000000001</v>
      </c>
      <c r="M72" s="20">
        <v>43.496099999999998</v>
      </c>
      <c r="N72" s="20">
        <v>104.639</v>
      </c>
      <c r="O72" s="20">
        <f t="shared" si="1"/>
        <v>37.7229125</v>
      </c>
      <c r="P72" s="7"/>
      <c r="Q72" s="13"/>
      <c r="R72" s="14"/>
      <c r="S72" s="14"/>
      <c r="T72" s="27"/>
      <c r="U72" s="28">
        <f t="shared" si="2"/>
        <v>-0.46948027000000003</v>
      </c>
    </row>
    <row r="73" spans="1:21" x14ac:dyDescent="0.25">
      <c r="B73" s="6" t="s">
        <v>62</v>
      </c>
      <c r="C73" s="15">
        <v>1432.09375</v>
      </c>
      <c r="D73" s="16">
        <v>42.691200000000002</v>
      </c>
      <c r="E73" s="16">
        <v>47.895499999999998</v>
      </c>
      <c r="F73" s="16">
        <v>48.5443</v>
      </c>
      <c r="G73" s="16">
        <v>100.41841004184101</v>
      </c>
      <c r="H73" s="16">
        <f t="shared" si="0"/>
        <v>44.073374999999999</v>
      </c>
      <c r="I73" s="5"/>
      <c r="J73" s="15">
        <v>1524.8896</v>
      </c>
      <c r="K73" s="16">
        <v>42.884099999999997</v>
      </c>
      <c r="L73" s="16">
        <v>48.329000000000001</v>
      </c>
      <c r="M73" s="16">
        <v>49.059100000000001</v>
      </c>
      <c r="N73" s="16">
        <v>60.429000000000002</v>
      </c>
      <c r="O73" s="16">
        <f t="shared" si="1"/>
        <v>44.3365875</v>
      </c>
      <c r="P73" s="7"/>
      <c r="Q73" s="8">
        <f>bdrate(C73:C76,D73:D76,J73:J76,K73:K76)</f>
        <v>-0.18642234976865224</v>
      </c>
      <c r="R73" s="8">
        <f>bdrate(C73:C76,E73:E76,J73:J76,L73:L76)</f>
        <v>-0.31901958923190532</v>
      </c>
      <c r="S73" s="8">
        <f>bdrate(C73:C76,F73:F76,J73:J76,M73:M76)</f>
        <v>-0.30827626915758588</v>
      </c>
      <c r="T73" s="25">
        <f>bdrate(C73:C76,H73:H76,J73:J76,O73:O76)</f>
        <v>-0.22075525956930286</v>
      </c>
      <c r="U73" s="28">
        <f t="shared" ref="U73:U124" si="3">(N73-G73)/G73</f>
        <v>-0.39822787500000006</v>
      </c>
    </row>
    <row r="74" spans="1:21" x14ac:dyDescent="0.25">
      <c r="B74" s="9"/>
      <c r="C74" s="17">
        <v>947.546875</v>
      </c>
      <c r="D74" s="18">
        <v>42.162199999999999</v>
      </c>
      <c r="E74" s="18">
        <v>47.356900000000003</v>
      </c>
      <c r="F74" s="18">
        <v>48.024299999999997</v>
      </c>
      <c r="G74" s="18">
        <v>123.50761630300536</v>
      </c>
      <c r="H74" s="18">
        <f t="shared" si="0"/>
        <v>43.5443</v>
      </c>
      <c r="I74" s="5"/>
      <c r="J74" s="17">
        <v>995.61199999999997</v>
      </c>
      <c r="K74" s="18">
        <v>42.481099999999998</v>
      </c>
      <c r="L74" s="18">
        <v>47.996400000000001</v>
      </c>
      <c r="M74" s="18">
        <v>48.703099999999999</v>
      </c>
      <c r="N74" s="18">
        <v>72.0548</v>
      </c>
      <c r="O74" s="18">
        <f t="shared" si="1"/>
        <v>43.948262499999998</v>
      </c>
      <c r="P74" s="7"/>
      <c r="Q74" s="10"/>
      <c r="R74" s="11"/>
      <c r="S74" s="11"/>
      <c r="T74" s="26"/>
      <c r="U74" s="28">
        <f t="shared" si="3"/>
        <v>-0.4165963026666667</v>
      </c>
    </row>
    <row r="75" spans="1:21" x14ac:dyDescent="0.25">
      <c r="B75" s="9"/>
      <c r="C75" s="17">
        <v>572.65234375</v>
      </c>
      <c r="D75" s="18">
        <v>41.285200000000003</v>
      </c>
      <c r="E75" s="18">
        <v>46.487299999999998</v>
      </c>
      <c r="F75" s="18">
        <v>47.1571</v>
      </c>
      <c r="G75" s="18">
        <v>146.52014652014654</v>
      </c>
      <c r="H75" s="18">
        <f t="shared" si="0"/>
        <v>42.669450000000005</v>
      </c>
      <c r="I75" s="5"/>
      <c r="J75" s="17">
        <v>573.92639999999994</v>
      </c>
      <c r="K75" s="18">
        <v>41.683399999999999</v>
      </c>
      <c r="L75" s="18">
        <v>47.229199999999999</v>
      </c>
      <c r="M75" s="18">
        <v>47.901800000000001</v>
      </c>
      <c r="N75" s="18">
        <v>88.665599999999998</v>
      </c>
      <c r="O75" s="18">
        <f t="shared" si="1"/>
        <v>43.153924999999994</v>
      </c>
      <c r="P75" s="7"/>
      <c r="Q75" s="10"/>
      <c r="R75" s="11"/>
      <c r="S75" s="11"/>
      <c r="T75" s="26"/>
      <c r="U75" s="28">
        <f t="shared" si="3"/>
        <v>-0.39485728000000009</v>
      </c>
    </row>
    <row r="76" spans="1:21" ht="16.5" thickBot="1" x14ac:dyDescent="0.3">
      <c r="B76" s="12"/>
      <c r="C76" s="19">
        <v>287.5810546875</v>
      </c>
      <c r="D76" s="20">
        <v>39.337200000000003</v>
      </c>
      <c r="E76" s="20">
        <v>44.847299999999997</v>
      </c>
      <c r="F76" s="20">
        <v>45.556800000000003</v>
      </c>
      <c r="G76" s="20">
        <v>183.48623853211009</v>
      </c>
      <c r="H76" s="20">
        <f t="shared" si="0"/>
        <v>40.803412500000007</v>
      </c>
      <c r="I76" s="5"/>
      <c r="J76" s="19">
        <v>273.75360000000001</v>
      </c>
      <c r="K76" s="20">
        <v>39.904299999999999</v>
      </c>
      <c r="L76" s="20">
        <v>45.460500000000003</v>
      </c>
      <c r="M76" s="20">
        <v>46.017600000000002</v>
      </c>
      <c r="N76" s="20">
        <v>116.6634</v>
      </c>
      <c r="O76" s="20">
        <f t="shared" si="1"/>
        <v>41.362987500000003</v>
      </c>
      <c r="P76" s="7"/>
      <c r="Q76" s="13"/>
      <c r="R76" s="14"/>
      <c r="S76" s="14"/>
      <c r="T76" s="27"/>
      <c r="U76" s="28">
        <f t="shared" si="3"/>
        <v>-0.36418447000000004</v>
      </c>
    </row>
    <row r="77" spans="1:21" x14ac:dyDescent="0.25">
      <c r="B77" s="6" t="s">
        <v>63</v>
      </c>
      <c r="C77" s="15">
        <v>1441.4599609375</v>
      </c>
      <c r="D77" s="16">
        <v>42.464700000000001</v>
      </c>
      <c r="E77" s="16">
        <v>46.841999999999999</v>
      </c>
      <c r="F77" s="16">
        <v>47.710900000000002</v>
      </c>
      <c r="G77" s="16">
        <v>88.928412627834589</v>
      </c>
      <c r="H77" s="16">
        <f t="shared" si="0"/>
        <v>43.667637499999998</v>
      </c>
      <c r="I77" s="5"/>
      <c r="J77" s="15">
        <v>1539.2936</v>
      </c>
      <c r="K77" s="16">
        <v>42.8489</v>
      </c>
      <c r="L77" s="16">
        <v>47.544899999999998</v>
      </c>
      <c r="M77" s="16">
        <v>48.460799999999999</v>
      </c>
      <c r="N77" s="16">
        <v>55.996299999999998</v>
      </c>
      <c r="O77" s="16">
        <f t="shared" si="1"/>
        <v>44.137387499999996</v>
      </c>
      <c r="P77" s="7"/>
      <c r="Q77" s="8">
        <f>bdrate(C77:C80,D77:D80,J77:J80,K77:K80)</f>
        <v>-0.18690644449896066</v>
      </c>
      <c r="R77" s="8">
        <f>bdrate(C77:C80,E77:E80,J77:J80,L77:L80)</f>
        <v>-0.31609445796888258</v>
      </c>
      <c r="S77" s="8">
        <f>bdrate(C77:C80,F77:F80,J77:J80,M77:M80)</f>
        <v>-0.31124245930252548</v>
      </c>
      <c r="T77" s="25">
        <f>bdrate(C77:C80,H77:H80,J77:J80,O77:O80)</f>
        <v>-0.21606730577226929</v>
      </c>
      <c r="U77" s="28">
        <f t="shared" si="3"/>
        <v>-0.37032160650000001</v>
      </c>
    </row>
    <row r="78" spans="1:21" x14ac:dyDescent="0.25">
      <c r="B78" s="9"/>
      <c r="C78" s="17">
        <v>965.86328125</v>
      </c>
      <c r="D78" s="18">
        <v>41.6175</v>
      </c>
      <c r="E78" s="18">
        <v>46.019199999999998</v>
      </c>
      <c r="F78" s="18">
        <v>46.918399999999998</v>
      </c>
      <c r="G78" s="18">
        <v>113.65788975184694</v>
      </c>
      <c r="H78" s="18">
        <f t="shared" si="0"/>
        <v>42.830325000000002</v>
      </c>
      <c r="I78" s="5"/>
      <c r="J78" s="17">
        <v>1025.9872</v>
      </c>
      <c r="K78" s="18">
        <v>42.133099999999999</v>
      </c>
      <c r="L78" s="18">
        <v>46.911499999999997</v>
      </c>
      <c r="M78" s="18">
        <v>47.822200000000002</v>
      </c>
      <c r="N78" s="18">
        <v>69.100499999999997</v>
      </c>
      <c r="O78" s="18">
        <f t="shared" si="1"/>
        <v>43.441537500000003</v>
      </c>
      <c r="P78" s="7"/>
      <c r="Q78" s="10"/>
      <c r="R78" s="11"/>
      <c r="S78" s="11"/>
      <c r="T78" s="26"/>
      <c r="U78" s="28">
        <f t="shared" si="3"/>
        <v>-0.39203076749999999</v>
      </c>
    </row>
    <row r="79" spans="1:21" x14ac:dyDescent="0.25">
      <c r="B79" s="9"/>
      <c r="C79" s="17">
        <v>583.5849609375</v>
      </c>
      <c r="D79" s="18">
        <v>40.112099999999998</v>
      </c>
      <c r="E79" s="18">
        <v>44.761299999999999</v>
      </c>
      <c r="F79" s="18">
        <v>45.648499999999999</v>
      </c>
      <c r="G79" s="18">
        <v>144.0576230492197</v>
      </c>
      <c r="H79" s="18">
        <f t="shared" si="0"/>
        <v>41.385300000000001</v>
      </c>
      <c r="I79" s="5"/>
      <c r="J79" s="17">
        <v>598.81600000000003</v>
      </c>
      <c r="K79" s="18">
        <v>40.8245</v>
      </c>
      <c r="L79" s="18">
        <v>45.743400000000001</v>
      </c>
      <c r="M79" s="18">
        <v>46.621000000000002</v>
      </c>
      <c r="N79" s="18">
        <v>87.412599999999998</v>
      </c>
      <c r="O79" s="18">
        <f t="shared" si="1"/>
        <v>42.163924999999999</v>
      </c>
      <c r="P79" s="7"/>
      <c r="Q79" s="10"/>
      <c r="R79" s="11"/>
      <c r="S79" s="11"/>
      <c r="T79" s="26"/>
      <c r="U79" s="28">
        <f t="shared" si="3"/>
        <v>-0.39321086833333341</v>
      </c>
    </row>
    <row r="80" spans="1:21" ht="16.5" thickBot="1" x14ac:dyDescent="0.3">
      <c r="B80" s="12"/>
      <c r="C80" s="19">
        <v>293.2900390625</v>
      </c>
      <c r="D80" s="20">
        <v>37.2254</v>
      </c>
      <c r="E80" s="20">
        <v>42.662700000000001</v>
      </c>
      <c r="F80" s="20">
        <v>43.512799999999999</v>
      </c>
      <c r="G80" s="20">
        <v>185.64356435643563</v>
      </c>
      <c r="H80" s="20">
        <f t="shared" si="0"/>
        <v>38.690987499999991</v>
      </c>
      <c r="I80" s="5"/>
      <c r="J80" s="19">
        <v>292.83440000000002</v>
      </c>
      <c r="K80" s="20">
        <v>38.417900000000003</v>
      </c>
      <c r="L80" s="20">
        <v>44.014899999999997</v>
      </c>
      <c r="M80" s="20">
        <v>44.846899999999998</v>
      </c>
      <c r="N80" s="20">
        <v>113.52889999999999</v>
      </c>
      <c r="O80" s="20">
        <f t="shared" si="1"/>
        <v>39.921150000000004</v>
      </c>
      <c r="P80" s="7"/>
      <c r="Q80" s="13"/>
      <c r="R80" s="14"/>
      <c r="S80" s="14"/>
      <c r="T80" s="27"/>
      <c r="U80" s="28">
        <f t="shared" si="3"/>
        <v>-0.38845765866666665</v>
      </c>
    </row>
    <row r="81" spans="1:21" x14ac:dyDescent="0.25">
      <c r="A81" s="6" t="s">
        <v>102</v>
      </c>
      <c r="B81" s="6" t="s">
        <v>103</v>
      </c>
      <c r="C81" s="15">
        <v>1475.3935546875</v>
      </c>
      <c r="D81" s="16">
        <v>37.018099999999997</v>
      </c>
      <c r="E81" s="16">
        <v>42.940199999999997</v>
      </c>
      <c r="F81" s="16">
        <v>43.580800000000004</v>
      </c>
      <c r="G81" s="16">
        <v>53.995680345572353</v>
      </c>
      <c r="H81" s="16">
        <f t="shared" ref="H81:H124" si="4">(6*D81+E81+F81)/8</f>
        <v>38.578699999999998</v>
      </c>
      <c r="I81" s="5"/>
      <c r="J81" s="15">
        <v>1522.2573</v>
      </c>
      <c r="K81" s="16">
        <v>37.225700000000003</v>
      </c>
      <c r="L81" s="16">
        <v>43.3232</v>
      </c>
      <c r="M81" s="16">
        <v>43.98</v>
      </c>
      <c r="N81" s="16">
        <v>33.228700000000003</v>
      </c>
      <c r="O81" s="16">
        <f t="shared" ref="O81:O124" si="5">(6*K81+L81+M81)/8</f>
        <v>38.832175000000007</v>
      </c>
      <c r="P81" s="7"/>
      <c r="Q81" s="8">
        <f>bdrate(C81:C84,D81:D84,J81:J84,K81:K84)</f>
        <v>-8.6581137529653684E-2</v>
      </c>
      <c r="R81" s="8">
        <f>bdrate(C81:C84,E81:E84,J81:J84,L81:L84)</f>
        <v>-0.18937603564524474</v>
      </c>
      <c r="S81" s="8">
        <f>bdrate(C81:C84,F81:F84,J81:J84,M81:M84)</f>
        <v>-0.20578040541106268</v>
      </c>
      <c r="T81" s="25">
        <f>bdrate(C81:C84,H81:H84,J81:J84,O81:O84)</f>
        <v>-0.10653712019537742</v>
      </c>
      <c r="U81" s="28">
        <f t="shared" si="3"/>
        <v>-0.38460447599999992</v>
      </c>
    </row>
    <row r="82" spans="1:21" x14ac:dyDescent="0.25">
      <c r="A82" s="9" t="s">
        <v>78</v>
      </c>
      <c r="B82" s="9"/>
      <c r="C82" s="17">
        <v>984.763671875</v>
      </c>
      <c r="D82" s="18">
        <v>34.962800000000001</v>
      </c>
      <c r="E82" s="18">
        <v>41.578000000000003</v>
      </c>
      <c r="F82" s="18">
        <v>42.217100000000002</v>
      </c>
      <c r="G82" s="18">
        <v>72.481275670451808</v>
      </c>
      <c r="H82" s="18">
        <f t="shared" si="4"/>
        <v>36.696487500000003</v>
      </c>
      <c r="I82" s="5"/>
      <c r="J82" s="17">
        <v>1014.1648</v>
      </c>
      <c r="K82" s="18">
        <v>35.369799999999998</v>
      </c>
      <c r="L82" s="18">
        <v>42.105699999999999</v>
      </c>
      <c r="M82" s="18">
        <v>42.799300000000002</v>
      </c>
      <c r="N82" s="18">
        <v>37.837400000000002</v>
      </c>
      <c r="O82" s="18">
        <f t="shared" si="5"/>
        <v>37.140475000000002</v>
      </c>
      <c r="P82" s="7"/>
      <c r="Q82" s="10"/>
      <c r="R82" s="11"/>
      <c r="S82" s="11"/>
      <c r="T82" s="26"/>
      <c r="U82" s="28">
        <f t="shared" si="3"/>
        <v>-0.47797000466666667</v>
      </c>
    </row>
    <row r="83" spans="1:21" x14ac:dyDescent="0.25">
      <c r="B83" s="9"/>
      <c r="C83" s="17">
        <v>591.3310546875</v>
      </c>
      <c r="D83" s="18">
        <v>32.384099999999997</v>
      </c>
      <c r="E83" s="18">
        <v>39.980800000000002</v>
      </c>
      <c r="F83" s="18">
        <v>40.603900000000003</v>
      </c>
      <c r="G83" s="18">
        <v>107.37294201861131</v>
      </c>
      <c r="H83" s="18">
        <f t="shared" si="4"/>
        <v>34.361162499999999</v>
      </c>
      <c r="I83" s="5"/>
      <c r="J83" s="17">
        <v>607.77229999999997</v>
      </c>
      <c r="K83" s="18">
        <v>33.016500000000001</v>
      </c>
      <c r="L83" s="18">
        <v>40.762700000000002</v>
      </c>
      <c r="M83" s="18">
        <v>41.459899999999998</v>
      </c>
      <c r="N83" s="18">
        <v>43.878900000000002</v>
      </c>
      <c r="O83" s="18">
        <f t="shared" si="5"/>
        <v>35.040199999999999</v>
      </c>
      <c r="P83" s="7"/>
      <c r="Q83" s="10"/>
      <c r="R83" s="11"/>
      <c r="S83" s="11"/>
      <c r="T83" s="26"/>
      <c r="U83" s="28">
        <f t="shared" si="3"/>
        <v>-0.59134117799999997</v>
      </c>
    </row>
    <row r="84" spans="1:21" ht="16.5" thickBot="1" x14ac:dyDescent="0.3">
      <c r="B84" s="12"/>
      <c r="C84" s="19">
        <v>295.8271484375</v>
      </c>
      <c r="D84" s="20">
        <v>29.0366</v>
      </c>
      <c r="E84" s="20">
        <v>37.979599999999998</v>
      </c>
      <c r="F84" s="20">
        <v>38.565600000000003</v>
      </c>
      <c r="G84" s="20">
        <v>144.25388684083987</v>
      </c>
      <c r="H84" s="20">
        <f t="shared" si="4"/>
        <v>31.345600000000005</v>
      </c>
      <c r="I84" s="5"/>
      <c r="J84" s="19">
        <v>303.36610000000002</v>
      </c>
      <c r="K84" s="20">
        <v>29.9618</v>
      </c>
      <c r="L84" s="20">
        <v>38.991500000000002</v>
      </c>
      <c r="M84" s="20">
        <v>39.649799999999999</v>
      </c>
      <c r="N84" s="20">
        <v>55.921500000000002</v>
      </c>
      <c r="O84" s="20">
        <f t="shared" si="5"/>
        <v>32.301512500000001</v>
      </c>
      <c r="P84" s="7"/>
      <c r="Q84" s="13"/>
      <c r="R84" s="14"/>
      <c r="S84" s="14"/>
      <c r="T84" s="27"/>
      <c r="U84" s="28">
        <f t="shared" si="3"/>
        <v>-0.61233973499999994</v>
      </c>
    </row>
    <row r="85" spans="1:21" x14ac:dyDescent="0.25">
      <c r="B85" s="6" t="s">
        <v>104</v>
      </c>
      <c r="C85" s="15">
        <v>1440.4501953125</v>
      </c>
      <c r="D85" s="16">
        <v>53.115099999999998</v>
      </c>
      <c r="E85" s="16">
        <v>53.6098</v>
      </c>
      <c r="F85" s="16">
        <v>54.142000000000003</v>
      </c>
      <c r="G85" s="16">
        <v>74.232926426921807</v>
      </c>
      <c r="H85" s="16">
        <f t="shared" si="4"/>
        <v>53.305300000000003</v>
      </c>
      <c r="I85" s="5"/>
      <c r="J85" s="15">
        <v>1452.9396999999999</v>
      </c>
      <c r="K85" s="16">
        <v>53.526600000000002</v>
      </c>
      <c r="L85" s="16">
        <v>54.494700000000002</v>
      </c>
      <c r="M85" s="16">
        <v>55.083199999999998</v>
      </c>
      <c r="N85" s="16">
        <v>71.039500000000004</v>
      </c>
      <c r="O85" s="16">
        <f t="shared" si="5"/>
        <v>53.842187500000001</v>
      </c>
      <c r="P85" s="7"/>
      <c r="Q85" s="8">
        <f>bdrate(C85:C88,D85:D88,J85:J88,K85:K88)</f>
        <v>-0.13891908283631749</v>
      </c>
      <c r="R85" s="8">
        <f>bdrate(C85:C88,E85:E88,J85:J88,L85:L88)</f>
        <v>-0.23997759081701397</v>
      </c>
      <c r="S85" s="8">
        <f>bdrate(C85:C88,F85:F88,J85:J88,M85:M88)</f>
        <v>-0.23030417940708836</v>
      </c>
      <c r="T85" s="25">
        <f>bdrate(C85:C88,H85:H88,J85:J88,O85:O88)</f>
        <v>-0.16170824769841796</v>
      </c>
      <c r="U85" s="28">
        <f t="shared" si="3"/>
        <v>-4.3019002222222158E-2</v>
      </c>
    </row>
    <row r="86" spans="1:21" x14ac:dyDescent="0.25">
      <c r="B86" s="9"/>
      <c r="C86" s="17">
        <v>961.9765625</v>
      </c>
      <c r="D86" s="18">
        <v>50.411200000000001</v>
      </c>
      <c r="E86" s="18">
        <v>51.224699999999999</v>
      </c>
      <c r="F86" s="18">
        <v>51.820799999999998</v>
      </c>
      <c r="G86" s="18">
        <v>93.574547723019336</v>
      </c>
      <c r="H86" s="18">
        <f t="shared" si="4"/>
        <v>50.689087499999999</v>
      </c>
      <c r="I86" s="5"/>
      <c r="J86" s="17">
        <v>982.10590000000002</v>
      </c>
      <c r="K86" s="18">
        <v>51.355899999999998</v>
      </c>
      <c r="L86" s="18">
        <v>52.708500000000001</v>
      </c>
      <c r="M86" s="18">
        <v>53.270600000000002</v>
      </c>
      <c r="N86" s="18">
        <v>86.797200000000004</v>
      </c>
      <c r="O86" s="18">
        <f t="shared" si="5"/>
        <v>51.764312500000003</v>
      </c>
      <c r="P86" s="7"/>
      <c r="Q86" s="10"/>
      <c r="R86" s="11"/>
      <c r="S86" s="11"/>
      <c r="T86" s="26"/>
      <c r="U86" s="28">
        <f t="shared" si="3"/>
        <v>-7.2427255999999926E-2</v>
      </c>
    </row>
    <row r="87" spans="1:21" x14ac:dyDescent="0.25">
      <c r="B87" s="9"/>
      <c r="C87" s="17">
        <v>579.7529296875</v>
      </c>
      <c r="D87" s="18">
        <v>46.992800000000003</v>
      </c>
      <c r="E87" s="18">
        <v>48.181600000000003</v>
      </c>
      <c r="F87" s="18">
        <v>48.7879</v>
      </c>
      <c r="G87" s="18">
        <v>113.59333585762968</v>
      </c>
      <c r="H87" s="18">
        <f t="shared" si="4"/>
        <v>47.365787500000003</v>
      </c>
      <c r="I87" s="5"/>
      <c r="J87" s="17">
        <v>602.9117</v>
      </c>
      <c r="K87" s="18">
        <v>48.436199999999999</v>
      </c>
      <c r="L87" s="18">
        <v>50.135599999999997</v>
      </c>
      <c r="M87" s="18">
        <v>50.651499999999999</v>
      </c>
      <c r="N87" s="18">
        <v>108.9456</v>
      </c>
      <c r="O87" s="18">
        <f t="shared" si="5"/>
        <v>48.925537500000004</v>
      </c>
      <c r="P87" s="7"/>
      <c r="Q87" s="10"/>
      <c r="R87" s="11"/>
      <c r="S87" s="11"/>
      <c r="T87" s="26"/>
      <c r="U87" s="28">
        <f t="shared" si="3"/>
        <v>-4.0915567999999986E-2</v>
      </c>
    </row>
    <row r="88" spans="1:21" ht="16.5" thickBot="1" x14ac:dyDescent="0.3">
      <c r="B88" s="12"/>
      <c r="C88" s="19">
        <v>290.35546875</v>
      </c>
      <c r="D88" s="20">
        <v>42.581800000000001</v>
      </c>
      <c r="E88" s="20">
        <v>44.369900000000001</v>
      </c>
      <c r="F88" s="20">
        <v>44.941099999999999</v>
      </c>
      <c r="G88" s="20">
        <v>144.90420222186444</v>
      </c>
      <c r="H88" s="20">
        <f t="shared" si="4"/>
        <v>43.100225000000002</v>
      </c>
      <c r="I88" s="5"/>
      <c r="J88" s="19">
        <v>307.27550000000002</v>
      </c>
      <c r="K88" s="20">
        <v>43.755499999999998</v>
      </c>
      <c r="L88" s="20">
        <v>46.172899999999998</v>
      </c>
      <c r="M88" s="20">
        <v>46.644199999999998</v>
      </c>
      <c r="N88" s="20">
        <v>135.99270000000001</v>
      </c>
      <c r="O88" s="20">
        <f t="shared" si="5"/>
        <v>44.418762500000007</v>
      </c>
      <c r="P88" s="7"/>
      <c r="Q88" s="13"/>
      <c r="R88" s="14"/>
      <c r="S88" s="14"/>
      <c r="T88" s="27"/>
      <c r="U88" s="28">
        <f t="shared" si="3"/>
        <v>-6.1499266999999927E-2</v>
      </c>
    </row>
    <row r="89" spans="1:21" x14ac:dyDescent="0.25">
      <c r="B89" s="6" t="s">
        <v>105</v>
      </c>
      <c r="C89" s="15">
        <v>1446.9736328125</v>
      </c>
      <c r="D89" s="16">
        <v>44.573599999999999</v>
      </c>
      <c r="E89" s="16">
        <v>46.930599999999998</v>
      </c>
      <c r="F89" s="16">
        <v>47.409799999999997</v>
      </c>
      <c r="G89" s="16">
        <v>62.262193012798342</v>
      </c>
      <c r="H89" s="16">
        <f t="shared" si="4"/>
        <v>45.222750000000005</v>
      </c>
      <c r="I89" s="5"/>
      <c r="J89" s="15">
        <v>1485.5995</v>
      </c>
      <c r="K89" s="16">
        <v>45.050400000000003</v>
      </c>
      <c r="L89" s="16">
        <v>47.7258</v>
      </c>
      <c r="M89" s="16">
        <v>48.198999999999998</v>
      </c>
      <c r="N89" s="16">
        <v>45.729399999999998</v>
      </c>
      <c r="O89" s="16">
        <f t="shared" si="5"/>
        <v>45.778400000000005</v>
      </c>
      <c r="P89" s="7"/>
      <c r="Q89" s="8">
        <f>bdrate(C89:C92,D89:D92,J89:J92,K89:K92)</f>
        <v>-0.12132439968942854</v>
      </c>
      <c r="R89" s="8">
        <f>bdrate(C89:C92,E89:E92,J89:J92,L89:L92)</f>
        <v>-0.25272073722062038</v>
      </c>
      <c r="S89" s="8">
        <f>bdrate(C89:C92,F89:F92,J89:J92,M89:M92)</f>
        <v>-0.23512307646767139</v>
      </c>
      <c r="T89" s="25">
        <f>bdrate(C89:C92,H89:H92,J89:J92,O89:O92)</f>
        <v>-0.14634285226930954</v>
      </c>
      <c r="U89" s="28">
        <f t="shared" si="3"/>
        <v>-0.26553502555555558</v>
      </c>
    </row>
    <row r="90" spans="1:21" x14ac:dyDescent="0.25">
      <c r="B90" s="9"/>
      <c r="C90" s="17">
        <v>965.9970703125</v>
      </c>
      <c r="D90" s="18">
        <v>42.445300000000003</v>
      </c>
      <c r="E90" s="18">
        <v>45.314500000000002</v>
      </c>
      <c r="F90" s="18">
        <v>45.788499999999999</v>
      </c>
      <c r="G90" s="18">
        <v>78.451882845188294</v>
      </c>
      <c r="H90" s="18">
        <f t="shared" si="4"/>
        <v>43.221850000000003</v>
      </c>
      <c r="I90" s="5"/>
      <c r="J90" s="17">
        <v>1000.7184</v>
      </c>
      <c r="K90" s="18">
        <v>43.243000000000002</v>
      </c>
      <c r="L90" s="18">
        <v>46.394399999999997</v>
      </c>
      <c r="M90" s="18">
        <v>46.835799999999999</v>
      </c>
      <c r="N90" s="18">
        <v>55.531599999999997</v>
      </c>
      <c r="O90" s="18">
        <f t="shared" si="5"/>
        <v>44.086025000000006</v>
      </c>
      <c r="P90" s="7"/>
      <c r="Q90" s="10"/>
      <c r="R90" s="11"/>
      <c r="S90" s="11"/>
      <c r="T90" s="26"/>
      <c r="U90" s="28">
        <f t="shared" si="3"/>
        <v>-0.29215720533333345</v>
      </c>
    </row>
    <row r="91" spans="1:21" x14ac:dyDescent="0.25">
      <c r="B91" s="9"/>
      <c r="C91" s="17">
        <v>583.18359375</v>
      </c>
      <c r="D91" s="18">
        <v>39.705800000000004</v>
      </c>
      <c r="E91" s="18">
        <v>43.288800000000002</v>
      </c>
      <c r="F91" s="18">
        <v>43.793500000000002</v>
      </c>
      <c r="G91" s="18">
        <v>102.58748432691212</v>
      </c>
      <c r="H91" s="18">
        <f t="shared" si="4"/>
        <v>40.664637499999998</v>
      </c>
      <c r="I91" s="5"/>
      <c r="J91" s="17">
        <v>604.80430000000001</v>
      </c>
      <c r="K91" s="18">
        <v>40.681600000000003</v>
      </c>
      <c r="L91" s="18">
        <v>44.639600000000002</v>
      </c>
      <c r="M91" s="18">
        <v>45.032200000000003</v>
      </c>
      <c r="N91" s="18">
        <v>67.415700000000001</v>
      </c>
      <c r="O91" s="18">
        <f t="shared" si="5"/>
        <v>41.720174999999998</v>
      </c>
      <c r="P91" s="7"/>
      <c r="Q91" s="10"/>
      <c r="R91" s="11"/>
      <c r="S91" s="11"/>
      <c r="T91" s="26"/>
      <c r="U91" s="28">
        <f t="shared" si="3"/>
        <v>-0.34284673766666668</v>
      </c>
    </row>
    <row r="92" spans="1:21" ht="16.5" thickBot="1" x14ac:dyDescent="0.3">
      <c r="B92" s="12"/>
      <c r="C92" s="19">
        <v>293.27734375</v>
      </c>
      <c r="D92" s="20">
        <v>35.850200000000001</v>
      </c>
      <c r="E92" s="20">
        <v>40.643099999999997</v>
      </c>
      <c r="F92" s="20">
        <v>41.1554</v>
      </c>
      <c r="G92" s="20">
        <v>139.55652039075827</v>
      </c>
      <c r="H92" s="20">
        <f t="shared" si="4"/>
        <v>37.112462499999999</v>
      </c>
      <c r="I92" s="5"/>
      <c r="J92" s="19">
        <v>305.76080000000002</v>
      </c>
      <c r="K92" s="20">
        <v>36.790300000000002</v>
      </c>
      <c r="L92" s="20">
        <v>42.018999999999998</v>
      </c>
      <c r="M92" s="20">
        <v>42.3979</v>
      </c>
      <c r="N92" s="20">
        <v>83.302499999999995</v>
      </c>
      <c r="O92" s="20">
        <f t="shared" si="5"/>
        <v>38.144837500000001</v>
      </c>
      <c r="P92" s="7"/>
      <c r="Q92" s="13"/>
      <c r="R92" s="14"/>
      <c r="S92" s="14"/>
      <c r="T92" s="27"/>
      <c r="U92" s="28">
        <f t="shared" si="3"/>
        <v>-0.4030913083333334</v>
      </c>
    </row>
    <row r="93" spans="1:21" x14ac:dyDescent="0.25">
      <c r="B93" s="6" t="s">
        <v>106</v>
      </c>
      <c r="C93" s="29">
        <v>1451.9609375</v>
      </c>
      <c r="D93" s="30">
        <v>38.993200000000002</v>
      </c>
      <c r="E93" s="30">
        <v>43.1218</v>
      </c>
      <c r="F93" s="30">
        <v>42.876199999999997</v>
      </c>
      <c r="G93" s="16">
        <v>54.804530507855311</v>
      </c>
      <c r="H93" s="16">
        <f t="shared" si="4"/>
        <v>39.99465</v>
      </c>
      <c r="I93" s="5"/>
      <c r="J93" s="29">
        <v>1516.6315</v>
      </c>
      <c r="K93" s="30">
        <v>39.249299999999998</v>
      </c>
      <c r="L93" s="30">
        <v>43.7303</v>
      </c>
      <c r="M93" s="30">
        <v>43.512999999999998</v>
      </c>
      <c r="N93" s="16">
        <v>44.503799999999998</v>
      </c>
      <c r="O93" s="16">
        <f t="shared" si="5"/>
        <v>40.342387499999994</v>
      </c>
      <c r="P93" s="7"/>
      <c r="Q93" s="8">
        <f>bdrate(C93:C96,D93:D96,J93:J96,K93:K96)</f>
        <v>-6.4461140773144687E-2</v>
      </c>
      <c r="R93" s="8">
        <f>bdrate(C93:C96,E93:E96,J93:J96,L93:L96)</f>
        <v>-0.205436802090044</v>
      </c>
      <c r="S93" s="8">
        <f>bdrate(C93:C96,F93:F96,J93:J96,M93:M96)</f>
        <v>-0.19957570219125231</v>
      </c>
      <c r="T93" s="25">
        <f>bdrate(C93:C96,H93:H96,J93:J96,O93:O96)</f>
        <v>-9.0634594963768578E-2</v>
      </c>
      <c r="U93" s="28">
        <f t="shared" si="3"/>
        <v>-0.18795399599999996</v>
      </c>
    </row>
    <row r="94" spans="1:21" x14ac:dyDescent="0.25">
      <c r="B94" s="9"/>
      <c r="C94" s="31">
        <v>968.7119140625</v>
      </c>
      <c r="D94" s="32">
        <v>37.025100000000002</v>
      </c>
      <c r="E94" s="32">
        <v>41.807699999999997</v>
      </c>
      <c r="F94" s="32">
        <v>41.546100000000003</v>
      </c>
      <c r="G94" s="18">
        <v>69.428373061791262</v>
      </c>
      <c r="H94" s="18">
        <f t="shared" si="4"/>
        <v>38.188050000000004</v>
      </c>
      <c r="I94" s="5"/>
      <c r="J94" s="31">
        <v>1007.1968000000001</v>
      </c>
      <c r="K94" s="32">
        <v>37.375500000000002</v>
      </c>
      <c r="L94" s="32">
        <v>42.484999999999999</v>
      </c>
      <c r="M94" s="32">
        <v>42.228499999999997</v>
      </c>
      <c r="N94" s="18">
        <v>51.549300000000002</v>
      </c>
      <c r="O94" s="18">
        <f t="shared" si="5"/>
        <v>38.6208125</v>
      </c>
      <c r="P94" s="7"/>
      <c r="Q94" s="10"/>
      <c r="R94" s="11"/>
      <c r="S94" s="11"/>
      <c r="T94" s="26"/>
      <c r="U94" s="28">
        <f t="shared" si="3"/>
        <v>-0.25751824900000009</v>
      </c>
    </row>
    <row r="95" spans="1:21" x14ac:dyDescent="0.25">
      <c r="B95" s="9"/>
      <c r="C95" s="31">
        <v>583.5888671875</v>
      </c>
      <c r="D95" s="32">
        <v>34.642499999999998</v>
      </c>
      <c r="E95" s="32">
        <v>40.220199999999998</v>
      </c>
      <c r="F95" s="32">
        <v>39.917299999999997</v>
      </c>
      <c r="G95" s="18">
        <v>96.972309018424738</v>
      </c>
      <c r="H95" s="18">
        <f t="shared" si="4"/>
        <v>35.999062500000001</v>
      </c>
      <c r="I95" s="5"/>
      <c r="J95" s="31">
        <v>603.49069999999995</v>
      </c>
      <c r="K95" s="32">
        <v>35.139099999999999</v>
      </c>
      <c r="L95" s="32">
        <v>41.034199999999998</v>
      </c>
      <c r="M95" s="32">
        <v>40.721299999999999</v>
      </c>
      <c r="N95" s="18">
        <v>60.080100000000002</v>
      </c>
      <c r="O95" s="18">
        <f t="shared" si="5"/>
        <v>36.573762500000001</v>
      </c>
      <c r="P95" s="7"/>
      <c r="Q95" s="10"/>
      <c r="R95" s="11"/>
      <c r="S95" s="11"/>
      <c r="T95" s="26"/>
      <c r="U95" s="28">
        <f t="shared" si="3"/>
        <v>-0.38044065766666663</v>
      </c>
    </row>
    <row r="96" spans="1:21" ht="16.5" thickBot="1" x14ac:dyDescent="0.3">
      <c r="B96" s="12"/>
      <c r="C96" s="33">
        <v>294.2412109375</v>
      </c>
      <c r="D96" s="34">
        <v>31.5381</v>
      </c>
      <c r="E96" s="34">
        <v>38.420900000000003</v>
      </c>
      <c r="F96" s="34">
        <v>38.032299999999999</v>
      </c>
      <c r="G96" s="20">
        <v>139.59981386691484</v>
      </c>
      <c r="H96" s="20">
        <f t="shared" si="4"/>
        <v>33.210225000000001</v>
      </c>
      <c r="I96" s="5"/>
      <c r="J96" s="33">
        <v>301.1859</v>
      </c>
      <c r="K96" s="34">
        <v>32.226300000000002</v>
      </c>
      <c r="L96" s="34">
        <v>39.292299999999997</v>
      </c>
      <c r="M96" s="34">
        <v>38.928800000000003</v>
      </c>
      <c r="N96" s="20">
        <v>75.630300000000005</v>
      </c>
      <c r="O96" s="20">
        <f t="shared" si="5"/>
        <v>33.947362500000004</v>
      </c>
      <c r="P96" s="7"/>
      <c r="Q96" s="13"/>
      <c r="R96" s="14"/>
      <c r="S96" s="14"/>
      <c r="T96" s="27"/>
      <c r="U96" s="28">
        <f t="shared" si="3"/>
        <v>-0.45823495099999995</v>
      </c>
    </row>
    <row r="97" spans="2:21" x14ac:dyDescent="0.25">
      <c r="B97" s="6" t="s">
        <v>107</v>
      </c>
      <c r="C97" s="15">
        <v>1473.435546875</v>
      </c>
      <c r="D97" s="16">
        <v>37.668300000000002</v>
      </c>
      <c r="E97" s="16">
        <v>42.110500000000002</v>
      </c>
      <c r="F97" s="16">
        <v>42.5321</v>
      </c>
      <c r="G97" s="16">
        <v>62.370062370062371</v>
      </c>
      <c r="H97" s="16">
        <f t="shared" si="4"/>
        <v>38.831550000000007</v>
      </c>
      <c r="I97" s="5"/>
      <c r="J97" s="15">
        <v>1515.9820999999999</v>
      </c>
      <c r="K97" s="16">
        <v>38.03</v>
      </c>
      <c r="L97" s="16">
        <v>43.042499999999997</v>
      </c>
      <c r="M97" s="16">
        <v>43.478700000000003</v>
      </c>
      <c r="N97" s="16">
        <v>45.399500000000003</v>
      </c>
      <c r="O97" s="16">
        <f t="shared" si="5"/>
        <v>39.337650000000004</v>
      </c>
      <c r="P97" s="7"/>
      <c r="Q97" s="8">
        <f>bdrate(C97:C100,D97:D100,J97:J100,K97:K100)</f>
        <v>-0.14495523181556558</v>
      </c>
      <c r="R97" s="8">
        <f>bdrate(C97:C100,E97:E100,J97:J100,L97:L100)</f>
        <v>-0.31143589031722507</v>
      </c>
      <c r="S97" s="8">
        <f>bdrate(C97:C100,F97:F100,J97:J100,M97:M100)</f>
        <v>-0.32251874938439418</v>
      </c>
      <c r="T97" s="25">
        <f>bdrate(C97:C100,H97:H100,J97:J100,O97:O100)</f>
        <v>-0.1802971136890853</v>
      </c>
      <c r="U97" s="28">
        <f t="shared" si="3"/>
        <v>-0.27209468333333331</v>
      </c>
    </row>
    <row r="98" spans="2:21" x14ac:dyDescent="0.25">
      <c r="B98" s="9"/>
      <c r="C98" s="17">
        <v>982.6318359375</v>
      </c>
      <c r="D98" s="18">
        <v>35.589599999999997</v>
      </c>
      <c r="E98" s="18">
        <v>40.632599999999996</v>
      </c>
      <c r="F98" s="18">
        <v>41.103999999999999</v>
      </c>
      <c r="G98" s="18">
        <v>76.589226448812866</v>
      </c>
      <c r="H98" s="18">
        <f t="shared" si="4"/>
        <v>36.909275000000001</v>
      </c>
      <c r="I98" s="5"/>
      <c r="J98" s="17">
        <v>1009.7829</v>
      </c>
      <c r="K98" s="18">
        <v>36.198399999999999</v>
      </c>
      <c r="L98" s="18">
        <v>41.787999999999997</v>
      </c>
      <c r="M98" s="18">
        <v>42.275599999999997</v>
      </c>
      <c r="N98" s="18">
        <v>52.113500000000002</v>
      </c>
      <c r="O98" s="18">
        <f t="shared" si="5"/>
        <v>37.656750000000002</v>
      </c>
      <c r="P98" s="7"/>
      <c r="Q98" s="10"/>
      <c r="R98" s="11"/>
      <c r="S98" s="11"/>
      <c r="T98" s="26"/>
      <c r="U98" s="28">
        <f t="shared" si="3"/>
        <v>-0.31957140166666664</v>
      </c>
    </row>
    <row r="99" spans="2:21" x14ac:dyDescent="0.25">
      <c r="B99" s="9"/>
      <c r="C99" s="17">
        <v>591.474609375</v>
      </c>
      <c r="D99" s="18">
        <v>32.909399999999998</v>
      </c>
      <c r="E99" s="18">
        <v>38.669199999999996</v>
      </c>
      <c r="F99" s="18">
        <v>39.197400000000002</v>
      </c>
      <c r="G99" s="18">
        <v>103.79425671779495</v>
      </c>
      <c r="H99" s="18">
        <f t="shared" si="4"/>
        <v>34.415374999999997</v>
      </c>
      <c r="I99" s="5"/>
      <c r="J99" s="17">
        <v>606.7731</v>
      </c>
      <c r="K99" s="18">
        <v>33.936700000000002</v>
      </c>
      <c r="L99" s="18">
        <v>40.1539</v>
      </c>
      <c r="M99" s="18">
        <v>40.682099999999998</v>
      </c>
      <c r="N99" s="18">
        <v>60.124299999999998</v>
      </c>
      <c r="O99" s="18">
        <f t="shared" si="5"/>
        <v>35.557025000000003</v>
      </c>
      <c r="P99" s="7"/>
      <c r="Q99" s="10"/>
      <c r="R99" s="11"/>
      <c r="S99" s="11"/>
      <c r="T99" s="26"/>
      <c r="U99" s="28">
        <f t="shared" si="3"/>
        <v>-0.42073577188888894</v>
      </c>
    </row>
    <row r="100" spans="2:21" ht="16.5" thickBot="1" x14ac:dyDescent="0.3">
      <c r="B100" s="12"/>
      <c r="C100" s="19">
        <v>295.91796875</v>
      </c>
      <c r="D100" s="20">
        <v>29.428999999999998</v>
      </c>
      <c r="E100" s="20">
        <v>36.422600000000003</v>
      </c>
      <c r="F100" s="20">
        <v>37.0717</v>
      </c>
      <c r="G100" s="20">
        <v>148.8095238095238</v>
      </c>
      <c r="H100" s="20">
        <f t="shared" si="4"/>
        <v>31.258537499999999</v>
      </c>
      <c r="I100" s="5"/>
      <c r="J100" s="19">
        <v>302.1336</v>
      </c>
      <c r="K100" s="20">
        <v>30.800699999999999</v>
      </c>
      <c r="L100" s="20">
        <v>38.024700000000003</v>
      </c>
      <c r="M100" s="20">
        <v>38.668100000000003</v>
      </c>
      <c r="N100" s="20">
        <v>76.2453</v>
      </c>
      <c r="O100" s="20">
        <f t="shared" si="5"/>
        <v>32.687124999999995</v>
      </c>
      <c r="P100" s="7"/>
      <c r="Q100" s="13"/>
      <c r="R100" s="14"/>
      <c r="S100" s="14"/>
      <c r="T100" s="27"/>
      <c r="U100" s="28">
        <f t="shared" si="3"/>
        <v>-0.48763158399999995</v>
      </c>
    </row>
    <row r="101" spans="2:21" x14ac:dyDescent="0.25">
      <c r="B101" s="6" t="s">
        <v>108</v>
      </c>
      <c r="C101" s="15">
        <v>1477.4033203125</v>
      </c>
      <c r="D101" s="16">
        <v>38.211199999999998</v>
      </c>
      <c r="E101" s="16">
        <v>43.844099999999997</v>
      </c>
      <c r="F101" s="16">
        <v>45.8262</v>
      </c>
      <c r="G101" s="16">
        <v>55.282555282555279</v>
      </c>
      <c r="H101" s="16">
        <f t="shared" si="4"/>
        <v>39.8671875</v>
      </c>
      <c r="I101" s="5"/>
      <c r="J101" s="15">
        <v>1524.7620999999999</v>
      </c>
      <c r="K101" s="16">
        <v>38.094499999999996</v>
      </c>
      <c r="L101" s="16">
        <v>44.143300000000004</v>
      </c>
      <c r="M101" s="16">
        <v>46.112200000000001</v>
      </c>
      <c r="N101" s="16">
        <v>43.041600000000003</v>
      </c>
      <c r="O101" s="16">
        <f t="shared" si="5"/>
        <v>39.852812499999999</v>
      </c>
      <c r="P101" s="7"/>
      <c r="Q101" s="8">
        <f>bdrate(C101:C104,D101:D104,J101:J104,K101:K104)</f>
        <v>1.4919883822479107E-2</v>
      </c>
      <c r="R101" s="8">
        <f>bdrate(C101:C104,E101:E104,J101:J104,L101:L104)</f>
        <v>-0.16645800578139991</v>
      </c>
      <c r="S101" s="8">
        <f>bdrate(C101:C104,F101:F104,J101:J104,M101:M104)</f>
        <v>-0.17089609193879995</v>
      </c>
      <c r="T101" s="25">
        <f>bdrate(C101:C104,H101:H104,J101:J104,O101:O104)</f>
        <v>-2.1997972740213867E-2</v>
      </c>
      <c r="U101" s="28">
        <f t="shared" si="3"/>
        <v>-0.22142527999999992</v>
      </c>
    </row>
    <row r="102" spans="2:21" x14ac:dyDescent="0.25">
      <c r="B102" s="9"/>
      <c r="C102" s="17">
        <v>984.7783203125</v>
      </c>
      <c r="D102" s="18">
        <v>36.737400000000001</v>
      </c>
      <c r="E102" s="18">
        <v>42.905000000000001</v>
      </c>
      <c r="F102" s="18">
        <v>44.811799999999998</v>
      </c>
      <c r="G102" s="18">
        <v>70.682478598916205</v>
      </c>
      <c r="H102" s="18">
        <f t="shared" si="4"/>
        <v>38.517649999999996</v>
      </c>
      <c r="I102" s="5"/>
      <c r="J102" s="17">
        <v>1014.9317</v>
      </c>
      <c r="K102" s="18">
        <v>36.672800000000002</v>
      </c>
      <c r="L102" s="18">
        <v>43.212899999999998</v>
      </c>
      <c r="M102" s="18">
        <v>45.151600000000002</v>
      </c>
      <c r="N102" s="18">
        <v>50.8187</v>
      </c>
      <c r="O102" s="18">
        <f t="shared" si="5"/>
        <v>38.550162499999999</v>
      </c>
      <c r="P102" s="7"/>
      <c r="Q102" s="10"/>
      <c r="R102" s="11"/>
      <c r="S102" s="11"/>
      <c r="T102" s="26"/>
      <c r="U102" s="28">
        <f t="shared" si="3"/>
        <v>-0.2810283254444445</v>
      </c>
    </row>
    <row r="103" spans="2:21" x14ac:dyDescent="0.25">
      <c r="B103" s="9"/>
      <c r="C103" s="17">
        <v>593.1298828125</v>
      </c>
      <c r="D103" s="18">
        <v>34.944899999999997</v>
      </c>
      <c r="E103" s="18">
        <v>41.637999999999998</v>
      </c>
      <c r="F103" s="18">
        <v>43.4101</v>
      </c>
      <c r="G103" s="18">
        <v>96.246390760346472</v>
      </c>
      <c r="H103" s="18">
        <f t="shared" si="4"/>
        <v>36.839687499999997</v>
      </c>
      <c r="I103" s="5"/>
      <c r="J103" s="17">
        <v>605.53650000000005</v>
      </c>
      <c r="K103" s="18">
        <v>34.990299999999998</v>
      </c>
      <c r="L103" s="18">
        <v>42.152500000000003</v>
      </c>
      <c r="M103" s="18">
        <v>43.996299999999998</v>
      </c>
      <c r="N103" s="18">
        <v>59.405900000000003</v>
      </c>
      <c r="O103" s="18">
        <f t="shared" si="5"/>
        <v>37.011324999999999</v>
      </c>
      <c r="P103" s="7"/>
      <c r="Q103" s="10"/>
      <c r="R103" s="11"/>
      <c r="S103" s="11"/>
      <c r="T103" s="26"/>
      <c r="U103" s="28">
        <f t="shared" si="3"/>
        <v>-0.38277269899999988</v>
      </c>
    </row>
    <row r="104" spans="2:21" ht="16.5" thickBot="1" x14ac:dyDescent="0.3">
      <c r="B104" s="12"/>
      <c r="C104" s="19">
        <v>297.2607421875</v>
      </c>
      <c r="D104" s="20">
        <v>32.596200000000003</v>
      </c>
      <c r="E104" s="20">
        <v>40.078499999999998</v>
      </c>
      <c r="F104" s="20">
        <v>41.646000000000001</v>
      </c>
      <c r="G104" s="20">
        <v>146.38906961613534</v>
      </c>
      <c r="H104" s="20">
        <f t="shared" si="4"/>
        <v>34.662712499999998</v>
      </c>
      <c r="I104" s="5"/>
      <c r="J104" s="19">
        <v>301.012</v>
      </c>
      <c r="K104" s="20">
        <v>32.8369</v>
      </c>
      <c r="L104" s="20">
        <v>40.852499999999999</v>
      </c>
      <c r="M104" s="20">
        <v>42.552199999999999</v>
      </c>
      <c r="N104" s="20">
        <v>75.643000000000001</v>
      </c>
      <c r="O104" s="20">
        <f t="shared" si="5"/>
        <v>35.053262500000002</v>
      </c>
      <c r="P104" s="7"/>
      <c r="Q104" s="13"/>
      <c r="R104" s="14"/>
      <c r="S104" s="14"/>
      <c r="T104" s="27"/>
      <c r="U104" s="28">
        <f t="shared" si="3"/>
        <v>-0.48327426222222225</v>
      </c>
    </row>
    <row r="105" spans="2:21" x14ac:dyDescent="0.25">
      <c r="B105" s="6" t="s">
        <v>109</v>
      </c>
      <c r="C105" s="15">
        <v>1456.259765625</v>
      </c>
      <c r="D105" s="16">
        <v>49.7654</v>
      </c>
      <c r="E105" s="16">
        <v>55.873600000000003</v>
      </c>
      <c r="F105" s="16">
        <v>55.929099999999998</v>
      </c>
      <c r="G105" s="16">
        <v>73.940190601380209</v>
      </c>
      <c r="H105" s="16">
        <f t="shared" si="4"/>
        <v>51.299387500000002</v>
      </c>
      <c r="I105" s="5"/>
      <c r="J105" s="15">
        <v>1507.6973</v>
      </c>
      <c r="K105" s="16">
        <v>50.2941</v>
      </c>
      <c r="L105" s="16">
        <v>56.147199999999998</v>
      </c>
      <c r="M105" s="16">
        <v>56.232500000000002</v>
      </c>
      <c r="N105" s="16">
        <v>53.982700000000001</v>
      </c>
      <c r="O105" s="16">
        <f t="shared" si="5"/>
        <v>51.768037499999998</v>
      </c>
      <c r="P105" s="7"/>
      <c r="Q105" s="8">
        <f>bdrate(C105:C108,D105:D108,J105:J108,K105:K108)</f>
        <v>-0.15893016150776174</v>
      </c>
      <c r="R105" s="8">
        <f>bdrate(C105:C108,E105:E108,J105:J108,L105:L108)</f>
        <v>-0.14363842248324832</v>
      </c>
      <c r="S105" s="8">
        <f>bdrate(C105:C108,F105:F108,J105:J108,M105:M108)</f>
        <v>-0.12780947701614298</v>
      </c>
      <c r="T105" s="25">
        <f>bdrate(C105:C108,H105:H108,J105:J108,O105:O108)</f>
        <v>-0.1536790004670493</v>
      </c>
      <c r="U105" s="28">
        <f t="shared" si="3"/>
        <v>-0.2699139728888888</v>
      </c>
    </row>
    <row r="106" spans="2:21" x14ac:dyDescent="0.25">
      <c r="B106" s="9"/>
      <c r="C106" s="17">
        <v>970.435546875</v>
      </c>
      <c r="D106" s="18">
        <v>47.886299999999999</v>
      </c>
      <c r="E106" s="18">
        <v>54.249200000000002</v>
      </c>
      <c r="F106" s="18">
        <v>54.264800000000001</v>
      </c>
      <c r="G106" s="18">
        <v>92.583067585639341</v>
      </c>
      <c r="H106" s="18">
        <f t="shared" si="4"/>
        <v>49.478974999999998</v>
      </c>
      <c r="I106" s="5"/>
      <c r="J106" s="17">
        <v>1008.8651</v>
      </c>
      <c r="K106" s="18">
        <v>48.690300000000001</v>
      </c>
      <c r="L106" s="18">
        <v>54.784799999999997</v>
      </c>
      <c r="M106" s="18">
        <v>54.786299999999997</v>
      </c>
      <c r="N106" s="18">
        <v>62.835999999999999</v>
      </c>
      <c r="O106" s="18">
        <f t="shared" si="5"/>
        <v>50.214112499999999</v>
      </c>
      <c r="P106" s="7"/>
      <c r="Q106" s="10"/>
      <c r="R106" s="11"/>
      <c r="S106" s="11"/>
      <c r="T106" s="26"/>
      <c r="U106" s="28">
        <f t="shared" si="3"/>
        <v>-0.32130138222222226</v>
      </c>
    </row>
    <row r="107" spans="2:21" x14ac:dyDescent="0.25">
      <c r="B107" s="9"/>
      <c r="C107" s="17">
        <v>582.1650390625</v>
      </c>
      <c r="D107" s="18">
        <v>45.715899999999998</v>
      </c>
      <c r="E107" s="18">
        <v>52.336599999999997</v>
      </c>
      <c r="F107" s="18">
        <v>52.271799999999999</v>
      </c>
      <c r="G107" s="18">
        <v>119.61722488038278</v>
      </c>
      <c r="H107" s="18">
        <f t="shared" si="4"/>
        <v>47.362974999999992</v>
      </c>
      <c r="I107" s="5"/>
      <c r="J107" s="17">
        <v>604.44129999999996</v>
      </c>
      <c r="K107" s="18">
        <v>46.646900000000002</v>
      </c>
      <c r="L107" s="18">
        <v>53.128700000000002</v>
      </c>
      <c r="M107" s="18">
        <v>53.019300000000001</v>
      </c>
      <c r="N107" s="18">
        <v>73.188599999999994</v>
      </c>
      <c r="O107" s="18">
        <f t="shared" si="5"/>
        <v>48.253674999999994</v>
      </c>
      <c r="P107" s="7"/>
      <c r="Q107" s="10"/>
      <c r="R107" s="11"/>
      <c r="S107" s="11"/>
      <c r="T107" s="26"/>
      <c r="U107" s="28">
        <f t="shared" si="3"/>
        <v>-0.38814330400000008</v>
      </c>
    </row>
    <row r="108" spans="2:21" ht="16.5" thickBot="1" x14ac:dyDescent="0.3">
      <c r="B108" s="12"/>
      <c r="C108" s="19">
        <v>291.8974609375</v>
      </c>
      <c r="D108" s="20">
        <v>42.791499999999999</v>
      </c>
      <c r="E108" s="20">
        <v>49.573799999999999</v>
      </c>
      <c r="F108" s="20">
        <v>49.478700000000003</v>
      </c>
      <c r="G108" s="20">
        <v>153.87245683022738</v>
      </c>
      <c r="H108" s="20">
        <f t="shared" si="4"/>
        <v>44.475187500000004</v>
      </c>
      <c r="I108" s="5"/>
      <c r="J108" s="19">
        <v>301.6859</v>
      </c>
      <c r="K108" s="20">
        <v>43.832999999999998</v>
      </c>
      <c r="L108" s="20">
        <v>50.632100000000001</v>
      </c>
      <c r="M108" s="20">
        <v>50.374600000000001</v>
      </c>
      <c r="N108" s="20">
        <v>91.846100000000007</v>
      </c>
      <c r="O108" s="20">
        <f t="shared" si="5"/>
        <v>45.500587499999995</v>
      </c>
      <c r="P108" s="7"/>
      <c r="Q108" s="13"/>
      <c r="R108" s="14"/>
      <c r="S108" s="14"/>
      <c r="T108" s="27"/>
      <c r="U108" s="28">
        <f t="shared" si="3"/>
        <v>-0.40310240122222213</v>
      </c>
    </row>
    <row r="109" spans="2:21" x14ac:dyDescent="0.25">
      <c r="B109" s="6" t="s">
        <v>110</v>
      </c>
      <c r="C109" s="15">
        <v>1472.00390625</v>
      </c>
      <c r="D109" s="16">
        <v>31.9223</v>
      </c>
      <c r="E109" s="16">
        <v>40.719499999999996</v>
      </c>
      <c r="F109" s="16">
        <v>40.038899999999998</v>
      </c>
      <c r="G109" s="16">
        <v>55.607043558850791</v>
      </c>
      <c r="H109" s="16">
        <f t="shared" si="4"/>
        <v>34.036524999999997</v>
      </c>
      <c r="I109" s="5"/>
      <c r="J109" s="15">
        <v>1502.6768</v>
      </c>
      <c r="K109" s="16">
        <v>32.1374</v>
      </c>
      <c r="L109" s="16">
        <v>41.135399999999997</v>
      </c>
      <c r="M109" s="16">
        <v>40.312600000000003</v>
      </c>
      <c r="N109" s="16">
        <v>30.385899999999999</v>
      </c>
      <c r="O109" s="16">
        <f t="shared" si="5"/>
        <v>34.284050000000001</v>
      </c>
      <c r="P109" s="7"/>
      <c r="Q109" s="8">
        <f>bdrate(C109:C112,D109:D112,J109:J112,K109:K112)</f>
        <v>-0.13319518933700791</v>
      </c>
      <c r="R109" s="8">
        <f>bdrate(C109:C112,E109:E112,J109:J112,L109:L112)</f>
        <v>-0.26978043650740391</v>
      </c>
      <c r="S109" s="8">
        <f>bdrate(C109:C112,F109:F112,J109:J112,M109:M112)</f>
        <v>-0.2501257027511673</v>
      </c>
      <c r="T109" s="25">
        <f>bdrate(C109:C112,H109:H112,J109:J112,O109:O112)</f>
        <v>-0.15617055720499418</v>
      </c>
      <c r="U109" s="28">
        <f t="shared" si="3"/>
        <v>-0.4535602316666667</v>
      </c>
    </row>
    <row r="110" spans="2:21" x14ac:dyDescent="0.25">
      <c r="B110" s="9"/>
      <c r="C110" s="17">
        <v>982.494140625</v>
      </c>
      <c r="D110" s="18">
        <v>29.946899999999999</v>
      </c>
      <c r="E110" s="18">
        <v>39.621600000000001</v>
      </c>
      <c r="F110" s="18">
        <v>38.8446</v>
      </c>
      <c r="G110" s="18">
        <v>82.026977761574926</v>
      </c>
      <c r="H110" s="18">
        <f t="shared" si="4"/>
        <v>32.268450000000001</v>
      </c>
      <c r="I110" s="5"/>
      <c r="J110" s="17">
        <v>1001.0045</v>
      </c>
      <c r="K110" s="18">
        <v>30.491</v>
      </c>
      <c r="L110" s="18">
        <v>40.357700000000001</v>
      </c>
      <c r="M110" s="18">
        <v>39.529899999999998</v>
      </c>
      <c r="N110" s="18">
        <v>34.741</v>
      </c>
      <c r="O110" s="18">
        <f t="shared" si="5"/>
        <v>32.854199999999999</v>
      </c>
      <c r="P110" s="7"/>
      <c r="Q110" s="10"/>
      <c r="R110" s="11"/>
      <c r="S110" s="11"/>
      <c r="T110" s="26"/>
      <c r="U110" s="28">
        <f t="shared" si="3"/>
        <v>-0.57646860888888896</v>
      </c>
    </row>
    <row r="111" spans="2:21" x14ac:dyDescent="0.25">
      <c r="B111" s="9"/>
      <c r="C111" s="17">
        <v>589.8818359375</v>
      </c>
      <c r="D111" s="18">
        <v>27.575600000000001</v>
      </c>
      <c r="E111" s="18">
        <v>38.202500000000001</v>
      </c>
      <c r="F111" s="18">
        <v>37.330599999999997</v>
      </c>
      <c r="G111" s="18">
        <v>107.70703685974151</v>
      </c>
      <c r="H111" s="18">
        <f t="shared" si="4"/>
        <v>30.123337499999998</v>
      </c>
      <c r="I111" s="5"/>
      <c r="J111" s="17">
        <v>600.12720000000002</v>
      </c>
      <c r="K111" s="18">
        <v>28.3569</v>
      </c>
      <c r="L111" s="18">
        <v>39.173499999999997</v>
      </c>
      <c r="M111" s="18">
        <v>38.273899999999998</v>
      </c>
      <c r="N111" s="18">
        <v>40.547800000000002</v>
      </c>
      <c r="O111" s="18">
        <f t="shared" si="5"/>
        <v>30.948599999999999</v>
      </c>
      <c r="P111" s="7"/>
      <c r="Q111" s="10"/>
      <c r="R111" s="11"/>
      <c r="S111" s="11"/>
      <c r="T111" s="26"/>
      <c r="U111" s="28">
        <f t="shared" si="3"/>
        <v>-0.6235362035555555</v>
      </c>
    </row>
    <row r="112" spans="2:21" ht="16.5" thickBot="1" x14ac:dyDescent="0.3">
      <c r="B112" s="12"/>
      <c r="C112" s="19">
        <v>296.5439453125</v>
      </c>
      <c r="D112" s="20">
        <v>24.608599999999999</v>
      </c>
      <c r="E112" s="20">
        <v>35.890599999999999</v>
      </c>
      <c r="F112" s="20">
        <v>35.136200000000002</v>
      </c>
      <c r="G112" s="20">
        <v>108.82708585247885</v>
      </c>
      <c r="H112" s="20">
        <f t="shared" si="4"/>
        <v>27.334800000000001</v>
      </c>
      <c r="I112" s="5"/>
      <c r="J112" s="19">
        <v>300.47469999999998</v>
      </c>
      <c r="K112" s="20">
        <v>25.698699999999999</v>
      </c>
      <c r="L112" s="20">
        <v>37.147300000000001</v>
      </c>
      <c r="M112" s="20">
        <v>36.344900000000003</v>
      </c>
      <c r="N112" s="20">
        <v>49.861499999999999</v>
      </c>
      <c r="O112" s="20">
        <f t="shared" si="5"/>
        <v>28.460549999999998</v>
      </c>
      <c r="P112" s="7"/>
      <c r="Q112" s="13"/>
      <c r="R112" s="14"/>
      <c r="S112" s="14"/>
      <c r="T112" s="27"/>
      <c r="U112" s="28">
        <f t="shared" si="3"/>
        <v>-0.5418282166666667</v>
      </c>
    </row>
    <row r="113" spans="2:21" x14ac:dyDescent="0.25">
      <c r="B113" s="6" t="s">
        <v>111</v>
      </c>
      <c r="C113" s="15">
        <v>1454.080078125</v>
      </c>
      <c r="D113" s="16">
        <v>47.2423</v>
      </c>
      <c r="E113" s="16">
        <v>47.833300000000001</v>
      </c>
      <c r="F113" s="16">
        <v>47.866700000000002</v>
      </c>
      <c r="G113" s="16">
        <v>68.073519400953032</v>
      </c>
      <c r="H113" s="16">
        <f t="shared" si="4"/>
        <v>47.394224999999999</v>
      </c>
      <c r="I113" s="5"/>
      <c r="J113" s="15">
        <v>1364.3421000000001</v>
      </c>
      <c r="K113" s="16">
        <v>47.4345</v>
      </c>
      <c r="L113" s="16">
        <v>48.593699999999998</v>
      </c>
      <c r="M113" s="16">
        <v>48.623199999999997</v>
      </c>
      <c r="N113" s="16">
        <v>40.633899999999997</v>
      </c>
      <c r="O113" s="16">
        <f t="shared" si="5"/>
        <v>47.727987499999998</v>
      </c>
      <c r="P113" s="7"/>
      <c r="Q113" s="8">
        <f>bdrate(C113:C116,D113:D116,J113:J116,K113:K116)</f>
        <v>-0.14937983086434803</v>
      </c>
      <c r="R113" s="8">
        <f>bdrate(C113:C116,E113:E116,J113:J116,L113:L116)</f>
        <v>-0.26981638757296766</v>
      </c>
      <c r="S113" s="8">
        <f>bdrate(C113:C116,F113:F116,J113:J116,M113:M116)</f>
        <v>-0.27220788839621146</v>
      </c>
      <c r="T113" s="25">
        <f>bdrate(C113:C116,H113:H116,J113:J116,O113:O116)</f>
        <v>-0.17697348189161966</v>
      </c>
      <c r="U113" s="28">
        <f t="shared" si="3"/>
        <v>-0.40308800900000008</v>
      </c>
    </row>
    <row r="114" spans="2:21" x14ac:dyDescent="0.25">
      <c r="B114" s="9"/>
      <c r="C114" s="17">
        <v>982.419921875</v>
      </c>
      <c r="D114" s="18">
        <v>45.320700000000002</v>
      </c>
      <c r="E114" s="18">
        <v>46.125</v>
      </c>
      <c r="F114" s="18">
        <v>46.147500000000001</v>
      </c>
      <c r="G114" s="18">
        <v>87.446560435289541</v>
      </c>
      <c r="H114" s="18">
        <f t="shared" si="4"/>
        <v>45.524587500000003</v>
      </c>
      <c r="I114" s="5"/>
      <c r="J114" s="17">
        <v>924.94159999999999</v>
      </c>
      <c r="K114" s="18">
        <v>45.819699999999997</v>
      </c>
      <c r="L114" s="18">
        <v>47.2515</v>
      </c>
      <c r="M114" s="18">
        <v>47.299500000000002</v>
      </c>
      <c r="N114" s="18">
        <v>53.2639</v>
      </c>
      <c r="O114" s="18">
        <f t="shared" si="5"/>
        <v>46.18365</v>
      </c>
      <c r="P114" s="7"/>
      <c r="Q114" s="10"/>
      <c r="R114" s="11"/>
      <c r="S114" s="11"/>
      <c r="T114" s="26"/>
      <c r="U114" s="28">
        <f t="shared" si="3"/>
        <v>-0.39089771244444443</v>
      </c>
    </row>
    <row r="115" spans="2:21" x14ac:dyDescent="0.25">
      <c r="B115" s="9"/>
      <c r="C115" s="17">
        <v>598.125</v>
      </c>
      <c r="D115" s="18">
        <v>42.322400000000002</v>
      </c>
      <c r="E115" s="18">
        <v>43.624899999999997</v>
      </c>
      <c r="F115" s="18">
        <v>43.622700000000002</v>
      </c>
      <c r="G115" s="18">
        <v>113.43584572724981</v>
      </c>
      <c r="H115" s="18">
        <f t="shared" si="4"/>
        <v>42.647750000000002</v>
      </c>
      <c r="I115" s="5"/>
      <c r="J115" s="17">
        <v>572.80399999999997</v>
      </c>
      <c r="K115" s="18">
        <v>43.050600000000003</v>
      </c>
      <c r="L115" s="18">
        <v>44.992100000000001</v>
      </c>
      <c r="M115" s="18">
        <v>45.007300000000001</v>
      </c>
      <c r="N115" s="18">
        <v>67.004199999999997</v>
      </c>
      <c r="O115" s="18">
        <f t="shared" si="5"/>
        <v>43.537875</v>
      </c>
      <c r="P115" s="7"/>
      <c r="Q115" s="10"/>
      <c r="R115" s="11"/>
      <c r="S115" s="11"/>
      <c r="T115" s="26"/>
      <c r="U115" s="28">
        <f t="shared" si="3"/>
        <v>-0.40932075244444449</v>
      </c>
    </row>
    <row r="116" spans="2:21" ht="16.5" thickBot="1" x14ac:dyDescent="0.3">
      <c r="B116" s="12"/>
      <c r="C116" s="19">
        <v>303.7705078125</v>
      </c>
      <c r="D116" s="20">
        <v>37.528300000000002</v>
      </c>
      <c r="E116" s="20">
        <v>40.040599999999998</v>
      </c>
      <c r="F116" s="20">
        <v>39.985199999999999</v>
      </c>
      <c r="G116" s="20">
        <v>150.7537688442211</v>
      </c>
      <c r="H116" s="20">
        <f t="shared" si="4"/>
        <v>38.149450000000002</v>
      </c>
      <c r="I116" s="5"/>
      <c r="J116" s="19">
        <v>292.24639999999999</v>
      </c>
      <c r="K116" s="20">
        <v>38.683900000000001</v>
      </c>
      <c r="L116" s="20">
        <v>41.555799999999998</v>
      </c>
      <c r="M116" s="20">
        <v>41.578000000000003</v>
      </c>
      <c r="N116" s="20">
        <v>82.789100000000005</v>
      </c>
      <c r="O116" s="20">
        <f t="shared" si="5"/>
        <v>39.404650000000004</v>
      </c>
      <c r="P116" s="7"/>
      <c r="Q116" s="13"/>
      <c r="R116" s="14"/>
      <c r="S116" s="14"/>
      <c r="T116" s="27"/>
      <c r="U116" s="28">
        <f t="shared" si="3"/>
        <v>-0.4508323033333333</v>
      </c>
    </row>
    <row r="117" spans="2:21" x14ac:dyDescent="0.25">
      <c r="B117" s="6" t="s">
        <v>112</v>
      </c>
      <c r="C117" s="15">
        <v>1440.3330078125</v>
      </c>
      <c r="D117" s="16">
        <v>52.229300000000002</v>
      </c>
      <c r="E117" s="16">
        <v>52.0991</v>
      </c>
      <c r="F117" s="16">
        <v>52.307899999999997</v>
      </c>
      <c r="G117" s="16">
        <v>94.647176359238614</v>
      </c>
      <c r="H117" s="16">
        <f t="shared" si="4"/>
        <v>52.222850000000008</v>
      </c>
      <c r="I117" s="5"/>
      <c r="J117" s="15">
        <v>756.76319999999998</v>
      </c>
      <c r="K117" s="16">
        <v>52.174500000000002</v>
      </c>
      <c r="L117" s="16">
        <v>54.319000000000003</v>
      </c>
      <c r="M117" s="16">
        <v>54.3996</v>
      </c>
      <c r="N117" s="16">
        <v>46.220199999999998</v>
      </c>
      <c r="O117" s="16">
        <f t="shared" si="5"/>
        <v>52.720700000000008</v>
      </c>
      <c r="P117" s="7"/>
      <c r="Q117" s="8">
        <f>bdrate(C117:C120,D117:D120,J117:J120,K117:K120)</f>
        <v>-0.39939505526251762</v>
      </c>
      <c r="R117" s="8">
        <f>bdrate(C117:C120,E117:E120,J117:J120,L117:L120)</f>
        <v>-0.47774547377861087</v>
      </c>
      <c r="S117" s="8">
        <f>bdrate(C117:C120,F117:F120,J117:J120,M117:M120)</f>
        <v>-0.48387661773821433</v>
      </c>
      <c r="T117" s="25">
        <f>bdrate(C117:C120,H117:H120,J117:J120,O117:O120)</f>
        <v>-0.4225610858710549</v>
      </c>
      <c r="U117" s="28">
        <f t="shared" si="3"/>
        <v>-0.51165790911111109</v>
      </c>
    </row>
    <row r="118" spans="2:21" x14ac:dyDescent="0.25">
      <c r="B118" s="9"/>
      <c r="C118" s="17">
        <v>960.15625</v>
      </c>
      <c r="D118" s="18">
        <v>49.139499999999998</v>
      </c>
      <c r="E118" s="18">
        <v>49.467399999999998</v>
      </c>
      <c r="F118" s="18">
        <v>49.727699999999999</v>
      </c>
      <c r="G118" s="18">
        <v>109.78287387167602</v>
      </c>
      <c r="H118" s="18">
        <f t="shared" si="4"/>
        <v>49.254012500000002</v>
      </c>
      <c r="I118" s="5"/>
      <c r="J118" s="17">
        <v>596.41229999999996</v>
      </c>
      <c r="K118" s="18">
        <v>50.782899999999998</v>
      </c>
      <c r="L118" s="18">
        <v>52.961399999999998</v>
      </c>
      <c r="M118" s="18">
        <v>53.1295</v>
      </c>
      <c r="N118" s="18">
        <v>56.095700000000001</v>
      </c>
      <c r="O118" s="18">
        <f t="shared" si="5"/>
        <v>51.348537500000006</v>
      </c>
      <c r="P118" s="7"/>
      <c r="Q118" s="10"/>
      <c r="R118" s="11"/>
      <c r="S118" s="11"/>
      <c r="T118" s="26"/>
      <c r="U118" s="28">
        <f t="shared" si="3"/>
        <v>-0.48903050155555555</v>
      </c>
    </row>
    <row r="119" spans="2:21" x14ac:dyDescent="0.25">
      <c r="B119" s="9"/>
      <c r="C119" s="17">
        <v>579.1748046875</v>
      </c>
      <c r="D119" s="18">
        <v>44.977600000000002</v>
      </c>
      <c r="E119" s="18">
        <v>45.627200000000002</v>
      </c>
      <c r="F119" s="18">
        <v>45.911200000000001</v>
      </c>
      <c r="G119" s="18">
        <v>133.412392528906</v>
      </c>
      <c r="H119" s="18">
        <f t="shared" si="4"/>
        <v>45.175500000000007</v>
      </c>
      <c r="I119" s="5"/>
      <c r="J119" s="17">
        <v>425.7373</v>
      </c>
      <c r="K119" s="18">
        <v>46.364899999999999</v>
      </c>
      <c r="L119" s="18">
        <v>48.156999999999996</v>
      </c>
      <c r="M119" s="18">
        <v>48.599899999999998</v>
      </c>
      <c r="N119" s="18">
        <v>49.696300000000001</v>
      </c>
      <c r="O119" s="18">
        <f t="shared" si="5"/>
        <v>46.868287499999994</v>
      </c>
      <c r="P119" s="7"/>
      <c r="Q119" s="10"/>
      <c r="R119" s="11"/>
      <c r="S119" s="11"/>
      <c r="T119" s="26"/>
      <c r="U119" s="28">
        <f t="shared" si="3"/>
        <v>-0.62749862244444432</v>
      </c>
    </row>
    <row r="120" spans="2:21" ht="16.5" thickBot="1" x14ac:dyDescent="0.3">
      <c r="B120" s="12"/>
      <c r="C120" s="19">
        <v>291.3720703125</v>
      </c>
      <c r="D120" s="20">
        <v>37.897500000000001</v>
      </c>
      <c r="E120" s="20">
        <v>39.717799999999997</v>
      </c>
      <c r="F120" s="20">
        <v>40.045099999999998</v>
      </c>
      <c r="G120" s="20">
        <v>126.26262626262626</v>
      </c>
      <c r="H120" s="20">
        <f t="shared" si="4"/>
        <v>38.393487499999999</v>
      </c>
      <c r="I120" s="5"/>
      <c r="J120" s="19">
        <v>279.02289999999999</v>
      </c>
      <c r="K120" s="20">
        <v>41.333300000000001</v>
      </c>
      <c r="L120" s="20">
        <v>43.418500000000002</v>
      </c>
      <c r="M120" s="20">
        <v>43.808999999999997</v>
      </c>
      <c r="N120" s="20">
        <v>81.000799999999998</v>
      </c>
      <c r="O120" s="20">
        <f t="shared" si="5"/>
        <v>41.903412500000002</v>
      </c>
      <c r="P120" s="7"/>
      <c r="Q120" s="13"/>
      <c r="R120" s="14"/>
      <c r="S120" s="14"/>
      <c r="T120" s="27"/>
      <c r="U120" s="28">
        <f t="shared" si="3"/>
        <v>-0.35847366399999997</v>
      </c>
    </row>
    <row r="121" spans="2:21" x14ac:dyDescent="0.25">
      <c r="B121" s="6" t="s">
        <v>113</v>
      </c>
      <c r="C121" s="29">
        <v>1476.599609375</v>
      </c>
      <c r="D121" s="30">
        <v>33.2819</v>
      </c>
      <c r="E121" s="30">
        <v>37.1</v>
      </c>
      <c r="F121" s="30">
        <v>36.424199999999999</v>
      </c>
      <c r="G121" s="16">
        <v>52.545539467538532</v>
      </c>
      <c r="H121" s="16">
        <f t="shared" si="4"/>
        <v>34.151949999999999</v>
      </c>
      <c r="I121" s="5"/>
      <c r="J121" s="29">
        <v>1521.0525</v>
      </c>
      <c r="K121" s="30">
        <v>33.657600000000002</v>
      </c>
      <c r="L121" s="30">
        <v>37.678199999999997</v>
      </c>
      <c r="M121" s="30">
        <v>36.937399999999997</v>
      </c>
      <c r="N121" s="16">
        <v>35.480600000000003</v>
      </c>
      <c r="O121" s="16">
        <f t="shared" si="5"/>
        <v>34.570149999999998</v>
      </c>
      <c r="P121" s="7"/>
      <c r="Q121" s="8">
        <f>bdrate(C121:C124,D121:D124,J121:J124,K121:K124)</f>
        <v>-0.12009873556663231</v>
      </c>
      <c r="R121" s="8">
        <f>bdrate(C121:C124,E121:E124,J121:J124,L121:L124)</f>
        <v>-0.25109274129313242</v>
      </c>
      <c r="S121" s="8">
        <f>bdrate(C121:C124,F121:F124,J121:J124,M121:M124)</f>
        <v>-0.22603113468320657</v>
      </c>
      <c r="T121" s="25">
        <f>bdrate(C121:C124,H121:H124,J121:J124,O121:O124)</f>
        <v>-0.14145106505488136</v>
      </c>
      <c r="U121" s="28">
        <f t="shared" si="3"/>
        <v>-0.32476475911111102</v>
      </c>
    </row>
    <row r="122" spans="2:21" x14ac:dyDescent="0.25">
      <c r="B122" s="9"/>
      <c r="C122" s="31">
        <v>987.791015625</v>
      </c>
      <c r="D122" s="32">
        <v>31.177700000000002</v>
      </c>
      <c r="E122" s="32">
        <v>35.768500000000003</v>
      </c>
      <c r="F122" s="32">
        <v>35.052199999999999</v>
      </c>
      <c r="G122" s="18">
        <v>71.000315556958029</v>
      </c>
      <c r="H122" s="18">
        <f t="shared" si="4"/>
        <v>32.235862499999996</v>
      </c>
      <c r="I122" s="5"/>
      <c r="J122" s="31">
        <v>1009.2056</v>
      </c>
      <c r="K122" s="32">
        <v>31.706199999999999</v>
      </c>
      <c r="L122" s="32">
        <v>36.583300000000001</v>
      </c>
      <c r="M122" s="32">
        <v>35.7988</v>
      </c>
      <c r="N122" s="18">
        <v>40.687199999999997</v>
      </c>
      <c r="O122" s="18">
        <f t="shared" si="5"/>
        <v>32.827412500000001</v>
      </c>
      <c r="P122" s="7"/>
      <c r="Q122" s="10"/>
      <c r="R122" s="11"/>
      <c r="S122" s="11"/>
      <c r="T122" s="26"/>
      <c r="U122" s="28">
        <f t="shared" si="3"/>
        <v>-0.42694339200000003</v>
      </c>
    </row>
    <row r="123" spans="2:21" x14ac:dyDescent="0.25">
      <c r="B123" s="9"/>
      <c r="C123" s="31">
        <v>593.513671875</v>
      </c>
      <c r="D123" s="32">
        <v>28.7117</v>
      </c>
      <c r="E123" s="32">
        <v>34.350900000000003</v>
      </c>
      <c r="F123" s="32">
        <v>33.5884</v>
      </c>
      <c r="G123" s="18">
        <v>96.452684599721366</v>
      </c>
      <c r="H123" s="18">
        <f t="shared" si="4"/>
        <v>30.026187499999999</v>
      </c>
      <c r="I123" s="5"/>
      <c r="J123" s="31">
        <v>605.82129999999995</v>
      </c>
      <c r="K123" s="32">
        <v>29.446100000000001</v>
      </c>
      <c r="L123" s="32">
        <v>35.253999999999998</v>
      </c>
      <c r="M123" s="32">
        <v>34.426499999999997</v>
      </c>
      <c r="N123" s="18">
        <v>48.203099999999999</v>
      </c>
      <c r="O123" s="18">
        <f t="shared" si="5"/>
        <v>30.7946375</v>
      </c>
      <c r="P123" s="7"/>
      <c r="Q123" s="10"/>
      <c r="R123" s="11"/>
      <c r="S123" s="11"/>
      <c r="T123" s="26"/>
      <c r="U123" s="28">
        <f t="shared" si="3"/>
        <v>-0.50024097100000009</v>
      </c>
    </row>
    <row r="124" spans="2:21" ht="16.5" thickBot="1" x14ac:dyDescent="0.3">
      <c r="B124" s="12"/>
      <c r="C124" s="33">
        <v>296.7890625</v>
      </c>
      <c r="D124" s="34">
        <v>25.773800000000001</v>
      </c>
      <c r="E124" s="34">
        <v>32.484200000000001</v>
      </c>
      <c r="F124" s="34">
        <v>31.652000000000001</v>
      </c>
      <c r="G124" s="20">
        <v>111.26220793670416</v>
      </c>
      <c r="H124" s="20">
        <f t="shared" si="4"/>
        <v>27.347375</v>
      </c>
      <c r="I124" s="5"/>
      <c r="J124" s="33">
        <v>307.13729999999998</v>
      </c>
      <c r="K124" s="34">
        <v>26.878900000000002</v>
      </c>
      <c r="L124" s="34">
        <v>33.434800000000003</v>
      </c>
      <c r="M124" s="34">
        <v>32.557099999999998</v>
      </c>
      <c r="N124" s="20">
        <v>58.2637</v>
      </c>
      <c r="O124" s="20">
        <f t="shared" si="5"/>
        <v>28.4081625</v>
      </c>
      <c r="P124" s="7"/>
      <c r="Q124" s="13"/>
      <c r="R124" s="14"/>
      <c r="S124" s="14"/>
      <c r="T124" s="27"/>
      <c r="U124" s="28">
        <f t="shared" si="3"/>
        <v>-0.47633881188888882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-0.12212393493615024</v>
      </c>
      <c r="R125" s="21">
        <f>AVERAGE(R9:R124)</f>
        <v>-0.29122704548605216</v>
      </c>
      <c r="S125" s="21">
        <f>AVERAGE(S9:S124)</f>
        <v>-0.28815930130320133</v>
      </c>
      <c r="T125" s="21">
        <f>AVERAGE(T9:T124)</f>
        <v>-0.15398558164075413</v>
      </c>
      <c r="U125" s="21">
        <f>AVERAGE(U9:U124)</f>
        <v>-0.29703069197480836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77" priority="69" operator="greaterThan">
      <formula>0.03</formula>
    </cfRule>
    <cfRule type="cellIs" dxfId="76" priority="70" stopIfTrue="1" operator="lessThan">
      <formula>-0.03</formula>
    </cfRule>
  </conditionalFormatting>
  <conditionalFormatting sqref="Q33:T36">
    <cfRule type="cellIs" dxfId="75" priority="67" operator="greaterThan">
      <formula>0.03</formula>
    </cfRule>
    <cfRule type="cellIs" dxfId="74" priority="68" stopIfTrue="1" operator="lessThan">
      <formula>-0.03</formula>
    </cfRule>
  </conditionalFormatting>
  <conditionalFormatting sqref="Q45:T48 Q61:T64">
    <cfRule type="cellIs" dxfId="73" priority="65" operator="greaterThan">
      <formula>0.03</formula>
    </cfRule>
    <cfRule type="cellIs" dxfId="72" priority="66" stopIfTrue="1" operator="lessThan">
      <formula>-0.03</formula>
    </cfRule>
  </conditionalFormatting>
  <conditionalFormatting sqref="Q49:T60">
    <cfRule type="cellIs" dxfId="71" priority="63" operator="greaterThan">
      <formula>0.03</formula>
    </cfRule>
    <cfRule type="cellIs" dxfId="70" priority="64" stopIfTrue="1" operator="lessThan">
      <formula>-0.03</formula>
    </cfRule>
  </conditionalFormatting>
  <conditionalFormatting sqref="Q69:T76">
    <cfRule type="cellIs" dxfId="69" priority="61" operator="greaterThan">
      <formula>0.03</formula>
    </cfRule>
    <cfRule type="cellIs" dxfId="68" priority="62" stopIfTrue="1" operator="lessThan">
      <formula>-0.03</formula>
    </cfRule>
  </conditionalFormatting>
  <conditionalFormatting sqref="Q65:T68">
    <cfRule type="cellIs" dxfId="67" priority="59" operator="greaterThan">
      <formula>0.03</formula>
    </cfRule>
    <cfRule type="cellIs" dxfId="66" priority="60" stopIfTrue="1" operator="lessThan">
      <formula>-0.03</formula>
    </cfRule>
  </conditionalFormatting>
  <conditionalFormatting sqref="Q77:T80">
    <cfRule type="cellIs" dxfId="65" priority="57" operator="greaterThan">
      <formula>0.03</formula>
    </cfRule>
    <cfRule type="cellIs" dxfId="64" priority="58" stopIfTrue="1" operator="lessThan">
      <formula>-0.03</formula>
    </cfRule>
  </conditionalFormatting>
  <conditionalFormatting sqref="Q21:T28">
    <cfRule type="cellIs" dxfId="63" priority="55" operator="greaterThan">
      <formula>0.03</formula>
    </cfRule>
    <cfRule type="cellIs" dxfId="62" priority="56" stopIfTrue="1" operator="lessThan">
      <formula>-0.03</formula>
    </cfRule>
  </conditionalFormatting>
  <conditionalFormatting sqref="Q117:T117">
    <cfRule type="cellIs" dxfId="61" priority="3" operator="greaterThan">
      <formula>0.03</formula>
    </cfRule>
    <cfRule type="cellIs" dxfId="60" priority="4" stopIfTrue="1" operator="lessThan">
      <formula>-0.03</formula>
    </cfRule>
  </conditionalFormatting>
  <conditionalFormatting sqref="Q93:T96 Q101:T108 Q81:T84">
    <cfRule type="cellIs" dxfId="59" priority="17" operator="greaterThan">
      <formula>0.03</formula>
    </cfRule>
    <cfRule type="cellIs" dxfId="58" priority="18" stopIfTrue="1" operator="lessThan">
      <formula>-0.03</formula>
    </cfRule>
  </conditionalFormatting>
  <conditionalFormatting sqref="Q97:T100">
    <cfRule type="cellIs" dxfId="57" priority="15" operator="greaterThan">
      <formula>0.03</formula>
    </cfRule>
    <cfRule type="cellIs" dxfId="56" priority="16" stopIfTrue="1" operator="lessThan">
      <formula>-0.03</formula>
    </cfRule>
  </conditionalFormatting>
  <conditionalFormatting sqref="Q110:T112 Q122:T124">
    <cfRule type="cellIs" dxfId="55" priority="13" operator="greaterThan">
      <formula>0.03</formula>
    </cfRule>
    <cfRule type="cellIs" dxfId="54" priority="14" stopIfTrue="1" operator="lessThan">
      <formula>-0.03</formula>
    </cfRule>
  </conditionalFormatting>
  <conditionalFormatting sqref="Q114:T116 Q118:T120">
    <cfRule type="cellIs" dxfId="53" priority="11" operator="greaterThan">
      <formula>0.03</formula>
    </cfRule>
    <cfRule type="cellIs" dxfId="52" priority="12" stopIfTrue="1" operator="lessThan">
      <formula>-0.03</formula>
    </cfRule>
  </conditionalFormatting>
  <conditionalFormatting sqref="Q85:T92">
    <cfRule type="cellIs" dxfId="51" priority="9" operator="greaterThan">
      <formula>0.03</formula>
    </cfRule>
    <cfRule type="cellIs" dxfId="50" priority="10" stopIfTrue="1" operator="lessThan">
      <formula>-0.03</formula>
    </cfRule>
  </conditionalFormatting>
  <conditionalFormatting sqref="Q109:T109">
    <cfRule type="cellIs" dxfId="49" priority="7" operator="greaterThan">
      <formula>0.03</formula>
    </cfRule>
    <cfRule type="cellIs" dxfId="48" priority="8" stopIfTrue="1" operator="lessThan">
      <formula>-0.03</formula>
    </cfRule>
  </conditionalFormatting>
  <conditionalFormatting sqref="Q113:T113">
    <cfRule type="cellIs" dxfId="47" priority="5" operator="greaterThan">
      <formula>0.03</formula>
    </cfRule>
    <cfRule type="cellIs" dxfId="46" priority="6" stopIfTrue="1" operator="lessThan">
      <formula>-0.03</formula>
    </cfRule>
  </conditionalFormatting>
  <conditionalFormatting sqref="Q121:T121">
    <cfRule type="cellIs" dxfId="45" priority="1" operator="greaterThan">
      <formula>0.03</formula>
    </cfRule>
    <cfRule type="cellIs" dxfId="44" priority="2" stopIfTrue="1" operator="lessThan">
      <formula>-0.03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0" width="6.625" customWidth="1"/>
    <col min="21" max="21" width="9.25" customWidth="1"/>
  </cols>
  <sheetData>
    <row r="1" spans="1:21" x14ac:dyDescent="0.25">
      <c r="A1" t="s">
        <v>171</v>
      </c>
      <c r="U1" t="s">
        <v>172</v>
      </c>
    </row>
    <row r="2" spans="1:21" x14ac:dyDescent="0.25">
      <c r="A2" t="s">
        <v>173</v>
      </c>
    </row>
    <row r="3" spans="1:21" x14ac:dyDescent="0.25">
      <c r="A3" t="s">
        <v>174</v>
      </c>
    </row>
    <row r="5" spans="1:21" s="35" customFormat="1" ht="15.75" customHeight="1" x14ac:dyDescent="0.25">
      <c r="B5" s="58" t="s">
        <v>29</v>
      </c>
      <c r="C5" s="60" t="s">
        <v>178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2"/>
    </row>
    <row r="6" spans="1:21" s="35" customFormat="1" x14ac:dyDescent="0.25">
      <c r="B6" s="59"/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5"/>
    </row>
    <row r="7" spans="1:21" ht="16.5" customHeight="1" thickBot="1" x14ac:dyDescent="0.3">
      <c r="C7" s="66" t="s">
        <v>184</v>
      </c>
      <c r="D7" s="67"/>
      <c r="E7" s="67"/>
      <c r="F7" s="67"/>
      <c r="G7" s="67"/>
      <c r="H7" s="67"/>
      <c r="I7" s="5"/>
      <c r="J7" s="66" t="s">
        <v>185</v>
      </c>
      <c r="K7" s="67"/>
      <c r="L7" s="67"/>
      <c r="M7" s="67"/>
      <c r="N7" s="67"/>
      <c r="O7" s="67"/>
      <c r="Q7" s="66" t="s">
        <v>7</v>
      </c>
      <c r="R7" s="67"/>
      <c r="S7" s="68"/>
      <c r="T7" s="36"/>
      <c r="U7" s="6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9"/>
    </row>
    <row r="9" spans="1:21" x14ac:dyDescent="0.25">
      <c r="A9" s="6" t="s">
        <v>35</v>
      </c>
      <c r="B9" s="6" t="s">
        <v>46</v>
      </c>
      <c r="C9" s="15">
        <v>3677.06640625</v>
      </c>
      <c r="D9" s="16">
        <v>38.516199999999998</v>
      </c>
      <c r="E9" s="16">
        <v>39.7104</v>
      </c>
      <c r="F9" s="16">
        <v>42.244999999999997</v>
      </c>
      <c r="G9" s="16">
        <v>2.7046520014424811</v>
      </c>
      <c r="H9" s="16">
        <f t="shared" ref="H9:H80" si="0">(6*D9+E9+F9)/8</f>
        <v>39.131574999999998</v>
      </c>
      <c r="I9" s="5"/>
      <c r="J9" s="15">
        <v>4099.9759999999997</v>
      </c>
      <c r="K9" s="16">
        <v>38.752200000000002</v>
      </c>
      <c r="L9" s="16">
        <v>40.280099999999997</v>
      </c>
      <c r="M9" s="16">
        <v>43.071300000000001</v>
      </c>
      <c r="N9" s="16">
        <v>1.6962999999999999</v>
      </c>
      <c r="O9" s="16">
        <f t="shared" ref="O9:O80" si="1">(6*K9+L9+M9)/8</f>
        <v>39.483074999999999</v>
      </c>
      <c r="P9" s="7"/>
      <c r="Q9" s="8">
        <f>bdrate(C9:C12,D9:D12,J9:J12,K9:K12)</f>
        <v>-1.3251036696639074E-2</v>
      </c>
      <c r="R9" s="8">
        <f>bdrate(C9:C12,E9:E12,J9:J12,L9:L12)</f>
        <v>-0.29122071665171423</v>
      </c>
      <c r="S9" s="8">
        <f>bdrate(C9:C12,F9:F12,J9:J12,M9:M12)</f>
        <v>-0.26129423358028625</v>
      </c>
      <c r="T9" s="25">
        <f>bdrate(C9:C12,H9:H12,J9:J12,O9:O12)</f>
        <v>-5.6725443188408553E-2</v>
      </c>
      <c r="U9" s="28">
        <f t="shared" ref="U9:U72" si="2">(N9-G9)/G9</f>
        <v>-0.37282134666666672</v>
      </c>
    </row>
    <row r="10" spans="1:21" x14ac:dyDescent="0.25">
      <c r="A10" s="9" t="s">
        <v>36</v>
      </c>
      <c r="B10" s="9"/>
      <c r="C10" s="17">
        <v>2779.9873046875</v>
      </c>
      <c r="D10" s="18">
        <v>37.6004</v>
      </c>
      <c r="E10" s="18">
        <v>39.179299999999998</v>
      </c>
      <c r="F10" s="18">
        <v>41.6661</v>
      </c>
      <c r="G10" s="18">
        <v>3.1432702583768153</v>
      </c>
      <c r="H10" s="18">
        <f t="shared" si="0"/>
        <v>38.305975000000004</v>
      </c>
      <c r="I10" s="5"/>
      <c r="J10" s="17">
        <v>2994.9823999999999</v>
      </c>
      <c r="K10" s="18">
        <v>37.8035</v>
      </c>
      <c r="L10" s="18">
        <v>39.804200000000002</v>
      </c>
      <c r="M10" s="18">
        <v>42.416600000000003</v>
      </c>
      <c r="N10" s="18">
        <v>2.0034999999999998</v>
      </c>
      <c r="O10" s="18">
        <f t="shared" si="1"/>
        <v>38.630225000000003</v>
      </c>
      <c r="P10" s="7"/>
      <c r="Q10" s="10"/>
      <c r="R10" s="11"/>
      <c r="S10" s="11"/>
      <c r="T10" s="26"/>
      <c r="U10" s="28">
        <f t="shared" si="2"/>
        <v>-0.36260651000000005</v>
      </c>
    </row>
    <row r="11" spans="1:21" x14ac:dyDescent="0.25">
      <c r="B11" s="9"/>
      <c r="C11" s="17">
        <v>1824.279296875</v>
      </c>
      <c r="D11" s="18">
        <v>36.136400000000002</v>
      </c>
      <c r="E11" s="18">
        <v>38.397799999999997</v>
      </c>
      <c r="F11" s="18">
        <v>40.842700000000001</v>
      </c>
      <c r="G11" s="18">
        <v>3.9144050104384132</v>
      </c>
      <c r="H11" s="18">
        <f t="shared" si="0"/>
        <v>37.007362499999999</v>
      </c>
      <c r="I11" s="5"/>
      <c r="J11" s="17">
        <v>1931.1472000000001</v>
      </c>
      <c r="K11" s="18">
        <v>36.3491</v>
      </c>
      <c r="L11" s="18">
        <v>39.131399999999999</v>
      </c>
      <c r="M11" s="18">
        <v>41.578899999999997</v>
      </c>
      <c r="N11" s="18">
        <v>2.5261999999999998</v>
      </c>
      <c r="O11" s="18">
        <f t="shared" si="1"/>
        <v>37.350612499999997</v>
      </c>
      <c r="P11" s="7"/>
      <c r="Q11" s="10"/>
      <c r="R11" s="11"/>
      <c r="S11" s="11"/>
      <c r="T11" s="26"/>
      <c r="U11" s="28">
        <f t="shared" si="2"/>
        <v>-0.35464010666666668</v>
      </c>
    </row>
    <row r="12" spans="1:21" ht="16.5" thickBot="1" x14ac:dyDescent="0.3">
      <c r="B12" s="12"/>
      <c r="C12" s="19">
        <v>919.037109375</v>
      </c>
      <c r="D12" s="20">
        <v>33.348300000000002</v>
      </c>
      <c r="E12" s="20">
        <v>37.190399999999997</v>
      </c>
      <c r="F12" s="20">
        <v>39.642499999999998</v>
      </c>
      <c r="G12" s="20">
        <v>5.7544021176199793</v>
      </c>
      <c r="H12" s="20">
        <f t="shared" si="0"/>
        <v>34.615337500000003</v>
      </c>
      <c r="I12" s="5"/>
      <c r="J12" s="19">
        <v>906.79520000000002</v>
      </c>
      <c r="K12" s="20">
        <v>33.6083</v>
      </c>
      <c r="L12" s="20">
        <v>37.767800000000001</v>
      </c>
      <c r="M12" s="20">
        <v>40.031700000000001</v>
      </c>
      <c r="N12" s="20">
        <v>3.7086000000000001</v>
      </c>
      <c r="O12" s="20">
        <f t="shared" si="1"/>
        <v>34.931162499999999</v>
      </c>
      <c r="P12" s="7"/>
      <c r="Q12" s="13"/>
      <c r="R12" s="14"/>
      <c r="S12" s="14"/>
      <c r="T12" s="27"/>
      <c r="U12" s="28">
        <f t="shared" si="2"/>
        <v>-0.35551949199999999</v>
      </c>
    </row>
    <row r="13" spans="1:21" x14ac:dyDescent="0.25">
      <c r="B13" s="6" t="s">
        <v>47</v>
      </c>
      <c r="C13" s="15">
        <v>3700.9482421875</v>
      </c>
      <c r="D13" s="16">
        <v>30.376899999999999</v>
      </c>
      <c r="E13" s="16">
        <v>40.074599999999997</v>
      </c>
      <c r="F13" s="16">
        <v>40.9</v>
      </c>
      <c r="G13" s="16">
        <v>1.4924482120470419</v>
      </c>
      <c r="H13" s="16">
        <f t="shared" si="0"/>
        <v>32.904499999999999</v>
      </c>
      <c r="I13" s="5"/>
      <c r="J13" s="15">
        <v>4114.8976000000002</v>
      </c>
      <c r="K13" s="16">
        <v>30.177199999999999</v>
      </c>
      <c r="L13" s="16">
        <v>41.102600000000002</v>
      </c>
      <c r="M13" s="16">
        <v>41.896099999999997</v>
      </c>
      <c r="N13" s="16">
        <v>1.1732</v>
      </c>
      <c r="O13" s="16">
        <f t="shared" si="1"/>
        <v>33.007737499999998</v>
      </c>
      <c r="P13" s="7"/>
      <c r="Q13" s="8">
        <f>bdrate(C13:C16,D13:D16,J13:J16,K13:K16)</f>
        <v>0.11948217482897805</v>
      </c>
      <c r="R13" s="8">
        <f>bdrate(C13:C16,E13:E16,J13:J16,L13:L16)</f>
        <v>-0.28379583034910483</v>
      </c>
      <c r="S13" s="8">
        <f>bdrate(C13:C16,F13:F16,J13:J16,M13:M16)</f>
        <v>-0.34948007264097691</v>
      </c>
      <c r="T13" s="25">
        <f>bdrate(C13:C16,H13:H16,J13:J16,O13:O16)</f>
        <v>4.514905335075925E-2</v>
      </c>
      <c r="U13" s="28">
        <f t="shared" si="2"/>
        <v>-0.21390907199999995</v>
      </c>
    </row>
    <row r="14" spans="1:21" x14ac:dyDescent="0.25">
      <c r="B14" s="9"/>
      <c r="C14" s="17">
        <v>2788.73046875</v>
      </c>
      <c r="D14" s="18">
        <v>28.988399999999999</v>
      </c>
      <c r="E14" s="18">
        <v>39.610500000000002</v>
      </c>
      <c r="F14" s="18">
        <v>40.499699999999997</v>
      </c>
      <c r="G14" s="18">
        <v>1.8069459000397528</v>
      </c>
      <c r="H14" s="18">
        <f t="shared" si="0"/>
        <v>31.755074999999998</v>
      </c>
      <c r="I14" s="5"/>
      <c r="J14" s="17">
        <v>3077.4063999999998</v>
      </c>
      <c r="K14" s="18">
        <v>28.860199999999999</v>
      </c>
      <c r="L14" s="18">
        <v>40.563600000000001</v>
      </c>
      <c r="M14" s="18">
        <v>41.478200000000001</v>
      </c>
      <c r="N14" s="18">
        <v>1.3494999999999999</v>
      </c>
      <c r="O14" s="18">
        <f t="shared" si="1"/>
        <v>31.900375000000004</v>
      </c>
      <c r="P14" s="7"/>
      <c r="Q14" s="10"/>
      <c r="R14" s="11"/>
      <c r="S14" s="11"/>
      <c r="T14" s="26"/>
      <c r="U14" s="28">
        <f t="shared" si="2"/>
        <v>-0.25315971000000004</v>
      </c>
    </row>
    <row r="15" spans="1:21" x14ac:dyDescent="0.25">
      <c r="B15" s="9"/>
      <c r="C15" s="17">
        <v>1867.6171875</v>
      </c>
      <c r="D15" s="18">
        <v>27.1374</v>
      </c>
      <c r="E15" s="18">
        <v>38.729300000000002</v>
      </c>
      <c r="F15" s="18">
        <v>39.723799999999997</v>
      </c>
      <c r="G15" s="18">
        <v>2.3219454807201125</v>
      </c>
      <c r="H15" s="18">
        <f t="shared" si="0"/>
        <v>30.159687499999997</v>
      </c>
      <c r="I15" s="5"/>
      <c r="J15" s="17">
        <v>2068.48</v>
      </c>
      <c r="K15" s="18">
        <v>27.098500000000001</v>
      </c>
      <c r="L15" s="18">
        <v>39.765599999999999</v>
      </c>
      <c r="M15" s="18">
        <v>40.830800000000004</v>
      </c>
      <c r="N15" s="18">
        <v>1.6523000000000001</v>
      </c>
      <c r="O15" s="18">
        <f t="shared" si="1"/>
        <v>30.398425000000003</v>
      </c>
      <c r="P15" s="7"/>
      <c r="Q15" s="10"/>
      <c r="R15" s="11"/>
      <c r="S15" s="11"/>
      <c r="T15" s="26"/>
      <c r="U15" s="28">
        <f t="shared" si="2"/>
        <v>-0.28839845133333325</v>
      </c>
    </row>
    <row r="16" spans="1:21" ht="16.5" thickBot="1" x14ac:dyDescent="0.3">
      <c r="B16" s="12"/>
      <c r="C16" s="19">
        <v>1025.5029296875</v>
      </c>
      <c r="D16" s="20">
        <v>24.916799999999999</v>
      </c>
      <c r="E16" s="20">
        <v>37.034700000000001</v>
      </c>
      <c r="F16" s="20">
        <v>38.233400000000003</v>
      </c>
      <c r="G16" s="20">
        <v>3.0281619057232261</v>
      </c>
      <c r="H16" s="20">
        <f t="shared" si="0"/>
        <v>28.096112500000004</v>
      </c>
      <c r="I16" s="5"/>
      <c r="J16" s="19">
        <v>1387.0128</v>
      </c>
      <c r="K16" s="20">
        <v>25.840699999999998</v>
      </c>
      <c r="L16" s="20">
        <v>38.593499999999999</v>
      </c>
      <c r="M16" s="20">
        <v>39.791499999999999</v>
      </c>
      <c r="N16" s="20">
        <v>1.8778999999999999</v>
      </c>
      <c r="O16" s="20">
        <f t="shared" si="1"/>
        <v>29.178649999999998</v>
      </c>
      <c r="P16" s="7"/>
      <c r="Q16" s="13"/>
      <c r="R16" s="14"/>
      <c r="S16" s="14"/>
      <c r="T16" s="27"/>
      <c r="U16" s="28">
        <f t="shared" si="2"/>
        <v>-0.37985482333333337</v>
      </c>
    </row>
    <row r="17" spans="1:21" x14ac:dyDescent="0.25">
      <c r="A17" s="6" t="s">
        <v>37</v>
      </c>
      <c r="B17" s="6" t="s">
        <v>48</v>
      </c>
      <c r="C17" s="15">
        <v>2226.5634765625</v>
      </c>
      <c r="D17" s="16">
        <v>39.743200000000002</v>
      </c>
      <c r="E17" s="16">
        <v>42.2149</v>
      </c>
      <c r="F17" s="16">
        <v>43.6068</v>
      </c>
      <c r="G17" s="16">
        <v>2.7374760470845882</v>
      </c>
      <c r="H17" s="16">
        <f t="shared" si="0"/>
        <v>40.535112500000004</v>
      </c>
      <c r="I17" s="5"/>
      <c r="J17" s="15">
        <v>2357.7624000000001</v>
      </c>
      <c r="K17" s="16">
        <v>39.570900000000002</v>
      </c>
      <c r="L17" s="16">
        <v>42.517200000000003</v>
      </c>
      <c r="M17" s="16">
        <v>44.271099999999997</v>
      </c>
      <c r="N17" s="16">
        <v>2.0870000000000002</v>
      </c>
      <c r="O17" s="16">
        <f t="shared" si="1"/>
        <v>40.526712500000002</v>
      </c>
      <c r="P17" s="7"/>
      <c r="Q17" s="8">
        <f>bdrate(C17:C20,D17:D20,J17:J20,K17:K20)</f>
        <v>3.8963198283529676E-2</v>
      </c>
      <c r="R17" s="8">
        <f>bdrate(C17:C20,E17:E20,J17:J20,L17:L20)</f>
        <v>-0.2014286915033231</v>
      </c>
      <c r="S17" s="8">
        <f>bdrate(C17:C20,F17:F20,J17:J20,M17:M20)</f>
        <v>-0.25267338378734172</v>
      </c>
      <c r="T17" s="25">
        <f>bdrate(C17:C20,H17:H20,J17:J20,O17:O20)</f>
        <v>-3.0491245850157167E-3</v>
      </c>
      <c r="U17" s="28">
        <f t="shared" si="2"/>
        <v>-0.23761889999999999</v>
      </c>
    </row>
    <row r="18" spans="1:21" x14ac:dyDescent="0.25">
      <c r="A18" s="9" t="s">
        <v>38</v>
      </c>
      <c r="B18" s="9"/>
      <c r="C18" s="17">
        <v>1484.376953125</v>
      </c>
      <c r="D18" s="18">
        <v>38.467700000000001</v>
      </c>
      <c r="E18" s="18">
        <v>41.563400000000001</v>
      </c>
      <c r="F18" s="18">
        <v>42.821399999999997</v>
      </c>
      <c r="G18" s="18">
        <v>3.5410242412617849</v>
      </c>
      <c r="H18" s="18">
        <f t="shared" si="0"/>
        <v>39.398874999999997</v>
      </c>
      <c r="I18" s="5"/>
      <c r="J18" s="17">
        <v>1571.8527999999999</v>
      </c>
      <c r="K18" s="18">
        <v>38.443399999999997</v>
      </c>
      <c r="L18" s="18">
        <v>41.945999999999998</v>
      </c>
      <c r="M18" s="18">
        <v>43.456800000000001</v>
      </c>
      <c r="N18" s="18">
        <v>2.5640000000000001</v>
      </c>
      <c r="O18" s="18">
        <f t="shared" si="1"/>
        <v>39.507899999999999</v>
      </c>
      <c r="P18" s="7"/>
      <c r="Q18" s="10"/>
      <c r="R18" s="11"/>
      <c r="S18" s="11"/>
      <c r="T18" s="26"/>
      <c r="U18" s="28">
        <f t="shared" si="2"/>
        <v>-0.27591571666666664</v>
      </c>
    </row>
    <row r="19" spans="1:21" x14ac:dyDescent="0.25">
      <c r="B19" s="9"/>
      <c r="C19" s="17">
        <v>927.345703125</v>
      </c>
      <c r="D19" s="18">
        <v>36.831800000000001</v>
      </c>
      <c r="E19" s="18">
        <v>40.759700000000002</v>
      </c>
      <c r="F19" s="18">
        <v>41.956400000000002</v>
      </c>
      <c r="G19" s="18">
        <v>4.8009601920384073</v>
      </c>
      <c r="H19" s="18">
        <f t="shared" si="0"/>
        <v>37.963362500000002</v>
      </c>
      <c r="I19" s="5"/>
      <c r="J19" s="17">
        <v>968.37919999999997</v>
      </c>
      <c r="K19" s="18">
        <v>36.909500000000001</v>
      </c>
      <c r="L19" s="18">
        <v>41.215600000000002</v>
      </c>
      <c r="M19" s="18">
        <v>42.536299999999997</v>
      </c>
      <c r="N19" s="18">
        <v>3.3041</v>
      </c>
      <c r="O19" s="18">
        <f t="shared" si="1"/>
        <v>38.151112499999996</v>
      </c>
      <c r="P19" s="7"/>
      <c r="Q19" s="10"/>
      <c r="R19" s="11"/>
      <c r="S19" s="11"/>
      <c r="T19" s="26"/>
      <c r="U19" s="28">
        <f t="shared" si="2"/>
        <v>-0.31178350416666661</v>
      </c>
    </row>
    <row r="20" spans="1:21" ht="16.5" thickBot="1" x14ac:dyDescent="0.3">
      <c r="B20" s="12"/>
      <c r="C20" s="19">
        <v>556.2509765625</v>
      </c>
      <c r="D20" s="20">
        <v>35.003799999999998</v>
      </c>
      <c r="E20" s="20">
        <v>40.002000000000002</v>
      </c>
      <c r="F20" s="20">
        <v>41.250599999999999</v>
      </c>
      <c r="G20" s="20">
        <v>6.6670370576143121</v>
      </c>
      <c r="H20" s="20">
        <f t="shared" si="0"/>
        <v>36.409424999999999</v>
      </c>
      <c r="I20" s="5"/>
      <c r="J20" s="19">
        <v>565.13679999999999</v>
      </c>
      <c r="K20" s="20">
        <v>35.089700000000001</v>
      </c>
      <c r="L20" s="20">
        <v>40.484400000000001</v>
      </c>
      <c r="M20" s="20">
        <v>41.746699999999997</v>
      </c>
      <c r="N20" s="20">
        <v>4.3798000000000004</v>
      </c>
      <c r="O20" s="20">
        <f t="shared" si="1"/>
        <v>36.596162499999998</v>
      </c>
      <c r="P20" s="7"/>
      <c r="Q20" s="13"/>
      <c r="R20" s="14"/>
      <c r="S20" s="14"/>
      <c r="T20" s="27"/>
      <c r="U20" s="28">
        <f t="shared" si="2"/>
        <v>-0.3430664983333333</v>
      </c>
    </row>
    <row r="21" spans="1:21" x14ac:dyDescent="0.25">
      <c r="B21" s="6" t="s">
        <v>49</v>
      </c>
      <c r="C21" s="15">
        <v>2269.1201171875</v>
      </c>
      <c r="D21" s="16">
        <v>36.813800000000001</v>
      </c>
      <c r="E21" s="16">
        <v>40.293799999999997</v>
      </c>
      <c r="F21" s="16">
        <v>41.335799999999999</v>
      </c>
      <c r="G21" s="16">
        <v>3.6964591002202476</v>
      </c>
      <c r="H21" s="16">
        <f t="shared" si="0"/>
        <v>37.814050000000002</v>
      </c>
      <c r="I21" s="5"/>
      <c r="J21" s="15">
        <v>2529.7831999999999</v>
      </c>
      <c r="K21" s="16">
        <v>36.846699999999998</v>
      </c>
      <c r="L21" s="16">
        <v>40.9636</v>
      </c>
      <c r="M21" s="16">
        <v>42.32</v>
      </c>
      <c r="N21" s="16">
        <v>2.4428999999999998</v>
      </c>
      <c r="O21" s="16">
        <f t="shared" si="1"/>
        <v>38.045474999999996</v>
      </c>
      <c r="P21" s="7"/>
      <c r="Q21" s="8">
        <f>bdrate(C21:C24,D21:D24,J21:J24,K21:K24)</f>
        <v>6.1267472851874949E-2</v>
      </c>
      <c r="R21" s="8">
        <f>bdrate(C21:C24,E21:E24,J21:J24,L21:L24)</f>
        <v>-0.23575987879016203</v>
      </c>
      <c r="S21" s="8">
        <f>bdrate(C21:C24,F21:F24,J21:J24,M21:M24)</f>
        <v>-0.27952904898627662</v>
      </c>
      <c r="T21" s="25">
        <f>bdrate(C21:C24,H21:H24,J21:J24,O21:O24)</f>
        <v>6.4096062054375125E-4</v>
      </c>
      <c r="U21" s="28">
        <f t="shared" si="2"/>
        <v>-0.33912429875000011</v>
      </c>
    </row>
    <row r="22" spans="1:21" x14ac:dyDescent="0.25">
      <c r="B22" s="9"/>
      <c r="C22" s="17">
        <v>1518.53515625</v>
      </c>
      <c r="D22" s="18">
        <v>35.484900000000003</v>
      </c>
      <c r="E22" s="18">
        <v>39.444299999999998</v>
      </c>
      <c r="F22" s="18">
        <v>40.551699999999997</v>
      </c>
      <c r="G22" s="18">
        <v>4.5580582671781817</v>
      </c>
      <c r="H22" s="18">
        <f t="shared" si="0"/>
        <v>36.613174999999998</v>
      </c>
      <c r="I22" s="5"/>
      <c r="J22" s="17">
        <v>1655.3912</v>
      </c>
      <c r="K22" s="18">
        <v>35.558599999999998</v>
      </c>
      <c r="L22" s="18">
        <v>40.137</v>
      </c>
      <c r="M22" s="18">
        <v>41.4054</v>
      </c>
      <c r="N22" s="18">
        <v>3.0384000000000002</v>
      </c>
      <c r="O22" s="18">
        <f t="shared" si="1"/>
        <v>36.861750000000001</v>
      </c>
      <c r="P22" s="7"/>
      <c r="Q22" s="10"/>
      <c r="R22" s="11"/>
      <c r="S22" s="11"/>
      <c r="T22" s="26"/>
      <c r="U22" s="28">
        <f t="shared" si="2"/>
        <v>-0.3334003599999999</v>
      </c>
    </row>
    <row r="23" spans="1:21" x14ac:dyDescent="0.25">
      <c r="B23" s="9"/>
      <c r="C23" s="17">
        <v>948.263671875</v>
      </c>
      <c r="D23" s="18">
        <v>33.958300000000001</v>
      </c>
      <c r="E23" s="18">
        <v>38.4679</v>
      </c>
      <c r="F23" s="18">
        <v>39.7408</v>
      </c>
      <c r="G23" s="18">
        <v>5.7625816365731843</v>
      </c>
      <c r="H23" s="18">
        <f t="shared" si="0"/>
        <v>35.244812499999995</v>
      </c>
      <c r="I23" s="5"/>
      <c r="J23" s="17">
        <v>1030.1928</v>
      </c>
      <c r="K23" s="18">
        <v>34.058700000000002</v>
      </c>
      <c r="L23" s="18">
        <v>39.193600000000004</v>
      </c>
      <c r="M23" s="18">
        <v>40.440300000000001</v>
      </c>
      <c r="N23" s="18">
        <v>3.8037999999999998</v>
      </c>
      <c r="O23" s="18">
        <f t="shared" si="1"/>
        <v>35.498262500000003</v>
      </c>
      <c r="P23" s="7"/>
      <c r="Q23" s="10"/>
      <c r="R23" s="11"/>
      <c r="S23" s="11"/>
      <c r="T23" s="26"/>
      <c r="U23" s="28">
        <f t="shared" si="2"/>
        <v>-0.33991390666666665</v>
      </c>
    </row>
    <row r="24" spans="1:21" ht="16.5" thickBot="1" x14ac:dyDescent="0.3">
      <c r="B24" s="12"/>
      <c r="C24" s="19">
        <v>565.5625</v>
      </c>
      <c r="D24" s="20">
        <v>32.299500000000002</v>
      </c>
      <c r="E24" s="20">
        <v>37.6188</v>
      </c>
      <c r="F24" s="20">
        <v>39.109299999999998</v>
      </c>
      <c r="G24" s="20">
        <v>7.5</v>
      </c>
      <c r="H24" s="20">
        <f t="shared" si="0"/>
        <v>33.815637500000001</v>
      </c>
      <c r="I24" s="5"/>
      <c r="J24" s="19">
        <v>609.09760000000006</v>
      </c>
      <c r="K24" s="20">
        <v>32.393700000000003</v>
      </c>
      <c r="L24" s="20">
        <v>38.181100000000001</v>
      </c>
      <c r="M24" s="20">
        <v>39.518700000000003</v>
      </c>
      <c r="N24" s="20">
        <v>4.9150999999999998</v>
      </c>
      <c r="O24" s="20">
        <f t="shared" si="1"/>
        <v>34.007750000000009</v>
      </c>
      <c r="P24" s="7"/>
      <c r="Q24" s="13"/>
      <c r="R24" s="14"/>
      <c r="S24" s="14"/>
      <c r="T24" s="27"/>
      <c r="U24" s="28">
        <f t="shared" si="2"/>
        <v>-0.34465333333333337</v>
      </c>
    </row>
    <row r="25" spans="1:21" x14ac:dyDescent="0.25">
      <c r="B25" s="6" t="s">
        <v>50</v>
      </c>
      <c r="C25" s="15">
        <v>2300.8251953125</v>
      </c>
      <c r="D25" s="16">
        <v>34.587499999999999</v>
      </c>
      <c r="E25" s="16">
        <v>38.1599</v>
      </c>
      <c r="F25" s="16">
        <v>40.179200000000002</v>
      </c>
      <c r="G25" s="16">
        <v>4.4624529211216828</v>
      </c>
      <c r="H25" s="16">
        <f t="shared" si="0"/>
        <v>35.733012499999994</v>
      </c>
      <c r="I25" s="5"/>
      <c r="J25" s="15">
        <v>2406.9656</v>
      </c>
      <c r="K25" s="16">
        <v>35.131900000000002</v>
      </c>
      <c r="L25" s="16">
        <v>38.703899999999997</v>
      </c>
      <c r="M25" s="16">
        <v>41.3581</v>
      </c>
      <c r="N25" s="16">
        <v>3.2143000000000002</v>
      </c>
      <c r="O25" s="16">
        <f t="shared" si="1"/>
        <v>36.356675000000003</v>
      </c>
      <c r="P25" s="7"/>
      <c r="Q25" s="8">
        <f>bdrate(C25:C28,D25:D28,J25:J28,K25:K28)</f>
        <v>-0.16465038682600641</v>
      </c>
      <c r="R25" s="8">
        <f>bdrate(C25:C28,E25:E28,J25:J28,L25:L28)</f>
        <v>-0.44232909693395295</v>
      </c>
      <c r="S25" s="8">
        <f>bdrate(C25:C28,F25:F28,J25:J28,M25:M28)</f>
        <v>-0.42244431958457718</v>
      </c>
      <c r="T25" s="25">
        <f>bdrate(C25:C28,H25:H28,J25:J28,O25:O28)</f>
        <v>-0.20695538173941164</v>
      </c>
      <c r="U25" s="28">
        <f t="shared" si="2"/>
        <v>-0.27970108440000008</v>
      </c>
    </row>
    <row r="26" spans="1:21" x14ac:dyDescent="0.25">
      <c r="B26" s="9"/>
      <c r="C26" s="17">
        <v>1533.79296875</v>
      </c>
      <c r="D26" s="18">
        <v>33.302900000000001</v>
      </c>
      <c r="E26" s="18">
        <v>37.682899999999997</v>
      </c>
      <c r="F26" s="18">
        <v>39.335999999999999</v>
      </c>
      <c r="G26" s="18">
        <v>5.4677675105254533</v>
      </c>
      <c r="H26" s="18">
        <f t="shared" si="0"/>
        <v>34.604537499999999</v>
      </c>
      <c r="I26" s="5"/>
      <c r="J26" s="17">
        <v>1599.8656000000001</v>
      </c>
      <c r="K26" s="18">
        <v>34.002299999999998</v>
      </c>
      <c r="L26" s="18">
        <v>38.325699999999998</v>
      </c>
      <c r="M26" s="18">
        <v>40.531500000000001</v>
      </c>
      <c r="N26" s="18">
        <v>3.9554</v>
      </c>
      <c r="O26" s="18">
        <f t="shared" si="1"/>
        <v>35.358874999999998</v>
      </c>
      <c r="P26" s="7"/>
      <c r="Q26" s="10"/>
      <c r="R26" s="11"/>
      <c r="S26" s="11"/>
      <c r="T26" s="26"/>
      <c r="U26" s="28">
        <f t="shared" si="2"/>
        <v>-0.27659689400000009</v>
      </c>
    </row>
    <row r="27" spans="1:21" x14ac:dyDescent="0.25">
      <c r="B27" s="9"/>
      <c r="C27" s="17">
        <v>960.15234375</v>
      </c>
      <c r="D27" s="18">
        <v>31.739799999999999</v>
      </c>
      <c r="E27" s="18">
        <v>37.1297</v>
      </c>
      <c r="F27" s="18">
        <v>38.435699999999997</v>
      </c>
      <c r="G27" s="18">
        <v>6.9677671093521374</v>
      </c>
      <c r="H27" s="18">
        <f t="shared" si="0"/>
        <v>33.250524999999996</v>
      </c>
      <c r="I27" s="5"/>
      <c r="J27" s="17">
        <v>997.09760000000006</v>
      </c>
      <c r="K27" s="18">
        <v>32.473700000000001</v>
      </c>
      <c r="L27" s="18">
        <v>37.879199999999997</v>
      </c>
      <c r="M27" s="18">
        <v>39.598300000000002</v>
      </c>
      <c r="N27" s="18">
        <v>5.0038</v>
      </c>
      <c r="O27" s="18">
        <f t="shared" si="1"/>
        <v>34.039962500000001</v>
      </c>
      <c r="P27" s="7"/>
      <c r="Q27" s="10"/>
      <c r="R27" s="11"/>
      <c r="S27" s="11"/>
      <c r="T27" s="26"/>
      <c r="U27" s="28">
        <f t="shared" si="2"/>
        <v>-0.28186463160000003</v>
      </c>
    </row>
    <row r="28" spans="1:21" ht="16.5" thickBot="1" x14ac:dyDescent="0.3">
      <c r="B28" s="12"/>
      <c r="C28" s="19">
        <v>576.4541015625</v>
      </c>
      <c r="D28" s="20">
        <v>29.915500000000002</v>
      </c>
      <c r="E28" s="20">
        <v>36.467199999999998</v>
      </c>
      <c r="F28" s="20">
        <v>37.341700000000003</v>
      </c>
      <c r="G28" s="20">
        <v>9.2286679340703959</v>
      </c>
      <c r="H28" s="20">
        <f t="shared" si="0"/>
        <v>31.662737499999999</v>
      </c>
      <c r="I28" s="5"/>
      <c r="J28" s="19">
        <v>591.40639999999996</v>
      </c>
      <c r="K28" s="20">
        <v>30.709599999999998</v>
      </c>
      <c r="L28" s="20">
        <v>37.201999999999998</v>
      </c>
      <c r="M28" s="20">
        <v>38.510399999999997</v>
      </c>
      <c r="N28" s="20">
        <v>6.6551999999999998</v>
      </c>
      <c r="O28" s="20">
        <f t="shared" si="1"/>
        <v>32.496249999999996</v>
      </c>
      <c r="P28" s="7"/>
      <c r="Q28" s="13"/>
      <c r="R28" s="14"/>
      <c r="S28" s="14"/>
      <c r="T28" s="27"/>
      <c r="U28" s="28">
        <f t="shared" si="2"/>
        <v>-0.2788558384</v>
      </c>
    </row>
    <row r="29" spans="1:21" x14ac:dyDescent="0.25">
      <c r="B29" s="6" t="s">
        <v>51</v>
      </c>
      <c r="C29" s="29">
        <v>2291.212890625</v>
      </c>
      <c r="D29" s="30">
        <v>35.055399999999999</v>
      </c>
      <c r="E29" s="30">
        <v>41.005000000000003</v>
      </c>
      <c r="F29" s="30">
        <v>40.771500000000003</v>
      </c>
      <c r="G29" s="16">
        <v>3.8970250111065212</v>
      </c>
      <c r="H29" s="16">
        <f t="shared" si="0"/>
        <v>36.513612500000001</v>
      </c>
      <c r="I29" s="5"/>
      <c r="J29" s="29">
        <v>2437.2743999999998</v>
      </c>
      <c r="K29" s="30">
        <v>34.902099999999997</v>
      </c>
      <c r="L29" s="30">
        <v>41.3767</v>
      </c>
      <c r="M29" s="30">
        <v>41.1631</v>
      </c>
      <c r="N29" s="16">
        <v>2.6953</v>
      </c>
      <c r="O29" s="16">
        <f t="shared" si="1"/>
        <v>36.494050000000001</v>
      </c>
      <c r="P29" s="7"/>
      <c r="Q29" s="8">
        <f>bdrate(C29:C32,D29:D32,J29:J32,K29:K32)</f>
        <v>0.10573219190547789</v>
      </c>
      <c r="R29" s="8">
        <f>bdrate(C29:C32,E29:E32,J29:J32,L29:L32)</f>
        <v>-0.17648327151468868</v>
      </c>
      <c r="S29" s="8">
        <f>bdrate(C29:C32,F29:F32,J29:J32,M29:M32)</f>
        <v>-0.13127364784389628</v>
      </c>
      <c r="T29" s="25">
        <f>bdrate(C29:C32,H29:H32,J29:J32,O29:O32)</f>
        <v>5.822204386698715E-2</v>
      </c>
      <c r="U29" s="28">
        <f t="shared" si="2"/>
        <v>-0.30836984819999996</v>
      </c>
    </row>
    <row r="30" spans="1:21" x14ac:dyDescent="0.25">
      <c r="B30" s="9"/>
      <c r="C30" s="31">
        <v>1526.27734375</v>
      </c>
      <c r="D30" s="32">
        <v>33.748399999999997</v>
      </c>
      <c r="E30" s="32">
        <v>40.275599999999997</v>
      </c>
      <c r="F30" s="32">
        <v>39.755299999999998</v>
      </c>
      <c r="G30" s="18">
        <v>4.850460308683294</v>
      </c>
      <c r="H30" s="18">
        <f t="shared" si="0"/>
        <v>35.315162499999992</v>
      </c>
      <c r="I30" s="5"/>
      <c r="J30" s="31">
        <v>1631.336</v>
      </c>
      <c r="K30" s="32">
        <v>33.610199999999999</v>
      </c>
      <c r="L30" s="32">
        <v>40.709800000000001</v>
      </c>
      <c r="M30" s="32">
        <v>40.2378</v>
      </c>
      <c r="N30" s="18">
        <v>3.2909000000000002</v>
      </c>
      <c r="O30" s="18">
        <f t="shared" si="1"/>
        <v>35.326100000000004</v>
      </c>
      <c r="P30" s="7"/>
      <c r="Q30" s="10"/>
      <c r="R30" s="11"/>
      <c r="S30" s="11"/>
      <c r="T30" s="26"/>
      <c r="U30" s="28">
        <f t="shared" si="2"/>
        <v>-0.32152831059999998</v>
      </c>
    </row>
    <row r="31" spans="1:21" x14ac:dyDescent="0.25">
      <c r="B31" s="9"/>
      <c r="C31" s="31">
        <v>955.7216796875</v>
      </c>
      <c r="D31" s="32">
        <v>32.0989</v>
      </c>
      <c r="E31" s="32">
        <v>39.539099999999998</v>
      </c>
      <c r="F31" s="32">
        <v>38.625799999999998</v>
      </c>
      <c r="G31" s="18">
        <v>6.3419583967529167</v>
      </c>
      <c r="H31" s="18">
        <f t="shared" si="0"/>
        <v>33.844787499999995</v>
      </c>
      <c r="I31" s="5"/>
      <c r="J31" s="31">
        <v>1015.7464</v>
      </c>
      <c r="K31" s="32">
        <v>31.964500000000001</v>
      </c>
      <c r="L31" s="32">
        <v>39.9895</v>
      </c>
      <c r="M31" s="32">
        <v>39.175199999999997</v>
      </c>
      <c r="N31" s="18">
        <v>4.2439</v>
      </c>
      <c r="O31" s="18">
        <f t="shared" si="1"/>
        <v>33.868962500000002</v>
      </c>
      <c r="P31" s="7"/>
      <c r="Q31" s="10"/>
      <c r="R31" s="11"/>
      <c r="S31" s="11"/>
      <c r="T31" s="26"/>
      <c r="U31" s="28">
        <f t="shared" si="2"/>
        <v>-0.33082184799999992</v>
      </c>
    </row>
    <row r="32" spans="1:21" ht="16.5" thickBot="1" x14ac:dyDescent="0.3">
      <c r="B32" s="12"/>
      <c r="C32" s="33">
        <v>572.798828125</v>
      </c>
      <c r="D32" s="34">
        <v>30.206900000000001</v>
      </c>
      <c r="E32" s="34">
        <v>38.494100000000003</v>
      </c>
      <c r="F32" s="34">
        <v>37.230699999999999</v>
      </c>
      <c r="G32" s="20">
        <v>8.4796065462562531</v>
      </c>
      <c r="H32" s="20">
        <f t="shared" si="0"/>
        <v>32.120775000000002</v>
      </c>
      <c r="I32" s="5"/>
      <c r="J32" s="33">
        <v>607.28160000000003</v>
      </c>
      <c r="K32" s="34">
        <v>30.1129</v>
      </c>
      <c r="L32" s="34">
        <v>38.976799999999997</v>
      </c>
      <c r="M32" s="34">
        <v>37.705800000000004</v>
      </c>
      <c r="N32" s="20">
        <v>5.6355000000000004</v>
      </c>
      <c r="O32" s="20">
        <f t="shared" si="1"/>
        <v>32.17</v>
      </c>
      <c r="P32" s="7"/>
      <c r="Q32" s="13"/>
      <c r="R32" s="14"/>
      <c r="S32" s="14"/>
      <c r="T32" s="27"/>
      <c r="U32" s="28">
        <f t="shared" si="2"/>
        <v>-0.33540548499999989</v>
      </c>
    </row>
    <row r="33" spans="1:21" x14ac:dyDescent="0.25">
      <c r="B33" s="6" t="s">
        <v>52</v>
      </c>
      <c r="C33" s="15">
        <v>2297.48828125</v>
      </c>
      <c r="D33" s="16">
        <v>33.968499999999999</v>
      </c>
      <c r="E33" s="16">
        <v>39.957999999999998</v>
      </c>
      <c r="F33" s="16">
        <v>42.471499999999999</v>
      </c>
      <c r="G33" s="16">
        <v>7.7682975775858729</v>
      </c>
      <c r="H33" s="16">
        <f t="shared" si="0"/>
        <v>35.7800625</v>
      </c>
      <c r="I33" s="5"/>
      <c r="J33" s="15">
        <v>2397.3951999999999</v>
      </c>
      <c r="K33" s="16">
        <v>34.135800000000003</v>
      </c>
      <c r="L33" s="16">
        <v>40.467300000000002</v>
      </c>
      <c r="M33" s="16">
        <v>42.8992</v>
      </c>
      <c r="N33" s="16">
        <v>3.9338000000000002</v>
      </c>
      <c r="O33" s="16">
        <f t="shared" si="1"/>
        <v>36.022662500000003</v>
      </c>
      <c r="P33" s="7"/>
      <c r="Q33" s="8">
        <f>bdrate(C33:C36,D33:D36,J33:J36,K33:K36)</f>
        <v>-6.619587757129064E-2</v>
      </c>
      <c r="R33" s="8">
        <f>bdrate(C33:C36,E33:E36,J33:J36,L33:L36)</f>
        <v>-0.29339143421294256</v>
      </c>
      <c r="S33" s="8">
        <f>bdrate(C33:C36,F33:F36,J33:J36,M33:M36)</f>
        <v>-0.26434208758136135</v>
      </c>
      <c r="T33" s="25">
        <f>bdrate(C33:C36,H33:H36,J33:J36,O33:O36)</f>
        <v>-0.10297416547180516</v>
      </c>
      <c r="U33" s="28">
        <f t="shared" si="2"/>
        <v>-0.49360848233333338</v>
      </c>
    </row>
    <row r="34" spans="1:21" x14ac:dyDescent="0.25">
      <c r="B34" s="9"/>
      <c r="C34" s="17">
        <v>1534.548828125</v>
      </c>
      <c r="D34" s="18">
        <v>33.2941</v>
      </c>
      <c r="E34" s="18">
        <v>39.467799999999997</v>
      </c>
      <c r="F34" s="18">
        <v>42.067</v>
      </c>
      <c r="G34" s="18">
        <v>9.5790028258058335</v>
      </c>
      <c r="H34" s="18">
        <f t="shared" si="0"/>
        <v>35.162424999999999</v>
      </c>
      <c r="I34" s="5"/>
      <c r="J34" s="17">
        <v>1577.5311999999999</v>
      </c>
      <c r="K34" s="18">
        <v>33.481900000000003</v>
      </c>
      <c r="L34" s="18">
        <v>40.002600000000001</v>
      </c>
      <c r="M34" s="18">
        <v>42.48</v>
      </c>
      <c r="N34" s="18">
        <v>5.0891999999999999</v>
      </c>
      <c r="O34" s="18">
        <f t="shared" si="1"/>
        <v>35.421750000000003</v>
      </c>
      <c r="P34" s="7"/>
      <c r="Q34" s="10"/>
      <c r="R34" s="11"/>
      <c r="S34" s="11"/>
      <c r="T34" s="26"/>
      <c r="U34" s="28">
        <f t="shared" si="2"/>
        <v>-0.46871296600000001</v>
      </c>
    </row>
    <row r="35" spans="1:21" x14ac:dyDescent="0.25">
      <c r="B35" s="9"/>
      <c r="C35" s="17">
        <v>955.625</v>
      </c>
      <c r="D35" s="18">
        <v>32.279400000000003</v>
      </c>
      <c r="E35" s="18">
        <v>38.863700000000001</v>
      </c>
      <c r="F35" s="18">
        <v>41.516100000000002</v>
      </c>
      <c r="G35" s="18">
        <v>12.054244098442993</v>
      </c>
      <c r="H35" s="18">
        <f t="shared" si="0"/>
        <v>34.257024999999999</v>
      </c>
      <c r="I35" s="5"/>
      <c r="J35" s="17">
        <v>980.26160000000004</v>
      </c>
      <c r="K35" s="18">
        <v>32.502299999999998</v>
      </c>
      <c r="L35" s="18">
        <v>39.3003</v>
      </c>
      <c r="M35" s="18">
        <v>41.860100000000003</v>
      </c>
      <c r="N35" s="18">
        <v>6.8026</v>
      </c>
      <c r="O35" s="18">
        <f t="shared" si="1"/>
        <v>34.521774999999998</v>
      </c>
      <c r="P35" s="7"/>
      <c r="Q35" s="10"/>
      <c r="R35" s="11"/>
      <c r="S35" s="11"/>
      <c r="T35" s="26"/>
      <c r="U35" s="28">
        <f t="shared" si="2"/>
        <v>-0.43566764166666666</v>
      </c>
    </row>
    <row r="36" spans="1:21" ht="16.5" thickBot="1" x14ac:dyDescent="0.3">
      <c r="B36" s="12"/>
      <c r="C36" s="19">
        <v>572.73046875</v>
      </c>
      <c r="D36" s="20">
        <v>30.8904</v>
      </c>
      <c r="E36" s="20">
        <v>38.317599999999999</v>
      </c>
      <c r="F36" s="20">
        <v>40.997700000000002</v>
      </c>
      <c r="G36" s="20">
        <v>15.284287752190748</v>
      </c>
      <c r="H36" s="20">
        <f t="shared" si="0"/>
        <v>33.082212499999997</v>
      </c>
      <c r="I36" s="5"/>
      <c r="J36" s="19">
        <v>581.54319999999996</v>
      </c>
      <c r="K36" s="20">
        <v>31.097799999999999</v>
      </c>
      <c r="L36" s="20">
        <v>38.703299999999999</v>
      </c>
      <c r="M36" s="20">
        <v>41.350499999999997</v>
      </c>
      <c r="N36" s="20">
        <v>9.0821000000000005</v>
      </c>
      <c r="O36" s="20">
        <f t="shared" si="1"/>
        <v>33.330075000000001</v>
      </c>
      <c r="P36" s="7"/>
      <c r="Q36" s="13"/>
      <c r="R36" s="14"/>
      <c r="S36" s="14"/>
      <c r="T36" s="27"/>
      <c r="U36" s="28">
        <f t="shared" si="2"/>
        <v>-0.40578847066666662</v>
      </c>
    </row>
    <row r="37" spans="1:21" x14ac:dyDescent="0.25">
      <c r="A37" s="6" t="s">
        <v>39</v>
      </c>
      <c r="B37" s="6" t="s">
        <v>53</v>
      </c>
      <c r="C37" s="15">
        <v>1148.5625</v>
      </c>
      <c r="D37" s="16">
        <v>36.118299999999998</v>
      </c>
      <c r="E37" s="16">
        <v>40.017299999999999</v>
      </c>
      <c r="F37" s="16">
        <v>40.011699999999998</v>
      </c>
      <c r="G37" s="16">
        <v>12.545792141315802</v>
      </c>
      <c r="H37" s="16">
        <f t="shared" si="0"/>
        <v>37.092349999999996</v>
      </c>
      <c r="I37" s="5"/>
      <c r="J37" s="15">
        <v>1199.4656</v>
      </c>
      <c r="K37" s="16">
        <v>37.037199999999999</v>
      </c>
      <c r="L37" s="16">
        <v>41.227499999999999</v>
      </c>
      <c r="M37" s="16">
        <v>41.235100000000003</v>
      </c>
      <c r="N37" s="16">
        <v>8.5173000000000005</v>
      </c>
      <c r="O37" s="16">
        <f t="shared" si="1"/>
        <v>38.085724999999996</v>
      </c>
      <c r="P37" s="7"/>
      <c r="Q37" s="8">
        <f>bdrate(C37:C40,D37:D40,J37:J40,K37:K40)</f>
        <v>-0.11911892327315154</v>
      </c>
      <c r="R37" s="8">
        <f>bdrate(C37:C40,E37:E40,J37:J40,L37:L40)</f>
        <v>-0.29270531190175419</v>
      </c>
      <c r="S37" s="8">
        <f>bdrate(C37:C40,F37:F40,J37:J40,M37:M40)</f>
        <v>-0.26900319821578367</v>
      </c>
      <c r="T37" s="25">
        <f>bdrate(C37:C40,H37:H40,J37:J40,O37:O40)</f>
        <v>-0.15367701702648429</v>
      </c>
      <c r="U37" s="28">
        <f t="shared" si="2"/>
        <v>-0.32110305159999991</v>
      </c>
    </row>
    <row r="38" spans="1:21" x14ac:dyDescent="0.25">
      <c r="A38" s="9" t="s">
        <v>40</v>
      </c>
      <c r="B38" s="9"/>
      <c r="C38" s="17">
        <v>767.650390625</v>
      </c>
      <c r="D38" s="18">
        <v>34.4696</v>
      </c>
      <c r="E38" s="18">
        <v>38.7714</v>
      </c>
      <c r="F38" s="18">
        <v>38.596200000000003</v>
      </c>
      <c r="G38" s="18">
        <v>15.582634711877082</v>
      </c>
      <c r="H38" s="18">
        <f t="shared" si="0"/>
        <v>35.523150000000001</v>
      </c>
      <c r="I38" s="5"/>
      <c r="J38" s="17">
        <v>796.62639999999999</v>
      </c>
      <c r="K38" s="18">
        <v>35.187600000000003</v>
      </c>
      <c r="L38" s="18">
        <v>39.869700000000002</v>
      </c>
      <c r="M38" s="18">
        <v>39.697699999999998</v>
      </c>
      <c r="N38" s="18">
        <v>10.1821</v>
      </c>
      <c r="O38" s="18">
        <f t="shared" si="1"/>
        <v>36.336624999999998</v>
      </c>
      <c r="P38" s="7"/>
      <c r="Q38" s="10"/>
      <c r="R38" s="11"/>
      <c r="S38" s="11"/>
      <c r="T38" s="26"/>
      <c r="U38" s="28">
        <f t="shared" si="2"/>
        <v>-0.34657391459999992</v>
      </c>
    </row>
    <row r="39" spans="1:21" x14ac:dyDescent="0.25">
      <c r="B39" s="9"/>
      <c r="C39" s="17">
        <v>480.12890625</v>
      </c>
      <c r="D39" s="18">
        <v>32.5886</v>
      </c>
      <c r="E39" s="18">
        <v>37.465000000000003</v>
      </c>
      <c r="F39" s="18">
        <v>37.055700000000002</v>
      </c>
      <c r="G39" s="18">
        <v>20.475858962283468</v>
      </c>
      <c r="H39" s="18">
        <f t="shared" si="0"/>
        <v>33.7565375</v>
      </c>
      <c r="I39" s="5"/>
      <c r="J39" s="17">
        <v>502.76240000000001</v>
      </c>
      <c r="K39" s="18">
        <v>33.250500000000002</v>
      </c>
      <c r="L39" s="18">
        <v>38.569600000000001</v>
      </c>
      <c r="M39" s="18">
        <v>38.2607</v>
      </c>
      <c r="N39" s="18">
        <v>12.483499999999999</v>
      </c>
      <c r="O39" s="18">
        <f t="shared" si="1"/>
        <v>34.541662500000001</v>
      </c>
      <c r="P39" s="7"/>
      <c r="Q39" s="10"/>
      <c r="R39" s="11"/>
      <c r="S39" s="11"/>
      <c r="T39" s="26"/>
      <c r="U39" s="28">
        <f t="shared" si="2"/>
        <v>-0.39033082700000005</v>
      </c>
    </row>
    <row r="40" spans="1:21" ht="16.5" thickBot="1" x14ac:dyDescent="0.3">
      <c r="B40" s="12"/>
      <c r="C40" s="19">
        <v>288.2529296875</v>
      </c>
      <c r="D40" s="20">
        <v>30.597000000000001</v>
      </c>
      <c r="E40" s="20">
        <v>36.152799999999999</v>
      </c>
      <c r="F40" s="20">
        <v>35.491900000000001</v>
      </c>
      <c r="G40" s="20">
        <v>28.285342535498106</v>
      </c>
      <c r="H40" s="20">
        <f t="shared" si="0"/>
        <v>31.903337499999999</v>
      </c>
      <c r="I40" s="5"/>
      <c r="J40" s="19">
        <v>299.94080000000002</v>
      </c>
      <c r="K40" s="20">
        <v>31.191500000000001</v>
      </c>
      <c r="L40" s="20">
        <v>37.164200000000001</v>
      </c>
      <c r="M40" s="20">
        <v>36.619300000000003</v>
      </c>
      <c r="N40" s="20">
        <v>16.247</v>
      </c>
      <c r="O40" s="20">
        <f t="shared" si="1"/>
        <v>32.616562500000001</v>
      </c>
      <c r="P40" s="7"/>
      <c r="Q40" s="13"/>
      <c r="R40" s="14"/>
      <c r="S40" s="14"/>
      <c r="T40" s="27"/>
      <c r="U40" s="28">
        <f t="shared" si="2"/>
        <v>-0.42560356200000005</v>
      </c>
    </row>
    <row r="41" spans="1:21" x14ac:dyDescent="0.25">
      <c r="B41" s="6" t="s">
        <v>54</v>
      </c>
      <c r="C41" s="15">
        <v>1202.9140625</v>
      </c>
      <c r="D41" s="16">
        <v>36.354199999999999</v>
      </c>
      <c r="E41" s="16">
        <v>41.282299999999999</v>
      </c>
      <c r="F41" s="16">
        <v>42.326300000000003</v>
      </c>
      <c r="G41" s="16">
        <v>16.611755585702817</v>
      </c>
      <c r="H41" s="16">
        <f t="shared" si="0"/>
        <v>37.716725000000004</v>
      </c>
      <c r="I41" s="5"/>
      <c r="J41" s="15">
        <v>1212.0344</v>
      </c>
      <c r="K41" s="16">
        <v>36.404899999999998</v>
      </c>
      <c r="L41" s="16">
        <v>41.860100000000003</v>
      </c>
      <c r="M41" s="16">
        <v>42.918999999999997</v>
      </c>
      <c r="N41" s="16">
        <v>10.7143</v>
      </c>
      <c r="O41" s="16">
        <f t="shared" si="1"/>
        <v>37.901062499999995</v>
      </c>
      <c r="P41" s="7"/>
      <c r="Q41" s="8">
        <f>bdrate(C41:C44,D41:D44,J41:J44,K41:K44)</f>
        <v>-4.139665980974705E-2</v>
      </c>
      <c r="R41" s="8">
        <f>bdrate(C41:C44,E41:E44,J41:J44,L41:L44)</f>
        <v>-0.22397475666134503</v>
      </c>
      <c r="S41" s="8">
        <f>bdrate(C41:C44,F41:F44,J41:J44,M41:M44)</f>
        <v>-0.20619985764005033</v>
      </c>
      <c r="T41" s="25">
        <f>bdrate(C41:C44,H41:H44,J41:J44,O41:O44)</f>
        <v>-7.310767022219522E-2</v>
      </c>
      <c r="U41" s="28">
        <f t="shared" si="2"/>
        <v>-0.35501699716666674</v>
      </c>
    </row>
    <row r="42" spans="1:21" x14ac:dyDescent="0.25">
      <c r="B42" s="9"/>
      <c r="C42" s="17">
        <v>803.173828125</v>
      </c>
      <c r="D42" s="18">
        <v>34.702800000000003</v>
      </c>
      <c r="E42" s="18">
        <v>40.269100000000002</v>
      </c>
      <c r="F42" s="18">
        <v>41.172600000000003</v>
      </c>
      <c r="G42" s="18">
        <v>20.451291839934555</v>
      </c>
      <c r="H42" s="18">
        <f t="shared" si="0"/>
        <v>36.207312500000008</v>
      </c>
      <c r="I42" s="5"/>
      <c r="J42" s="17">
        <v>805.82320000000004</v>
      </c>
      <c r="K42" s="18">
        <v>34.850499999999997</v>
      </c>
      <c r="L42" s="18">
        <v>40.8874</v>
      </c>
      <c r="M42" s="18">
        <v>41.807699999999997</v>
      </c>
      <c r="N42" s="18">
        <v>12.9977</v>
      </c>
      <c r="O42" s="18">
        <f t="shared" si="1"/>
        <v>36.474762499999997</v>
      </c>
      <c r="P42" s="7"/>
      <c r="Q42" s="10"/>
      <c r="R42" s="11"/>
      <c r="S42" s="11"/>
      <c r="T42" s="26"/>
      <c r="U42" s="28">
        <f t="shared" si="2"/>
        <v>-0.36445579566666664</v>
      </c>
    </row>
    <row r="43" spans="1:21" x14ac:dyDescent="0.25">
      <c r="B43" s="9"/>
      <c r="C43" s="17">
        <v>502.5068359375</v>
      </c>
      <c r="D43" s="18">
        <v>32.747300000000003</v>
      </c>
      <c r="E43" s="18">
        <v>39.2074</v>
      </c>
      <c r="F43" s="18">
        <v>39.951500000000003</v>
      </c>
      <c r="G43" s="18">
        <v>26.066556607872098</v>
      </c>
      <c r="H43" s="18">
        <f t="shared" si="0"/>
        <v>34.455337500000006</v>
      </c>
      <c r="I43" s="5"/>
      <c r="J43" s="17">
        <v>504.5992</v>
      </c>
      <c r="K43" s="18">
        <v>32.981200000000001</v>
      </c>
      <c r="L43" s="18">
        <v>39.7943</v>
      </c>
      <c r="M43" s="18">
        <v>40.559699999999999</v>
      </c>
      <c r="N43" s="18">
        <v>16.1282</v>
      </c>
      <c r="O43" s="18">
        <f t="shared" si="1"/>
        <v>34.780149999999999</v>
      </c>
      <c r="P43" s="7"/>
      <c r="Q43" s="10"/>
      <c r="R43" s="11"/>
      <c r="S43" s="11"/>
      <c r="T43" s="26"/>
      <c r="U43" s="28">
        <f t="shared" si="2"/>
        <v>-0.38126848733333329</v>
      </c>
    </row>
    <row r="44" spans="1:21" ht="16.5" thickBot="1" x14ac:dyDescent="0.3">
      <c r="B44" s="12"/>
      <c r="C44" s="19">
        <v>301.5087890625</v>
      </c>
      <c r="D44" s="20">
        <v>30.570399999999999</v>
      </c>
      <c r="E44" s="20">
        <v>38.0535</v>
      </c>
      <c r="F44" s="20">
        <v>38.634300000000003</v>
      </c>
      <c r="G44" s="20">
        <v>34.930430226465624</v>
      </c>
      <c r="H44" s="20">
        <f t="shared" si="0"/>
        <v>32.513774999999995</v>
      </c>
      <c r="I44" s="5"/>
      <c r="J44" s="19">
        <v>303.64080000000001</v>
      </c>
      <c r="K44" s="20">
        <v>30.8645</v>
      </c>
      <c r="L44" s="20">
        <v>38.643099999999997</v>
      </c>
      <c r="M44" s="20">
        <v>39.287500000000001</v>
      </c>
      <c r="N44" s="20">
        <v>20.101800000000001</v>
      </c>
      <c r="O44" s="20">
        <f t="shared" si="1"/>
        <v>32.889700000000005</v>
      </c>
      <c r="P44" s="7"/>
      <c r="Q44" s="13"/>
      <c r="R44" s="14"/>
      <c r="S44" s="14"/>
      <c r="T44" s="27"/>
      <c r="U44" s="28">
        <f t="shared" si="2"/>
        <v>-0.42451896900000002</v>
      </c>
    </row>
    <row r="45" spans="1:21" x14ac:dyDescent="0.25">
      <c r="B45" s="6" t="s">
        <v>55</v>
      </c>
      <c r="C45" s="15">
        <v>1187.98828125</v>
      </c>
      <c r="D45" s="16">
        <v>30.945699999999999</v>
      </c>
      <c r="E45" s="16">
        <v>36.900300000000001</v>
      </c>
      <c r="F45" s="16">
        <v>37.728400000000001</v>
      </c>
      <c r="G45" s="16">
        <v>16.31960310725243</v>
      </c>
      <c r="H45" s="16">
        <f t="shared" si="0"/>
        <v>32.537862500000003</v>
      </c>
      <c r="I45" s="5"/>
      <c r="J45" s="15">
        <v>1188.6887999999999</v>
      </c>
      <c r="K45" s="16">
        <v>31.257400000000001</v>
      </c>
      <c r="L45" s="16">
        <v>37.723399999999998</v>
      </c>
      <c r="M45" s="16">
        <v>38.572899999999997</v>
      </c>
      <c r="N45" s="16">
        <v>11.1334</v>
      </c>
      <c r="O45" s="16">
        <f t="shared" si="1"/>
        <v>32.980087499999996</v>
      </c>
      <c r="P45" s="7"/>
      <c r="Q45" s="8">
        <f>bdrate(C45:C48,D45:D48,J45:J48,K45:K48)</f>
        <v>-0.13563621398691073</v>
      </c>
      <c r="R45" s="8">
        <f>bdrate(C45:C48,E45:E48,J45:J48,L45:L48)</f>
        <v>-0.3508634011299655</v>
      </c>
      <c r="S45" s="8">
        <f>bdrate(C45:C48,F45:F48,J45:J48,M45:M48)</f>
        <v>-0.34135010027976087</v>
      </c>
      <c r="T45" s="25">
        <f>bdrate(C45:C48,H45:H48,J45:J48,O45:O48)</f>
        <v>-0.17311833235919605</v>
      </c>
      <c r="U45" s="28">
        <f t="shared" si="2"/>
        <v>-0.31778978159999993</v>
      </c>
    </row>
    <row r="46" spans="1:21" x14ac:dyDescent="0.25">
      <c r="B46" s="9"/>
      <c r="C46" s="17">
        <v>786.029296875</v>
      </c>
      <c r="D46" s="18">
        <v>29.402799999999999</v>
      </c>
      <c r="E46" s="18">
        <v>36.070500000000003</v>
      </c>
      <c r="F46" s="18">
        <v>36.875599999999999</v>
      </c>
      <c r="G46" s="18">
        <v>20.297974262168637</v>
      </c>
      <c r="H46" s="18">
        <f t="shared" si="0"/>
        <v>31.1703625</v>
      </c>
      <c r="I46" s="5"/>
      <c r="J46" s="17">
        <v>795.9624</v>
      </c>
      <c r="K46" s="18">
        <v>29.895099999999999</v>
      </c>
      <c r="L46" s="18">
        <v>36.906399999999998</v>
      </c>
      <c r="M46" s="18">
        <v>37.7271</v>
      </c>
      <c r="N46" s="18">
        <v>13.1662</v>
      </c>
      <c r="O46" s="18">
        <f t="shared" si="1"/>
        <v>31.750512499999999</v>
      </c>
      <c r="P46" s="7"/>
      <c r="Q46" s="10"/>
      <c r="R46" s="11"/>
      <c r="S46" s="11"/>
      <c r="T46" s="26"/>
      <c r="U46" s="28">
        <f t="shared" si="2"/>
        <v>-0.35135399080000007</v>
      </c>
    </row>
    <row r="47" spans="1:21" x14ac:dyDescent="0.25">
      <c r="B47" s="9"/>
      <c r="C47" s="17">
        <v>491.021484375</v>
      </c>
      <c r="D47" s="18">
        <v>27.752400000000002</v>
      </c>
      <c r="E47" s="18">
        <v>35.185000000000002</v>
      </c>
      <c r="F47" s="18">
        <v>35.969700000000003</v>
      </c>
      <c r="G47" s="18">
        <v>26.081059934275729</v>
      </c>
      <c r="H47" s="18">
        <f t="shared" si="0"/>
        <v>29.708637500000002</v>
      </c>
      <c r="I47" s="5"/>
      <c r="J47" s="17">
        <v>503.29759999999999</v>
      </c>
      <c r="K47" s="18">
        <v>28.3873</v>
      </c>
      <c r="L47" s="18">
        <v>36.0398</v>
      </c>
      <c r="M47" s="18">
        <v>36.814500000000002</v>
      </c>
      <c r="N47" s="18">
        <v>16.507100000000001</v>
      </c>
      <c r="O47" s="18">
        <f t="shared" si="1"/>
        <v>30.397262500000004</v>
      </c>
      <c r="P47" s="7"/>
      <c r="Q47" s="10"/>
      <c r="R47" s="11"/>
      <c r="S47" s="11"/>
      <c r="T47" s="26"/>
      <c r="U47" s="28">
        <f t="shared" si="2"/>
        <v>-0.36708477179999993</v>
      </c>
    </row>
    <row r="48" spans="1:21" ht="16.5" thickBot="1" x14ac:dyDescent="0.3">
      <c r="B48" s="12"/>
      <c r="C48" s="19">
        <v>297.8837890625</v>
      </c>
      <c r="D48" s="20">
        <v>26.190799999999999</v>
      </c>
      <c r="E48" s="20">
        <v>34.434399999999997</v>
      </c>
      <c r="F48" s="20">
        <v>35.202100000000002</v>
      </c>
      <c r="G48" s="20">
        <v>33.541289327161735</v>
      </c>
      <c r="H48" s="20">
        <f t="shared" si="0"/>
        <v>28.347662500000002</v>
      </c>
      <c r="I48" s="5"/>
      <c r="J48" s="19">
        <v>303.64879999999999</v>
      </c>
      <c r="K48" s="20">
        <v>26.801100000000002</v>
      </c>
      <c r="L48" s="20">
        <v>35.143300000000004</v>
      </c>
      <c r="M48" s="20">
        <v>35.884</v>
      </c>
      <c r="N48" s="20">
        <v>20.74</v>
      </c>
      <c r="O48" s="20">
        <f t="shared" si="1"/>
        <v>28.979237500000004</v>
      </c>
      <c r="P48" s="7"/>
      <c r="Q48" s="13"/>
      <c r="R48" s="14"/>
      <c r="S48" s="14"/>
      <c r="T48" s="27"/>
      <c r="U48" s="28">
        <f t="shared" si="2"/>
        <v>-0.38165764000000002</v>
      </c>
    </row>
    <row r="49" spans="1:21" x14ac:dyDescent="0.25">
      <c r="B49" s="6" t="s">
        <v>56</v>
      </c>
      <c r="C49" s="15">
        <v>1143.35546875</v>
      </c>
      <c r="D49" s="16">
        <v>33.916800000000002</v>
      </c>
      <c r="E49" s="16">
        <v>37.897599999999997</v>
      </c>
      <c r="F49" s="16">
        <v>39.648099999999999</v>
      </c>
      <c r="G49" s="16">
        <v>8.3010514665190929</v>
      </c>
      <c r="H49" s="16">
        <f t="shared" si="0"/>
        <v>35.130812500000005</v>
      </c>
      <c r="I49" s="5"/>
      <c r="J49" s="15">
        <v>1192.9192</v>
      </c>
      <c r="K49" s="16">
        <v>33.579799999999999</v>
      </c>
      <c r="L49" s="16">
        <v>38.169600000000003</v>
      </c>
      <c r="M49" s="16">
        <v>39.81</v>
      </c>
      <c r="N49" s="16">
        <v>6.5823</v>
      </c>
      <c r="O49" s="16">
        <f t="shared" si="1"/>
        <v>34.932299999999998</v>
      </c>
      <c r="P49" s="7"/>
      <c r="Q49" s="8">
        <f>bdrate(C49:C52,D49:D52,J49:J52,K49:K52)</f>
        <v>0.13626637737120162</v>
      </c>
      <c r="R49" s="8">
        <f>bdrate(C49:C52,E49:E52,J49:J52,L49:L52)</f>
        <v>-0.11056910236862993</v>
      </c>
      <c r="S49" s="8">
        <f>bdrate(C49:C52,F49:F52,J49:J52,M49:M52)</f>
        <v>-7.9657942055220032E-2</v>
      </c>
      <c r="T49" s="25">
        <f>bdrate(C49:C52,H49:H52,J49:J52,O49:O52)</f>
        <v>9.647072334182516E-2</v>
      </c>
      <c r="U49" s="28">
        <f t="shared" si="2"/>
        <v>-0.20705226000000004</v>
      </c>
    </row>
    <row r="50" spans="1:21" x14ac:dyDescent="0.25">
      <c r="B50" s="9"/>
      <c r="C50" s="17">
        <v>767.8955078125</v>
      </c>
      <c r="D50" s="18">
        <v>32.378999999999998</v>
      </c>
      <c r="E50" s="18">
        <v>36.912500000000001</v>
      </c>
      <c r="F50" s="18">
        <v>38.678699999999999</v>
      </c>
      <c r="G50" s="18">
        <v>10.14576076296121</v>
      </c>
      <c r="H50" s="18">
        <f t="shared" si="0"/>
        <v>33.733150000000002</v>
      </c>
      <c r="I50" s="5"/>
      <c r="J50" s="17">
        <v>793.71199999999999</v>
      </c>
      <c r="K50" s="18">
        <v>31.989799999999999</v>
      </c>
      <c r="L50" s="18">
        <v>37.222999999999999</v>
      </c>
      <c r="M50" s="18">
        <v>38.9129</v>
      </c>
      <c r="N50" s="18">
        <v>7.8070000000000004</v>
      </c>
      <c r="O50" s="18">
        <f t="shared" si="1"/>
        <v>33.509337499999994</v>
      </c>
      <c r="P50" s="7"/>
      <c r="Q50" s="10"/>
      <c r="R50" s="11"/>
      <c r="S50" s="11"/>
      <c r="T50" s="26"/>
      <c r="U50" s="28">
        <f t="shared" si="2"/>
        <v>-0.23051605666666666</v>
      </c>
    </row>
    <row r="51" spans="1:21" x14ac:dyDescent="0.25">
      <c r="B51" s="9"/>
      <c r="C51" s="17">
        <v>487.4072265625</v>
      </c>
      <c r="D51" s="18">
        <v>30.623100000000001</v>
      </c>
      <c r="E51" s="18">
        <v>35.950200000000002</v>
      </c>
      <c r="F51" s="18">
        <v>37.7254</v>
      </c>
      <c r="G51" s="18">
        <v>13.068478829064297</v>
      </c>
      <c r="H51" s="18">
        <f t="shared" si="0"/>
        <v>32.176774999999999</v>
      </c>
      <c r="I51" s="5"/>
      <c r="J51" s="17">
        <v>496.0376</v>
      </c>
      <c r="K51" s="18">
        <v>30.2239</v>
      </c>
      <c r="L51" s="18">
        <v>36.256</v>
      </c>
      <c r="M51" s="18">
        <v>37.951900000000002</v>
      </c>
      <c r="N51" s="18">
        <v>9.5015000000000001</v>
      </c>
      <c r="O51" s="18">
        <f t="shared" si="1"/>
        <v>31.9439125</v>
      </c>
      <c r="P51" s="7"/>
      <c r="Q51" s="10"/>
      <c r="R51" s="11"/>
      <c r="S51" s="11"/>
      <c r="T51" s="26"/>
      <c r="U51" s="28">
        <f t="shared" si="2"/>
        <v>-0.27294521999999999</v>
      </c>
    </row>
    <row r="52" spans="1:21" ht="16.5" thickBot="1" x14ac:dyDescent="0.3">
      <c r="B52" s="12"/>
      <c r="C52" s="19">
        <v>298.8984375</v>
      </c>
      <c r="D52" s="20">
        <v>28.8842</v>
      </c>
      <c r="E52" s="20">
        <v>35.112499999999997</v>
      </c>
      <c r="F52" s="20">
        <v>36.839700000000001</v>
      </c>
      <c r="G52" s="20">
        <v>17.5049597385926</v>
      </c>
      <c r="H52" s="20">
        <f t="shared" si="0"/>
        <v>30.657175000000002</v>
      </c>
      <c r="I52" s="5"/>
      <c r="J52" s="19">
        <v>296.60160000000002</v>
      </c>
      <c r="K52" s="20">
        <v>28.5076</v>
      </c>
      <c r="L52" s="20">
        <v>35.304499999999997</v>
      </c>
      <c r="M52" s="20">
        <v>37.028799999999997</v>
      </c>
      <c r="N52" s="20">
        <v>12.0997</v>
      </c>
      <c r="O52" s="20">
        <f t="shared" si="1"/>
        <v>30.422362499999998</v>
      </c>
      <c r="P52" s="7"/>
      <c r="Q52" s="13"/>
      <c r="R52" s="14"/>
      <c r="S52" s="14"/>
      <c r="T52" s="27"/>
      <c r="U52" s="28">
        <f t="shared" si="2"/>
        <v>-0.30878447133333325</v>
      </c>
    </row>
    <row r="53" spans="1:21" x14ac:dyDescent="0.25">
      <c r="A53" s="6" t="s">
        <v>41</v>
      </c>
      <c r="B53" s="6" t="s">
        <v>57</v>
      </c>
      <c r="C53" s="15">
        <v>579.8828125</v>
      </c>
      <c r="D53" s="16">
        <v>35.902200000000001</v>
      </c>
      <c r="E53" s="16">
        <v>40.8872</v>
      </c>
      <c r="F53" s="16">
        <v>39.416699999999999</v>
      </c>
      <c r="G53" s="16">
        <v>27.928280176506732</v>
      </c>
      <c r="H53" s="16">
        <f t="shared" si="0"/>
        <v>36.964637500000002</v>
      </c>
      <c r="I53" s="5"/>
      <c r="J53" s="15">
        <v>601.60080000000005</v>
      </c>
      <c r="K53" s="16">
        <v>35.834899999999998</v>
      </c>
      <c r="L53" s="16">
        <v>41.378</v>
      </c>
      <c r="M53" s="16">
        <v>39.770699999999998</v>
      </c>
      <c r="N53" s="16">
        <v>19.4833</v>
      </c>
      <c r="O53" s="16">
        <f t="shared" si="1"/>
        <v>37.019762499999992</v>
      </c>
      <c r="P53" s="7"/>
      <c r="Q53" s="8">
        <f>bdrate(C53:C56,D53:D56,J53:J56,K53:K56)</f>
        <v>5.0715096427454975E-2</v>
      </c>
      <c r="R53" s="8">
        <f>bdrate(C53:C56,E53:E56,J53:J56,L53:L56)</f>
        <v>-0.16049907728785118</v>
      </c>
      <c r="S53" s="8">
        <f>bdrate(C53:C56,F53:F56,J53:J56,M53:M56)</f>
        <v>-0.10930429662262819</v>
      </c>
      <c r="T53" s="25">
        <f>bdrate(C53:C56,H53:H56,J53:J56,O53:O56)</f>
        <v>1.5980249987294526E-2</v>
      </c>
      <c r="U53" s="28">
        <f t="shared" si="2"/>
        <v>-0.30238096020000005</v>
      </c>
    </row>
    <row r="54" spans="1:21" x14ac:dyDescent="0.25">
      <c r="A54" s="9" t="s">
        <v>42</v>
      </c>
      <c r="B54" s="9"/>
      <c r="C54" s="17">
        <v>392.2607421875</v>
      </c>
      <c r="D54" s="18">
        <v>34.022399999999998</v>
      </c>
      <c r="E54" s="18">
        <v>39.652700000000003</v>
      </c>
      <c r="F54" s="18">
        <v>38.051699999999997</v>
      </c>
      <c r="G54" s="18">
        <v>33.59989248034406</v>
      </c>
      <c r="H54" s="18">
        <f t="shared" si="0"/>
        <v>35.229849999999999</v>
      </c>
      <c r="I54" s="5"/>
      <c r="J54" s="17">
        <v>400.96</v>
      </c>
      <c r="K54" s="18">
        <v>33.834000000000003</v>
      </c>
      <c r="L54" s="18">
        <v>40.164000000000001</v>
      </c>
      <c r="M54" s="18">
        <v>38.405000000000001</v>
      </c>
      <c r="N54" s="18">
        <v>22.6891</v>
      </c>
      <c r="O54" s="18">
        <f t="shared" si="1"/>
        <v>35.196624999999997</v>
      </c>
      <c r="P54" s="7"/>
      <c r="Q54" s="10"/>
      <c r="R54" s="11"/>
      <c r="S54" s="11"/>
      <c r="T54" s="26"/>
      <c r="U54" s="28">
        <f t="shared" si="2"/>
        <v>-0.32472700579999997</v>
      </c>
    </row>
    <row r="55" spans="1:21" x14ac:dyDescent="0.25">
      <c r="B55" s="9"/>
      <c r="C55" s="17">
        <v>246.9892578125</v>
      </c>
      <c r="D55" s="18">
        <v>31.874600000000001</v>
      </c>
      <c r="E55" s="18">
        <v>38.395200000000003</v>
      </c>
      <c r="F55" s="18">
        <v>36.616399999999999</v>
      </c>
      <c r="G55" s="18">
        <v>42.929509744998711</v>
      </c>
      <c r="H55" s="18">
        <f t="shared" si="0"/>
        <v>33.282400000000003</v>
      </c>
      <c r="I55" s="5"/>
      <c r="J55" s="17">
        <v>250.268</v>
      </c>
      <c r="K55" s="18">
        <v>31.688500000000001</v>
      </c>
      <c r="L55" s="18">
        <v>38.8994</v>
      </c>
      <c r="M55" s="18">
        <v>37.021900000000002</v>
      </c>
      <c r="N55" s="18">
        <v>27.7331</v>
      </c>
      <c r="O55" s="18">
        <f t="shared" si="1"/>
        <v>33.2565375</v>
      </c>
      <c r="P55" s="7"/>
      <c r="Q55" s="10"/>
      <c r="R55" s="11"/>
      <c r="S55" s="11"/>
      <c r="T55" s="26"/>
      <c r="U55" s="28">
        <f t="shared" si="2"/>
        <v>-0.35398516859999996</v>
      </c>
    </row>
    <row r="56" spans="1:21" ht="16.5" thickBot="1" x14ac:dyDescent="0.3">
      <c r="B56" s="12"/>
      <c r="C56" s="19">
        <v>119.44921875</v>
      </c>
      <c r="D56" s="20">
        <v>28.668199999999999</v>
      </c>
      <c r="E56" s="20">
        <v>36.583199999999998</v>
      </c>
      <c r="F56" s="20">
        <v>34.445799999999998</v>
      </c>
      <c r="G56" s="20">
        <v>65.513626834381554</v>
      </c>
      <c r="H56" s="20">
        <f t="shared" si="0"/>
        <v>30.379774999999999</v>
      </c>
      <c r="I56" s="5"/>
      <c r="J56" s="19">
        <v>119.61920000000001</v>
      </c>
      <c r="K56" s="20">
        <v>28.619199999999999</v>
      </c>
      <c r="L56" s="20">
        <v>37.127499999999998</v>
      </c>
      <c r="M56" s="20">
        <v>34.9617</v>
      </c>
      <c r="N56" s="20">
        <v>37.764400000000002</v>
      </c>
      <c r="O56" s="20">
        <f t="shared" si="1"/>
        <v>30.475549999999998</v>
      </c>
      <c r="P56" s="7"/>
      <c r="Q56" s="13"/>
      <c r="R56" s="14"/>
      <c r="S56" s="14"/>
      <c r="T56" s="27"/>
      <c r="U56" s="28">
        <f t="shared" si="2"/>
        <v>-0.42356419839999998</v>
      </c>
    </row>
    <row r="57" spans="1:21" x14ac:dyDescent="0.25">
      <c r="B57" s="6" t="s">
        <v>58</v>
      </c>
      <c r="C57" s="15">
        <v>575.984375</v>
      </c>
      <c r="D57" s="16">
        <v>34.2866</v>
      </c>
      <c r="E57" s="16">
        <v>41.39</v>
      </c>
      <c r="F57" s="16">
        <v>42.3596</v>
      </c>
      <c r="G57" s="16">
        <v>51.661787497847421</v>
      </c>
      <c r="H57" s="16">
        <f t="shared" si="0"/>
        <v>36.18365</v>
      </c>
      <c r="I57" s="5"/>
      <c r="J57" s="15">
        <v>554.6472</v>
      </c>
      <c r="K57" s="16">
        <v>34.381900000000002</v>
      </c>
      <c r="L57" s="16">
        <v>41.889200000000002</v>
      </c>
      <c r="M57" s="16">
        <v>42.828000000000003</v>
      </c>
      <c r="N57" s="16">
        <v>27.307500000000001</v>
      </c>
      <c r="O57" s="16">
        <f t="shared" si="1"/>
        <v>36.376075</v>
      </c>
      <c r="P57" s="7"/>
      <c r="Q57" s="8">
        <f>bdrate(C57:C60,D57:D60,J57:J60,K57:K60)</f>
        <v>-4.8669660725900621E-2</v>
      </c>
      <c r="R57" s="8">
        <f>bdrate(C57:C60,E57:E60,J57:J60,L57:L60)</f>
        <v>-0.16842743141114414</v>
      </c>
      <c r="S57" s="8">
        <f>bdrate(C57:C60,F57:F60,J57:J60,M57:M60)</f>
        <v>-0.18242536842411761</v>
      </c>
      <c r="T57" s="25">
        <f>bdrate(C57:C60,H57:H60,J57:J60,O57:O60)</f>
        <v>-6.8734051547187369E-2</v>
      </c>
      <c r="U57" s="28">
        <f t="shared" si="2"/>
        <v>-0.47141782499999996</v>
      </c>
    </row>
    <row r="58" spans="1:21" x14ac:dyDescent="0.25">
      <c r="B58" s="9"/>
      <c r="C58" s="17">
        <v>383.537109375</v>
      </c>
      <c r="D58" s="18">
        <v>32.929900000000004</v>
      </c>
      <c r="E58" s="18">
        <v>40.654800000000002</v>
      </c>
      <c r="F58" s="18">
        <v>41.591500000000003</v>
      </c>
      <c r="G58" s="18">
        <v>62.860136196961761</v>
      </c>
      <c r="H58" s="18">
        <f t="shared" si="0"/>
        <v>34.978212500000005</v>
      </c>
      <c r="I58" s="5"/>
      <c r="J58" s="17">
        <v>367.87759999999997</v>
      </c>
      <c r="K58" s="18">
        <v>32.9358</v>
      </c>
      <c r="L58" s="18">
        <v>40.993299999999998</v>
      </c>
      <c r="M58" s="18">
        <v>41.886000000000003</v>
      </c>
      <c r="N58" s="18">
        <v>34.614100000000001</v>
      </c>
      <c r="O58" s="18">
        <f t="shared" si="1"/>
        <v>35.0617625</v>
      </c>
      <c r="P58" s="7"/>
      <c r="Q58" s="10"/>
      <c r="R58" s="11"/>
      <c r="S58" s="11"/>
      <c r="T58" s="26"/>
      <c r="U58" s="28">
        <f t="shared" si="2"/>
        <v>-0.44934735916666668</v>
      </c>
    </row>
    <row r="59" spans="1:21" x14ac:dyDescent="0.25">
      <c r="B59" s="9"/>
      <c r="C59" s="17">
        <v>240.48828125</v>
      </c>
      <c r="D59" s="18">
        <v>31.317399999999999</v>
      </c>
      <c r="E59" s="18">
        <v>39.8797</v>
      </c>
      <c r="F59" s="18">
        <v>40.705800000000004</v>
      </c>
      <c r="G59" s="18">
        <v>78.32898172323759</v>
      </c>
      <c r="H59" s="18">
        <f t="shared" si="0"/>
        <v>33.561237500000004</v>
      </c>
      <c r="I59" s="5"/>
      <c r="J59" s="17">
        <v>232.21360000000001</v>
      </c>
      <c r="K59" s="18">
        <v>31.332799999999999</v>
      </c>
      <c r="L59" s="18">
        <v>40.148299999999999</v>
      </c>
      <c r="M59" s="18">
        <v>41.032899999999998</v>
      </c>
      <c r="N59" s="18">
        <v>47.084699999999998</v>
      </c>
      <c r="O59" s="18">
        <f t="shared" si="1"/>
        <v>33.64725</v>
      </c>
      <c r="P59" s="7"/>
      <c r="Q59" s="10"/>
      <c r="R59" s="11"/>
      <c r="S59" s="11"/>
      <c r="T59" s="26"/>
      <c r="U59" s="28">
        <f t="shared" si="2"/>
        <v>-0.39888532999999998</v>
      </c>
    </row>
    <row r="60" spans="1:21" ht="16.5" thickBot="1" x14ac:dyDescent="0.3">
      <c r="B60" s="12"/>
      <c r="C60" s="19">
        <v>115.4150390625</v>
      </c>
      <c r="D60" s="20">
        <v>28.491099999999999</v>
      </c>
      <c r="E60" s="20">
        <v>38.824599999999997</v>
      </c>
      <c r="F60" s="20">
        <v>39.4818</v>
      </c>
      <c r="G60" s="20">
        <v>120.28869286287087</v>
      </c>
      <c r="H60" s="20">
        <f t="shared" si="0"/>
        <v>31.156624999999998</v>
      </c>
      <c r="I60" s="5"/>
      <c r="J60" s="19">
        <v>117.2448</v>
      </c>
      <c r="K60" s="20">
        <v>28.8813</v>
      </c>
      <c r="L60" s="20">
        <v>38.922899999999998</v>
      </c>
      <c r="M60" s="20">
        <v>39.770899999999997</v>
      </c>
      <c r="N60" s="20">
        <v>76.103499999999997</v>
      </c>
      <c r="O60" s="20">
        <f t="shared" si="1"/>
        <v>31.497700000000002</v>
      </c>
      <c r="P60" s="7"/>
      <c r="Q60" s="13"/>
      <c r="R60" s="14"/>
      <c r="S60" s="14"/>
      <c r="T60" s="27"/>
      <c r="U60" s="28">
        <f t="shared" si="2"/>
        <v>-0.36732623666666658</v>
      </c>
    </row>
    <row r="61" spans="1:21" x14ac:dyDescent="0.25">
      <c r="B61" s="6" t="s">
        <v>59</v>
      </c>
      <c r="C61" s="29">
        <v>592.5615234375</v>
      </c>
      <c r="D61" s="30">
        <v>34.059100000000001</v>
      </c>
      <c r="E61" s="30">
        <v>38.566600000000001</v>
      </c>
      <c r="F61" s="30">
        <v>39.316800000000001</v>
      </c>
      <c r="G61" s="16">
        <v>38.340618050762977</v>
      </c>
      <c r="H61" s="16">
        <f t="shared" si="0"/>
        <v>35.27975</v>
      </c>
      <c r="I61" s="5"/>
      <c r="J61" s="29">
        <v>559.88</v>
      </c>
      <c r="K61" s="30">
        <v>33.753799999999998</v>
      </c>
      <c r="L61" s="30">
        <v>38.869300000000003</v>
      </c>
      <c r="M61" s="30">
        <v>39.7348</v>
      </c>
      <c r="N61" s="16">
        <v>22.488099999999999</v>
      </c>
      <c r="O61" s="16">
        <f t="shared" si="1"/>
        <v>35.140862499999997</v>
      </c>
      <c r="P61" s="7"/>
      <c r="Q61" s="8">
        <f>bdrate(C61:C64,D61:D64,J61:J64,K61:K64)</f>
        <v>-2.4908064141863973E-2</v>
      </c>
      <c r="R61" s="8">
        <f>bdrate(C61:C64,E61:E64,J61:J64,L61:L64)</f>
        <v>-0.18332097065811337</v>
      </c>
      <c r="S61" s="8">
        <f>bdrate(C61:C64,F61:F64,J61:J64,M61:M64)</f>
        <v>-0.20629075945075204</v>
      </c>
      <c r="T61" s="25">
        <f>bdrate(C61:C64,H61:H64,J61:J64,O61:O64)</f>
        <v>-5.6004361227363741E-2</v>
      </c>
      <c r="U61" s="28">
        <f t="shared" si="2"/>
        <v>-0.41346537579999998</v>
      </c>
    </row>
    <row r="62" spans="1:21" x14ac:dyDescent="0.25">
      <c r="B62" s="9"/>
      <c r="C62" s="31">
        <v>397.0830078125</v>
      </c>
      <c r="D62" s="32">
        <v>32.377800000000001</v>
      </c>
      <c r="E62" s="32">
        <v>37.486400000000003</v>
      </c>
      <c r="F62" s="32">
        <v>38.213299999999997</v>
      </c>
      <c r="G62" s="18">
        <v>45.7205559619605</v>
      </c>
      <c r="H62" s="18">
        <f t="shared" si="0"/>
        <v>33.7458125</v>
      </c>
      <c r="I62" s="5"/>
      <c r="J62" s="31">
        <v>375.56319999999999</v>
      </c>
      <c r="K62" s="32">
        <v>32.1462</v>
      </c>
      <c r="L62" s="32">
        <v>37.710099999999997</v>
      </c>
      <c r="M62" s="32">
        <v>38.493299999999998</v>
      </c>
      <c r="N62" s="18">
        <v>26.9862</v>
      </c>
      <c r="O62" s="18">
        <f t="shared" si="1"/>
        <v>33.635075000000001</v>
      </c>
      <c r="P62" s="7"/>
      <c r="Q62" s="10"/>
      <c r="R62" s="11"/>
      <c r="S62" s="11"/>
      <c r="T62" s="26"/>
      <c r="U62" s="28">
        <f t="shared" si="2"/>
        <v>-0.40975783360000001</v>
      </c>
    </row>
    <row r="63" spans="1:21" x14ac:dyDescent="0.25">
      <c r="B63" s="9"/>
      <c r="C63" s="31">
        <v>250.6220703125</v>
      </c>
      <c r="D63" s="32">
        <v>30.523399999999999</v>
      </c>
      <c r="E63" s="32">
        <v>36.296799999999998</v>
      </c>
      <c r="F63" s="32">
        <v>37.032800000000002</v>
      </c>
      <c r="G63" s="18">
        <v>56.110425317023903</v>
      </c>
      <c r="H63" s="18">
        <f t="shared" si="0"/>
        <v>32.058749999999996</v>
      </c>
      <c r="I63" s="5"/>
      <c r="J63" s="31">
        <v>239.08</v>
      </c>
      <c r="K63" s="32">
        <v>30.437200000000001</v>
      </c>
      <c r="L63" s="32">
        <v>36.7151</v>
      </c>
      <c r="M63" s="32">
        <v>37.522599999999997</v>
      </c>
      <c r="N63" s="18">
        <v>34.055300000000003</v>
      </c>
      <c r="O63" s="18">
        <f t="shared" si="1"/>
        <v>32.107612500000002</v>
      </c>
      <c r="P63" s="7"/>
      <c r="Q63" s="10"/>
      <c r="R63" s="11"/>
      <c r="S63" s="11"/>
      <c r="T63" s="26"/>
      <c r="U63" s="28">
        <f t="shared" si="2"/>
        <v>-0.39306644339999997</v>
      </c>
    </row>
    <row r="64" spans="1:21" ht="16.5" thickBot="1" x14ac:dyDescent="0.3">
      <c r="B64" s="12"/>
      <c r="C64" s="33">
        <v>120.162109375</v>
      </c>
      <c r="D64" s="34">
        <v>27.749400000000001</v>
      </c>
      <c r="E64" s="34">
        <v>34.733600000000003</v>
      </c>
      <c r="F64" s="34">
        <v>35.450000000000003</v>
      </c>
      <c r="G64" s="20">
        <v>79.013906447534765</v>
      </c>
      <c r="H64" s="20">
        <f t="shared" si="0"/>
        <v>29.585000000000001</v>
      </c>
      <c r="I64" s="5"/>
      <c r="J64" s="33">
        <v>116.6576</v>
      </c>
      <c r="K64" s="34">
        <v>27.993200000000002</v>
      </c>
      <c r="L64" s="34">
        <v>35.252600000000001</v>
      </c>
      <c r="M64" s="34">
        <v>36.057099999999998</v>
      </c>
      <c r="N64" s="20">
        <v>48.123199999999997</v>
      </c>
      <c r="O64" s="20">
        <f t="shared" si="1"/>
        <v>29.9086125</v>
      </c>
      <c r="P64" s="7"/>
      <c r="Q64" s="13"/>
      <c r="R64" s="14"/>
      <c r="S64" s="14"/>
      <c r="T64" s="27"/>
      <c r="U64" s="28">
        <f t="shared" si="2"/>
        <v>-0.39095278080000001</v>
      </c>
    </row>
    <row r="65" spans="1:21" x14ac:dyDescent="0.25">
      <c r="B65" s="6" t="s">
        <v>60</v>
      </c>
      <c r="C65" s="15">
        <v>577.271484375</v>
      </c>
      <c r="D65" s="16">
        <v>35.731900000000003</v>
      </c>
      <c r="E65" s="16">
        <v>39.017299999999999</v>
      </c>
      <c r="F65" s="16">
        <v>40.244100000000003</v>
      </c>
      <c r="G65" s="16">
        <v>20.193861066235865</v>
      </c>
      <c r="H65" s="16">
        <f t="shared" si="0"/>
        <v>36.706600000000009</v>
      </c>
      <c r="I65" s="5"/>
      <c r="J65" s="15">
        <v>579.50239999999997</v>
      </c>
      <c r="K65" s="16">
        <v>35.244399999999999</v>
      </c>
      <c r="L65" s="16">
        <v>39.160400000000003</v>
      </c>
      <c r="M65" s="16">
        <v>40.334000000000003</v>
      </c>
      <c r="N65" s="16">
        <v>12.6518</v>
      </c>
      <c r="O65" s="16">
        <f t="shared" si="1"/>
        <v>36.370100000000001</v>
      </c>
      <c r="P65" s="7"/>
      <c r="Q65" s="8">
        <f>bdrate(C65:C68,D65:D68,J65:J68,K65:K68)</f>
        <v>9.3623767001118852E-2</v>
      </c>
      <c r="R65" s="8">
        <f>bdrate(C65:C68,E65:E68,J65:J68,L65:L68)</f>
        <v>-6.9092949710007456E-2</v>
      </c>
      <c r="S65" s="8">
        <f>bdrate(C65:C68,F65:F68,J65:J68,M65:M68)</f>
        <v>-6.8771650571969878E-2</v>
      </c>
      <c r="T65" s="25">
        <f>bdrate(C65:C68,H65:H68,J65:J68,O65:O68)</f>
        <v>6.3908681656692723E-2</v>
      </c>
      <c r="U65" s="28">
        <f t="shared" si="2"/>
        <v>-0.37348286400000003</v>
      </c>
    </row>
    <row r="66" spans="1:21" x14ac:dyDescent="0.25">
      <c r="B66" s="9"/>
      <c r="C66" s="17">
        <v>388.015625</v>
      </c>
      <c r="D66" s="18">
        <v>33.733899999999998</v>
      </c>
      <c r="E66" s="18">
        <v>37.802999999999997</v>
      </c>
      <c r="F66" s="18">
        <v>39.0319</v>
      </c>
      <c r="G66" s="18">
        <v>24.216984178237002</v>
      </c>
      <c r="H66" s="18">
        <f t="shared" si="0"/>
        <v>34.904787499999998</v>
      </c>
      <c r="I66" s="5"/>
      <c r="J66" s="17">
        <v>385.04880000000003</v>
      </c>
      <c r="K66" s="18">
        <v>33.238399999999999</v>
      </c>
      <c r="L66" s="18">
        <v>37.9011</v>
      </c>
      <c r="M66" s="18">
        <v>39.125999999999998</v>
      </c>
      <c r="N66" s="18">
        <v>15.018000000000001</v>
      </c>
      <c r="O66" s="18">
        <f t="shared" si="1"/>
        <v>34.557187499999998</v>
      </c>
      <c r="P66" s="7"/>
      <c r="Q66" s="10"/>
      <c r="R66" s="11"/>
      <c r="S66" s="11"/>
      <c r="T66" s="26"/>
      <c r="U66" s="28">
        <f t="shared" si="2"/>
        <v>-0.37985671999999993</v>
      </c>
    </row>
    <row r="67" spans="1:21" x14ac:dyDescent="0.25">
      <c r="B67" s="9"/>
      <c r="C67" s="17">
        <v>242.68359375</v>
      </c>
      <c r="D67" s="18">
        <v>31.563700000000001</v>
      </c>
      <c r="E67" s="18">
        <v>36.479500000000002</v>
      </c>
      <c r="F67" s="18">
        <v>37.673299999999998</v>
      </c>
      <c r="G67" s="18">
        <v>30.41362530413625</v>
      </c>
      <c r="H67" s="18">
        <f t="shared" si="0"/>
        <v>32.941875000000003</v>
      </c>
      <c r="I67" s="5"/>
      <c r="J67" s="17">
        <v>239.10480000000001</v>
      </c>
      <c r="K67" s="18">
        <v>31.107399999999998</v>
      </c>
      <c r="L67" s="18">
        <v>36.615000000000002</v>
      </c>
      <c r="M67" s="18">
        <v>37.819800000000001</v>
      </c>
      <c r="N67" s="18">
        <v>18.1995</v>
      </c>
      <c r="O67" s="18">
        <f t="shared" si="1"/>
        <v>32.634900000000002</v>
      </c>
      <c r="P67" s="7"/>
      <c r="Q67" s="10"/>
      <c r="R67" s="11"/>
      <c r="S67" s="11"/>
      <c r="T67" s="26"/>
      <c r="U67" s="28">
        <f t="shared" si="2"/>
        <v>-0.40160043999999995</v>
      </c>
    </row>
    <row r="68" spans="1:21" ht="16.5" thickBot="1" x14ac:dyDescent="0.3">
      <c r="B68" s="12"/>
      <c r="C68" s="19">
        <v>120.1640625</v>
      </c>
      <c r="D68" s="20">
        <v>28.751100000000001</v>
      </c>
      <c r="E68" s="20">
        <v>34.808999999999997</v>
      </c>
      <c r="F68" s="20">
        <v>35.932899999999997</v>
      </c>
      <c r="G68" s="20">
        <v>45.153521974714025</v>
      </c>
      <c r="H68" s="20">
        <f t="shared" si="0"/>
        <v>30.406062499999997</v>
      </c>
      <c r="I68" s="5"/>
      <c r="J68" s="19">
        <v>114.86</v>
      </c>
      <c r="K68" s="20">
        <v>28.389199999999999</v>
      </c>
      <c r="L68" s="20">
        <v>35.102699999999999</v>
      </c>
      <c r="M68" s="20">
        <v>36.240400000000001</v>
      </c>
      <c r="N68" s="20">
        <v>25.395800000000001</v>
      </c>
      <c r="O68" s="20">
        <f t="shared" si="1"/>
        <v>30.209787499999997</v>
      </c>
      <c r="P68" s="7"/>
      <c r="Q68" s="13"/>
      <c r="R68" s="14"/>
      <c r="S68" s="14"/>
      <c r="T68" s="27"/>
      <c r="U68" s="28">
        <f t="shared" si="2"/>
        <v>-0.43756768266666662</v>
      </c>
    </row>
    <row r="69" spans="1:21" x14ac:dyDescent="0.25">
      <c r="A69" s="6" t="s">
        <v>43</v>
      </c>
      <c r="B69" s="6" t="s">
        <v>61</v>
      </c>
      <c r="C69" s="15">
        <v>1411.28125</v>
      </c>
      <c r="D69" s="16">
        <v>41.926600000000001</v>
      </c>
      <c r="E69" s="16">
        <v>46.1907</v>
      </c>
      <c r="F69" s="16">
        <v>47.527799999999999</v>
      </c>
      <c r="G69" s="16">
        <v>12.558869701726845</v>
      </c>
      <c r="H69" s="16">
        <f t="shared" si="0"/>
        <v>43.159762499999999</v>
      </c>
      <c r="I69" s="5"/>
      <c r="J69" s="15">
        <v>1507.5568000000001</v>
      </c>
      <c r="K69" s="16">
        <v>42.091900000000003</v>
      </c>
      <c r="L69" s="16">
        <v>46.639600000000002</v>
      </c>
      <c r="M69" s="16">
        <v>47.901299999999999</v>
      </c>
      <c r="N69" s="16">
        <v>7.1708999999999996</v>
      </c>
      <c r="O69" s="16">
        <f t="shared" si="1"/>
        <v>43.386537500000003</v>
      </c>
      <c r="P69" s="7"/>
      <c r="Q69" s="8">
        <f>bdrate(C69:C72,D69:D72,J69:J72,K69:K72)</f>
        <v>-6.2950895858437939E-4</v>
      </c>
      <c r="R69" s="8">
        <f>bdrate(C69:C72,E69:E72,J69:J72,L69:L72)</f>
        <v>-0.11810734941381562</v>
      </c>
      <c r="S69" s="8">
        <f>bdrate(C69:C72,F69:F72,J69:J72,M69:M72)</f>
        <v>-7.9511242822763117E-2</v>
      </c>
      <c r="T69" s="25">
        <f>bdrate(C69:C72,H69:H72,J69:J72,O69:O72)</f>
        <v>-2.0401332469004441E-2</v>
      </c>
      <c r="U69" s="28">
        <f t="shared" si="2"/>
        <v>-0.42901708750000006</v>
      </c>
    </row>
    <row r="70" spans="1:21" x14ac:dyDescent="0.25">
      <c r="A70" s="9" t="s">
        <v>44</v>
      </c>
      <c r="B70" s="9"/>
      <c r="C70" s="17">
        <v>935.4755859375</v>
      </c>
      <c r="D70" s="18">
        <v>40.917900000000003</v>
      </c>
      <c r="E70" s="18">
        <v>45.278399999999998</v>
      </c>
      <c r="F70" s="18">
        <v>46.611899999999999</v>
      </c>
      <c r="G70" s="18">
        <v>15.403573629081947</v>
      </c>
      <c r="H70" s="18">
        <f t="shared" si="0"/>
        <v>42.174712499999998</v>
      </c>
      <c r="I70" s="5"/>
      <c r="J70" s="17">
        <v>995.66319999999996</v>
      </c>
      <c r="K70" s="18">
        <v>41.133499999999998</v>
      </c>
      <c r="L70" s="18">
        <v>45.8613</v>
      </c>
      <c r="M70" s="18">
        <v>47.070999999999998</v>
      </c>
      <c r="N70" s="18">
        <v>9.1266999999999996</v>
      </c>
      <c r="O70" s="18">
        <f t="shared" si="1"/>
        <v>42.466662499999998</v>
      </c>
      <c r="P70" s="7"/>
      <c r="Q70" s="10"/>
      <c r="R70" s="11"/>
      <c r="S70" s="11"/>
      <c r="T70" s="26"/>
      <c r="U70" s="28">
        <f t="shared" si="2"/>
        <v>-0.40749463600000002</v>
      </c>
    </row>
    <row r="71" spans="1:21" x14ac:dyDescent="0.25">
      <c r="B71" s="9"/>
      <c r="C71" s="17">
        <v>559.8603515625</v>
      </c>
      <c r="D71" s="18">
        <v>39.1312</v>
      </c>
      <c r="E71" s="18">
        <v>43.929299999999998</v>
      </c>
      <c r="F71" s="18">
        <v>45.241500000000002</v>
      </c>
      <c r="G71" s="18">
        <v>19.712849492394124</v>
      </c>
      <c r="H71" s="18">
        <f t="shared" si="0"/>
        <v>40.494749999999996</v>
      </c>
      <c r="I71" s="5"/>
      <c r="J71" s="17">
        <v>588.12959999999998</v>
      </c>
      <c r="K71" s="18">
        <v>39.346400000000003</v>
      </c>
      <c r="L71" s="18">
        <v>44.3887</v>
      </c>
      <c r="M71" s="18">
        <v>45.589399999999998</v>
      </c>
      <c r="N71" s="18">
        <v>11.813800000000001</v>
      </c>
      <c r="O71" s="18">
        <f t="shared" si="1"/>
        <v>40.757062500000004</v>
      </c>
      <c r="P71" s="7"/>
      <c r="Q71" s="10"/>
      <c r="R71" s="11"/>
      <c r="S71" s="11"/>
      <c r="T71" s="26"/>
      <c r="U71" s="28">
        <f t="shared" si="2"/>
        <v>-0.40070561566666657</v>
      </c>
    </row>
    <row r="72" spans="1:21" ht="16.5" thickBot="1" x14ac:dyDescent="0.3">
      <c r="B72" s="12"/>
      <c r="C72" s="19">
        <v>280.140625</v>
      </c>
      <c r="D72" s="20">
        <v>36.171599999999998</v>
      </c>
      <c r="E72" s="20">
        <v>42.124600000000001</v>
      </c>
      <c r="F72" s="20">
        <v>43.324100000000001</v>
      </c>
      <c r="G72" s="20">
        <v>27.829313543599259</v>
      </c>
      <c r="H72" s="20">
        <f t="shared" si="0"/>
        <v>37.809787499999999</v>
      </c>
      <c r="I72" s="5"/>
      <c r="J72" s="19">
        <v>289.31760000000003</v>
      </c>
      <c r="K72" s="20">
        <v>36.163600000000002</v>
      </c>
      <c r="L72" s="20">
        <v>42.353999999999999</v>
      </c>
      <c r="M72" s="20">
        <v>43.507300000000001</v>
      </c>
      <c r="N72" s="20">
        <v>16.979900000000001</v>
      </c>
      <c r="O72" s="20">
        <f t="shared" si="1"/>
        <v>37.855362499999998</v>
      </c>
      <c r="P72" s="7"/>
      <c r="Q72" s="13"/>
      <c r="R72" s="14"/>
      <c r="S72" s="14"/>
      <c r="T72" s="27"/>
      <c r="U72" s="28">
        <f t="shared" si="2"/>
        <v>-0.38985559333333331</v>
      </c>
    </row>
    <row r="73" spans="1:21" x14ac:dyDescent="0.25">
      <c r="B73" s="6" t="s">
        <v>62</v>
      </c>
      <c r="C73" s="15">
        <v>1427.796875</v>
      </c>
      <c r="D73" s="16">
        <v>42.885599999999997</v>
      </c>
      <c r="E73" s="16">
        <v>48.055500000000002</v>
      </c>
      <c r="F73" s="16">
        <v>48.787999999999997</v>
      </c>
      <c r="G73" s="16">
        <v>14.155951397900202</v>
      </c>
      <c r="H73" s="16">
        <f t="shared" si="0"/>
        <v>44.269637499999995</v>
      </c>
      <c r="I73" s="5"/>
      <c r="J73" s="15">
        <v>1524.2783999999999</v>
      </c>
      <c r="K73" s="16">
        <v>43.020099999999999</v>
      </c>
      <c r="L73" s="16">
        <v>48.476399999999998</v>
      </c>
      <c r="M73" s="16">
        <v>49.2117</v>
      </c>
      <c r="N73" s="16">
        <v>8.1791999999999998</v>
      </c>
      <c r="O73" s="16">
        <f t="shared" si="1"/>
        <v>44.476087499999998</v>
      </c>
      <c r="P73" s="7"/>
      <c r="Q73" s="8">
        <f>bdrate(C73:C76,D73:D76,J73:J76,K73:K76)</f>
        <v>-8.0703642297385692E-2</v>
      </c>
      <c r="R73" s="8">
        <f>bdrate(C73:C76,E73:E76,J73:J76,L73:L76)</f>
        <v>-0.2409653819348978</v>
      </c>
      <c r="S73" s="8">
        <f>bdrate(C73:C76,F73:F76,J73:J76,M73:M76)</f>
        <v>-0.19606180009502105</v>
      </c>
      <c r="T73" s="25">
        <f>bdrate(C73:C76,H73:H76,J73:J76,O73:O76)</f>
        <v>-0.11747202747536456</v>
      </c>
      <c r="U73" s="28">
        <f t="shared" ref="U73:U124" si="3">(N73-G73)/G73</f>
        <v>-0.42220768000000009</v>
      </c>
    </row>
    <row r="74" spans="1:21" x14ac:dyDescent="0.25">
      <c r="B74" s="9"/>
      <c r="C74" s="17">
        <v>939.1962890625</v>
      </c>
      <c r="D74" s="18">
        <v>42.425800000000002</v>
      </c>
      <c r="E74" s="18">
        <v>47.619399999999999</v>
      </c>
      <c r="F74" s="18">
        <v>48.348599999999998</v>
      </c>
      <c r="G74" s="18">
        <v>17.32952083874881</v>
      </c>
      <c r="H74" s="18">
        <f t="shared" si="0"/>
        <v>43.815349999999995</v>
      </c>
      <c r="I74" s="5"/>
      <c r="J74" s="17">
        <v>988.74080000000004</v>
      </c>
      <c r="K74" s="18">
        <v>42.620199999999997</v>
      </c>
      <c r="L74" s="18">
        <v>48.108800000000002</v>
      </c>
      <c r="M74" s="18">
        <v>48.801000000000002</v>
      </c>
      <c r="N74" s="18">
        <v>9.9030000000000005</v>
      </c>
      <c r="O74" s="18">
        <f t="shared" si="1"/>
        <v>44.078874999999996</v>
      </c>
      <c r="P74" s="7"/>
      <c r="Q74" s="10"/>
      <c r="R74" s="11"/>
      <c r="S74" s="11"/>
      <c r="T74" s="26"/>
      <c r="U74" s="28">
        <f t="shared" si="3"/>
        <v>-0.428547385</v>
      </c>
    </row>
    <row r="75" spans="1:21" x14ac:dyDescent="0.25">
      <c r="B75" s="9"/>
      <c r="C75" s="17">
        <v>568.7490234375</v>
      </c>
      <c r="D75" s="18">
        <v>41.699399999999997</v>
      </c>
      <c r="E75" s="18">
        <v>46.845399999999998</v>
      </c>
      <c r="F75" s="18">
        <v>47.622300000000003</v>
      </c>
      <c r="G75" s="18">
        <v>21.888224135415147</v>
      </c>
      <c r="H75" s="18">
        <f t="shared" si="0"/>
        <v>43.083012499999995</v>
      </c>
      <c r="I75" s="5"/>
      <c r="J75" s="17">
        <v>569.28160000000003</v>
      </c>
      <c r="K75" s="18">
        <v>41.863500000000002</v>
      </c>
      <c r="L75" s="18">
        <v>47.384900000000002</v>
      </c>
      <c r="M75" s="18">
        <v>48.072699999999998</v>
      </c>
      <c r="N75" s="18">
        <v>12.9344</v>
      </c>
      <c r="O75" s="18">
        <f t="shared" si="1"/>
        <v>43.329825</v>
      </c>
      <c r="P75" s="7"/>
      <c r="Q75" s="10"/>
      <c r="R75" s="11"/>
      <c r="S75" s="11"/>
      <c r="T75" s="26"/>
      <c r="U75" s="28">
        <f t="shared" si="3"/>
        <v>-0.40907037866666668</v>
      </c>
    </row>
    <row r="76" spans="1:21" ht="16.5" thickBot="1" x14ac:dyDescent="0.3">
      <c r="B76" s="12"/>
      <c r="C76" s="19">
        <v>286.0625</v>
      </c>
      <c r="D76" s="20">
        <v>40.145299999999999</v>
      </c>
      <c r="E76" s="20">
        <v>45.431199999999997</v>
      </c>
      <c r="F76" s="20">
        <v>46.239699999999999</v>
      </c>
      <c r="G76" s="20">
        <v>30.001500075003751</v>
      </c>
      <c r="H76" s="20">
        <f t="shared" si="0"/>
        <v>41.567837499999996</v>
      </c>
      <c r="I76" s="5"/>
      <c r="J76" s="19">
        <v>273.572</v>
      </c>
      <c r="K76" s="20">
        <v>40.088000000000001</v>
      </c>
      <c r="L76" s="20">
        <v>45.576099999999997</v>
      </c>
      <c r="M76" s="20">
        <v>46.113399999999999</v>
      </c>
      <c r="N76" s="20">
        <v>19.139399999999998</v>
      </c>
      <c r="O76" s="20">
        <f t="shared" si="1"/>
        <v>41.527187500000004</v>
      </c>
      <c r="P76" s="7"/>
      <c r="Q76" s="13"/>
      <c r="R76" s="14"/>
      <c r="S76" s="14"/>
      <c r="T76" s="27"/>
      <c r="U76" s="28">
        <f t="shared" si="3"/>
        <v>-0.36205189900000007</v>
      </c>
    </row>
    <row r="77" spans="1:21" x14ac:dyDescent="0.25">
      <c r="B77" s="6" t="s">
        <v>63</v>
      </c>
      <c r="C77" s="15">
        <v>1440.275390625</v>
      </c>
      <c r="D77" s="16">
        <v>42.846400000000003</v>
      </c>
      <c r="E77" s="16">
        <v>47.222099999999998</v>
      </c>
      <c r="F77" s="16">
        <v>48.116</v>
      </c>
      <c r="G77" s="16">
        <v>11.746280344557556</v>
      </c>
      <c r="H77" s="16">
        <f t="shared" si="0"/>
        <v>44.052062499999998</v>
      </c>
      <c r="I77" s="5"/>
      <c r="J77" s="15">
        <v>1541.9304</v>
      </c>
      <c r="K77" s="16">
        <v>43.0182</v>
      </c>
      <c r="L77" s="16">
        <v>47.732599999999998</v>
      </c>
      <c r="M77" s="16">
        <v>48.661099999999998</v>
      </c>
      <c r="N77" s="16">
        <v>7.2060000000000004</v>
      </c>
      <c r="O77" s="16">
        <f t="shared" si="1"/>
        <v>44.312862499999994</v>
      </c>
      <c r="P77" s="7"/>
      <c r="Q77" s="8">
        <f>bdrate(C77:C80,D77:D80,J77:J80,K77:K80)</f>
        <v>-2.0003039053227978E-2</v>
      </c>
      <c r="R77" s="8">
        <f>bdrate(C77:C80,E77:E80,J77:J80,L77:L80)</f>
        <v>-0.17914089014643586</v>
      </c>
      <c r="S77" s="8">
        <f>bdrate(C77:C80,F77:F80,J77:J80,M77:M80)</f>
        <v>-0.15293241105537569</v>
      </c>
      <c r="T77" s="25">
        <f>bdrate(C77:C80,H77:H80,J77:J80,O77:O80)</f>
        <v>-5.3865305018543141E-2</v>
      </c>
      <c r="U77" s="28">
        <f t="shared" si="3"/>
        <v>-0.38652919999999996</v>
      </c>
    </row>
    <row r="78" spans="1:21" x14ac:dyDescent="0.25">
      <c r="B78" s="9"/>
      <c r="C78" s="17">
        <v>963.015625</v>
      </c>
      <c r="D78" s="18">
        <v>42.138199999999998</v>
      </c>
      <c r="E78" s="18">
        <v>46.534100000000002</v>
      </c>
      <c r="F78" s="18">
        <v>47.4741</v>
      </c>
      <c r="G78" s="18">
        <v>14.349604190084422</v>
      </c>
      <c r="H78" s="18">
        <f t="shared" si="0"/>
        <v>43.354675</v>
      </c>
      <c r="I78" s="5"/>
      <c r="J78" s="17">
        <v>1019.3</v>
      </c>
      <c r="K78" s="18">
        <v>42.301600000000001</v>
      </c>
      <c r="L78" s="18">
        <v>47.0486</v>
      </c>
      <c r="M78" s="18">
        <v>47.947299999999998</v>
      </c>
      <c r="N78" s="18">
        <v>8.8841999999999999</v>
      </c>
      <c r="O78" s="18">
        <f t="shared" si="1"/>
        <v>43.600687499999999</v>
      </c>
      <c r="P78" s="7"/>
      <c r="Q78" s="10"/>
      <c r="R78" s="11"/>
      <c r="S78" s="11"/>
      <c r="T78" s="26"/>
      <c r="U78" s="28">
        <f t="shared" si="3"/>
        <v>-0.38087490899999993</v>
      </c>
    </row>
    <row r="79" spans="1:21" x14ac:dyDescent="0.25">
      <c r="B79" s="9"/>
      <c r="C79" s="17">
        <v>581.5439453125</v>
      </c>
      <c r="D79" s="18">
        <v>40.9315</v>
      </c>
      <c r="E79" s="18">
        <v>45.414499999999997</v>
      </c>
      <c r="F79" s="18">
        <v>46.367600000000003</v>
      </c>
      <c r="G79" s="18">
        <v>18.382352941176471</v>
      </c>
      <c r="H79" s="18">
        <f t="shared" si="0"/>
        <v>42.171387499999994</v>
      </c>
      <c r="I79" s="5"/>
      <c r="J79" s="17">
        <v>594.75199999999995</v>
      </c>
      <c r="K79" s="18">
        <v>41.034799999999997</v>
      </c>
      <c r="L79" s="18">
        <v>45.914400000000001</v>
      </c>
      <c r="M79" s="18">
        <v>46.788499999999999</v>
      </c>
      <c r="N79" s="18">
        <v>11.7712</v>
      </c>
      <c r="O79" s="18">
        <f t="shared" si="1"/>
        <v>42.3639625</v>
      </c>
      <c r="P79" s="7"/>
      <c r="Q79" s="10"/>
      <c r="R79" s="11"/>
      <c r="S79" s="11"/>
      <c r="T79" s="26"/>
      <c r="U79" s="28">
        <f t="shared" si="3"/>
        <v>-0.35964671999999998</v>
      </c>
    </row>
    <row r="80" spans="1:21" ht="16.5" thickBot="1" x14ac:dyDescent="0.3">
      <c r="B80" s="12"/>
      <c r="C80" s="19">
        <v>294.17578125</v>
      </c>
      <c r="D80" s="20">
        <v>38.532800000000002</v>
      </c>
      <c r="E80" s="20">
        <v>43.56</v>
      </c>
      <c r="F80" s="20">
        <v>44.6479</v>
      </c>
      <c r="G80" s="20">
        <v>25.816445075513101</v>
      </c>
      <c r="H80" s="20">
        <f t="shared" si="0"/>
        <v>39.925587499999999</v>
      </c>
      <c r="I80" s="5"/>
      <c r="J80" s="19">
        <v>291.47359999999998</v>
      </c>
      <c r="K80" s="20">
        <v>38.596299999999999</v>
      </c>
      <c r="L80" s="20">
        <v>44.088000000000001</v>
      </c>
      <c r="M80" s="20">
        <v>45</v>
      </c>
      <c r="N80" s="20">
        <v>17.261700000000001</v>
      </c>
      <c r="O80" s="20">
        <f t="shared" si="1"/>
        <v>40.083224999999999</v>
      </c>
      <c r="P80" s="7"/>
      <c r="Q80" s="13"/>
      <c r="R80" s="14"/>
      <c r="S80" s="14"/>
      <c r="T80" s="27"/>
      <c r="U80" s="28">
        <f t="shared" si="3"/>
        <v>-0.33136805049999996</v>
      </c>
    </row>
    <row r="81" spans="1:21" x14ac:dyDescent="0.25">
      <c r="A81" s="6" t="s">
        <v>102</v>
      </c>
      <c r="B81" s="6" t="s">
        <v>103</v>
      </c>
      <c r="C81" s="15">
        <v>1474.4560546875</v>
      </c>
      <c r="D81" s="16">
        <v>37.854300000000002</v>
      </c>
      <c r="E81" s="16">
        <v>43.393000000000001</v>
      </c>
      <c r="F81" s="16">
        <v>44.0473</v>
      </c>
      <c r="G81" s="16">
        <v>4.5793370137634515</v>
      </c>
      <c r="H81" s="16">
        <f t="shared" ref="H81:H124" si="4">(6*D81+E81+F81)/8</f>
        <v>39.320762500000008</v>
      </c>
      <c r="I81" s="5"/>
      <c r="J81" s="15">
        <v>1517.7728</v>
      </c>
      <c r="K81" s="16">
        <v>37.911299999999997</v>
      </c>
      <c r="L81" s="16">
        <v>43.867400000000004</v>
      </c>
      <c r="M81" s="16">
        <v>44.542200000000001</v>
      </c>
      <c r="N81" s="16">
        <v>3.3481999999999998</v>
      </c>
      <c r="O81" s="16">
        <f t="shared" ref="O81:O124" si="5">(6*K81+L81+M81)/8</f>
        <v>39.484674999999996</v>
      </c>
      <c r="P81" s="7"/>
      <c r="Q81" s="8">
        <f>bdrate(C81:C84,D81:D84,J81:J84,K81:K84)</f>
        <v>-5.9464139004244965E-3</v>
      </c>
      <c r="R81" s="8">
        <f>bdrate(C81:C84,E81:E84,J81:J84,L81:L84)</f>
        <v>-0.18083240120650557</v>
      </c>
      <c r="S81" s="8">
        <f>bdrate(C81:C84,F81:F84,J81:J84,M81:M84)</f>
        <v>-0.19415412528555664</v>
      </c>
      <c r="T81" s="25">
        <f>bdrate(C81:C84,H81:H84,J81:J84,O81:O84)</f>
        <v>-3.9887370563479907E-2</v>
      </c>
      <c r="U81" s="28">
        <f t="shared" si="3"/>
        <v>-0.26884612555555554</v>
      </c>
    </row>
    <row r="82" spans="1:21" x14ac:dyDescent="0.25">
      <c r="A82" s="9" t="s">
        <v>78</v>
      </c>
      <c r="B82" s="9"/>
      <c r="C82" s="17">
        <v>983.8623046875</v>
      </c>
      <c r="D82" s="18">
        <v>35.912100000000002</v>
      </c>
      <c r="E82" s="18">
        <v>42.03</v>
      </c>
      <c r="F82" s="18">
        <v>42.703600000000002</v>
      </c>
      <c r="G82" s="18">
        <v>5.5406436996724864</v>
      </c>
      <c r="H82" s="18">
        <f t="shared" si="4"/>
        <v>37.525775000000003</v>
      </c>
      <c r="I82" s="5"/>
      <c r="J82" s="17">
        <v>1015.1272</v>
      </c>
      <c r="K82" s="18">
        <v>36.061199999999999</v>
      </c>
      <c r="L82" s="18">
        <v>42.625900000000001</v>
      </c>
      <c r="M82" s="18">
        <v>43.338000000000001</v>
      </c>
      <c r="N82" s="18">
        <v>3.9571999999999998</v>
      </c>
      <c r="O82" s="18">
        <f t="shared" si="5"/>
        <v>37.791387500000006</v>
      </c>
      <c r="P82" s="7"/>
      <c r="Q82" s="10"/>
      <c r="R82" s="11"/>
      <c r="S82" s="11"/>
      <c r="T82" s="26"/>
      <c r="U82" s="28">
        <f t="shared" si="3"/>
        <v>-0.28578695644444446</v>
      </c>
    </row>
    <row r="83" spans="1:21" x14ac:dyDescent="0.25">
      <c r="B83" s="9"/>
      <c r="C83" s="17">
        <v>591.130859375</v>
      </c>
      <c r="D83" s="18">
        <v>33.484900000000003</v>
      </c>
      <c r="E83" s="18">
        <v>40.485999999999997</v>
      </c>
      <c r="F83" s="18">
        <v>41.152000000000001</v>
      </c>
      <c r="G83" s="18">
        <v>7.1879816946066173</v>
      </c>
      <c r="H83" s="18">
        <f t="shared" si="4"/>
        <v>35.318424999999998</v>
      </c>
      <c r="I83" s="5"/>
      <c r="J83" s="17">
        <v>607.68399999999997</v>
      </c>
      <c r="K83" s="18">
        <v>33.639099999999999</v>
      </c>
      <c r="L83" s="18">
        <v>41.184399999999997</v>
      </c>
      <c r="M83" s="18">
        <v>41.909100000000002</v>
      </c>
      <c r="N83" s="18">
        <v>4.9701000000000004</v>
      </c>
      <c r="O83" s="18">
        <f t="shared" si="5"/>
        <v>35.616012500000004</v>
      </c>
      <c r="P83" s="7"/>
      <c r="Q83" s="10"/>
      <c r="R83" s="11"/>
      <c r="S83" s="11"/>
      <c r="T83" s="26"/>
      <c r="U83" s="28">
        <f t="shared" si="3"/>
        <v>-0.30855416566666655</v>
      </c>
    </row>
    <row r="84" spans="1:21" ht="16.5" thickBot="1" x14ac:dyDescent="0.3">
      <c r="B84" s="12"/>
      <c r="C84" s="19">
        <v>295.576171875</v>
      </c>
      <c r="D84" s="20">
        <v>30.206199999999999</v>
      </c>
      <c r="E84" s="20">
        <v>38.509599999999999</v>
      </c>
      <c r="F84" s="20">
        <v>39.201799999999999</v>
      </c>
      <c r="G84" s="20">
        <v>10.610705022400378</v>
      </c>
      <c r="H84" s="20">
        <f t="shared" si="4"/>
        <v>32.368575</v>
      </c>
      <c r="I84" s="5"/>
      <c r="J84" s="19">
        <v>303.84960000000001</v>
      </c>
      <c r="K84" s="20">
        <v>30.482900000000001</v>
      </c>
      <c r="L84" s="20">
        <v>39.366700000000002</v>
      </c>
      <c r="M84" s="20">
        <v>40.061799999999998</v>
      </c>
      <c r="N84" s="20">
        <v>7.1451000000000002</v>
      </c>
      <c r="O84" s="20">
        <f t="shared" si="5"/>
        <v>32.790737499999999</v>
      </c>
      <c r="P84" s="7"/>
      <c r="Q84" s="13"/>
      <c r="R84" s="14"/>
      <c r="S84" s="14"/>
      <c r="T84" s="27"/>
      <c r="U84" s="28">
        <f t="shared" si="3"/>
        <v>-0.32661402</v>
      </c>
    </row>
    <row r="85" spans="1:21" x14ac:dyDescent="0.25">
      <c r="B85" s="6" t="s">
        <v>104</v>
      </c>
      <c r="C85" s="15">
        <v>1440.3330078125</v>
      </c>
      <c r="D85" s="16">
        <v>54.366999999999997</v>
      </c>
      <c r="E85" s="16">
        <v>54.964100000000002</v>
      </c>
      <c r="F85" s="16">
        <v>55.459099999999999</v>
      </c>
      <c r="G85" s="16">
        <v>17.813316443670335</v>
      </c>
      <c r="H85" s="16">
        <f t="shared" si="4"/>
        <v>54.578150000000001</v>
      </c>
      <c r="I85" s="5"/>
      <c r="J85" s="15">
        <v>1449.2114999999999</v>
      </c>
      <c r="K85" s="16">
        <v>54.082999999999998</v>
      </c>
      <c r="L85" s="16">
        <v>54.904499999999999</v>
      </c>
      <c r="M85" s="16">
        <v>55.552799999999998</v>
      </c>
      <c r="N85" s="16">
        <v>11.327199999999999</v>
      </c>
      <c r="O85" s="16">
        <f t="shared" si="5"/>
        <v>54.369412499999996</v>
      </c>
      <c r="P85" s="7"/>
      <c r="Q85" s="8">
        <f>bdrate(C85:C88,D85:D88,J85:J88,K85:K88)</f>
        <v>-8.3823766913641129E-2</v>
      </c>
      <c r="R85" s="8">
        <f>bdrate(C85:C88,E85:E88,J85:J88,L85:L88)</f>
        <v>-0.12767069788471119</v>
      </c>
      <c r="S85" s="8">
        <f>bdrate(C85:C88,F85:F88,J85:J88,M85:M88)</f>
        <v>-0.12668552419897217</v>
      </c>
      <c r="T85" s="25">
        <f>bdrate(C85:C88,H85:H88,J85:J88,O85:O88)</f>
        <v>-9.3810036545661557E-2</v>
      </c>
      <c r="U85" s="28">
        <f t="shared" si="3"/>
        <v>-0.36411616355555559</v>
      </c>
    </row>
    <row r="86" spans="1:21" x14ac:dyDescent="0.25">
      <c r="B86" s="9"/>
      <c r="C86" s="17">
        <v>961.939453125</v>
      </c>
      <c r="D86" s="18">
        <v>51.673299999999998</v>
      </c>
      <c r="E86" s="18">
        <v>52.587600000000002</v>
      </c>
      <c r="F86" s="18">
        <v>53.158200000000001</v>
      </c>
      <c r="G86" s="18">
        <v>20.525919675234338</v>
      </c>
      <c r="H86" s="18">
        <f t="shared" si="4"/>
        <v>51.973200000000006</v>
      </c>
      <c r="I86" s="5"/>
      <c r="J86" s="17">
        <v>982.08770000000004</v>
      </c>
      <c r="K86" s="18">
        <v>52.0122</v>
      </c>
      <c r="L86" s="18">
        <v>53.174799999999998</v>
      </c>
      <c r="M86" s="18">
        <v>53.765599999999999</v>
      </c>
      <c r="N86" s="18">
        <v>12.3484</v>
      </c>
      <c r="O86" s="18">
        <f t="shared" si="5"/>
        <v>52.3767</v>
      </c>
      <c r="P86" s="7"/>
      <c r="Q86" s="10"/>
      <c r="R86" s="11"/>
      <c r="S86" s="11"/>
      <c r="T86" s="26"/>
      <c r="U86" s="28">
        <f t="shared" si="3"/>
        <v>-0.39839967244444446</v>
      </c>
    </row>
    <row r="87" spans="1:21" x14ac:dyDescent="0.25">
      <c r="B87" s="9"/>
      <c r="C87" s="17">
        <v>579.822265625</v>
      </c>
      <c r="D87" s="18">
        <v>48.2012</v>
      </c>
      <c r="E87" s="18">
        <v>49.508699999999997</v>
      </c>
      <c r="F87" s="18">
        <v>50.069499999999998</v>
      </c>
      <c r="G87" s="18">
        <v>24.645380360370229</v>
      </c>
      <c r="H87" s="18">
        <f t="shared" si="4"/>
        <v>48.598174999999998</v>
      </c>
      <c r="I87" s="5"/>
      <c r="J87" s="17">
        <v>606.52049999999997</v>
      </c>
      <c r="K87" s="18">
        <v>49.401899999999998</v>
      </c>
      <c r="L87" s="18">
        <v>50.823500000000003</v>
      </c>
      <c r="M87" s="18">
        <v>51.343000000000004</v>
      </c>
      <c r="N87" s="18">
        <v>14.3385</v>
      </c>
      <c r="O87" s="18">
        <f t="shared" si="5"/>
        <v>49.8222375</v>
      </c>
      <c r="P87" s="7"/>
      <c r="Q87" s="10"/>
      <c r="R87" s="11"/>
      <c r="S87" s="11"/>
      <c r="T87" s="26"/>
      <c r="U87" s="28">
        <f t="shared" si="3"/>
        <v>-0.41820739666666668</v>
      </c>
    </row>
    <row r="88" spans="1:21" ht="16.5" thickBot="1" x14ac:dyDescent="0.3">
      <c r="B88" s="12"/>
      <c r="C88" s="19">
        <v>290.8310546875</v>
      </c>
      <c r="D88" s="20">
        <v>43.865299999999998</v>
      </c>
      <c r="E88" s="20">
        <v>45.557200000000002</v>
      </c>
      <c r="F88" s="20">
        <v>46.086399999999998</v>
      </c>
      <c r="G88" s="20">
        <v>31.743792325056432</v>
      </c>
      <c r="H88" s="20">
        <f t="shared" si="4"/>
        <v>44.354425000000006</v>
      </c>
      <c r="I88" s="5"/>
      <c r="J88" s="19">
        <v>310.95170000000002</v>
      </c>
      <c r="K88" s="20">
        <v>44.782600000000002</v>
      </c>
      <c r="L88" s="20">
        <v>46.844900000000003</v>
      </c>
      <c r="M88" s="20">
        <v>47.363799999999998</v>
      </c>
      <c r="N88" s="20">
        <v>19.110700000000001</v>
      </c>
      <c r="O88" s="20">
        <f t="shared" si="5"/>
        <v>45.363037500000004</v>
      </c>
      <c r="P88" s="7"/>
      <c r="Q88" s="13"/>
      <c r="R88" s="14"/>
      <c r="S88" s="14"/>
      <c r="T88" s="27"/>
      <c r="U88" s="28">
        <f t="shared" si="3"/>
        <v>-0.39797048177777772</v>
      </c>
    </row>
    <row r="89" spans="1:21" x14ac:dyDescent="0.25">
      <c r="B89" s="6" t="s">
        <v>105</v>
      </c>
      <c r="C89" s="15">
        <v>1454.94921875</v>
      </c>
      <c r="D89" s="16">
        <v>45.563200000000002</v>
      </c>
      <c r="E89" s="16">
        <v>47.733499999999999</v>
      </c>
      <c r="F89" s="16">
        <v>48.235300000000002</v>
      </c>
      <c r="G89" s="16">
        <v>8.5893434878460777</v>
      </c>
      <c r="H89" s="16">
        <f t="shared" si="4"/>
        <v>46.168500000000002</v>
      </c>
      <c r="I89" s="5"/>
      <c r="J89" s="15">
        <v>1480.82</v>
      </c>
      <c r="K89" s="16">
        <v>45.851700000000001</v>
      </c>
      <c r="L89" s="16">
        <v>48.298000000000002</v>
      </c>
      <c r="M89" s="16">
        <v>48.800400000000003</v>
      </c>
      <c r="N89" s="16">
        <v>5.9740000000000002</v>
      </c>
      <c r="O89" s="16">
        <f t="shared" si="5"/>
        <v>46.526075000000006</v>
      </c>
      <c r="P89" s="7"/>
      <c r="Q89" s="8">
        <f>bdrate(C89:C92,D89:D92,J89:J92,K89:K92)</f>
        <v>-5.6500169900789099E-2</v>
      </c>
      <c r="R89" s="8">
        <f>bdrate(C89:C92,E89:E92,J89:J92,L89:L92)</f>
        <v>-0.1691868947798596</v>
      </c>
      <c r="S89" s="8">
        <f>bdrate(C89:C92,F89:F92,J89:J92,M89:M92)</f>
        <v>-0.15653505867145978</v>
      </c>
      <c r="T89" s="25">
        <f>bdrate(C89:C92,H89:H92,J89:J92,O89:O92)</f>
        <v>-7.8520892207106674E-2</v>
      </c>
      <c r="U89" s="28">
        <f t="shared" si="3"/>
        <v>-0.30448700666666656</v>
      </c>
    </row>
    <row r="90" spans="1:21" x14ac:dyDescent="0.25">
      <c r="B90" s="9"/>
      <c r="C90" s="17">
        <v>971.6787109375</v>
      </c>
      <c r="D90" s="18">
        <v>43.484699999999997</v>
      </c>
      <c r="E90" s="18">
        <v>46.0745</v>
      </c>
      <c r="F90" s="18">
        <v>46.594299999999997</v>
      </c>
      <c r="G90" s="18">
        <v>10.227388947601678</v>
      </c>
      <c r="H90" s="18">
        <f t="shared" si="4"/>
        <v>44.197124999999993</v>
      </c>
      <c r="I90" s="5"/>
      <c r="J90" s="17">
        <v>996.33630000000005</v>
      </c>
      <c r="K90" s="18">
        <v>44.001899999999999</v>
      </c>
      <c r="L90" s="18">
        <v>46.9114</v>
      </c>
      <c r="M90" s="18">
        <v>47.381999999999998</v>
      </c>
      <c r="N90" s="18">
        <v>6.9349999999999996</v>
      </c>
      <c r="O90" s="18">
        <f t="shared" si="5"/>
        <v>44.7881</v>
      </c>
      <c r="P90" s="7"/>
      <c r="Q90" s="10"/>
      <c r="R90" s="11"/>
      <c r="S90" s="11"/>
      <c r="T90" s="26"/>
      <c r="U90" s="28">
        <f t="shared" si="3"/>
        <v>-0.32191881666666677</v>
      </c>
    </row>
    <row r="91" spans="1:21" x14ac:dyDescent="0.25">
      <c r="B91" s="9"/>
      <c r="C91" s="17">
        <v>587.0458984375</v>
      </c>
      <c r="D91" s="18">
        <v>40.833399999999997</v>
      </c>
      <c r="E91" s="18">
        <v>44.101399999999998</v>
      </c>
      <c r="F91" s="18">
        <v>44.621699999999997</v>
      </c>
      <c r="G91" s="18">
        <v>12.696083963435278</v>
      </c>
      <c r="H91" s="18">
        <f t="shared" si="4"/>
        <v>41.715437499999993</v>
      </c>
      <c r="I91" s="5"/>
      <c r="J91" s="17">
        <v>601.22080000000005</v>
      </c>
      <c r="K91" s="18">
        <v>41.252099999999999</v>
      </c>
      <c r="L91" s="18">
        <v>44.896900000000002</v>
      </c>
      <c r="M91" s="18">
        <v>45.367699999999999</v>
      </c>
      <c r="N91" s="18">
        <v>8.5429999999999993</v>
      </c>
      <c r="O91" s="18">
        <f t="shared" si="5"/>
        <v>42.222149999999999</v>
      </c>
      <c r="P91" s="7"/>
      <c r="Q91" s="10"/>
      <c r="R91" s="11"/>
      <c r="S91" s="11"/>
      <c r="T91" s="26"/>
      <c r="U91" s="28">
        <f t="shared" si="3"/>
        <v>-0.32711535111111117</v>
      </c>
    </row>
    <row r="92" spans="1:21" ht="16.5" thickBot="1" x14ac:dyDescent="0.3">
      <c r="B92" s="12"/>
      <c r="C92" s="19">
        <v>295.1259765625</v>
      </c>
      <c r="D92" s="20">
        <v>37.115000000000002</v>
      </c>
      <c r="E92" s="20">
        <v>41.422800000000002</v>
      </c>
      <c r="F92" s="20">
        <v>41.952300000000001</v>
      </c>
      <c r="G92" s="20">
        <v>17.181146555180113</v>
      </c>
      <c r="H92" s="20">
        <f t="shared" si="4"/>
        <v>38.258137499999997</v>
      </c>
      <c r="I92" s="5"/>
      <c r="J92" s="19">
        <v>302.41390000000001</v>
      </c>
      <c r="K92" s="20">
        <v>37.505499999999998</v>
      </c>
      <c r="L92" s="20">
        <v>42.338299999999997</v>
      </c>
      <c r="M92" s="20">
        <v>42.747100000000003</v>
      </c>
      <c r="N92" s="20">
        <v>11.3895</v>
      </c>
      <c r="O92" s="20">
        <f t="shared" si="5"/>
        <v>38.764799999999994</v>
      </c>
      <c r="P92" s="7"/>
      <c r="Q92" s="13"/>
      <c r="R92" s="14"/>
      <c r="S92" s="14"/>
      <c r="T92" s="27"/>
      <c r="U92" s="28">
        <f t="shared" si="3"/>
        <v>-0.33709313499999993</v>
      </c>
    </row>
    <row r="93" spans="1:21" x14ac:dyDescent="0.25">
      <c r="B93" s="6" t="s">
        <v>106</v>
      </c>
      <c r="C93" s="29">
        <v>1452.13671875</v>
      </c>
      <c r="D93" s="30">
        <v>39.75</v>
      </c>
      <c r="E93" s="30">
        <v>43.700499999999998</v>
      </c>
      <c r="F93" s="30">
        <v>43.503999999999998</v>
      </c>
      <c r="G93" s="16">
        <v>6.8609588571167208</v>
      </c>
      <c r="H93" s="16">
        <f t="shared" si="4"/>
        <v>40.713062499999999</v>
      </c>
      <c r="I93" s="5"/>
      <c r="J93" s="29">
        <v>1507.2061000000001</v>
      </c>
      <c r="K93" s="30">
        <v>39.846699999999998</v>
      </c>
      <c r="L93" s="30">
        <v>44.1235</v>
      </c>
      <c r="M93" s="30">
        <v>43.902700000000003</v>
      </c>
      <c r="N93" s="16">
        <v>4.7868000000000004</v>
      </c>
      <c r="O93" s="16">
        <f t="shared" si="5"/>
        <v>40.888299999999994</v>
      </c>
      <c r="P93" s="7"/>
      <c r="Q93" s="8">
        <f>bdrate(C93:C96,D93:D96,J93:J96,K93:K96)</f>
        <v>9.4236599829362611E-3</v>
      </c>
      <c r="R93" s="8">
        <f>bdrate(C93:C96,E93:E96,J93:J96,L93:L96)</f>
        <v>-0.13535184156807334</v>
      </c>
      <c r="S93" s="8">
        <f>bdrate(C93:C96,F93:F96,J93:J96,M93:M96)</f>
        <v>-0.12237168690976208</v>
      </c>
      <c r="T93" s="25">
        <f>bdrate(C93:C96,H93:H96,J93:J96,O93:O96)</f>
        <v>-1.6902681391669616E-2</v>
      </c>
      <c r="U93" s="28">
        <f t="shared" si="3"/>
        <v>-0.30231326266666669</v>
      </c>
    </row>
    <row r="94" spans="1:21" x14ac:dyDescent="0.25">
      <c r="B94" s="9"/>
      <c r="C94" s="31">
        <v>969.05859375</v>
      </c>
      <c r="D94" s="32">
        <v>37.874299999999998</v>
      </c>
      <c r="E94" s="32">
        <v>42.383899999999997</v>
      </c>
      <c r="F94" s="32">
        <v>42.1511</v>
      </c>
      <c r="G94" s="18">
        <v>8.3674228337671988</v>
      </c>
      <c r="H94" s="18">
        <f t="shared" si="4"/>
        <v>38.972599999999993</v>
      </c>
      <c r="I94" s="5"/>
      <c r="J94" s="31">
        <v>1007.0531</v>
      </c>
      <c r="K94" s="32">
        <v>37.976599999999998</v>
      </c>
      <c r="L94" s="32">
        <v>42.859900000000003</v>
      </c>
      <c r="M94" s="32">
        <v>42.6098</v>
      </c>
      <c r="N94" s="18">
        <v>5.7412000000000001</v>
      </c>
      <c r="O94" s="18">
        <f t="shared" si="5"/>
        <v>39.166162499999999</v>
      </c>
      <c r="P94" s="7"/>
      <c r="Q94" s="10"/>
      <c r="R94" s="11"/>
      <c r="S94" s="11"/>
      <c r="T94" s="26"/>
      <c r="U94" s="28">
        <f t="shared" si="3"/>
        <v>-0.31386280888888879</v>
      </c>
    </row>
    <row r="95" spans="1:21" x14ac:dyDescent="0.25">
      <c r="B95" s="9"/>
      <c r="C95" s="31">
        <v>584.6982421875</v>
      </c>
      <c r="D95" s="32">
        <v>35.592300000000002</v>
      </c>
      <c r="E95" s="32">
        <v>40.832999999999998</v>
      </c>
      <c r="F95" s="32">
        <v>40.566299999999998</v>
      </c>
      <c r="G95" s="18">
        <v>10.684268008927299</v>
      </c>
      <c r="H95" s="18">
        <f t="shared" si="4"/>
        <v>36.869137500000001</v>
      </c>
      <c r="I95" s="5"/>
      <c r="J95" s="31">
        <v>604.14639999999997</v>
      </c>
      <c r="K95" s="32">
        <v>35.685000000000002</v>
      </c>
      <c r="L95" s="32">
        <v>41.380800000000001</v>
      </c>
      <c r="M95" s="32">
        <v>41.079500000000003</v>
      </c>
      <c r="N95" s="18">
        <v>7.0906000000000002</v>
      </c>
      <c r="O95" s="18">
        <f t="shared" si="5"/>
        <v>37.071287500000004</v>
      </c>
      <c r="P95" s="7"/>
      <c r="Q95" s="10"/>
      <c r="R95" s="11"/>
      <c r="S95" s="11"/>
      <c r="T95" s="26"/>
      <c r="U95" s="28">
        <f t="shared" si="3"/>
        <v>-0.33635135377777775</v>
      </c>
    </row>
    <row r="96" spans="1:21" ht="16.5" thickBot="1" x14ac:dyDescent="0.3">
      <c r="B96" s="12"/>
      <c r="C96" s="33">
        <v>294.8076171875</v>
      </c>
      <c r="D96" s="34">
        <v>32.517299999999999</v>
      </c>
      <c r="E96" s="34">
        <v>38.977699999999999</v>
      </c>
      <c r="F96" s="34">
        <v>38.657499999999999</v>
      </c>
      <c r="G96" s="20">
        <v>15.245451773554223</v>
      </c>
      <c r="H96" s="20">
        <f t="shared" si="4"/>
        <v>34.092374999999997</v>
      </c>
      <c r="I96" s="5"/>
      <c r="J96" s="33">
        <v>301.11759999999998</v>
      </c>
      <c r="K96" s="34">
        <v>32.6753</v>
      </c>
      <c r="L96" s="34">
        <v>39.560600000000001</v>
      </c>
      <c r="M96" s="34">
        <v>39.192599999999999</v>
      </c>
      <c r="N96" s="20">
        <v>9.734</v>
      </c>
      <c r="O96" s="20">
        <f t="shared" si="5"/>
        <v>34.350625000000001</v>
      </c>
      <c r="P96" s="7"/>
      <c r="Q96" s="13"/>
      <c r="R96" s="14"/>
      <c r="S96" s="14"/>
      <c r="T96" s="27"/>
      <c r="U96" s="28">
        <f t="shared" si="3"/>
        <v>-0.3615144933333333</v>
      </c>
    </row>
    <row r="97" spans="2:21" x14ac:dyDescent="0.25">
      <c r="B97" s="6" t="s">
        <v>107</v>
      </c>
      <c r="C97" s="15">
        <v>1457.966796875</v>
      </c>
      <c r="D97" s="16">
        <v>38.745399999999997</v>
      </c>
      <c r="E97" s="16">
        <v>43.069800000000001</v>
      </c>
      <c r="F97" s="16">
        <v>43.5032</v>
      </c>
      <c r="G97" s="16">
        <v>8.4158554717086993</v>
      </c>
      <c r="H97" s="16">
        <f t="shared" si="4"/>
        <v>39.880674999999997</v>
      </c>
      <c r="I97" s="5"/>
      <c r="J97" s="15">
        <v>1511.3389</v>
      </c>
      <c r="K97" s="16">
        <v>38.773299999999999</v>
      </c>
      <c r="L97" s="16">
        <v>43.607100000000003</v>
      </c>
      <c r="M97" s="16">
        <v>44.0289</v>
      </c>
      <c r="N97" s="16">
        <v>5.7869000000000002</v>
      </c>
      <c r="O97" s="16">
        <f t="shared" si="5"/>
        <v>40.034475</v>
      </c>
      <c r="P97" s="7"/>
      <c r="Q97" s="8">
        <f>bdrate(C97:C100,D97:D100,J97:J100,K97:K100)</f>
        <v>1.3778744606979698E-2</v>
      </c>
      <c r="R97" s="8">
        <f>bdrate(C97:C100,E97:E100,J97:J100,L97:L100)</f>
        <v>-0.17410703453878484</v>
      </c>
      <c r="S97" s="8">
        <f>bdrate(C97:C100,F97:F100,J97:J100,M97:M100)</f>
        <v>-0.17797024144801454</v>
      </c>
      <c r="T97" s="25">
        <f>bdrate(C97:C100,H97:H100,J97:J100,O97:O100)</f>
        <v>-2.5669179388083774E-2</v>
      </c>
      <c r="U97" s="28">
        <f t="shared" si="3"/>
        <v>-0.3123812523333333</v>
      </c>
    </row>
    <row r="98" spans="2:21" x14ac:dyDescent="0.25">
      <c r="B98" s="9"/>
      <c r="C98" s="17">
        <v>975.517578125</v>
      </c>
      <c r="D98" s="18">
        <v>36.839399999999998</v>
      </c>
      <c r="E98" s="18">
        <v>41.596499999999999</v>
      </c>
      <c r="F98" s="18">
        <v>42.100900000000003</v>
      </c>
      <c r="G98" s="18">
        <v>10.118953925029794</v>
      </c>
      <c r="H98" s="18">
        <f t="shared" si="4"/>
        <v>38.091725000000004</v>
      </c>
      <c r="I98" s="5"/>
      <c r="J98" s="17">
        <v>1006.6432</v>
      </c>
      <c r="K98" s="18">
        <v>36.840699999999998</v>
      </c>
      <c r="L98" s="18">
        <v>42.232999999999997</v>
      </c>
      <c r="M98" s="18">
        <v>42.709899999999998</v>
      </c>
      <c r="N98" s="18">
        <v>6.8842999999999996</v>
      </c>
      <c r="O98" s="18">
        <f t="shared" si="5"/>
        <v>38.2483875</v>
      </c>
      <c r="P98" s="7"/>
      <c r="Q98" s="10"/>
      <c r="R98" s="11"/>
      <c r="S98" s="11"/>
      <c r="T98" s="26"/>
      <c r="U98" s="28">
        <f t="shared" si="3"/>
        <v>-0.31966287711111113</v>
      </c>
    </row>
    <row r="99" spans="2:21" x14ac:dyDescent="0.25">
      <c r="B99" s="9"/>
      <c r="C99" s="17">
        <v>589.1650390625</v>
      </c>
      <c r="D99" s="18">
        <v>34.404299999999999</v>
      </c>
      <c r="E99" s="18">
        <v>39.717599999999997</v>
      </c>
      <c r="F99" s="18">
        <v>40.260199999999998</v>
      </c>
      <c r="G99" s="18">
        <v>12.713300937959092</v>
      </c>
      <c r="H99" s="18">
        <f t="shared" si="4"/>
        <v>35.800449999999998</v>
      </c>
      <c r="I99" s="5"/>
      <c r="J99" s="17">
        <v>605.56989999999996</v>
      </c>
      <c r="K99" s="18">
        <v>34.484099999999998</v>
      </c>
      <c r="L99" s="18">
        <v>40.550699999999999</v>
      </c>
      <c r="M99" s="18">
        <v>41.084400000000002</v>
      </c>
      <c r="N99" s="18">
        <v>8.5091000000000001</v>
      </c>
      <c r="O99" s="18">
        <f t="shared" si="5"/>
        <v>36.067462499999998</v>
      </c>
      <c r="P99" s="7"/>
      <c r="Q99" s="10"/>
      <c r="R99" s="11"/>
      <c r="S99" s="11"/>
      <c r="T99" s="26"/>
      <c r="U99" s="28">
        <f t="shared" si="3"/>
        <v>-0.33069310311111111</v>
      </c>
    </row>
    <row r="100" spans="2:21" ht="16.5" thickBot="1" x14ac:dyDescent="0.3">
      <c r="B100" s="12"/>
      <c r="C100" s="19">
        <v>295.740234375</v>
      </c>
      <c r="D100" s="20">
        <v>31.036100000000001</v>
      </c>
      <c r="E100" s="20">
        <v>37.4</v>
      </c>
      <c r="F100" s="20">
        <v>38.021999999999998</v>
      </c>
      <c r="G100" s="20">
        <v>17.662643508978512</v>
      </c>
      <c r="H100" s="20">
        <f t="shared" si="4"/>
        <v>32.704825</v>
      </c>
      <c r="I100" s="5"/>
      <c r="J100" s="19">
        <v>302.55840000000001</v>
      </c>
      <c r="K100" s="20">
        <v>31.2332</v>
      </c>
      <c r="L100" s="20">
        <v>38.290500000000002</v>
      </c>
      <c r="M100" s="20">
        <v>38.941800000000001</v>
      </c>
      <c r="N100" s="20">
        <v>11.327199999999999</v>
      </c>
      <c r="O100" s="20">
        <f t="shared" si="5"/>
        <v>33.078937500000002</v>
      </c>
      <c r="P100" s="7"/>
      <c r="Q100" s="13"/>
      <c r="R100" s="14"/>
      <c r="S100" s="14"/>
      <c r="T100" s="27"/>
      <c r="U100" s="28">
        <f t="shared" si="3"/>
        <v>-0.35869169333333339</v>
      </c>
    </row>
    <row r="101" spans="2:21" x14ac:dyDescent="0.25">
      <c r="B101" s="6" t="s">
        <v>108</v>
      </c>
      <c r="C101" s="15">
        <v>1478.134765625</v>
      </c>
      <c r="D101" s="16">
        <v>38.918799999999997</v>
      </c>
      <c r="E101" s="16">
        <v>44.343499999999999</v>
      </c>
      <c r="F101" s="16">
        <v>46.467500000000001</v>
      </c>
      <c r="G101" s="16">
        <v>5.8122638767800057</v>
      </c>
      <c r="H101" s="16">
        <f t="shared" si="4"/>
        <v>40.540475000000001</v>
      </c>
      <c r="I101" s="5"/>
      <c r="J101" s="15">
        <v>1524.9347</v>
      </c>
      <c r="K101" s="16">
        <v>38.775300000000001</v>
      </c>
      <c r="L101" s="16">
        <v>44.658299999999997</v>
      </c>
      <c r="M101" s="16">
        <v>46.667200000000001</v>
      </c>
      <c r="N101" s="16">
        <v>4.3353999999999999</v>
      </c>
      <c r="O101" s="16">
        <f t="shared" si="5"/>
        <v>40.497162500000002</v>
      </c>
      <c r="P101" s="7"/>
      <c r="Q101" s="8">
        <f>bdrate(C101:C104,D101:D104,J101:J104,K101:K104)</f>
        <v>6.5907331770640232E-2</v>
      </c>
      <c r="R101" s="8">
        <f>bdrate(C101:C104,E101:E104,J101:J104,L101:L104)</f>
        <v>-0.12478460560257465</v>
      </c>
      <c r="S101" s="8">
        <f>bdrate(C101:C104,F101:F104,J101:J104,M101:M104)</f>
        <v>-6.129701219067607E-2</v>
      </c>
      <c r="T101" s="25">
        <f>bdrate(C101:C104,H101:H104,J101:J104,O101:O104)</f>
        <v>3.5426356714685969E-2</v>
      </c>
      <c r="U101" s="28">
        <f t="shared" si="3"/>
        <v>-0.25409442999999998</v>
      </c>
    </row>
    <row r="102" spans="2:21" x14ac:dyDescent="0.25">
      <c r="B102" s="9"/>
      <c r="C102" s="17">
        <v>985.4462890625</v>
      </c>
      <c r="D102" s="18">
        <v>37.420099999999998</v>
      </c>
      <c r="E102" s="18">
        <v>43.387700000000002</v>
      </c>
      <c r="F102" s="18">
        <v>45.513599999999997</v>
      </c>
      <c r="G102" s="18">
        <v>7.1669745811301526</v>
      </c>
      <c r="H102" s="18">
        <f t="shared" si="4"/>
        <v>39.177737499999999</v>
      </c>
      <c r="I102" s="5"/>
      <c r="J102" s="17">
        <v>1017.3507</v>
      </c>
      <c r="K102" s="18">
        <v>37.307099999999998</v>
      </c>
      <c r="L102" s="18">
        <v>43.702500000000001</v>
      </c>
      <c r="M102" s="18">
        <v>45.704000000000001</v>
      </c>
      <c r="N102" s="18">
        <v>5.2027999999999999</v>
      </c>
      <c r="O102" s="18">
        <f t="shared" si="5"/>
        <v>39.1561375</v>
      </c>
      <c r="P102" s="7"/>
      <c r="Q102" s="10"/>
      <c r="R102" s="11"/>
      <c r="S102" s="11"/>
      <c r="T102" s="26"/>
      <c r="U102" s="28">
        <f t="shared" si="3"/>
        <v>-0.27405909688888896</v>
      </c>
    </row>
    <row r="103" spans="2:21" x14ac:dyDescent="0.25">
      <c r="B103" s="9"/>
      <c r="C103" s="17">
        <v>592.0791015625</v>
      </c>
      <c r="D103" s="18">
        <v>35.627200000000002</v>
      </c>
      <c r="E103" s="18">
        <v>42.193600000000004</v>
      </c>
      <c r="F103" s="18">
        <v>44.2483</v>
      </c>
      <c r="G103" s="18">
        <v>9.3765627604600752</v>
      </c>
      <c r="H103" s="18">
        <f t="shared" si="4"/>
        <v>37.525637500000002</v>
      </c>
      <c r="I103" s="5"/>
      <c r="J103" s="17">
        <v>606.9443</v>
      </c>
      <c r="K103" s="18">
        <v>35.499099999999999</v>
      </c>
      <c r="L103" s="18">
        <v>42.570500000000003</v>
      </c>
      <c r="M103" s="18">
        <v>44.465299999999999</v>
      </c>
      <c r="N103" s="18">
        <v>6.6378000000000004</v>
      </c>
      <c r="O103" s="18">
        <f t="shared" si="5"/>
        <v>37.503799999999998</v>
      </c>
      <c r="P103" s="7"/>
      <c r="Q103" s="10"/>
      <c r="R103" s="11"/>
      <c r="S103" s="11"/>
      <c r="T103" s="26"/>
      <c r="U103" s="28">
        <f t="shared" si="3"/>
        <v>-0.29208600533333318</v>
      </c>
    </row>
    <row r="104" spans="2:21" ht="16.5" thickBot="1" x14ac:dyDescent="0.3">
      <c r="B104" s="12"/>
      <c r="C104" s="19">
        <v>297.2734375</v>
      </c>
      <c r="D104" s="20">
        <v>33.357300000000002</v>
      </c>
      <c r="E104" s="20">
        <v>40.777099999999997</v>
      </c>
      <c r="F104" s="20">
        <v>42.649700000000003</v>
      </c>
      <c r="G104" s="20">
        <v>13.912505796877415</v>
      </c>
      <c r="H104" s="20">
        <f t="shared" si="4"/>
        <v>35.446325000000002</v>
      </c>
      <c r="I104" s="5"/>
      <c r="J104" s="19">
        <v>302.70350000000002</v>
      </c>
      <c r="K104" s="20">
        <v>33.203800000000001</v>
      </c>
      <c r="L104" s="20">
        <v>41.15</v>
      </c>
      <c r="M104" s="20">
        <v>42.896000000000001</v>
      </c>
      <c r="N104" s="20">
        <v>9.2874999999999996</v>
      </c>
      <c r="O104" s="20">
        <f t="shared" si="5"/>
        <v>35.4086</v>
      </c>
      <c r="P104" s="7"/>
      <c r="Q104" s="13"/>
      <c r="R104" s="14"/>
      <c r="S104" s="14"/>
      <c r="T104" s="27"/>
      <c r="U104" s="28">
        <f t="shared" si="3"/>
        <v>-0.33243513888888893</v>
      </c>
    </row>
    <row r="105" spans="2:21" x14ac:dyDescent="0.25">
      <c r="B105" s="6" t="s">
        <v>109</v>
      </c>
      <c r="C105" s="15">
        <v>1455.296875</v>
      </c>
      <c r="D105" s="16">
        <v>51.281399999999998</v>
      </c>
      <c r="E105" s="16">
        <v>56.755299999999998</v>
      </c>
      <c r="F105" s="16">
        <v>56.878700000000002</v>
      </c>
      <c r="G105" s="16">
        <v>7.608934580071355</v>
      </c>
      <c r="H105" s="16">
        <f t="shared" si="4"/>
        <v>52.665299999999995</v>
      </c>
      <c r="I105" s="5"/>
      <c r="J105" s="15">
        <v>1509.3770999999999</v>
      </c>
      <c r="K105" s="16">
        <v>51.607599999999998</v>
      </c>
      <c r="L105" s="16">
        <v>57.290199999999999</v>
      </c>
      <c r="M105" s="16">
        <v>57.377899999999997</v>
      </c>
      <c r="N105" s="16">
        <v>4.9066000000000001</v>
      </c>
      <c r="O105" s="16">
        <f t="shared" si="5"/>
        <v>53.039212499999998</v>
      </c>
      <c r="P105" s="7"/>
      <c r="Q105" s="8">
        <f>bdrate(C105:C108,D105:D108,J105:J108,K105:K108)</f>
        <v>-4.1191749094790842E-2</v>
      </c>
      <c r="R105" s="8">
        <f>bdrate(C105:C108,E105:E108,J105:J108,L105:L108)</f>
        <v>-0.14059725496749043</v>
      </c>
      <c r="S105" s="8">
        <f>bdrate(C105:C108,F105:F108,J105:J108,M105:M108)</f>
        <v>-0.12595362064764248</v>
      </c>
      <c r="T105" s="25">
        <f>bdrate(C105:C108,H105:H108,J105:J108,O105:O108)</f>
        <v>-6.2938763479677529E-2</v>
      </c>
      <c r="U105" s="28">
        <f t="shared" si="3"/>
        <v>-0.35515282088888889</v>
      </c>
    </row>
    <row r="106" spans="2:21" x14ac:dyDescent="0.25">
      <c r="B106" s="9"/>
      <c r="C106" s="17">
        <v>969.693359375</v>
      </c>
      <c r="D106" s="18">
        <v>49.661700000000003</v>
      </c>
      <c r="E106" s="18">
        <v>55.2896</v>
      </c>
      <c r="F106" s="18">
        <v>55.3767</v>
      </c>
      <c r="G106" s="18">
        <v>10.017140440308973</v>
      </c>
      <c r="H106" s="18">
        <f t="shared" si="4"/>
        <v>51.079562500000009</v>
      </c>
      <c r="I106" s="5"/>
      <c r="J106" s="17">
        <v>1006.8541</v>
      </c>
      <c r="K106" s="18">
        <v>50.006999999999998</v>
      </c>
      <c r="L106" s="18">
        <v>55.9114</v>
      </c>
      <c r="M106" s="18">
        <v>55.933900000000001</v>
      </c>
      <c r="N106" s="18">
        <v>5.9577</v>
      </c>
      <c r="O106" s="18">
        <f t="shared" si="5"/>
        <v>51.485912499999998</v>
      </c>
      <c r="P106" s="7"/>
      <c r="Q106" s="10"/>
      <c r="R106" s="11"/>
      <c r="S106" s="11"/>
      <c r="T106" s="26"/>
      <c r="U106" s="28">
        <f t="shared" si="3"/>
        <v>-0.40524942866666663</v>
      </c>
    </row>
    <row r="107" spans="2:21" x14ac:dyDescent="0.25">
      <c r="B107" s="9"/>
      <c r="C107" s="17">
        <v>581.5078125</v>
      </c>
      <c r="D107" s="18">
        <v>47.519199999999998</v>
      </c>
      <c r="E107" s="18">
        <v>53.491700000000002</v>
      </c>
      <c r="F107" s="18">
        <v>53.422899999999998</v>
      </c>
      <c r="G107" s="18">
        <v>13.981668479105172</v>
      </c>
      <c r="H107" s="18">
        <f t="shared" si="4"/>
        <v>49.003724999999989</v>
      </c>
      <c r="I107" s="5"/>
      <c r="J107" s="17">
        <v>602.93010000000004</v>
      </c>
      <c r="K107" s="18">
        <v>47.846699999999998</v>
      </c>
      <c r="L107" s="18">
        <v>54.182499999999997</v>
      </c>
      <c r="M107" s="18">
        <v>54.106699999999996</v>
      </c>
      <c r="N107" s="18">
        <v>7.8010999999999999</v>
      </c>
      <c r="O107" s="18">
        <f t="shared" si="5"/>
        <v>49.421174999999998</v>
      </c>
      <c r="P107" s="7"/>
      <c r="Q107" s="10"/>
      <c r="R107" s="11"/>
      <c r="S107" s="11"/>
      <c r="T107" s="26"/>
      <c r="U107" s="28">
        <f t="shared" si="3"/>
        <v>-0.44204799222222219</v>
      </c>
    </row>
    <row r="108" spans="2:21" ht="16.5" thickBot="1" x14ac:dyDescent="0.3">
      <c r="B108" s="12"/>
      <c r="C108" s="19">
        <v>291.47265625</v>
      </c>
      <c r="D108" s="20">
        <v>44.4377</v>
      </c>
      <c r="E108" s="20">
        <v>50.686599999999999</v>
      </c>
      <c r="F108" s="20">
        <v>50.511600000000001</v>
      </c>
      <c r="G108" s="20">
        <v>21.663778162911612</v>
      </c>
      <c r="H108" s="20">
        <f t="shared" si="4"/>
        <v>45.978049999999996</v>
      </c>
      <c r="I108" s="5"/>
      <c r="J108" s="19">
        <v>300.56369999999998</v>
      </c>
      <c r="K108" s="20">
        <v>44.753700000000002</v>
      </c>
      <c r="L108" s="20">
        <v>51.545200000000001</v>
      </c>
      <c r="M108" s="20">
        <v>51.3429</v>
      </c>
      <c r="N108" s="20">
        <v>11.731999999999999</v>
      </c>
      <c r="O108" s="20">
        <f t="shared" si="5"/>
        <v>46.426287500000001</v>
      </c>
      <c r="P108" s="7"/>
      <c r="Q108" s="13"/>
      <c r="R108" s="14"/>
      <c r="S108" s="14"/>
      <c r="T108" s="27"/>
      <c r="U108" s="28">
        <f t="shared" si="3"/>
        <v>-0.45845088000000006</v>
      </c>
    </row>
    <row r="109" spans="2:21" x14ac:dyDescent="0.25">
      <c r="B109" s="6" t="s">
        <v>110</v>
      </c>
      <c r="C109" s="15">
        <v>1472.4541015625</v>
      </c>
      <c r="D109" s="16">
        <v>32.8354</v>
      </c>
      <c r="E109" s="16">
        <v>41.186399999999999</v>
      </c>
      <c r="F109" s="16">
        <v>40.433</v>
      </c>
      <c r="G109" s="16">
        <v>4.6650252688868727</v>
      </c>
      <c r="H109" s="16">
        <f t="shared" si="4"/>
        <v>34.828975</v>
      </c>
      <c r="I109" s="5"/>
      <c r="J109" s="15">
        <v>1501.1298999999999</v>
      </c>
      <c r="K109" s="16">
        <v>32.737499999999997</v>
      </c>
      <c r="L109" s="16">
        <v>41.555</v>
      </c>
      <c r="M109" s="16">
        <v>40.807200000000002</v>
      </c>
      <c r="N109" s="16">
        <v>3.5064000000000002</v>
      </c>
      <c r="O109" s="16">
        <f t="shared" si="5"/>
        <v>34.848399999999998</v>
      </c>
      <c r="P109" s="7"/>
      <c r="Q109" s="8">
        <f>bdrate(C109:C112,D109:D112,J109:J112,K109:K112)</f>
        <v>-7.3862824732231491E-3</v>
      </c>
      <c r="R109" s="8">
        <f>bdrate(C109:C112,E109:E112,J109:J112,L109:L112)</f>
        <v>-0.2233619812923936</v>
      </c>
      <c r="S109" s="8">
        <f>bdrate(C109:C112,F109:F112,J109:J112,M109:M112)</f>
        <v>-0.22652894651440425</v>
      </c>
      <c r="T109" s="25">
        <f>bdrate(C109:C112,H109:H112,J109:J112,O109:O112)</f>
        <v>-4.7565393226279729E-2</v>
      </c>
      <c r="U109" s="28">
        <f t="shared" si="3"/>
        <v>-0.2483641999999999</v>
      </c>
    </row>
    <row r="110" spans="2:21" x14ac:dyDescent="0.25">
      <c r="B110" s="9"/>
      <c r="C110" s="17">
        <v>982.541015625</v>
      </c>
      <c r="D110" s="18">
        <v>31.0989</v>
      </c>
      <c r="E110" s="18">
        <v>40.127699999999997</v>
      </c>
      <c r="F110" s="18">
        <v>39.328000000000003</v>
      </c>
      <c r="G110" s="18">
        <v>5.7320824655597384</v>
      </c>
      <c r="H110" s="18">
        <f t="shared" si="4"/>
        <v>33.256137500000001</v>
      </c>
      <c r="I110" s="5"/>
      <c r="J110" s="17">
        <v>998.25630000000001</v>
      </c>
      <c r="K110" s="18">
        <v>31.0731</v>
      </c>
      <c r="L110" s="18">
        <v>40.722900000000003</v>
      </c>
      <c r="M110" s="18">
        <v>39.959800000000001</v>
      </c>
      <c r="N110" s="18">
        <v>4.1452999999999998</v>
      </c>
      <c r="O110" s="18">
        <f t="shared" si="5"/>
        <v>33.390162500000002</v>
      </c>
      <c r="P110" s="7"/>
      <c r="Q110" s="10"/>
      <c r="R110" s="11"/>
      <c r="S110" s="11"/>
      <c r="T110" s="26"/>
      <c r="U110" s="28">
        <f t="shared" si="3"/>
        <v>-0.2768247796666668</v>
      </c>
    </row>
    <row r="111" spans="2:21" x14ac:dyDescent="0.25">
      <c r="B111" s="9"/>
      <c r="C111" s="17">
        <v>589.7109375</v>
      </c>
      <c r="D111" s="18">
        <v>28.770299999999999</v>
      </c>
      <c r="E111" s="18">
        <v>38.820300000000003</v>
      </c>
      <c r="F111" s="18">
        <v>37.957999999999998</v>
      </c>
      <c r="G111" s="18">
        <v>7.593398805305255</v>
      </c>
      <c r="H111" s="18">
        <f t="shared" si="4"/>
        <v>31.175012500000001</v>
      </c>
      <c r="I111" s="5"/>
      <c r="J111" s="17">
        <v>599.27809999999999</v>
      </c>
      <c r="K111" s="18">
        <v>28.899000000000001</v>
      </c>
      <c r="L111" s="18">
        <v>39.5655</v>
      </c>
      <c r="M111" s="18">
        <v>38.740299999999998</v>
      </c>
      <c r="N111" s="18">
        <v>5.2342000000000004</v>
      </c>
      <c r="O111" s="18">
        <f t="shared" si="5"/>
        <v>31.462474999999998</v>
      </c>
      <c r="P111" s="7"/>
      <c r="Q111" s="10"/>
      <c r="R111" s="11"/>
      <c r="S111" s="11"/>
      <c r="T111" s="26"/>
      <c r="U111" s="28">
        <f t="shared" si="3"/>
        <v>-0.31069075466666662</v>
      </c>
    </row>
    <row r="112" spans="2:21" ht="16.5" thickBot="1" x14ac:dyDescent="0.3">
      <c r="B112" s="12"/>
      <c r="C112" s="19">
        <v>296.2353515625</v>
      </c>
      <c r="D112" s="20">
        <v>25.743400000000001</v>
      </c>
      <c r="E112" s="20">
        <v>36.549900000000001</v>
      </c>
      <c r="F112" s="20">
        <v>35.660200000000003</v>
      </c>
      <c r="G112" s="20">
        <v>10.600456997479446</v>
      </c>
      <c r="H112" s="20">
        <f t="shared" si="4"/>
        <v>28.333812500000001</v>
      </c>
      <c r="I112" s="5"/>
      <c r="J112" s="19">
        <v>299.87119999999999</v>
      </c>
      <c r="K112" s="20">
        <v>26.113700000000001</v>
      </c>
      <c r="L112" s="20">
        <v>37.562100000000001</v>
      </c>
      <c r="M112" s="20">
        <v>36.707599999999999</v>
      </c>
      <c r="N112" s="20">
        <v>7.3842999999999996</v>
      </c>
      <c r="O112" s="20">
        <f t="shared" si="5"/>
        <v>28.868987500000003</v>
      </c>
      <c r="P112" s="7"/>
      <c r="Q112" s="13"/>
      <c r="R112" s="14"/>
      <c r="S112" s="14"/>
      <c r="T112" s="27"/>
      <c r="U112" s="28">
        <f t="shared" si="3"/>
        <v>-0.30339795711111106</v>
      </c>
    </row>
    <row r="113" spans="2:21" x14ac:dyDescent="0.25">
      <c r="B113" s="6" t="s">
        <v>111</v>
      </c>
      <c r="C113" s="15">
        <v>1461.462890625</v>
      </c>
      <c r="D113" s="16">
        <v>48.370699999999999</v>
      </c>
      <c r="E113" s="16">
        <v>48.950600000000001</v>
      </c>
      <c r="F113" s="16">
        <v>48.963799999999999</v>
      </c>
      <c r="G113" s="16">
        <v>9.5213913926621814</v>
      </c>
      <c r="H113" s="16">
        <f t="shared" si="4"/>
        <v>48.517325</v>
      </c>
      <c r="I113" s="5"/>
      <c r="J113" s="15">
        <v>1353.8739</v>
      </c>
      <c r="K113" s="16">
        <v>48.1126</v>
      </c>
      <c r="L113" s="16">
        <v>49.171300000000002</v>
      </c>
      <c r="M113" s="16">
        <v>49.183500000000002</v>
      </c>
      <c r="N113" s="16">
        <v>5.8930999999999996</v>
      </c>
      <c r="O113" s="16">
        <f t="shared" si="5"/>
        <v>48.378799999999998</v>
      </c>
      <c r="P113" s="7"/>
      <c r="Q113" s="8">
        <f>bdrate(C113:C116,D113:D116,J113:J116,K113:K116)</f>
        <v>-0.11054954964526131</v>
      </c>
      <c r="R113" s="8">
        <f>bdrate(C113:C116,E113:E116,J113:J116,L113:L116)</f>
        <v>-0.19526672155089975</v>
      </c>
      <c r="S113" s="8">
        <f>bdrate(C113:C116,F113:F116,J113:J116,M113:M116)</f>
        <v>-0.20568363925573951</v>
      </c>
      <c r="T113" s="25">
        <f>bdrate(C113:C116,H113:H116,J113:J116,O113:O116)</f>
        <v>-0.13062416271327315</v>
      </c>
      <c r="U113" s="28">
        <f t="shared" si="3"/>
        <v>-0.38106735066666675</v>
      </c>
    </row>
    <row r="114" spans="2:21" x14ac:dyDescent="0.25">
      <c r="B114" s="9"/>
      <c r="C114" s="17">
        <v>965.2509765625</v>
      </c>
      <c r="D114" s="18">
        <v>46.369700000000002</v>
      </c>
      <c r="E114" s="18">
        <v>47.137099999999997</v>
      </c>
      <c r="F114" s="18">
        <v>47.146000000000001</v>
      </c>
      <c r="G114" s="18">
        <v>11.382463418027292</v>
      </c>
      <c r="H114" s="18">
        <f t="shared" si="4"/>
        <v>46.562662500000002</v>
      </c>
      <c r="I114" s="5"/>
      <c r="J114" s="17">
        <v>926.91309999999999</v>
      </c>
      <c r="K114" s="18">
        <v>46.740099999999998</v>
      </c>
      <c r="L114" s="18">
        <v>47.885899999999999</v>
      </c>
      <c r="M114" s="18">
        <v>47.910600000000002</v>
      </c>
      <c r="N114" s="18">
        <v>7.0083000000000002</v>
      </c>
      <c r="O114" s="18">
        <f t="shared" si="5"/>
        <v>47.0296375</v>
      </c>
      <c r="P114" s="7"/>
      <c r="Q114" s="10"/>
      <c r="R114" s="11"/>
      <c r="S114" s="11"/>
      <c r="T114" s="26"/>
      <c r="U114" s="28">
        <f t="shared" si="3"/>
        <v>-0.38428969699999999</v>
      </c>
    </row>
    <row r="115" spans="2:21" x14ac:dyDescent="0.25">
      <c r="B115" s="9"/>
      <c r="C115" s="17">
        <v>595.783203125</v>
      </c>
      <c r="D115" s="18">
        <v>43.433999999999997</v>
      </c>
      <c r="E115" s="18">
        <v>44.6248</v>
      </c>
      <c r="F115" s="18">
        <v>44.548900000000003</v>
      </c>
      <c r="G115" s="18">
        <v>13.847432070652676</v>
      </c>
      <c r="H115" s="18">
        <f t="shared" si="4"/>
        <v>43.722212499999998</v>
      </c>
      <c r="I115" s="5"/>
      <c r="J115" s="17">
        <v>571.14880000000005</v>
      </c>
      <c r="K115" s="18">
        <v>44.033299999999997</v>
      </c>
      <c r="L115" s="18">
        <v>45.6235</v>
      </c>
      <c r="M115" s="18">
        <v>45.649000000000001</v>
      </c>
      <c r="N115" s="18">
        <v>8.7387999999999995</v>
      </c>
      <c r="O115" s="18">
        <f t="shared" si="5"/>
        <v>44.434037499999995</v>
      </c>
      <c r="P115" s="7"/>
      <c r="Q115" s="10"/>
      <c r="R115" s="11"/>
      <c r="S115" s="11"/>
      <c r="T115" s="26"/>
      <c r="U115" s="28">
        <f t="shared" si="3"/>
        <v>-0.36892270311111119</v>
      </c>
    </row>
    <row r="116" spans="2:21" ht="16.5" thickBot="1" x14ac:dyDescent="0.3">
      <c r="B116" s="12"/>
      <c r="C116" s="19">
        <v>301.3134765625</v>
      </c>
      <c r="D116" s="20">
        <v>39.127600000000001</v>
      </c>
      <c r="E116" s="20">
        <v>41.2087</v>
      </c>
      <c r="F116" s="20">
        <v>41.091299999999997</v>
      </c>
      <c r="G116" s="20">
        <v>18.865551502955601</v>
      </c>
      <c r="H116" s="20">
        <f t="shared" si="4"/>
        <v>39.633200000000002</v>
      </c>
      <c r="I116" s="5"/>
      <c r="J116" s="19">
        <v>289.1832</v>
      </c>
      <c r="K116" s="20">
        <v>39.420099999999998</v>
      </c>
      <c r="L116" s="20">
        <v>41.965499999999999</v>
      </c>
      <c r="M116" s="20">
        <v>41.9724</v>
      </c>
      <c r="N116" s="20">
        <v>11.9199</v>
      </c>
      <c r="O116" s="20">
        <f t="shared" si="5"/>
        <v>40.057312500000002</v>
      </c>
      <c r="P116" s="7"/>
      <c r="Q116" s="13"/>
      <c r="R116" s="14"/>
      <c r="S116" s="14"/>
      <c r="T116" s="27"/>
      <c r="U116" s="28">
        <f t="shared" si="3"/>
        <v>-0.36816583399999991</v>
      </c>
    </row>
    <row r="117" spans="2:21" x14ac:dyDescent="0.25">
      <c r="B117" s="6" t="s">
        <v>112</v>
      </c>
      <c r="C117" s="15">
        <v>1440.3330078125</v>
      </c>
      <c r="D117" s="16">
        <v>53.002400000000002</v>
      </c>
      <c r="E117" s="16">
        <v>53.659799999999997</v>
      </c>
      <c r="F117" s="16">
        <v>53.910400000000003</v>
      </c>
      <c r="G117" s="16">
        <v>20.361990950226243</v>
      </c>
      <c r="H117" s="16">
        <f t="shared" si="4"/>
        <v>53.198075000000003</v>
      </c>
      <c r="I117" s="5"/>
      <c r="J117" s="15">
        <v>757.9941</v>
      </c>
      <c r="K117" s="16">
        <v>52.859499999999997</v>
      </c>
      <c r="L117" s="16">
        <v>54.553600000000003</v>
      </c>
      <c r="M117" s="16">
        <v>54.513300000000001</v>
      </c>
      <c r="N117" s="16">
        <v>12.061400000000001</v>
      </c>
      <c r="O117" s="16">
        <f t="shared" si="5"/>
        <v>53.277987500000002</v>
      </c>
      <c r="P117" s="7"/>
      <c r="Q117" s="8">
        <f>bdrate(C117:C120,D117:D120,J117:J120,K117:K120)</f>
        <v>-0.43493420951449857</v>
      </c>
      <c r="R117" s="8">
        <f>bdrate(C117:C120,E117:E120,J117:J120,L117:L120)</f>
        <v>-0.49090264428290453</v>
      </c>
      <c r="S117" s="8">
        <f>bdrate(C117:C120,F117:F120,J117:J120,M117:M120)</f>
        <v>-0.48451022652516063</v>
      </c>
      <c r="T117" s="25">
        <f>bdrate(C117:C120,H117:H120,J117:J120,O117:O120)</f>
        <v>-0.44888141406443061</v>
      </c>
      <c r="U117" s="28">
        <f t="shared" si="3"/>
        <v>-0.40765124444444439</v>
      </c>
    </row>
    <row r="118" spans="2:21" x14ac:dyDescent="0.25">
      <c r="B118" s="9"/>
      <c r="C118" s="17">
        <v>960.15625</v>
      </c>
      <c r="D118" s="18">
        <v>48.327199999999998</v>
      </c>
      <c r="E118" s="18">
        <v>49.042900000000003</v>
      </c>
      <c r="F118" s="18">
        <v>49.442999999999998</v>
      </c>
      <c r="G118" s="18">
        <v>23.973150071919449</v>
      </c>
      <c r="H118" s="18">
        <f t="shared" si="4"/>
        <v>48.556137499999991</v>
      </c>
      <c r="I118" s="5"/>
      <c r="J118" s="17">
        <v>587.60130000000004</v>
      </c>
      <c r="K118" s="18">
        <v>51.546999999999997</v>
      </c>
      <c r="L118" s="18">
        <v>53.34</v>
      </c>
      <c r="M118" s="18">
        <v>53.400799999999997</v>
      </c>
      <c r="N118" s="18">
        <v>13.7151</v>
      </c>
      <c r="O118" s="18">
        <f t="shared" si="5"/>
        <v>52.002849999999995</v>
      </c>
      <c r="P118" s="7"/>
      <c r="Q118" s="10"/>
      <c r="R118" s="11"/>
      <c r="S118" s="11"/>
      <c r="T118" s="26"/>
      <c r="U118" s="28">
        <f t="shared" si="3"/>
        <v>-0.42789746199999995</v>
      </c>
    </row>
    <row r="119" spans="2:21" x14ac:dyDescent="0.25">
      <c r="B119" s="9"/>
      <c r="C119" s="17">
        <v>576.0419921875</v>
      </c>
      <c r="D119" s="18">
        <v>45.671500000000002</v>
      </c>
      <c r="E119" s="18">
        <v>46.509399999999999</v>
      </c>
      <c r="F119" s="18">
        <v>46.9696</v>
      </c>
      <c r="G119" s="18">
        <v>30.15378429992964</v>
      </c>
      <c r="H119" s="18">
        <f t="shared" si="4"/>
        <v>45.938500000000005</v>
      </c>
      <c r="I119" s="5"/>
      <c r="J119" s="17">
        <v>426.3451</v>
      </c>
      <c r="K119" s="18">
        <v>47.1693</v>
      </c>
      <c r="L119" s="18">
        <v>48.675600000000003</v>
      </c>
      <c r="M119" s="18">
        <v>49.069600000000001</v>
      </c>
      <c r="N119" s="18">
        <v>14.1121</v>
      </c>
      <c r="O119" s="18">
        <f t="shared" si="5"/>
        <v>47.595125000000003</v>
      </c>
      <c r="P119" s="7"/>
      <c r="Q119" s="10"/>
      <c r="R119" s="11"/>
      <c r="S119" s="11"/>
      <c r="T119" s="26"/>
      <c r="U119" s="28">
        <f t="shared" si="3"/>
        <v>-0.5319957236666667</v>
      </c>
    </row>
    <row r="120" spans="2:21" ht="16.5" thickBot="1" x14ac:dyDescent="0.3">
      <c r="B120" s="12"/>
      <c r="C120" s="19">
        <v>295.5380859375</v>
      </c>
      <c r="D120" s="20">
        <v>38.649000000000001</v>
      </c>
      <c r="E120" s="20">
        <v>40.486199999999997</v>
      </c>
      <c r="F120" s="20">
        <v>40.781700000000001</v>
      </c>
      <c r="G120" s="20">
        <v>35.680304471931493</v>
      </c>
      <c r="H120" s="20">
        <f t="shared" si="4"/>
        <v>39.1452375</v>
      </c>
      <c r="I120" s="5"/>
      <c r="J120" s="19">
        <v>278.69310000000002</v>
      </c>
      <c r="K120" s="20">
        <v>41.672400000000003</v>
      </c>
      <c r="L120" s="20">
        <v>43.510399999999997</v>
      </c>
      <c r="M120" s="20">
        <v>43.889600000000002</v>
      </c>
      <c r="N120" s="20">
        <v>18.990500000000001</v>
      </c>
      <c r="O120" s="20">
        <f t="shared" si="5"/>
        <v>42.179299999999998</v>
      </c>
      <c r="P120" s="7"/>
      <c r="Q120" s="13"/>
      <c r="R120" s="14"/>
      <c r="S120" s="14"/>
      <c r="T120" s="27"/>
      <c r="U120" s="28">
        <f t="shared" si="3"/>
        <v>-0.46775958666666662</v>
      </c>
    </row>
    <row r="121" spans="2:21" x14ac:dyDescent="0.25">
      <c r="B121" s="6" t="s">
        <v>113</v>
      </c>
      <c r="C121" s="29">
        <v>1475.6953125</v>
      </c>
      <c r="D121" s="30">
        <v>34.352400000000003</v>
      </c>
      <c r="E121" s="30">
        <v>37.487400000000001</v>
      </c>
      <c r="F121" s="30">
        <v>36.752800000000001</v>
      </c>
      <c r="G121" s="16">
        <v>5.7738942992416957</v>
      </c>
      <c r="H121" s="16">
        <f t="shared" si="4"/>
        <v>35.044325000000001</v>
      </c>
      <c r="I121" s="5"/>
      <c r="J121" s="29">
        <v>1516.2080000000001</v>
      </c>
      <c r="K121" s="30">
        <v>34.254800000000003</v>
      </c>
      <c r="L121" s="30">
        <v>38.025300000000001</v>
      </c>
      <c r="M121" s="30">
        <v>37.270400000000002</v>
      </c>
      <c r="N121" s="16">
        <v>4.2904999999999998</v>
      </c>
      <c r="O121" s="16">
        <f t="shared" si="5"/>
        <v>35.1030625</v>
      </c>
      <c r="P121" s="7"/>
      <c r="Q121" s="8">
        <f>bdrate(C121:C124,D121:D124,J121:J124,K121:K124)</f>
        <v>2.5198972982218848E-2</v>
      </c>
      <c r="R121" s="8">
        <f>bdrate(C121:C124,E121:E124,J121:J124,L121:L124)</f>
        <v>-0.21304082896588461</v>
      </c>
      <c r="S121" s="8">
        <f>bdrate(C121:C124,F121:F124,J121:J124,M121:M124)</f>
        <v>-0.20528562755005342</v>
      </c>
      <c r="T121" s="25">
        <f>bdrate(C121:C124,H121:H124,J121:J124,O121:O124)</f>
        <v>-1.9648350975128182E-2</v>
      </c>
      <c r="U121" s="28">
        <f t="shared" si="3"/>
        <v>-0.25691400333333342</v>
      </c>
    </row>
    <row r="122" spans="2:21" x14ac:dyDescent="0.25">
      <c r="B122" s="9"/>
      <c r="C122" s="31">
        <v>986.494140625</v>
      </c>
      <c r="D122" s="32">
        <v>32.346800000000002</v>
      </c>
      <c r="E122" s="32">
        <v>36.227400000000003</v>
      </c>
      <c r="F122" s="32">
        <v>35.459200000000003</v>
      </c>
      <c r="G122" s="18">
        <v>7.0099463349663909</v>
      </c>
      <c r="H122" s="18">
        <f t="shared" si="4"/>
        <v>33.220925000000001</v>
      </c>
      <c r="I122" s="5"/>
      <c r="J122" s="31">
        <v>1010.0549</v>
      </c>
      <c r="K122" s="32">
        <v>32.247500000000002</v>
      </c>
      <c r="L122" s="32">
        <v>36.889499999999998</v>
      </c>
      <c r="M122" s="32">
        <v>36.104900000000001</v>
      </c>
      <c r="N122" s="18">
        <v>5.0053000000000001</v>
      </c>
      <c r="O122" s="18">
        <f t="shared" si="5"/>
        <v>33.309925</v>
      </c>
      <c r="P122" s="7"/>
      <c r="Q122" s="10"/>
      <c r="R122" s="11"/>
      <c r="S122" s="11"/>
      <c r="T122" s="26"/>
      <c r="U122" s="28">
        <f t="shared" si="3"/>
        <v>-0.28597170922222215</v>
      </c>
    </row>
    <row r="123" spans="2:21" x14ac:dyDescent="0.25">
      <c r="B123" s="9"/>
      <c r="C123" s="31">
        <v>592.5</v>
      </c>
      <c r="D123" s="32">
        <v>29.895600000000002</v>
      </c>
      <c r="E123" s="32">
        <v>34.735399999999998</v>
      </c>
      <c r="F123" s="32">
        <v>33.919800000000002</v>
      </c>
      <c r="G123" s="18">
        <v>8.9791683294756162</v>
      </c>
      <c r="H123" s="18">
        <f t="shared" si="4"/>
        <v>31.003600000000002</v>
      </c>
      <c r="I123" s="5"/>
      <c r="J123" s="31">
        <v>606.16959999999995</v>
      </c>
      <c r="K123" s="32">
        <v>29.889099999999999</v>
      </c>
      <c r="L123" s="32">
        <v>35.517800000000001</v>
      </c>
      <c r="M123" s="32">
        <v>34.701300000000003</v>
      </c>
      <c r="N123" s="18">
        <v>6.1909000000000001</v>
      </c>
      <c r="O123" s="18">
        <f t="shared" si="5"/>
        <v>31.194212499999999</v>
      </c>
      <c r="P123" s="7"/>
      <c r="Q123" s="10"/>
      <c r="R123" s="11"/>
      <c r="S123" s="11"/>
      <c r="T123" s="26"/>
      <c r="U123" s="28">
        <f t="shared" si="3"/>
        <v>-0.31052634577777771</v>
      </c>
    </row>
    <row r="124" spans="2:21" ht="16.5" thickBot="1" x14ac:dyDescent="0.3">
      <c r="B124" s="12"/>
      <c r="C124" s="33">
        <v>296.064453125</v>
      </c>
      <c r="D124" s="34">
        <v>26.956900000000001</v>
      </c>
      <c r="E124" s="34">
        <v>32.697800000000001</v>
      </c>
      <c r="F124" s="34">
        <v>31.842600000000001</v>
      </c>
      <c r="G124" s="20">
        <v>12.48145117672348</v>
      </c>
      <c r="H124" s="20">
        <f t="shared" si="4"/>
        <v>28.285225000000001</v>
      </c>
      <c r="I124" s="5"/>
      <c r="J124" s="33">
        <v>306.85840000000002</v>
      </c>
      <c r="K124" s="34">
        <v>27.229800000000001</v>
      </c>
      <c r="L124" s="34">
        <v>33.694200000000002</v>
      </c>
      <c r="M124" s="34">
        <v>32.8245</v>
      </c>
      <c r="N124" s="20">
        <v>8.3722999999999992</v>
      </c>
      <c r="O124" s="20">
        <f t="shared" si="5"/>
        <v>28.737187500000001</v>
      </c>
      <c r="P124" s="7"/>
      <c r="Q124" s="13"/>
      <c r="R124" s="14"/>
      <c r="S124" s="14"/>
      <c r="T124" s="27"/>
      <c r="U124" s="28">
        <f t="shared" si="3"/>
        <v>-0.32922062655555562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-2.5349522992100883E-2</v>
      </c>
      <c r="R125" s="21">
        <f>AVERAGE(R9:R124)</f>
        <v>-0.21369580859379075</v>
      </c>
      <c r="S125" s="21">
        <f>AVERAGE(S9:S124)</f>
        <v>-0.20481107346329655</v>
      </c>
      <c r="T125" s="21">
        <f>AVERAGE(T9:T124)</f>
        <v>-5.9818427149861457E-2</v>
      </c>
      <c r="U125" s="21">
        <f>AVERAGE(U9:U124)</f>
        <v>-0.35289597080177204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3" priority="33" operator="greaterThan">
      <formula>0.03</formula>
    </cfRule>
    <cfRule type="cellIs" dxfId="42" priority="34" stopIfTrue="1" operator="lessThan">
      <formula>-0.03</formula>
    </cfRule>
  </conditionalFormatting>
  <conditionalFormatting sqref="Q33:T36">
    <cfRule type="cellIs" dxfId="41" priority="31" operator="greaterThan">
      <formula>0.03</formula>
    </cfRule>
    <cfRule type="cellIs" dxfId="40" priority="32" stopIfTrue="1" operator="lessThan">
      <formula>-0.03</formula>
    </cfRule>
  </conditionalFormatting>
  <conditionalFormatting sqref="Q45:T48 Q61:T64">
    <cfRule type="cellIs" dxfId="39" priority="29" operator="greaterThan">
      <formula>0.03</formula>
    </cfRule>
    <cfRule type="cellIs" dxfId="38" priority="30" stopIfTrue="1" operator="lessThan">
      <formula>-0.03</formula>
    </cfRule>
  </conditionalFormatting>
  <conditionalFormatting sqref="Q49:T60">
    <cfRule type="cellIs" dxfId="37" priority="27" operator="greaterThan">
      <formula>0.03</formula>
    </cfRule>
    <cfRule type="cellIs" dxfId="36" priority="28" stopIfTrue="1" operator="lessThan">
      <formula>-0.03</formula>
    </cfRule>
  </conditionalFormatting>
  <conditionalFormatting sqref="Q69:T76">
    <cfRule type="cellIs" dxfId="35" priority="25" operator="greaterThan">
      <formula>0.03</formula>
    </cfRule>
    <cfRule type="cellIs" dxfId="34" priority="26" stopIfTrue="1" operator="lessThan">
      <formula>-0.03</formula>
    </cfRule>
  </conditionalFormatting>
  <conditionalFormatting sqref="Q65:T68">
    <cfRule type="cellIs" dxfId="33" priority="23" operator="greaterThan">
      <formula>0.03</formula>
    </cfRule>
    <cfRule type="cellIs" dxfId="32" priority="24" stopIfTrue="1" operator="lessThan">
      <formula>-0.03</formula>
    </cfRule>
  </conditionalFormatting>
  <conditionalFormatting sqref="Q77:T80">
    <cfRule type="cellIs" dxfId="31" priority="21" operator="greaterThan">
      <formula>0.03</formula>
    </cfRule>
    <cfRule type="cellIs" dxfId="30" priority="22" stopIfTrue="1" operator="lessThan">
      <formula>-0.03</formula>
    </cfRule>
  </conditionalFormatting>
  <conditionalFormatting sqref="Q21:T28">
    <cfRule type="cellIs" dxfId="29" priority="19" operator="greaterThan">
      <formula>0.03</formula>
    </cfRule>
    <cfRule type="cellIs" dxfId="28" priority="20" stopIfTrue="1" operator="lessThan">
      <formula>-0.03</formula>
    </cfRule>
  </conditionalFormatting>
  <conditionalFormatting sqref="Q117:T117">
    <cfRule type="cellIs" dxfId="27" priority="3" operator="greaterThan">
      <formula>0.03</formula>
    </cfRule>
    <cfRule type="cellIs" dxfId="26" priority="4" stopIfTrue="1" operator="lessThan">
      <formula>-0.03</formula>
    </cfRule>
  </conditionalFormatting>
  <conditionalFormatting sqref="Q93:T96 Q101:T108 Q81:T84">
    <cfRule type="cellIs" dxfId="25" priority="17" operator="greaterThan">
      <formula>0.03</formula>
    </cfRule>
    <cfRule type="cellIs" dxfId="24" priority="18" stopIfTrue="1" operator="lessThan">
      <formula>-0.03</formula>
    </cfRule>
  </conditionalFormatting>
  <conditionalFormatting sqref="Q97:T100">
    <cfRule type="cellIs" dxfId="23" priority="15" operator="greaterThan">
      <formula>0.03</formula>
    </cfRule>
    <cfRule type="cellIs" dxfId="22" priority="16" stopIfTrue="1" operator="lessThan">
      <formula>-0.03</formula>
    </cfRule>
  </conditionalFormatting>
  <conditionalFormatting sqref="Q110:T112 Q122:T124">
    <cfRule type="cellIs" dxfId="21" priority="13" operator="greaterThan">
      <formula>0.03</formula>
    </cfRule>
    <cfRule type="cellIs" dxfId="20" priority="14" stopIfTrue="1" operator="lessThan">
      <formula>-0.03</formula>
    </cfRule>
  </conditionalFormatting>
  <conditionalFormatting sqref="Q114:T116 Q118:T120">
    <cfRule type="cellIs" dxfId="19" priority="11" operator="greaterThan">
      <formula>0.03</formula>
    </cfRule>
    <cfRule type="cellIs" dxfId="18" priority="12" stopIfTrue="1" operator="lessThan">
      <formula>-0.03</formula>
    </cfRule>
  </conditionalFormatting>
  <conditionalFormatting sqref="Q85:T92">
    <cfRule type="cellIs" dxfId="17" priority="9" operator="greaterThan">
      <formula>0.03</formula>
    </cfRule>
    <cfRule type="cellIs" dxfId="16" priority="10" stopIfTrue="1" operator="lessThan">
      <formula>-0.03</formula>
    </cfRule>
  </conditionalFormatting>
  <conditionalFormatting sqref="Q109:T109">
    <cfRule type="cellIs" dxfId="15" priority="7" operator="greaterThan">
      <formula>0.03</formula>
    </cfRule>
    <cfRule type="cellIs" dxfId="14" priority="8" stopIfTrue="1" operator="lessThan">
      <formula>-0.03</formula>
    </cfRule>
  </conditionalFormatting>
  <conditionalFormatting sqref="Q113:T113">
    <cfRule type="cellIs" dxfId="13" priority="5" operator="greaterThan">
      <formula>0.03</formula>
    </cfRule>
    <cfRule type="cellIs" dxfId="12" priority="6" stopIfTrue="1" operator="lessThan">
      <formula>-0.03</formula>
    </cfRule>
  </conditionalFormatting>
  <conditionalFormatting sqref="Q121:T121">
    <cfRule type="cellIs" dxfId="11" priority="1" operator="greaterThan">
      <formula>0.03</formula>
    </cfRule>
    <cfRule type="cellIs" dxfId="10" priority="2" stopIfTrue="1" operator="lessThan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Intra All-I</vt:lpstr>
      <vt:lpstr>Summary-sim</vt:lpstr>
      <vt:lpstr>Summary-detail</vt:lpstr>
      <vt:lpstr>X264vsQY265_offline_superfast</vt:lpstr>
      <vt:lpstr>X264vsQY265_offline_veryfast</vt:lpstr>
      <vt:lpstr>X264vsQY265_offline_slow</vt:lpstr>
      <vt:lpstr>X264vsQY265_offline_placebo</vt:lpstr>
      <vt:lpstr>X265vsQY265_offline_superfast</vt:lpstr>
      <vt:lpstr>X265vsQY265_offline_veryfast</vt:lpstr>
      <vt:lpstr>X265vsQY265_offline_slow</vt:lpstr>
      <vt:lpstr>X265vsQY265_offline_veryslow</vt:lpstr>
      <vt:lpstr>VP9vsQY265_offline_superfast</vt:lpstr>
      <vt:lpstr>VP9vsQY265_offline_veryfast</vt:lpstr>
      <vt:lpstr>VP9vsQY265_offline_slow</vt:lpstr>
      <vt:lpstr>VP9vsQY265_offline_veryslow</vt:lpstr>
      <vt:lpstr>IntelvsQY265_offline_superfast</vt:lpstr>
      <vt:lpstr>IntelvsQY265_offline_veryfast</vt:lpstr>
      <vt:lpstr>IntelvsQY265_offline_slow</vt:lpstr>
      <vt:lpstr>IntelvsQY265_offline_veryslow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FAN</cp:lastModifiedBy>
  <dcterms:created xsi:type="dcterms:W3CDTF">2011-06-30T00:09:01Z</dcterms:created>
  <dcterms:modified xsi:type="dcterms:W3CDTF">2017-06-05T03:22:27Z</dcterms:modified>
</cp:coreProperties>
</file>